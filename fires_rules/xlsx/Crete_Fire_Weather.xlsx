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Κωνσταντίνα\Desktop\climate_fires\finaldata\"/>
    </mc:Choice>
  </mc:AlternateContent>
  <xr:revisionPtr revIDLastSave="0" documentId="13_ncr:1_{6B4A8711-B3F0-4C84-9E47-205BB8401305}" xr6:coauthVersionLast="36" xr6:coauthVersionMax="36" xr10:uidLastSave="{00000000-0000-0000-0000-000000000000}"/>
  <bookViews>
    <workbookView xWindow="0" yWindow="0" windowWidth="28770" windowHeight="9045" xr2:uid="{00000000-000D-0000-FFFF-FFFF00000000}"/>
  </bookViews>
  <sheets>
    <sheet name="Sheet1" sheetId="1" r:id="rId1"/>
    <sheet name="Φύλλο1" sheetId="2" r:id="rId2"/>
  </sheets>
  <definedNames>
    <definedName name="_xlnm._FilterDatabase" localSheetId="0" hidden="1">Sheet1!$C$1:$C$4212</definedName>
  </definedNames>
  <calcPr calcId="191029"/>
</workbook>
</file>

<file path=xl/calcChain.xml><?xml version="1.0" encoding="utf-8"?>
<calcChain xmlns="http://schemas.openxmlformats.org/spreadsheetml/2006/main">
  <c r="C2" i="1" l="1"/>
  <c r="G2" i="1"/>
  <c r="M2" i="1"/>
  <c r="O2" i="1"/>
  <c r="V2" i="1"/>
  <c r="X2" i="1"/>
  <c r="Z2" i="1"/>
  <c r="AA2" i="1" s="1"/>
  <c r="AB2" i="1" s="1"/>
  <c r="AE2" i="1"/>
  <c r="AG2" i="1"/>
  <c r="AH2" i="1" s="1"/>
  <c r="C3" i="1"/>
  <c r="G3" i="1"/>
  <c r="M3" i="1"/>
  <c r="O3" i="1"/>
  <c r="V3" i="1"/>
  <c r="X3" i="1"/>
  <c r="Z3" i="1"/>
  <c r="AA3" i="1" s="1"/>
  <c r="AB3" i="1" s="1"/>
  <c r="AE3" i="1"/>
  <c r="AG3" i="1"/>
  <c r="AH3" i="1" s="1"/>
  <c r="C4" i="1"/>
  <c r="G4" i="1"/>
  <c r="M4" i="1"/>
  <c r="O4" i="1"/>
  <c r="V4" i="1"/>
  <c r="X4" i="1"/>
  <c r="Z4" i="1"/>
  <c r="AA4" i="1" s="1"/>
  <c r="AB4" i="1" s="1"/>
  <c r="AE4" i="1"/>
  <c r="AG4" i="1"/>
  <c r="AH4" i="1" s="1"/>
  <c r="C5" i="1"/>
  <c r="G5" i="1"/>
  <c r="M5" i="1"/>
  <c r="O5" i="1"/>
  <c r="V5" i="1"/>
  <c r="X5" i="1"/>
  <c r="Z5" i="1"/>
  <c r="AA5" i="1" s="1"/>
  <c r="AB5" i="1" s="1"/>
  <c r="AE5" i="1"/>
  <c r="AG5" i="1"/>
  <c r="AH5" i="1" s="1"/>
  <c r="C6" i="1"/>
  <c r="G6" i="1"/>
  <c r="M6" i="1"/>
  <c r="O6" i="1"/>
  <c r="V6" i="1"/>
  <c r="X6" i="1"/>
  <c r="Z6" i="1"/>
  <c r="AA6" i="1" s="1"/>
  <c r="AB6" i="1" s="1"/>
  <c r="AE6" i="1"/>
  <c r="AG6" i="1"/>
  <c r="AH6" i="1" s="1"/>
  <c r="C7" i="1"/>
  <c r="G7" i="1"/>
  <c r="M7" i="1"/>
  <c r="O7" i="1"/>
  <c r="V7" i="1"/>
  <c r="X7" i="1"/>
  <c r="Z7" i="1"/>
  <c r="AA7" i="1" s="1"/>
  <c r="AB7" i="1" s="1"/>
  <c r="AE7" i="1"/>
  <c r="AG7" i="1"/>
  <c r="AH7" i="1" s="1"/>
  <c r="C8" i="1"/>
  <c r="G8" i="1"/>
  <c r="M8" i="1"/>
  <c r="O8" i="1"/>
  <c r="V8" i="1"/>
  <c r="X8" i="1"/>
  <c r="Z8" i="1"/>
  <c r="AA8" i="1" s="1"/>
  <c r="AB8" i="1" s="1"/>
  <c r="AE8" i="1"/>
  <c r="AG8" i="1"/>
  <c r="AH8" i="1" s="1"/>
  <c r="C9" i="1"/>
  <c r="G9" i="1"/>
  <c r="M9" i="1"/>
  <c r="O9" i="1"/>
  <c r="V9" i="1"/>
  <c r="X9" i="1"/>
  <c r="Z9" i="1"/>
  <c r="AA9" i="1" s="1"/>
  <c r="AB9" i="1" s="1"/>
  <c r="AE9" i="1"/>
  <c r="AG9" i="1"/>
  <c r="AH9" i="1" s="1"/>
  <c r="C10" i="1"/>
  <c r="G10" i="1"/>
  <c r="M10" i="1"/>
  <c r="O10" i="1"/>
  <c r="V10" i="1"/>
  <c r="X10" i="1"/>
  <c r="Z10" i="1"/>
  <c r="AA10" i="1" s="1"/>
  <c r="AB10" i="1" s="1"/>
  <c r="AE10" i="1"/>
  <c r="AG10" i="1"/>
  <c r="AH10" i="1" s="1"/>
  <c r="C11" i="1"/>
  <c r="G11" i="1"/>
  <c r="M11" i="1"/>
  <c r="O11" i="1"/>
  <c r="V11" i="1"/>
  <c r="X11" i="1"/>
  <c r="Z11" i="1"/>
  <c r="AA11" i="1" s="1"/>
  <c r="AB11" i="1" s="1"/>
  <c r="AE11" i="1"/>
  <c r="AG11" i="1"/>
  <c r="AH11" i="1" s="1"/>
  <c r="C12" i="1"/>
  <c r="G12" i="1"/>
  <c r="M12" i="1"/>
  <c r="O12" i="1"/>
  <c r="V12" i="1"/>
  <c r="X12" i="1"/>
  <c r="Z12" i="1"/>
  <c r="AA12" i="1" s="1"/>
  <c r="AB12" i="1" s="1"/>
  <c r="AE12" i="1"/>
  <c r="AG12" i="1"/>
  <c r="AH12" i="1" s="1"/>
  <c r="C13" i="1"/>
  <c r="G13" i="1"/>
  <c r="M13" i="1"/>
  <c r="O13" i="1"/>
  <c r="V13" i="1"/>
  <c r="X13" i="1"/>
  <c r="Z13" i="1"/>
  <c r="AA13" i="1" s="1"/>
  <c r="AB13" i="1" s="1"/>
  <c r="AE13" i="1"/>
  <c r="AG13" i="1"/>
  <c r="AH13" i="1" s="1"/>
  <c r="C14" i="1"/>
  <c r="G14" i="1"/>
  <c r="M14" i="1"/>
  <c r="O14" i="1"/>
  <c r="V14" i="1"/>
  <c r="X14" i="1"/>
  <c r="Z14" i="1"/>
  <c r="AA14" i="1" s="1"/>
  <c r="AB14" i="1" s="1"/>
  <c r="AE14" i="1"/>
  <c r="AG14" i="1"/>
  <c r="AH14" i="1" s="1"/>
  <c r="C15" i="1"/>
  <c r="G15" i="1"/>
  <c r="M15" i="1"/>
  <c r="O15" i="1"/>
  <c r="V15" i="1"/>
  <c r="X15" i="1"/>
  <c r="Z15" i="1"/>
  <c r="AA15" i="1" s="1"/>
  <c r="AB15" i="1" s="1"/>
  <c r="AE15" i="1"/>
  <c r="AG15" i="1"/>
  <c r="AH15" i="1" s="1"/>
  <c r="C16" i="1"/>
  <c r="G16" i="1"/>
  <c r="M16" i="1"/>
  <c r="O16" i="1"/>
  <c r="V16" i="1"/>
  <c r="X16" i="1"/>
  <c r="Z16" i="1"/>
  <c r="AA16" i="1" s="1"/>
  <c r="AB16" i="1" s="1"/>
  <c r="AE16" i="1"/>
  <c r="AG16" i="1"/>
  <c r="AH16" i="1" s="1"/>
  <c r="C17" i="1"/>
  <c r="G17" i="1"/>
  <c r="M17" i="1"/>
  <c r="O17" i="1"/>
  <c r="V17" i="1"/>
  <c r="X17" i="1"/>
  <c r="Z17" i="1"/>
  <c r="AA17" i="1" s="1"/>
  <c r="AB17" i="1" s="1"/>
  <c r="AE17" i="1"/>
  <c r="AG17" i="1"/>
  <c r="AH17" i="1" s="1"/>
  <c r="C18" i="1"/>
  <c r="G18" i="1"/>
  <c r="M18" i="1"/>
  <c r="O18" i="1"/>
  <c r="V18" i="1"/>
  <c r="X18" i="1"/>
  <c r="Z18" i="1"/>
  <c r="AA18" i="1" s="1"/>
  <c r="AB18" i="1" s="1"/>
  <c r="AE18" i="1"/>
  <c r="AG18" i="1"/>
  <c r="AH18" i="1" s="1"/>
  <c r="C19" i="1"/>
  <c r="G19" i="1"/>
  <c r="M19" i="1"/>
  <c r="O19" i="1"/>
  <c r="V19" i="1"/>
  <c r="X19" i="1"/>
  <c r="Z19" i="1"/>
  <c r="AA19" i="1" s="1"/>
  <c r="AB19" i="1" s="1"/>
  <c r="AE19" i="1"/>
  <c r="AG19" i="1"/>
  <c r="AH19" i="1" s="1"/>
  <c r="C20" i="1"/>
  <c r="G20" i="1"/>
  <c r="M20" i="1"/>
  <c r="O20" i="1"/>
  <c r="V20" i="1"/>
  <c r="X20" i="1"/>
  <c r="Z20" i="1"/>
  <c r="AA20" i="1" s="1"/>
  <c r="AB20" i="1" s="1"/>
  <c r="AE20" i="1"/>
  <c r="AG20" i="1"/>
  <c r="AH20" i="1" s="1"/>
  <c r="C21" i="1"/>
  <c r="G21" i="1"/>
  <c r="M21" i="1"/>
  <c r="O21" i="1"/>
  <c r="V21" i="1"/>
  <c r="X21" i="1"/>
  <c r="Z21" i="1"/>
  <c r="AA21" i="1" s="1"/>
  <c r="AB21" i="1" s="1"/>
  <c r="AE21" i="1"/>
  <c r="AG21" i="1"/>
  <c r="AH21" i="1" s="1"/>
  <c r="C22" i="1"/>
  <c r="G22" i="1"/>
  <c r="M22" i="1"/>
  <c r="O22" i="1"/>
  <c r="V22" i="1"/>
  <c r="X22" i="1"/>
  <c r="Z22" i="1"/>
  <c r="AA22" i="1" s="1"/>
  <c r="AB22" i="1" s="1"/>
  <c r="AE22" i="1"/>
  <c r="AG22" i="1"/>
  <c r="AH22" i="1" s="1"/>
  <c r="C23" i="1"/>
  <c r="G23" i="1"/>
  <c r="M23" i="1"/>
  <c r="O23" i="1"/>
  <c r="V23" i="1"/>
  <c r="X23" i="1"/>
  <c r="Z23" i="1"/>
  <c r="AA23" i="1" s="1"/>
  <c r="AB23" i="1" s="1"/>
  <c r="AE23" i="1"/>
  <c r="AG23" i="1"/>
  <c r="AH23" i="1" s="1"/>
  <c r="C24" i="1"/>
  <c r="G24" i="1"/>
  <c r="M24" i="1"/>
  <c r="O24" i="1"/>
  <c r="V24" i="1"/>
  <c r="X24" i="1"/>
  <c r="Z24" i="1"/>
  <c r="AA24" i="1" s="1"/>
  <c r="AB24" i="1" s="1"/>
  <c r="AE24" i="1"/>
  <c r="AG24" i="1"/>
  <c r="AH24" i="1" s="1"/>
  <c r="C25" i="1"/>
  <c r="G25" i="1"/>
  <c r="M25" i="1"/>
  <c r="O25" i="1"/>
  <c r="V25" i="1"/>
  <c r="X25" i="1"/>
  <c r="Z25" i="1"/>
  <c r="AA25" i="1" s="1"/>
  <c r="AB25" i="1" s="1"/>
  <c r="AE25" i="1"/>
  <c r="AG25" i="1"/>
  <c r="AH25" i="1" s="1"/>
  <c r="C26" i="1"/>
  <c r="G26" i="1"/>
  <c r="M26" i="1"/>
  <c r="O26" i="1"/>
  <c r="V26" i="1"/>
  <c r="X26" i="1"/>
  <c r="Z26" i="1"/>
  <c r="AA26" i="1" s="1"/>
  <c r="AB26" i="1" s="1"/>
  <c r="AE26" i="1"/>
  <c r="AG26" i="1"/>
  <c r="AH26" i="1" s="1"/>
  <c r="C27" i="1"/>
  <c r="G27" i="1"/>
  <c r="M27" i="1"/>
  <c r="O27" i="1"/>
  <c r="V27" i="1"/>
  <c r="X27" i="1"/>
  <c r="Z27" i="1"/>
  <c r="AA27" i="1" s="1"/>
  <c r="AB27" i="1" s="1"/>
  <c r="AE27" i="1"/>
  <c r="AG27" i="1"/>
  <c r="AH27" i="1" s="1"/>
  <c r="C28" i="1"/>
  <c r="G28" i="1"/>
  <c r="M28" i="1"/>
  <c r="O28" i="1"/>
  <c r="V28" i="1"/>
  <c r="X28" i="1"/>
  <c r="Z28" i="1"/>
  <c r="AA28" i="1" s="1"/>
  <c r="AB28" i="1" s="1"/>
  <c r="AE28" i="1"/>
  <c r="AG28" i="1"/>
  <c r="AH28" i="1" s="1"/>
  <c r="C29" i="1"/>
  <c r="G29" i="1"/>
  <c r="M29" i="1"/>
  <c r="O29" i="1"/>
  <c r="V29" i="1"/>
  <c r="X29" i="1"/>
  <c r="Z29" i="1"/>
  <c r="AA29" i="1" s="1"/>
  <c r="AB29" i="1" s="1"/>
  <c r="AE29" i="1"/>
  <c r="AG29" i="1"/>
  <c r="AH29" i="1" s="1"/>
  <c r="C30" i="1"/>
  <c r="G30" i="1"/>
  <c r="M30" i="1"/>
  <c r="O30" i="1"/>
  <c r="V30" i="1"/>
  <c r="X30" i="1"/>
  <c r="Z30" i="1"/>
  <c r="AA30" i="1" s="1"/>
  <c r="AB30" i="1" s="1"/>
  <c r="AE30" i="1"/>
  <c r="AG30" i="1"/>
  <c r="AH30" i="1" s="1"/>
  <c r="C31" i="1"/>
  <c r="G31" i="1"/>
  <c r="M31" i="1"/>
  <c r="O31" i="1"/>
  <c r="V31" i="1"/>
  <c r="X31" i="1"/>
  <c r="Z31" i="1"/>
  <c r="AA31" i="1" s="1"/>
  <c r="AB31" i="1" s="1"/>
  <c r="AE31" i="1"/>
  <c r="AG31" i="1"/>
  <c r="AH31" i="1" s="1"/>
  <c r="C32" i="1"/>
  <c r="G32" i="1"/>
  <c r="M32" i="1"/>
  <c r="O32" i="1"/>
  <c r="V32" i="1"/>
  <c r="X32" i="1"/>
  <c r="Z32" i="1"/>
  <c r="AA32" i="1" s="1"/>
  <c r="AB32" i="1" s="1"/>
  <c r="AE32" i="1"/>
  <c r="AG32" i="1"/>
  <c r="AH32" i="1" s="1"/>
  <c r="C33" i="1"/>
  <c r="G33" i="1"/>
  <c r="M33" i="1"/>
  <c r="O33" i="1"/>
  <c r="V33" i="1"/>
  <c r="X33" i="1"/>
  <c r="Z33" i="1"/>
  <c r="AA33" i="1" s="1"/>
  <c r="AB33" i="1" s="1"/>
  <c r="AE33" i="1"/>
  <c r="AG33" i="1"/>
  <c r="AH33" i="1" s="1"/>
  <c r="C34" i="1"/>
  <c r="G34" i="1"/>
  <c r="M34" i="1"/>
  <c r="O34" i="1"/>
  <c r="V34" i="1"/>
  <c r="X34" i="1"/>
  <c r="Z34" i="1"/>
  <c r="AA34" i="1" s="1"/>
  <c r="AB34" i="1" s="1"/>
  <c r="AE34" i="1"/>
  <c r="AG34" i="1"/>
  <c r="AH34" i="1" s="1"/>
  <c r="C35" i="1"/>
  <c r="G35" i="1"/>
  <c r="M35" i="1"/>
  <c r="O35" i="1"/>
  <c r="V35" i="1"/>
  <c r="X35" i="1"/>
  <c r="Z35" i="1"/>
  <c r="AA35" i="1" s="1"/>
  <c r="AB35" i="1" s="1"/>
  <c r="AE35" i="1"/>
  <c r="AG35" i="1"/>
  <c r="AH35" i="1" s="1"/>
  <c r="C36" i="1"/>
  <c r="G36" i="1"/>
  <c r="M36" i="1"/>
  <c r="O36" i="1"/>
  <c r="V36" i="1"/>
  <c r="X36" i="1"/>
  <c r="Z36" i="1"/>
  <c r="AA36" i="1" s="1"/>
  <c r="AB36" i="1" s="1"/>
  <c r="AE36" i="1"/>
  <c r="AG36" i="1"/>
  <c r="AH36" i="1" s="1"/>
  <c r="C37" i="1"/>
  <c r="G37" i="1"/>
  <c r="M37" i="1"/>
  <c r="O37" i="1"/>
  <c r="V37" i="1"/>
  <c r="X37" i="1"/>
  <c r="Z37" i="1"/>
  <c r="AA37" i="1" s="1"/>
  <c r="AB37" i="1" s="1"/>
  <c r="AE37" i="1"/>
  <c r="AG37" i="1"/>
  <c r="AH37" i="1" s="1"/>
  <c r="C38" i="1"/>
  <c r="G38" i="1"/>
  <c r="M38" i="1"/>
  <c r="O38" i="1"/>
  <c r="V38" i="1"/>
  <c r="X38" i="1"/>
  <c r="Z38" i="1"/>
  <c r="AA38" i="1" s="1"/>
  <c r="AB38" i="1" s="1"/>
  <c r="AE38" i="1"/>
  <c r="AG38" i="1"/>
  <c r="AH38" i="1" s="1"/>
  <c r="C39" i="1"/>
  <c r="G39" i="1"/>
  <c r="M39" i="1"/>
  <c r="O39" i="1"/>
  <c r="V39" i="1"/>
  <c r="X39" i="1"/>
  <c r="Z39" i="1"/>
  <c r="AA39" i="1" s="1"/>
  <c r="AB39" i="1" s="1"/>
  <c r="AE39" i="1"/>
  <c r="AG39" i="1"/>
  <c r="AH39" i="1" s="1"/>
  <c r="C40" i="1"/>
  <c r="G40" i="1"/>
  <c r="M40" i="1"/>
  <c r="O40" i="1"/>
  <c r="V40" i="1"/>
  <c r="X40" i="1"/>
  <c r="Z40" i="1"/>
  <c r="AA40" i="1" s="1"/>
  <c r="AB40" i="1" s="1"/>
  <c r="AE40" i="1"/>
  <c r="AG40" i="1"/>
  <c r="AH40" i="1" s="1"/>
  <c r="C41" i="1"/>
  <c r="G41" i="1"/>
  <c r="M41" i="1"/>
  <c r="O41" i="1"/>
  <c r="V41" i="1"/>
  <c r="X41" i="1"/>
  <c r="Z41" i="1"/>
  <c r="AA41" i="1" s="1"/>
  <c r="AB41" i="1" s="1"/>
  <c r="AE41" i="1"/>
  <c r="AG41" i="1"/>
  <c r="AH41" i="1" s="1"/>
  <c r="C42" i="1"/>
  <c r="G42" i="1"/>
  <c r="M42" i="1"/>
  <c r="O42" i="1"/>
  <c r="V42" i="1"/>
  <c r="X42" i="1"/>
  <c r="Z42" i="1"/>
  <c r="AA42" i="1" s="1"/>
  <c r="AB42" i="1" s="1"/>
  <c r="AE42" i="1"/>
  <c r="AG42" i="1"/>
  <c r="AH42" i="1" s="1"/>
  <c r="C43" i="1"/>
  <c r="G43" i="1"/>
  <c r="M43" i="1"/>
  <c r="O43" i="1"/>
  <c r="V43" i="1"/>
  <c r="X43" i="1"/>
  <c r="Z43" i="1"/>
  <c r="AA43" i="1" s="1"/>
  <c r="AB43" i="1" s="1"/>
  <c r="AE43" i="1"/>
  <c r="AG43" i="1"/>
  <c r="AH43" i="1" s="1"/>
  <c r="C44" i="1"/>
  <c r="G44" i="1"/>
  <c r="M44" i="1"/>
  <c r="O44" i="1"/>
  <c r="V44" i="1"/>
  <c r="X44" i="1"/>
  <c r="Z44" i="1"/>
  <c r="AA44" i="1" s="1"/>
  <c r="AB44" i="1" s="1"/>
  <c r="AE44" i="1"/>
  <c r="AG44" i="1"/>
  <c r="AH44" i="1" s="1"/>
  <c r="C45" i="1"/>
  <c r="G45" i="1"/>
  <c r="M45" i="1"/>
  <c r="O45" i="1"/>
  <c r="V45" i="1"/>
  <c r="X45" i="1"/>
  <c r="Z45" i="1"/>
  <c r="AA45" i="1" s="1"/>
  <c r="AB45" i="1" s="1"/>
  <c r="AE45" i="1"/>
  <c r="AG45" i="1"/>
  <c r="AH45" i="1" s="1"/>
  <c r="C46" i="1"/>
  <c r="G46" i="1"/>
  <c r="M46" i="1"/>
  <c r="O46" i="1"/>
  <c r="V46" i="1"/>
  <c r="X46" i="1"/>
  <c r="Z46" i="1"/>
  <c r="AA46" i="1" s="1"/>
  <c r="AB46" i="1" s="1"/>
  <c r="AE46" i="1"/>
  <c r="AG46" i="1"/>
  <c r="AH46" i="1" s="1"/>
  <c r="C47" i="1"/>
  <c r="G47" i="1"/>
  <c r="M47" i="1"/>
  <c r="O47" i="1"/>
  <c r="V47" i="1"/>
  <c r="X47" i="1"/>
  <c r="Z47" i="1"/>
  <c r="AA47" i="1" s="1"/>
  <c r="AB47" i="1" s="1"/>
  <c r="AE47" i="1"/>
  <c r="AG47" i="1"/>
  <c r="AH47" i="1" s="1"/>
  <c r="C48" i="1"/>
  <c r="G48" i="1"/>
  <c r="M48" i="1"/>
  <c r="O48" i="1"/>
  <c r="V48" i="1"/>
  <c r="X48" i="1"/>
  <c r="Z48" i="1"/>
  <c r="AA48" i="1" s="1"/>
  <c r="AB48" i="1" s="1"/>
  <c r="AE48" i="1"/>
  <c r="AG48" i="1"/>
  <c r="AH48" i="1" s="1"/>
  <c r="C49" i="1"/>
  <c r="G49" i="1"/>
  <c r="M49" i="1"/>
  <c r="O49" i="1"/>
  <c r="V49" i="1"/>
  <c r="X49" i="1"/>
  <c r="Z49" i="1"/>
  <c r="AA49" i="1" s="1"/>
  <c r="AB49" i="1" s="1"/>
  <c r="AE49" i="1"/>
  <c r="AG49" i="1"/>
  <c r="AH49" i="1" s="1"/>
  <c r="C50" i="1"/>
  <c r="G50" i="1"/>
  <c r="M50" i="1"/>
  <c r="O50" i="1"/>
  <c r="V50" i="1"/>
  <c r="X50" i="1"/>
  <c r="Z50" i="1"/>
  <c r="AA50" i="1" s="1"/>
  <c r="AB50" i="1" s="1"/>
  <c r="AE50" i="1"/>
  <c r="AG50" i="1"/>
  <c r="AH50" i="1" s="1"/>
  <c r="C51" i="1"/>
  <c r="G51" i="1"/>
  <c r="M51" i="1"/>
  <c r="O51" i="1"/>
  <c r="V51" i="1"/>
  <c r="X51" i="1"/>
  <c r="Z51" i="1"/>
  <c r="AA51" i="1" s="1"/>
  <c r="AB51" i="1" s="1"/>
  <c r="AE51" i="1"/>
  <c r="AG51" i="1"/>
  <c r="AH51" i="1" s="1"/>
  <c r="C52" i="1"/>
  <c r="G52" i="1"/>
  <c r="M52" i="1"/>
  <c r="O52" i="1"/>
  <c r="V52" i="1"/>
  <c r="X52" i="1"/>
  <c r="Z52" i="1"/>
  <c r="AA52" i="1" s="1"/>
  <c r="AB52" i="1" s="1"/>
  <c r="AE52" i="1"/>
  <c r="AG52" i="1"/>
  <c r="AH52" i="1" s="1"/>
  <c r="C53" i="1"/>
  <c r="G53" i="1"/>
  <c r="M53" i="1"/>
  <c r="O53" i="1"/>
  <c r="V53" i="1"/>
  <c r="X53" i="1"/>
  <c r="Z53" i="1"/>
  <c r="AA53" i="1" s="1"/>
  <c r="AB53" i="1" s="1"/>
  <c r="AE53" i="1"/>
  <c r="AG53" i="1"/>
  <c r="AH53" i="1" s="1"/>
  <c r="C54" i="1"/>
  <c r="G54" i="1"/>
  <c r="M54" i="1"/>
  <c r="O54" i="1"/>
  <c r="V54" i="1"/>
  <c r="X54" i="1"/>
  <c r="Z54" i="1"/>
  <c r="AA54" i="1" s="1"/>
  <c r="AB54" i="1" s="1"/>
  <c r="AE54" i="1"/>
  <c r="AG54" i="1"/>
  <c r="AH54" i="1" s="1"/>
  <c r="C55" i="1"/>
  <c r="G55" i="1"/>
  <c r="M55" i="1"/>
  <c r="O55" i="1"/>
  <c r="V55" i="1"/>
  <c r="X55" i="1"/>
  <c r="Z55" i="1"/>
  <c r="AA55" i="1" s="1"/>
  <c r="AB55" i="1" s="1"/>
  <c r="AE55" i="1"/>
  <c r="AG55" i="1"/>
  <c r="AH55" i="1" s="1"/>
  <c r="C56" i="1"/>
  <c r="G56" i="1"/>
  <c r="M56" i="1"/>
  <c r="O56" i="1"/>
  <c r="V56" i="1"/>
  <c r="X56" i="1"/>
  <c r="Z56" i="1"/>
  <c r="AA56" i="1" s="1"/>
  <c r="AB56" i="1" s="1"/>
  <c r="AE56" i="1"/>
  <c r="AG56" i="1"/>
  <c r="AH56" i="1" s="1"/>
  <c r="C57" i="1"/>
  <c r="G57" i="1"/>
  <c r="M57" i="1"/>
  <c r="O57" i="1"/>
  <c r="V57" i="1"/>
  <c r="X57" i="1"/>
  <c r="Z57" i="1"/>
  <c r="AA57" i="1" s="1"/>
  <c r="AB57" i="1" s="1"/>
  <c r="AE57" i="1"/>
  <c r="AG57" i="1"/>
  <c r="AH57" i="1" s="1"/>
  <c r="C58" i="1"/>
  <c r="G58" i="1"/>
  <c r="M58" i="1"/>
  <c r="O58" i="1"/>
  <c r="V58" i="1"/>
  <c r="X58" i="1"/>
  <c r="Z58" i="1"/>
  <c r="AA58" i="1" s="1"/>
  <c r="AB58" i="1" s="1"/>
  <c r="AE58" i="1"/>
  <c r="AG58" i="1"/>
  <c r="AH58" i="1" s="1"/>
  <c r="C59" i="1"/>
  <c r="G59" i="1"/>
  <c r="M59" i="1"/>
  <c r="O59" i="1"/>
  <c r="V59" i="1"/>
  <c r="X59" i="1"/>
  <c r="Z59" i="1"/>
  <c r="AA59" i="1" s="1"/>
  <c r="AB59" i="1" s="1"/>
  <c r="AE59" i="1"/>
  <c r="AG59" i="1"/>
  <c r="AH59" i="1" s="1"/>
  <c r="C60" i="1"/>
  <c r="G60" i="1"/>
  <c r="M60" i="1"/>
  <c r="O60" i="1"/>
  <c r="V60" i="1"/>
  <c r="X60" i="1"/>
  <c r="Z60" i="1"/>
  <c r="AA60" i="1" s="1"/>
  <c r="AB60" i="1" s="1"/>
  <c r="AE60" i="1"/>
  <c r="AG60" i="1"/>
  <c r="AH60" i="1" s="1"/>
  <c r="C61" i="1"/>
  <c r="G61" i="1"/>
  <c r="M61" i="1"/>
  <c r="O61" i="1"/>
  <c r="V61" i="1"/>
  <c r="X61" i="1"/>
  <c r="Z61" i="1"/>
  <c r="AA61" i="1" s="1"/>
  <c r="AB61" i="1" s="1"/>
  <c r="AE61" i="1"/>
  <c r="AG61" i="1"/>
  <c r="AH61" i="1" s="1"/>
  <c r="C62" i="1"/>
  <c r="G62" i="1"/>
  <c r="M62" i="1"/>
  <c r="O62" i="1"/>
  <c r="V62" i="1"/>
  <c r="X62" i="1"/>
  <c r="Z62" i="1"/>
  <c r="AA62" i="1" s="1"/>
  <c r="AB62" i="1" s="1"/>
  <c r="AE62" i="1"/>
  <c r="AG62" i="1"/>
  <c r="AH62" i="1" s="1"/>
  <c r="C63" i="1"/>
  <c r="G63" i="1"/>
  <c r="M63" i="1"/>
  <c r="O63" i="1"/>
  <c r="V63" i="1"/>
  <c r="X63" i="1"/>
  <c r="Z63" i="1"/>
  <c r="AA63" i="1" s="1"/>
  <c r="AB63" i="1" s="1"/>
  <c r="AE63" i="1"/>
  <c r="AG63" i="1"/>
  <c r="AH63" i="1" s="1"/>
  <c r="C64" i="1"/>
  <c r="G64" i="1"/>
  <c r="M64" i="1"/>
  <c r="O64" i="1"/>
  <c r="V64" i="1"/>
  <c r="X64" i="1"/>
  <c r="Z64" i="1"/>
  <c r="AA64" i="1" s="1"/>
  <c r="AB64" i="1" s="1"/>
  <c r="AE64" i="1"/>
  <c r="AG64" i="1"/>
  <c r="AH64" i="1" s="1"/>
  <c r="C65" i="1"/>
  <c r="G65" i="1"/>
  <c r="M65" i="1"/>
  <c r="O65" i="1"/>
  <c r="V65" i="1"/>
  <c r="X65" i="1"/>
  <c r="Z65" i="1"/>
  <c r="AA65" i="1" s="1"/>
  <c r="AB65" i="1" s="1"/>
  <c r="AE65" i="1"/>
  <c r="AG65" i="1"/>
  <c r="AH65" i="1" s="1"/>
  <c r="C66" i="1"/>
  <c r="G66" i="1"/>
  <c r="M66" i="1"/>
  <c r="O66" i="1"/>
  <c r="V66" i="1"/>
  <c r="X66" i="1"/>
  <c r="Z66" i="1"/>
  <c r="AA66" i="1" s="1"/>
  <c r="AB66" i="1" s="1"/>
  <c r="AE66" i="1"/>
  <c r="AG66" i="1"/>
  <c r="AH66" i="1" s="1"/>
  <c r="C67" i="1"/>
  <c r="G67" i="1"/>
  <c r="M67" i="1"/>
  <c r="O67" i="1"/>
  <c r="V67" i="1"/>
  <c r="X67" i="1"/>
  <c r="Z67" i="1"/>
  <c r="AA67" i="1" s="1"/>
  <c r="AB67" i="1" s="1"/>
  <c r="AE67" i="1"/>
  <c r="AG67" i="1"/>
  <c r="AH67" i="1" s="1"/>
  <c r="C68" i="1"/>
  <c r="G68" i="1"/>
  <c r="M68" i="1"/>
  <c r="O68" i="1"/>
  <c r="V68" i="1"/>
  <c r="X68" i="1"/>
  <c r="Z68" i="1"/>
  <c r="AA68" i="1" s="1"/>
  <c r="AB68" i="1" s="1"/>
  <c r="AE68" i="1"/>
  <c r="AG68" i="1"/>
  <c r="AH68" i="1" s="1"/>
  <c r="C69" i="1"/>
  <c r="G69" i="1"/>
  <c r="M69" i="1"/>
  <c r="O69" i="1"/>
  <c r="V69" i="1"/>
  <c r="X69" i="1"/>
  <c r="Z69" i="1"/>
  <c r="AA69" i="1" s="1"/>
  <c r="AB69" i="1" s="1"/>
  <c r="AE69" i="1"/>
  <c r="AG69" i="1"/>
  <c r="AH69" i="1" s="1"/>
  <c r="C70" i="1"/>
  <c r="G70" i="1"/>
  <c r="M70" i="1"/>
  <c r="O70" i="1"/>
  <c r="V70" i="1"/>
  <c r="X70" i="1"/>
  <c r="Z70" i="1"/>
  <c r="AA70" i="1" s="1"/>
  <c r="AB70" i="1" s="1"/>
  <c r="AE70" i="1"/>
  <c r="AG70" i="1"/>
  <c r="AH70" i="1" s="1"/>
  <c r="C71" i="1"/>
  <c r="G71" i="1"/>
  <c r="M71" i="1"/>
  <c r="O71" i="1"/>
  <c r="V71" i="1"/>
  <c r="X71" i="1"/>
  <c r="Z71" i="1"/>
  <c r="AA71" i="1" s="1"/>
  <c r="AB71" i="1" s="1"/>
  <c r="AE71" i="1"/>
  <c r="AG71" i="1"/>
  <c r="AH71" i="1" s="1"/>
  <c r="C72" i="1"/>
  <c r="G72" i="1"/>
  <c r="M72" i="1"/>
  <c r="O72" i="1"/>
  <c r="V72" i="1"/>
  <c r="X72" i="1"/>
  <c r="Z72" i="1"/>
  <c r="AA72" i="1" s="1"/>
  <c r="AB72" i="1" s="1"/>
  <c r="AE72" i="1"/>
  <c r="AG72" i="1"/>
  <c r="AH72" i="1" s="1"/>
  <c r="C73" i="1"/>
  <c r="G73" i="1"/>
  <c r="M73" i="1"/>
  <c r="O73" i="1"/>
  <c r="V73" i="1"/>
  <c r="X73" i="1"/>
  <c r="Z73" i="1"/>
  <c r="AA73" i="1" s="1"/>
  <c r="AB73" i="1" s="1"/>
  <c r="AE73" i="1"/>
  <c r="AG73" i="1"/>
  <c r="AH73" i="1" s="1"/>
  <c r="C74" i="1"/>
  <c r="G74" i="1"/>
  <c r="M74" i="1"/>
  <c r="O74" i="1"/>
  <c r="V74" i="1"/>
  <c r="X74" i="1"/>
  <c r="Z74" i="1"/>
  <c r="AA74" i="1" s="1"/>
  <c r="AB74" i="1" s="1"/>
  <c r="AE74" i="1"/>
  <c r="AG74" i="1"/>
  <c r="AH74" i="1" s="1"/>
  <c r="C75" i="1"/>
  <c r="G75" i="1"/>
  <c r="M75" i="1"/>
  <c r="O75" i="1"/>
  <c r="V75" i="1"/>
  <c r="X75" i="1"/>
  <c r="Z75" i="1"/>
  <c r="AA75" i="1" s="1"/>
  <c r="AB75" i="1" s="1"/>
  <c r="AE75" i="1"/>
  <c r="AG75" i="1"/>
  <c r="AH75" i="1" s="1"/>
  <c r="C76" i="1"/>
  <c r="G76" i="1"/>
  <c r="M76" i="1"/>
  <c r="O76" i="1"/>
  <c r="V76" i="1"/>
  <c r="X76" i="1"/>
  <c r="Z76" i="1"/>
  <c r="AA76" i="1" s="1"/>
  <c r="AB76" i="1" s="1"/>
  <c r="AE76" i="1"/>
  <c r="AG76" i="1"/>
  <c r="AH76" i="1" s="1"/>
  <c r="C77" i="1"/>
  <c r="G77" i="1"/>
  <c r="M77" i="1"/>
  <c r="O77" i="1"/>
  <c r="V77" i="1"/>
  <c r="X77" i="1"/>
  <c r="Z77" i="1"/>
  <c r="AA77" i="1" s="1"/>
  <c r="AB77" i="1" s="1"/>
  <c r="AE77" i="1"/>
  <c r="AG77" i="1"/>
  <c r="AH77" i="1" s="1"/>
  <c r="C78" i="1"/>
  <c r="G78" i="1"/>
  <c r="M78" i="1"/>
  <c r="O78" i="1"/>
  <c r="V78" i="1"/>
  <c r="X78" i="1"/>
  <c r="Z78" i="1"/>
  <c r="AA78" i="1" s="1"/>
  <c r="AB78" i="1" s="1"/>
  <c r="AE78" i="1"/>
  <c r="AG78" i="1"/>
  <c r="AH78" i="1" s="1"/>
  <c r="C79" i="1"/>
  <c r="G79" i="1"/>
  <c r="M79" i="1"/>
  <c r="O79" i="1"/>
  <c r="V79" i="1"/>
  <c r="X79" i="1"/>
  <c r="Z79" i="1"/>
  <c r="AA79" i="1" s="1"/>
  <c r="AB79" i="1" s="1"/>
  <c r="AE79" i="1"/>
  <c r="AG79" i="1"/>
  <c r="AH79" i="1" s="1"/>
  <c r="C80" i="1"/>
  <c r="G80" i="1"/>
  <c r="M80" i="1"/>
  <c r="O80" i="1"/>
  <c r="V80" i="1"/>
  <c r="X80" i="1"/>
  <c r="Z80" i="1"/>
  <c r="AA80" i="1" s="1"/>
  <c r="AB80" i="1" s="1"/>
  <c r="AE80" i="1"/>
  <c r="AG80" i="1"/>
  <c r="AH80" i="1" s="1"/>
  <c r="C81" i="1"/>
  <c r="G81" i="1"/>
  <c r="M81" i="1"/>
  <c r="O81" i="1"/>
  <c r="V81" i="1"/>
  <c r="X81" i="1"/>
  <c r="Z81" i="1"/>
  <c r="AA81" i="1" s="1"/>
  <c r="AB81" i="1" s="1"/>
  <c r="AE81" i="1"/>
  <c r="AG81" i="1"/>
  <c r="AH81" i="1" s="1"/>
  <c r="C82" i="1"/>
  <c r="G82" i="1"/>
  <c r="M82" i="1"/>
  <c r="O82" i="1"/>
  <c r="V82" i="1"/>
  <c r="X82" i="1"/>
  <c r="Z82" i="1"/>
  <c r="AA82" i="1" s="1"/>
  <c r="AB82" i="1" s="1"/>
  <c r="AE82" i="1"/>
  <c r="AG82" i="1"/>
  <c r="AH82" i="1" s="1"/>
  <c r="C83" i="1"/>
  <c r="G83" i="1"/>
  <c r="M83" i="1"/>
  <c r="O83" i="1"/>
  <c r="V83" i="1"/>
  <c r="X83" i="1"/>
  <c r="Z83" i="1"/>
  <c r="AA83" i="1" s="1"/>
  <c r="AB83" i="1" s="1"/>
  <c r="AE83" i="1"/>
  <c r="AG83" i="1"/>
  <c r="AH83" i="1" s="1"/>
  <c r="C84" i="1"/>
  <c r="G84" i="1"/>
  <c r="M84" i="1"/>
  <c r="O84" i="1"/>
  <c r="V84" i="1"/>
  <c r="X84" i="1"/>
  <c r="Z84" i="1"/>
  <c r="AA84" i="1" s="1"/>
  <c r="AB84" i="1" s="1"/>
  <c r="AE84" i="1"/>
  <c r="AG84" i="1"/>
  <c r="AH84" i="1" s="1"/>
  <c r="C85" i="1"/>
  <c r="G85" i="1"/>
  <c r="M85" i="1"/>
  <c r="O85" i="1"/>
  <c r="V85" i="1"/>
  <c r="X85" i="1"/>
  <c r="Z85" i="1"/>
  <c r="AA85" i="1" s="1"/>
  <c r="AB85" i="1" s="1"/>
  <c r="AE85" i="1"/>
  <c r="AG85" i="1"/>
  <c r="AH85" i="1" s="1"/>
  <c r="C86" i="1"/>
  <c r="G86" i="1"/>
  <c r="M86" i="1"/>
  <c r="O86" i="1"/>
  <c r="V86" i="1"/>
  <c r="X86" i="1"/>
  <c r="Z86" i="1"/>
  <c r="AA86" i="1" s="1"/>
  <c r="AB86" i="1" s="1"/>
  <c r="AE86" i="1"/>
  <c r="AG86" i="1"/>
  <c r="AH86" i="1" s="1"/>
  <c r="C87" i="1"/>
  <c r="G87" i="1"/>
  <c r="M87" i="1"/>
  <c r="O87" i="1"/>
  <c r="V87" i="1"/>
  <c r="X87" i="1"/>
  <c r="Z87" i="1"/>
  <c r="AA87" i="1" s="1"/>
  <c r="AB87" i="1" s="1"/>
  <c r="AE87" i="1"/>
  <c r="AG87" i="1"/>
  <c r="AH87" i="1" s="1"/>
  <c r="C88" i="1"/>
  <c r="G88" i="1"/>
  <c r="M88" i="1"/>
  <c r="O88" i="1"/>
  <c r="V88" i="1"/>
  <c r="X88" i="1"/>
  <c r="Z88" i="1"/>
  <c r="AA88" i="1" s="1"/>
  <c r="AB88" i="1" s="1"/>
  <c r="AE88" i="1"/>
  <c r="AG88" i="1"/>
  <c r="AH88" i="1" s="1"/>
  <c r="C89" i="1"/>
  <c r="G89" i="1"/>
  <c r="M89" i="1"/>
  <c r="O89" i="1"/>
  <c r="V89" i="1"/>
  <c r="X89" i="1"/>
  <c r="Z89" i="1"/>
  <c r="AA89" i="1" s="1"/>
  <c r="AB89" i="1" s="1"/>
  <c r="AE89" i="1"/>
  <c r="AG89" i="1"/>
  <c r="AH89" i="1" s="1"/>
  <c r="C90" i="1"/>
  <c r="G90" i="1"/>
  <c r="M90" i="1"/>
  <c r="O90" i="1"/>
  <c r="V90" i="1"/>
  <c r="X90" i="1"/>
  <c r="Z90" i="1"/>
  <c r="AA90" i="1" s="1"/>
  <c r="AB90" i="1" s="1"/>
  <c r="AE90" i="1"/>
  <c r="AG90" i="1"/>
  <c r="AH90" i="1" s="1"/>
  <c r="C91" i="1"/>
  <c r="G91" i="1"/>
  <c r="M91" i="1"/>
  <c r="O91" i="1"/>
  <c r="V91" i="1"/>
  <c r="X91" i="1"/>
  <c r="Z91" i="1"/>
  <c r="AA91" i="1" s="1"/>
  <c r="AB91" i="1" s="1"/>
  <c r="AE91" i="1"/>
  <c r="AG91" i="1"/>
  <c r="AH91" i="1" s="1"/>
  <c r="C92" i="1"/>
  <c r="G92" i="1"/>
  <c r="M92" i="1"/>
  <c r="O92" i="1"/>
  <c r="V92" i="1"/>
  <c r="X92" i="1"/>
  <c r="Z92" i="1"/>
  <c r="AA92" i="1" s="1"/>
  <c r="AB92" i="1" s="1"/>
  <c r="AE92" i="1"/>
  <c r="AG92" i="1"/>
  <c r="AH92" i="1" s="1"/>
  <c r="C93" i="1"/>
  <c r="G93" i="1"/>
  <c r="M93" i="1"/>
  <c r="O93" i="1"/>
  <c r="V93" i="1"/>
  <c r="X93" i="1"/>
  <c r="Z93" i="1"/>
  <c r="AA93" i="1" s="1"/>
  <c r="AB93" i="1" s="1"/>
  <c r="AE93" i="1"/>
  <c r="AG93" i="1"/>
  <c r="AH93" i="1" s="1"/>
  <c r="C94" i="1"/>
  <c r="G94" i="1"/>
  <c r="M94" i="1"/>
  <c r="O94" i="1"/>
  <c r="V94" i="1"/>
  <c r="X94" i="1"/>
  <c r="Z94" i="1"/>
  <c r="AA94" i="1" s="1"/>
  <c r="AB94" i="1" s="1"/>
  <c r="AE94" i="1"/>
  <c r="AG94" i="1"/>
  <c r="AH94" i="1" s="1"/>
  <c r="C95" i="1"/>
  <c r="G95" i="1"/>
  <c r="M95" i="1"/>
  <c r="O95" i="1"/>
  <c r="V95" i="1"/>
  <c r="X95" i="1"/>
  <c r="Z95" i="1"/>
  <c r="AA95" i="1" s="1"/>
  <c r="AB95" i="1" s="1"/>
  <c r="AE95" i="1"/>
  <c r="AG95" i="1"/>
  <c r="AH95" i="1" s="1"/>
  <c r="C96" i="1"/>
  <c r="G96" i="1"/>
  <c r="M96" i="1"/>
  <c r="O96" i="1"/>
  <c r="V96" i="1"/>
  <c r="X96" i="1"/>
  <c r="Z96" i="1"/>
  <c r="AA96" i="1" s="1"/>
  <c r="AB96" i="1" s="1"/>
  <c r="AE96" i="1"/>
  <c r="AG96" i="1"/>
  <c r="AH96" i="1" s="1"/>
  <c r="C97" i="1"/>
  <c r="G97" i="1"/>
  <c r="M97" i="1"/>
  <c r="O97" i="1"/>
  <c r="V97" i="1"/>
  <c r="X97" i="1"/>
  <c r="Z97" i="1"/>
  <c r="AA97" i="1" s="1"/>
  <c r="AB97" i="1" s="1"/>
  <c r="AE97" i="1"/>
  <c r="AG97" i="1"/>
  <c r="AH97" i="1" s="1"/>
  <c r="C98" i="1"/>
  <c r="G98" i="1"/>
  <c r="M98" i="1"/>
  <c r="O98" i="1"/>
  <c r="V98" i="1"/>
  <c r="X98" i="1"/>
  <c r="Z98" i="1"/>
  <c r="AA98" i="1" s="1"/>
  <c r="AB98" i="1" s="1"/>
  <c r="AE98" i="1"/>
  <c r="AG98" i="1"/>
  <c r="AH98" i="1" s="1"/>
  <c r="C99" i="1"/>
  <c r="G99" i="1"/>
  <c r="M99" i="1"/>
  <c r="O99" i="1"/>
  <c r="V99" i="1"/>
  <c r="X99" i="1"/>
  <c r="Z99" i="1"/>
  <c r="AA99" i="1" s="1"/>
  <c r="AB99" i="1" s="1"/>
  <c r="AE99" i="1"/>
  <c r="AG99" i="1"/>
  <c r="AH99" i="1" s="1"/>
  <c r="C100" i="1"/>
  <c r="G100" i="1"/>
  <c r="M100" i="1"/>
  <c r="O100" i="1"/>
  <c r="V100" i="1"/>
  <c r="X100" i="1"/>
  <c r="Z100" i="1"/>
  <c r="AA100" i="1" s="1"/>
  <c r="AB100" i="1" s="1"/>
  <c r="AE100" i="1"/>
  <c r="AG100" i="1"/>
  <c r="AH100" i="1" s="1"/>
  <c r="C101" i="1"/>
  <c r="G101" i="1"/>
  <c r="M101" i="1"/>
  <c r="O101" i="1"/>
  <c r="V101" i="1"/>
  <c r="X101" i="1"/>
  <c r="Z101" i="1"/>
  <c r="AA101" i="1" s="1"/>
  <c r="AB101" i="1" s="1"/>
  <c r="AE101" i="1"/>
  <c r="AG101" i="1"/>
  <c r="AH101" i="1" s="1"/>
  <c r="C102" i="1"/>
  <c r="G102" i="1"/>
  <c r="M102" i="1"/>
  <c r="O102" i="1"/>
  <c r="V102" i="1"/>
  <c r="X102" i="1"/>
  <c r="Z102" i="1"/>
  <c r="AA102" i="1" s="1"/>
  <c r="AB102" i="1" s="1"/>
  <c r="AE102" i="1"/>
  <c r="AG102" i="1"/>
  <c r="AH102" i="1" s="1"/>
  <c r="C103" i="1"/>
  <c r="G103" i="1"/>
  <c r="M103" i="1"/>
  <c r="O103" i="1"/>
  <c r="V103" i="1"/>
  <c r="X103" i="1"/>
  <c r="Z103" i="1"/>
  <c r="AA103" i="1" s="1"/>
  <c r="AB103" i="1" s="1"/>
  <c r="AE103" i="1"/>
  <c r="AG103" i="1"/>
  <c r="AH103" i="1" s="1"/>
  <c r="C104" i="1"/>
  <c r="G104" i="1"/>
  <c r="M104" i="1"/>
  <c r="O104" i="1"/>
  <c r="V104" i="1"/>
  <c r="X104" i="1"/>
  <c r="Z104" i="1"/>
  <c r="AA104" i="1" s="1"/>
  <c r="AB104" i="1" s="1"/>
  <c r="AE104" i="1"/>
  <c r="AG104" i="1"/>
  <c r="AH104" i="1" s="1"/>
  <c r="C105" i="1"/>
  <c r="G105" i="1"/>
  <c r="M105" i="1"/>
  <c r="O105" i="1"/>
  <c r="V105" i="1"/>
  <c r="X105" i="1"/>
  <c r="Z105" i="1"/>
  <c r="AA105" i="1" s="1"/>
  <c r="AB105" i="1" s="1"/>
  <c r="AE105" i="1"/>
  <c r="AG105" i="1"/>
  <c r="AH105" i="1" s="1"/>
  <c r="C106" i="1"/>
  <c r="G106" i="1"/>
  <c r="M106" i="1"/>
  <c r="O106" i="1"/>
  <c r="V106" i="1"/>
  <c r="X106" i="1"/>
  <c r="Z106" i="1"/>
  <c r="AA106" i="1" s="1"/>
  <c r="AB106" i="1" s="1"/>
  <c r="AE106" i="1"/>
  <c r="AG106" i="1"/>
  <c r="AH106" i="1" s="1"/>
  <c r="C107" i="1"/>
  <c r="G107" i="1"/>
  <c r="M107" i="1"/>
  <c r="O107" i="1"/>
  <c r="V107" i="1"/>
  <c r="X107" i="1"/>
  <c r="Z107" i="1"/>
  <c r="AA107" i="1" s="1"/>
  <c r="AB107" i="1" s="1"/>
  <c r="AE107" i="1"/>
  <c r="AG107" i="1"/>
  <c r="AH107" i="1" s="1"/>
  <c r="C108" i="1"/>
  <c r="G108" i="1"/>
  <c r="M108" i="1"/>
  <c r="O108" i="1"/>
  <c r="V108" i="1"/>
  <c r="X108" i="1"/>
  <c r="Z108" i="1"/>
  <c r="AA108" i="1" s="1"/>
  <c r="AB108" i="1" s="1"/>
  <c r="AE108" i="1"/>
  <c r="AG108" i="1"/>
  <c r="AH108" i="1" s="1"/>
  <c r="C109" i="1"/>
  <c r="G109" i="1"/>
  <c r="M109" i="1"/>
  <c r="O109" i="1"/>
  <c r="V109" i="1"/>
  <c r="X109" i="1"/>
  <c r="Z109" i="1"/>
  <c r="AA109" i="1" s="1"/>
  <c r="AB109" i="1" s="1"/>
  <c r="AE109" i="1"/>
  <c r="AG109" i="1"/>
  <c r="AH109" i="1" s="1"/>
  <c r="C110" i="1"/>
  <c r="G110" i="1"/>
  <c r="M110" i="1"/>
  <c r="O110" i="1"/>
  <c r="V110" i="1"/>
  <c r="X110" i="1"/>
  <c r="Z110" i="1"/>
  <c r="AA110" i="1" s="1"/>
  <c r="AB110" i="1" s="1"/>
  <c r="AE110" i="1"/>
  <c r="AG110" i="1"/>
  <c r="AH110" i="1" s="1"/>
  <c r="C111" i="1"/>
  <c r="G111" i="1"/>
  <c r="M111" i="1"/>
  <c r="O111" i="1"/>
  <c r="V111" i="1"/>
  <c r="X111" i="1"/>
  <c r="Z111" i="1"/>
  <c r="AA111" i="1" s="1"/>
  <c r="AB111" i="1" s="1"/>
  <c r="AE111" i="1"/>
  <c r="AG111" i="1"/>
  <c r="AH111" i="1" s="1"/>
  <c r="C112" i="1"/>
  <c r="G112" i="1"/>
  <c r="M112" i="1"/>
  <c r="O112" i="1"/>
  <c r="V112" i="1"/>
  <c r="X112" i="1"/>
  <c r="Z112" i="1"/>
  <c r="AA112" i="1" s="1"/>
  <c r="AB112" i="1" s="1"/>
  <c r="AE112" i="1"/>
  <c r="AG112" i="1"/>
  <c r="AH112" i="1" s="1"/>
  <c r="C113" i="1"/>
  <c r="G113" i="1"/>
  <c r="M113" i="1"/>
  <c r="O113" i="1"/>
  <c r="V113" i="1"/>
  <c r="X113" i="1"/>
  <c r="Z113" i="1"/>
  <c r="AA113" i="1" s="1"/>
  <c r="AB113" i="1" s="1"/>
  <c r="AE113" i="1"/>
  <c r="AG113" i="1"/>
  <c r="AH113" i="1" s="1"/>
  <c r="C114" i="1"/>
  <c r="G114" i="1"/>
  <c r="M114" i="1"/>
  <c r="O114" i="1"/>
  <c r="V114" i="1"/>
  <c r="X114" i="1"/>
  <c r="Z114" i="1"/>
  <c r="AA114" i="1" s="1"/>
  <c r="AB114" i="1" s="1"/>
  <c r="AE114" i="1"/>
  <c r="AG114" i="1"/>
  <c r="AH114" i="1" s="1"/>
  <c r="C115" i="1"/>
  <c r="G115" i="1"/>
  <c r="M115" i="1"/>
  <c r="O115" i="1"/>
  <c r="V115" i="1"/>
  <c r="X115" i="1"/>
  <c r="Z115" i="1"/>
  <c r="AA115" i="1" s="1"/>
  <c r="AB115" i="1" s="1"/>
  <c r="AE115" i="1"/>
  <c r="AG115" i="1"/>
  <c r="AH115" i="1" s="1"/>
  <c r="C116" i="1"/>
  <c r="G116" i="1"/>
  <c r="M116" i="1"/>
  <c r="O116" i="1"/>
  <c r="V116" i="1"/>
  <c r="X116" i="1"/>
  <c r="Z116" i="1"/>
  <c r="AA116" i="1" s="1"/>
  <c r="AB116" i="1" s="1"/>
  <c r="AE116" i="1"/>
  <c r="AG116" i="1"/>
  <c r="AH116" i="1" s="1"/>
  <c r="C117" i="1"/>
  <c r="G117" i="1"/>
  <c r="M117" i="1"/>
  <c r="O117" i="1"/>
  <c r="V117" i="1"/>
  <c r="X117" i="1"/>
  <c r="Z117" i="1"/>
  <c r="AA117" i="1" s="1"/>
  <c r="AB117" i="1" s="1"/>
  <c r="AE117" i="1"/>
  <c r="AG117" i="1"/>
  <c r="AH117" i="1" s="1"/>
  <c r="C118" i="1"/>
  <c r="G118" i="1"/>
  <c r="M118" i="1"/>
  <c r="O118" i="1"/>
  <c r="V118" i="1"/>
  <c r="X118" i="1"/>
  <c r="Z118" i="1"/>
  <c r="AA118" i="1" s="1"/>
  <c r="AB118" i="1" s="1"/>
  <c r="AE118" i="1"/>
  <c r="AG118" i="1"/>
  <c r="AH118" i="1" s="1"/>
  <c r="C119" i="1"/>
  <c r="G119" i="1"/>
  <c r="M119" i="1"/>
  <c r="O119" i="1"/>
  <c r="V119" i="1"/>
  <c r="X119" i="1"/>
  <c r="Z119" i="1"/>
  <c r="AA119" i="1" s="1"/>
  <c r="AB119" i="1" s="1"/>
  <c r="AE119" i="1"/>
  <c r="AG119" i="1"/>
  <c r="AH119" i="1" s="1"/>
  <c r="C120" i="1"/>
  <c r="G120" i="1"/>
  <c r="M120" i="1"/>
  <c r="O120" i="1"/>
  <c r="V120" i="1"/>
  <c r="X120" i="1"/>
  <c r="Z120" i="1"/>
  <c r="AA120" i="1" s="1"/>
  <c r="AB120" i="1" s="1"/>
  <c r="AE120" i="1"/>
  <c r="AG120" i="1"/>
  <c r="AH120" i="1" s="1"/>
  <c r="C121" i="1"/>
  <c r="G121" i="1"/>
  <c r="M121" i="1"/>
  <c r="O121" i="1"/>
  <c r="V121" i="1"/>
  <c r="X121" i="1"/>
  <c r="Z121" i="1"/>
  <c r="AA121" i="1" s="1"/>
  <c r="AB121" i="1" s="1"/>
  <c r="AE121" i="1"/>
  <c r="AG121" i="1"/>
  <c r="AH121" i="1" s="1"/>
  <c r="C122" i="1"/>
  <c r="G122" i="1"/>
  <c r="M122" i="1"/>
  <c r="O122" i="1"/>
  <c r="V122" i="1"/>
  <c r="X122" i="1"/>
  <c r="Z122" i="1"/>
  <c r="AA122" i="1" s="1"/>
  <c r="AB122" i="1" s="1"/>
  <c r="AE122" i="1"/>
  <c r="AG122" i="1"/>
  <c r="AH122" i="1" s="1"/>
  <c r="C123" i="1"/>
  <c r="G123" i="1"/>
  <c r="M123" i="1"/>
  <c r="O123" i="1"/>
  <c r="V123" i="1"/>
  <c r="X123" i="1"/>
  <c r="Z123" i="1"/>
  <c r="AA123" i="1" s="1"/>
  <c r="AB123" i="1" s="1"/>
  <c r="AE123" i="1"/>
  <c r="AG123" i="1"/>
  <c r="AH123" i="1" s="1"/>
  <c r="C124" i="1"/>
  <c r="G124" i="1"/>
  <c r="M124" i="1"/>
  <c r="O124" i="1"/>
  <c r="V124" i="1"/>
  <c r="X124" i="1"/>
  <c r="Z124" i="1"/>
  <c r="AA124" i="1" s="1"/>
  <c r="AB124" i="1" s="1"/>
  <c r="AE124" i="1"/>
  <c r="AG124" i="1"/>
  <c r="AH124" i="1" s="1"/>
  <c r="AN2" i="1" l="1"/>
  <c r="AN110" i="1"/>
  <c r="AN106" i="1"/>
  <c r="AN122" i="1"/>
  <c r="AN114" i="1"/>
  <c r="AN68" i="1"/>
  <c r="AN29" i="1"/>
  <c r="AN59" i="1"/>
  <c r="AN102" i="1"/>
  <c r="AN98" i="1"/>
  <c r="AN94" i="1"/>
  <c r="AN90" i="1"/>
  <c r="AN86" i="1"/>
  <c r="AN82" i="1"/>
  <c r="AN78" i="1"/>
  <c r="AN74" i="1"/>
  <c r="AN70" i="1"/>
  <c r="AN66" i="1"/>
  <c r="AN62" i="1"/>
  <c r="AN58" i="1"/>
  <c r="AN54" i="1"/>
  <c r="AN50" i="1"/>
  <c r="AN46" i="1"/>
  <c r="AN42" i="1"/>
  <c r="AN38" i="1"/>
  <c r="AN34" i="1"/>
  <c r="AN30" i="1"/>
  <c r="AN26" i="1"/>
  <c r="AN22" i="1"/>
  <c r="AN18" i="1"/>
  <c r="AN14" i="1"/>
  <c r="AN10" i="1"/>
  <c r="AN6" i="1"/>
  <c r="AN113" i="1"/>
  <c r="AN97" i="1"/>
  <c r="AN92" i="1"/>
  <c r="AN85" i="1"/>
  <c r="AN81" i="1"/>
  <c r="AN80" i="1"/>
  <c r="AN77" i="1"/>
  <c r="AN76" i="1"/>
  <c r="AN73" i="1"/>
  <c r="AN72" i="1"/>
  <c r="AN69" i="1"/>
  <c r="AN61" i="1"/>
  <c r="AN60" i="1"/>
  <c r="AN56" i="1"/>
  <c r="AN52" i="1"/>
  <c r="AN28" i="1"/>
  <c r="AN25" i="1"/>
  <c r="AN24" i="1"/>
  <c r="AN21" i="1"/>
  <c r="AN20" i="1"/>
  <c r="AN17" i="1"/>
  <c r="AN16" i="1"/>
  <c r="AN13" i="1"/>
  <c r="AN12" i="1"/>
  <c r="AN9" i="1"/>
  <c r="AN8" i="1"/>
  <c r="AN5" i="1"/>
  <c r="AN4" i="1"/>
  <c r="AN117" i="1"/>
  <c r="AN93" i="1"/>
  <c r="AN88" i="1"/>
  <c r="AN84" i="1"/>
  <c r="AN64" i="1"/>
  <c r="AN57" i="1"/>
  <c r="AN53" i="1"/>
  <c r="AN49" i="1"/>
  <c r="AN48" i="1"/>
  <c r="AN45" i="1"/>
  <c r="AN44" i="1"/>
  <c r="AN41" i="1"/>
  <c r="AN40" i="1"/>
  <c r="AN36" i="1"/>
  <c r="AN33" i="1"/>
  <c r="AN32" i="1"/>
  <c r="AN121" i="1"/>
  <c r="AN123" i="1"/>
  <c r="AN111" i="1"/>
  <c r="AN109" i="1"/>
  <c r="AN107" i="1"/>
  <c r="AN105" i="1"/>
  <c r="AN99" i="1"/>
  <c r="AN95" i="1"/>
  <c r="AN83" i="1"/>
  <c r="AN79" i="1"/>
  <c r="AN55" i="1"/>
  <c r="AN39" i="1"/>
  <c r="AN37" i="1"/>
  <c r="AN35" i="1"/>
  <c r="AN27" i="1"/>
  <c r="AN19" i="1"/>
  <c r="AN15" i="1"/>
  <c r="AN11" i="1"/>
  <c r="AN7" i="1"/>
  <c r="AN124" i="1"/>
  <c r="AN120" i="1"/>
  <c r="AN116" i="1"/>
  <c r="AN112" i="1"/>
  <c r="AN96" i="1"/>
  <c r="AN119" i="1"/>
  <c r="AN115" i="1"/>
  <c r="AN103" i="1"/>
  <c r="AN91" i="1"/>
  <c r="AN89" i="1"/>
  <c r="AN87" i="1"/>
  <c r="AN75" i="1"/>
  <c r="AN71" i="1"/>
  <c r="AN67" i="1"/>
  <c r="AN65" i="1"/>
  <c r="AN63" i="1"/>
  <c r="AN51" i="1"/>
  <c r="AN47" i="1"/>
  <c r="AN43" i="1"/>
  <c r="AN31" i="1"/>
  <c r="AN23" i="1"/>
  <c r="AN3" i="1"/>
  <c r="AN118" i="1"/>
  <c r="AN101" i="1"/>
  <c r="AN108" i="1"/>
  <c r="AN104" i="1"/>
  <c r="AN100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AG125" i="1" l="1"/>
  <c r="AH125" i="1" s="1"/>
  <c r="AG126" i="1"/>
  <c r="AH126" i="1" s="1"/>
  <c r="AG127" i="1"/>
  <c r="AH127" i="1" s="1"/>
  <c r="AG128" i="1"/>
  <c r="AH128" i="1" s="1"/>
  <c r="AG129" i="1"/>
  <c r="AH129" i="1" s="1"/>
  <c r="AG130" i="1"/>
  <c r="AH130" i="1" s="1"/>
  <c r="AG131" i="1"/>
  <c r="AH131" i="1" s="1"/>
  <c r="AG132" i="1"/>
  <c r="AH132" i="1" s="1"/>
  <c r="AG133" i="1"/>
  <c r="AH133" i="1" s="1"/>
  <c r="AG134" i="1"/>
  <c r="AH134" i="1" s="1"/>
  <c r="AG135" i="1"/>
  <c r="AH135" i="1" s="1"/>
  <c r="AG136" i="1"/>
  <c r="AH136" i="1" s="1"/>
  <c r="AG137" i="1"/>
  <c r="AH137" i="1" s="1"/>
  <c r="AG138" i="1"/>
  <c r="AH138" i="1" s="1"/>
  <c r="AG139" i="1"/>
  <c r="AH139" i="1" s="1"/>
  <c r="AG140" i="1"/>
  <c r="AH140" i="1" s="1"/>
  <c r="AG141" i="1"/>
  <c r="AH141" i="1" s="1"/>
  <c r="AG142" i="1"/>
  <c r="AH142" i="1" s="1"/>
  <c r="AG143" i="1"/>
  <c r="AH143" i="1" s="1"/>
  <c r="AG144" i="1"/>
  <c r="AH144" i="1" s="1"/>
  <c r="AG145" i="1"/>
  <c r="AH145" i="1" s="1"/>
  <c r="AG146" i="1"/>
  <c r="AH146" i="1" s="1"/>
  <c r="AG147" i="1"/>
  <c r="AH147" i="1" s="1"/>
  <c r="AG148" i="1"/>
  <c r="AH148" i="1" s="1"/>
  <c r="AG149" i="1"/>
  <c r="AH149" i="1" s="1"/>
  <c r="AG150" i="1"/>
  <c r="AH150" i="1" s="1"/>
  <c r="AG151" i="1"/>
  <c r="AH151" i="1" s="1"/>
  <c r="AG152" i="1"/>
  <c r="AH152" i="1" s="1"/>
  <c r="AG153" i="1"/>
  <c r="AH153" i="1" s="1"/>
  <c r="AG154" i="1"/>
  <c r="AH154" i="1" s="1"/>
  <c r="AG155" i="1"/>
  <c r="AH155" i="1" s="1"/>
  <c r="AG156" i="1"/>
  <c r="AH156" i="1" s="1"/>
  <c r="AG157" i="1"/>
  <c r="AH157" i="1" s="1"/>
  <c r="AG158" i="1"/>
  <c r="AH158" i="1" s="1"/>
  <c r="AG159" i="1"/>
  <c r="AH159" i="1" s="1"/>
  <c r="AG160" i="1"/>
  <c r="AH160" i="1" s="1"/>
  <c r="AG161" i="1"/>
  <c r="AH161" i="1" s="1"/>
  <c r="AG162" i="1"/>
  <c r="AH162" i="1" s="1"/>
  <c r="AG163" i="1"/>
  <c r="AH163" i="1" s="1"/>
  <c r="AG164" i="1"/>
  <c r="AH164" i="1" s="1"/>
  <c r="AG165" i="1"/>
  <c r="AH165" i="1" s="1"/>
  <c r="AG166" i="1"/>
  <c r="AH166" i="1" s="1"/>
  <c r="AG167" i="1"/>
  <c r="AH167" i="1" s="1"/>
  <c r="AG168" i="1"/>
  <c r="AH168" i="1" s="1"/>
  <c r="AG169" i="1"/>
  <c r="AH169" i="1" s="1"/>
  <c r="AG170" i="1"/>
  <c r="AH170" i="1" s="1"/>
  <c r="AG171" i="1"/>
  <c r="AH171" i="1" s="1"/>
  <c r="AG172" i="1"/>
  <c r="AH172" i="1" s="1"/>
  <c r="AG173" i="1"/>
  <c r="AH173" i="1" s="1"/>
  <c r="AG174" i="1"/>
  <c r="AH174" i="1" s="1"/>
  <c r="AG175" i="1"/>
  <c r="AH175" i="1" s="1"/>
  <c r="AG176" i="1"/>
  <c r="AH176" i="1" s="1"/>
  <c r="AG177" i="1"/>
  <c r="AH177" i="1" s="1"/>
  <c r="AG178" i="1"/>
  <c r="AH178" i="1" s="1"/>
  <c r="AG179" i="1"/>
  <c r="AH179" i="1" s="1"/>
  <c r="AG180" i="1"/>
  <c r="AH180" i="1" s="1"/>
  <c r="AG181" i="1"/>
  <c r="AH181" i="1" s="1"/>
  <c r="AG182" i="1"/>
  <c r="AH182" i="1" s="1"/>
  <c r="AG183" i="1"/>
  <c r="AH183" i="1" s="1"/>
  <c r="AG184" i="1"/>
  <c r="AH184" i="1" s="1"/>
  <c r="AG185" i="1"/>
  <c r="AH185" i="1" s="1"/>
  <c r="AG186" i="1"/>
  <c r="AH186" i="1" s="1"/>
  <c r="AG187" i="1"/>
  <c r="AH187" i="1" s="1"/>
  <c r="AG188" i="1"/>
  <c r="AH188" i="1" s="1"/>
  <c r="AG189" i="1"/>
  <c r="AH189" i="1" s="1"/>
  <c r="AG190" i="1"/>
  <c r="AH190" i="1" s="1"/>
  <c r="AG191" i="1"/>
  <c r="AH191" i="1" s="1"/>
  <c r="AG192" i="1"/>
  <c r="AH192" i="1" s="1"/>
  <c r="AG193" i="1"/>
  <c r="AH193" i="1" s="1"/>
  <c r="AG194" i="1"/>
  <c r="AH194" i="1" s="1"/>
  <c r="AG195" i="1"/>
  <c r="AH195" i="1" s="1"/>
  <c r="AG196" i="1"/>
  <c r="AH196" i="1" s="1"/>
  <c r="AG197" i="1"/>
  <c r="AH197" i="1" s="1"/>
  <c r="AG198" i="1"/>
  <c r="AH198" i="1" s="1"/>
  <c r="AG199" i="1"/>
  <c r="AH199" i="1" s="1"/>
  <c r="AG200" i="1"/>
  <c r="AH200" i="1" s="1"/>
  <c r="AG201" i="1"/>
  <c r="AH201" i="1" s="1"/>
  <c r="AG202" i="1"/>
  <c r="AH202" i="1" s="1"/>
  <c r="AG203" i="1"/>
  <c r="AH203" i="1" s="1"/>
  <c r="AG204" i="1"/>
  <c r="AH204" i="1" s="1"/>
  <c r="AG205" i="1"/>
  <c r="AH205" i="1" s="1"/>
  <c r="AG206" i="1"/>
  <c r="AH206" i="1" s="1"/>
  <c r="AG207" i="1"/>
  <c r="AH207" i="1" s="1"/>
  <c r="AG208" i="1"/>
  <c r="AH208" i="1" s="1"/>
  <c r="AG209" i="1"/>
  <c r="AH209" i="1" s="1"/>
  <c r="AG210" i="1"/>
  <c r="AH210" i="1" s="1"/>
  <c r="AG211" i="1"/>
  <c r="AH211" i="1" s="1"/>
  <c r="AG212" i="1"/>
  <c r="AH212" i="1" s="1"/>
  <c r="AG213" i="1"/>
  <c r="AH213" i="1" s="1"/>
  <c r="AG214" i="1"/>
  <c r="AH214" i="1" s="1"/>
  <c r="AG215" i="1"/>
  <c r="AH215" i="1" s="1"/>
  <c r="AG216" i="1"/>
  <c r="AH216" i="1" s="1"/>
  <c r="AG217" i="1"/>
  <c r="AH217" i="1" s="1"/>
  <c r="AG218" i="1"/>
  <c r="AH218" i="1" s="1"/>
  <c r="AG219" i="1"/>
  <c r="AH219" i="1" s="1"/>
  <c r="AG220" i="1"/>
  <c r="AH220" i="1" s="1"/>
  <c r="AG221" i="1"/>
  <c r="AH221" i="1" s="1"/>
  <c r="AG222" i="1"/>
  <c r="AH222" i="1" s="1"/>
  <c r="AG223" i="1"/>
  <c r="AH223" i="1" s="1"/>
  <c r="AG224" i="1"/>
  <c r="AH224" i="1" s="1"/>
  <c r="AG225" i="1"/>
  <c r="AH225" i="1" s="1"/>
  <c r="AG226" i="1"/>
  <c r="AH226" i="1" s="1"/>
  <c r="AG227" i="1"/>
  <c r="AH227" i="1" s="1"/>
  <c r="AG228" i="1"/>
  <c r="AH228" i="1" s="1"/>
  <c r="AG229" i="1"/>
  <c r="AH229" i="1" s="1"/>
  <c r="AG230" i="1"/>
  <c r="AH230" i="1" s="1"/>
  <c r="AG231" i="1"/>
  <c r="AH231" i="1" s="1"/>
  <c r="AG232" i="1"/>
  <c r="AH232" i="1" s="1"/>
  <c r="AG233" i="1"/>
  <c r="AH233" i="1" s="1"/>
  <c r="AG234" i="1"/>
  <c r="AH234" i="1" s="1"/>
  <c r="AG235" i="1"/>
  <c r="AH235" i="1" s="1"/>
  <c r="AG236" i="1"/>
  <c r="AH236" i="1" s="1"/>
  <c r="AG237" i="1"/>
  <c r="AH237" i="1" s="1"/>
  <c r="AG238" i="1"/>
  <c r="AH238" i="1" s="1"/>
  <c r="AG239" i="1"/>
  <c r="AH239" i="1" s="1"/>
  <c r="AG240" i="1"/>
  <c r="AH240" i="1" s="1"/>
  <c r="AG241" i="1"/>
  <c r="AH241" i="1" s="1"/>
  <c r="AG242" i="1"/>
  <c r="AH242" i="1" s="1"/>
  <c r="AG243" i="1"/>
  <c r="AH243" i="1" s="1"/>
  <c r="AG244" i="1"/>
  <c r="AH244" i="1" s="1"/>
  <c r="AG245" i="1"/>
  <c r="AH245" i="1" s="1"/>
  <c r="AG246" i="1"/>
  <c r="AH246" i="1" s="1"/>
  <c r="AG247" i="1"/>
  <c r="AH247" i="1" s="1"/>
  <c r="AG248" i="1"/>
  <c r="AH248" i="1" s="1"/>
  <c r="AG249" i="1"/>
  <c r="AH249" i="1" s="1"/>
  <c r="AG250" i="1"/>
  <c r="AH250" i="1" s="1"/>
  <c r="AG251" i="1"/>
  <c r="AH251" i="1" s="1"/>
  <c r="AG252" i="1"/>
  <c r="AH252" i="1" s="1"/>
  <c r="AG253" i="1"/>
  <c r="AH253" i="1" s="1"/>
  <c r="AG254" i="1"/>
  <c r="AH254" i="1" s="1"/>
  <c r="AG255" i="1"/>
  <c r="AH255" i="1" s="1"/>
  <c r="AG256" i="1"/>
  <c r="AH256" i="1" s="1"/>
  <c r="AG257" i="1"/>
  <c r="AH257" i="1" s="1"/>
  <c r="AG258" i="1"/>
  <c r="AH258" i="1" s="1"/>
  <c r="AG259" i="1"/>
  <c r="AH259" i="1" s="1"/>
  <c r="AG260" i="1"/>
  <c r="AH260" i="1" s="1"/>
  <c r="AG261" i="1"/>
  <c r="AH261" i="1" s="1"/>
  <c r="AG262" i="1"/>
  <c r="AH262" i="1" s="1"/>
  <c r="AG263" i="1"/>
  <c r="AH263" i="1" s="1"/>
  <c r="AG264" i="1"/>
  <c r="AH264" i="1" s="1"/>
  <c r="AG265" i="1"/>
  <c r="AH265" i="1" s="1"/>
  <c r="AG266" i="1"/>
  <c r="AH266" i="1" s="1"/>
  <c r="AG267" i="1"/>
  <c r="AH267" i="1" s="1"/>
  <c r="AG268" i="1"/>
  <c r="AH268" i="1" s="1"/>
  <c r="AG269" i="1"/>
  <c r="AH269" i="1" s="1"/>
  <c r="AG270" i="1"/>
  <c r="AH270" i="1" s="1"/>
  <c r="AG271" i="1"/>
  <c r="AH271" i="1" s="1"/>
  <c r="AG272" i="1"/>
  <c r="AH272" i="1" s="1"/>
  <c r="AG273" i="1"/>
  <c r="AH273" i="1" s="1"/>
  <c r="AG274" i="1"/>
  <c r="AH274" i="1" s="1"/>
  <c r="AG275" i="1"/>
  <c r="AH275" i="1" s="1"/>
  <c r="AG276" i="1"/>
  <c r="AH276" i="1" s="1"/>
  <c r="AG277" i="1"/>
  <c r="AH277" i="1" s="1"/>
  <c r="AG278" i="1"/>
  <c r="AH278" i="1" s="1"/>
  <c r="AG279" i="1"/>
  <c r="AH279" i="1" s="1"/>
  <c r="AG280" i="1"/>
  <c r="AH280" i="1" s="1"/>
  <c r="AG281" i="1"/>
  <c r="AH281" i="1" s="1"/>
  <c r="AG282" i="1"/>
  <c r="AH282" i="1" s="1"/>
  <c r="AG283" i="1"/>
  <c r="AH283" i="1" s="1"/>
  <c r="AG284" i="1"/>
  <c r="AH284" i="1" s="1"/>
  <c r="AG285" i="1"/>
  <c r="AH285" i="1" s="1"/>
  <c r="AG286" i="1"/>
  <c r="AH286" i="1" s="1"/>
  <c r="AG287" i="1"/>
  <c r="AH287" i="1" s="1"/>
  <c r="AG288" i="1"/>
  <c r="AH288" i="1" s="1"/>
  <c r="AG289" i="1"/>
  <c r="AH289" i="1" s="1"/>
  <c r="AG290" i="1"/>
  <c r="AH290" i="1" s="1"/>
  <c r="AG291" i="1"/>
  <c r="AH291" i="1" s="1"/>
  <c r="AG292" i="1"/>
  <c r="AH292" i="1" s="1"/>
  <c r="AG293" i="1"/>
  <c r="AH293" i="1" s="1"/>
  <c r="AG294" i="1"/>
  <c r="AH294" i="1" s="1"/>
  <c r="AG295" i="1"/>
  <c r="AH295" i="1" s="1"/>
  <c r="AG296" i="1"/>
  <c r="AH296" i="1" s="1"/>
  <c r="AG297" i="1"/>
  <c r="AH297" i="1" s="1"/>
  <c r="AG298" i="1"/>
  <c r="AH298" i="1" s="1"/>
  <c r="AG299" i="1"/>
  <c r="AH299" i="1" s="1"/>
  <c r="AG300" i="1"/>
  <c r="AH300" i="1" s="1"/>
  <c r="AG301" i="1"/>
  <c r="AH301" i="1" s="1"/>
  <c r="AG302" i="1"/>
  <c r="AH302" i="1" s="1"/>
  <c r="AG303" i="1"/>
  <c r="AH303" i="1" s="1"/>
  <c r="AG304" i="1"/>
  <c r="AH304" i="1" s="1"/>
  <c r="AG305" i="1"/>
  <c r="AH305" i="1" s="1"/>
  <c r="AG306" i="1"/>
  <c r="AH306" i="1" s="1"/>
  <c r="AG307" i="1"/>
  <c r="AH307" i="1" s="1"/>
  <c r="AG308" i="1"/>
  <c r="AH308" i="1" s="1"/>
  <c r="AG309" i="1"/>
  <c r="AH309" i="1" s="1"/>
  <c r="AG310" i="1"/>
  <c r="AH310" i="1" s="1"/>
  <c r="AG311" i="1"/>
  <c r="AH311" i="1" s="1"/>
  <c r="AG312" i="1"/>
  <c r="AH312" i="1" s="1"/>
  <c r="AG313" i="1"/>
  <c r="AH313" i="1" s="1"/>
  <c r="AG314" i="1"/>
  <c r="AH314" i="1" s="1"/>
  <c r="AG315" i="1"/>
  <c r="AH315" i="1" s="1"/>
  <c r="AG316" i="1"/>
  <c r="AH316" i="1" s="1"/>
  <c r="AG317" i="1"/>
  <c r="AH317" i="1" s="1"/>
  <c r="AG318" i="1"/>
  <c r="AH318" i="1" s="1"/>
  <c r="AG319" i="1"/>
  <c r="AH319" i="1" s="1"/>
  <c r="AG320" i="1"/>
  <c r="AH320" i="1" s="1"/>
  <c r="AG321" i="1"/>
  <c r="AH321" i="1" s="1"/>
  <c r="AG322" i="1"/>
  <c r="AH322" i="1" s="1"/>
  <c r="AG323" i="1"/>
  <c r="AH323" i="1" s="1"/>
  <c r="AG324" i="1"/>
  <c r="AH324" i="1" s="1"/>
  <c r="AG325" i="1"/>
  <c r="AH325" i="1" s="1"/>
  <c r="AG326" i="1"/>
  <c r="AH326" i="1" s="1"/>
  <c r="AG327" i="1"/>
  <c r="AH327" i="1" s="1"/>
  <c r="AG328" i="1"/>
  <c r="AH328" i="1" s="1"/>
  <c r="AG329" i="1"/>
  <c r="AH329" i="1" s="1"/>
  <c r="AG330" i="1"/>
  <c r="AH330" i="1" s="1"/>
  <c r="AG331" i="1"/>
  <c r="AH331" i="1" s="1"/>
  <c r="AG332" i="1"/>
  <c r="AH332" i="1" s="1"/>
  <c r="AG333" i="1"/>
  <c r="AH333" i="1" s="1"/>
  <c r="AG334" i="1"/>
  <c r="AH334" i="1" s="1"/>
  <c r="AG335" i="1"/>
  <c r="AH335" i="1" s="1"/>
  <c r="AG336" i="1"/>
  <c r="AH336" i="1" s="1"/>
  <c r="AG337" i="1"/>
  <c r="AH337" i="1" s="1"/>
  <c r="AG338" i="1"/>
  <c r="AH338" i="1" s="1"/>
  <c r="AG339" i="1"/>
  <c r="AH339" i="1" s="1"/>
  <c r="AG340" i="1"/>
  <c r="AH340" i="1" s="1"/>
  <c r="AG341" i="1"/>
  <c r="AH341" i="1" s="1"/>
  <c r="AG342" i="1"/>
  <c r="AH342" i="1" s="1"/>
  <c r="AG343" i="1"/>
  <c r="AH343" i="1" s="1"/>
  <c r="AG344" i="1"/>
  <c r="AH344" i="1" s="1"/>
  <c r="AG345" i="1"/>
  <c r="AH345" i="1" s="1"/>
  <c r="AG346" i="1"/>
  <c r="AH346" i="1" s="1"/>
  <c r="AG347" i="1"/>
  <c r="AH347" i="1" s="1"/>
  <c r="AG348" i="1"/>
  <c r="AH348" i="1" s="1"/>
  <c r="AG349" i="1"/>
  <c r="AH349" i="1" s="1"/>
  <c r="AG350" i="1"/>
  <c r="AH350" i="1" s="1"/>
  <c r="AG351" i="1"/>
  <c r="AH351" i="1" s="1"/>
  <c r="AG352" i="1"/>
  <c r="AH352" i="1" s="1"/>
  <c r="AG353" i="1"/>
  <c r="AH353" i="1" s="1"/>
  <c r="AG354" i="1"/>
  <c r="AH354" i="1" s="1"/>
  <c r="AG355" i="1"/>
  <c r="AH355" i="1" s="1"/>
  <c r="AG356" i="1"/>
  <c r="AH356" i="1" s="1"/>
  <c r="AG357" i="1"/>
  <c r="AH357" i="1" s="1"/>
  <c r="AG358" i="1"/>
  <c r="AH358" i="1" s="1"/>
  <c r="AG359" i="1"/>
  <c r="AH359" i="1" s="1"/>
  <c r="AG360" i="1"/>
  <c r="AH360" i="1" s="1"/>
  <c r="AG361" i="1"/>
  <c r="AH361" i="1" s="1"/>
  <c r="AG362" i="1"/>
  <c r="AH362" i="1" s="1"/>
  <c r="AG363" i="1"/>
  <c r="AH363" i="1" s="1"/>
  <c r="AG364" i="1"/>
  <c r="AH364" i="1" s="1"/>
  <c r="AG365" i="1"/>
  <c r="AH365" i="1" s="1"/>
  <c r="AG366" i="1"/>
  <c r="AH366" i="1" s="1"/>
  <c r="AG367" i="1"/>
  <c r="AH367" i="1" s="1"/>
  <c r="AG368" i="1"/>
  <c r="AH368" i="1" s="1"/>
  <c r="AG369" i="1"/>
  <c r="AH369" i="1" s="1"/>
  <c r="AG370" i="1"/>
  <c r="AH370" i="1" s="1"/>
  <c r="AG371" i="1"/>
  <c r="AH371" i="1" s="1"/>
  <c r="AG372" i="1"/>
  <c r="AH372" i="1" s="1"/>
  <c r="AG373" i="1"/>
  <c r="AH373" i="1" s="1"/>
  <c r="AG374" i="1"/>
  <c r="AH374" i="1" s="1"/>
  <c r="AG375" i="1"/>
  <c r="AH375" i="1" s="1"/>
  <c r="AG376" i="1"/>
  <c r="AH376" i="1" s="1"/>
  <c r="AG377" i="1"/>
  <c r="AH377" i="1" s="1"/>
  <c r="AG378" i="1"/>
  <c r="AH378" i="1" s="1"/>
  <c r="AG379" i="1"/>
  <c r="AH379" i="1" s="1"/>
  <c r="AG380" i="1"/>
  <c r="AH380" i="1" s="1"/>
  <c r="AG381" i="1"/>
  <c r="AH381" i="1" s="1"/>
  <c r="AG382" i="1"/>
  <c r="AH382" i="1" s="1"/>
  <c r="AG383" i="1"/>
  <c r="AH383" i="1" s="1"/>
  <c r="AG384" i="1"/>
  <c r="AH384" i="1" s="1"/>
  <c r="AG385" i="1"/>
  <c r="AH385" i="1" s="1"/>
  <c r="AG386" i="1"/>
  <c r="AH386" i="1" s="1"/>
  <c r="AG387" i="1"/>
  <c r="AH387" i="1" s="1"/>
  <c r="AG388" i="1"/>
  <c r="AH388" i="1" s="1"/>
  <c r="AG389" i="1"/>
  <c r="AH389" i="1" s="1"/>
  <c r="AG390" i="1"/>
  <c r="AH390" i="1" s="1"/>
  <c r="AG391" i="1"/>
  <c r="AH391" i="1" s="1"/>
  <c r="AG392" i="1"/>
  <c r="AH392" i="1" s="1"/>
  <c r="AG393" i="1"/>
  <c r="AH393" i="1" s="1"/>
  <c r="AG394" i="1"/>
  <c r="AH394" i="1" s="1"/>
  <c r="AG395" i="1"/>
  <c r="AH395" i="1" s="1"/>
  <c r="AG396" i="1"/>
  <c r="AH396" i="1" s="1"/>
  <c r="AG397" i="1"/>
  <c r="AH397" i="1" s="1"/>
  <c r="AG398" i="1"/>
  <c r="AH398" i="1" s="1"/>
  <c r="AG399" i="1"/>
  <c r="AH399" i="1" s="1"/>
  <c r="AG400" i="1"/>
  <c r="AH400" i="1" s="1"/>
  <c r="AG401" i="1"/>
  <c r="AH401" i="1" s="1"/>
  <c r="AG402" i="1"/>
  <c r="AH402" i="1" s="1"/>
  <c r="AG403" i="1"/>
  <c r="AH403" i="1" s="1"/>
  <c r="AG404" i="1"/>
  <c r="AH404" i="1" s="1"/>
  <c r="AG405" i="1"/>
  <c r="AH405" i="1" s="1"/>
  <c r="AG406" i="1"/>
  <c r="AH406" i="1" s="1"/>
  <c r="AG407" i="1"/>
  <c r="AH407" i="1" s="1"/>
  <c r="AG408" i="1"/>
  <c r="AH408" i="1" s="1"/>
  <c r="AG409" i="1"/>
  <c r="AH409" i="1" s="1"/>
  <c r="AG410" i="1"/>
  <c r="AH410" i="1" s="1"/>
  <c r="AG411" i="1"/>
  <c r="AH411" i="1" s="1"/>
  <c r="AG412" i="1"/>
  <c r="AH412" i="1" s="1"/>
  <c r="AG413" i="1"/>
  <c r="AH413" i="1" s="1"/>
  <c r="AG414" i="1"/>
  <c r="AH414" i="1" s="1"/>
  <c r="AG415" i="1"/>
  <c r="AH415" i="1" s="1"/>
  <c r="AG416" i="1"/>
  <c r="AH416" i="1" s="1"/>
  <c r="AG417" i="1"/>
  <c r="AH417" i="1" s="1"/>
  <c r="AG418" i="1"/>
  <c r="AH418" i="1" s="1"/>
  <c r="AG419" i="1"/>
  <c r="AH419" i="1" s="1"/>
  <c r="AG420" i="1"/>
  <c r="AH420" i="1" s="1"/>
  <c r="AG421" i="1"/>
  <c r="AH421" i="1" s="1"/>
  <c r="AG422" i="1"/>
  <c r="AH422" i="1" s="1"/>
  <c r="AG423" i="1"/>
  <c r="AH423" i="1" s="1"/>
  <c r="AG424" i="1"/>
  <c r="AH424" i="1" s="1"/>
  <c r="AG425" i="1"/>
  <c r="AH425" i="1" s="1"/>
  <c r="AG426" i="1"/>
  <c r="AH426" i="1" s="1"/>
  <c r="AG427" i="1"/>
  <c r="AH427" i="1" s="1"/>
  <c r="AG428" i="1"/>
  <c r="AH428" i="1" s="1"/>
  <c r="AG429" i="1"/>
  <c r="AH429" i="1" s="1"/>
  <c r="AG430" i="1"/>
  <c r="AH430" i="1" s="1"/>
  <c r="AG431" i="1"/>
  <c r="AH431" i="1" s="1"/>
  <c r="AG432" i="1"/>
  <c r="AH432" i="1" s="1"/>
  <c r="AG433" i="1"/>
  <c r="AH433" i="1" s="1"/>
  <c r="AG434" i="1"/>
  <c r="AH434" i="1" s="1"/>
  <c r="AG435" i="1"/>
  <c r="AH435" i="1" s="1"/>
  <c r="AG436" i="1"/>
  <c r="AH436" i="1" s="1"/>
  <c r="AG437" i="1"/>
  <c r="AH437" i="1" s="1"/>
  <c r="AG438" i="1"/>
  <c r="AH438" i="1" s="1"/>
  <c r="AG439" i="1"/>
  <c r="AH439" i="1" s="1"/>
  <c r="AG440" i="1"/>
  <c r="AH440" i="1" s="1"/>
  <c r="AG441" i="1"/>
  <c r="AH441" i="1" s="1"/>
  <c r="AG442" i="1"/>
  <c r="AH442" i="1" s="1"/>
  <c r="AG443" i="1"/>
  <c r="AH443" i="1" s="1"/>
  <c r="AG444" i="1"/>
  <c r="AH444" i="1" s="1"/>
  <c r="AG445" i="1"/>
  <c r="AH445" i="1" s="1"/>
  <c r="AG446" i="1"/>
  <c r="AH446" i="1" s="1"/>
  <c r="AG447" i="1"/>
  <c r="AH447" i="1" s="1"/>
  <c r="AG448" i="1"/>
  <c r="AH448" i="1" s="1"/>
  <c r="AG449" i="1"/>
  <c r="AH449" i="1" s="1"/>
  <c r="AG450" i="1"/>
  <c r="AH450" i="1" s="1"/>
  <c r="AG451" i="1"/>
  <c r="AH451" i="1" s="1"/>
  <c r="AG452" i="1"/>
  <c r="AH452" i="1" s="1"/>
  <c r="AG453" i="1"/>
  <c r="AH453" i="1" s="1"/>
  <c r="AG454" i="1"/>
  <c r="AH454" i="1" s="1"/>
  <c r="AG455" i="1"/>
  <c r="AH455" i="1" s="1"/>
  <c r="AG456" i="1"/>
  <c r="AH456" i="1" s="1"/>
  <c r="AG457" i="1"/>
  <c r="AH457" i="1" s="1"/>
  <c r="AG458" i="1"/>
  <c r="AH458" i="1" s="1"/>
  <c r="AG459" i="1"/>
  <c r="AH459" i="1" s="1"/>
  <c r="AG460" i="1"/>
  <c r="AH460" i="1" s="1"/>
  <c r="AG461" i="1"/>
  <c r="AH461" i="1" s="1"/>
  <c r="AG462" i="1"/>
  <c r="AH462" i="1" s="1"/>
  <c r="AG463" i="1"/>
  <c r="AH463" i="1" s="1"/>
  <c r="AG464" i="1"/>
  <c r="AH464" i="1" s="1"/>
  <c r="AG465" i="1"/>
  <c r="AH465" i="1" s="1"/>
  <c r="AG466" i="1"/>
  <c r="AH466" i="1" s="1"/>
  <c r="AG467" i="1"/>
  <c r="AH467" i="1" s="1"/>
  <c r="AG468" i="1"/>
  <c r="AH468" i="1" s="1"/>
  <c r="AG469" i="1"/>
  <c r="AH469" i="1" s="1"/>
  <c r="AG470" i="1"/>
  <c r="AH470" i="1" s="1"/>
  <c r="AG471" i="1"/>
  <c r="AH471" i="1" s="1"/>
  <c r="AG472" i="1"/>
  <c r="AH472" i="1" s="1"/>
  <c r="AG473" i="1"/>
  <c r="AH473" i="1" s="1"/>
  <c r="AG474" i="1"/>
  <c r="AH474" i="1" s="1"/>
  <c r="AG475" i="1"/>
  <c r="AH475" i="1" s="1"/>
  <c r="AG476" i="1"/>
  <c r="AH476" i="1" s="1"/>
  <c r="AG477" i="1"/>
  <c r="AH477" i="1" s="1"/>
  <c r="AG478" i="1"/>
  <c r="AH478" i="1" s="1"/>
  <c r="AG479" i="1"/>
  <c r="AH479" i="1" s="1"/>
  <c r="AG480" i="1"/>
  <c r="AH480" i="1" s="1"/>
  <c r="AG481" i="1"/>
  <c r="AH481" i="1" s="1"/>
  <c r="AG482" i="1"/>
  <c r="AH482" i="1" s="1"/>
  <c r="AG483" i="1"/>
  <c r="AH483" i="1" s="1"/>
  <c r="AG484" i="1"/>
  <c r="AH484" i="1" s="1"/>
  <c r="AG485" i="1"/>
  <c r="AH485" i="1" s="1"/>
  <c r="AG486" i="1"/>
  <c r="AH486" i="1" s="1"/>
  <c r="AG487" i="1"/>
  <c r="AH487" i="1" s="1"/>
  <c r="AG488" i="1"/>
  <c r="AH488" i="1" s="1"/>
  <c r="AG489" i="1"/>
  <c r="AH489" i="1" s="1"/>
  <c r="AG490" i="1"/>
  <c r="AH490" i="1" s="1"/>
  <c r="AG491" i="1"/>
  <c r="AH491" i="1" s="1"/>
  <c r="AG492" i="1"/>
  <c r="AH492" i="1" s="1"/>
  <c r="AG493" i="1"/>
  <c r="AH493" i="1" s="1"/>
  <c r="AG494" i="1"/>
  <c r="AH494" i="1" s="1"/>
  <c r="AG495" i="1"/>
  <c r="AH495" i="1" s="1"/>
  <c r="AG496" i="1"/>
  <c r="AH496" i="1" s="1"/>
  <c r="AG497" i="1"/>
  <c r="AH497" i="1" s="1"/>
  <c r="AG498" i="1"/>
  <c r="AH498" i="1" s="1"/>
  <c r="AG499" i="1"/>
  <c r="AH499" i="1" s="1"/>
  <c r="AG500" i="1"/>
  <c r="AH500" i="1" s="1"/>
  <c r="AG501" i="1"/>
  <c r="AH501" i="1" s="1"/>
  <c r="AG502" i="1"/>
  <c r="AH502" i="1" s="1"/>
  <c r="AG503" i="1"/>
  <c r="AH503" i="1" s="1"/>
  <c r="AG504" i="1"/>
  <c r="AH504" i="1" s="1"/>
  <c r="AG505" i="1"/>
  <c r="AH505" i="1" s="1"/>
  <c r="AG506" i="1"/>
  <c r="AH506" i="1" s="1"/>
  <c r="AG507" i="1"/>
  <c r="AH507" i="1" s="1"/>
  <c r="AG508" i="1"/>
  <c r="AH508" i="1" s="1"/>
  <c r="AG509" i="1"/>
  <c r="AH509" i="1" s="1"/>
  <c r="AG510" i="1"/>
  <c r="AH510" i="1" s="1"/>
  <c r="AG511" i="1"/>
  <c r="AH511" i="1" s="1"/>
  <c r="AG512" i="1"/>
  <c r="AH512" i="1" s="1"/>
  <c r="AG513" i="1"/>
  <c r="AH513" i="1" s="1"/>
  <c r="AG514" i="1"/>
  <c r="AH514" i="1" s="1"/>
  <c r="AG515" i="1"/>
  <c r="AH515" i="1" s="1"/>
  <c r="AG516" i="1"/>
  <c r="AH516" i="1" s="1"/>
  <c r="AG517" i="1"/>
  <c r="AH517" i="1" s="1"/>
  <c r="AG518" i="1"/>
  <c r="AH518" i="1" s="1"/>
  <c r="AG519" i="1"/>
  <c r="AH519" i="1" s="1"/>
  <c r="AG520" i="1"/>
  <c r="AH520" i="1" s="1"/>
  <c r="AG521" i="1"/>
  <c r="AH521" i="1" s="1"/>
  <c r="AG522" i="1"/>
  <c r="AH522" i="1" s="1"/>
  <c r="AG523" i="1"/>
  <c r="AH523" i="1" s="1"/>
  <c r="AG524" i="1"/>
  <c r="AH524" i="1" s="1"/>
  <c r="AG525" i="1"/>
  <c r="AH525" i="1" s="1"/>
  <c r="AG526" i="1"/>
  <c r="AH526" i="1" s="1"/>
  <c r="AG527" i="1"/>
  <c r="AH527" i="1" s="1"/>
  <c r="AG528" i="1"/>
  <c r="AH528" i="1" s="1"/>
  <c r="AG529" i="1"/>
  <c r="AH529" i="1" s="1"/>
  <c r="AG530" i="1"/>
  <c r="AH530" i="1" s="1"/>
  <c r="AG531" i="1"/>
  <c r="AH531" i="1" s="1"/>
  <c r="AG532" i="1"/>
  <c r="AH532" i="1" s="1"/>
  <c r="AG533" i="1"/>
  <c r="AH533" i="1" s="1"/>
  <c r="AG534" i="1"/>
  <c r="AH534" i="1" s="1"/>
  <c r="AG535" i="1"/>
  <c r="AH535" i="1" s="1"/>
  <c r="AG536" i="1"/>
  <c r="AH536" i="1" s="1"/>
  <c r="AG537" i="1"/>
  <c r="AH537" i="1" s="1"/>
  <c r="AG538" i="1"/>
  <c r="AH538" i="1" s="1"/>
  <c r="AG539" i="1"/>
  <c r="AH539" i="1" s="1"/>
  <c r="AG540" i="1"/>
  <c r="AH540" i="1" s="1"/>
  <c r="AG541" i="1"/>
  <c r="AH541" i="1" s="1"/>
  <c r="AG542" i="1"/>
  <c r="AH542" i="1" s="1"/>
  <c r="AG543" i="1"/>
  <c r="AH543" i="1" s="1"/>
  <c r="AG544" i="1"/>
  <c r="AH544" i="1" s="1"/>
  <c r="AG545" i="1"/>
  <c r="AH545" i="1" s="1"/>
  <c r="AG546" i="1"/>
  <c r="AH546" i="1" s="1"/>
  <c r="AG547" i="1"/>
  <c r="AH547" i="1" s="1"/>
  <c r="AG548" i="1"/>
  <c r="AH548" i="1" s="1"/>
  <c r="AG549" i="1"/>
  <c r="AH549" i="1" s="1"/>
  <c r="AG550" i="1"/>
  <c r="AH550" i="1" s="1"/>
  <c r="AG551" i="1"/>
  <c r="AH551" i="1" s="1"/>
  <c r="AG552" i="1"/>
  <c r="AH552" i="1" s="1"/>
  <c r="AG553" i="1"/>
  <c r="AH553" i="1" s="1"/>
  <c r="AG554" i="1"/>
  <c r="AH554" i="1" s="1"/>
  <c r="AG555" i="1"/>
  <c r="AH555" i="1" s="1"/>
  <c r="AG556" i="1"/>
  <c r="AH556" i="1" s="1"/>
  <c r="AG557" i="1"/>
  <c r="AH557" i="1" s="1"/>
  <c r="AG558" i="1"/>
  <c r="AH558" i="1" s="1"/>
  <c r="AG559" i="1"/>
  <c r="AH559" i="1" s="1"/>
  <c r="AG560" i="1"/>
  <c r="AH560" i="1" s="1"/>
  <c r="AG561" i="1"/>
  <c r="AH561" i="1" s="1"/>
  <c r="AG562" i="1"/>
  <c r="AH562" i="1" s="1"/>
  <c r="AG563" i="1"/>
  <c r="AH563" i="1" s="1"/>
  <c r="AG564" i="1"/>
  <c r="AH564" i="1" s="1"/>
  <c r="AG565" i="1"/>
  <c r="AH565" i="1" s="1"/>
  <c r="AG566" i="1"/>
  <c r="AH566" i="1" s="1"/>
  <c r="AG567" i="1"/>
  <c r="AH567" i="1" s="1"/>
  <c r="AG568" i="1"/>
  <c r="AH568" i="1" s="1"/>
  <c r="AG569" i="1"/>
  <c r="AH569" i="1" s="1"/>
  <c r="AG570" i="1"/>
  <c r="AH570" i="1" s="1"/>
  <c r="AG571" i="1"/>
  <c r="AH571" i="1" s="1"/>
  <c r="AG572" i="1"/>
  <c r="AH572" i="1" s="1"/>
  <c r="AG573" i="1"/>
  <c r="AH573" i="1" s="1"/>
  <c r="AG574" i="1"/>
  <c r="AH574" i="1" s="1"/>
  <c r="AG575" i="1"/>
  <c r="AH575" i="1" s="1"/>
  <c r="AG576" i="1"/>
  <c r="AH576" i="1" s="1"/>
  <c r="AG577" i="1"/>
  <c r="AH577" i="1" s="1"/>
  <c r="AG578" i="1"/>
  <c r="AH578" i="1" s="1"/>
  <c r="AG579" i="1"/>
  <c r="AH579" i="1" s="1"/>
  <c r="AG580" i="1"/>
  <c r="AH580" i="1" s="1"/>
  <c r="AG581" i="1"/>
  <c r="AH581" i="1" s="1"/>
  <c r="AG582" i="1"/>
  <c r="AH582" i="1" s="1"/>
  <c r="AG583" i="1"/>
  <c r="AH583" i="1" s="1"/>
  <c r="AG584" i="1"/>
  <c r="AH584" i="1" s="1"/>
  <c r="AG585" i="1"/>
  <c r="AH585" i="1" s="1"/>
  <c r="AG586" i="1"/>
  <c r="AH586" i="1" s="1"/>
  <c r="AG587" i="1"/>
  <c r="AH587" i="1" s="1"/>
  <c r="AG588" i="1"/>
  <c r="AH588" i="1" s="1"/>
  <c r="AG589" i="1"/>
  <c r="AH589" i="1" s="1"/>
  <c r="AG590" i="1"/>
  <c r="AH590" i="1" s="1"/>
  <c r="AG591" i="1"/>
  <c r="AH591" i="1" s="1"/>
  <c r="AG592" i="1"/>
  <c r="AH592" i="1" s="1"/>
  <c r="AG593" i="1"/>
  <c r="AH593" i="1" s="1"/>
  <c r="AG594" i="1"/>
  <c r="AH594" i="1" s="1"/>
  <c r="AG595" i="1"/>
  <c r="AH595" i="1" s="1"/>
  <c r="AG596" i="1"/>
  <c r="AH596" i="1" s="1"/>
  <c r="AG597" i="1"/>
  <c r="AH597" i="1" s="1"/>
  <c r="AG598" i="1"/>
  <c r="AH598" i="1" s="1"/>
  <c r="AG599" i="1"/>
  <c r="AH599" i="1" s="1"/>
  <c r="AG600" i="1"/>
  <c r="AH600" i="1" s="1"/>
  <c r="AG601" i="1"/>
  <c r="AH601" i="1" s="1"/>
  <c r="AG602" i="1"/>
  <c r="AH602" i="1" s="1"/>
  <c r="AG603" i="1"/>
  <c r="AH603" i="1" s="1"/>
  <c r="AG604" i="1"/>
  <c r="AH604" i="1" s="1"/>
  <c r="AG605" i="1"/>
  <c r="AH605" i="1" s="1"/>
  <c r="AG606" i="1"/>
  <c r="AH606" i="1" s="1"/>
  <c r="AG607" i="1"/>
  <c r="AH607" i="1" s="1"/>
  <c r="AG608" i="1"/>
  <c r="AH608" i="1" s="1"/>
  <c r="AG609" i="1"/>
  <c r="AH609" i="1" s="1"/>
  <c r="AG610" i="1"/>
  <c r="AH610" i="1" s="1"/>
  <c r="AG611" i="1"/>
  <c r="AH611" i="1" s="1"/>
  <c r="AG612" i="1"/>
  <c r="AH612" i="1" s="1"/>
  <c r="AG613" i="1"/>
  <c r="AH613" i="1" s="1"/>
  <c r="AG614" i="1"/>
  <c r="AH614" i="1" s="1"/>
  <c r="AG615" i="1"/>
  <c r="AH615" i="1" s="1"/>
  <c r="AG616" i="1"/>
  <c r="AH616" i="1" s="1"/>
  <c r="AG617" i="1"/>
  <c r="AH617" i="1" s="1"/>
  <c r="AG618" i="1"/>
  <c r="AH618" i="1" s="1"/>
  <c r="AG619" i="1"/>
  <c r="AH619" i="1" s="1"/>
  <c r="AG620" i="1"/>
  <c r="AH620" i="1" s="1"/>
  <c r="AG621" i="1"/>
  <c r="AH621" i="1" s="1"/>
  <c r="AG622" i="1"/>
  <c r="AH622" i="1" s="1"/>
  <c r="AG623" i="1"/>
  <c r="AH623" i="1" s="1"/>
  <c r="AG624" i="1"/>
  <c r="AH624" i="1" s="1"/>
  <c r="AG625" i="1"/>
  <c r="AH625" i="1" s="1"/>
  <c r="AG626" i="1"/>
  <c r="AH626" i="1" s="1"/>
  <c r="AG627" i="1"/>
  <c r="AH627" i="1" s="1"/>
  <c r="AG628" i="1"/>
  <c r="AH628" i="1" s="1"/>
  <c r="AG629" i="1"/>
  <c r="AH629" i="1" s="1"/>
  <c r="AG630" i="1"/>
  <c r="AH630" i="1" s="1"/>
  <c r="AG631" i="1"/>
  <c r="AH631" i="1" s="1"/>
  <c r="AG632" i="1"/>
  <c r="AH632" i="1" s="1"/>
  <c r="AG633" i="1"/>
  <c r="AH633" i="1" s="1"/>
  <c r="AG634" i="1"/>
  <c r="AH634" i="1" s="1"/>
  <c r="AG635" i="1"/>
  <c r="AH635" i="1" s="1"/>
  <c r="AG636" i="1"/>
  <c r="AH636" i="1" s="1"/>
  <c r="AG637" i="1"/>
  <c r="AH637" i="1" s="1"/>
  <c r="AG638" i="1"/>
  <c r="AH638" i="1" s="1"/>
  <c r="AG639" i="1"/>
  <c r="AH639" i="1" s="1"/>
  <c r="AG640" i="1"/>
  <c r="AH640" i="1" s="1"/>
  <c r="AG641" i="1"/>
  <c r="AH641" i="1" s="1"/>
  <c r="AG642" i="1"/>
  <c r="AH642" i="1" s="1"/>
  <c r="AG643" i="1"/>
  <c r="AH643" i="1" s="1"/>
  <c r="AG644" i="1"/>
  <c r="AH644" i="1" s="1"/>
  <c r="AG645" i="1"/>
  <c r="AH645" i="1" s="1"/>
  <c r="AG646" i="1"/>
  <c r="AH646" i="1" s="1"/>
  <c r="AG647" i="1"/>
  <c r="AH647" i="1" s="1"/>
  <c r="AG648" i="1"/>
  <c r="AH648" i="1" s="1"/>
  <c r="AG649" i="1"/>
  <c r="AH649" i="1" s="1"/>
  <c r="AG650" i="1"/>
  <c r="AH650" i="1" s="1"/>
  <c r="AG651" i="1"/>
  <c r="AH651" i="1" s="1"/>
  <c r="AG652" i="1"/>
  <c r="AH652" i="1" s="1"/>
  <c r="AG653" i="1"/>
  <c r="AH653" i="1" s="1"/>
  <c r="AG654" i="1"/>
  <c r="AH654" i="1" s="1"/>
  <c r="AG655" i="1"/>
  <c r="AH655" i="1" s="1"/>
  <c r="AG656" i="1"/>
  <c r="AH656" i="1" s="1"/>
  <c r="AG657" i="1"/>
  <c r="AH657" i="1" s="1"/>
  <c r="AG658" i="1"/>
  <c r="AH658" i="1" s="1"/>
  <c r="AG659" i="1"/>
  <c r="AH659" i="1" s="1"/>
  <c r="AG660" i="1"/>
  <c r="AH660" i="1" s="1"/>
  <c r="AG661" i="1"/>
  <c r="AH661" i="1" s="1"/>
  <c r="AG662" i="1"/>
  <c r="AH662" i="1" s="1"/>
  <c r="AG663" i="1"/>
  <c r="AH663" i="1" s="1"/>
  <c r="AG664" i="1"/>
  <c r="AH664" i="1" s="1"/>
  <c r="AG665" i="1"/>
  <c r="AH665" i="1" s="1"/>
  <c r="AG666" i="1"/>
  <c r="AH666" i="1" s="1"/>
  <c r="AG667" i="1"/>
  <c r="AH667" i="1" s="1"/>
  <c r="AG668" i="1"/>
  <c r="AH668" i="1" s="1"/>
  <c r="AG669" i="1"/>
  <c r="AH669" i="1" s="1"/>
  <c r="AG670" i="1"/>
  <c r="AH670" i="1" s="1"/>
  <c r="AG671" i="1"/>
  <c r="AH671" i="1" s="1"/>
  <c r="AG672" i="1"/>
  <c r="AH672" i="1" s="1"/>
  <c r="AG673" i="1"/>
  <c r="AH673" i="1" s="1"/>
  <c r="AG674" i="1"/>
  <c r="AH674" i="1" s="1"/>
  <c r="AG675" i="1"/>
  <c r="AH675" i="1" s="1"/>
  <c r="AG676" i="1"/>
  <c r="AH676" i="1" s="1"/>
  <c r="AG677" i="1"/>
  <c r="AH677" i="1" s="1"/>
  <c r="AG678" i="1"/>
  <c r="AH678" i="1" s="1"/>
  <c r="AG679" i="1"/>
  <c r="AH679" i="1" s="1"/>
  <c r="AG680" i="1"/>
  <c r="AH680" i="1" s="1"/>
  <c r="AG681" i="1"/>
  <c r="AH681" i="1" s="1"/>
  <c r="AG682" i="1"/>
  <c r="AH682" i="1" s="1"/>
  <c r="AG683" i="1"/>
  <c r="AH683" i="1" s="1"/>
  <c r="AG684" i="1"/>
  <c r="AH684" i="1" s="1"/>
  <c r="AG685" i="1"/>
  <c r="AH685" i="1" s="1"/>
  <c r="AG686" i="1"/>
  <c r="AH686" i="1" s="1"/>
  <c r="AG687" i="1"/>
  <c r="AH687" i="1" s="1"/>
  <c r="AG688" i="1"/>
  <c r="AH688" i="1" s="1"/>
  <c r="AG689" i="1"/>
  <c r="AH689" i="1" s="1"/>
  <c r="AG690" i="1"/>
  <c r="AH690" i="1" s="1"/>
  <c r="AG691" i="1"/>
  <c r="AH691" i="1" s="1"/>
  <c r="AG692" i="1"/>
  <c r="AH692" i="1" s="1"/>
  <c r="AG693" i="1"/>
  <c r="AH693" i="1" s="1"/>
  <c r="AG694" i="1"/>
  <c r="AH694" i="1" s="1"/>
  <c r="AG695" i="1"/>
  <c r="AH695" i="1" s="1"/>
  <c r="AG696" i="1"/>
  <c r="AH696" i="1" s="1"/>
  <c r="AG697" i="1"/>
  <c r="AH697" i="1" s="1"/>
  <c r="AG698" i="1"/>
  <c r="AH698" i="1" s="1"/>
  <c r="AG699" i="1"/>
  <c r="AH699" i="1" s="1"/>
  <c r="AG700" i="1"/>
  <c r="AH700" i="1" s="1"/>
  <c r="AG701" i="1"/>
  <c r="AH701" i="1" s="1"/>
  <c r="AG702" i="1"/>
  <c r="AH702" i="1" s="1"/>
  <c r="AG703" i="1"/>
  <c r="AH703" i="1" s="1"/>
  <c r="AG704" i="1"/>
  <c r="AH704" i="1" s="1"/>
  <c r="AG705" i="1"/>
  <c r="AH705" i="1" s="1"/>
  <c r="AG706" i="1"/>
  <c r="AH706" i="1" s="1"/>
  <c r="AG707" i="1"/>
  <c r="AH707" i="1" s="1"/>
  <c r="AG708" i="1"/>
  <c r="AH708" i="1" s="1"/>
  <c r="AG709" i="1"/>
  <c r="AH709" i="1" s="1"/>
  <c r="AG710" i="1"/>
  <c r="AH710" i="1" s="1"/>
  <c r="AG711" i="1"/>
  <c r="AH711" i="1" s="1"/>
  <c r="AG712" i="1"/>
  <c r="AH712" i="1" s="1"/>
  <c r="AG713" i="1"/>
  <c r="AH713" i="1" s="1"/>
  <c r="AG714" i="1"/>
  <c r="AH714" i="1" s="1"/>
  <c r="AG715" i="1"/>
  <c r="AH715" i="1" s="1"/>
  <c r="AG716" i="1"/>
  <c r="AH716" i="1" s="1"/>
  <c r="AG717" i="1"/>
  <c r="AH717" i="1" s="1"/>
  <c r="AG718" i="1"/>
  <c r="AH718" i="1" s="1"/>
  <c r="AG719" i="1"/>
  <c r="AH719" i="1" s="1"/>
  <c r="AG720" i="1"/>
  <c r="AH720" i="1" s="1"/>
  <c r="AG721" i="1"/>
  <c r="AH721" i="1" s="1"/>
  <c r="AG722" i="1"/>
  <c r="AH722" i="1" s="1"/>
  <c r="AG723" i="1"/>
  <c r="AH723" i="1" s="1"/>
  <c r="AG724" i="1"/>
  <c r="AH724" i="1" s="1"/>
  <c r="AG725" i="1"/>
  <c r="AH725" i="1" s="1"/>
  <c r="AG726" i="1"/>
  <c r="AH726" i="1" s="1"/>
  <c r="AG727" i="1"/>
  <c r="AH727" i="1" s="1"/>
  <c r="AG728" i="1"/>
  <c r="AH728" i="1" s="1"/>
  <c r="AG729" i="1"/>
  <c r="AH729" i="1" s="1"/>
  <c r="AG730" i="1"/>
  <c r="AH730" i="1" s="1"/>
  <c r="AG731" i="1"/>
  <c r="AH731" i="1" s="1"/>
  <c r="AG732" i="1"/>
  <c r="AH732" i="1" s="1"/>
  <c r="AG733" i="1"/>
  <c r="AH733" i="1" s="1"/>
  <c r="AG734" i="1"/>
  <c r="AH734" i="1" s="1"/>
  <c r="AG735" i="1"/>
  <c r="AH735" i="1" s="1"/>
  <c r="AG736" i="1"/>
  <c r="AH736" i="1" s="1"/>
  <c r="AG737" i="1"/>
  <c r="AH737" i="1" s="1"/>
  <c r="AG738" i="1"/>
  <c r="AH738" i="1" s="1"/>
  <c r="AG739" i="1"/>
  <c r="AH739" i="1" s="1"/>
  <c r="AG740" i="1"/>
  <c r="AH740" i="1" s="1"/>
  <c r="AG741" i="1"/>
  <c r="AH741" i="1" s="1"/>
  <c r="AG742" i="1"/>
  <c r="AH742" i="1" s="1"/>
  <c r="AG743" i="1"/>
  <c r="AH743" i="1" s="1"/>
  <c r="AG744" i="1"/>
  <c r="AH744" i="1" s="1"/>
  <c r="AG745" i="1"/>
  <c r="AH745" i="1" s="1"/>
  <c r="AG746" i="1"/>
  <c r="AH746" i="1" s="1"/>
  <c r="AG747" i="1"/>
  <c r="AH747" i="1" s="1"/>
  <c r="AG748" i="1"/>
  <c r="AH748" i="1" s="1"/>
  <c r="AG749" i="1"/>
  <c r="AH749" i="1" s="1"/>
  <c r="AG750" i="1"/>
  <c r="AH750" i="1" s="1"/>
  <c r="AG751" i="1"/>
  <c r="AH751" i="1" s="1"/>
  <c r="AG752" i="1"/>
  <c r="AH752" i="1" s="1"/>
  <c r="AG753" i="1"/>
  <c r="AH753" i="1" s="1"/>
  <c r="AG754" i="1"/>
  <c r="AH754" i="1" s="1"/>
  <c r="AG755" i="1"/>
  <c r="AH755" i="1" s="1"/>
  <c r="AG756" i="1"/>
  <c r="AH756" i="1" s="1"/>
  <c r="AG757" i="1"/>
  <c r="AH757" i="1" s="1"/>
  <c r="AG758" i="1"/>
  <c r="AH758" i="1" s="1"/>
  <c r="AG759" i="1"/>
  <c r="AH759" i="1" s="1"/>
  <c r="AG760" i="1"/>
  <c r="AH760" i="1" s="1"/>
  <c r="AG761" i="1"/>
  <c r="AH761" i="1" s="1"/>
  <c r="AG762" i="1"/>
  <c r="AH762" i="1" s="1"/>
  <c r="AG763" i="1"/>
  <c r="AH763" i="1" s="1"/>
  <c r="AG764" i="1"/>
  <c r="AH764" i="1" s="1"/>
  <c r="AG765" i="1"/>
  <c r="AH765" i="1" s="1"/>
  <c r="AG766" i="1"/>
  <c r="AH766" i="1" s="1"/>
  <c r="AG767" i="1"/>
  <c r="AH767" i="1" s="1"/>
  <c r="AG768" i="1"/>
  <c r="AH768" i="1" s="1"/>
  <c r="AG769" i="1"/>
  <c r="AH769" i="1" s="1"/>
  <c r="AG770" i="1"/>
  <c r="AH770" i="1" s="1"/>
  <c r="AG771" i="1"/>
  <c r="AH771" i="1" s="1"/>
  <c r="AG772" i="1"/>
  <c r="AH772" i="1" s="1"/>
  <c r="AG773" i="1"/>
  <c r="AH773" i="1" s="1"/>
  <c r="AG774" i="1"/>
  <c r="AH774" i="1" s="1"/>
  <c r="AG775" i="1"/>
  <c r="AH775" i="1" s="1"/>
  <c r="AG776" i="1"/>
  <c r="AH776" i="1" s="1"/>
  <c r="AG777" i="1"/>
  <c r="AH777" i="1" s="1"/>
  <c r="AG778" i="1"/>
  <c r="AH778" i="1" s="1"/>
  <c r="AG779" i="1"/>
  <c r="AH779" i="1" s="1"/>
  <c r="AG780" i="1"/>
  <c r="AH780" i="1" s="1"/>
  <c r="AG781" i="1"/>
  <c r="AH781" i="1" s="1"/>
  <c r="AG782" i="1"/>
  <c r="AH782" i="1" s="1"/>
  <c r="AG783" i="1"/>
  <c r="AH783" i="1" s="1"/>
  <c r="AG784" i="1"/>
  <c r="AH784" i="1" s="1"/>
  <c r="AG785" i="1"/>
  <c r="AH785" i="1" s="1"/>
  <c r="AG786" i="1"/>
  <c r="AH786" i="1" s="1"/>
  <c r="AG787" i="1"/>
  <c r="AH787" i="1" s="1"/>
  <c r="AG788" i="1"/>
  <c r="AH788" i="1" s="1"/>
  <c r="AG789" i="1"/>
  <c r="AH789" i="1" s="1"/>
  <c r="AG790" i="1"/>
  <c r="AH790" i="1" s="1"/>
  <c r="AG791" i="1"/>
  <c r="AH791" i="1" s="1"/>
  <c r="AG792" i="1"/>
  <c r="AH792" i="1" s="1"/>
  <c r="AG793" i="1"/>
  <c r="AH793" i="1" s="1"/>
  <c r="AG794" i="1"/>
  <c r="AH794" i="1" s="1"/>
  <c r="AG795" i="1"/>
  <c r="AH795" i="1" s="1"/>
  <c r="AG796" i="1"/>
  <c r="AH796" i="1" s="1"/>
  <c r="AG797" i="1"/>
  <c r="AH797" i="1" s="1"/>
  <c r="AG798" i="1"/>
  <c r="AH798" i="1" s="1"/>
  <c r="AG799" i="1"/>
  <c r="AH799" i="1" s="1"/>
  <c r="AG800" i="1"/>
  <c r="AH800" i="1" s="1"/>
  <c r="AG801" i="1"/>
  <c r="AH801" i="1" s="1"/>
  <c r="AG802" i="1"/>
  <c r="AH802" i="1" s="1"/>
  <c r="AG803" i="1"/>
  <c r="AH803" i="1" s="1"/>
  <c r="AG804" i="1"/>
  <c r="AH804" i="1" s="1"/>
  <c r="AG805" i="1"/>
  <c r="AH805" i="1" s="1"/>
  <c r="AG806" i="1"/>
  <c r="AH806" i="1" s="1"/>
  <c r="AG807" i="1"/>
  <c r="AH807" i="1" s="1"/>
  <c r="AG808" i="1"/>
  <c r="AH808" i="1" s="1"/>
  <c r="AG809" i="1"/>
  <c r="AH809" i="1" s="1"/>
  <c r="AG810" i="1"/>
  <c r="AH810" i="1" s="1"/>
  <c r="AG811" i="1"/>
  <c r="AH811" i="1" s="1"/>
  <c r="AG812" i="1"/>
  <c r="AH812" i="1" s="1"/>
  <c r="AG813" i="1"/>
  <c r="AH813" i="1" s="1"/>
  <c r="AG814" i="1"/>
  <c r="AH814" i="1" s="1"/>
  <c r="AG815" i="1"/>
  <c r="AH815" i="1" s="1"/>
  <c r="AG816" i="1"/>
  <c r="AH816" i="1" s="1"/>
  <c r="AG817" i="1"/>
  <c r="AH817" i="1" s="1"/>
  <c r="AG818" i="1"/>
  <c r="AH818" i="1" s="1"/>
  <c r="AG819" i="1"/>
  <c r="AH819" i="1" s="1"/>
  <c r="AG820" i="1"/>
  <c r="AH820" i="1" s="1"/>
  <c r="AG821" i="1"/>
  <c r="AH821" i="1" s="1"/>
  <c r="AG822" i="1"/>
  <c r="AH822" i="1" s="1"/>
  <c r="AG823" i="1"/>
  <c r="AH823" i="1" s="1"/>
  <c r="AG824" i="1"/>
  <c r="AH824" i="1" s="1"/>
  <c r="AG825" i="1"/>
  <c r="AH825" i="1" s="1"/>
  <c r="AG826" i="1"/>
  <c r="AH826" i="1" s="1"/>
  <c r="AG827" i="1"/>
  <c r="AH827" i="1" s="1"/>
  <c r="AG828" i="1"/>
  <c r="AH828" i="1" s="1"/>
  <c r="AG829" i="1"/>
  <c r="AH829" i="1" s="1"/>
  <c r="AG830" i="1"/>
  <c r="AH830" i="1" s="1"/>
  <c r="AG831" i="1"/>
  <c r="AH831" i="1" s="1"/>
  <c r="AG832" i="1"/>
  <c r="AH832" i="1" s="1"/>
  <c r="AG833" i="1"/>
  <c r="AH833" i="1" s="1"/>
  <c r="AG834" i="1"/>
  <c r="AH834" i="1" s="1"/>
  <c r="AG835" i="1"/>
  <c r="AH835" i="1" s="1"/>
  <c r="AG836" i="1"/>
  <c r="AH836" i="1" s="1"/>
  <c r="AG837" i="1"/>
  <c r="AH837" i="1" s="1"/>
  <c r="AG838" i="1"/>
  <c r="AH838" i="1" s="1"/>
  <c r="AG839" i="1"/>
  <c r="AH839" i="1" s="1"/>
  <c r="AG840" i="1"/>
  <c r="AH840" i="1" s="1"/>
  <c r="AG841" i="1"/>
  <c r="AH841" i="1" s="1"/>
  <c r="AG842" i="1"/>
  <c r="AH842" i="1" s="1"/>
  <c r="AG843" i="1"/>
  <c r="AH843" i="1" s="1"/>
  <c r="AG844" i="1"/>
  <c r="AH844" i="1" s="1"/>
  <c r="AG845" i="1"/>
  <c r="AH845" i="1" s="1"/>
  <c r="AG846" i="1"/>
  <c r="AH846" i="1" s="1"/>
  <c r="AG847" i="1"/>
  <c r="AH847" i="1" s="1"/>
  <c r="AG848" i="1"/>
  <c r="AH848" i="1" s="1"/>
  <c r="AG849" i="1"/>
  <c r="AH849" i="1" s="1"/>
  <c r="AG850" i="1"/>
  <c r="AH850" i="1" s="1"/>
  <c r="AG851" i="1"/>
  <c r="AH851" i="1" s="1"/>
  <c r="AG852" i="1"/>
  <c r="AH852" i="1" s="1"/>
  <c r="AG853" i="1"/>
  <c r="AH853" i="1" s="1"/>
  <c r="AG854" i="1"/>
  <c r="AH854" i="1" s="1"/>
  <c r="AG855" i="1"/>
  <c r="AH855" i="1" s="1"/>
  <c r="AG856" i="1"/>
  <c r="AH856" i="1" s="1"/>
  <c r="AG857" i="1"/>
  <c r="AH857" i="1" s="1"/>
  <c r="AG858" i="1"/>
  <c r="AH858" i="1" s="1"/>
  <c r="AG859" i="1"/>
  <c r="AH859" i="1" s="1"/>
  <c r="AG860" i="1"/>
  <c r="AH860" i="1" s="1"/>
  <c r="AG861" i="1"/>
  <c r="AH861" i="1" s="1"/>
  <c r="AG862" i="1"/>
  <c r="AH862" i="1" s="1"/>
  <c r="AG863" i="1"/>
  <c r="AH863" i="1" s="1"/>
  <c r="AG864" i="1"/>
  <c r="AH864" i="1" s="1"/>
  <c r="AG865" i="1"/>
  <c r="AH865" i="1" s="1"/>
  <c r="AG866" i="1"/>
  <c r="AH866" i="1" s="1"/>
  <c r="AG867" i="1"/>
  <c r="AH867" i="1" s="1"/>
  <c r="AG868" i="1"/>
  <c r="AH868" i="1" s="1"/>
  <c r="AG869" i="1"/>
  <c r="AH869" i="1" s="1"/>
  <c r="AG870" i="1"/>
  <c r="AH870" i="1" s="1"/>
  <c r="AG871" i="1"/>
  <c r="AH871" i="1" s="1"/>
  <c r="AG872" i="1"/>
  <c r="AH872" i="1" s="1"/>
  <c r="AG873" i="1"/>
  <c r="AH873" i="1" s="1"/>
  <c r="AG874" i="1"/>
  <c r="AH874" i="1" s="1"/>
  <c r="AG875" i="1"/>
  <c r="AH875" i="1" s="1"/>
  <c r="AG876" i="1"/>
  <c r="AH876" i="1" s="1"/>
  <c r="AG877" i="1"/>
  <c r="AH877" i="1" s="1"/>
  <c r="AG878" i="1"/>
  <c r="AH878" i="1" s="1"/>
  <c r="AG879" i="1"/>
  <c r="AH879" i="1" s="1"/>
  <c r="AG880" i="1"/>
  <c r="AH880" i="1" s="1"/>
  <c r="AG881" i="1"/>
  <c r="AH881" i="1" s="1"/>
  <c r="AG882" i="1"/>
  <c r="AH882" i="1" s="1"/>
  <c r="AG883" i="1"/>
  <c r="AH883" i="1" s="1"/>
  <c r="AG884" i="1"/>
  <c r="AH884" i="1" s="1"/>
  <c r="AG885" i="1"/>
  <c r="AH885" i="1" s="1"/>
  <c r="AG886" i="1"/>
  <c r="AH886" i="1" s="1"/>
  <c r="AG887" i="1"/>
  <c r="AH887" i="1" s="1"/>
  <c r="AG888" i="1"/>
  <c r="AH888" i="1" s="1"/>
  <c r="AG889" i="1"/>
  <c r="AH889" i="1" s="1"/>
  <c r="AG890" i="1"/>
  <c r="AH890" i="1" s="1"/>
  <c r="AG891" i="1"/>
  <c r="AH891" i="1" s="1"/>
  <c r="AG892" i="1"/>
  <c r="AH892" i="1" s="1"/>
  <c r="AG893" i="1"/>
  <c r="AH893" i="1" s="1"/>
  <c r="AG894" i="1"/>
  <c r="AH894" i="1" s="1"/>
  <c r="AG895" i="1"/>
  <c r="AH895" i="1" s="1"/>
  <c r="AG896" i="1"/>
  <c r="AH896" i="1" s="1"/>
  <c r="AG897" i="1"/>
  <c r="AH897" i="1" s="1"/>
  <c r="AG898" i="1"/>
  <c r="AH898" i="1" s="1"/>
  <c r="AG899" i="1"/>
  <c r="AH899" i="1" s="1"/>
  <c r="AG900" i="1"/>
  <c r="AH900" i="1" s="1"/>
  <c r="AG901" i="1"/>
  <c r="AH901" i="1" s="1"/>
  <c r="AG902" i="1"/>
  <c r="AH902" i="1" s="1"/>
  <c r="AG903" i="1"/>
  <c r="AH903" i="1" s="1"/>
  <c r="AG904" i="1"/>
  <c r="AH904" i="1" s="1"/>
  <c r="AG905" i="1"/>
  <c r="AH905" i="1" s="1"/>
  <c r="AG906" i="1"/>
  <c r="AH906" i="1" s="1"/>
  <c r="AG907" i="1"/>
  <c r="AH907" i="1" s="1"/>
  <c r="AG908" i="1"/>
  <c r="AH908" i="1" s="1"/>
  <c r="AG909" i="1"/>
  <c r="AH909" i="1" s="1"/>
  <c r="AG910" i="1"/>
  <c r="AH910" i="1" s="1"/>
  <c r="AG911" i="1"/>
  <c r="AH911" i="1" s="1"/>
  <c r="AG912" i="1"/>
  <c r="AH912" i="1" s="1"/>
  <c r="AG913" i="1"/>
  <c r="AH913" i="1" s="1"/>
  <c r="AG914" i="1"/>
  <c r="AH914" i="1" s="1"/>
  <c r="AG915" i="1"/>
  <c r="AH915" i="1" s="1"/>
  <c r="AG916" i="1"/>
  <c r="AH916" i="1" s="1"/>
  <c r="AG917" i="1"/>
  <c r="AH917" i="1" s="1"/>
  <c r="AG918" i="1"/>
  <c r="AH918" i="1" s="1"/>
  <c r="AG919" i="1"/>
  <c r="AH919" i="1" s="1"/>
  <c r="AG920" i="1"/>
  <c r="AH920" i="1" s="1"/>
  <c r="AG921" i="1"/>
  <c r="AH921" i="1" s="1"/>
  <c r="AG922" i="1"/>
  <c r="AH922" i="1" s="1"/>
  <c r="AG923" i="1"/>
  <c r="AH923" i="1" s="1"/>
  <c r="AG924" i="1"/>
  <c r="AH924" i="1" s="1"/>
  <c r="AG925" i="1"/>
  <c r="AH925" i="1" s="1"/>
  <c r="AG926" i="1"/>
  <c r="AH926" i="1" s="1"/>
  <c r="AG927" i="1"/>
  <c r="AH927" i="1" s="1"/>
  <c r="AG928" i="1"/>
  <c r="AH928" i="1" s="1"/>
  <c r="AG929" i="1"/>
  <c r="AH929" i="1" s="1"/>
  <c r="AG930" i="1"/>
  <c r="AH930" i="1" s="1"/>
  <c r="AG931" i="1"/>
  <c r="AH931" i="1" s="1"/>
  <c r="AG932" i="1"/>
  <c r="AH932" i="1" s="1"/>
  <c r="AG933" i="1"/>
  <c r="AH933" i="1" s="1"/>
  <c r="AG934" i="1"/>
  <c r="AH934" i="1" s="1"/>
  <c r="AG935" i="1"/>
  <c r="AH935" i="1" s="1"/>
  <c r="AG936" i="1"/>
  <c r="AH936" i="1" s="1"/>
  <c r="AG937" i="1"/>
  <c r="AH937" i="1" s="1"/>
  <c r="AG938" i="1"/>
  <c r="AH938" i="1" s="1"/>
  <c r="AG939" i="1"/>
  <c r="AH939" i="1" s="1"/>
  <c r="AG940" i="1"/>
  <c r="AH940" i="1" s="1"/>
  <c r="AG941" i="1"/>
  <c r="AH941" i="1" s="1"/>
  <c r="AG942" i="1"/>
  <c r="AH942" i="1" s="1"/>
  <c r="AG943" i="1"/>
  <c r="AH943" i="1" s="1"/>
  <c r="AG944" i="1"/>
  <c r="AH944" i="1" s="1"/>
  <c r="AG945" i="1"/>
  <c r="AH945" i="1" s="1"/>
  <c r="AG946" i="1"/>
  <c r="AH946" i="1" s="1"/>
  <c r="AG947" i="1"/>
  <c r="AH947" i="1" s="1"/>
  <c r="AG948" i="1"/>
  <c r="AH948" i="1" s="1"/>
  <c r="AG949" i="1"/>
  <c r="AH949" i="1" s="1"/>
  <c r="AG950" i="1"/>
  <c r="AH950" i="1" s="1"/>
  <c r="AG951" i="1"/>
  <c r="AH951" i="1" s="1"/>
  <c r="AG952" i="1"/>
  <c r="AH952" i="1" s="1"/>
  <c r="AG953" i="1"/>
  <c r="AH953" i="1" s="1"/>
  <c r="AG954" i="1"/>
  <c r="AH954" i="1" s="1"/>
  <c r="AG955" i="1"/>
  <c r="AH955" i="1" s="1"/>
  <c r="AG956" i="1"/>
  <c r="AH956" i="1" s="1"/>
  <c r="AG957" i="1"/>
  <c r="AH957" i="1" s="1"/>
  <c r="AG958" i="1"/>
  <c r="AH958" i="1" s="1"/>
  <c r="AG959" i="1"/>
  <c r="AH959" i="1" s="1"/>
  <c r="AG960" i="1"/>
  <c r="AH960" i="1" s="1"/>
  <c r="AG961" i="1"/>
  <c r="AH961" i="1" s="1"/>
  <c r="AG962" i="1"/>
  <c r="AH962" i="1" s="1"/>
  <c r="AG963" i="1"/>
  <c r="AH963" i="1" s="1"/>
  <c r="AG964" i="1"/>
  <c r="AH964" i="1" s="1"/>
  <c r="AG965" i="1"/>
  <c r="AH965" i="1" s="1"/>
  <c r="AG966" i="1"/>
  <c r="AH966" i="1" s="1"/>
  <c r="AG967" i="1"/>
  <c r="AH967" i="1" s="1"/>
  <c r="AG968" i="1"/>
  <c r="AH968" i="1" s="1"/>
  <c r="AG969" i="1"/>
  <c r="AH969" i="1" s="1"/>
  <c r="AG970" i="1"/>
  <c r="AH970" i="1" s="1"/>
  <c r="AG971" i="1"/>
  <c r="AH971" i="1" s="1"/>
  <c r="AG972" i="1"/>
  <c r="AH972" i="1" s="1"/>
  <c r="AG973" i="1"/>
  <c r="AH973" i="1" s="1"/>
  <c r="AG974" i="1"/>
  <c r="AH974" i="1" s="1"/>
  <c r="AG975" i="1"/>
  <c r="AH975" i="1" s="1"/>
  <c r="AG976" i="1"/>
  <c r="AH976" i="1" s="1"/>
  <c r="AG977" i="1"/>
  <c r="AH977" i="1" s="1"/>
  <c r="AG978" i="1"/>
  <c r="AH978" i="1" s="1"/>
  <c r="AG979" i="1"/>
  <c r="AH979" i="1" s="1"/>
  <c r="AG980" i="1"/>
  <c r="AH980" i="1" s="1"/>
  <c r="AG981" i="1"/>
  <c r="AH981" i="1" s="1"/>
  <c r="AG982" i="1"/>
  <c r="AH982" i="1" s="1"/>
  <c r="AG983" i="1"/>
  <c r="AH983" i="1" s="1"/>
  <c r="AG984" i="1"/>
  <c r="AH984" i="1" s="1"/>
  <c r="AG985" i="1"/>
  <c r="AH985" i="1" s="1"/>
  <c r="AG986" i="1"/>
  <c r="AH986" i="1" s="1"/>
  <c r="AG987" i="1"/>
  <c r="AH987" i="1" s="1"/>
  <c r="AG988" i="1"/>
  <c r="AH988" i="1" s="1"/>
  <c r="AG989" i="1"/>
  <c r="AH989" i="1" s="1"/>
  <c r="AG990" i="1"/>
  <c r="AH990" i="1" s="1"/>
  <c r="AG991" i="1"/>
  <c r="AH991" i="1" s="1"/>
  <c r="AG992" i="1"/>
  <c r="AH992" i="1" s="1"/>
  <c r="AG993" i="1"/>
  <c r="AH993" i="1" s="1"/>
  <c r="AG994" i="1"/>
  <c r="AH994" i="1" s="1"/>
  <c r="AG995" i="1"/>
  <c r="AH995" i="1" s="1"/>
  <c r="AG996" i="1"/>
  <c r="AH996" i="1" s="1"/>
  <c r="AG997" i="1"/>
  <c r="AH997" i="1" s="1"/>
  <c r="AG998" i="1"/>
  <c r="AH998" i="1" s="1"/>
  <c r="AG999" i="1"/>
  <c r="AH999" i="1" s="1"/>
  <c r="AG1000" i="1"/>
  <c r="AH1000" i="1" s="1"/>
  <c r="AG1001" i="1"/>
  <c r="AH1001" i="1" s="1"/>
  <c r="AG1002" i="1"/>
  <c r="AH1002" i="1" s="1"/>
  <c r="AG1003" i="1"/>
  <c r="AH1003" i="1" s="1"/>
  <c r="AG1004" i="1"/>
  <c r="AH1004" i="1" s="1"/>
  <c r="AG1005" i="1"/>
  <c r="AH1005" i="1" s="1"/>
  <c r="AG1006" i="1"/>
  <c r="AH1006" i="1" s="1"/>
  <c r="AG1007" i="1"/>
  <c r="AH1007" i="1" s="1"/>
  <c r="AG1008" i="1"/>
  <c r="AH1008" i="1" s="1"/>
  <c r="AG1009" i="1"/>
  <c r="AH1009" i="1" s="1"/>
  <c r="AG1010" i="1"/>
  <c r="AH1010" i="1" s="1"/>
  <c r="AG1011" i="1"/>
  <c r="AH1011" i="1" s="1"/>
  <c r="AG1012" i="1"/>
  <c r="AH1012" i="1" s="1"/>
  <c r="AG1013" i="1"/>
  <c r="AH1013" i="1" s="1"/>
  <c r="AG1014" i="1"/>
  <c r="AH1014" i="1" s="1"/>
  <c r="AG1015" i="1"/>
  <c r="AH1015" i="1" s="1"/>
  <c r="AG1016" i="1"/>
  <c r="AH1016" i="1" s="1"/>
  <c r="AG1017" i="1"/>
  <c r="AH1017" i="1" s="1"/>
  <c r="AG1018" i="1"/>
  <c r="AH1018" i="1" s="1"/>
  <c r="AG1019" i="1"/>
  <c r="AH1019" i="1" s="1"/>
  <c r="AG1020" i="1"/>
  <c r="AH1020" i="1" s="1"/>
  <c r="AG1021" i="1"/>
  <c r="AH1021" i="1" s="1"/>
  <c r="AG1022" i="1"/>
  <c r="AH1022" i="1" s="1"/>
  <c r="AG1023" i="1"/>
  <c r="AH1023" i="1" s="1"/>
  <c r="AG1024" i="1"/>
  <c r="AH1024" i="1" s="1"/>
  <c r="AG1025" i="1"/>
  <c r="AH1025" i="1" s="1"/>
  <c r="AG1026" i="1"/>
  <c r="AH1026" i="1" s="1"/>
  <c r="AG1027" i="1"/>
  <c r="AH1027" i="1" s="1"/>
  <c r="AG1028" i="1"/>
  <c r="AH1028" i="1" s="1"/>
  <c r="AG1029" i="1"/>
  <c r="AH1029" i="1" s="1"/>
  <c r="AG1030" i="1"/>
  <c r="AH1030" i="1" s="1"/>
  <c r="AG1031" i="1"/>
  <c r="AH1031" i="1" s="1"/>
  <c r="AG1032" i="1"/>
  <c r="AH1032" i="1" s="1"/>
  <c r="AG1033" i="1"/>
  <c r="AH1033" i="1" s="1"/>
  <c r="AG1034" i="1"/>
  <c r="AH1034" i="1" s="1"/>
  <c r="AG1035" i="1"/>
  <c r="AH1035" i="1" s="1"/>
  <c r="AG1036" i="1"/>
  <c r="AH1036" i="1" s="1"/>
  <c r="AG1037" i="1"/>
  <c r="AH1037" i="1" s="1"/>
  <c r="AG1038" i="1"/>
  <c r="AH1038" i="1" s="1"/>
  <c r="AG1039" i="1"/>
  <c r="AH1039" i="1" s="1"/>
  <c r="AG1040" i="1"/>
  <c r="AH1040" i="1" s="1"/>
  <c r="AG1041" i="1"/>
  <c r="AH1041" i="1" s="1"/>
  <c r="AG1042" i="1"/>
  <c r="AH1042" i="1" s="1"/>
  <c r="AG1043" i="1"/>
  <c r="AH1043" i="1" s="1"/>
  <c r="AG1044" i="1"/>
  <c r="AH1044" i="1" s="1"/>
  <c r="AG1045" i="1"/>
  <c r="AH1045" i="1" s="1"/>
  <c r="AG1046" i="1"/>
  <c r="AH1046" i="1" s="1"/>
  <c r="AG1047" i="1"/>
  <c r="AH1047" i="1" s="1"/>
  <c r="AG1048" i="1"/>
  <c r="AH1048" i="1" s="1"/>
  <c r="AG1049" i="1"/>
  <c r="AH1049" i="1" s="1"/>
  <c r="AG1050" i="1"/>
  <c r="AH1050" i="1" s="1"/>
  <c r="AG1051" i="1"/>
  <c r="AH1051" i="1" s="1"/>
  <c r="AG1052" i="1"/>
  <c r="AH1052" i="1" s="1"/>
  <c r="AG1053" i="1"/>
  <c r="AH1053" i="1" s="1"/>
  <c r="AG1054" i="1"/>
  <c r="AH1054" i="1" s="1"/>
  <c r="AG1055" i="1"/>
  <c r="AH1055" i="1" s="1"/>
  <c r="AG1056" i="1"/>
  <c r="AH1056" i="1" s="1"/>
  <c r="AG1057" i="1"/>
  <c r="AH1057" i="1" s="1"/>
  <c r="AG1058" i="1"/>
  <c r="AH1058" i="1" s="1"/>
  <c r="AG1059" i="1"/>
  <c r="AH1059" i="1" s="1"/>
  <c r="AG1060" i="1"/>
  <c r="AH1060" i="1" s="1"/>
  <c r="AG1061" i="1"/>
  <c r="AH1061" i="1" s="1"/>
  <c r="AG1062" i="1"/>
  <c r="AH1062" i="1" s="1"/>
  <c r="AG1063" i="1"/>
  <c r="AH1063" i="1" s="1"/>
  <c r="AG1064" i="1"/>
  <c r="AH1064" i="1" s="1"/>
  <c r="AG1065" i="1"/>
  <c r="AH1065" i="1" s="1"/>
  <c r="AG1066" i="1"/>
  <c r="AH1066" i="1" s="1"/>
  <c r="AG1067" i="1"/>
  <c r="AH1067" i="1" s="1"/>
  <c r="AG1068" i="1"/>
  <c r="AH1068" i="1" s="1"/>
  <c r="AG1069" i="1"/>
  <c r="AH1069" i="1" s="1"/>
  <c r="AG1070" i="1"/>
  <c r="AH1070" i="1" s="1"/>
  <c r="AG1071" i="1"/>
  <c r="AH1071" i="1" s="1"/>
  <c r="AG1072" i="1"/>
  <c r="AH1072" i="1" s="1"/>
  <c r="AG1073" i="1"/>
  <c r="AH1073" i="1" s="1"/>
  <c r="AG1074" i="1"/>
  <c r="AH1074" i="1" s="1"/>
  <c r="AG1075" i="1"/>
  <c r="AH1075" i="1" s="1"/>
  <c r="AG1076" i="1"/>
  <c r="AH1076" i="1" s="1"/>
  <c r="AG1077" i="1"/>
  <c r="AH1077" i="1" s="1"/>
  <c r="AG1078" i="1"/>
  <c r="AH1078" i="1" s="1"/>
  <c r="AG1079" i="1"/>
  <c r="AH1079" i="1" s="1"/>
  <c r="AG1080" i="1"/>
  <c r="AH1080" i="1" s="1"/>
  <c r="AG1081" i="1"/>
  <c r="AH1081" i="1" s="1"/>
  <c r="AG1082" i="1"/>
  <c r="AH1082" i="1" s="1"/>
  <c r="AG1083" i="1"/>
  <c r="AH1083" i="1" s="1"/>
  <c r="AG1084" i="1"/>
  <c r="AH1084" i="1" s="1"/>
  <c r="AG1085" i="1"/>
  <c r="AH1085" i="1" s="1"/>
  <c r="AG1086" i="1"/>
  <c r="AH1086" i="1" s="1"/>
  <c r="AG1087" i="1"/>
  <c r="AH1087" i="1" s="1"/>
  <c r="AG1088" i="1"/>
  <c r="AH1088" i="1" s="1"/>
  <c r="AG1089" i="1"/>
  <c r="AH1089" i="1" s="1"/>
  <c r="AG1090" i="1"/>
  <c r="AH1090" i="1" s="1"/>
  <c r="AG1091" i="1"/>
  <c r="AH1091" i="1" s="1"/>
  <c r="AG1092" i="1"/>
  <c r="AH1092" i="1" s="1"/>
  <c r="AG1093" i="1"/>
  <c r="AH1093" i="1" s="1"/>
  <c r="AG1094" i="1"/>
  <c r="AH1094" i="1" s="1"/>
  <c r="AG1095" i="1"/>
  <c r="AH1095" i="1" s="1"/>
  <c r="AG1096" i="1"/>
  <c r="AH1096" i="1" s="1"/>
  <c r="AG1097" i="1"/>
  <c r="AH1097" i="1" s="1"/>
  <c r="AG1098" i="1"/>
  <c r="AH1098" i="1" s="1"/>
  <c r="AG1099" i="1"/>
  <c r="AH1099" i="1" s="1"/>
  <c r="AG1100" i="1"/>
  <c r="AH1100" i="1" s="1"/>
  <c r="AG1101" i="1"/>
  <c r="AH1101" i="1" s="1"/>
  <c r="AG1102" i="1"/>
  <c r="AH1102" i="1" s="1"/>
  <c r="AG1103" i="1"/>
  <c r="AH1103" i="1" s="1"/>
  <c r="AG1104" i="1"/>
  <c r="AH1104" i="1" s="1"/>
  <c r="AG1105" i="1"/>
  <c r="AH1105" i="1" s="1"/>
  <c r="AG1106" i="1"/>
  <c r="AH1106" i="1" s="1"/>
  <c r="AG1107" i="1"/>
  <c r="AH1107" i="1" s="1"/>
  <c r="AG1108" i="1"/>
  <c r="AH1108" i="1" s="1"/>
  <c r="AG1109" i="1"/>
  <c r="AH1109" i="1" s="1"/>
  <c r="AG1110" i="1"/>
  <c r="AH1110" i="1" s="1"/>
  <c r="AG1111" i="1"/>
  <c r="AH1111" i="1" s="1"/>
  <c r="AG1112" i="1"/>
  <c r="AH1112" i="1" s="1"/>
  <c r="AG1113" i="1"/>
  <c r="AH1113" i="1" s="1"/>
  <c r="AG1114" i="1"/>
  <c r="AH1114" i="1" s="1"/>
  <c r="AG1115" i="1"/>
  <c r="AH1115" i="1" s="1"/>
  <c r="AG1116" i="1"/>
  <c r="AH1116" i="1" s="1"/>
  <c r="AG1117" i="1"/>
  <c r="AH1117" i="1" s="1"/>
  <c r="AG1118" i="1"/>
  <c r="AH1118" i="1" s="1"/>
  <c r="AG1119" i="1"/>
  <c r="AH1119" i="1" s="1"/>
  <c r="AG1120" i="1"/>
  <c r="AH1120" i="1" s="1"/>
  <c r="AG1121" i="1"/>
  <c r="AH1121" i="1" s="1"/>
  <c r="AG1122" i="1"/>
  <c r="AH1122" i="1" s="1"/>
  <c r="AG1123" i="1"/>
  <c r="AH1123" i="1" s="1"/>
  <c r="AG1124" i="1"/>
  <c r="AH1124" i="1" s="1"/>
  <c r="AG1125" i="1"/>
  <c r="AH1125" i="1" s="1"/>
  <c r="AG1126" i="1"/>
  <c r="AH1126" i="1" s="1"/>
  <c r="AG1127" i="1"/>
  <c r="AH1127" i="1" s="1"/>
  <c r="AG1128" i="1"/>
  <c r="AH1128" i="1" s="1"/>
  <c r="AG1129" i="1"/>
  <c r="AH1129" i="1" s="1"/>
  <c r="AG1130" i="1"/>
  <c r="AH1130" i="1" s="1"/>
  <c r="AG1131" i="1"/>
  <c r="AH1131" i="1" s="1"/>
  <c r="AG1132" i="1"/>
  <c r="AH1132" i="1" s="1"/>
  <c r="AG1133" i="1"/>
  <c r="AH1133" i="1" s="1"/>
  <c r="AG1134" i="1"/>
  <c r="AH1134" i="1" s="1"/>
  <c r="AG1135" i="1"/>
  <c r="AH1135" i="1" s="1"/>
  <c r="AG1136" i="1"/>
  <c r="AH1136" i="1" s="1"/>
  <c r="AG1137" i="1"/>
  <c r="AH1137" i="1" s="1"/>
  <c r="AG1138" i="1"/>
  <c r="AH1138" i="1" s="1"/>
  <c r="AG1139" i="1"/>
  <c r="AH1139" i="1" s="1"/>
  <c r="AG1140" i="1"/>
  <c r="AH1140" i="1" s="1"/>
  <c r="AG1141" i="1"/>
  <c r="AH1141" i="1" s="1"/>
  <c r="AG1142" i="1"/>
  <c r="AH1142" i="1" s="1"/>
  <c r="AG1143" i="1"/>
  <c r="AH1143" i="1" s="1"/>
  <c r="AG1144" i="1"/>
  <c r="AH1144" i="1" s="1"/>
  <c r="AG1145" i="1"/>
  <c r="AH1145" i="1" s="1"/>
  <c r="AG1146" i="1"/>
  <c r="AH1146" i="1" s="1"/>
  <c r="AG1147" i="1"/>
  <c r="AH1147" i="1" s="1"/>
  <c r="AG1148" i="1"/>
  <c r="AH1148" i="1" s="1"/>
  <c r="AG1149" i="1"/>
  <c r="AH1149" i="1" s="1"/>
  <c r="AG1150" i="1"/>
  <c r="AH1150" i="1" s="1"/>
  <c r="AG1151" i="1"/>
  <c r="AH1151" i="1" s="1"/>
  <c r="AG1152" i="1"/>
  <c r="AH1152" i="1" s="1"/>
  <c r="AG1153" i="1"/>
  <c r="AH1153" i="1" s="1"/>
  <c r="AG1154" i="1"/>
  <c r="AH1154" i="1" s="1"/>
  <c r="AG1155" i="1"/>
  <c r="AH1155" i="1" s="1"/>
  <c r="AG1156" i="1"/>
  <c r="AH1156" i="1" s="1"/>
  <c r="AG1157" i="1"/>
  <c r="AH1157" i="1" s="1"/>
  <c r="AG1158" i="1"/>
  <c r="AH1158" i="1" s="1"/>
  <c r="AG1159" i="1"/>
  <c r="AH1159" i="1" s="1"/>
  <c r="AG1160" i="1"/>
  <c r="AH1160" i="1" s="1"/>
  <c r="AG1161" i="1"/>
  <c r="AH1161" i="1" s="1"/>
  <c r="AG1162" i="1"/>
  <c r="AH1162" i="1" s="1"/>
  <c r="AG1163" i="1"/>
  <c r="AH1163" i="1" s="1"/>
  <c r="AG1164" i="1"/>
  <c r="AH1164" i="1" s="1"/>
  <c r="AG1165" i="1"/>
  <c r="AH1165" i="1" s="1"/>
  <c r="AG1166" i="1"/>
  <c r="AH1166" i="1" s="1"/>
  <c r="AG1167" i="1"/>
  <c r="AH1167" i="1" s="1"/>
  <c r="AG1168" i="1"/>
  <c r="AH1168" i="1" s="1"/>
  <c r="AG1169" i="1"/>
  <c r="AH1169" i="1" s="1"/>
  <c r="AG1170" i="1"/>
  <c r="AH1170" i="1" s="1"/>
  <c r="AG1171" i="1"/>
  <c r="AH1171" i="1" s="1"/>
  <c r="AG1172" i="1"/>
  <c r="AH1172" i="1" s="1"/>
  <c r="AG1173" i="1"/>
  <c r="AH1173" i="1" s="1"/>
  <c r="AG1174" i="1"/>
  <c r="AH1174" i="1" s="1"/>
  <c r="AG1175" i="1"/>
  <c r="AH1175" i="1" s="1"/>
  <c r="AG1176" i="1"/>
  <c r="AH1176" i="1" s="1"/>
  <c r="AG1177" i="1"/>
  <c r="AH1177" i="1" s="1"/>
  <c r="AG1178" i="1"/>
  <c r="AH1178" i="1" s="1"/>
  <c r="AG1179" i="1"/>
  <c r="AH1179" i="1" s="1"/>
  <c r="AG1180" i="1"/>
  <c r="AH1180" i="1" s="1"/>
  <c r="AG1181" i="1"/>
  <c r="AH1181" i="1" s="1"/>
  <c r="AG1182" i="1"/>
  <c r="AH1182" i="1" s="1"/>
  <c r="AG1183" i="1"/>
  <c r="AH1183" i="1" s="1"/>
  <c r="AG1184" i="1"/>
  <c r="AH1184" i="1" s="1"/>
  <c r="AG1185" i="1"/>
  <c r="AH1185" i="1" s="1"/>
  <c r="AG1186" i="1"/>
  <c r="AH1186" i="1" s="1"/>
  <c r="AG1187" i="1"/>
  <c r="AH1187" i="1" s="1"/>
  <c r="AG1188" i="1"/>
  <c r="AH1188" i="1" s="1"/>
  <c r="AG1189" i="1"/>
  <c r="AH1189" i="1" s="1"/>
  <c r="AG1190" i="1"/>
  <c r="AH1190" i="1" s="1"/>
  <c r="AG1191" i="1"/>
  <c r="AH1191" i="1" s="1"/>
  <c r="AG1192" i="1"/>
  <c r="AH1192" i="1" s="1"/>
  <c r="AG1193" i="1"/>
  <c r="AH1193" i="1" s="1"/>
  <c r="AG1194" i="1"/>
  <c r="AH1194" i="1" s="1"/>
  <c r="AG1195" i="1"/>
  <c r="AH1195" i="1" s="1"/>
  <c r="AG1196" i="1"/>
  <c r="AH1196" i="1" s="1"/>
  <c r="AG1197" i="1"/>
  <c r="AH1197" i="1" s="1"/>
  <c r="AG1198" i="1"/>
  <c r="AH1198" i="1" s="1"/>
  <c r="AG1199" i="1"/>
  <c r="AH1199" i="1" s="1"/>
  <c r="AG1200" i="1"/>
  <c r="AH1200" i="1" s="1"/>
  <c r="AG1201" i="1"/>
  <c r="AH1201" i="1" s="1"/>
  <c r="AG1202" i="1"/>
  <c r="AH1202" i="1" s="1"/>
  <c r="AG1203" i="1"/>
  <c r="AH1203" i="1" s="1"/>
  <c r="AG1204" i="1"/>
  <c r="AH1204" i="1" s="1"/>
  <c r="AG1205" i="1"/>
  <c r="AH1205" i="1" s="1"/>
  <c r="AG1206" i="1"/>
  <c r="AH1206" i="1" s="1"/>
  <c r="AG1207" i="1"/>
  <c r="AH1207" i="1" s="1"/>
  <c r="AG1208" i="1"/>
  <c r="AH1208" i="1" s="1"/>
  <c r="AG1209" i="1"/>
  <c r="AH1209" i="1" s="1"/>
  <c r="AG1210" i="1"/>
  <c r="AH1210" i="1" s="1"/>
  <c r="AG1211" i="1"/>
  <c r="AH1211" i="1" s="1"/>
  <c r="AG1212" i="1"/>
  <c r="AH1212" i="1" s="1"/>
  <c r="AG1213" i="1"/>
  <c r="AH1213" i="1" s="1"/>
  <c r="AG1214" i="1"/>
  <c r="AH1214" i="1" s="1"/>
  <c r="AG1215" i="1"/>
  <c r="AH1215" i="1" s="1"/>
  <c r="AG1216" i="1"/>
  <c r="AH1216" i="1" s="1"/>
  <c r="AG1217" i="1"/>
  <c r="AH1217" i="1" s="1"/>
  <c r="AG1218" i="1"/>
  <c r="AH1218" i="1" s="1"/>
  <c r="AG1219" i="1"/>
  <c r="AH1219" i="1" s="1"/>
  <c r="AG1220" i="1"/>
  <c r="AH1220" i="1" s="1"/>
  <c r="AG1221" i="1"/>
  <c r="AH1221" i="1" s="1"/>
  <c r="AG1222" i="1"/>
  <c r="AH1222" i="1" s="1"/>
  <c r="AG1223" i="1"/>
  <c r="AH1223" i="1" s="1"/>
  <c r="AG1224" i="1"/>
  <c r="AH1224" i="1" s="1"/>
  <c r="AG1225" i="1"/>
  <c r="AH1225" i="1" s="1"/>
  <c r="AG1226" i="1"/>
  <c r="AH1226" i="1" s="1"/>
  <c r="AG1227" i="1"/>
  <c r="AH1227" i="1" s="1"/>
  <c r="AG1228" i="1"/>
  <c r="AH1228" i="1" s="1"/>
  <c r="AG1229" i="1"/>
  <c r="AH1229" i="1" s="1"/>
  <c r="AG1230" i="1"/>
  <c r="AH1230" i="1" s="1"/>
  <c r="AG1231" i="1"/>
  <c r="AH1231" i="1" s="1"/>
  <c r="AG1232" i="1"/>
  <c r="AH1232" i="1" s="1"/>
  <c r="AG1233" i="1"/>
  <c r="AH1233" i="1" s="1"/>
  <c r="AG1234" i="1"/>
  <c r="AH1234" i="1" s="1"/>
  <c r="AG1235" i="1"/>
  <c r="AH1235" i="1" s="1"/>
  <c r="AG1236" i="1"/>
  <c r="AH1236" i="1" s="1"/>
  <c r="AG1237" i="1"/>
  <c r="AH1237" i="1" s="1"/>
  <c r="AG1238" i="1"/>
  <c r="AH1238" i="1" s="1"/>
  <c r="AG1239" i="1"/>
  <c r="AH1239" i="1" s="1"/>
  <c r="AG1240" i="1"/>
  <c r="AH1240" i="1" s="1"/>
  <c r="AG1241" i="1"/>
  <c r="AH1241" i="1" s="1"/>
  <c r="AG1242" i="1"/>
  <c r="AH1242" i="1" s="1"/>
  <c r="AG1243" i="1"/>
  <c r="AH1243" i="1" s="1"/>
  <c r="AG1244" i="1"/>
  <c r="AH1244" i="1" s="1"/>
  <c r="AG1245" i="1"/>
  <c r="AH1245" i="1" s="1"/>
  <c r="AG1246" i="1"/>
  <c r="AH1246" i="1" s="1"/>
  <c r="AG1247" i="1"/>
  <c r="AH1247" i="1" s="1"/>
  <c r="AG1248" i="1"/>
  <c r="AH1248" i="1" s="1"/>
  <c r="AG1249" i="1"/>
  <c r="AH1249" i="1" s="1"/>
  <c r="AG1250" i="1"/>
  <c r="AH1250" i="1" s="1"/>
  <c r="AG1251" i="1"/>
  <c r="AH1251" i="1" s="1"/>
  <c r="AG1252" i="1"/>
  <c r="AH1252" i="1" s="1"/>
  <c r="AG1253" i="1"/>
  <c r="AH1253" i="1" s="1"/>
  <c r="AG1254" i="1"/>
  <c r="AH1254" i="1" s="1"/>
  <c r="AG1255" i="1"/>
  <c r="AH1255" i="1" s="1"/>
  <c r="AG1256" i="1"/>
  <c r="AH1256" i="1" s="1"/>
  <c r="AG1257" i="1"/>
  <c r="AH1257" i="1" s="1"/>
  <c r="AG1258" i="1"/>
  <c r="AH1258" i="1" s="1"/>
  <c r="AG1259" i="1"/>
  <c r="AH1259" i="1" s="1"/>
  <c r="AG1260" i="1"/>
  <c r="AH1260" i="1" s="1"/>
  <c r="AG1261" i="1"/>
  <c r="AH1261" i="1" s="1"/>
  <c r="AG1262" i="1"/>
  <c r="AH1262" i="1" s="1"/>
  <c r="AG1263" i="1"/>
  <c r="AH1263" i="1" s="1"/>
  <c r="AG1264" i="1"/>
  <c r="AH1264" i="1" s="1"/>
  <c r="AG1265" i="1"/>
  <c r="AH1265" i="1" s="1"/>
  <c r="AG1266" i="1"/>
  <c r="AH1266" i="1" s="1"/>
  <c r="AG1267" i="1"/>
  <c r="AH1267" i="1" s="1"/>
  <c r="AG1268" i="1"/>
  <c r="AH1268" i="1" s="1"/>
  <c r="AG1269" i="1"/>
  <c r="AH1269" i="1" s="1"/>
  <c r="AG1270" i="1"/>
  <c r="AH1270" i="1" s="1"/>
  <c r="AG1271" i="1"/>
  <c r="AH1271" i="1" s="1"/>
  <c r="AG1272" i="1"/>
  <c r="AH1272" i="1" s="1"/>
  <c r="AG1273" i="1"/>
  <c r="AH1273" i="1" s="1"/>
  <c r="AG1274" i="1"/>
  <c r="AH1274" i="1" s="1"/>
  <c r="AG1275" i="1"/>
  <c r="AH1275" i="1" s="1"/>
  <c r="AG1276" i="1"/>
  <c r="AH1276" i="1" s="1"/>
  <c r="AG1277" i="1"/>
  <c r="AH1277" i="1" s="1"/>
  <c r="AG1278" i="1"/>
  <c r="AH1278" i="1" s="1"/>
  <c r="AG1279" i="1"/>
  <c r="AH1279" i="1" s="1"/>
  <c r="AG1280" i="1"/>
  <c r="AH1280" i="1" s="1"/>
  <c r="AG1281" i="1"/>
  <c r="AH1281" i="1" s="1"/>
  <c r="AG1282" i="1"/>
  <c r="AH1282" i="1" s="1"/>
  <c r="AG1283" i="1"/>
  <c r="AH1283" i="1" s="1"/>
  <c r="AG1284" i="1"/>
  <c r="AH1284" i="1" s="1"/>
  <c r="AG1285" i="1"/>
  <c r="AH1285" i="1" s="1"/>
  <c r="AG1286" i="1"/>
  <c r="AH1286" i="1" s="1"/>
  <c r="AG1287" i="1"/>
  <c r="AH1287" i="1" s="1"/>
  <c r="AG1288" i="1"/>
  <c r="AH1288" i="1" s="1"/>
  <c r="AG1289" i="1"/>
  <c r="AH1289" i="1" s="1"/>
  <c r="AG1290" i="1"/>
  <c r="AH1290" i="1" s="1"/>
  <c r="AG1291" i="1"/>
  <c r="AH1291" i="1" s="1"/>
  <c r="AG1292" i="1"/>
  <c r="AH1292" i="1" s="1"/>
  <c r="AG1293" i="1"/>
  <c r="AH1293" i="1" s="1"/>
  <c r="AG1294" i="1"/>
  <c r="AH1294" i="1" s="1"/>
  <c r="AG1295" i="1"/>
  <c r="AH1295" i="1" s="1"/>
  <c r="AG1296" i="1"/>
  <c r="AH1296" i="1" s="1"/>
  <c r="AG1297" i="1"/>
  <c r="AH1297" i="1" s="1"/>
  <c r="AG1298" i="1"/>
  <c r="AH1298" i="1" s="1"/>
  <c r="AG1299" i="1"/>
  <c r="AH1299" i="1" s="1"/>
  <c r="AG1300" i="1"/>
  <c r="AH1300" i="1" s="1"/>
  <c r="AG1301" i="1"/>
  <c r="AH1301" i="1" s="1"/>
  <c r="AG1302" i="1"/>
  <c r="AH1302" i="1" s="1"/>
  <c r="AG1303" i="1"/>
  <c r="AH1303" i="1" s="1"/>
  <c r="AG1304" i="1"/>
  <c r="AH1304" i="1" s="1"/>
  <c r="AG1305" i="1"/>
  <c r="AH1305" i="1" s="1"/>
  <c r="AG1306" i="1"/>
  <c r="AH1306" i="1" s="1"/>
  <c r="AG1307" i="1"/>
  <c r="AH1307" i="1" s="1"/>
  <c r="AG1308" i="1"/>
  <c r="AH1308" i="1" s="1"/>
  <c r="AG1309" i="1"/>
  <c r="AH1309" i="1" s="1"/>
  <c r="AG1310" i="1"/>
  <c r="AH1310" i="1" s="1"/>
  <c r="AG1311" i="1"/>
  <c r="AH1311" i="1" s="1"/>
  <c r="AG1312" i="1"/>
  <c r="AH1312" i="1" s="1"/>
  <c r="AG1313" i="1"/>
  <c r="AH1313" i="1" s="1"/>
  <c r="AG1314" i="1"/>
  <c r="AH1314" i="1" s="1"/>
  <c r="AG1315" i="1"/>
  <c r="AH1315" i="1" s="1"/>
  <c r="AG1316" i="1"/>
  <c r="AH1316" i="1" s="1"/>
  <c r="AG1317" i="1"/>
  <c r="AH1317" i="1" s="1"/>
  <c r="AG1318" i="1"/>
  <c r="AH1318" i="1" s="1"/>
  <c r="AG1319" i="1"/>
  <c r="AH1319" i="1" s="1"/>
  <c r="AG1320" i="1"/>
  <c r="AH1320" i="1" s="1"/>
  <c r="AG1321" i="1"/>
  <c r="AH1321" i="1" s="1"/>
  <c r="AG1322" i="1"/>
  <c r="AH1322" i="1" s="1"/>
  <c r="AG1323" i="1"/>
  <c r="AH1323" i="1" s="1"/>
  <c r="AG1324" i="1"/>
  <c r="AH1324" i="1" s="1"/>
  <c r="AG1325" i="1"/>
  <c r="AH1325" i="1" s="1"/>
  <c r="AG1326" i="1"/>
  <c r="AH1326" i="1" s="1"/>
  <c r="AG1327" i="1"/>
  <c r="AH1327" i="1" s="1"/>
  <c r="AG1328" i="1"/>
  <c r="AH1328" i="1" s="1"/>
  <c r="AG1329" i="1"/>
  <c r="AH1329" i="1" s="1"/>
  <c r="AG1330" i="1"/>
  <c r="AH1330" i="1" s="1"/>
  <c r="AG1331" i="1"/>
  <c r="AH1331" i="1" s="1"/>
  <c r="AG1332" i="1"/>
  <c r="AH1332" i="1" s="1"/>
  <c r="AG1333" i="1"/>
  <c r="AH1333" i="1" s="1"/>
  <c r="AG1334" i="1"/>
  <c r="AH1334" i="1" s="1"/>
  <c r="AG1335" i="1"/>
  <c r="AH1335" i="1" s="1"/>
  <c r="AG1336" i="1"/>
  <c r="AH1336" i="1" s="1"/>
  <c r="AG1337" i="1"/>
  <c r="AH1337" i="1" s="1"/>
  <c r="AG1338" i="1"/>
  <c r="AH1338" i="1" s="1"/>
  <c r="AG1339" i="1"/>
  <c r="AH1339" i="1" s="1"/>
  <c r="AG1340" i="1"/>
  <c r="AH1340" i="1" s="1"/>
  <c r="AG1341" i="1"/>
  <c r="AH1341" i="1" s="1"/>
  <c r="AG1342" i="1"/>
  <c r="AH1342" i="1" s="1"/>
  <c r="AG1343" i="1"/>
  <c r="AH1343" i="1" s="1"/>
  <c r="AG1344" i="1"/>
  <c r="AH1344" i="1" s="1"/>
  <c r="AG1345" i="1"/>
  <c r="AH1345" i="1" s="1"/>
  <c r="AG1346" i="1"/>
  <c r="AH1346" i="1" s="1"/>
  <c r="AG1347" i="1"/>
  <c r="AH1347" i="1" s="1"/>
  <c r="AG1348" i="1"/>
  <c r="AH1348" i="1" s="1"/>
  <c r="AG1349" i="1"/>
  <c r="AH1349" i="1" s="1"/>
  <c r="AG1350" i="1"/>
  <c r="AH1350" i="1" s="1"/>
  <c r="AG1351" i="1"/>
  <c r="AH1351" i="1" s="1"/>
  <c r="AG1352" i="1"/>
  <c r="AH1352" i="1" s="1"/>
  <c r="AG1353" i="1"/>
  <c r="AH1353" i="1" s="1"/>
  <c r="AG1354" i="1"/>
  <c r="AH1354" i="1" s="1"/>
  <c r="AG1355" i="1"/>
  <c r="AH1355" i="1" s="1"/>
  <c r="AG1356" i="1"/>
  <c r="AH1356" i="1" s="1"/>
  <c r="AG1357" i="1"/>
  <c r="AH1357" i="1" s="1"/>
  <c r="AG1358" i="1"/>
  <c r="AH1358" i="1" s="1"/>
  <c r="AG1359" i="1"/>
  <c r="AH1359" i="1" s="1"/>
  <c r="AG1360" i="1"/>
  <c r="AH1360" i="1" s="1"/>
  <c r="AG1361" i="1"/>
  <c r="AH1361" i="1" s="1"/>
  <c r="AG1362" i="1"/>
  <c r="AH1362" i="1" s="1"/>
  <c r="AG1363" i="1"/>
  <c r="AH1363" i="1" s="1"/>
  <c r="AG1364" i="1"/>
  <c r="AH1364" i="1" s="1"/>
  <c r="AG1365" i="1"/>
  <c r="AH1365" i="1" s="1"/>
  <c r="AG1366" i="1"/>
  <c r="AH1366" i="1" s="1"/>
  <c r="AG1367" i="1"/>
  <c r="AH1367" i="1" s="1"/>
  <c r="AG1368" i="1"/>
  <c r="AH1368" i="1" s="1"/>
  <c r="AG1369" i="1"/>
  <c r="AH1369" i="1" s="1"/>
  <c r="AG1370" i="1"/>
  <c r="AH1370" i="1" s="1"/>
  <c r="AG1371" i="1"/>
  <c r="AH1371" i="1" s="1"/>
  <c r="AG1372" i="1"/>
  <c r="AH1372" i="1" s="1"/>
  <c r="AG1373" i="1"/>
  <c r="AH1373" i="1" s="1"/>
  <c r="AG1374" i="1"/>
  <c r="AH1374" i="1" s="1"/>
  <c r="AG1375" i="1"/>
  <c r="AH1375" i="1" s="1"/>
  <c r="AG1376" i="1"/>
  <c r="AH1376" i="1" s="1"/>
  <c r="AG1377" i="1"/>
  <c r="AH1377" i="1" s="1"/>
  <c r="AG1378" i="1"/>
  <c r="AH1378" i="1" s="1"/>
  <c r="AG1379" i="1"/>
  <c r="AH1379" i="1" s="1"/>
  <c r="AG1380" i="1"/>
  <c r="AH1380" i="1" s="1"/>
  <c r="AG1381" i="1"/>
  <c r="AH1381" i="1" s="1"/>
  <c r="AG1382" i="1"/>
  <c r="AH1382" i="1" s="1"/>
  <c r="AG1383" i="1"/>
  <c r="AH1383" i="1" s="1"/>
  <c r="AG1384" i="1"/>
  <c r="AH1384" i="1" s="1"/>
  <c r="AG1385" i="1"/>
  <c r="AH1385" i="1" s="1"/>
  <c r="AG1386" i="1"/>
  <c r="AH1386" i="1" s="1"/>
  <c r="AG1387" i="1"/>
  <c r="AH1387" i="1" s="1"/>
  <c r="AG1388" i="1"/>
  <c r="AH1388" i="1" s="1"/>
  <c r="AG1389" i="1"/>
  <c r="AH1389" i="1" s="1"/>
  <c r="AG1390" i="1"/>
  <c r="AH1390" i="1" s="1"/>
  <c r="AG1391" i="1"/>
  <c r="AH1391" i="1" s="1"/>
  <c r="AG1392" i="1"/>
  <c r="AH1392" i="1" s="1"/>
  <c r="AG1393" i="1"/>
  <c r="AH1393" i="1" s="1"/>
  <c r="AG1394" i="1"/>
  <c r="AH1394" i="1" s="1"/>
  <c r="AG1395" i="1"/>
  <c r="AH1395" i="1" s="1"/>
  <c r="AG1396" i="1"/>
  <c r="AH1396" i="1" s="1"/>
  <c r="AG1397" i="1"/>
  <c r="AH1397" i="1" s="1"/>
  <c r="AG1398" i="1"/>
  <c r="AH1398" i="1" s="1"/>
  <c r="AG1399" i="1"/>
  <c r="AH1399" i="1" s="1"/>
  <c r="AG1400" i="1"/>
  <c r="AH1400" i="1" s="1"/>
  <c r="AG1401" i="1"/>
  <c r="AH1401" i="1" s="1"/>
  <c r="AG1402" i="1"/>
  <c r="AH1402" i="1" s="1"/>
  <c r="AG1403" i="1"/>
  <c r="AH1403" i="1" s="1"/>
  <c r="AG1404" i="1"/>
  <c r="AH1404" i="1" s="1"/>
  <c r="AG1405" i="1"/>
  <c r="AH1405" i="1" s="1"/>
  <c r="AG1406" i="1"/>
  <c r="AH1406" i="1" s="1"/>
  <c r="AG1407" i="1"/>
  <c r="AH1407" i="1" s="1"/>
  <c r="AG1408" i="1"/>
  <c r="AH1408" i="1" s="1"/>
  <c r="AG1409" i="1"/>
  <c r="AH1409" i="1" s="1"/>
  <c r="AG1410" i="1"/>
  <c r="AH1410" i="1" s="1"/>
  <c r="AG1411" i="1"/>
  <c r="AH1411" i="1" s="1"/>
  <c r="AG1412" i="1"/>
  <c r="AH1412" i="1" s="1"/>
  <c r="AG1413" i="1"/>
  <c r="AH1413" i="1" s="1"/>
  <c r="AG1414" i="1"/>
  <c r="AH1414" i="1" s="1"/>
  <c r="AG1415" i="1"/>
  <c r="AH1415" i="1" s="1"/>
  <c r="AG1416" i="1"/>
  <c r="AH1416" i="1" s="1"/>
  <c r="AG1417" i="1"/>
  <c r="AH1417" i="1" s="1"/>
  <c r="AG1418" i="1"/>
  <c r="AH1418" i="1" s="1"/>
  <c r="AG1419" i="1"/>
  <c r="AH1419" i="1" s="1"/>
  <c r="AG1420" i="1"/>
  <c r="AH1420" i="1" s="1"/>
  <c r="AG1421" i="1"/>
  <c r="AH1421" i="1" s="1"/>
  <c r="AG1422" i="1"/>
  <c r="AH1422" i="1" s="1"/>
  <c r="AG1423" i="1"/>
  <c r="AH1423" i="1" s="1"/>
  <c r="AG1424" i="1"/>
  <c r="AH1424" i="1" s="1"/>
  <c r="AG1425" i="1"/>
  <c r="AH1425" i="1" s="1"/>
  <c r="AG1426" i="1"/>
  <c r="AH1426" i="1" s="1"/>
  <c r="AG1427" i="1"/>
  <c r="AH1427" i="1" s="1"/>
  <c r="AG1428" i="1"/>
  <c r="AH1428" i="1" s="1"/>
  <c r="AG1429" i="1"/>
  <c r="AH1429" i="1" s="1"/>
  <c r="AG1430" i="1"/>
  <c r="AH1430" i="1" s="1"/>
  <c r="AG1431" i="1"/>
  <c r="AH1431" i="1" s="1"/>
  <c r="AG1432" i="1"/>
  <c r="AH1432" i="1" s="1"/>
  <c r="AG1433" i="1"/>
  <c r="AH1433" i="1" s="1"/>
  <c r="AG1434" i="1"/>
  <c r="AH1434" i="1" s="1"/>
  <c r="AG1435" i="1"/>
  <c r="AH1435" i="1" s="1"/>
  <c r="AG1436" i="1"/>
  <c r="AH1436" i="1" s="1"/>
  <c r="AG1437" i="1"/>
  <c r="AH1437" i="1" s="1"/>
  <c r="AG1438" i="1"/>
  <c r="AH1438" i="1" s="1"/>
  <c r="AG1439" i="1"/>
  <c r="AH1439" i="1" s="1"/>
  <c r="AG1440" i="1"/>
  <c r="AH1440" i="1" s="1"/>
  <c r="AG1441" i="1"/>
  <c r="AH1441" i="1" s="1"/>
  <c r="AG1442" i="1"/>
  <c r="AH1442" i="1" s="1"/>
  <c r="AG1443" i="1"/>
  <c r="AH1443" i="1" s="1"/>
  <c r="AG1444" i="1"/>
  <c r="AH1444" i="1" s="1"/>
  <c r="AG1445" i="1"/>
  <c r="AH1445" i="1" s="1"/>
  <c r="AG1446" i="1"/>
  <c r="AH1446" i="1" s="1"/>
  <c r="AG1447" i="1"/>
  <c r="AH1447" i="1" s="1"/>
  <c r="AG1448" i="1"/>
  <c r="AH1448" i="1" s="1"/>
  <c r="AG1449" i="1"/>
  <c r="AH1449" i="1" s="1"/>
  <c r="AG1450" i="1"/>
  <c r="AH1450" i="1" s="1"/>
  <c r="AG1451" i="1"/>
  <c r="AH1451" i="1" s="1"/>
  <c r="AG1452" i="1"/>
  <c r="AH1452" i="1" s="1"/>
  <c r="AG1453" i="1"/>
  <c r="AH1453" i="1" s="1"/>
  <c r="AG1454" i="1"/>
  <c r="AH1454" i="1" s="1"/>
  <c r="AG1455" i="1"/>
  <c r="AH1455" i="1" s="1"/>
  <c r="AG1456" i="1"/>
  <c r="AH1456" i="1" s="1"/>
  <c r="AG1457" i="1"/>
  <c r="AH1457" i="1" s="1"/>
  <c r="AG1458" i="1"/>
  <c r="AH1458" i="1" s="1"/>
  <c r="AG1459" i="1"/>
  <c r="AH1459" i="1" s="1"/>
  <c r="AG1460" i="1"/>
  <c r="AH1460" i="1" s="1"/>
  <c r="AG1461" i="1"/>
  <c r="AH1461" i="1" s="1"/>
  <c r="AG1462" i="1"/>
  <c r="AH1462" i="1" s="1"/>
  <c r="AG1463" i="1"/>
  <c r="AH1463" i="1" s="1"/>
  <c r="AG1464" i="1"/>
  <c r="AH1464" i="1" s="1"/>
  <c r="AG1465" i="1"/>
  <c r="AH1465" i="1" s="1"/>
  <c r="AG1466" i="1"/>
  <c r="AH1466" i="1" s="1"/>
  <c r="AG1467" i="1"/>
  <c r="AH1467" i="1" s="1"/>
  <c r="AG1468" i="1"/>
  <c r="AH1468" i="1" s="1"/>
  <c r="AG1469" i="1"/>
  <c r="AH1469" i="1" s="1"/>
  <c r="AG1470" i="1"/>
  <c r="AH1470" i="1" s="1"/>
  <c r="AG1471" i="1"/>
  <c r="AH1471" i="1" s="1"/>
  <c r="AG1472" i="1"/>
  <c r="AH1472" i="1" s="1"/>
  <c r="AG1473" i="1"/>
  <c r="AH1473" i="1" s="1"/>
  <c r="AG1474" i="1"/>
  <c r="AH1474" i="1" s="1"/>
  <c r="AG1475" i="1"/>
  <c r="AH1475" i="1" s="1"/>
  <c r="AG1476" i="1"/>
  <c r="AH1476" i="1" s="1"/>
  <c r="AG1477" i="1"/>
  <c r="AH1477" i="1" s="1"/>
  <c r="AG1478" i="1"/>
  <c r="AH1478" i="1" s="1"/>
  <c r="AG1479" i="1"/>
  <c r="AH1479" i="1" s="1"/>
  <c r="AG1480" i="1"/>
  <c r="AH1480" i="1" s="1"/>
  <c r="AG1481" i="1"/>
  <c r="AH1481" i="1" s="1"/>
  <c r="AG1482" i="1"/>
  <c r="AH1482" i="1" s="1"/>
  <c r="AG1483" i="1"/>
  <c r="AH1483" i="1" s="1"/>
  <c r="AG1484" i="1"/>
  <c r="AH1484" i="1" s="1"/>
  <c r="AG1485" i="1"/>
  <c r="AH1485" i="1" s="1"/>
  <c r="AG1486" i="1"/>
  <c r="AH1486" i="1" s="1"/>
  <c r="AG1487" i="1"/>
  <c r="AH1487" i="1" s="1"/>
  <c r="AG1488" i="1"/>
  <c r="AH1488" i="1" s="1"/>
  <c r="AG1489" i="1"/>
  <c r="AH1489" i="1" s="1"/>
  <c r="AG1490" i="1"/>
  <c r="AH1490" i="1" s="1"/>
  <c r="AG1491" i="1"/>
  <c r="AH1491" i="1" s="1"/>
  <c r="AG1492" i="1"/>
  <c r="AH1492" i="1" s="1"/>
  <c r="AG1493" i="1"/>
  <c r="AH1493" i="1" s="1"/>
  <c r="AG1494" i="1"/>
  <c r="AH1494" i="1" s="1"/>
  <c r="AG1495" i="1"/>
  <c r="AH1495" i="1" s="1"/>
  <c r="AG1496" i="1"/>
  <c r="AH1496" i="1" s="1"/>
  <c r="AG1497" i="1"/>
  <c r="AH1497" i="1" s="1"/>
  <c r="AG1498" i="1"/>
  <c r="AH1498" i="1" s="1"/>
  <c r="AG1499" i="1"/>
  <c r="AH1499" i="1" s="1"/>
  <c r="AG1500" i="1"/>
  <c r="AH1500" i="1" s="1"/>
  <c r="AG1501" i="1"/>
  <c r="AH1501" i="1" s="1"/>
  <c r="AG1502" i="1"/>
  <c r="AH1502" i="1" s="1"/>
  <c r="AG1503" i="1"/>
  <c r="AH1503" i="1" s="1"/>
  <c r="AG1504" i="1"/>
  <c r="AH1504" i="1" s="1"/>
  <c r="AG1505" i="1"/>
  <c r="AH1505" i="1" s="1"/>
  <c r="AG1506" i="1"/>
  <c r="AH1506" i="1" s="1"/>
  <c r="AG1507" i="1"/>
  <c r="AH1507" i="1" s="1"/>
  <c r="AG1508" i="1"/>
  <c r="AH1508" i="1" s="1"/>
  <c r="AG1509" i="1"/>
  <c r="AH1509" i="1" s="1"/>
  <c r="AG1510" i="1"/>
  <c r="AH1510" i="1" s="1"/>
  <c r="AG1511" i="1"/>
  <c r="AH1511" i="1" s="1"/>
  <c r="AG1512" i="1"/>
  <c r="AH1512" i="1" s="1"/>
  <c r="AG1513" i="1"/>
  <c r="AH1513" i="1" s="1"/>
  <c r="AG1514" i="1"/>
  <c r="AH1514" i="1" s="1"/>
  <c r="AG1515" i="1"/>
  <c r="AH1515" i="1" s="1"/>
  <c r="AG1516" i="1"/>
  <c r="AH1516" i="1" s="1"/>
  <c r="AG1517" i="1"/>
  <c r="AH1517" i="1" s="1"/>
  <c r="AG1518" i="1"/>
  <c r="AH1518" i="1" s="1"/>
  <c r="AG1519" i="1"/>
  <c r="AH1519" i="1" s="1"/>
  <c r="AG1520" i="1"/>
  <c r="AH1520" i="1" s="1"/>
  <c r="AG1521" i="1"/>
  <c r="AH1521" i="1" s="1"/>
  <c r="AG1522" i="1"/>
  <c r="AH1522" i="1" s="1"/>
  <c r="AG1523" i="1"/>
  <c r="AH1523" i="1" s="1"/>
  <c r="AG1524" i="1"/>
  <c r="AH1524" i="1" s="1"/>
  <c r="AG1525" i="1"/>
  <c r="AH1525" i="1" s="1"/>
  <c r="AG1526" i="1"/>
  <c r="AH1526" i="1" s="1"/>
  <c r="AG1527" i="1"/>
  <c r="AH1527" i="1" s="1"/>
  <c r="AG1528" i="1"/>
  <c r="AH1528" i="1" s="1"/>
  <c r="AG1529" i="1"/>
  <c r="AH1529" i="1" s="1"/>
  <c r="AG1530" i="1"/>
  <c r="AH1530" i="1" s="1"/>
  <c r="AG1531" i="1"/>
  <c r="AH1531" i="1" s="1"/>
  <c r="AG1532" i="1"/>
  <c r="AH1532" i="1" s="1"/>
  <c r="AG1533" i="1"/>
  <c r="AH1533" i="1" s="1"/>
  <c r="AG1534" i="1"/>
  <c r="AH1534" i="1" s="1"/>
  <c r="AG1535" i="1"/>
  <c r="AH1535" i="1" s="1"/>
  <c r="AG1536" i="1"/>
  <c r="AH1536" i="1" s="1"/>
  <c r="AG1537" i="1"/>
  <c r="AH1537" i="1" s="1"/>
  <c r="AG1538" i="1"/>
  <c r="AH1538" i="1" s="1"/>
  <c r="AG1539" i="1"/>
  <c r="AH1539" i="1" s="1"/>
  <c r="AG1540" i="1"/>
  <c r="AH1540" i="1" s="1"/>
  <c r="AG1541" i="1"/>
  <c r="AH1541" i="1" s="1"/>
  <c r="AG1542" i="1"/>
  <c r="AH1542" i="1" s="1"/>
  <c r="AG1543" i="1"/>
  <c r="AH1543" i="1" s="1"/>
  <c r="AG1544" i="1"/>
  <c r="AH1544" i="1" s="1"/>
  <c r="AG1545" i="1"/>
  <c r="AH1545" i="1" s="1"/>
  <c r="AG1546" i="1"/>
  <c r="AH1546" i="1" s="1"/>
  <c r="AG1547" i="1"/>
  <c r="AH1547" i="1" s="1"/>
  <c r="AG1548" i="1"/>
  <c r="AH1548" i="1" s="1"/>
  <c r="AG1549" i="1"/>
  <c r="AH1549" i="1" s="1"/>
  <c r="AG1550" i="1"/>
  <c r="AH1550" i="1" s="1"/>
  <c r="AG1551" i="1"/>
  <c r="AH1551" i="1" s="1"/>
  <c r="AG1552" i="1"/>
  <c r="AH1552" i="1" s="1"/>
  <c r="AG1553" i="1"/>
  <c r="AH1553" i="1" s="1"/>
  <c r="AG1554" i="1"/>
  <c r="AH1554" i="1" s="1"/>
  <c r="AG1555" i="1"/>
  <c r="AH1555" i="1" s="1"/>
  <c r="AG1556" i="1"/>
  <c r="AH1556" i="1" s="1"/>
  <c r="AG1557" i="1"/>
  <c r="AH1557" i="1" s="1"/>
  <c r="AG1558" i="1"/>
  <c r="AH1558" i="1" s="1"/>
  <c r="AG1559" i="1"/>
  <c r="AH1559" i="1" s="1"/>
  <c r="AG1560" i="1"/>
  <c r="AH1560" i="1" s="1"/>
  <c r="AG1561" i="1"/>
  <c r="AH1561" i="1" s="1"/>
  <c r="AG1562" i="1"/>
  <c r="AH1562" i="1" s="1"/>
  <c r="AG1563" i="1"/>
  <c r="AH1563" i="1" s="1"/>
  <c r="AG1564" i="1"/>
  <c r="AH1564" i="1" s="1"/>
  <c r="AG1565" i="1"/>
  <c r="AH1565" i="1" s="1"/>
  <c r="AG1566" i="1"/>
  <c r="AH1566" i="1" s="1"/>
  <c r="AG1567" i="1"/>
  <c r="AH1567" i="1" s="1"/>
  <c r="AG1568" i="1"/>
  <c r="AH1568" i="1" s="1"/>
  <c r="AG1569" i="1"/>
  <c r="AH1569" i="1" s="1"/>
  <c r="AG1570" i="1"/>
  <c r="AH1570" i="1" s="1"/>
  <c r="AG1571" i="1"/>
  <c r="AH1571" i="1" s="1"/>
  <c r="AG1572" i="1"/>
  <c r="AH1572" i="1" s="1"/>
  <c r="AG1573" i="1"/>
  <c r="AH1573" i="1" s="1"/>
  <c r="AG1574" i="1"/>
  <c r="AH1574" i="1" s="1"/>
  <c r="AG1575" i="1"/>
  <c r="AH1575" i="1" s="1"/>
  <c r="AG1576" i="1"/>
  <c r="AH1576" i="1" s="1"/>
  <c r="AG1577" i="1"/>
  <c r="AH1577" i="1" s="1"/>
  <c r="AG1578" i="1"/>
  <c r="AH1578" i="1" s="1"/>
  <c r="AG1579" i="1"/>
  <c r="AH1579" i="1" s="1"/>
  <c r="AG1580" i="1"/>
  <c r="AH1580" i="1" s="1"/>
  <c r="AG1581" i="1"/>
  <c r="AH1581" i="1" s="1"/>
  <c r="AG1582" i="1"/>
  <c r="AH1582" i="1" s="1"/>
  <c r="AG1583" i="1"/>
  <c r="AH1583" i="1" s="1"/>
  <c r="AG1584" i="1"/>
  <c r="AH1584" i="1" s="1"/>
  <c r="AG1585" i="1"/>
  <c r="AH1585" i="1" s="1"/>
  <c r="AG1586" i="1"/>
  <c r="AH1586" i="1" s="1"/>
  <c r="AG1587" i="1"/>
  <c r="AH1587" i="1" s="1"/>
  <c r="AG1588" i="1"/>
  <c r="AH1588" i="1" s="1"/>
  <c r="AG1589" i="1"/>
  <c r="AH1589" i="1" s="1"/>
  <c r="AG1590" i="1"/>
  <c r="AH1590" i="1" s="1"/>
  <c r="AG1591" i="1"/>
  <c r="AH1591" i="1" s="1"/>
  <c r="AG1592" i="1"/>
  <c r="AH1592" i="1" s="1"/>
  <c r="AG1593" i="1"/>
  <c r="AH1593" i="1" s="1"/>
  <c r="AG1594" i="1"/>
  <c r="AH1594" i="1" s="1"/>
  <c r="AG1595" i="1"/>
  <c r="AH1595" i="1" s="1"/>
  <c r="AG1596" i="1"/>
  <c r="AH1596" i="1" s="1"/>
  <c r="AG1597" i="1"/>
  <c r="AH1597" i="1" s="1"/>
  <c r="AG1598" i="1"/>
  <c r="AH1598" i="1" s="1"/>
  <c r="AG1599" i="1"/>
  <c r="AH1599" i="1" s="1"/>
  <c r="AG1600" i="1"/>
  <c r="AH1600" i="1" s="1"/>
  <c r="AG1601" i="1"/>
  <c r="AH1601" i="1" s="1"/>
  <c r="AG1602" i="1"/>
  <c r="AH1602" i="1" s="1"/>
  <c r="AG1603" i="1"/>
  <c r="AH1603" i="1" s="1"/>
  <c r="AG1604" i="1"/>
  <c r="AH1604" i="1" s="1"/>
  <c r="AG1605" i="1"/>
  <c r="AH1605" i="1" s="1"/>
  <c r="AG1606" i="1"/>
  <c r="AH1606" i="1" s="1"/>
  <c r="AG1607" i="1"/>
  <c r="AH1607" i="1" s="1"/>
  <c r="AG1608" i="1"/>
  <c r="AH1608" i="1" s="1"/>
  <c r="AG1609" i="1"/>
  <c r="AH1609" i="1" s="1"/>
  <c r="AG1610" i="1"/>
  <c r="AH1610" i="1" s="1"/>
  <c r="AG1611" i="1"/>
  <c r="AH1611" i="1" s="1"/>
  <c r="AG1612" i="1"/>
  <c r="AH1612" i="1" s="1"/>
  <c r="AG1613" i="1"/>
  <c r="AH1613" i="1" s="1"/>
  <c r="AG1614" i="1"/>
  <c r="AH1614" i="1" s="1"/>
  <c r="AG1615" i="1"/>
  <c r="AH1615" i="1" s="1"/>
  <c r="AG1616" i="1"/>
  <c r="AH1616" i="1" s="1"/>
  <c r="AG1617" i="1"/>
  <c r="AH1617" i="1" s="1"/>
  <c r="AG1618" i="1"/>
  <c r="AH1618" i="1" s="1"/>
  <c r="AG1619" i="1"/>
  <c r="AH1619" i="1" s="1"/>
  <c r="AG1620" i="1"/>
  <c r="AH1620" i="1" s="1"/>
  <c r="AG1621" i="1"/>
  <c r="AH1621" i="1" s="1"/>
  <c r="AG1622" i="1"/>
  <c r="AH1622" i="1" s="1"/>
  <c r="AG1623" i="1"/>
  <c r="AH1623" i="1" s="1"/>
  <c r="AG1624" i="1"/>
  <c r="AH1624" i="1" s="1"/>
  <c r="AG1625" i="1"/>
  <c r="AH1625" i="1" s="1"/>
  <c r="AG1626" i="1"/>
  <c r="AH1626" i="1" s="1"/>
  <c r="AG1627" i="1"/>
  <c r="AH1627" i="1" s="1"/>
  <c r="AG1628" i="1"/>
  <c r="AH1628" i="1" s="1"/>
  <c r="AG1629" i="1"/>
  <c r="AH1629" i="1" s="1"/>
  <c r="AG1630" i="1"/>
  <c r="AH1630" i="1" s="1"/>
  <c r="AG1631" i="1"/>
  <c r="AH1631" i="1" s="1"/>
  <c r="AG1632" i="1"/>
  <c r="AH1632" i="1" s="1"/>
  <c r="AG1633" i="1"/>
  <c r="AH1633" i="1" s="1"/>
  <c r="AG1634" i="1"/>
  <c r="AH1634" i="1" s="1"/>
  <c r="AG1635" i="1"/>
  <c r="AH1635" i="1" s="1"/>
  <c r="AG1636" i="1"/>
  <c r="AH1636" i="1" s="1"/>
  <c r="AG1637" i="1"/>
  <c r="AH1637" i="1" s="1"/>
  <c r="AG1638" i="1"/>
  <c r="AH1638" i="1" s="1"/>
  <c r="AG1639" i="1"/>
  <c r="AH1639" i="1" s="1"/>
  <c r="AG1640" i="1"/>
  <c r="AH1640" i="1" s="1"/>
  <c r="AG1641" i="1"/>
  <c r="AH1641" i="1" s="1"/>
  <c r="AG1642" i="1"/>
  <c r="AH1642" i="1" s="1"/>
  <c r="AG1643" i="1"/>
  <c r="AH1643" i="1" s="1"/>
  <c r="AG1644" i="1"/>
  <c r="AH1644" i="1" s="1"/>
  <c r="AG1645" i="1"/>
  <c r="AH1645" i="1" s="1"/>
  <c r="AG1646" i="1"/>
  <c r="AH1646" i="1" s="1"/>
  <c r="AG1647" i="1"/>
  <c r="AH1647" i="1" s="1"/>
  <c r="AG1648" i="1"/>
  <c r="AH1648" i="1" s="1"/>
  <c r="AG1649" i="1"/>
  <c r="AH1649" i="1" s="1"/>
  <c r="AG1650" i="1"/>
  <c r="AH1650" i="1" s="1"/>
  <c r="AG1651" i="1"/>
  <c r="AH1651" i="1" s="1"/>
  <c r="AG1652" i="1"/>
  <c r="AH1652" i="1" s="1"/>
  <c r="AG1653" i="1"/>
  <c r="AH1653" i="1" s="1"/>
  <c r="AG1654" i="1"/>
  <c r="AH1654" i="1" s="1"/>
  <c r="AG1655" i="1"/>
  <c r="AH1655" i="1" s="1"/>
  <c r="AG1656" i="1"/>
  <c r="AH1656" i="1" s="1"/>
  <c r="AG1657" i="1"/>
  <c r="AH1657" i="1" s="1"/>
  <c r="AG1658" i="1"/>
  <c r="AH1658" i="1" s="1"/>
  <c r="AG1659" i="1"/>
  <c r="AH1659" i="1" s="1"/>
  <c r="AG1660" i="1"/>
  <c r="AH1660" i="1" s="1"/>
  <c r="AG1661" i="1"/>
  <c r="AH1661" i="1" s="1"/>
  <c r="AG1662" i="1"/>
  <c r="AH1662" i="1" s="1"/>
  <c r="AG1663" i="1"/>
  <c r="AH1663" i="1" s="1"/>
  <c r="AG1664" i="1"/>
  <c r="AH1664" i="1" s="1"/>
  <c r="AG1665" i="1"/>
  <c r="AH1665" i="1" s="1"/>
  <c r="AG1666" i="1"/>
  <c r="AH1666" i="1" s="1"/>
  <c r="AG1667" i="1"/>
  <c r="AH1667" i="1" s="1"/>
  <c r="AG1668" i="1"/>
  <c r="AH1668" i="1" s="1"/>
  <c r="AG1669" i="1"/>
  <c r="AH1669" i="1" s="1"/>
  <c r="AG1670" i="1"/>
  <c r="AH1670" i="1" s="1"/>
  <c r="AG1671" i="1"/>
  <c r="AH1671" i="1" s="1"/>
  <c r="AG1672" i="1"/>
  <c r="AH1672" i="1" s="1"/>
  <c r="AG1673" i="1"/>
  <c r="AH1673" i="1" s="1"/>
  <c r="AG1674" i="1"/>
  <c r="AH1674" i="1" s="1"/>
  <c r="AG1675" i="1"/>
  <c r="AH1675" i="1" s="1"/>
  <c r="AG1676" i="1"/>
  <c r="AH1676" i="1" s="1"/>
  <c r="AG1677" i="1"/>
  <c r="AH1677" i="1" s="1"/>
  <c r="AG1678" i="1"/>
  <c r="AH1678" i="1" s="1"/>
  <c r="AG1679" i="1"/>
  <c r="AH1679" i="1" s="1"/>
  <c r="AG1680" i="1"/>
  <c r="AH1680" i="1" s="1"/>
  <c r="AG1681" i="1"/>
  <c r="AH1681" i="1" s="1"/>
  <c r="AG1682" i="1"/>
  <c r="AH1682" i="1" s="1"/>
  <c r="AG1683" i="1"/>
  <c r="AH1683" i="1" s="1"/>
  <c r="AG1684" i="1"/>
  <c r="AH1684" i="1" s="1"/>
  <c r="AG1685" i="1"/>
  <c r="AH1685" i="1" s="1"/>
  <c r="AG1686" i="1"/>
  <c r="AH1686" i="1" s="1"/>
  <c r="AG1687" i="1"/>
  <c r="AH1687" i="1" s="1"/>
  <c r="AG1688" i="1"/>
  <c r="AH1688" i="1" s="1"/>
  <c r="AG1689" i="1"/>
  <c r="AH1689" i="1" s="1"/>
  <c r="AG1690" i="1"/>
  <c r="AH1690" i="1" s="1"/>
  <c r="AG1691" i="1"/>
  <c r="AH1691" i="1" s="1"/>
  <c r="AG1692" i="1"/>
  <c r="AH1692" i="1" s="1"/>
  <c r="AG1693" i="1"/>
  <c r="AH1693" i="1" s="1"/>
  <c r="AG1694" i="1"/>
  <c r="AH1694" i="1" s="1"/>
  <c r="AG1695" i="1"/>
  <c r="AH1695" i="1" s="1"/>
  <c r="AG1696" i="1"/>
  <c r="AH1696" i="1" s="1"/>
  <c r="AG1697" i="1"/>
  <c r="AH1697" i="1" s="1"/>
  <c r="AG1698" i="1"/>
  <c r="AH1698" i="1" s="1"/>
  <c r="AG1699" i="1"/>
  <c r="AH1699" i="1" s="1"/>
  <c r="AG1700" i="1"/>
  <c r="AH1700" i="1" s="1"/>
  <c r="AG1701" i="1"/>
  <c r="AH1701" i="1" s="1"/>
  <c r="AG1702" i="1"/>
  <c r="AH1702" i="1" s="1"/>
  <c r="AG1703" i="1"/>
  <c r="AH1703" i="1" s="1"/>
  <c r="AG1704" i="1"/>
  <c r="AH1704" i="1" s="1"/>
  <c r="AG1705" i="1"/>
  <c r="AH1705" i="1" s="1"/>
  <c r="AG1706" i="1"/>
  <c r="AH1706" i="1" s="1"/>
  <c r="AG1707" i="1"/>
  <c r="AH1707" i="1" s="1"/>
  <c r="AG1708" i="1"/>
  <c r="AH1708" i="1" s="1"/>
  <c r="AG1709" i="1"/>
  <c r="AH1709" i="1" s="1"/>
  <c r="AG1710" i="1"/>
  <c r="AH1710" i="1" s="1"/>
  <c r="AG1711" i="1"/>
  <c r="AH1711" i="1" s="1"/>
  <c r="AG1712" i="1"/>
  <c r="AH1712" i="1" s="1"/>
  <c r="AG1713" i="1"/>
  <c r="AH1713" i="1" s="1"/>
  <c r="AG1714" i="1"/>
  <c r="AH1714" i="1" s="1"/>
  <c r="AG1715" i="1"/>
  <c r="AH1715" i="1" s="1"/>
  <c r="AG1716" i="1"/>
  <c r="AH1716" i="1" s="1"/>
  <c r="AG1717" i="1"/>
  <c r="AH1717" i="1" s="1"/>
  <c r="AG1718" i="1"/>
  <c r="AH1718" i="1" s="1"/>
  <c r="AG1719" i="1"/>
  <c r="AH1719" i="1" s="1"/>
  <c r="AG1720" i="1"/>
  <c r="AH1720" i="1" s="1"/>
  <c r="AG1721" i="1"/>
  <c r="AH1721" i="1" s="1"/>
  <c r="AG1722" i="1"/>
  <c r="AH1722" i="1" s="1"/>
  <c r="AG1723" i="1"/>
  <c r="AH1723" i="1" s="1"/>
  <c r="AG1724" i="1"/>
  <c r="AH1724" i="1" s="1"/>
  <c r="AG1725" i="1"/>
  <c r="AH1725" i="1" s="1"/>
  <c r="AG1726" i="1"/>
  <c r="AH1726" i="1" s="1"/>
  <c r="AG1727" i="1"/>
  <c r="AH1727" i="1" s="1"/>
  <c r="AG1728" i="1"/>
  <c r="AH1728" i="1" s="1"/>
  <c r="AG1729" i="1"/>
  <c r="AH1729" i="1" s="1"/>
  <c r="AG1730" i="1"/>
  <c r="AH1730" i="1" s="1"/>
  <c r="AG1731" i="1"/>
  <c r="AH1731" i="1" s="1"/>
  <c r="AG1732" i="1"/>
  <c r="AH1732" i="1" s="1"/>
  <c r="AG1733" i="1"/>
  <c r="AH1733" i="1" s="1"/>
  <c r="AG1734" i="1"/>
  <c r="AH1734" i="1" s="1"/>
  <c r="AG1735" i="1"/>
  <c r="AH1735" i="1" s="1"/>
  <c r="AG1736" i="1"/>
  <c r="AH1736" i="1" s="1"/>
  <c r="AG1737" i="1"/>
  <c r="AH1737" i="1" s="1"/>
  <c r="AG1738" i="1"/>
  <c r="AH1738" i="1" s="1"/>
  <c r="AG1739" i="1"/>
  <c r="AH1739" i="1" s="1"/>
  <c r="AG1740" i="1"/>
  <c r="AH1740" i="1" s="1"/>
  <c r="AG1741" i="1"/>
  <c r="AH1741" i="1" s="1"/>
  <c r="AG1742" i="1"/>
  <c r="AH1742" i="1" s="1"/>
  <c r="AG1743" i="1"/>
  <c r="AH1743" i="1" s="1"/>
  <c r="AG1744" i="1"/>
  <c r="AH1744" i="1" s="1"/>
  <c r="AG1745" i="1"/>
  <c r="AH1745" i="1" s="1"/>
  <c r="AG1746" i="1"/>
  <c r="AH1746" i="1" s="1"/>
  <c r="AG1747" i="1"/>
  <c r="AH1747" i="1" s="1"/>
  <c r="AG1748" i="1"/>
  <c r="AH1748" i="1" s="1"/>
  <c r="AG1749" i="1"/>
  <c r="AH1749" i="1" s="1"/>
  <c r="AG1750" i="1"/>
  <c r="AH1750" i="1" s="1"/>
  <c r="AG1751" i="1"/>
  <c r="AH1751" i="1" s="1"/>
  <c r="AG1752" i="1"/>
  <c r="AH1752" i="1" s="1"/>
  <c r="AG1753" i="1"/>
  <c r="AH1753" i="1" s="1"/>
  <c r="AG1754" i="1"/>
  <c r="AH1754" i="1" s="1"/>
  <c r="AG1755" i="1"/>
  <c r="AH1755" i="1" s="1"/>
  <c r="AG1756" i="1"/>
  <c r="AH1756" i="1" s="1"/>
  <c r="AG1757" i="1"/>
  <c r="AH1757" i="1" s="1"/>
  <c r="AG1758" i="1"/>
  <c r="AH1758" i="1" s="1"/>
  <c r="AG1759" i="1"/>
  <c r="AH1759" i="1" s="1"/>
  <c r="AG1760" i="1"/>
  <c r="AH1760" i="1" s="1"/>
  <c r="AG1761" i="1"/>
  <c r="AH1761" i="1" s="1"/>
  <c r="AG1762" i="1"/>
  <c r="AH1762" i="1" s="1"/>
  <c r="AG1763" i="1"/>
  <c r="AH1763" i="1" s="1"/>
  <c r="AG1764" i="1"/>
  <c r="AH1764" i="1" s="1"/>
  <c r="AG1765" i="1"/>
  <c r="AH1765" i="1" s="1"/>
  <c r="AG1766" i="1"/>
  <c r="AH1766" i="1" s="1"/>
  <c r="AG1767" i="1"/>
  <c r="AH1767" i="1" s="1"/>
  <c r="AG1768" i="1"/>
  <c r="AH1768" i="1" s="1"/>
  <c r="AG1769" i="1"/>
  <c r="AH1769" i="1" s="1"/>
  <c r="AG1770" i="1"/>
  <c r="AH1770" i="1" s="1"/>
  <c r="AG1771" i="1"/>
  <c r="AH1771" i="1" s="1"/>
  <c r="AG1772" i="1"/>
  <c r="AH1772" i="1" s="1"/>
  <c r="AG1773" i="1"/>
  <c r="AH1773" i="1" s="1"/>
  <c r="AG1774" i="1"/>
  <c r="AH1774" i="1" s="1"/>
  <c r="AG1775" i="1"/>
  <c r="AH1775" i="1" s="1"/>
  <c r="AG1776" i="1"/>
  <c r="AH1776" i="1" s="1"/>
  <c r="AG1777" i="1"/>
  <c r="AH1777" i="1" s="1"/>
  <c r="AG1778" i="1"/>
  <c r="AH1778" i="1" s="1"/>
  <c r="AG1779" i="1"/>
  <c r="AH1779" i="1" s="1"/>
  <c r="AG1780" i="1"/>
  <c r="AH1780" i="1" s="1"/>
  <c r="AG1781" i="1"/>
  <c r="AH1781" i="1" s="1"/>
  <c r="AG1782" i="1"/>
  <c r="AH1782" i="1" s="1"/>
  <c r="AG1783" i="1"/>
  <c r="AH1783" i="1" s="1"/>
  <c r="AG1784" i="1"/>
  <c r="AH1784" i="1" s="1"/>
  <c r="AG1785" i="1"/>
  <c r="AH1785" i="1" s="1"/>
  <c r="AG1786" i="1"/>
  <c r="AH1786" i="1" s="1"/>
  <c r="AG1787" i="1"/>
  <c r="AH1787" i="1" s="1"/>
  <c r="AG1788" i="1"/>
  <c r="AH1788" i="1" s="1"/>
  <c r="AG1789" i="1"/>
  <c r="AH1789" i="1" s="1"/>
  <c r="AG1790" i="1"/>
  <c r="AH1790" i="1" s="1"/>
  <c r="AG1791" i="1"/>
  <c r="AH1791" i="1" s="1"/>
  <c r="AG1792" i="1"/>
  <c r="AH1792" i="1" s="1"/>
  <c r="AG1793" i="1"/>
  <c r="AH1793" i="1" s="1"/>
  <c r="AG1794" i="1"/>
  <c r="AH1794" i="1" s="1"/>
  <c r="AG1795" i="1"/>
  <c r="AH1795" i="1" s="1"/>
  <c r="AG1796" i="1"/>
  <c r="AH1796" i="1" s="1"/>
  <c r="AG1797" i="1"/>
  <c r="AH1797" i="1" s="1"/>
  <c r="AG1798" i="1"/>
  <c r="AH1798" i="1" s="1"/>
  <c r="AG1799" i="1"/>
  <c r="AH1799" i="1" s="1"/>
  <c r="AG1800" i="1"/>
  <c r="AH1800" i="1" s="1"/>
  <c r="AG1801" i="1"/>
  <c r="AH1801" i="1" s="1"/>
  <c r="AG1802" i="1"/>
  <c r="AH1802" i="1" s="1"/>
  <c r="AG1803" i="1"/>
  <c r="AH1803" i="1" s="1"/>
  <c r="AG1804" i="1"/>
  <c r="AH1804" i="1" s="1"/>
  <c r="AG1805" i="1"/>
  <c r="AH1805" i="1" s="1"/>
  <c r="AG1806" i="1"/>
  <c r="AH1806" i="1" s="1"/>
  <c r="AG1807" i="1"/>
  <c r="AH1807" i="1" s="1"/>
  <c r="AG1808" i="1"/>
  <c r="AH1808" i="1" s="1"/>
  <c r="AG1809" i="1"/>
  <c r="AH1809" i="1" s="1"/>
  <c r="AG1810" i="1"/>
  <c r="AH1810" i="1" s="1"/>
  <c r="AG1811" i="1"/>
  <c r="AH1811" i="1" s="1"/>
  <c r="AG1812" i="1"/>
  <c r="AH1812" i="1" s="1"/>
  <c r="AG1813" i="1"/>
  <c r="AH1813" i="1" s="1"/>
  <c r="AG1814" i="1"/>
  <c r="AH1814" i="1" s="1"/>
  <c r="AG1815" i="1"/>
  <c r="AH1815" i="1" s="1"/>
  <c r="AG1816" i="1"/>
  <c r="AH1816" i="1" s="1"/>
  <c r="AG1817" i="1"/>
  <c r="AH1817" i="1" s="1"/>
  <c r="AG1818" i="1"/>
  <c r="AH1818" i="1" s="1"/>
  <c r="AG1819" i="1"/>
  <c r="AH1819" i="1" s="1"/>
  <c r="AG1820" i="1"/>
  <c r="AH1820" i="1" s="1"/>
  <c r="AG1821" i="1"/>
  <c r="AH1821" i="1" s="1"/>
  <c r="AG1822" i="1"/>
  <c r="AH1822" i="1" s="1"/>
  <c r="AG1823" i="1"/>
  <c r="AH1823" i="1" s="1"/>
  <c r="AG1824" i="1"/>
  <c r="AH1824" i="1" s="1"/>
  <c r="AG1825" i="1"/>
  <c r="AH1825" i="1" s="1"/>
  <c r="AG1826" i="1"/>
  <c r="AH1826" i="1" s="1"/>
  <c r="AG1827" i="1"/>
  <c r="AH1827" i="1" s="1"/>
  <c r="AG1828" i="1"/>
  <c r="AH1828" i="1" s="1"/>
  <c r="AG1829" i="1"/>
  <c r="AH1829" i="1" s="1"/>
  <c r="AG1830" i="1"/>
  <c r="AH1830" i="1" s="1"/>
  <c r="AG1831" i="1"/>
  <c r="AH1831" i="1" s="1"/>
  <c r="AG1832" i="1"/>
  <c r="AH1832" i="1" s="1"/>
  <c r="AG1833" i="1"/>
  <c r="AH1833" i="1" s="1"/>
  <c r="AG1834" i="1"/>
  <c r="AH1834" i="1" s="1"/>
  <c r="AG1835" i="1"/>
  <c r="AH1835" i="1" s="1"/>
  <c r="AG1836" i="1"/>
  <c r="AH1836" i="1" s="1"/>
  <c r="AG1837" i="1"/>
  <c r="AH1837" i="1" s="1"/>
  <c r="AG1838" i="1"/>
  <c r="AH1838" i="1" s="1"/>
  <c r="AG1839" i="1"/>
  <c r="AH1839" i="1" s="1"/>
  <c r="AG1840" i="1"/>
  <c r="AH1840" i="1" s="1"/>
  <c r="AG1841" i="1"/>
  <c r="AH1841" i="1" s="1"/>
  <c r="AG1842" i="1"/>
  <c r="AH1842" i="1" s="1"/>
  <c r="AG1843" i="1"/>
  <c r="AH1843" i="1" s="1"/>
  <c r="AG1844" i="1"/>
  <c r="AH1844" i="1" s="1"/>
  <c r="AG1845" i="1"/>
  <c r="AH1845" i="1" s="1"/>
  <c r="AG1846" i="1"/>
  <c r="AH1846" i="1" s="1"/>
  <c r="AG1847" i="1"/>
  <c r="AH1847" i="1" s="1"/>
  <c r="AG1848" i="1"/>
  <c r="AH1848" i="1" s="1"/>
  <c r="AG1849" i="1"/>
  <c r="AH1849" i="1" s="1"/>
  <c r="AG1850" i="1"/>
  <c r="AH1850" i="1" s="1"/>
  <c r="AG1851" i="1"/>
  <c r="AH1851" i="1" s="1"/>
  <c r="AG1852" i="1"/>
  <c r="AH1852" i="1" s="1"/>
  <c r="AG1853" i="1"/>
  <c r="AH1853" i="1" s="1"/>
  <c r="AG1854" i="1"/>
  <c r="AH1854" i="1" s="1"/>
  <c r="AG1855" i="1"/>
  <c r="AH1855" i="1" s="1"/>
  <c r="AG1856" i="1"/>
  <c r="AH1856" i="1" s="1"/>
  <c r="AG1857" i="1"/>
  <c r="AH1857" i="1" s="1"/>
  <c r="AG1858" i="1"/>
  <c r="AH1858" i="1" s="1"/>
  <c r="AG1859" i="1"/>
  <c r="AH1859" i="1" s="1"/>
  <c r="AG1860" i="1"/>
  <c r="AH1860" i="1" s="1"/>
  <c r="AG1861" i="1"/>
  <c r="AH1861" i="1" s="1"/>
  <c r="AG1862" i="1"/>
  <c r="AH1862" i="1" s="1"/>
  <c r="AG1863" i="1"/>
  <c r="AH1863" i="1" s="1"/>
  <c r="AG1864" i="1"/>
  <c r="AH1864" i="1" s="1"/>
  <c r="AG1865" i="1"/>
  <c r="AH1865" i="1" s="1"/>
  <c r="AG1866" i="1"/>
  <c r="AH1866" i="1" s="1"/>
  <c r="AG1867" i="1"/>
  <c r="AH1867" i="1" s="1"/>
  <c r="AG1868" i="1"/>
  <c r="AH1868" i="1" s="1"/>
  <c r="AG1869" i="1"/>
  <c r="AH1869" i="1" s="1"/>
  <c r="AG1870" i="1"/>
  <c r="AH1870" i="1" s="1"/>
  <c r="AG1871" i="1"/>
  <c r="AH1871" i="1" s="1"/>
  <c r="AG1872" i="1"/>
  <c r="AH1872" i="1" s="1"/>
  <c r="AG1873" i="1"/>
  <c r="AH1873" i="1" s="1"/>
  <c r="AG1874" i="1"/>
  <c r="AH1874" i="1" s="1"/>
  <c r="AG1875" i="1"/>
  <c r="AH1875" i="1" s="1"/>
  <c r="AG1876" i="1"/>
  <c r="AH1876" i="1" s="1"/>
  <c r="AG1877" i="1"/>
  <c r="AH1877" i="1" s="1"/>
  <c r="AG1878" i="1"/>
  <c r="AH1878" i="1" s="1"/>
  <c r="AG1879" i="1"/>
  <c r="AH1879" i="1" s="1"/>
  <c r="AG1880" i="1"/>
  <c r="AH1880" i="1" s="1"/>
  <c r="AG1881" i="1"/>
  <c r="AH1881" i="1" s="1"/>
  <c r="AG1882" i="1"/>
  <c r="AH1882" i="1" s="1"/>
  <c r="AG1883" i="1"/>
  <c r="AH1883" i="1" s="1"/>
  <c r="AG1884" i="1"/>
  <c r="AH1884" i="1" s="1"/>
  <c r="AG1885" i="1"/>
  <c r="AH1885" i="1" s="1"/>
  <c r="AG1886" i="1"/>
  <c r="AH1886" i="1" s="1"/>
  <c r="AG1887" i="1"/>
  <c r="AH1887" i="1" s="1"/>
  <c r="AG1888" i="1"/>
  <c r="AH1888" i="1" s="1"/>
  <c r="AG1889" i="1"/>
  <c r="AH1889" i="1" s="1"/>
  <c r="AG1890" i="1"/>
  <c r="AH1890" i="1" s="1"/>
  <c r="AG1891" i="1"/>
  <c r="AH1891" i="1" s="1"/>
  <c r="AG1892" i="1"/>
  <c r="AH1892" i="1" s="1"/>
  <c r="AG1893" i="1"/>
  <c r="AH1893" i="1" s="1"/>
  <c r="AG1894" i="1"/>
  <c r="AH1894" i="1" s="1"/>
  <c r="AG1895" i="1"/>
  <c r="AH1895" i="1" s="1"/>
  <c r="AG1896" i="1"/>
  <c r="AH1896" i="1" s="1"/>
  <c r="AG1897" i="1"/>
  <c r="AH1897" i="1" s="1"/>
  <c r="AG1898" i="1"/>
  <c r="AH1898" i="1" s="1"/>
  <c r="AG1899" i="1"/>
  <c r="AH1899" i="1" s="1"/>
  <c r="AG1900" i="1"/>
  <c r="AH1900" i="1" s="1"/>
  <c r="AG1901" i="1"/>
  <c r="AH1901" i="1" s="1"/>
  <c r="AG1902" i="1"/>
  <c r="AH1902" i="1" s="1"/>
  <c r="AG1903" i="1"/>
  <c r="AH1903" i="1" s="1"/>
  <c r="AG1904" i="1"/>
  <c r="AH1904" i="1" s="1"/>
  <c r="AG1905" i="1"/>
  <c r="AH1905" i="1" s="1"/>
  <c r="AG1906" i="1"/>
  <c r="AH1906" i="1" s="1"/>
  <c r="AG1907" i="1"/>
  <c r="AH1907" i="1" s="1"/>
  <c r="AG1908" i="1"/>
  <c r="AH1908" i="1" s="1"/>
  <c r="AG1909" i="1"/>
  <c r="AH1909" i="1" s="1"/>
  <c r="AG1910" i="1"/>
  <c r="AH1910" i="1" s="1"/>
  <c r="AG1911" i="1"/>
  <c r="AH1911" i="1" s="1"/>
  <c r="AG1912" i="1"/>
  <c r="AH1912" i="1" s="1"/>
  <c r="AG1913" i="1"/>
  <c r="AH1913" i="1" s="1"/>
  <c r="AG1914" i="1"/>
  <c r="AH1914" i="1" s="1"/>
  <c r="AG1915" i="1"/>
  <c r="AH1915" i="1" s="1"/>
  <c r="AG1916" i="1"/>
  <c r="AH1916" i="1" s="1"/>
  <c r="AG1917" i="1"/>
  <c r="AH1917" i="1" s="1"/>
  <c r="AG1918" i="1"/>
  <c r="AH1918" i="1" s="1"/>
  <c r="AG1919" i="1"/>
  <c r="AH1919" i="1" s="1"/>
  <c r="AG1920" i="1"/>
  <c r="AH1920" i="1" s="1"/>
  <c r="AG1921" i="1"/>
  <c r="AH1921" i="1" s="1"/>
  <c r="AG1922" i="1"/>
  <c r="AH1922" i="1" s="1"/>
  <c r="AG1923" i="1"/>
  <c r="AH1923" i="1" s="1"/>
  <c r="AG1924" i="1"/>
  <c r="AH1924" i="1" s="1"/>
  <c r="AG1925" i="1"/>
  <c r="AH1925" i="1" s="1"/>
  <c r="AG1926" i="1"/>
  <c r="AH1926" i="1" s="1"/>
  <c r="AG1927" i="1"/>
  <c r="AH1927" i="1" s="1"/>
  <c r="AG1928" i="1"/>
  <c r="AH1928" i="1" s="1"/>
  <c r="AG1929" i="1"/>
  <c r="AH1929" i="1" s="1"/>
  <c r="AG1930" i="1"/>
  <c r="AH1930" i="1" s="1"/>
  <c r="AG1931" i="1"/>
  <c r="AH1931" i="1" s="1"/>
  <c r="AG1932" i="1"/>
  <c r="AH1932" i="1" s="1"/>
  <c r="AG1933" i="1"/>
  <c r="AH1933" i="1" s="1"/>
  <c r="AG1934" i="1"/>
  <c r="AH1934" i="1" s="1"/>
  <c r="AG1935" i="1"/>
  <c r="AH1935" i="1" s="1"/>
  <c r="AG1936" i="1"/>
  <c r="AH1936" i="1" s="1"/>
  <c r="AG1937" i="1"/>
  <c r="AH1937" i="1" s="1"/>
  <c r="AG1938" i="1"/>
  <c r="AH1938" i="1" s="1"/>
  <c r="AG1939" i="1"/>
  <c r="AH1939" i="1" s="1"/>
  <c r="AG1940" i="1"/>
  <c r="AH1940" i="1" s="1"/>
  <c r="AG1941" i="1"/>
  <c r="AH1941" i="1" s="1"/>
  <c r="AG1942" i="1"/>
  <c r="AH1942" i="1" s="1"/>
  <c r="AG1943" i="1"/>
  <c r="AH1943" i="1" s="1"/>
  <c r="AG1944" i="1"/>
  <c r="AH1944" i="1" s="1"/>
  <c r="AG1945" i="1"/>
  <c r="AH1945" i="1" s="1"/>
  <c r="AG1946" i="1"/>
  <c r="AH1946" i="1" s="1"/>
  <c r="AG1947" i="1"/>
  <c r="AH1947" i="1" s="1"/>
  <c r="AG1948" i="1"/>
  <c r="AH1948" i="1" s="1"/>
  <c r="AG1949" i="1"/>
  <c r="AH1949" i="1" s="1"/>
  <c r="AG1950" i="1"/>
  <c r="AH1950" i="1" s="1"/>
  <c r="AG1951" i="1"/>
  <c r="AH1951" i="1" s="1"/>
  <c r="AG1952" i="1"/>
  <c r="AH1952" i="1" s="1"/>
  <c r="AG1953" i="1"/>
  <c r="AH1953" i="1" s="1"/>
  <c r="AG1954" i="1"/>
  <c r="AH1954" i="1" s="1"/>
  <c r="AG1955" i="1"/>
  <c r="AH1955" i="1" s="1"/>
  <c r="AG1956" i="1"/>
  <c r="AH1956" i="1" s="1"/>
  <c r="AG1957" i="1"/>
  <c r="AH1957" i="1" s="1"/>
  <c r="AG1958" i="1"/>
  <c r="AH1958" i="1" s="1"/>
  <c r="AG1959" i="1"/>
  <c r="AH1959" i="1" s="1"/>
  <c r="AG1960" i="1"/>
  <c r="AH1960" i="1" s="1"/>
  <c r="AG1961" i="1"/>
  <c r="AH1961" i="1" s="1"/>
  <c r="AG1962" i="1"/>
  <c r="AH1962" i="1" s="1"/>
  <c r="AG1963" i="1"/>
  <c r="AH1963" i="1" s="1"/>
  <c r="AG1964" i="1"/>
  <c r="AH1964" i="1" s="1"/>
  <c r="AG1965" i="1"/>
  <c r="AH1965" i="1" s="1"/>
  <c r="AG1966" i="1"/>
  <c r="AH1966" i="1" s="1"/>
  <c r="AG1967" i="1"/>
  <c r="AH1967" i="1" s="1"/>
  <c r="AG1968" i="1"/>
  <c r="AH1968" i="1" s="1"/>
  <c r="AG1969" i="1"/>
  <c r="AH1969" i="1" s="1"/>
  <c r="AG1970" i="1"/>
  <c r="AH1970" i="1" s="1"/>
  <c r="AG1971" i="1"/>
  <c r="AH1971" i="1" s="1"/>
  <c r="AG1972" i="1"/>
  <c r="AH1972" i="1" s="1"/>
  <c r="AG1973" i="1"/>
  <c r="AH1973" i="1" s="1"/>
  <c r="AG1974" i="1"/>
  <c r="AH1974" i="1" s="1"/>
  <c r="AG1975" i="1"/>
  <c r="AH1975" i="1" s="1"/>
  <c r="AG1976" i="1"/>
  <c r="AH1976" i="1" s="1"/>
  <c r="AG1977" i="1"/>
  <c r="AH1977" i="1" s="1"/>
  <c r="AG1978" i="1"/>
  <c r="AH1978" i="1" s="1"/>
  <c r="AG1979" i="1"/>
  <c r="AH1979" i="1" s="1"/>
  <c r="AG1980" i="1"/>
  <c r="AH1980" i="1" s="1"/>
  <c r="AG1981" i="1"/>
  <c r="AH1981" i="1" s="1"/>
  <c r="AG1982" i="1"/>
  <c r="AH1982" i="1" s="1"/>
  <c r="AG1983" i="1"/>
  <c r="AH1983" i="1" s="1"/>
  <c r="AG1984" i="1"/>
  <c r="AH1984" i="1" s="1"/>
  <c r="AG1985" i="1"/>
  <c r="AH1985" i="1" s="1"/>
  <c r="AG1986" i="1"/>
  <c r="AH1986" i="1" s="1"/>
  <c r="AG1987" i="1"/>
  <c r="AH1987" i="1" s="1"/>
  <c r="AG1988" i="1"/>
  <c r="AH1988" i="1" s="1"/>
  <c r="AG1989" i="1"/>
  <c r="AH1989" i="1" s="1"/>
  <c r="AG1990" i="1"/>
  <c r="AH1990" i="1" s="1"/>
  <c r="AG1991" i="1"/>
  <c r="AH1991" i="1" s="1"/>
  <c r="AG1992" i="1"/>
  <c r="AH1992" i="1" s="1"/>
  <c r="AG1993" i="1"/>
  <c r="AH1993" i="1" s="1"/>
  <c r="AG1994" i="1"/>
  <c r="AH1994" i="1" s="1"/>
  <c r="AG1995" i="1"/>
  <c r="AH1995" i="1" s="1"/>
  <c r="AG1996" i="1"/>
  <c r="AH1996" i="1" s="1"/>
  <c r="AG1997" i="1"/>
  <c r="AH1997" i="1" s="1"/>
  <c r="AG1998" i="1"/>
  <c r="AH1998" i="1" s="1"/>
  <c r="AG1999" i="1"/>
  <c r="AH1999" i="1" s="1"/>
  <c r="AG2000" i="1"/>
  <c r="AH2000" i="1" s="1"/>
  <c r="AG2001" i="1"/>
  <c r="AH2001" i="1" s="1"/>
  <c r="AG2002" i="1"/>
  <c r="AH2002" i="1" s="1"/>
  <c r="AG2003" i="1"/>
  <c r="AH2003" i="1" s="1"/>
  <c r="AG2004" i="1"/>
  <c r="AH2004" i="1" s="1"/>
  <c r="AG2005" i="1"/>
  <c r="AH2005" i="1" s="1"/>
  <c r="AG2006" i="1"/>
  <c r="AH2006" i="1" s="1"/>
  <c r="AG2007" i="1"/>
  <c r="AH2007" i="1" s="1"/>
  <c r="AG2008" i="1"/>
  <c r="AH2008" i="1" s="1"/>
  <c r="AG2009" i="1"/>
  <c r="AH2009" i="1" s="1"/>
  <c r="AG2010" i="1"/>
  <c r="AH2010" i="1" s="1"/>
  <c r="AG2011" i="1"/>
  <c r="AH2011" i="1" s="1"/>
  <c r="AG2012" i="1"/>
  <c r="AH2012" i="1" s="1"/>
  <c r="AG2013" i="1"/>
  <c r="AH2013" i="1" s="1"/>
  <c r="AG2014" i="1"/>
  <c r="AH2014" i="1" s="1"/>
  <c r="AG2015" i="1"/>
  <c r="AH2015" i="1" s="1"/>
  <c r="AG2016" i="1"/>
  <c r="AH2016" i="1" s="1"/>
  <c r="AG2017" i="1"/>
  <c r="AH2017" i="1" s="1"/>
  <c r="AG2018" i="1"/>
  <c r="AH2018" i="1" s="1"/>
  <c r="AG2019" i="1"/>
  <c r="AH2019" i="1" s="1"/>
  <c r="AG2020" i="1"/>
  <c r="AH2020" i="1" s="1"/>
  <c r="AG2021" i="1"/>
  <c r="AH2021" i="1" s="1"/>
  <c r="AG2022" i="1"/>
  <c r="AH2022" i="1" s="1"/>
  <c r="AG2023" i="1"/>
  <c r="AH2023" i="1" s="1"/>
  <c r="AG2024" i="1"/>
  <c r="AH2024" i="1" s="1"/>
  <c r="AG2025" i="1"/>
  <c r="AH2025" i="1" s="1"/>
  <c r="AG2026" i="1"/>
  <c r="AH2026" i="1" s="1"/>
  <c r="AG2027" i="1"/>
  <c r="AH2027" i="1" s="1"/>
  <c r="AG2028" i="1"/>
  <c r="AH2028" i="1" s="1"/>
  <c r="AG2029" i="1"/>
  <c r="AH2029" i="1" s="1"/>
  <c r="AG2030" i="1"/>
  <c r="AH2030" i="1" s="1"/>
  <c r="AG2031" i="1"/>
  <c r="AH2031" i="1" s="1"/>
  <c r="AG2032" i="1"/>
  <c r="AH2032" i="1" s="1"/>
  <c r="AG2033" i="1"/>
  <c r="AH2033" i="1" s="1"/>
  <c r="AG2034" i="1"/>
  <c r="AH2034" i="1" s="1"/>
  <c r="AG2035" i="1"/>
  <c r="AH2035" i="1" s="1"/>
  <c r="AG2036" i="1"/>
  <c r="AH2036" i="1" s="1"/>
  <c r="AG2037" i="1"/>
  <c r="AH2037" i="1" s="1"/>
  <c r="AG2038" i="1"/>
  <c r="AH2038" i="1" s="1"/>
  <c r="AG2039" i="1"/>
  <c r="AH2039" i="1" s="1"/>
  <c r="AG2040" i="1"/>
  <c r="AH2040" i="1" s="1"/>
  <c r="AG2041" i="1"/>
  <c r="AH2041" i="1" s="1"/>
  <c r="AG2042" i="1"/>
  <c r="AH2042" i="1" s="1"/>
  <c r="AG2043" i="1"/>
  <c r="AH2043" i="1" s="1"/>
  <c r="AG2044" i="1"/>
  <c r="AH2044" i="1" s="1"/>
  <c r="AG2045" i="1"/>
  <c r="AH2045" i="1" s="1"/>
  <c r="AG2046" i="1"/>
  <c r="AH2046" i="1" s="1"/>
  <c r="AG2047" i="1"/>
  <c r="AH2047" i="1" s="1"/>
  <c r="AG2048" i="1"/>
  <c r="AH2048" i="1" s="1"/>
  <c r="AG2049" i="1"/>
  <c r="AH2049" i="1" s="1"/>
  <c r="AG2050" i="1"/>
  <c r="AH2050" i="1" s="1"/>
  <c r="AG2051" i="1"/>
  <c r="AH2051" i="1" s="1"/>
  <c r="AG2052" i="1"/>
  <c r="AH2052" i="1" s="1"/>
  <c r="AG2053" i="1"/>
  <c r="AH2053" i="1" s="1"/>
  <c r="AG2054" i="1"/>
  <c r="AH2054" i="1" s="1"/>
  <c r="AG2055" i="1"/>
  <c r="AH2055" i="1" s="1"/>
  <c r="AG2056" i="1"/>
  <c r="AH2056" i="1" s="1"/>
  <c r="AG2057" i="1"/>
  <c r="AH2057" i="1" s="1"/>
  <c r="AG2058" i="1"/>
  <c r="AH2058" i="1" s="1"/>
  <c r="AG2059" i="1"/>
  <c r="AH2059" i="1" s="1"/>
  <c r="AG2060" i="1"/>
  <c r="AH2060" i="1" s="1"/>
  <c r="AG2061" i="1"/>
  <c r="AH2061" i="1" s="1"/>
  <c r="AG2062" i="1"/>
  <c r="AH2062" i="1" s="1"/>
  <c r="AG2063" i="1"/>
  <c r="AH2063" i="1" s="1"/>
  <c r="AG2064" i="1"/>
  <c r="AH2064" i="1" s="1"/>
  <c r="AG2065" i="1"/>
  <c r="AH2065" i="1" s="1"/>
  <c r="AG2066" i="1"/>
  <c r="AH2066" i="1" s="1"/>
  <c r="AG2067" i="1"/>
  <c r="AH2067" i="1" s="1"/>
  <c r="AG2068" i="1"/>
  <c r="AH2068" i="1" s="1"/>
  <c r="AG2069" i="1"/>
  <c r="AH2069" i="1" s="1"/>
  <c r="AG2070" i="1"/>
  <c r="AH2070" i="1" s="1"/>
  <c r="AG2071" i="1"/>
  <c r="AH2071" i="1" s="1"/>
  <c r="AG2072" i="1"/>
  <c r="AH2072" i="1" s="1"/>
  <c r="AG2073" i="1"/>
  <c r="AH2073" i="1" s="1"/>
  <c r="AG2074" i="1"/>
  <c r="AH2074" i="1" s="1"/>
  <c r="AG2075" i="1"/>
  <c r="AH2075" i="1" s="1"/>
  <c r="AG2076" i="1"/>
  <c r="AH2076" i="1" s="1"/>
  <c r="AG2077" i="1"/>
  <c r="AH2077" i="1" s="1"/>
  <c r="AG2078" i="1"/>
  <c r="AH2078" i="1" s="1"/>
  <c r="AG2079" i="1"/>
  <c r="AH2079" i="1" s="1"/>
  <c r="AG2080" i="1"/>
  <c r="AH2080" i="1" s="1"/>
  <c r="AG2081" i="1"/>
  <c r="AH2081" i="1" s="1"/>
  <c r="AG2082" i="1"/>
  <c r="AH2082" i="1" s="1"/>
  <c r="AG2083" i="1"/>
  <c r="AH2083" i="1" s="1"/>
  <c r="AG2084" i="1"/>
  <c r="AH2084" i="1" s="1"/>
  <c r="AG2085" i="1"/>
  <c r="AH2085" i="1" s="1"/>
  <c r="AG2086" i="1"/>
  <c r="AH2086" i="1" s="1"/>
  <c r="AG2087" i="1"/>
  <c r="AH2087" i="1" s="1"/>
  <c r="AG2088" i="1"/>
  <c r="AH2088" i="1" s="1"/>
  <c r="AG2089" i="1"/>
  <c r="AH2089" i="1" s="1"/>
  <c r="AG2090" i="1"/>
  <c r="AH2090" i="1" s="1"/>
  <c r="AG2091" i="1"/>
  <c r="AH2091" i="1" s="1"/>
  <c r="AG2092" i="1"/>
  <c r="AH2092" i="1" s="1"/>
  <c r="AG2093" i="1"/>
  <c r="AH2093" i="1" s="1"/>
  <c r="AG2094" i="1"/>
  <c r="AH2094" i="1" s="1"/>
  <c r="AG2095" i="1"/>
  <c r="AH2095" i="1" s="1"/>
  <c r="AG2096" i="1"/>
  <c r="AH2096" i="1" s="1"/>
  <c r="AG2097" i="1"/>
  <c r="AH2097" i="1" s="1"/>
  <c r="AG2098" i="1"/>
  <c r="AH2098" i="1" s="1"/>
  <c r="AG2099" i="1"/>
  <c r="AH2099" i="1" s="1"/>
  <c r="AG2100" i="1"/>
  <c r="AH2100" i="1" s="1"/>
  <c r="AG2101" i="1"/>
  <c r="AH2101" i="1" s="1"/>
  <c r="AG2102" i="1"/>
  <c r="AH2102" i="1" s="1"/>
  <c r="AG2103" i="1"/>
  <c r="AH2103" i="1" s="1"/>
  <c r="AG2104" i="1"/>
  <c r="AH2104" i="1" s="1"/>
  <c r="AG2105" i="1"/>
  <c r="AH2105" i="1" s="1"/>
  <c r="AG2106" i="1"/>
  <c r="AH2106" i="1" s="1"/>
  <c r="AG2107" i="1"/>
  <c r="AH2107" i="1" s="1"/>
  <c r="AG2108" i="1"/>
  <c r="AH2108" i="1" s="1"/>
  <c r="AG2109" i="1"/>
  <c r="AH2109" i="1" s="1"/>
  <c r="AG2110" i="1"/>
  <c r="AH2110" i="1" s="1"/>
  <c r="AG2111" i="1"/>
  <c r="AH2111" i="1" s="1"/>
  <c r="AG2112" i="1"/>
  <c r="AH2112" i="1" s="1"/>
  <c r="AG2113" i="1"/>
  <c r="AH2113" i="1" s="1"/>
  <c r="AG2114" i="1"/>
  <c r="AH2114" i="1" s="1"/>
  <c r="AG2115" i="1"/>
  <c r="AH2115" i="1" s="1"/>
  <c r="AG2116" i="1"/>
  <c r="AH2116" i="1" s="1"/>
  <c r="AG2117" i="1"/>
  <c r="AH2117" i="1" s="1"/>
  <c r="AG2118" i="1"/>
  <c r="AH2118" i="1" s="1"/>
  <c r="AG2119" i="1"/>
  <c r="AH2119" i="1" s="1"/>
  <c r="AG2120" i="1"/>
  <c r="AH2120" i="1" s="1"/>
  <c r="AG2121" i="1"/>
  <c r="AH2121" i="1" s="1"/>
  <c r="AG2122" i="1"/>
  <c r="AH2122" i="1" s="1"/>
  <c r="AG2123" i="1"/>
  <c r="AH2123" i="1" s="1"/>
  <c r="AG2124" i="1"/>
  <c r="AH2124" i="1" s="1"/>
  <c r="AG2125" i="1"/>
  <c r="AH2125" i="1" s="1"/>
  <c r="AG2126" i="1"/>
  <c r="AH2126" i="1" s="1"/>
  <c r="AG2127" i="1"/>
  <c r="AH2127" i="1" s="1"/>
  <c r="AG2128" i="1"/>
  <c r="AH2128" i="1" s="1"/>
  <c r="AG2129" i="1"/>
  <c r="AH2129" i="1" s="1"/>
  <c r="AG2130" i="1"/>
  <c r="AH2130" i="1" s="1"/>
  <c r="AG2131" i="1"/>
  <c r="AH2131" i="1" s="1"/>
  <c r="AG2132" i="1"/>
  <c r="AH2132" i="1" s="1"/>
  <c r="AG2133" i="1"/>
  <c r="AH2133" i="1" s="1"/>
  <c r="AG2134" i="1"/>
  <c r="AH2134" i="1" s="1"/>
  <c r="AG2135" i="1"/>
  <c r="AH2135" i="1" s="1"/>
  <c r="AG2136" i="1"/>
  <c r="AH2136" i="1" s="1"/>
  <c r="AG2137" i="1"/>
  <c r="AH2137" i="1" s="1"/>
  <c r="AG2138" i="1"/>
  <c r="AH2138" i="1" s="1"/>
  <c r="AG2139" i="1"/>
  <c r="AH2139" i="1" s="1"/>
  <c r="AG2140" i="1"/>
  <c r="AH2140" i="1" s="1"/>
  <c r="AG2141" i="1"/>
  <c r="AH2141" i="1" s="1"/>
  <c r="AG2142" i="1"/>
  <c r="AH2142" i="1" s="1"/>
  <c r="AG2143" i="1"/>
  <c r="AH2143" i="1" s="1"/>
  <c r="AG2144" i="1"/>
  <c r="AH2144" i="1" s="1"/>
  <c r="AG2145" i="1"/>
  <c r="AH2145" i="1" s="1"/>
  <c r="AG2146" i="1"/>
  <c r="AH2146" i="1" s="1"/>
  <c r="AG2147" i="1"/>
  <c r="AH2147" i="1" s="1"/>
  <c r="AG2148" i="1"/>
  <c r="AH2148" i="1" s="1"/>
  <c r="AG2149" i="1"/>
  <c r="AH2149" i="1" s="1"/>
  <c r="AG2150" i="1"/>
  <c r="AH2150" i="1" s="1"/>
  <c r="AG2151" i="1"/>
  <c r="AH2151" i="1" s="1"/>
  <c r="AG2152" i="1"/>
  <c r="AH2152" i="1" s="1"/>
  <c r="AG2153" i="1"/>
  <c r="AH2153" i="1" s="1"/>
  <c r="AG2154" i="1"/>
  <c r="AH2154" i="1" s="1"/>
  <c r="AG2155" i="1"/>
  <c r="AH2155" i="1" s="1"/>
  <c r="AG2156" i="1"/>
  <c r="AH2156" i="1" s="1"/>
  <c r="AG2157" i="1"/>
  <c r="AH2157" i="1" s="1"/>
  <c r="AG2158" i="1"/>
  <c r="AH2158" i="1" s="1"/>
  <c r="AG2159" i="1"/>
  <c r="AH2159" i="1" s="1"/>
  <c r="AG2160" i="1"/>
  <c r="AH2160" i="1" s="1"/>
  <c r="AG2161" i="1"/>
  <c r="AH2161" i="1" s="1"/>
  <c r="AG2162" i="1"/>
  <c r="AH2162" i="1" s="1"/>
  <c r="AG2163" i="1"/>
  <c r="AH2163" i="1" s="1"/>
  <c r="AG2164" i="1"/>
  <c r="AH2164" i="1" s="1"/>
  <c r="AG2165" i="1"/>
  <c r="AH2165" i="1" s="1"/>
  <c r="AG2166" i="1"/>
  <c r="AH2166" i="1" s="1"/>
  <c r="AG2167" i="1"/>
  <c r="AH2167" i="1" s="1"/>
  <c r="AG2168" i="1"/>
  <c r="AH2168" i="1" s="1"/>
  <c r="AG2169" i="1"/>
  <c r="AH2169" i="1" s="1"/>
  <c r="AG2170" i="1"/>
  <c r="AH2170" i="1" s="1"/>
  <c r="AG2171" i="1"/>
  <c r="AH2171" i="1" s="1"/>
  <c r="AG2172" i="1"/>
  <c r="AH2172" i="1" s="1"/>
  <c r="AG2173" i="1"/>
  <c r="AH2173" i="1" s="1"/>
  <c r="AG2174" i="1"/>
  <c r="AH2174" i="1" s="1"/>
  <c r="AG2175" i="1"/>
  <c r="AH2175" i="1" s="1"/>
  <c r="AG2176" i="1"/>
  <c r="AH2176" i="1" s="1"/>
  <c r="AG2177" i="1"/>
  <c r="AH2177" i="1" s="1"/>
  <c r="AG2178" i="1"/>
  <c r="AH2178" i="1" s="1"/>
  <c r="AG2179" i="1"/>
  <c r="AH2179" i="1" s="1"/>
  <c r="AG2180" i="1"/>
  <c r="AH2180" i="1" s="1"/>
  <c r="AG2181" i="1"/>
  <c r="AH2181" i="1" s="1"/>
  <c r="AG2182" i="1"/>
  <c r="AH2182" i="1" s="1"/>
  <c r="AG2183" i="1"/>
  <c r="AH2183" i="1" s="1"/>
  <c r="AG2184" i="1"/>
  <c r="AH2184" i="1" s="1"/>
  <c r="AG2185" i="1"/>
  <c r="AH2185" i="1" s="1"/>
  <c r="AG2186" i="1"/>
  <c r="AH2186" i="1" s="1"/>
  <c r="AG2187" i="1"/>
  <c r="AH2187" i="1" s="1"/>
  <c r="AG2188" i="1"/>
  <c r="AH2188" i="1" s="1"/>
  <c r="AG2189" i="1"/>
  <c r="AH2189" i="1" s="1"/>
  <c r="AG2190" i="1"/>
  <c r="AH2190" i="1" s="1"/>
  <c r="AG2191" i="1"/>
  <c r="AH2191" i="1" s="1"/>
  <c r="AG2192" i="1"/>
  <c r="AH2192" i="1" s="1"/>
  <c r="AG2193" i="1"/>
  <c r="AH2193" i="1" s="1"/>
  <c r="AG2194" i="1"/>
  <c r="AH2194" i="1" s="1"/>
  <c r="AG2195" i="1"/>
  <c r="AH2195" i="1" s="1"/>
  <c r="AG2196" i="1"/>
  <c r="AH2196" i="1" s="1"/>
  <c r="AG2197" i="1"/>
  <c r="AH2197" i="1" s="1"/>
  <c r="AG2198" i="1"/>
  <c r="AH2198" i="1" s="1"/>
  <c r="AG2199" i="1"/>
  <c r="AH2199" i="1" s="1"/>
  <c r="AG2200" i="1"/>
  <c r="AH2200" i="1" s="1"/>
  <c r="AG2201" i="1"/>
  <c r="AH2201" i="1" s="1"/>
  <c r="AG2202" i="1"/>
  <c r="AH2202" i="1" s="1"/>
  <c r="AG2203" i="1"/>
  <c r="AH2203" i="1" s="1"/>
  <c r="AG2204" i="1"/>
  <c r="AH2204" i="1" s="1"/>
  <c r="AG2205" i="1"/>
  <c r="AH2205" i="1" s="1"/>
  <c r="AG2206" i="1"/>
  <c r="AH2206" i="1" s="1"/>
  <c r="AG2207" i="1"/>
  <c r="AH2207" i="1" s="1"/>
  <c r="AG2208" i="1"/>
  <c r="AH2208" i="1" s="1"/>
  <c r="AG2209" i="1"/>
  <c r="AH2209" i="1" s="1"/>
  <c r="AG2210" i="1"/>
  <c r="AH2210" i="1" s="1"/>
  <c r="AG2211" i="1"/>
  <c r="AH2211" i="1" s="1"/>
  <c r="AG2212" i="1"/>
  <c r="AH2212" i="1" s="1"/>
  <c r="AG2213" i="1"/>
  <c r="AH2213" i="1" s="1"/>
  <c r="AG2214" i="1"/>
  <c r="AH2214" i="1" s="1"/>
  <c r="AG2215" i="1"/>
  <c r="AH2215" i="1" s="1"/>
  <c r="AG2216" i="1"/>
  <c r="AH2216" i="1" s="1"/>
  <c r="AG2217" i="1"/>
  <c r="AH2217" i="1" s="1"/>
  <c r="AG2218" i="1"/>
  <c r="AH2218" i="1" s="1"/>
  <c r="AG2219" i="1"/>
  <c r="AH2219" i="1" s="1"/>
  <c r="AG2220" i="1"/>
  <c r="AH2220" i="1" s="1"/>
  <c r="AG2221" i="1"/>
  <c r="AH2221" i="1" s="1"/>
  <c r="AG2222" i="1"/>
  <c r="AH2222" i="1" s="1"/>
  <c r="AG2223" i="1"/>
  <c r="AH2223" i="1" s="1"/>
  <c r="AG2224" i="1"/>
  <c r="AH2224" i="1" s="1"/>
  <c r="AG2225" i="1"/>
  <c r="AH2225" i="1" s="1"/>
  <c r="AG2226" i="1"/>
  <c r="AH2226" i="1" s="1"/>
  <c r="AG2227" i="1"/>
  <c r="AH2227" i="1" s="1"/>
  <c r="AG2228" i="1"/>
  <c r="AH2228" i="1" s="1"/>
  <c r="AG2229" i="1"/>
  <c r="AH2229" i="1" s="1"/>
  <c r="AG2230" i="1"/>
  <c r="AH2230" i="1" s="1"/>
  <c r="AG2231" i="1"/>
  <c r="AH2231" i="1" s="1"/>
  <c r="AG2232" i="1"/>
  <c r="AH2232" i="1" s="1"/>
  <c r="AG2233" i="1"/>
  <c r="AH2233" i="1" s="1"/>
  <c r="AG2234" i="1"/>
  <c r="AH2234" i="1" s="1"/>
  <c r="AG2235" i="1"/>
  <c r="AH2235" i="1" s="1"/>
  <c r="AG2236" i="1"/>
  <c r="AH2236" i="1" s="1"/>
  <c r="AG2237" i="1"/>
  <c r="AH2237" i="1" s="1"/>
  <c r="AG2238" i="1"/>
  <c r="AH2238" i="1" s="1"/>
  <c r="AG2239" i="1"/>
  <c r="AH2239" i="1" s="1"/>
  <c r="AG2240" i="1"/>
  <c r="AH2240" i="1" s="1"/>
  <c r="AG2241" i="1"/>
  <c r="AH2241" i="1" s="1"/>
  <c r="AG2242" i="1"/>
  <c r="AH2242" i="1" s="1"/>
  <c r="AG2243" i="1"/>
  <c r="AH2243" i="1" s="1"/>
  <c r="AG2244" i="1"/>
  <c r="AH2244" i="1" s="1"/>
  <c r="AG2245" i="1"/>
  <c r="AH2245" i="1" s="1"/>
  <c r="AG2246" i="1"/>
  <c r="AH2246" i="1" s="1"/>
  <c r="AG2247" i="1"/>
  <c r="AH2247" i="1" s="1"/>
  <c r="AG2248" i="1"/>
  <c r="AH2248" i="1" s="1"/>
  <c r="AG2249" i="1"/>
  <c r="AH2249" i="1" s="1"/>
  <c r="AG2250" i="1"/>
  <c r="AH2250" i="1" s="1"/>
  <c r="AG2251" i="1"/>
  <c r="AH2251" i="1" s="1"/>
  <c r="AG2252" i="1"/>
  <c r="AH2252" i="1" s="1"/>
  <c r="AG2253" i="1"/>
  <c r="AH2253" i="1" s="1"/>
  <c r="AG2254" i="1"/>
  <c r="AH2254" i="1" s="1"/>
  <c r="AG2255" i="1"/>
  <c r="AH2255" i="1" s="1"/>
  <c r="AG2256" i="1"/>
  <c r="AH2256" i="1" s="1"/>
  <c r="AG2257" i="1"/>
  <c r="AH2257" i="1" s="1"/>
  <c r="AG2258" i="1"/>
  <c r="AH2258" i="1" s="1"/>
  <c r="AG2259" i="1"/>
  <c r="AH2259" i="1" s="1"/>
  <c r="AG2260" i="1"/>
  <c r="AH2260" i="1" s="1"/>
  <c r="AG2261" i="1"/>
  <c r="AH2261" i="1" s="1"/>
  <c r="AG2262" i="1"/>
  <c r="AH2262" i="1" s="1"/>
  <c r="AG2263" i="1"/>
  <c r="AH2263" i="1" s="1"/>
  <c r="AG2264" i="1"/>
  <c r="AH2264" i="1" s="1"/>
  <c r="AG2265" i="1"/>
  <c r="AH2265" i="1" s="1"/>
  <c r="AG2266" i="1"/>
  <c r="AH2266" i="1" s="1"/>
  <c r="AG2267" i="1"/>
  <c r="AH2267" i="1" s="1"/>
  <c r="AG2268" i="1"/>
  <c r="AH2268" i="1" s="1"/>
  <c r="AG2269" i="1"/>
  <c r="AH2269" i="1" s="1"/>
  <c r="AG2270" i="1"/>
  <c r="AH2270" i="1" s="1"/>
  <c r="AG2271" i="1"/>
  <c r="AH2271" i="1" s="1"/>
  <c r="AG2272" i="1"/>
  <c r="AH2272" i="1" s="1"/>
  <c r="AG2273" i="1"/>
  <c r="AH2273" i="1" s="1"/>
  <c r="AG2274" i="1"/>
  <c r="AH2274" i="1" s="1"/>
  <c r="AG2275" i="1"/>
  <c r="AH2275" i="1" s="1"/>
  <c r="AG2276" i="1"/>
  <c r="AH2276" i="1" s="1"/>
  <c r="AG2277" i="1"/>
  <c r="AH2277" i="1" s="1"/>
  <c r="AG2278" i="1"/>
  <c r="AH2278" i="1" s="1"/>
  <c r="AG2279" i="1"/>
  <c r="AH2279" i="1" s="1"/>
  <c r="AG2280" i="1"/>
  <c r="AH2280" i="1" s="1"/>
  <c r="AG2281" i="1"/>
  <c r="AH2281" i="1" s="1"/>
  <c r="AG2282" i="1"/>
  <c r="AH2282" i="1" s="1"/>
  <c r="AG2283" i="1"/>
  <c r="AH2283" i="1" s="1"/>
  <c r="AG2284" i="1"/>
  <c r="AH2284" i="1" s="1"/>
  <c r="AG2285" i="1"/>
  <c r="AH2285" i="1" s="1"/>
  <c r="AG2286" i="1"/>
  <c r="AH2286" i="1" s="1"/>
  <c r="AG2287" i="1"/>
  <c r="AH2287" i="1" s="1"/>
  <c r="AG2288" i="1"/>
  <c r="AH2288" i="1" s="1"/>
  <c r="AG2289" i="1"/>
  <c r="AH2289" i="1" s="1"/>
  <c r="AG2290" i="1"/>
  <c r="AH2290" i="1" s="1"/>
  <c r="AG2291" i="1"/>
  <c r="AH2291" i="1" s="1"/>
  <c r="AG2292" i="1"/>
  <c r="AH2292" i="1" s="1"/>
  <c r="AG2293" i="1"/>
  <c r="AH2293" i="1" s="1"/>
  <c r="AG2294" i="1"/>
  <c r="AH2294" i="1" s="1"/>
  <c r="AG2295" i="1"/>
  <c r="AH2295" i="1" s="1"/>
  <c r="AG2296" i="1"/>
  <c r="AH2296" i="1" s="1"/>
  <c r="AG2297" i="1"/>
  <c r="AH2297" i="1" s="1"/>
  <c r="AG2298" i="1"/>
  <c r="AH2298" i="1" s="1"/>
  <c r="AG2299" i="1"/>
  <c r="AH2299" i="1" s="1"/>
  <c r="AG2300" i="1"/>
  <c r="AH2300" i="1" s="1"/>
  <c r="AG2301" i="1"/>
  <c r="AH2301" i="1" s="1"/>
  <c r="AG2302" i="1"/>
  <c r="AH2302" i="1" s="1"/>
  <c r="AG2303" i="1"/>
  <c r="AH2303" i="1" s="1"/>
  <c r="AG2304" i="1"/>
  <c r="AH2304" i="1" s="1"/>
  <c r="AG2305" i="1"/>
  <c r="AH2305" i="1" s="1"/>
  <c r="AG2306" i="1"/>
  <c r="AH2306" i="1" s="1"/>
  <c r="AG2307" i="1"/>
  <c r="AH2307" i="1" s="1"/>
  <c r="AG2308" i="1"/>
  <c r="AH2308" i="1" s="1"/>
  <c r="AG2309" i="1"/>
  <c r="AH2309" i="1" s="1"/>
  <c r="AG2310" i="1"/>
  <c r="AH2310" i="1" s="1"/>
  <c r="AG2311" i="1"/>
  <c r="AH2311" i="1" s="1"/>
  <c r="AG2312" i="1"/>
  <c r="AH2312" i="1" s="1"/>
  <c r="AG2313" i="1"/>
  <c r="AH2313" i="1" s="1"/>
  <c r="AG2314" i="1"/>
  <c r="AH2314" i="1" s="1"/>
  <c r="AG2315" i="1"/>
  <c r="AH2315" i="1" s="1"/>
  <c r="AG2316" i="1"/>
  <c r="AH2316" i="1" s="1"/>
  <c r="AG2317" i="1"/>
  <c r="AH2317" i="1" s="1"/>
  <c r="AG2318" i="1"/>
  <c r="AH2318" i="1" s="1"/>
  <c r="AG2319" i="1"/>
  <c r="AH2319" i="1" s="1"/>
  <c r="AG2320" i="1"/>
  <c r="AH2320" i="1" s="1"/>
  <c r="AG2321" i="1"/>
  <c r="AH2321" i="1" s="1"/>
  <c r="AG2322" i="1"/>
  <c r="AH2322" i="1" s="1"/>
  <c r="AG2323" i="1"/>
  <c r="AH2323" i="1" s="1"/>
  <c r="AG2324" i="1"/>
  <c r="AH2324" i="1" s="1"/>
  <c r="AG2325" i="1"/>
  <c r="AH2325" i="1" s="1"/>
  <c r="AG2326" i="1"/>
  <c r="AH2326" i="1" s="1"/>
  <c r="AG2327" i="1"/>
  <c r="AH2327" i="1" s="1"/>
  <c r="AG2328" i="1"/>
  <c r="AH2328" i="1" s="1"/>
  <c r="AG2329" i="1"/>
  <c r="AH2329" i="1" s="1"/>
  <c r="AG2330" i="1"/>
  <c r="AH2330" i="1" s="1"/>
  <c r="AG2331" i="1"/>
  <c r="AH2331" i="1" s="1"/>
  <c r="AG2332" i="1"/>
  <c r="AH2332" i="1" s="1"/>
  <c r="AG2333" i="1"/>
  <c r="AH2333" i="1" s="1"/>
  <c r="AG2334" i="1"/>
  <c r="AH2334" i="1" s="1"/>
  <c r="AG2335" i="1"/>
  <c r="AH2335" i="1" s="1"/>
  <c r="AG2336" i="1"/>
  <c r="AH2336" i="1" s="1"/>
  <c r="AG2337" i="1"/>
  <c r="AH2337" i="1" s="1"/>
  <c r="AG2338" i="1"/>
  <c r="AH2338" i="1" s="1"/>
  <c r="AG2339" i="1"/>
  <c r="AH2339" i="1" s="1"/>
  <c r="AG2340" i="1"/>
  <c r="AH2340" i="1" s="1"/>
  <c r="AG2341" i="1"/>
  <c r="AH2341" i="1" s="1"/>
  <c r="AG2342" i="1"/>
  <c r="AH2342" i="1" s="1"/>
  <c r="AG2343" i="1"/>
  <c r="AH2343" i="1" s="1"/>
  <c r="AG2344" i="1"/>
  <c r="AH2344" i="1" s="1"/>
  <c r="AG2345" i="1"/>
  <c r="AH2345" i="1" s="1"/>
  <c r="AG2346" i="1"/>
  <c r="AH2346" i="1" s="1"/>
  <c r="AG2347" i="1"/>
  <c r="AH2347" i="1" s="1"/>
  <c r="AG2348" i="1"/>
  <c r="AH2348" i="1" s="1"/>
  <c r="AG2349" i="1"/>
  <c r="AH2349" i="1" s="1"/>
  <c r="AG2350" i="1"/>
  <c r="AH2350" i="1" s="1"/>
  <c r="AG2351" i="1"/>
  <c r="AH2351" i="1" s="1"/>
  <c r="AG2352" i="1"/>
  <c r="AH2352" i="1" s="1"/>
  <c r="AG2353" i="1"/>
  <c r="AH2353" i="1" s="1"/>
  <c r="AG2354" i="1"/>
  <c r="AH2354" i="1" s="1"/>
  <c r="AG2355" i="1"/>
  <c r="AH2355" i="1" s="1"/>
  <c r="AG2356" i="1"/>
  <c r="AH2356" i="1" s="1"/>
  <c r="AG2357" i="1"/>
  <c r="AH2357" i="1" s="1"/>
  <c r="AG2358" i="1"/>
  <c r="AH2358" i="1" s="1"/>
  <c r="AG2359" i="1"/>
  <c r="AH2359" i="1" s="1"/>
  <c r="AG2360" i="1"/>
  <c r="AH2360" i="1" s="1"/>
  <c r="AG2361" i="1"/>
  <c r="AH2361" i="1" s="1"/>
  <c r="AG2362" i="1"/>
  <c r="AH2362" i="1" s="1"/>
  <c r="AG2363" i="1"/>
  <c r="AH2363" i="1" s="1"/>
  <c r="AG2364" i="1"/>
  <c r="AH2364" i="1" s="1"/>
  <c r="AG2365" i="1"/>
  <c r="AH2365" i="1" s="1"/>
  <c r="AG2366" i="1"/>
  <c r="AH2366" i="1" s="1"/>
  <c r="AG2367" i="1"/>
  <c r="AH2367" i="1" s="1"/>
  <c r="AG2368" i="1"/>
  <c r="AH2368" i="1" s="1"/>
  <c r="AG2369" i="1"/>
  <c r="AH2369" i="1" s="1"/>
  <c r="AG2370" i="1"/>
  <c r="AH2370" i="1" s="1"/>
  <c r="AG2371" i="1"/>
  <c r="AH2371" i="1" s="1"/>
  <c r="AG2372" i="1"/>
  <c r="AH2372" i="1" s="1"/>
  <c r="AG2373" i="1"/>
  <c r="AH2373" i="1" s="1"/>
  <c r="AG2374" i="1"/>
  <c r="AH2374" i="1" s="1"/>
  <c r="AG2375" i="1"/>
  <c r="AH2375" i="1" s="1"/>
  <c r="AG2376" i="1"/>
  <c r="AH2376" i="1" s="1"/>
  <c r="AG2377" i="1"/>
  <c r="AH2377" i="1" s="1"/>
  <c r="AG2378" i="1"/>
  <c r="AH2378" i="1" s="1"/>
  <c r="AG2379" i="1"/>
  <c r="AH2379" i="1" s="1"/>
  <c r="AG2380" i="1"/>
  <c r="AH2380" i="1" s="1"/>
  <c r="AG2381" i="1"/>
  <c r="AH2381" i="1" s="1"/>
  <c r="AG2382" i="1"/>
  <c r="AH2382" i="1" s="1"/>
  <c r="AG2383" i="1"/>
  <c r="AH2383" i="1" s="1"/>
  <c r="AG2384" i="1"/>
  <c r="AH2384" i="1" s="1"/>
  <c r="AG2385" i="1"/>
  <c r="AH2385" i="1" s="1"/>
  <c r="AG2386" i="1"/>
  <c r="AH2386" i="1" s="1"/>
  <c r="AG2387" i="1"/>
  <c r="AH2387" i="1" s="1"/>
  <c r="AG2388" i="1"/>
  <c r="AH2388" i="1" s="1"/>
  <c r="AG2389" i="1"/>
  <c r="AH2389" i="1" s="1"/>
  <c r="AG2390" i="1"/>
  <c r="AH2390" i="1" s="1"/>
  <c r="AG2391" i="1"/>
  <c r="AH2391" i="1" s="1"/>
  <c r="AG2392" i="1"/>
  <c r="AH2392" i="1" s="1"/>
  <c r="AG2393" i="1"/>
  <c r="AH2393" i="1" s="1"/>
  <c r="AG2394" i="1"/>
  <c r="AH2394" i="1" s="1"/>
  <c r="AG2395" i="1"/>
  <c r="AH2395" i="1" s="1"/>
  <c r="AG2396" i="1"/>
  <c r="AH2396" i="1" s="1"/>
  <c r="AG2397" i="1"/>
  <c r="AH2397" i="1" s="1"/>
  <c r="AG2398" i="1"/>
  <c r="AH2398" i="1" s="1"/>
  <c r="AG2399" i="1"/>
  <c r="AH2399" i="1" s="1"/>
  <c r="AG2400" i="1"/>
  <c r="AH2400" i="1" s="1"/>
  <c r="AG2401" i="1"/>
  <c r="AH2401" i="1" s="1"/>
  <c r="AG2402" i="1"/>
  <c r="AH2402" i="1" s="1"/>
  <c r="AG2403" i="1"/>
  <c r="AH2403" i="1" s="1"/>
  <c r="AG2404" i="1"/>
  <c r="AH2404" i="1" s="1"/>
  <c r="AG2405" i="1"/>
  <c r="AH2405" i="1" s="1"/>
  <c r="AG2406" i="1"/>
  <c r="AH2406" i="1" s="1"/>
  <c r="AG2407" i="1"/>
  <c r="AH2407" i="1" s="1"/>
  <c r="AG2408" i="1"/>
  <c r="AH2408" i="1" s="1"/>
  <c r="AG2409" i="1"/>
  <c r="AH2409" i="1" s="1"/>
  <c r="AG2410" i="1"/>
  <c r="AH2410" i="1" s="1"/>
  <c r="AG2411" i="1"/>
  <c r="AH2411" i="1" s="1"/>
  <c r="AG2412" i="1"/>
  <c r="AH2412" i="1" s="1"/>
  <c r="AG2413" i="1"/>
  <c r="AH2413" i="1" s="1"/>
  <c r="AG2414" i="1"/>
  <c r="AH2414" i="1" s="1"/>
  <c r="AG2415" i="1"/>
  <c r="AH2415" i="1" s="1"/>
  <c r="AG2416" i="1"/>
  <c r="AH2416" i="1" s="1"/>
  <c r="AG2417" i="1"/>
  <c r="AH2417" i="1" s="1"/>
  <c r="AG2418" i="1"/>
  <c r="AH2418" i="1" s="1"/>
  <c r="AG2419" i="1"/>
  <c r="AH2419" i="1" s="1"/>
  <c r="AG2420" i="1"/>
  <c r="AH2420" i="1" s="1"/>
  <c r="AG2421" i="1"/>
  <c r="AH2421" i="1" s="1"/>
  <c r="AG2422" i="1"/>
  <c r="AH2422" i="1" s="1"/>
  <c r="AG2423" i="1"/>
  <c r="AH2423" i="1" s="1"/>
  <c r="AG2424" i="1"/>
  <c r="AH2424" i="1" s="1"/>
  <c r="AG2425" i="1"/>
  <c r="AH2425" i="1" s="1"/>
  <c r="AG2426" i="1"/>
  <c r="AH2426" i="1" s="1"/>
  <c r="AG2427" i="1"/>
  <c r="AH2427" i="1" s="1"/>
  <c r="AG2428" i="1"/>
  <c r="AH2428" i="1" s="1"/>
  <c r="AG2429" i="1"/>
  <c r="AH2429" i="1" s="1"/>
  <c r="AG2430" i="1"/>
  <c r="AH2430" i="1" s="1"/>
  <c r="AG2431" i="1"/>
  <c r="AH2431" i="1" s="1"/>
  <c r="AG2432" i="1"/>
  <c r="AH2432" i="1" s="1"/>
  <c r="AG2433" i="1"/>
  <c r="AH2433" i="1" s="1"/>
  <c r="AG2434" i="1"/>
  <c r="AH2434" i="1" s="1"/>
  <c r="AG2435" i="1"/>
  <c r="AH2435" i="1" s="1"/>
  <c r="AG2436" i="1"/>
  <c r="AH2436" i="1" s="1"/>
  <c r="AG2437" i="1"/>
  <c r="AH2437" i="1" s="1"/>
  <c r="AG2438" i="1"/>
  <c r="AH2438" i="1" s="1"/>
  <c r="AG2439" i="1"/>
  <c r="AH2439" i="1" s="1"/>
  <c r="AG2440" i="1"/>
  <c r="AH2440" i="1" s="1"/>
  <c r="AG2441" i="1"/>
  <c r="AH2441" i="1" s="1"/>
  <c r="AG2442" i="1"/>
  <c r="AH2442" i="1" s="1"/>
  <c r="AG2443" i="1"/>
  <c r="AH2443" i="1" s="1"/>
  <c r="AG2444" i="1"/>
  <c r="AH2444" i="1" s="1"/>
  <c r="AG2445" i="1"/>
  <c r="AH2445" i="1" s="1"/>
  <c r="AG2446" i="1"/>
  <c r="AH2446" i="1" s="1"/>
  <c r="AG2447" i="1"/>
  <c r="AH2447" i="1" s="1"/>
  <c r="AG2448" i="1"/>
  <c r="AH2448" i="1" s="1"/>
  <c r="AG2449" i="1"/>
  <c r="AH2449" i="1" s="1"/>
  <c r="AG2450" i="1"/>
  <c r="AH2450" i="1" s="1"/>
  <c r="AG2451" i="1"/>
  <c r="AH2451" i="1" s="1"/>
  <c r="AG2452" i="1"/>
  <c r="AH2452" i="1" s="1"/>
  <c r="AG2453" i="1"/>
  <c r="AH2453" i="1" s="1"/>
  <c r="AG2454" i="1"/>
  <c r="AH2454" i="1" s="1"/>
  <c r="AG2455" i="1"/>
  <c r="AH2455" i="1" s="1"/>
  <c r="AG2456" i="1"/>
  <c r="AH2456" i="1" s="1"/>
  <c r="AG2457" i="1"/>
  <c r="AH2457" i="1" s="1"/>
  <c r="AG2458" i="1"/>
  <c r="AH2458" i="1" s="1"/>
  <c r="AG2459" i="1"/>
  <c r="AH2459" i="1" s="1"/>
  <c r="AG2460" i="1"/>
  <c r="AH2460" i="1" s="1"/>
  <c r="AG2461" i="1"/>
  <c r="AH2461" i="1" s="1"/>
  <c r="AG2462" i="1"/>
  <c r="AH2462" i="1" s="1"/>
  <c r="AG2463" i="1"/>
  <c r="AH2463" i="1" s="1"/>
  <c r="AG2464" i="1"/>
  <c r="AH2464" i="1" s="1"/>
  <c r="AG2465" i="1"/>
  <c r="AH2465" i="1" s="1"/>
  <c r="AG2466" i="1"/>
  <c r="AH2466" i="1" s="1"/>
  <c r="AG2467" i="1"/>
  <c r="AH2467" i="1" s="1"/>
  <c r="AG2468" i="1"/>
  <c r="AH2468" i="1" s="1"/>
  <c r="AG2469" i="1"/>
  <c r="AH2469" i="1" s="1"/>
  <c r="AG2470" i="1"/>
  <c r="AH2470" i="1" s="1"/>
  <c r="AG2471" i="1"/>
  <c r="AH2471" i="1" s="1"/>
  <c r="AG2472" i="1"/>
  <c r="AH2472" i="1" s="1"/>
  <c r="AG2473" i="1"/>
  <c r="AH2473" i="1" s="1"/>
  <c r="AG2474" i="1"/>
  <c r="AH2474" i="1" s="1"/>
  <c r="AG2475" i="1"/>
  <c r="AH2475" i="1" s="1"/>
  <c r="AG2476" i="1"/>
  <c r="AH2476" i="1" s="1"/>
  <c r="AG2477" i="1"/>
  <c r="AH2477" i="1" s="1"/>
  <c r="AG2478" i="1"/>
  <c r="AH2478" i="1" s="1"/>
  <c r="AG2479" i="1"/>
  <c r="AH2479" i="1" s="1"/>
  <c r="AG2480" i="1"/>
  <c r="AH2480" i="1" s="1"/>
  <c r="AG2481" i="1"/>
  <c r="AH2481" i="1" s="1"/>
  <c r="AG2482" i="1"/>
  <c r="AH2482" i="1" s="1"/>
  <c r="AG2483" i="1"/>
  <c r="AH2483" i="1" s="1"/>
  <c r="AG2484" i="1"/>
  <c r="AH2484" i="1" s="1"/>
  <c r="AG2485" i="1"/>
  <c r="AH2485" i="1" s="1"/>
  <c r="AG2486" i="1"/>
  <c r="AH2486" i="1" s="1"/>
  <c r="AG2487" i="1"/>
  <c r="AH2487" i="1" s="1"/>
  <c r="AG2488" i="1"/>
  <c r="AH2488" i="1" s="1"/>
  <c r="AG2489" i="1"/>
  <c r="AH2489" i="1" s="1"/>
  <c r="AG2490" i="1"/>
  <c r="AH2490" i="1" s="1"/>
  <c r="AG2491" i="1"/>
  <c r="AH2491" i="1" s="1"/>
  <c r="AG2492" i="1"/>
  <c r="AH2492" i="1" s="1"/>
  <c r="AG2493" i="1"/>
  <c r="AH2493" i="1" s="1"/>
  <c r="AG2494" i="1"/>
  <c r="AH2494" i="1" s="1"/>
  <c r="AG2495" i="1"/>
  <c r="AH2495" i="1" s="1"/>
  <c r="AG2496" i="1"/>
  <c r="AH2496" i="1" s="1"/>
  <c r="AG2497" i="1"/>
  <c r="AH2497" i="1" s="1"/>
  <c r="AG2498" i="1"/>
  <c r="AH2498" i="1" s="1"/>
  <c r="AG2499" i="1"/>
  <c r="AH2499" i="1" s="1"/>
  <c r="AG2500" i="1"/>
  <c r="AH2500" i="1" s="1"/>
  <c r="AG2501" i="1"/>
  <c r="AH2501" i="1" s="1"/>
  <c r="AG2502" i="1"/>
  <c r="AH2502" i="1" s="1"/>
  <c r="AG2503" i="1"/>
  <c r="AH2503" i="1" s="1"/>
  <c r="AG2504" i="1"/>
  <c r="AH2504" i="1" s="1"/>
  <c r="AG2505" i="1"/>
  <c r="AH2505" i="1" s="1"/>
  <c r="AG2506" i="1"/>
  <c r="AH2506" i="1" s="1"/>
  <c r="AG2507" i="1"/>
  <c r="AH2507" i="1" s="1"/>
  <c r="AG2508" i="1"/>
  <c r="AH2508" i="1" s="1"/>
  <c r="AG2509" i="1"/>
  <c r="AH2509" i="1" s="1"/>
  <c r="AG2510" i="1"/>
  <c r="AH2510" i="1" s="1"/>
  <c r="AG2511" i="1"/>
  <c r="AH2511" i="1" s="1"/>
  <c r="AG2512" i="1"/>
  <c r="AH2512" i="1" s="1"/>
  <c r="AG2513" i="1"/>
  <c r="AH2513" i="1" s="1"/>
  <c r="AG2514" i="1"/>
  <c r="AH2514" i="1" s="1"/>
  <c r="AG2515" i="1"/>
  <c r="AH2515" i="1" s="1"/>
  <c r="AG2516" i="1"/>
  <c r="AH2516" i="1" s="1"/>
  <c r="AG2517" i="1"/>
  <c r="AH2517" i="1" s="1"/>
  <c r="AG2518" i="1"/>
  <c r="AH2518" i="1" s="1"/>
  <c r="AG2519" i="1"/>
  <c r="AH2519" i="1" s="1"/>
  <c r="AG2520" i="1"/>
  <c r="AH2520" i="1" s="1"/>
  <c r="AG2521" i="1"/>
  <c r="AH2521" i="1" s="1"/>
  <c r="AG2522" i="1"/>
  <c r="AH2522" i="1" s="1"/>
  <c r="AG2523" i="1"/>
  <c r="AH2523" i="1" s="1"/>
  <c r="AG2524" i="1"/>
  <c r="AH2524" i="1" s="1"/>
  <c r="AG2525" i="1"/>
  <c r="AH2525" i="1" s="1"/>
  <c r="AG2526" i="1"/>
  <c r="AH2526" i="1" s="1"/>
  <c r="AG2527" i="1"/>
  <c r="AH2527" i="1" s="1"/>
  <c r="AG2528" i="1"/>
  <c r="AH2528" i="1" s="1"/>
  <c r="AG2529" i="1"/>
  <c r="AH2529" i="1" s="1"/>
  <c r="AG2530" i="1"/>
  <c r="AH2530" i="1" s="1"/>
  <c r="AG2531" i="1"/>
  <c r="AH2531" i="1" s="1"/>
  <c r="AG2532" i="1"/>
  <c r="AH2532" i="1" s="1"/>
  <c r="AG2533" i="1"/>
  <c r="AH2533" i="1" s="1"/>
  <c r="AG2534" i="1"/>
  <c r="AH2534" i="1" s="1"/>
  <c r="AG2535" i="1"/>
  <c r="AH2535" i="1" s="1"/>
  <c r="AG2536" i="1"/>
  <c r="AH2536" i="1" s="1"/>
  <c r="AG2537" i="1"/>
  <c r="AH2537" i="1" s="1"/>
  <c r="AG2538" i="1"/>
  <c r="AH2538" i="1" s="1"/>
  <c r="AG2539" i="1"/>
  <c r="AH2539" i="1" s="1"/>
  <c r="AG2540" i="1"/>
  <c r="AH2540" i="1" s="1"/>
  <c r="AG2541" i="1"/>
  <c r="AH2541" i="1" s="1"/>
  <c r="AG2542" i="1"/>
  <c r="AH2542" i="1" s="1"/>
  <c r="AG2543" i="1"/>
  <c r="AH2543" i="1" s="1"/>
  <c r="AG2544" i="1"/>
  <c r="AH2544" i="1" s="1"/>
  <c r="AG2545" i="1"/>
  <c r="AH2545" i="1" s="1"/>
  <c r="AG2546" i="1"/>
  <c r="AH2546" i="1" s="1"/>
  <c r="AG2547" i="1"/>
  <c r="AH2547" i="1" s="1"/>
  <c r="AG2548" i="1"/>
  <c r="AH2548" i="1" s="1"/>
  <c r="AG2549" i="1"/>
  <c r="AH2549" i="1" s="1"/>
  <c r="AG2550" i="1"/>
  <c r="AH2550" i="1" s="1"/>
  <c r="AG2551" i="1"/>
  <c r="AH2551" i="1" s="1"/>
  <c r="AG2552" i="1"/>
  <c r="AH2552" i="1" s="1"/>
  <c r="AG2553" i="1"/>
  <c r="AH2553" i="1" s="1"/>
  <c r="AG2554" i="1"/>
  <c r="AH2554" i="1" s="1"/>
  <c r="AG2555" i="1"/>
  <c r="AH2555" i="1" s="1"/>
  <c r="AG2556" i="1"/>
  <c r="AH2556" i="1" s="1"/>
  <c r="AG2557" i="1"/>
  <c r="AH2557" i="1" s="1"/>
  <c r="AG2558" i="1"/>
  <c r="AH2558" i="1" s="1"/>
  <c r="AG2559" i="1"/>
  <c r="AH2559" i="1" s="1"/>
  <c r="AG2560" i="1"/>
  <c r="AH2560" i="1" s="1"/>
  <c r="AG2561" i="1"/>
  <c r="AH2561" i="1" s="1"/>
  <c r="AG2562" i="1"/>
  <c r="AH2562" i="1" s="1"/>
  <c r="AG2563" i="1"/>
  <c r="AH2563" i="1" s="1"/>
  <c r="AG2564" i="1"/>
  <c r="AH2564" i="1" s="1"/>
  <c r="AG2565" i="1"/>
  <c r="AH2565" i="1" s="1"/>
  <c r="AG2566" i="1"/>
  <c r="AH2566" i="1" s="1"/>
  <c r="AG2567" i="1"/>
  <c r="AH2567" i="1" s="1"/>
  <c r="AG2568" i="1"/>
  <c r="AH2568" i="1" s="1"/>
  <c r="AG2569" i="1"/>
  <c r="AH2569" i="1" s="1"/>
  <c r="AG2570" i="1"/>
  <c r="AH2570" i="1" s="1"/>
  <c r="AG2571" i="1"/>
  <c r="AH2571" i="1" s="1"/>
  <c r="AG2572" i="1"/>
  <c r="AH2572" i="1" s="1"/>
  <c r="AG2573" i="1"/>
  <c r="AH2573" i="1" s="1"/>
  <c r="AG2574" i="1"/>
  <c r="AH2574" i="1" s="1"/>
  <c r="AG2575" i="1"/>
  <c r="AH2575" i="1" s="1"/>
  <c r="AG2576" i="1"/>
  <c r="AH2576" i="1" s="1"/>
  <c r="AG2577" i="1"/>
  <c r="AH2577" i="1" s="1"/>
  <c r="AG2578" i="1"/>
  <c r="AH2578" i="1" s="1"/>
  <c r="AG2579" i="1"/>
  <c r="AH2579" i="1" s="1"/>
  <c r="AG2580" i="1"/>
  <c r="AH2580" i="1" s="1"/>
  <c r="AG2581" i="1"/>
  <c r="AH2581" i="1" s="1"/>
  <c r="AG2582" i="1"/>
  <c r="AH2582" i="1" s="1"/>
  <c r="AG2583" i="1"/>
  <c r="AH2583" i="1" s="1"/>
  <c r="AG2584" i="1"/>
  <c r="AH2584" i="1" s="1"/>
  <c r="AG2585" i="1"/>
  <c r="AH2585" i="1" s="1"/>
  <c r="AG2586" i="1"/>
  <c r="AH2586" i="1" s="1"/>
  <c r="AG2587" i="1"/>
  <c r="AH2587" i="1" s="1"/>
  <c r="AG2588" i="1"/>
  <c r="AH2588" i="1" s="1"/>
  <c r="AG2589" i="1"/>
  <c r="AH2589" i="1" s="1"/>
  <c r="AG2590" i="1"/>
  <c r="AH2590" i="1" s="1"/>
  <c r="AG2591" i="1"/>
  <c r="AH2591" i="1" s="1"/>
  <c r="AG2592" i="1"/>
  <c r="AH2592" i="1" s="1"/>
  <c r="AG2593" i="1"/>
  <c r="AH2593" i="1" s="1"/>
  <c r="AG2594" i="1"/>
  <c r="AH2594" i="1" s="1"/>
  <c r="AG2595" i="1"/>
  <c r="AH2595" i="1" s="1"/>
  <c r="AG2596" i="1"/>
  <c r="AH2596" i="1" s="1"/>
  <c r="AG2597" i="1"/>
  <c r="AH2597" i="1" s="1"/>
  <c r="AG2598" i="1"/>
  <c r="AH2598" i="1" s="1"/>
  <c r="AG2599" i="1"/>
  <c r="AH2599" i="1" s="1"/>
  <c r="AG2600" i="1"/>
  <c r="AH2600" i="1" s="1"/>
  <c r="AG2601" i="1"/>
  <c r="AH2601" i="1" s="1"/>
  <c r="AG2602" i="1"/>
  <c r="AH2602" i="1" s="1"/>
  <c r="AG2603" i="1"/>
  <c r="AH2603" i="1" s="1"/>
  <c r="AG2604" i="1"/>
  <c r="AH2604" i="1" s="1"/>
  <c r="AG2605" i="1"/>
  <c r="AH2605" i="1" s="1"/>
  <c r="AG2606" i="1"/>
  <c r="AH2606" i="1" s="1"/>
  <c r="AG2607" i="1"/>
  <c r="AH2607" i="1" s="1"/>
  <c r="AG2608" i="1"/>
  <c r="AH2608" i="1" s="1"/>
  <c r="AG2609" i="1"/>
  <c r="AH2609" i="1" s="1"/>
  <c r="AG2610" i="1"/>
  <c r="AH2610" i="1" s="1"/>
  <c r="AG2611" i="1"/>
  <c r="AH2611" i="1" s="1"/>
  <c r="AG2612" i="1"/>
  <c r="AH2612" i="1" s="1"/>
  <c r="AG2613" i="1"/>
  <c r="AH2613" i="1" s="1"/>
  <c r="AG2614" i="1"/>
  <c r="AH2614" i="1" s="1"/>
  <c r="AG2615" i="1"/>
  <c r="AH2615" i="1" s="1"/>
  <c r="AG2616" i="1"/>
  <c r="AH2616" i="1" s="1"/>
  <c r="AG2617" i="1"/>
  <c r="AH2617" i="1" s="1"/>
  <c r="AG2618" i="1"/>
  <c r="AH2618" i="1" s="1"/>
  <c r="AG2619" i="1"/>
  <c r="AH2619" i="1" s="1"/>
  <c r="AG2620" i="1"/>
  <c r="AH2620" i="1" s="1"/>
  <c r="AG2621" i="1"/>
  <c r="AH2621" i="1" s="1"/>
  <c r="AG2622" i="1"/>
  <c r="AH2622" i="1" s="1"/>
  <c r="AG2623" i="1"/>
  <c r="AH2623" i="1" s="1"/>
  <c r="AG2624" i="1"/>
  <c r="AH2624" i="1" s="1"/>
  <c r="AG2625" i="1"/>
  <c r="AH2625" i="1" s="1"/>
  <c r="AG2626" i="1"/>
  <c r="AH2626" i="1" s="1"/>
  <c r="AG2627" i="1"/>
  <c r="AH2627" i="1" s="1"/>
  <c r="AG2628" i="1"/>
  <c r="AH2628" i="1" s="1"/>
  <c r="AG2629" i="1"/>
  <c r="AH2629" i="1" s="1"/>
  <c r="AG2630" i="1"/>
  <c r="AH2630" i="1" s="1"/>
  <c r="AG2631" i="1"/>
  <c r="AH2631" i="1" s="1"/>
  <c r="AG2632" i="1"/>
  <c r="AH2632" i="1" s="1"/>
  <c r="AG2633" i="1"/>
  <c r="AH2633" i="1" s="1"/>
  <c r="AG2634" i="1"/>
  <c r="AH2634" i="1" s="1"/>
  <c r="AG2635" i="1"/>
  <c r="AH2635" i="1" s="1"/>
  <c r="AG2636" i="1"/>
  <c r="AH2636" i="1" s="1"/>
  <c r="AG2637" i="1"/>
  <c r="AH2637" i="1" s="1"/>
  <c r="AG2638" i="1"/>
  <c r="AH2638" i="1" s="1"/>
  <c r="AG2639" i="1"/>
  <c r="AH2639" i="1" s="1"/>
  <c r="AG2640" i="1"/>
  <c r="AH2640" i="1" s="1"/>
  <c r="AG2641" i="1"/>
  <c r="AH2641" i="1" s="1"/>
  <c r="AG2642" i="1"/>
  <c r="AH2642" i="1" s="1"/>
  <c r="AG2643" i="1"/>
  <c r="AH2643" i="1" s="1"/>
  <c r="AG2644" i="1"/>
  <c r="AH2644" i="1" s="1"/>
  <c r="AG2645" i="1"/>
  <c r="AH2645" i="1" s="1"/>
  <c r="AG2646" i="1"/>
  <c r="AH2646" i="1" s="1"/>
  <c r="AG2647" i="1"/>
  <c r="AH2647" i="1" s="1"/>
  <c r="AG2648" i="1"/>
  <c r="AH2648" i="1" s="1"/>
  <c r="AG2649" i="1"/>
  <c r="AH2649" i="1" s="1"/>
  <c r="AG2650" i="1"/>
  <c r="AH2650" i="1" s="1"/>
  <c r="AG2651" i="1"/>
  <c r="AH2651" i="1" s="1"/>
  <c r="AG2652" i="1"/>
  <c r="AH2652" i="1" s="1"/>
  <c r="AG2653" i="1"/>
  <c r="AH2653" i="1" s="1"/>
  <c r="AG2654" i="1"/>
  <c r="AH2654" i="1" s="1"/>
  <c r="AG2655" i="1"/>
  <c r="AH2655" i="1" s="1"/>
  <c r="AG2656" i="1"/>
  <c r="AH2656" i="1" s="1"/>
  <c r="AG2657" i="1"/>
  <c r="AH2657" i="1" s="1"/>
  <c r="AG2658" i="1"/>
  <c r="AH2658" i="1" s="1"/>
  <c r="AG2659" i="1"/>
  <c r="AH2659" i="1" s="1"/>
  <c r="AG2660" i="1"/>
  <c r="AH2660" i="1" s="1"/>
  <c r="AG2661" i="1"/>
  <c r="AH2661" i="1" s="1"/>
  <c r="AG2662" i="1"/>
  <c r="AH2662" i="1" s="1"/>
  <c r="AG2663" i="1"/>
  <c r="AH2663" i="1" s="1"/>
  <c r="AG2664" i="1"/>
  <c r="AH2664" i="1" s="1"/>
  <c r="AG2665" i="1"/>
  <c r="AH2665" i="1" s="1"/>
  <c r="AG2666" i="1"/>
  <c r="AH2666" i="1" s="1"/>
  <c r="AG2667" i="1"/>
  <c r="AH2667" i="1" s="1"/>
  <c r="AG2668" i="1"/>
  <c r="AH2668" i="1" s="1"/>
  <c r="AG2669" i="1"/>
  <c r="AH2669" i="1" s="1"/>
  <c r="AG2670" i="1"/>
  <c r="AH2670" i="1" s="1"/>
  <c r="AG2671" i="1"/>
  <c r="AH2671" i="1" s="1"/>
  <c r="AG2672" i="1"/>
  <c r="AH2672" i="1" s="1"/>
  <c r="AG2673" i="1"/>
  <c r="AH2673" i="1" s="1"/>
  <c r="AG2674" i="1"/>
  <c r="AH2674" i="1" s="1"/>
  <c r="AG2675" i="1"/>
  <c r="AH2675" i="1" s="1"/>
  <c r="AG2676" i="1"/>
  <c r="AH2676" i="1" s="1"/>
  <c r="AG2677" i="1"/>
  <c r="AH2677" i="1" s="1"/>
  <c r="AG2678" i="1"/>
  <c r="AH2678" i="1" s="1"/>
  <c r="AG2679" i="1"/>
  <c r="AH2679" i="1" s="1"/>
  <c r="AG2680" i="1"/>
  <c r="AH2680" i="1" s="1"/>
  <c r="AG2681" i="1"/>
  <c r="AH2681" i="1" s="1"/>
  <c r="AG2682" i="1"/>
  <c r="AH2682" i="1" s="1"/>
  <c r="AG2683" i="1"/>
  <c r="AH2683" i="1" s="1"/>
  <c r="AG2684" i="1"/>
  <c r="AH2684" i="1" s="1"/>
  <c r="AG2685" i="1"/>
  <c r="AH2685" i="1" s="1"/>
  <c r="AG2686" i="1"/>
  <c r="AH2686" i="1" s="1"/>
  <c r="AG2687" i="1"/>
  <c r="AH2687" i="1" s="1"/>
  <c r="AG2688" i="1"/>
  <c r="AH2688" i="1" s="1"/>
  <c r="AG2689" i="1"/>
  <c r="AH2689" i="1" s="1"/>
  <c r="AG2690" i="1"/>
  <c r="AH2690" i="1" s="1"/>
  <c r="AG2691" i="1"/>
  <c r="AH2691" i="1" s="1"/>
  <c r="AG2692" i="1"/>
  <c r="AH2692" i="1" s="1"/>
  <c r="AG2693" i="1"/>
  <c r="AH2693" i="1" s="1"/>
  <c r="AG2694" i="1"/>
  <c r="AH2694" i="1" s="1"/>
  <c r="AG2695" i="1"/>
  <c r="AH2695" i="1" s="1"/>
  <c r="AG2696" i="1"/>
  <c r="AH2696" i="1" s="1"/>
  <c r="AG2697" i="1"/>
  <c r="AH2697" i="1" s="1"/>
  <c r="AG2698" i="1"/>
  <c r="AH2698" i="1" s="1"/>
  <c r="AG2699" i="1"/>
  <c r="AH2699" i="1" s="1"/>
  <c r="AG2700" i="1"/>
  <c r="AH2700" i="1" s="1"/>
  <c r="AG2701" i="1"/>
  <c r="AH2701" i="1" s="1"/>
  <c r="AG2702" i="1"/>
  <c r="AH2702" i="1" s="1"/>
  <c r="AG2703" i="1"/>
  <c r="AH2703" i="1" s="1"/>
  <c r="AG2704" i="1"/>
  <c r="AH2704" i="1" s="1"/>
  <c r="AG2705" i="1"/>
  <c r="AH2705" i="1" s="1"/>
  <c r="AG2706" i="1"/>
  <c r="AH2706" i="1" s="1"/>
  <c r="AG2707" i="1"/>
  <c r="AH2707" i="1" s="1"/>
  <c r="AG2708" i="1"/>
  <c r="AH2708" i="1" s="1"/>
  <c r="AG2709" i="1"/>
  <c r="AH2709" i="1" s="1"/>
  <c r="AG2710" i="1"/>
  <c r="AH2710" i="1" s="1"/>
  <c r="AG2711" i="1"/>
  <c r="AH2711" i="1" s="1"/>
  <c r="AG2712" i="1"/>
  <c r="AH2712" i="1" s="1"/>
  <c r="AG2713" i="1"/>
  <c r="AH2713" i="1" s="1"/>
  <c r="AG2714" i="1"/>
  <c r="AH2714" i="1" s="1"/>
  <c r="AG2715" i="1"/>
  <c r="AH2715" i="1" s="1"/>
  <c r="AG2716" i="1"/>
  <c r="AH2716" i="1" s="1"/>
  <c r="AG2717" i="1"/>
  <c r="AH2717" i="1" s="1"/>
  <c r="AG2718" i="1"/>
  <c r="AH2718" i="1" s="1"/>
  <c r="AG2719" i="1"/>
  <c r="AH2719" i="1" s="1"/>
  <c r="AG2720" i="1"/>
  <c r="AH2720" i="1" s="1"/>
  <c r="AG2721" i="1"/>
  <c r="AH2721" i="1" s="1"/>
  <c r="AG2722" i="1"/>
  <c r="AH2722" i="1" s="1"/>
  <c r="AG2723" i="1"/>
  <c r="AH2723" i="1" s="1"/>
  <c r="AG2724" i="1"/>
  <c r="AH2724" i="1" s="1"/>
  <c r="AG2725" i="1"/>
  <c r="AH2725" i="1" s="1"/>
  <c r="AG2726" i="1"/>
  <c r="AH2726" i="1" s="1"/>
  <c r="AG2727" i="1"/>
  <c r="AH2727" i="1" s="1"/>
  <c r="AG2728" i="1"/>
  <c r="AH2728" i="1" s="1"/>
  <c r="AG2729" i="1"/>
  <c r="AH2729" i="1" s="1"/>
  <c r="AG2730" i="1"/>
  <c r="AH2730" i="1" s="1"/>
  <c r="AG2731" i="1"/>
  <c r="AH2731" i="1" s="1"/>
  <c r="AG2732" i="1"/>
  <c r="AH2732" i="1" s="1"/>
  <c r="AG2733" i="1"/>
  <c r="AH2733" i="1" s="1"/>
  <c r="AG2734" i="1"/>
  <c r="AH2734" i="1" s="1"/>
  <c r="AG2735" i="1"/>
  <c r="AH2735" i="1" s="1"/>
  <c r="AG2736" i="1"/>
  <c r="AH2736" i="1" s="1"/>
  <c r="AG2737" i="1"/>
  <c r="AH2737" i="1" s="1"/>
  <c r="AG2738" i="1"/>
  <c r="AH2738" i="1" s="1"/>
  <c r="AG2739" i="1"/>
  <c r="AH2739" i="1" s="1"/>
  <c r="AG2740" i="1"/>
  <c r="AH2740" i="1" s="1"/>
  <c r="AG2741" i="1"/>
  <c r="AH2741" i="1" s="1"/>
  <c r="AG2742" i="1"/>
  <c r="AH2742" i="1" s="1"/>
  <c r="AG2743" i="1"/>
  <c r="AH2743" i="1" s="1"/>
  <c r="AG2744" i="1"/>
  <c r="AH2744" i="1" s="1"/>
  <c r="AG2745" i="1"/>
  <c r="AH2745" i="1" s="1"/>
  <c r="AG2746" i="1"/>
  <c r="AH2746" i="1" s="1"/>
  <c r="AG2747" i="1"/>
  <c r="AH2747" i="1" s="1"/>
  <c r="AG2748" i="1"/>
  <c r="AH2748" i="1" s="1"/>
  <c r="AG2749" i="1"/>
  <c r="AH2749" i="1" s="1"/>
  <c r="AG2750" i="1"/>
  <c r="AH2750" i="1" s="1"/>
  <c r="AG2751" i="1"/>
  <c r="AH2751" i="1" s="1"/>
  <c r="AG2752" i="1"/>
  <c r="AH2752" i="1" s="1"/>
  <c r="AG2753" i="1"/>
  <c r="AH2753" i="1" s="1"/>
  <c r="AG2754" i="1"/>
  <c r="AH2754" i="1" s="1"/>
  <c r="AG2755" i="1"/>
  <c r="AH2755" i="1" s="1"/>
  <c r="AG2756" i="1"/>
  <c r="AH2756" i="1" s="1"/>
  <c r="AG2757" i="1"/>
  <c r="AH2757" i="1" s="1"/>
  <c r="AG2758" i="1"/>
  <c r="AH2758" i="1" s="1"/>
  <c r="AG2759" i="1"/>
  <c r="AH2759" i="1" s="1"/>
  <c r="AG2760" i="1"/>
  <c r="AH2760" i="1" s="1"/>
  <c r="AG2761" i="1"/>
  <c r="AH2761" i="1" s="1"/>
  <c r="AG2762" i="1"/>
  <c r="AH2762" i="1" s="1"/>
  <c r="AG2763" i="1"/>
  <c r="AH2763" i="1" s="1"/>
  <c r="AG2764" i="1"/>
  <c r="AH2764" i="1" s="1"/>
  <c r="AG2765" i="1"/>
  <c r="AH2765" i="1" s="1"/>
  <c r="AG2766" i="1"/>
  <c r="AH2766" i="1" s="1"/>
  <c r="AG2767" i="1"/>
  <c r="AH2767" i="1" s="1"/>
  <c r="AG2768" i="1"/>
  <c r="AH2768" i="1" s="1"/>
  <c r="AG2769" i="1"/>
  <c r="AH2769" i="1" s="1"/>
  <c r="AG2770" i="1"/>
  <c r="AH2770" i="1" s="1"/>
  <c r="AG2771" i="1"/>
  <c r="AH2771" i="1" s="1"/>
  <c r="AG2772" i="1"/>
  <c r="AH2772" i="1" s="1"/>
  <c r="AG2773" i="1"/>
  <c r="AH2773" i="1" s="1"/>
  <c r="AG2774" i="1"/>
  <c r="AH2774" i="1" s="1"/>
  <c r="AG2775" i="1"/>
  <c r="AH2775" i="1" s="1"/>
  <c r="AG2776" i="1"/>
  <c r="AH2776" i="1" s="1"/>
  <c r="AG2777" i="1"/>
  <c r="AH2777" i="1" s="1"/>
  <c r="AG2778" i="1"/>
  <c r="AH2778" i="1" s="1"/>
  <c r="AG2779" i="1"/>
  <c r="AH2779" i="1" s="1"/>
  <c r="AG2780" i="1"/>
  <c r="AH2780" i="1" s="1"/>
  <c r="AG2781" i="1"/>
  <c r="AH2781" i="1" s="1"/>
  <c r="AG2782" i="1"/>
  <c r="AH2782" i="1" s="1"/>
  <c r="AG2783" i="1"/>
  <c r="AH2783" i="1" s="1"/>
  <c r="AG2784" i="1"/>
  <c r="AH2784" i="1" s="1"/>
  <c r="AG2785" i="1"/>
  <c r="AH2785" i="1" s="1"/>
  <c r="AG2786" i="1"/>
  <c r="AH2786" i="1" s="1"/>
  <c r="AG2787" i="1"/>
  <c r="AH2787" i="1" s="1"/>
  <c r="AG2788" i="1"/>
  <c r="AH2788" i="1" s="1"/>
  <c r="AG2789" i="1"/>
  <c r="AH2789" i="1" s="1"/>
  <c r="AG2790" i="1"/>
  <c r="AH2790" i="1" s="1"/>
  <c r="O125" i="1" l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V125" i="1" l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X125" i="1" l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AE125" i="1" l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G125" i="1" l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Z1711" i="1" l="1"/>
  <c r="AA1711" i="1" s="1"/>
  <c r="AB1711" i="1" s="1"/>
  <c r="AN1711" i="1" s="1"/>
  <c r="Z1710" i="1"/>
  <c r="AA1710" i="1" s="1"/>
  <c r="AB1710" i="1" s="1"/>
  <c r="AN1710" i="1" s="1"/>
  <c r="Z1709" i="1"/>
  <c r="AA1709" i="1" s="1"/>
  <c r="AB1709" i="1" s="1"/>
  <c r="AN1709" i="1" s="1"/>
  <c r="Z1708" i="1"/>
  <c r="AA1708" i="1" s="1"/>
  <c r="AB1708" i="1" s="1"/>
  <c r="AN1708" i="1" s="1"/>
  <c r="Z1707" i="1"/>
  <c r="AA1707" i="1" s="1"/>
  <c r="AB1707" i="1" s="1"/>
  <c r="AN1707" i="1" s="1"/>
  <c r="Z1706" i="1"/>
  <c r="AA1706" i="1" s="1"/>
  <c r="AB1706" i="1" s="1"/>
  <c r="AN1706" i="1" s="1"/>
  <c r="Z1705" i="1"/>
  <c r="AA1705" i="1" s="1"/>
  <c r="AB1705" i="1" s="1"/>
  <c r="AN1705" i="1" s="1"/>
  <c r="Z1704" i="1"/>
  <c r="AA1704" i="1" s="1"/>
  <c r="AB1704" i="1" s="1"/>
  <c r="AN1704" i="1" s="1"/>
  <c r="Z1703" i="1"/>
  <c r="AA1703" i="1" s="1"/>
  <c r="AB1703" i="1" s="1"/>
  <c r="AN1703" i="1" s="1"/>
  <c r="Z1702" i="1"/>
  <c r="AA1702" i="1" s="1"/>
  <c r="AB1702" i="1" s="1"/>
  <c r="AN1702" i="1" s="1"/>
  <c r="Z1701" i="1"/>
  <c r="AA1701" i="1" s="1"/>
  <c r="AB1701" i="1" s="1"/>
  <c r="AN1701" i="1" s="1"/>
  <c r="Z1700" i="1"/>
  <c r="AA1700" i="1" s="1"/>
  <c r="AB1700" i="1" s="1"/>
  <c r="AN1700" i="1" s="1"/>
  <c r="Z1699" i="1"/>
  <c r="AA1699" i="1" s="1"/>
  <c r="AB1699" i="1" s="1"/>
  <c r="AN1699" i="1" s="1"/>
  <c r="Z1698" i="1"/>
  <c r="AA1698" i="1" s="1"/>
  <c r="AB1698" i="1" s="1"/>
  <c r="AN1698" i="1" s="1"/>
  <c r="Z1697" i="1"/>
  <c r="AA1697" i="1" s="1"/>
  <c r="AB1697" i="1" s="1"/>
  <c r="AN1697" i="1" s="1"/>
  <c r="Z1696" i="1"/>
  <c r="AA1696" i="1" s="1"/>
  <c r="AB1696" i="1" s="1"/>
  <c r="AN1696" i="1" s="1"/>
  <c r="Z1695" i="1"/>
  <c r="AA1695" i="1" s="1"/>
  <c r="AB1695" i="1" s="1"/>
  <c r="AN1695" i="1" s="1"/>
  <c r="Z1694" i="1"/>
  <c r="AA1694" i="1" s="1"/>
  <c r="AB1694" i="1" s="1"/>
  <c r="AN1694" i="1" s="1"/>
  <c r="Z1693" i="1"/>
  <c r="AA1693" i="1" s="1"/>
  <c r="AB1693" i="1" s="1"/>
  <c r="AN1693" i="1" s="1"/>
  <c r="Z1692" i="1"/>
  <c r="AA1692" i="1" s="1"/>
  <c r="AB1692" i="1" s="1"/>
  <c r="AN1692" i="1" s="1"/>
  <c r="Z1691" i="1"/>
  <c r="AA1691" i="1" s="1"/>
  <c r="AB1691" i="1" s="1"/>
  <c r="AN1691" i="1" s="1"/>
  <c r="Z1690" i="1"/>
  <c r="AA1690" i="1" s="1"/>
  <c r="AB1690" i="1" s="1"/>
  <c r="AN1690" i="1" s="1"/>
  <c r="Z1689" i="1"/>
  <c r="AA1689" i="1" s="1"/>
  <c r="AB1689" i="1" s="1"/>
  <c r="AN1689" i="1" s="1"/>
  <c r="Z1688" i="1"/>
  <c r="AA1688" i="1" s="1"/>
  <c r="AB1688" i="1" s="1"/>
  <c r="AN1688" i="1" s="1"/>
  <c r="Z1687" i="1"/>
  <c r="AA1687" i="1" s="1"/>
  <c r="AB1687" i="1" s="1"/>
  <c r="AN1687" i="1" s="1"/>
  <c r="Z1686" i="1"/>
  <c r="AA1686" i="1" s="1"/>
  <c r="AB1686" i="1" s="1"/>
  <c r="AN1686" i="1" s="1"/>
  <c r="Z1685" i="1"/>
  <c r="AA1685" i="1" s="1"/>
  <c r="AB1685" i="1" s="1"/>
  <c r="AN1685" i="1" s="1"/>
  <c r="Z1684" i="1"/>
  <c r="AA1684" i="1" s="1"/>
  <c r="AB1684" i="1" s="1"/>
  <c r="AN1684" i="1" s="1"/>
  <c r="Z1683" i="1"/>
  <c r="AA1683" i="1" s="1"/>
  <c r="AB1683" i="1" s="1"/>
  <c r="AN1683" i="1" s="1"/>
  <c r="Z1682" i="1"/>
  <c r="AA1682" i="1" s="1"/>
  <c r="AB1682" i="1" s="1"/>
  <c r="AN1682" i="1" s="1"/>
  <c r="Z1681" i="1"/>
  <c r="AA1681" i="1" s="1"/>
  <c r="AB1681" i="1" s="1"/>
  <c r="AN1681" i="1" s="1"/>
  <c r="Z1680" i="1"/>
  <c r="AA1680" i="1" s="1"/>
  <c r="AB1680" i="1" s="1"/>
  <c r="AN1680" i="1" s="1"/>
  <c r="Z1679" i="1"/>
  <c r="AA1679" i="1" s="1"/>
  <c r="AB1679" i="1" s="1"/>
  <c r="AN1679" i="1" s="1"/>
  <c r="Z1678" i="1"/>
  <c r="AA1678" i="1" s="1"/>
  <c r="AB1678" i="1" s="1"/>
  <c r="AN1678" i="1" s="1"/>
  <c r="Z1677" i="1"/>
  <c r="AA1677" i="1" s="1"/>
  <c r="AB1677" i="1" s="1"/>
  <c r="AN1677" i="1" s="1"/>
  <c r="Z1676" i="1"/>
  <c r="AA1676" i="1" s="1"/>
  <c r="AB1676" i="1" s="1"/>
  <c r="AN1676" i="1" s="1"/>
  <c r="Z1675" i="1"/>
  <c r="AA1675" i="1" s="1"/>
  <c r="AB1675" i="1" s="1"/>
  <c r="AN1675" i="1" s="1"/>
  <c r="Z1674" i="1"/>
  <c r="AA1674" i="1" s="1"/>
  <c r="AB1674" i="1" s="1"/>
  <c r="AN1674" i="1" s="1"/>
  <c r="Z1673" i="1"/>
  <c r="AA1673" i="1" s="1"/>
  <c r="AB1673" i="1" s="1"/>
  <c r="AN1673" i="1" s="1"/>
  <c r="Z1672" i="1"/>
  <c r="AA1672" i="1" s="1"/>
  <c r="AB1672" i="1" s="1"/>
  <c r="AN1672" i="1" s="1"/>
  <c r="Z1671" i="1"/>
  <c r="AA1671" i="1" s="1"/>
  <c r="AB1671" i="1" s="1"/>
  <c r="AN1671" i="1" s="1"/>
  <c r="Z1670" i="1"/>
  <c r="AA1670" i="1" s="1"/>
  <c r="AB1670" i="1" s="1"/>
  <c r="AN1670" i="1" s="1"/>
  <c r="Z1669" i="1"/>
  <c r="AA1669" i="1" s="1"/>
  <c r="AB1669" i="1" s="1"/>
  <c r="AN1669" i="1" s="1"/>
  <c r="Z1668" i="1"/>
  <c r="AA1668" i="1" s="1"/>
  <c r="AB1668" i="1" s="1"/>
  <c r="AN1668" i="1" s="1"/>
  <c r="Z1667" i="1"/>
  <c r="AA1667" i="1" s="1"/>
  <c r="AB1667" i="1" s="1"/>
  <c r="AN1667" i="1" s="1"/>
  <c r="Z1666" i="1"/>
  <c r="AA1666" i="1" s="1"/>
  <c r="AB1666" i="1" s="1"/>
  <c r="AN1666" i="1" s="1"/>
  <c r="Z1665" i="1"/>
  <c r="AA1665" i="1" s="1"/>
  <c r="AB1665" i="1" s="1"/>
  <c r="AN1665" i="1" s="1"/>
  <c r="Z1664" i="1"/>
  <c r="AA1664" i="1" s="1"/>
  <c r="AB1664" i="1" s="1"/>
  <c r="AN1664" i="1" s="1"/>
  <c r="Z1663" i="1"/>
  <c r="AA1663" i="1" s="1"/>
  <c r="AB1663" i="1" s="1"/>
  <c r="AN1663" i="1" s="1"/>
  <c r="Z1662" i="1"/>
  <c r="AA1662" i="1" s="1"/>
  <c r="AB1662" i="1" s="1"/>
  <c r="AN1662" i="1" s="1"/>
  <c r="Z1661" i="1"/>
  <c r="AA1661" i="1" s="1"/>
  <c r="AB1661" i="1" s="1"/>
  <c r="AN1661" i="1" s="1"/>
  <c r="Z1660" i="1"/>
  <c r="AA1660" i="1" s="1"/>
  <c r="AB1660" i="1" s="1"/>
  <c r="AN1660" i="1" s="1"/>
  <c r="Z1659" i="1"/>
  <c r="AA1659" i="1" s="1"/>
  <c r="AB1659" i="1" s="1"/>
  <c r="AN1659" i="1" s="1"/>
  <c r="Z1658" i="1"/>
  <c r="AA1658" i="1" s="1"/>
  <c r="AB1658" i="1" s="1"/>
  <c r="AN1658" i="1" s="1"/>
  <c r="Z1657" i="1"/>
  <c r="AA1657" i="1" s="1"/>
  <c r="AB1657" i="1" s="1"/>
  <c r="AN1657" i="1" s="1"/>
  <c r="Z1656" i="1"/>
  <c r="AA1656" i="1" s="1"/>
  <c r="AB1656" i="1" s="1"/>
  <c r="AN1656" i="1" s="1"/>
  <c r="Z1655" i="1"/>
  <c r="AA1655" i="1" s="1"/>
  <c r="AB1655" i="1" s="1"/>
  <c r="AN1655" i="1" s="1"/>
  <c r="Z1654" i="1"/>
  <c r="AA1654" i="1" s="1"/>
  <c r="AB1654" i="1" s="1"/>
  <c r="AN1654" i="1" s="1"/>
  <c r="Z1653" i="1"/>
  <c r="AA1653" i="1" s="1"/>
  <c r="AB1653" i="1" s="1"/>
  <c r="AN1653" i="1" s="1"/>
  <c r="Z1652" i="1"/>
  <c r="AA1652" i="1" s="1"/>
  <c r="AB1652" i="1" s="1"/>
  <c r="AN1652" i="1" s="1"/>
  <c r="Z1651" i="1"/>
  <c r="AA1651" i="1" s="1"/>
  <c r="AB1651" i="1" s="1"/>
  <c r="AN1651" i="1" s="1"/>
  <c r="Z1650" i="1"/>
  <c r="AA1650" i="1" s="1"/>
  <c r="AB1650" i="1" s="1"/>
  <c r="AN1650" i="1" s="1"/>
  <c r="Z1649" i="1"/>
  <c r="AA1649" i="1" s="1"/>
  <c r="AB1649" i="1" s="1"/>
  <c r="AN1649" i="1" s="1"/>
  <c r="Z1648" i="1"/>
  <c r="AA1648" i="1" s="1"/>
  <c r="AB1648" i="1" s="1"/>
  <c r="AN1648" i="1" s="1"/>
  <c r="Z1647" i="1"/>
  <c r="AA1647" i="1" s="1"/>
  <c r="AB1647" i="1" s="1"/>
  <c r="AN1647" i="1" s="1"/>
  <c r="Z1646" i="1"/>
  <c r="AA1646" i="1" s="1"/>
  <c r="AB1646" i="1" s="1"/>
  <c r="AN1646" i="1" s="1"/>
  <c r="Z1645" i="1"/>
  <c r="AA1645" i="1" s="1"/>
  <c r="AB1645" i="1" s="1"/>
  <c r="AN1645" i="1" s="1"/>
  <c r="Z1644" i="1"/>
  <c r="AA1644" i="1" s="1"/>
  <c r="AB1644" i="1" s="1"/>
  <c r="AN1644" i="1" s="1"/>
  <c r="Z1643" i="1"/>
  <c r="AA1643" i="1" s="1"/>
  <c r="AB1643" i="1" s="1"/>
  <c r="AN1643" i="1" s="1"/>
  <c r="Z1642" i="1"/>
  <c r="AA1642" i="1" s="1"/>
  <c r="AB1642" i="1" s="1"/>
  <c r="AN1642" i="1" s="1"/>
  <c r="Z1641" i="1"/>
  <c r="AA1641" i="1" s="1"/>
  <c r="AB1641" i="1" s="1"/>
  <c r="AN1641" i="1" s="1"/>
  <c r="Z1640" i="1"/>
  <c r="AA1640" i="1" s="1"/>
  <c r="AB1640" i="1" s="1"/>
  <c r="AN1640" i="1" s="1"/>
  <c r="Z1639" i="1"/>
  <c r="AA1639" i="1" s="1"/>
  <c r="AB1639" i="1" s="1"/>
  <c r="AN1639" i="1" s="1"/>
  <c r="Z1638" i="1"/>
  <c r="AA1638" i="1" s="1"/>
  <c r="AB1638" i="1" s="1"/>
  <c r="AN1638" i="1" s="1"/>
  <c r="Z1637" i="1"/>
  <c r="AA1637" i="1" s="1"/>
  <c r="AB1637" i="1" s="1"/>
  <c r="AN1637" i="1" s="1"/>
  <c r="Z1636" i="1"/>
  <c r="AA1636" i="1" s="1"/>
  <c r="AB1636" i="1" s="1"/>
  <c r="AN1636" i="1" s="1"/>
  <c r="Z1635" i="1"/>
  <c r="AA1635" i="1" s="1"/>
  <c r="AB1635" i="1" s="1"/>
  <c r="AN1635" i="1" s="1"/>
  <c r="Z1634" i="1"/>
  <c r="AA1634" i="1" s="1"/>
  <c r="AB1634" i="1" s="1"/>
  <c r="AN1634" i="1" s="1"/>
  <c r="Z1633" i="1"/>
  <c r="AA1633" i="1" s="1"/>
  <c r="AB1633" i="1" s="1"/>
  <c r="AN1633" i="1" s="1"/>
  <c r="Z1632" i="1"/>
  <c r="AA1632" i="1" s="1"/>
  <c r="AB1632" i="1" s="1"/>
  <c r="AN1632" i="1" s="1"/>
  <c r="Z1631" i="1"/>
  <c r="AA1631" i="1" s="1"/>
  <c r="AB1631" i="1" s="1"/>
  <c r="AN1631" i="1" s="1"/>
  <c r="Z1630" i="1"/>
  <c r="AA1630" i="1" s="1"/>
  <c r="AB1630" i="1" s="1"/>
  <c r="AN1630" i="1" s="1"/>
  <c r="Z1629" i="1"/>
  <c r="AA1629" i="1" s="1"/>
  <c r="AB1629" i="1" s="1"/>
  <c r="AN1629" i="1" s="1"/>
  <c r="Z1628" i="1"/>
  <c r="AA1628" i="1" s="1"/>
  <c r="AB1628" i="1" s="1"/>
  <c r="AN1628" i="1" s="1"/>
  <c r="Z1627" i="1"/>
  <c r="AA1627" i="1" s="1"/>
  <c r="AB1627" i="1" s="1"/>
  <c r="AN1627" i="1" s="1"/>
  <c r="Z1626" i="1"/>
  <c r="AA1626" i="1" s="1"/>
  <c r="AB1626" i="1" s="1"/>
  <c r="AN1626" i="1" s="1"/>
  <c r="Z1625" i="1"/>
  <c r="AA1625" i="1" s="1"/>
  <c r="AB1625" i="1" s="1"/>
  <c r="AN1625" i="1" s="1"/>
  <c r="Z1624" i="1"/>
  <c r="AA1624" i="1" s="1"/>
  <c r="AB1624" i="1" s="1"/>
  <c r="AN1624" i="1" s="1"/>
  <c r="Z1623" i="1"/>
  <c r="AA1623" i="1" s="1"/>
  <c r="AB1623" i="1" s="1"/>
  <c r="AN1623" i="1" s="1"/>
  <c r="Z1622" i="1"/>
  <c r="AA1622" i="1" s="1"/>
  <c r="AB1622" i="1" s="1"/>
  <c r="AN1622" i="1" s="1"/>
  <c r="Z1621" i="1"/>
  <c r="AA1621" i="1" s="1"/>
  <c r="AB1621" i="1" s="1"/>
  <c r="AN1621" i="1" s="1"/>
  <c r="Z1620" i="1"/>
  <c r="AA1620" i="1" s="1"/>
  <c r="AB1620" i="1" s="1"/>
  <c r="AN1620" i="1" s="1"/>
  <c r="Z1619" i="1"/>
  <c r="AA1619" i="1" s="1"/>
  <c r="AB1619" i="1" s="1"/>
  <c r="AN1619" i="1" s="1"/>
  <c r="Z1618" i="1"/>
  <c r="AA1618" i="1" s="1"/>
  <c r="AB1618" i="1" s="1"/>
  <c r="AN1618" i="1" s="1"/>
  <c r="Z1617" i="1"/>
  <c r="AA1617" i="1" s="1"/>
  <c r="AB1617" i="1" s="1"/>
  <c r="AN1617" i="1" s="1"/>
  <c r="Z1616" i="1"/>
  <c r="AA1616" i="1" s="1"/>
  <c r="AB1616" i="1" s="1"/>
  <c r="AN1616" i="1" s="1"/>
  <c r="Z1615" i="1"/>
  <c r="AA1615" i="1" s="1"/>
  <c r="AB1615" i="1" s="1"/>
  <c r="AN1615" i="1" s="1"/>
  <c r="Z1614" i="1"/>
  <c r="AA1614" i="1" s="1"/>
  <c r="AB1614" i="1" s="1"/>
  <c r="AN1614" i="1" s="1"/>
  <c r="Z1613" i="1"/>
  <c r="AA1613" i="1" s="1"/>
  <c r="AB1613" i="1" s="1"/>
  <c r="AN1613" i="1" s="1"/>
  <c r="Z1612" i="1"/>
  <c r="AA1612" i="1" s="1"/>
  <c r="AB1612" i="1" s="1"/>
  <c r="AN1612" i="1" s="1"/>
  <c r="Z1611" i="1"/>
  <c r="AA1611" i="1" s="1"/>
  <c r="AB1611" i="1" s="1"/>
  <c r="AN1611" i="1" s="1"/>
  <c r="Z1610" i="1"/>
  <c r="AA1610" i="1" s="1"/>
  <c r="AB1610" i="1" s="1"/>
  <c r="AN1610" i="1" s="1"/>
  <c r="Z1609" i="1"/>
  <c r="AA1609" i="1" s="1"/>
  <c r="AB1609" i="1" s="1"/>
  <c r="AN1609" i="1" s="1"/>
  <c r="Z1608" i="1"/>
  <c r="AA1608" i="1" s="1"/>
  <c r="AB1608" i="1" s="1"/>
  <c r="AN1608" i="1" s="1"/>
  <c r="Z1607" i="1"/>
  <c r="AA1607" i="1" s="1"/>
  <c r="AB1607" i="1" s="1"/>
  <c r="AN1607" i="1" s="1"/>
  <c r="Z1606" i="1"/>
  <c r="AA1606" i="1" s="1"/>
  <c r="AB1606" i="1" s="1"/>
  <c r="AN1606" i="1" s="1"/>
  <c r="Z1605" i="1"/>
  <c r="AA1605" i="1" s="1"/>
  <c r="AB1605" i="1" s="1"/>
  <c r="AN1605" i="1" s="1"/>
  <c r="Z1604" i="1"/>
  <c r="AA1604" i="1" s="1"/>
  <c r="AB1604" i="1" s="1"/>
  <c r="AN1604" i="1" s="1"/>
  <c r="Z1603" i="1"/>
  <c r="AA1603" i="1" s="1"/>
  <c r="AB1603" i="1" s="1"/>
  <c r="AN1603" i="1" s="1"/>
  <c r="Z1602" i="1"/>
  <c r="AA1602" i="1" s="1"/>
  <c r="AB1602" i="1" s="1"/>
  <c r="AN1602" i="1" s="1"/>
  <c r="Z1601" i="1"/>
  <c r="AA1601" i="1" s="1"/>
  <c r="AB1601" i="1" s="1"/>
  <c r="AN1601" i="1" s="1"/>
  <c r="Z1600" i="1"/>
  <c r="AA1600" i="1" s="1"/>
  <c r="AB1600" i="1" s="1"/>
  <c r="AN1600" i="1" s="1"/>
  <c r="Z125" i="1" l="1"/>
  <c r="AA125" i="1" s="1"/>
  <c r="AB125" i="1" s="1"/>
  <c r="AN125" i="1" s="1"/>
  <c r="Z126" i="1"/>
  <c r="AA126" i="1" s="1"/>
  <c r="AB126" i="1" s="1"/>
  <c r="AN126" i="1" s="1"/>
  <c r="Z127" i="1"/>
  <c r="AA127" i="1" s="1"/>
  <c r="AB127" i="1" s="1"/>
  <c r="AN127" i="1" s="1"/>
  <c r="Z128" i="1"/>
  <c r="AA128" i="1" s="1"/>
  <c r="AB128" i="1" s="1"/>
  <c r="AN128" i="1" s="1"/>
  <c r="Z129" i="1"/>
  <c r="AA129" i="1" s="1"/>
  <c r="AB129" i="1" s="1"/>
  <c r="AN129" i="1" s="1"/>
  <c r="Z130" i="1"/>
  <c r="AA130" i="1" s="1"/>
  <c r="AB130" i="1" s="1"/>
  <c r="AN130" i="1" s="1"/>
  <c r="Z131" i="1"/>
  <c r="AA131" i="1" s="1"/>
  <c r="AB131" i="1" s="1"/>
  <c r="AN131" i="1" s="1"/>
  <c r="Z132" i="1"/>
  <c r="AA132" i="1" s="1"/>
  <c r="AB132" i="1" s="1"/>
  <c r="AN132" i="1" s="1"/>
  <c r="Z133" i="1"/>
  <c r="AA133" i="1" s="1"/>
  <c r="AB133" i="1" s="1"/>
  <c r="AN133" i="1" s="1"/>
  <c r="Z134" i="1"/>
  <c r="AA134" i="1" s="1"/>
  <c r="AB134" i="1" s="1"/>
  <c r="AN134" i="1" s="1"/>
  <c r="Z135" i="1"/>
  <c r="AA135" i="1" s="1"/>
  <c r="AB135" i="1" s="1"/>
  <c r="AN135" i="1" s="1"/>
  <c r="Z136" i="1"/>
  <c r="AA136" i="1" s="1"/>
  <c r="AB136" i="1" s="1"/>
  <c r="AN136" i="1" s="1"/>
  <c r="Z137" i="1"/>
  <c r="AA137" i="1" s="1"/>
  <c r="AB137" i="1" s="1"/>
  <c r="AN137" i="1" s="1"/>
  <c r="Z138" i="1"/>
  <c r="AA138" i="1" s="1"/>
  <c r="AB138" i="1" s="1"/>
  <c r="AN138" i="1" s="1"/>
  <c r="Z139" i="1"/>
  <c r="AA139" i="1" s="1"/>
  <c r="AB139" i="1" s="1"/>
  <c r="AN139" i="1" s="1"/>
  <c r="Z140" i="1"/>
  <c r="AA140" i="1" s="1"/>
  <c r="AB140" i="1" s="1"/>
  <c r="AN140" i="1" s="1"/>
  <c r="Z141" i="1"/>
  <c r="AA141" i="1" s="1"/>
  <c r="AB141" i="1" s="1"/>
  <c r="AN141" i="1" s="1"/>
  <c r="Z142" i="1"/>
  <c r="AA142" i="1" s="1"/>
  <c r="AB142" i="1" s="1"/>
  <c r="AN142" i="1" s="1"/>
  <c r="Z143" i="1"/>
  <c r="AA143" i="1" s="1"/>
  <c r="AB143" i="1" s="1"/>
  <c r="AN143" i="1" s="1"/>
  <c r="Z144" i="1"/>
  <c r="AA144" i="1" s="1"/>
  <c r="AB144" i="1" s="1"/>
  <c r="AN144" i="1" s="1"/>
  <c r="Z145" i="1"/>
  <c r="AA145" i="1" s="1"/>
  <c r="AB145" i="1" s="1"/>
  <c r="AN145" i="1" s="1"/>
  <c r="Z146" i="1"/>
  <c r="AA146" i="1" s="1"/>
  <c r="AB146" i="1" s="1"/>
  <c r="AN146" i="1" s="1"/>
  <c r="Z147" i="1"/>
  <c r="AA147" i="1" s="1"/>
  <c r="AB147" i="1" s="1"/>
  <c r="AN147" i="1" s="1"/>
  <c r="Z148" i="1"/>
  <c r="AA148" i="1" s="1"/>
  <c r="AB148" i="1" s="1"/>
  <c r="AN148" i="1" s="1"/>
  <c r="Z149" i="1"/>
  <c r="AA149" i="1" s="1"/>
  <c r="AB149" i="1" s="1"/>
  <c r="AN149" i="1" s="1"/>
  <c r="Z150" i="1"/>
  <c r="AA150" i="1" s="1"/>
  <c r="AB150" i="1" s="1"/>
  <c r="AN150" i="1" s="1"/>
  <c r="Z151" i="1"/>
  <c r="AA151" i="1" s="1"/>
  <c r="AB151" i="1" s="1"/>
  <c r="AN151" i="1" s="1"/>
  <c r="Z152" i="1"/>
  <c r="AA152" i="1" s="1"/>
  <c r="AB152" i="1" s="1"/>
  <c r="AN152" i="1" s="1"/>
  <c r="Z153" i="1"/>
  <c r="AA153" i="1" s="1"/>
  <c r="AB153" i="1" s="1"/>
  <c r="AN153" i="1" s="1"/>
  <c r="Z154" i="1"/>
  <c r="AA154" i="1" s="1"/>
  <c r="AB154" i="1" s="1"/>
  <c r="AN154" i="1" s="1"/>
  <c r="Z155" i="1"/>
  <c r="AA155" i="1" s="1"/>
  <c r="AB155" i="1" s="1"/>
  <c r="AN155" i="1" s="1"/>
  <c r="Z156" i="1"/>
  <c r="AA156" i="1" s="1"/>
  <c r="AB156" i="1" s="1"/>
  <c r="AN156" i="1" s="1"/>
  <c r="Z157" i="1"/>
  <c r="AA157" i="1" s="1"/>
  <c r="AB157" i="1" s="1"/>
  <c r="AN157" i="1" s="1"/>
  <c r="Z158" i="1"/>
  <c r="AA158" i="1" s="1"/>
  <c r="AB158" i="1" s="1"/>
  <c r="AN158" i="1" s="1"/>
  <c r="Z159" i="1"/>
  <c r="AA159" i="1" s="1"/>
  <c r="AB159" i="1" s="1"/>
  <c r="AN159" i="1" s="1"/>
  <c r="Z160" i="1"/>
  <c r="AA160" i="1" s="1"/>
  <c r="AB160" i="1" s="1"/>
  <c r="AN160" i="1" s="1"/>
  <c r="Z161" i="1"/>
  <c r="AA161" i="1" s="1"/>
  <c r="AB161" i="1" s="1"/>
  <c r="AN161" i="1" s="1"/>
  <c r="Z162" i="1"/>
  <c r="AA162" i="1" s="1"/>
  <c r="AB162" i="1" s="1"/>
  <c r="AN162" i="1" s="1"/>
  <c r="Z163" i="1"/>
  <c r="AA163" i="1" s="1"/>
  <c r="AB163" i="1" s="1"/>
  <c r="AN163" i="1" s="1"/>
  <c r="Z164" i="1"/>
  <c r="AA164" i="1" s="1"/>
  <c r="AB164" i="1" s="1"/>
  <c r="AN164" i="1" s="1"/>
  <c r="Z165" i="1"/>
  <c r="AA165" i="1" s="1"/>
  <c r="AB165" i="1" s="1"/>
  <c r="AN165" i="1" s="1"/>
  <c r="Z166" i="1"/>
  <c r="AA166" i="1" s="1"/>
  <c r="AB166" i="1" s="1"/>
  <c r="AN166" i="1" s="1"/>
  <c r="Z167" i="1"/>
  <c r="AA167" i="1" s="1"/>
  <c r="AB167" i="1" s="1"/>
  <c r="AN167" i="1" s="1"/>
  <c r="Z168" i="1"/>
  <c r="AA168" i="1" s="1"/>
  <c r="AB168" i="1" s="1"/>
  <c r="AN168" i="1" s="1"/>
  <c r="Z169" i="1"/>
  <c r="AA169" i="1" s="1"/>
  <c r="AB169" i="1" s="1"/>
  <c r="AN169" i="1" s="1"/>
  <c r="Z170" i="1"/>
  <c r="AA170" i="1" s="1"/>
  <c r="AB170" i="1" s="1"/>
  <c r="AN170" i="1" s="1"/>
  <c r="Z171" i="1"/>
  <c r="AA171" i="1" s="1"/>
  <c r="AB171" i="1" s="1"/>
  <c r="AN171" i="1" s="1"/>
  <c r="Z172" i="1"/>
  <c r="AA172" i="1" s="1"/>
  <c r="AB172" i="1" s="1"/>
  <c r="AN172" i="1" s="1"/>
  <c r="Z173" i="1"/>
  <c r="AA173" i="1" s="1"/>
  <c r="AB173" i="1" s="1"/>
  <c r="AN173" i="1" s="1"/>
  <c r="Z174" i="1"/>
  <c r="AA174" i="1" s="1"/>
  <c r="AB174" i="1" s="1"/>
  <c r="AN174" i="1" s="1"/>
  <c r="Z175" i="1"/>
  <c r="AA175" i="1" s="1"/>
  <c r="AB175" i="1" s="1"/>
  <c r="AN175" i="1" s="1"/>
  <c r="Z176" i="1"/>
  <c r="AA176" i="1" s="1"/>
  <c r="AB176" i="1" s="1"/>
  <c r="AN176" i="1" s="1"/>
  <c r="Z177" i="1"/>
  <c r="AA177" i="1" s="1"/>
  <c r="AB177" i="1" s="1"/>
  <c r="AN177" i="1" s="1"/>
  <c r="Z178" i="1"/>
  <c r="AA178" i="1" s="1"/>
  <c r="AB178" i="1" s="1"/>
  <c r="AN178" i="1" s="1"/>
  <c r="Z179" i="1"/>
  <c r="AA179" i="1" s="1"/>
  <c r="AB179" i="1" s="1"/>
  <c r="AN179" i="1" s="1"/>
  <c r="Z180" i="1"/>
  <c r="AA180" i="1" s="1"/>
  <c r="AB180" i="1" s="1"/>
  <c r="AN180" i="1" s="1"/>
  <c r="Z181" i="1"/>
  <c r="AA181" i="1" s="1"/>
  <c r="AB181" i="1" s="1"/>
  <c r="AN181" i="1" s="1"/>
  <c r="Z182" i="1"/>
  <c r="AA182" i="1" s="1"/>
  <c r="AB182" i="1" s="1"/>
  <c r="AN182" i="1" s="1"/>
  <c r="Z183" i="1"/>
  <c r="AA183" i="1" s="1"/>
  <c r="AB183" i="1" s="1"/>
  <c r="AN183" i="1" s="1"/>
  <c r="Z184" i="1"/>
  <c r="AA184" i="1" s="1"/>
  <c r="AB184" i="1" s="1"/>
  <c r="AN184" i="1" s="1"/>
  <c r="Z185" i="1"/>
  <c r="AA185" i="1" s="1"/>
  <c r="AB185" i="1" s="1"/>
  <c r="AN185" i="1" s="1"/>
  <c r="Z186" i="1"/>
  <c r="AA186" i="1" s="1"/>
  <c r="AB186" i="1" s="1"/>
  <c r="AN186" i="1" s="1"/>
  <c r="Z187" i="1"/>
  <c r="AA187" i="1" s="1"/>
  <c r="AB187" i="1" s="1"/>
  <c r="AN187" i="1" s="1"/>
  <c r="Z188" i="1"/>
  <c r="AA188" i="1" s="1"/>
  <c r="AB188" i="1" s="1"/>
  <c r="AN188" i="1" s="1"/>
  <c r="Z189" i="1"/>
  <c r="AA189" i="1" s="1"/>
  <c r="AB189" i="1" s="1"/>
  <c r="AN189" i="1" s="1"/>
  <c r="Z190" i="1"/>
  <c r="AA190" i="1" s="1"/>
  <c r="AB190" i="1" s="1"/>
  <c r="AN190" i="1" s="1"/>
  <c r="Z191" i="1"/>
  <c r="AA191" i="1" s="1"/>
  <c r="AB191" i="1" s="1"/>
  <c r="AN191" i="1" s="1"/>
  <c r="Z192" i="1"/>
  <c r="AA192" i="1" s="1"/>
  <c r="AB192" i="1" s="1"/>
  <c r="AN192" i="1" s="1"/>
  <c r="Z193" i="1"/>
  <c r="AA193" i="1" s="1"/>
  <c r="AB193" i="1" s="1"/>
  <c r="AN193" i="1" s="1"/>
  <c r="Z194" i="1"/>
  <c r="AA194" i="1" s="1"/>
  <c r="AB194" i="1" s="1"/>
  <c r="AN194" i="1" s="1"/>
  <c r="Z195" i="1"/>
  <c r="AA195" i="1" s="1"/>
  <c r="AB195" i="1" s="1"/>
  <c r="AN195" i="1" s="1"/>
  <c r="Z196" i="1"/>
  <c r="AA196" i="1" s="1"/>
  <c r="AB196" i="1" s="1"/>
  <c r="AN196" i="1" s="1"/>
  <c r="Z197" i="1"/>
  <c r="AA197" i="1" s="1"/>
  <c r="AB197" i="1" s="1"/>
  <c r="AN197" i="1" s="1"/>
  <c r="Z198" i="1"/>
  <c r="AA198" i="1" s="1"/>
  <c r="AB198" i="1" s="1"/>
  <c r="AN198" i="1" s="1"/>
  <c r="Z199" i="1"/>
  <c r="AA199" i="1" s="1"/>
  <c r="AB199" i="1" s="1"/>
  <c r="AN199" i="1" s="1"/>
  <c r="Z200" i="1"/>
  <c r="AA200" i="1" s="1"/>
  <c r="AB200" i="1" s="1"/>
  <c r="AN200" i="1" s="1"/>
  <c r="Z201" i="1"/>
  <c r="AA201" i="1" s="1"/>
  <c r="AB201" i="1" s="1"/>
  <c r="AN201" i="1" s="1"/>
  <c r="Z202" i="1"/>
  <c r="AA202" i="1" s="1"/>
  <c r="AB202" i="1" s="1"/>
  <c r="AN202" i="1" s="1"/>
  <c r="Z203" i="1"/>
  <c r="AA203" i="1" s="1"/>
  <c r="AB203" i="1" s="1"/>
  <c r="AN203" i="1" s="1"/>
  <c r="Z204" i="1"/>
  <c r="AA204" i="1" s="1"/>
  <c r="AB204" i="1" s="1"/>
  <c r="AN204" i="1" s="1"/>
  <c r="Z205" i="1"/>
  <c r="AA205" i="1" s="1"/>
  <c r="AB205" i="1" s="1"/>
  <c r="AN205" i="1" s="1"/>
  <c r="Z206" i="1"/>
  <c r="AA206" i="1" s="1"/>
  <c r="AB206" i="1" s="1"/>
  <c r="AN206" i="1" s="1"/>
  <c r="Z207" i="1"/>
  <c r="AA207" i="1" s="1"/>
  <c r="AB207" i="1" s="1"/>
  <c r="AN207" i="1" s="1"/>
  <c r="Z208" i="1"/>
  <c r="AA208" i="1" s="1"/>
  <c r="AB208" i="1" s="1"/>
  <c r="AN208" i="1" s="1"/>
  <c r="Z209" i="1"/>
  <c r="AA209" i="1" s="1"/>
  <c r="AB209" i="1" s="1"/>
  <c r="AN209" i="1" s="1"/>
  <c r="Z210" i="1"/>
  <c r="AA210" i="1" s="1"/>
  <c r="AB210" i="1" s="1"/>
  <c r="AN210" i="1" s="1"/>
  <c r="Z211" i="1"/>
  <c r="AA211" i="1" s="1"/>
  <c r="AB211" i="1" s="1"/>
  <c r="AN211" i="1" s="1"/>
  <c r="Z212" i="1"/>
  <c r="AA212" i="1" s="1"/>
  <c r="AB212" i="1" s="1"/>
  <c r="AN212" i="1" s="1"/>
  <c r="Z213" i="1"/>
  <c r="AA213" i="1" s="1"/>
  <c r="AB213" i="1" s="1"/>
  <c r="AN213" i="1" s="1"/>
  <c r="Z214" i="1"/>
  <c r="AA214" i="1" s="1"/>
  <c r="AB214" i="1" s="1"/>
  <c r="AN214" i="1" s="1"/>
  <c r="Z215" i="1"/>
  <c r="AA215" i="1" s="1"/>
  <c r="AB215" i="1" s="1"/>
  <c r="AN215" i="1" s="1"/>
  <c r="Z216" i="1"/>
  <c r="AA216" i="1" s="1"/>
  <c r="AB216" i="1" s="1"/>
  <c r="AN216" i="1" s="1"/>
  <c r="Z217" i="1"/>
  <c r="AA217" i="1" s="1"/>
  <c r="AB217" i="1" s="1"/>
  <c r="AN217" i="1" s="1"/>
  <c r="Z218" i="1"/>
  <c r="AA218" i="1" s="1"/>
  <c r="AB218" i="1" s="1"/>
  <c r="AN218" i="1" s="1"/>
  <c r="Z219" i="1"/>
  <c r="AA219" i="1" s="1"/>
  <c r="AB219" i="1" s="1"/>
  <c r="AN219" i="1" s="1"/>
  <c r="Z220" i="1"/>
  <c r="AA220" i="1" s="1"/>
  <c r="AB220" i="1" s="1"/>
  <c r="AN220" i="1" s="1"/>
  <c r="Z221" i="1"/>
  <c r="AA221" i="1" s="1"/>
  <c r="AB221" i="1" s="1"/>
  <c r="AN221" i="1" s="1"/>
  <c r="Z222" i="1"/>
  <c r="AA222" i="1" s="1"/>
  <c r="AB222" i="1" s="1"/>
  <c r="AN222" i="1" s="1"/>
  <c r="Z223" i="1"/>
  <c r="AA223" i="1" s="1"/>
  <c r="AB223" i="1" s="1"/>
  <c r="AN223" i="1" s="1"/>
  <c r="Z224" i="1"/>
  <c r="AA224" i="1" s="1"/>
  <c r="AB224" i="1" s="1"/>
  <c r="AN224" i="1" s="1"/>
  <c r="Z225" i="1"/>
  <c r="AA225" i="1" s="1"/>
  <c r="AB225" i="1" s="1"/>
  <c r="AN225" i="1" s="1"/>
  <c r="Z226" i="1"/>
  <c r="AA226" i="1" s="1"/>
  <c r="AB226" i="1" s="1"/>
  <c r="AN226" i="1" s="1"/>
  <c r="Z227" i="1"/>
  <c r="AA227" i="1" s="1"/>
  <c r="AB227" i="1" s="1"/>
  <c r="AN227" i="1" s="1"/>
  <c r="Z228" i="1"/>
  <c r="AA228" i="1" s="1"/>
  <c r="AB228" i="1" s="1"/>
  <c r="AN228" i="1" s="1"/>
  <c r="Z229" i="1"/>
  <c r="AA229" i="1" s="1"/>
  <c r="AB229" i="1" s="1"/>
  <c r="AN229" i="1" s="1"/>
  <c r="Z230" i="1"/>
  <c r="AA230" i="1" s="1"/>
  <c r="AB230" i="1" s="1"/>
  <c r="AN230" i="1" s="1"/>
  <c r="Z231" i="1"/>
  <c r="AA231" i="1" s="1"/>
  <c r="AB231" i="1" s="1"/>
  <c r="AN231" i="1" s="1"/>
  <c r="Z232" i="1"/>
  <c r="AA232" i="1" s="1"/>
  <c r="AB232" i="1" s="1"/>
  <c r="AN232" i="1" s="1"/>
  <c r="Z233" i="1"/>
  <c r="AA233" i="1" s="1"/>
  <c r="AB233" i="1" s="1"/>
  <c r="AN233" i="1" s="1"/>
  <c r="Z234" i="1"/>
  <c r="AA234" i="1" s="1"/>
  <c r="AB234" i="1" s="1"/>
  <c r="AN234" i="1" s="1"/>
  <c r="Z235" i="1"/>
  <c r="AA235" i="1" s="1"/>
  <c r="AB235" i="1" s="1"/>
  <c r="AN235" i="1" s="1"/>
  <c r="Z236" i="1"/>
  <c r="AA236" i="1" s="1"/>
  <c r="AB236" i="1" s="1"/>
  <c r="AN236" i="1" s="1"/>
  <c r="Z237" i="1"/>
  <c r="AA237" i="1" s="1"/>
  <c r="AB237" i="1" s="1"/>
  <c r="AN237" i="1" s="1"/>
  <c r="Z238" i="1"/>
  <c r="AA238" i="1" s="1"/>
  <c r="AB238" i="1" s="1"/>
  <c r="AN238" i="1" s="1"/>
  <c r="Z239" i="1"/>
  <c r="AA239" i="1" s="1"/>
  <c r="AB239" i="1" s="1"/>
  <c r="AN239" i="1" s="1"/>
  <c r="Z240" i="1"/>
  <c r="AA240" i="1" s="1"/>
  <c r="AB240" i="1" s="1"/>
  <c r="AN240" i="1" s="1"/>
  <c r="Z241" i="1"/>
  <c r="AA241" i="1" s="1"/>
  <c r="AB241" i="1" s="1"/>
  <c r="AN241" i="1" s="1"/>
  <c r="Z242" i="1"/>
  <c r="AA242" i="1" s="1"/>
  <c r="AB242" i="1" s="1"/>
  <c r="AN242" i="1" s="1"/>
  <c r="Z243" i="1"/>
  <c r="AA243" i="1" s="1"/>
  <c r="AB243" i="1" s="1"/>
  <c r="AN243" i="1" s="1"/>
  <c r="Z244" i="1"/>
  <c r="AA244" i="1" s="1"/>
  <c r="AB244" i="1" s="1"/>
  <c r="AN244" i="1" s="1"/>
  <c r="Z245" i="1"/>
  <c r="AA245" i="1" s="1"/>
  <c r="AB245" i="1" s="1"/>
  <c r="AN245" i="1" s="1"/>
  <c r="Z246" i="1"/>
  <c r="AA246" i="1" s="1"/>
  <c r="AB246" i="1" s="1"/>
  <c r="AN246" i="1" s="1"/>
  <c r="Z247" i="1"/>
  <c r="AA247" i="1" s="1"/>
  <c r="AB247" i="1" s="1"/>
  <c r="AN247" i="1" s="1"/>
  <c r="Z248" i="1"/>
  <c r="AA248" i="1" s="1"/>
  <c r="AB248" i="1" s="1"/>
  <c r="AN248" i="1" s="1"/>
  <c r="Z249" i="1"/>
  <c r="AA249" i="1" s="1"/>
  <c r="AB249" i="1" s="1"/>
  <c r="AN249" i="1" s="1"/>
  <c r="Z250" i="1"/>
  <c r="AA250" i="1" s="1"/>
  <c r="AB250" i="1" s="1"/>
  <c r="AN250" i="1" s="1"/>
  <c r="Z251" i="1"/>
  <c r="AA251" i="1" s="1"/>
  <c r="AB251" i="1" s="1"/>
  <c r="AN251" i="1" s="1"/>
  <c r="Z252" i="1"/>
  <c r="AA252" i="1" s="1"/>
  <c r="AB252" i="1" s="1"/>
  <c r="AN252" i="1" s="1"/>
  <c r="Z253" i="1"/>
  <c r="AA253" i="1" s="1"/>
  <c r="AB253" i="1" s="1"/>
  <c r="AN253" i="1" s="1"/>
  <c r="Z254" i="1"/>
  <c r="AA254" i="1" s="1"/>
  <c r="AB254" i="1" s="1"/>
  <c r="AN254" i="1" s="1"/>
  <c r="Z255" i="1"/>
  <c r="AA255" i="1" s="1"/>
  <c r="AB255" i="1" s="1"/>
  <c r="AN255" i="1" s="1"/>
  <c r="Z256" i="1"/>
  <c r="AA256" i="1" s="1"/>
  <c r="AB256" i="1" s="1"/>
  <c r="AN256" i="1" s="1"/>
  <c r="Z257" i="1"/>
  <c r="AA257" i="1" s="1"/>
  <c r="AB257" i="1" s="1"/>
  <c r="AN257" i="1" s="1"/>
  <c r="Z258" i="1"/>
  <c r="AA258" i="1" s="1"/>
  <c r="AB258" i="1" s="1"/>
  <c r="AN258" i="1" s="1"/>
  <c r="Z259" i="1"/>
  <c r="AA259" i="1" s="1"/>
  <c r="AB259" i="1" s="1"/>
  <c r="AN259" i="1" s="1"/>
  <c r="Z260" i="1"/>
  <c r="AA260" i="1" s="1"/>
  <c r="AB260" i="1" s="1"/>
  <c r="AN260" i="1" s="1"/>
  <c r="Z261" i="1"/>
  <c r="AA261" i="1" s="1"/>
  <c r="AB261" i="1" s="1"/>
  <c r="AN261" i="1" s="1"/>
  <c r="Z262" i="1"/>
  <c r="AA262" i="1" s="1"/>
  <c r="AB262" i="1" s="1"/>
  <c r="AN262" i="1" s="1"/>
  <c r="Z263" i="1"/>
  <c r="AA263" i="1" s="1"/>
  <c r="AB263" i="1" s="1"/>
  <c r="AN263" i="1" s="1"/>
  <c r="Z264" i="1"/>
  <c r="AA264" i="1" s="1"/>
  <c r="AB264" i="1" s="1"/>
  <c r="AN264" i="1" s="1"/>
  <c r="Z265" i="1"/>
  <c r="AA265" i="1" s="1"/>
  <c r="AB265" i="1" s="1"/>
  <c r="AN265" i="1" s="1"/>
  <c r="Z266" i="1"/>
  <c r="AA266" i="1" s="1"/>
  <c r="AB266" i="1" s="1"/>
  <c r="AN266" i="1" s="1"/>
  <c r="Z267" i="1"/>
  <c r="AA267" i="1" s="1"/>
  <c r="AB267" i="1" s="1"/>
  <c r="AN267" i="1" s="1"/>
  <c r="Z268" i="1"/>
  <c r="AA268" i="1" s="1"/>
  <c r="AB268" i="1" s="1"/>
  <c r="AN268" i="1" s="1"/>
  <c r="Z269" i="1"/>
  <c r="AA269" i="1" s="1"/>
  <c r="AB269" i="1" s="1"/>
  <c r="AN269" i="1" s="1"/>
  <c r="Z270" i="1"/>
  <c r="AA270" i="1" s="1"/>
  <c r="AB270" i="1" s="1"/>
  <c r="AN270" i="1" s="1"/>
  <c r="Z271" i="1"/>
  <c r="AA271" i="1" s="1"/>
  <c r="AB271" i="1" s="1"/>
  <c r="AN271" i="1" s="1"/>
  <c r="Z272" i="1"/>
  <c r="AA272" i="1" s="1"/>
  <c r="AB272" i="1" s="1"/>
  <c r="AN272" i="1" s="1"/>
  <c r="Z273" i="1"/>
  <c r="AA273" i="1" s="1"/>
  <c r="AB273" i="1" s="1"/>
  <c r="AN273" i="1" s="1"/>
  <c r="Z274" i="1"/>
  <c r="AA274" i="1" s="1"/>
  <c r="AB274" i="1" s="1"/>
  <c r="AN274" i="1" s="1"/>
  <c r="Z275" i="1"/>
  <c r="AA275" i="1" s="1"/>
  <c r="AB275" i="1" s="1"/>
  <c r="AN275" i="1" s="1"/>
  <c r="Z276" i="1"/>
  <c r="AA276" i="1" s="1"/>
  <c r="AB276" i="1" s="1"/>
  <c r="AN276" i="1" s="1"/>
  <c r="Z277" i="1"/>
  <c r="AA277" i="1" s="1"/>
  <c r="AB277" i="1" s="1"/>
  <c r="AN277" i="1" s="1"/>
  <c r="Z278" i="1"/>
  <c r="AA278" i="1" s="1"/>
  <c r="AB278" i="1" s="1"/>
  <c r="AN278" i="1" s="1"/>
  <c r="Z279" i="1"/>
  <c r="AA279" i="1" s="1"/>
  <c r="AB279" i="1" s="1"/>
  <c r="AN279" i="1" s="1"/>
  <c r="Z280" i="1"/>
  <c r="AA280" i="1" s="1"/>
  <c r="AB280" i="1" s="1"/>
  <c r="AN280" i="1" s="1"/>
  <c r="Z281" i="1"/>
  <c r="AA281" i="1" s="1"/>
  <c r="AB281" i="1" s="1"/>
  <c r="AN281" i="1" s="1"/>
  <c r="Z282" i="1"/>
  <c r="AA282" i="1" s="1"/>
  <c r="AB282" i="1" s="1"/>
  <c r="AN282" i="1" s="1"/>
  <c r="Z283" i="1"/>
  <c r="AA283" i="1" s="1"/>
  <c r="AB283" i="1" s="1"/>
  <c r="AN283" i="1" s="1"/>
  <c r="Z284" i="1"/>
  <c r="AA284" i="1" s="1"/>
  <c r="AB284" i="1" s="1"/>
  <c r="AN284" i="1" s="1"/>
  <c r="Z285" i="1"/>
  <c r="AA285" i="1" s="1"/>
  <c r="AB285" i="1" s="1"/>
  <c r="AN285" i="1" s="1"/>
  <c r="Z286" i="1"/>
  <c r="AA286" i="1" s="1"/>
  <c r="AB286" i="1" s="1"/>
  <c r="AN286" i="1" s="1"/>
  <c r="Z287" i="1"/>
  <c r="AA287" i="1" s="1"/>
  <c r="AB287" i="1" s="1"/>
  <c r="AN287" i="1" s="1"/>
  <c r="Z288" i="1"/>
  <c r="AA288" i="1" s="1"/>
  <c r="AB288" i="1" s="1"/>
  <c r="AN288" i="1" s="1"/>
  <c r="Z289" i="1"/>
  <c r="AA289" i="1" s="1"/>
  <c r="AB289" i="1" s="1"/>
  <c r="AN289" i="1" s="1"/>
  <c r="Z290" i="1"/>
  <c r="AA290" i="1" s="1"/>
  <c r="AB290" i="1" s="1"/>
  <c r="AN290" i="1" s="1"/>
  <c r="Z291" i="1"/>
  <c r="AA291" i="1" s="1"/>
  <c r="AB291" i="1" s="1"/>
  <c r="AN291" i="1" s="1"/>
  <c r="Z292" i="1"/>
  <c r="AA292" i="1" s="1"/>
  <c r="AB292" i="1" s="1"/>
  <c r="AN292" i="1" s="1"/>
  <c r="Z293" i="1"/>
  <c r="AA293" i="1" s="1"/>
  <c r="AB293" i="1" s="1"/>
  <c r="AN293" i="1" s="1"/>
  <c r="Z294" i="1"/>
  <c r="AA294" i="1" s="1"/>
  <c r="AB294" i="1" s="1"/>
  <c r="AN294" i="1" s="1"/>
  <c r="Z295" i="1"/>
  <c r="AA295" i="1" s="1"/>
  <c r="AB295" i="1" s="1"/>
  <c r="AN295" i="1" s="1"/>
  <c r="Z296" i="1"/>
  <c r="AA296" i="1" s="1"/>
  <c r="AB296" i="1" s="1"/>
  <c r="AN296" i="1" s="1"/>
  <c r="Z297" i="1"/>
  <c r="AA297" i="1" s="1"/>
  <c r="AB297" i="1" s="1"/>
  <c r="AN297" i="1" s="1"/>
  <c r="Z298" i="1"/>
  <c r="AA298" i="1" s="1"/>
  <c r="AB298" i="1" s="1"/>
  <c r="AN298" i="1" s="1"/>
  <c r="Z299" i="1"/>
  <c r="AA299" i="1" s="1"/>
  <c r="AB299" i="1" s="1"/>
  <c r="AN299" i="1" s="1"/>
  <c r="Z300" i="1"/>
  <c r="AA300" i="1" s="1"/>
  <c r="AB300" i="1" s="1"/>
  <c r="AN300" i="1" s="1"/>
  <c r="Z301" i="1"/>
  <c r="AA301" i="1" s="1"/>
  <c r="AB301" i="1" s="1"/>
  <c r="AN301" i="1" s="1"/>
  <c r="Z302" i="1"/>
  <c r="AA302" i="1" s="1"/>
  <c r="AB302" i="1" s="1"/>
  <c r="AN302" i="1" s="1"/>
  <c r="Z303" i="1"/>
  <c r="AA303" i="1" s="1"/>
  <c r="AB303" i="1" s="1"/>
  <c r="AN303" i="1" s="1"/>
  <c r="Z304" i="1"/>
  <c r="AA304" i="1" s="1"/>
  <c r="AB304" i="1" s="1"/>
  <c r="AN304" i="1" s="1"/>
  <c r="Z305" i="1"/>
  <c r="AA305" i="1" s="1"/>
  <c r="AB305" i="1" s="1"/>
  <c r="AN305" i="1" s="1"/>
  <c r="Z306" i="1"/>
  <c r="AA306" i="1" s="1"/>
  <c r="AB306" i="1" s="1"/>
  <c r="AN306" i="1" s="1"/>
  <c r="Z307" i="1"/>
  <c r="AA307" i="1" s="1"/>
  <c r="AB307" i="1" s="1"/>
  <c r="AN307" i="1" s="1"/>
  <c r="Z308" i="1"/>
  <c r="AA308" i="1" s="1"/>
  <c r="AB308" i="1" s="1"/>
  <c r="AN308" i="1" s="1"/>
  <c r="Z309" i="1"/>
  <c r="AA309" i="1" s="1"/>
  <c r="AB309" i="1" s="1"/>
  <c r="AN309" i="1" s="1"/>
  <c r="Z310" i="1"/>
  <c r="AA310" i="1" s="1"/>
  <c r="AB310" i="1" s="1"/>
  <c r="AN310" i="1" s="1"/>
  <c r="Z311" i="1"/>
  <c r="AA311" i="1" s="1"/>
  <c r="AB311" i="1" s="1"/>
  <c r="AN311" i="1" s="1"/>
  <c r="Z312" i="1"/>
  <c r="AA312" i="1" s="1"/>
  <c r="AB312" i="1" s="1"/>
  <c r="AN312" i="1" s="1"/>
  <c r="Z313" i="1"/>
  <c r="AA313" i="1" s="1"/>
  <c r="AB313" i="1" s="1"/>
  <c r="AN313" i="1" s="1"/>
  <c r="Z314" i="1"/>
  <c r="AA314" i="1" s="1"/>
  <c r="AB314" i="1" s="1"/>
  <c r="AN314" i="1" s="1"/>
  <c r="Z315" i="1"/>
  <c r="AA315" i="1" s="1"/>
  <c r="AB315" i="1" s="1"/>
  <c r="AN315" i="1" s="1"/>
  <c r="Z316" i="1"/>
  <c r="AA316" i="1" s="1"/>
  <c r="AB316" i="1" s="1"/>
  <c r="AN316" i="1" s="1"/>
  <c r="Z317" i="1"/>
  <c r="AA317" i="1" s="1"/>
  <c r="AB317" i="1" s="1"/>
  <c r="AN317" i="1" s="1"/>
  <c r="Z318" i="1"/>
  <c r="AA318" i="1" s="1"/>
  <c r="AB318" i="1" s="1"/>
  <c r="AN318" i="1" s="1"/>
  <c r="Z319" i="1"/>
  <c r="AA319" i="1" s="1"/>
  <c r="AB319" i="1" s="1"/>
  <c r="AN319" i="1" s="1"/>
  <c r="Z320" i="1"/>
  <c r="AA320" i="1" s="1"/>
  <c r="AB320" i="1" s="1"/>
  <c r="AN320" i="1" s="1"/>
  <c r="Z321" i="1"/>
  <c r="AA321" i="1" s="1"/>
  <c r="AB321" i="1" s="1"/>
  <c r="AN321" i="1" s="1"/>
  <c r="Z322" i="1"/>
  <c r="AA322" i="1" s="1"/>
  <c r="AB322" i="1" s="1"/>
  <c r="AN322" i="1" s="1"/>
  <c r="Z323" i="1"/>
  <c r="AA323" i="1" s="1"/>
  <c r="AB323" i="1" s="1"/>
  <c r="AN323" i="1" s="1"/>
  <c r="Z324" i="1"/>
  <c r="AA324" i="1" s="1"/>
  <c r="AB324" i="1" s="1"/>
  <c r="AN324" i="1" s="1"/>
  <c r="Z325" i="1"/>
  <c r="AA325" i="1" s="1"/>
  <c r="AB325" i="1" s="1"/>
  <c r="AN325" i="1" s="1"/>
  <c r="Z326" i="1"/>
  <c r="AA326" i="1" s="1"/>
  <c r="AB326" i="1" s="1"/>
  <c r="AN326" i="1" s="1"/>
  <c r="Z327" i="1"/>
  <c r="AA327" i="1" s="1"/>
  <c r="AB327" i="1" s="1"/>
  <c r="AN327" i="1" s="1"/>
  <c r="Z328" i="1"/>
  <c r="AA328" i="1" s="1"/>
  <c r="AB328" i="1" s="1"/>
  <c r="AN328" i="1" s="1"/>
  <c r="Z329" i="1"/>
  <c r="AA329" i="1" s="1"/>
  <c r="AB329" i="1" s="1"/>
  <c r="AN329" i="1" s="1"/>
  <c r="Z330" i="1"/>
  <c r="AA330" i="1" s="1"/>
  <c r="AB330" i="1" s="1"/>
  <c r="AN330" i="1" s="1"/>
  <c r="Z331" i="1"/>
  <c r="AA331" i="1" s="1"/>
  <c r="AB331" i="1" s="1"/>
  <c r="AN331" i="1" s="1"/>
  <c r="Z332" i="1"/>
  <c r="AA332" i="1" s="1"/>
  <c r="AB332" i="1" s="1"/>
  <c r="AN332" i="1" s="1"/>
  <c r="Z333" i="1"/>
  <c r="AA333" i="1" s="1"/>
  <c r="AB333" i="1" s="1"/>
  <c r="AN333" i="1" s="1"/>
  <c r="Z334" i="1"/>
  <c r="AA334" i="1" s="1"/>
  <c r="AB334" i="1" s="1"/>
  <c r="AN334" i="1" s="1"/>
  <c r="Z335" i="1"/>
  <c r="AA335" i="1" s="1"/>
  <c r="AB335" i="1" s="1"/>
  <c r="AN335" i="1" s="1"/>
  <c r="Z336" i="1"/>
  <c r="AA336" i="1" s="1"/>
  <c r="AB336" i="1" s="1"/>
  <c r="AN336" i="1" s="1"/>
  <c r="Z337" i="1"/>
  <c r="AA337" i="1" s="1"/>
  <c r="AB337" i="1" s="1"/>
  <c r="AN337" i="1" s="1"/>
  <c r="Z338" i="1"/>
  <c r="AA338" i="1" s="1"/>
  <c r="AB338" i="1" s="1"/>
  <c r="AN338" i="1" s="1"/>
  <c r="Z339" i="1"/>
  <c r="AA339" i="1" s="1"/>
  <c r="AB339" i="1" s="1"/>
  <c r="AN339" i="1" s="1"/>
  <c r="Z340" i="1"/>
  <c r="AA340" i="1" s="1"/>
  <c r="AB340" i="1" s="1"/>
  <c r="AN340" i="1" s="1"/>
  <c r="Z341" i="1"/>
  <c r="AA341" i="1" s="1"/>
  <c r="AB341" i="1" s="1"/>
  <c r="AN341" i="1" s="1"/>
  <c r="Z342" i="1"/>
  <c r="AA342" i="1" s="1"/>
  <c r="AB342" i="1" s="1"/>
  <c r="AN342" i="1" s="1"/>
  <c r="Z343" i="1"/>
  <c r="AA343" i="1" s="1"/>
  <c r="AB343" i="1" s="1"/>
  <c r="AN343" i="1" s="1"/>
  <c r="Z344" i="1"/>
  <c r="AA344" i="1" s="1"/>
  <c r="AB344" i="1" s="1"/>
  <c r="AN344" i="1" s="1"/>
  <c r="Z345" i="1"/>
  <c r="AA345" i="1" s="1"/>
  <c r="AB345" i="1" s="1"/>
  <c r="AN345" i="1" s="1"/>
  <c r="Z346" i="1"/>
  <c r="AA346" i="1" s="1"/>
  <c r="AB346" i="1" s="1"/>
  <c r="AN346" i="1" s="1"/>
  <c r="Z347" i="1"/>
  <c r="AA347" i="1" s="1"/>
  <c r="AB347" i="1" s="1"/>
  <c r="AN347" i="1" s="1"/>
  <c r="Z348" i="1"/>
  <c r="AA348" i="1" s="1"/>
  <c r="AB348" i="1" s="1"/>
  <c r="AN348" i="1" s="1"/>
  <c r="Z349" i="1"/>
  <c r="AA349" i="1" s="1"/>
  <c r="AB349" i="1" s="1"/>
  <c r="AN349" i="1" s="1"/>
  <c r="Z350" i="1"/>
  <c r="AA350" i="1" s="1"/>
  <c r="AB350" i="1" s="1"/>
  <c r="AN350" i="1" s="1"/>
  <c r="Z351" i="1"/>
  <c r="AA351" i="1" s="1"/>
  <c r="AB351" i="1" s="1"/>
  <c r="AN351" i="1" s="1"/>
  <c r="Z352" i="1"/>
  <c r="AA352" i="1" s="1"/>
  <c r="AB352" i="1" s="1"/>
  <c r="AN352" i="1" s="1"/>
  <c r="Z353" i="1"/>
  <c r="AA353" i="1" s="1"/>
  <c r="AB353" i="1" s="1"/>
  <c r="AN353" i="1" s="1"/>
  <c r="Z354" i="1"/>
  <c r="AA354" i="1" s="1"/>
  <c r="AB354" i="1" s="1"/>
  <c r="AN354" i="1" s="1"/>
  <c r="Z355" i="1"/>
  <c r="AA355" i="1" s="1"/>
  <c r="AB355" i="1" s="1"/>
  <c r="AN355" i="1" s="1"/>
  <c r="Z356" i="1"/>
  <c r="AA356" i="1" s="1"/>
  <c r="AB356" i="1" s="1"/>
  <c r="AN356" i="1" s="1"/>
  <c r="Z357" i="1"/>
  <c r="AA357" i="1" s="1"/>
  <c r="AB357" i="1" s="1"/>
  <c r="AN357" i="1" s="1"/>
  <c r="Z358" i="1"/>
  <c r="AA358" i="1" s="1"/>
  <c r="AB358" i="1" s="1"/>
  <c r="AN358" i="1" s="1"/>
  <c r="Z359" i="1"/>
  <c r="AA359" i="1" s="1"/>
  <c r="AB359" i="1" s="1"/>
  <c r="AN359" i="1" s="1"/>
  <c r="Z360" i="1"/>
  <c r="AA360" i="1" s="1"/>
  <c r="AB360" i="1" s="1"/>
  <c r="AN360" i="1" s="1"/>
  <c r="Z361" i="1"/>
  <c r="AA361" i="1" s="1"/>
  <c r="AB361" i="1" s="1"/>
  <c r="AN361" i="1" s="1"/>
  <c r="Z362" i="1"/>
  <c r="AA362" i="1" s="1"/>
  <c r="AB362" i="1" s="1"/>
  <c r="AN362" i="1" s="1"/>
  <c r="Z363" i="1"/>
  <c r="AA363" i="1" s="1"/>
  <c r="AB363" i="1" s="1"/>
  <c r="AN363" i="1" s="1"/>
  <c r="Z364" i="1"/>
  <c r="AA364" i="1" s="1"/>
  <c r="AB364" i="1" s="1"/>
  <c r="AN364" i="1" s="1"/>
  <c r="Z365" i="1"/>
  <c r="AA365" i="1" s="1"/>
  <c r="AB365" i="1" s="1"/>
  <c r="AN365" i="1" s="1"/>
  <c r="Z366" i="1"/>
  <c r="AA366" i="1" s="1"/>
  <c r="AB366" i="1" s="1"/>
  <c r="AN366" i="1" s="1"/>
  <c r="Z367" i="1"/>
  <c r="AA367" i="1" s="1"/>
  <c r="AB367" i="1" s="1"/>
  <c r="AN367" i="1" s="1"/>
  <c r="Z368" i="1"/>
  <c r="AA368" i="1" s="1"/>
  <c r="AB368" i="1" s="1"/>
  <c r="AN368" i="1" s="1"/>
  <c r="Z369" i="1"/>
  <c r="AA369" i="1" s="1"/>
  <c r="AB369" i="1" s="1"/>
  <c r="AN369" i="1" s="1"/>
  <c r="Z370" i="1"/>
  <c r="AA370" i="1" s="1"/>
  <c r="AB370" i="1" s="1"/>
  <c r="AN370" i="1" s="1"/>
  <c r="Z371" i="1"/>
  <c r="AA371" i="1" s="1"/>
  <c r="AB371" i="1" s="1"/>
  <c r="AN371" i="1" s="1"/>
  <c r="Z372" i="1"/>
  <c r="AA372" i="1" s="1"/>
  <c r="AB372" i="1" s="1"/>
  <c r="AN372" i="1" s="1"/>
  <c r="Z373" i="1"/>
  <c r="AA373" i="1" s="1"/>
  <c r="AB373" i="1" s="1"/>
  <c r="AN373" i="1" s="1"/>
  <c r="Z374" i="1"/>
  <c r="AA374" i="1" s="1"/>
  <c r="AB374" i="1" s="1"/>
  <c r="AN374" i="1" s="1"/>
  <c r="Z375" i="1"/>
  <c r="AA375" i="1" s="1"/>
  <c r="AB375" i="1" s="1"/>
  <c r="AN375" i="1" s="1"/>
  <c r="Z376" i="1"/>
  <c r="AA376" i="1" s="1"/>
  <c r="AB376" i="1" s="1"/>
  <c r="AN376" i="1" s="1"/>
  <c r="Z377" i="1"/>
  <c r="AA377" i="1" s="1"/>
  <c r="AB377" i="1" s="1"/>
  <c r="AN377" i="1" s="1"/>
  <c r="Z378" i="1"/>
  <c r="AA378" i="1" s="1"/>
  <c r="AB378" i="1" s="1"/>
  <c r="AN378" i="1" s="1"/>
  <c r="Z379" i="1"/>
  <c r="AA379" i="1" s="1"/>
  <c r="AB379" i="1" s="1"/>
  <c r="AN379" i="1" s="1"/>
  <c r="Z380" i="1"/>
  <c r="AA380" i="1" s="1"/>
  <c r="AB380" i="1" s="1"/>
  <c r="AN380" i="1" s="1"/>
  <c r="Z381" i="1"/>
  <c r="AA381" i="1" s="1"/>
  <c r="AB381" i="1" s="1"/>
  <c r="AN381" i="1" s="1"/>
  <c r="Z382" i="1"/>
  <c r="AA382" i="1" s="1"/>
  <c r="AB382" i="1" s="1"/>
  <c r="AN382" i="1" s="1"/>
  <c r="Z383" i="1"/>
  <c r="AA383" i="1" s="1"/>
  <c r="AB383" i="1" s="1"/>
  <c r="AN383" i="1" s="1"/>
  <c r="Z384" i="1"/>
  <c r="AA384" i="1" s="1"/>
  <c r="AB384" i="1" s="1"/>
  <c r="AN384" i="1" s="1"/>
  <c r="Z385" i="1"/>
  <c r="AA385" i="1" s="1"/>
  <c r="AB385" i="1" s="1"/>
  <c r="AN385" i="1" s="1"/>
  <c r="Z386" i="1"/>
  <c r="AA386" i="1" s="1"/>
  <c r="AB386" i="1" s="1"/>
  <c r="AN386" i="1" s="1"/>
  <c r="Z387" i="1"/>
  <c r="AA387" i="1" s="1"/>
  <c r="AB387" i="1" s="1"/>
  <c r="AN387" i="1" s="1"/>
  <c r="Z388" i="1"/>
  <c r="AA388" i="1" s="1"/>
  <c r="AB388" i="1" s="1"/>
  <c r="AN388" i="1" s="1"/>
  <c r="Z389" i="1"/>
  <c r="AA389" i="1" s="1"/>
  <c r="AB389" i="1" s="1"/>
  <c r="AN389" i="1" s="1"/>
  <c r="Z390" i="1"/>
  <c r="AA390" i="1" s="1"/>
  <c r="AB390" i="1" s="1"/>
  <c r="AN390" i="1" s="1"/>
  <c r="Z391" i="1"/>
  <c r="AA391" i="1" s="1"/>
  <c r="AB391" i="1" s="1"/>
  <c r="AN391" i="1" s="1"/>
  <c r="Z392" i="1"/>
  <c r="AA392" i="1" s="1"/>
  <c r="AB392" i="1" s="1"/>
  <c r="AN392" i="1" s="1"/>
  <c r="Z393" i="1"/>
  <c r="AA393" i="1" s="1"/>
  <c r="AB393" i="1" s="1"/>
  <c r="AN393" i="1" s="1"/>
  <c r="Z394" i="1"/>
  <c r="AA394" i="1" s="1"/>
  <c r="AB394" i="1" s="1"/>
  <c r="AN394" i="1" s="1"/>
  <c r="Z395" i="1"/>
  <c r="AA395" i="1" s="1"/>
  <c r="AB395" i="1" s="1"/>
  <c r="AN395" i="1" s="1"/>
  <c r="Z396" i="1"/>
  <c r="AA396" i="1" s="1"/>
  <c r="AB396" i="1" s="1"/>
  <c r="AN396" i="1" s="1"/>
  <c r="Z397" i="1"/>
  <c r="AA397" i="1" s="1"/>
  <c r="AB397" i="1" s="1"/>
  <c r="AN397" i="1" s="1"/>
  <c r="Z398" i="1"/>
  <c r="AA398" i="1" s="1"/>
  <c r="AB398" i="1" s="1"/>
  <c r="AN398" i="1" s="1"/>
  <c r="Z399" i="1"/>
  <c r="AA399" i="1" s="1"/>
  <c r="AB399" i="1" s="1"/>
  <c r="AN399" i="1" s="1"/>
  <c r="Z400" i="1"/>
  <c r="AA400" i="1" s="1"/>
  <c r="AB400" i="1" s="1"/>
  <c r="AN400" i="1" s="1"/>
  <c r="Z401" i="1"/>
  <c r="AA401" i="1" s="1"/>
  <c r="AB401" i="1" s="1"/>
  <c r="AN401" i="1" s="1"/>
  <c r="Z402" i="1"/>
  <c r="AA402" i="1" s="1"/>
  <c r="AB402" i="1" s="1"/>
  <c r="AN402" i="1" s="1"/>
  <c r="Z403" i="1"/>
  <c r="AA403" i="1" s="1"/>
  <c r="AB403" i="1" s="1"/>
  <c r="AN403" i="1" s="1"/>
  <c r="Z404" i="1"/>
  <c r="AA404" i="1" s="1"/>
  <c r="AB404" i="1" s="1"/>
  <c r="AN404" i="1" s="1"/>
  <c r="Z405" i="1"/>
  <c r="AA405" i="1" s="1"/>
  <c r="AB405" i="1" s="1"/>
  <c r="AN405" i="1" s="1"/>
  <c r="Z406" i="1"/>
  <c r="AA406" i="1" s="1"/>
  <c r="AB406" i="1" s="1"/>
  <c r="AN406" i="1" s="1"/>
  <c r="Z407" i="1"/>
  <c r="AA407" i="1" s="1"/>
  <c r="AB407" i="1" s="1"/>
  <c r="AN407" i="1" s="1"/>
  <c r="Z408" i="1"/>
  <c r="AA408" i="1" s="1"/>
  <c r="AB408" i="1" s="1"/>
  <c r="AN408" i="1" s="1"/>
  <c r="Z409" i="1"/>
  <c r="AA409" i="1" s="1"/>
  <c r="AB409" i="1" s="1"/>
  <c r="AN409" i="1" s="1"/>
  <c r="Z410" i="1"/>
  <c r="AA410" i="1" s="1"/>
  <c r="AB410" i="1" s="1"/>
  <c r="AN410" i="1" s="1"/>
  <c r="Z411" i="1"/>
  <c r="AA411" i="1" s="1"/>
  <c r="AB411" i="1" s="1"/>
  <c r="AN411" i="1" s="1"/>
  <c r="Z412" i="1"/>
  <c r="AA412" i="1" s="1"/>
  <c r="AB412" i="1" s="1"/>
  <c r="AN412" i="1" s="1"/>
  <c r="Z413" i="1"/>
  <c r="AA413" i="1" s="1"/>
  <c r="AB413" i="1" s="1"/>
  <c r="AN413" i="1" s="1"/>
  <c r="Z414" i="1"/>
  <c r="AA414" i="1" s="1"/>
  <c r="AB414" i="1" s="1"/>
  <c r="AN414" i="1" s="1"/>
  <c r="Z415" i="1"/>
  <c r="AA415" i="1" s="1"/>
  <c r="AB415" i="1" s="1"/>
  <c r="AN415" i="1" s="1"/>
  <c r="Z416" i="1"/>
  <c r="AA416" i="1" s="1"/>
  <c r="AB416" i="1" s="1"/>
  <c r="AN416" i="1" s="1"/>
  <c r="Z417" i="1"/>
  <c r="AA417" i="1" s="1"/>
  <c r="AB417" i="1" s="1"/>
  <c r="AN417" i="1" s="1"/>
  <c r="Z418" i="1"/>
  <c r="AA418" i="1" s="1"/>
  <c r="AB418" i="1" s="1"/>
  <c r="AN418" i="1" s="1"/>
  <c r="Z419" i="1"/>
  <c r="AA419" i="1" s="1"/>
  <c r="AB419" i="1" s="1"/>
  <c r="AN419" i="1" s="1"/>
  <c r="Z420" i="1"/>
  <c r="AA420" i="1" s="1"/>
  <c r="AB420" i="1" s="1"/>
  <c r="AN420" i="1" s="1"/>
  <c r="Z421" i="1"/>
  <c r="AA421" i="1" s="1"/>
  <c r="AB421" i="1" s="1"/>
  <c r="AN421" i="1" s="1"/>
  <c r="Z422" i="1"/>
  <c r="AA422" i="1" s="1"/>
  <c r="AB422" i="1" s="1"/>
  <c r="AN422" i="1" s="1"/>
  <c r="Z423" i="1"/>
  <c r="AA423" i="1" s="1"/>
  <c r="AB423" i="1" s="1"/>
  <c r="AN423" i="1" s="1"/>
  <c r="Z424" i="1"/>
  <c r="AA424" i="1" s="1"/>
  <c r="AB424" i="1" s="1"/>
  <c r="AN424" i="1" s="1"/>
  <c r="Z425" i="1"/>
  <c r="AA425" i="1" s="1"/>
  <c r="AB425" i="1" s="1"/>
  <c r="AN425" i="1" s="1"/>
  <c r="Z426" i="1"/>
  <c r="AA426" i="1" s="1"/>
  <c r="AB426" i="1" s="1"/>
  <c r="AN426" i="1" s="1"/>
  <c r="Z427" i="1"/>
  <c r="AA427" i="1" s="1"/>
  <c r="AB427" i="1" s="1"/>
  <c r="AN427" i="1" s="1"/>
  <c r="Z428" i="1"/>
  <c r="AA428" i="1" s="1"/>
  <c r="AB428" i="1" s="1"/>
  <c r="AN428" i="1" s="1"/>
  <c r="Z429" i="1"/>
  <c r="AA429" i="1" s="1"/>
  <c r="AB429" i="1" s="1"/>
  <c r="AN429" i="1" s="1"/>
  <c r="Z430" i="1"/>
  <c r="AA430" i="1" s="1"/>
  <c r="AB430" i="1" s="1"/>
  <c r="AN430" i="1" s="1"/>
  <c r="Z431" i="1"/>
  <c r="AA431" i="1" s="1"/>
  <c r="AB431" i="1" s="1"/>
  <c r="AN431" i="1" s="1"/>
  <c r="Z432" i="1"/>
  <c r="AA432" i="1" s="1"/>
  <c r="AB432" i="1" s="1"/>
  <c r="AN432" i="1" s="1"/>
  <c r="Z433" i="1"/>
  <c r="AA433" i="1" s="1"/>
  <c r="AB433" i="1" s="1"/>
  <c r="AN433" i="1" s="1"/>
  <c r="Z434" i="1"/>
  <c r="AA434" i="1" s="1"/>
  <c r="AB434" i="1" s="1"/>
  <c r="AN434" i="1" s="1"/>
  <c r="Z435" i="1"/>
  <c r="AA435" i="1" s="1"/>
  <c r="AB435" i="1" s="1"/>
  <c r="AN435" i="1" s="1"/>
  <c r="Z436" i="1"/>
  <c r="AA436" i="1" s="1"/>
  <c r="AB436" i="1" s="1"/>
  <c r="AN436" i="1" s="1"/>
  <c r="Z437" i="1"/>
  <c r="AA437" i="1" s="1"/>
  <c r="AB437" i="1" s="1"/>
  <c r="AN437" i="1" s="1"/>
  <c r="Z438" i="1"/>
  <c r="AA438" i="1" s="1"/>
  <c r="AB438" i="1" s="1"/>
  <c r="AN438" i="1" s="1"/>
  <c r="Z439" i="1"/>
  <c r="AA439" i="1" s="1"/>
  <c r="AB439" i="1" s="1"/>
  <c r="AN439" i="1" s="1"/>
  <c r="Z440" i="1"/>
  <c r="AA440" i="1" s="1"/>
  <c r="AB440" i="1" s="1"/>
  <c r="AN440" i="1" s="1"/>
  <c r="Z441" i="1"/>
  <c r="AA441" i="1" s="1"/>
  <c r="AB441" i="1" s="1"/>
  <c r="AN441" i="1" s="1"/>
  <c r="Z442" i="1"/>
  <c r="AA442" i="1" s="1"/>
  <c r="AB442" i="1" s="1"/>
  <c r="AN442" i="1" s="1"/>
  <c r="Z443" i="1"/>
  <c r="AA443" i="1" s="1"/>
  <c r="AB443" i="1" s="1"/>
  <c r="AN443" i="1" s="1"/>
  <c r="Z444" i="1"/>
  <c r="AA444" i="1" s="1"/>
  <c r="AB444" i="1" s="1"/>
  <c r="AN444" i="1" s="1"/>
  <c r="Z445" i="1"/>
  <c r="AA445" i="1" s="1"/>
  <c r="AB445" i="1" s="1"/>
  <c r="AN445" i="1" s="1"/>
  <c r="Z446" i="1"/>
  <c r="AA446" i="1" s="1"/>
  <c r="AB446" i="1" s="1"/>
  <c r="AN446" i="1" s="1"/>
  <c r="Z447" i="1"/>
  <c r="AA447" i="1" s="1"/>
  <c r="AB447" i="1" s="1"/>
  <c r="AN447" i="1" s="1"/>
  <c r="Z448" i="1"/>
  <c r="AA448" i="1" s="1"/>
  <c r="AB448" i="1" s="1"/>
  <c r="AN448" i="1" s="1"/>
  <c r="Z449" i="1"/>
  <c r="AA449" i="1" s="1"/>
  <c r="AB449" i="1" s="1"/>
  <c r="AN449" i="1" s="1"/>
  <c r="Z450" i="1"/>
  <c r="AA450" i="1" s="1"/>
  <c r="AB450" i="1" s="1"/>
  <c r="AN450" i="1" s="1"/>
  <c r="Z451" i="1"/>
  <c r="AA451" i="1" s="1"/>
  <c r="AB451" i="1" s="1"/>
  <c r="AN451" i="1" s="1"/>
  <c r="Z452" i="1"/>
  <c r="AA452" i="1" s="1"/>
  <c r="AB452" i="1" s="1"/>
  <c r="AN452" i="1" s="1"/>
  <c r="Z453" i="1"/>
  <c r="AA453" i="1" s="1"/>
  <c r="AB453" i="1" s="1"/>
  <c r="AN453" i="1" s="1"/>
  <c r="Z454" i="1"/>
  <c r="AA454" i="1" s="1"/>
  <c r="AB454" i="1" s="1"/>
  <c r="AN454" i="1" s="1"/>
  <c r="Z455" i="1"/>
  <c r="AA455" i="1" s="1"/>
  <c r="AB455" i="1" s="1"/>
  <c r="AN455" i="1" s="1"/>
  <c r="Z456" i="1"/>
  <c r="AA456" i="1" s="1"/>
  <c r="AB456" i="1" s="1"/>
  <c r="AN456" i="1" s="1"/>
  <c r="Z457" i="1"/>
  <c r="AA457" i="1" s="1"/>
  <c r="AB457" i="1" s="1"/>
  <c r="AN457" i="1" s="1"/>
  <c r="Z458" i="1"/>
  <c r="AA458" i="1" s="1"/>
  <c r="AB458" i="1" s="1"/>
  <c r="AN458" i="1" s="1"/>
  <c r="Z459" i="1"/>
  <c r="AA459" i="1" s="1"/>
  <c r="AB459" i="1" s="1"/>
  <c r="AN459" i="1" s="1"/>
  <c r="Z460" i="1"/>
  <c r="AA460" i="1" s="1"/>
  <c r="AB460" i="1" s="1"/>
  <c r="AN460" i="1" s="1"/>
  <c r="Z461" i="1"/>
  <c r="AA461" i="1" s="1"/>
  <c r="AB461" i="1" s="1"/>
  <c r="AN461" i="1" s="1"/>
  <c r="Z462" i="1"/>
  <c r="AA462" i="1" s="1"/>
  <c r="AB462" i="1" s="1"/>
  <c r="AN462" i="1" s="1"/>
  <c r="Z463" i="1"/>
  <c r="AA463" i="1" s="1"/>
  <c r="AB463" i="1" s="1"/>
  <c r="AN463" i="1" s="1"/>
  <c r="Z464" i="1"/>
  <c r="AA464" i="1" s="1"/>
  <c r="AB464" i="1" s="1"/>
  <c r="AN464" i="1" s="1"/>
  <c r="Z465" i="1"/>
  <c r="AA465" i="1" s="1"/>
  <c r="AB465" i="1" s="1"/>
  <c r="AN465" i="1" s="1"/>
  <c r="Z466" i="1"/>
  <c r="AA466" i="1" s="1"/>
  <c r="AB466" i="1" s="1"/>
  <c r="AN466" i="1" s="1"/>
  <c r="Z467" i="1"/>
  <c r="AA467" i="1" s="1"/>
  <c r="AB467" i="1" s="1"/>
  <c r="AN467" i="1" s="1"/>
  <c r="Z468" i="1"/>
  <c r="AA468" i="1" s="1"/>
  <c r="AB468" i="1" s="1"/>
  <c r="AN468" i="1" s="1"/>
  <c r="Z469" i="1"/>
  <c r="AA469" i="1" s="1"/>
  <c r="AB469" i="1" s="1"/>
  <c r="AN469" i="1" s="1"/>
  <c r="Z470" i="1"/>
  <c r="AA470" i="1" s="1"/>
  <c r="AB470" i="1" s="1"/>
  <c r="AN470" i="1" s="1"/>
  <c r="Z471" i="1"/>
  <c r="AA471" i="1" s="1"/>
  <c r="AB471" i="1" s="1"/>
  <c r="AN471" i="1" s="1"/>
  <c r="Z472" i="1"/>
  <c r="AA472" i="1" s="1"/>
  <c r="AB472" i="1" s="1"/>
  <c r="AN472" i="1" s="1"/>
  <c r="Z473" i="1"/>
  <c r="AA473" i="1" s="1"/>
  <c r="AB473" i="1" s="1"/>
  <c r="AN473" i="1" s="1"/>
  <c r="Z474" i="1"/>
  <c r="AA474" i="1" s="1"/>
  <c r="AB474" i="1" s="1"/>
  <c r="AN474" i="1" s="1"/>
  <c r="Z475" i="1"/>
  <c r="AA475" i="1" s="1"/>
  <c r="AB475" i="1" s="1"/>
  <c r="AN475" i="1" s="1"/>
  <c r="Z476" i="1"/>
  <c r="AA476" i="1" s="1"/>
  <c r="AB476" i="1" s="1"/>
  <c r="AN476" i="1" s="1"/>
  <c r="Z477" i="1"/>
  <c r="AA477" i="1" s="1"/>
  <c r="AB477" i="1" s="1"/>
  <c r="AN477" i="1" s="1"/>
  <c r="Z478" i="1"/>
  <c r="AA478" i="1" s="1"/>
  <c r="AB478" i="1" s="1"/>
  <c r="AN478" i="1" s="1"/>
  <c r="Z479" i="1"/>
  <c r="AA479" i="1" s="1"/>
  <c r="AB479" i="1" s="1"/>
  <c r="AN479" i="1" s="1"/>
  <c r="Z480" i="1"/>
  <c r="AA480" i="1" s="1"/>
  <c r="AB480" i="1" s="1"/>
  <c r="AN480" i="1" s="1"/>
  <c r="Z481" i="1"/>
  <c r="AA481" i="1" s="1"/>
  <c r="AB481" i="1" s="1"/>
  <c r="AN481" i="1" s="1"/>
  <c r="Z482" i="1"/>
  <c r="AA482" i="1" s="1"/>
  <c r="AB482" i="1" s="1"/>
  <c r="AN482" i="1" s="1"/>
  <c r="Z483" i="1"/>
  <c r="AA483" i="1" s="1"/>
  <c r="AB483" i="1" s="1"/>
  <c r="AN483" i="1" s="1"/>
  <c r="Z484" i="1"/>
  <c r="AA484" i="1" s="1"/>
  <c r="AB484" i="1" s="1"/>
  <c r="AN484" i="1" s="1"/>
  <c r="Z485" i="1"/>
  <c r="AA485" i="1" s="1"/>
  <c r="AB485" i="1" s="1"/>
  <c r="AN485" i="1" s="1"/>
  <c r="Z486" i="1"/>
  <c r="AA486" i="1" s="1"/>
  <c r="AB486" i="1" s="1"/>
  <c r="AN486" i="1" s="1"/>
  <c r="Z487" i="1"/>
  <c r="AA487" i="1" s="1"/>
  <c r="AB487" i="1" s="1"/>
  <c r="AN487" i="1" s="1"/>
  <c r="Z488" i="1"/>
  <c r="AA488" i="1" s="1"/>
  <c r="AB488" i="1" s="1"/>
  <c r="AN488" i="1" s="1"/>
  <c r="Z489" i="1"/>
  <c r="AA489" i="1" s="1"/>
  <c r="AB489" i="1" s="1"/>
  <c r="AN489" i="1" s="1"/>
  <c r="Z490" i="1"/>
  <c r="AA490" i="1" s="1"/>
  <c r="AB490" i="1" s="1"/>
  <c r="AN490" i="1" s="1"/>
  <c r="Z491" i="1"/>
  <c r="AA491" i="1" s="1"/>
  <c r="AB491" i="1" s="1"/>
  <c r="AN491" i="1" s="1"/>
  <c r="Z492" i="1"/>
  <c r="AA492" i="1" s="1"/>
  <c r="AB492" i="1" s="1"/>
  <c r="AN492" i="1" s="1"/>
  <c r="Z493" i="1"/>
  <c r="AA493" i="1" s="1"/>
  <c r="AB493" i="1" s="1"/>
  <c r="AN493" i="1" s="1"/>
  <c r="Z494" i="1"/>
  <c r="AA494" i="1" s="1"/>
  <c r="AB494" i="1" s="1"/>
  <c r="AN494" i="1" s="1"/>
  <c r="Z495" i="1"/>
  <c r="AA495" i="1" s="1"/>
  <c r="AB495" i="1" s="1"/>
  <c r="AN495" i="1" s="1"/>
  <c r="Z496" i="1"/>
  <c r="AA496" i="1" s="1"/>
  <c r="AB496" i="1" s="1"/>
  <c r="AN496" i="1" s="1"/>
  <c r="Z497" i="1"/>
  <c r="AA497" i="1" s="1"/>
  <c r="AB497" i="1" s="1"/>
  <c r="AN497" i="1" s="1"/>
  <c r="Z498" i="1"/>
  <c r="AA498" i="1" s="1"/>
  <c r="AB498" i="1" s="1"/>
  <c r="AN498" i="1" s="1"/>
  <c r="Z499" i="1"/>
  <c r="AA499" i="1" s="1"/>
  <c r="AB499" i="1" s="1"/>
  <c r="AN499" i="1" s="1"/>
  <c r="Z500" i="1"/>
  <c r="AA500" i="1" s="1"/>
  <c r="AB500" i="1" s="1"/>
  <c r="AN500" i="1" s="1"/>
  <c r="Z501" i="1"/>
  <c r="AA501" i="1" s="1"/>
  <c r="AB501" i="1" s="1"/>
  <c r="AN501" i="1" s="1"/>
  <c r="Z502" i="1"/>
  <c r="AA502" i="1" s="1"/>
  <c r="AB502" i="1" s="1"/>
  <c r="AN502" i="1" s="1"/>
  <c r="Z503" i="1"/>
  <c r="AA503" i="1" s="1"/>
  <c r="AB503" i="1" s="1"/>
  <c r="AN503" i="1" s="1"/>
  <c r="Z504" i="1"/>
  <c r="AA504" i="1" s="1"/>
  <c r="AB504" i="1" s="1"/>
  <c r="AN504" i="1" s="1"/>
  <c r="Z505" i="1"/>
  <c r="AA505" i="1" s="1"/>
  <c r="AB505" i="1" s="1"/>
  <c r="AN505" i="1" s="1"/>
  <c r="Z506" i="1"/>
  <c r="AA506" i="1" s="1"/>
  <c r="AB506" i="1" s="1"/>
  <c r="AN506" i="1" s="1"/>
  <c r="Z507" i="1"/>
  <c r="AA507" i="1" s="1"/>
  <c r="AB507" i="1" s="1"/>
  <c r="AN507" i="1" s="1"/>
  <c r="Z508" i="1"/>
  <c r="AA508" i="1" s="1"/>
  <c r="AB508" i="1" s="1"/>
  <c r="AN508" i="1" s="1"/>
  <c r="Z509" i="1"/>
  <c r="AA509" i="1" s="1"/>
  <c r="AB509" i="1" s="1"/>
  <c r="AN509" i="1" s="1"/>
  <c r="Z510" i="1"/>
  <c r="AA510" i="1" s="1"/>
  <c r="AB510" i="1" s="1"/>
  <c r="AN510" i="1" s="1"/>
  <c r="Z511" i="1"/>
  <c r="AA511" i="1" s="1"/>
  <c r="AB511" i="1" s="1"/>
  <c r="AN511" i="1" s="1"/>
  <c r="Z512" i="1"/>
  <c r="AA512" i="1" s="1"/>
  <c r="AB512" i="1" s="1"/>
  <c r="AN512" i="1" s="1"/>
  <c r="Z513" i="1"/>
  <c r="AA513" i="1" s="1"/>
  <c r="AB513" i="1" s="1"/>
  <c r="AN513" i="1" s="1"/>
  <c r="Z514" i="1"/>
  <c r="AA514" i="1" s="1"/>
  <c r="AB514" i="1" s="1"/>
  <c r="AN514" i="1" s="1"/>
  <c r="Z515" i="1"/>
  <c r="AA515" i="1" s="1"/>
  <c r="AB515" i="1" s="1"/>
  <c r="AN515" i="1" s="1"/>
  <c r="Z516" i="1"/>
  <c r="AA516" i="1" s="1"/>
  <c r="AB516" i="1" s="1"/>
  <c r="AN516" i="1" s="1"/>
  <c r="Z517" i="1"/>
  <c r="AA517" i="1" s="1"/>
  <c r="AB517" i="1" s="1"/>
  <c r="AN517" i="1" s="1"/>
  <c r="Z518" i="1"/>
  <c r="AA518" i="1" s="1"/>
  <c r="AB518" i="1" s="1"/>
  <c r="AN518" i="1" s="1"/>
  <c r="Z519" i="1"/>
  <c r="AA519" i="1" s="1"/>
  <c r="AB519" i="1" s="1"/>
  <c r="AN519" i="1" s="1"/>
  <c r="Z520" i="1"/>
  <c r="AA520" i="1" s="1"/>
  <c r="AB520" i="1" s="1"/>
  <c r="AN520" i="1" s="1"/>
  <c r="Z521" i="1"/>
  <c r="AA521" i="1" s="1"/>
  <c r="AB521" i="1" s="1"/>
  <c r="AN521" i="1" s="1"/>
  <c r="Z522" i="1"/>
  <c r="AA522" i="1" s="1"/>
  <c r="AB522" i="1" s="1"/>
  <c r="AN522" i="1" s="1"/>
  <c r="Z523" i="1"/>
  <c r="AA523" i="1" s="1"/>
  <c r="AB523" i="1" s="1"/>
  <c r="AN523" i="1" s="1"/>
  <c r="Z524" i="1"/>
  <c r="AA524" i="1" s="1"/>
  <c r="AB524" i="1" s="1"/>
  <c r="AN524" i="1" s="1"/>
  <c r="Z525" i="1"/>
  <c r="AA525" i="1" s="1"/>
  <c r="AB525" i="1" s="1"/>
  <c r="AN525" i="1" s="1"/>
  <c r="Z526" i="1"/>
  <c r="AA526" i="1" s="1"/>
  <c r="AB526" i="1" s="1"/>
  <c r="AN526" i="1" s="1"/>
  <c r="Z527" i="1"/>
  <c r="AA527" i="1" s="1"/>
  <c r="AB527" i="1" s="1"/>
  <c r="AN527" i="1" s="1"/>
  <c r="Z528" i="1"/>
  <c r="AA528" i="1" s="1"/>
  <c r="AB528" i="1" s="1"/>
  <c r="AN528" i="1" s="1"/>
  <c r="Z529" i="1"/>
  <c r="AA529" i="1" s="1"/>
  <c r="AB529" i="1" s="1"/>
  <c r="AN529" i="1" s="1"/>
  <c r="Z530" i="1"/>
  <c r="AA530" i="1" s="1"/>
  <c r="AB530" i="1" s="1"/>
  <c r="AN530" i="1" s="1"/>
  <c r="Z531" i="1"/>
  <c r="AA531" i="1" s="1"/>
  <c r="AB531" i="1" s="1"/>
  <c r="AN531" i="1" s="1"/>
  <c r="Z532" i="1"/>
  <c r="AA532" i="1" s="1"/>
  <c r="AB532" i="1" s="1"/>
  <c r="AN532" i="1" s="1"/>
  <c r="Z533" i="1"/>
  <c r="AA533" i="1" s="1"/>
  <c r="AB533" i="1" s="1"/>
  <c r="AN533" i="1" s="1"/>
  <c r="Z534" i="1"/>
  <c r="AA534" i="1" s="1"/>
  <c r="AB534" i="1" s="1"/>
  <c r="AN534" i="1" s="1"/>
  <c r="Z535" i="1"/>
  <c r="AA535" i="1" s="1"/>
  <c r="AB535" i="1" s="1"/>
  <c r="AN535" i="1" s="1"/>
  <c r="Z536" i="1"/>
  <c r="AA536" i="1" s="1"/>
  <c r="AB536" i="1" s="1"/>
  <c r="AN536" i="1" s="1"/>
  <c r="Z537" i="1"/>
  <c r="AA537" i="1" s="1"/>
  <c r="AB537" i="1" s="1"/>
  <c r="AN537" i="1" s="1"/>
  <c r="Z538" i="1"/>
  <c r="AA538" i="1" s="1"/>
  <c r="AB538" i="1" s="1"/>
  <c r="AN538" i="1" s="1"/>
  <c r="Z539" i="1"/>
  <c r="AA539" i="1" s="1"/>
  <c r="AB539" i="1" s="1"/>
  <c r="AN539" i="1" s="1"/>
  <c r="Z540" i="1"/>
  <c r="AA540" i="1" s="1"/>
  <c r="AB540" i="1" s="1"/>
  <c r="AN540" i="1" s="1"/>
  <c r="Z541" i="1"/>
  <c r="AA541" i="1" s="1"/>
  <c r="AB541" i="1" s="1"/>
  <c r="AN541" i="1" s="1"/>
  <c r="Z542" i="1"/>
  <c r="AA542" i="1" s="1"/>
  <c r="AB542" i="1" s="1"/>
  <c r="AN542" i="1" s="1"/>
  <c r="Z543" i="1"/>
  <c r="AA543" i="1" s="1"/>
  <c r="AB543" i="1" s="1"/>
  <c r="AN543" i="1" s="1"/>
  <c r="Z544" i="1"/>
  <c r="AA544" i="1" s="1"/>
  <c r="AB544" i="1" s="1"/>
  <c r="AN544" i="1" s="1"/>
  <c r="Z545" i="1"/>
  <c r="AA545" i="1" s="1"/>
  <c r="AB545" i="1" s="1"/>
  <c r="AN545" i="1" s="1"/>
  <c r="Z546" i="1"/>
  <c r="AA546" i="1" s="1"/>
  <c r="AB546" i="1" s="1"/>
  <c r="AN546" i="1" s="1"/>
  <c r="Z547" i="1"/>
  <c r="AA547" i="1" s="1"/>
  <c r="AB547" i="1" s="1"/>
  <c r="AN547" i="1" s="1"/>
  <c r="Z548" i="1"/>
  <c r="AA548" i="1" s="1"/>
  <c r="AB548" i="1" s="1"/>
  <c r="AN548" i="1" s="1"/>
  <c r="Z549" i="1"/>
  <c r="AA549" i="1" s="1"/>
  <c r="AB549" i="1" s="1"/>
  <c r="AN549" i="1" s="1"/>
  <c r="Z550" i="1"/>
  <c r="AA550" i="1" s="1"/>
  <c r="AB550" i="1" s="1"/>
  <c r="AN550" i="1" s="1"/>
  <c r="Z551" i="1"/>
  <c r="AA551" i="1" s="1"/>
  <c r="AB551" i="1" s="1"/>
  <c r="AN551" i="1" s="1"/>
  <c r="Z552" i="1"/>
  <c r="AA552" i="1" s="1"/>
  <c r="AB552" i="1" s="1"/>
  <c r="AN552" i="1" s="1"/>
  <c r="Z553" i="1"/>
  <c r="AA553" i="1" s="1"/>
  <c r="AB553" i="1" s="1"/>
  <c r="AN553" i="1" s="1"/>
  <c r="Z554" i="1"/>
  <c r="AA554" i="1" s="1"/>
  <c r="AB554" i="1" s="1"/>
  <c r="AN554" i="1" s="1"/>
  <c r="Z555" i="1"/>
  <c r="AA555" i="1" s="1"/>
  <c r="AB555" i="1" s="1"/>
  <c r="AN555" i="1" s="1"/>
  <c r="Z556" i="1"/>
  <c r="AA556" i="1" s="1"/>
  <c r="AB556" i="1" s="1"/>
  <c r="AN556" i="1" s="1"/>
  <c r="Z557" i="1"/>
  <c r="AA557" i="1" s="1"/>
  <c r="AB557" i="1" s="1"/>
  <c r="AN557" i="1" s="1"/>
  <c r="Z558" i="1"/>
  <c r="AA558" i="1" s="1"/>
  <c r="AB558" i="1" s="1"/>
  <c r="AN558" i="1" s="1"/>
  <c r="Z559" i="1"/>
  <c r="AA559" i="1" s="1"/>
  <c r="AB559" i="1" s="1"/>
  <c r="AN559" i="1" s="1"/>
  <c r="Z560" i="1"/>
  <c r="AA560" i="1" s="1"/>
  <c r="AB560" i="1" s="1"/>
  <c r="AN560" i="1" s="1"/>
  <c r="Z561" i="1"/>
  <c r="AA561" i="1" s="1"/>
  <c r="AB561" i="1" s="1"/>
  <c r="AN561" i="1" s="1"/>
  <c r="Z562" i="1"/>
  <c r="AA562" i="1" s="1"/>
  <c r="AB562" i="1" s="1"/>
  <c r="AN562" i="1" s="1"/>
  <c r="Z563" i="1"/>
  <c r="AA563" i="1" s="1"/>
  <c r="AB563" i="1" s="1"/>
  <c r="AN563" i="1" s="1"/>
  <c r="Z564" i="1"/>
  <c r="AA564" i="1" s="1"/>
  <c r="AB564" i="1" s="1"/>
  <c r="AN564" i="1" s="1"/>
  <c r="Z565" i="1"/>
  <c r="AA565" i="1" s="1"/>
  <c r="AB565" i="1" s="1"/>
  <c r="AN565" i="1" s="1"/>
  <c r="Z566" i="1"/>
  <c r="AA566" i="1" s="1"/>
  <c r="AB566" i="1" s="1"/>
  <c r="AN566" i="1" s="1"/>
  <c r="Z567" i="1"/>
  <c r="AA567" i="1" s="1"/>
  <c r="AB567" i="1" s="1"/>
  <c r="AN567" i="1" s="1"/>
  <c r="Z568" i="1"/>
  <c r="AA568" i="1" s="1"/>
  <c r="AB568" i="1" s="1"/>
  <c r="AN568" i="1" s="1"/>
  <c r="Z569" i="1"/>
  <c r="AA569" i="1" s="1"/>
  <c r="AB569" i="1" s="1"/>
  <c r="AN569" i="1" s="1"/>
  <c r="Z570" i="1"/>
  <c r="AA570" i="1" s="1"/>
  <c r="AB570" i="1" s="1"/>
  <c r="AN570" i="1" s="1"/>
  <c r="Z571" i="1"/>
  <c r="AA571" i="1" s="1"/>
  <c r="AB571" i="1" s="1"/>
  <c r="AN571" i="1" s="1"/>
  <c r="Z572" i="1"/>
  <c r="AA572" i="1" s="1"/>
  <c r="AB572" i="1" s="1"/>
  <c r="AN572" i="1" s="1"/>
  <c r="Z573" i="1"/>
  <c r="AA573" i="1" s="1"/>
  <c r="AB573" i="1" s="1"/>
  <c r="AN573" i="1" s="1"/>
  <c r="Z574" i="1"/>
  <c r="AA574" i="1" s="1"/>
  <c r="AB574" i="1" s="1"/>
  <c r="AN574" i="1" s="1"/>
  <c r="Z575" i="1"/>
  <c r="AA575" i="1" s="1"/>
  <c r="AB575" i="1" s="1"/>
  <c r="AN575" i="1" s="1"/>
  <c r="Z576" i="1"/>
  <c r="AA576" i="1" s="1"/>
  <c r="AB576" i="1" s="1"/>
  <c r="AN576" i="1" s="1"/>
  <c r="Z577" i="1"/>
  <c r="AA577" i="1" s="1"/>
  <c r="AB577" i="1" s="1"/>
  <c r="AN577" i="1" s="1"/>
  <c r="Z578" i="1"/>
  <c r="AA578" i="1" s="1"/>
  <c r="AB578" i="1" s="1"/>
  <c r="AN578" i="1" s="1"/>
  <c r="Z579" i="1"/>
  <c r="AA579" i="1" s="1"/>
  <c r="AB579" i="1" s="1"/>
  <c r="AN579" i="1" s="1"/>
  <c r="Z580" i="1"/>
  <c r="AA580" i="1" s="1"/>
  <c r="AB580" i="1" s="1"/>
  <c r="AN580" i="1" s="1"/>
  <c r="Z581" i="1"/>
  <c r="AA581" i="1" s="1"/>
  <c r="AB581" i="1" s="1"/>
  <c r="AN581" i="1" s="1"/>
  <c r="Z582" i="1"/>
  <c r="AA582" i="1" s="1"/>
  <c r="AB582" i="1" s="1"/>
  <c r="AN582" i="1" s="1"/>
  <c r="Z583" i="1"/>
  <c r="AA583" i="1" s="1"/>
  <c r="AB583" i="1" s="1"/>
  <c r="AN583" i="1" s="1"/>
  <c r="Z584" i="1"/>
  <c r="AA584" i="1" s="1"/>
  <c r="AB584" i="1" s="1"/>
  <c r="AN584" i="1" s="1"/>
  <c r="Z585" i="1"/>
  <c r="AA585" i="1" s="1"/>
  <c r="AB585" i="1" s="1"/>
  <c r="AN585" i="1" s="1"/>
  <c r="Z586" i="1"/>
  <c r="AA586" i="1" s="1"/>
  <c r="AB586" i="1" s="1"/>
  <c r="AN586" i="1" s="1"/>
  <c r="Z587" i="1"/>
  <c r="AA587" i="1" s="1"/>
  <c r="AB587" i="1" s="1"/>
  <c r="AN587" i="1" s="1"/>
  <c r="Z588" i="1"/>
  <c r="AA588" i="1" s="1"/>
  <c r="AB588" i="1" s="1"/>
  <c r="AN588" i="1" s="1"/>
  <c r="Z589" i="1"/>
  <c r="AA589" i="1" s="1"/>
  <c r="AB589" i="1" s="1"/>
  <c r="AN589" i="1" s="1"/>
  <c r="Z590" i="1"/>
  <c r="AA590" i="1" s="1"/>
  <c r="AB590" i="1" s="1"/>
  <c r="AN590" i="1" s="1"/>
  <c r="Z591" i="1"/>
  <c r="AA591" i="1" s="1"/>
  <c r="AB591" i="1" s="1"/>
  <c r="AN591" i="1" s="1"/>
  <c r="Z592" i="1"/>
  <c r="AA592" i="1" s="1"/>
  <c r="AB592" i="1" s="1"/>
  <c r="AN592" i="1" s="1"/>
  <c r="Z593" i="1"/>
  <c r="AA593" i="1" s="1"/>
  <c r="AB593" i="1" s="1"/>
  <c r="AN593" i="1" s="1"/>
  <c r="Z594" i="1"/>
  <c r="AA594" i="1" s="1"/>
  <c r="AB594" i="1" s="1"/>
  <c r="AN594" i="1" s="1"/>
  <c r="Z595" i="1"/>
  <c r="AA595" i="1" s="1"/>
  <c r="AB595" i="1" s="1"/>
  <c r="AN595" i="1" s="1"/>
  <c r="Z596" i="1"/>
  <c r="AA596" i="1" s="1"/>
  <c r="AB596" i="1" s="1"/>
  <c r="AN596" i="1" s="1"/>
  <c r="Z597" i="1"/>
  <c r="AA597" i="1" s="1"/>
  <c r="AB597" i="1" s="1"/>
  <c r="AN597" i="1" s="1"/>
  <c r="Z598" i="1"/>
  <c r="AA598" i="1" s="1"/>
  <c r="AB598" i="1" s="1"/>
  <c r="AN598" i="1" s="1"/>
  <c r="Z599" i="1"/>
  <c r="AA599" i="1" s="1"/>
  <c r="AB599" i="1" s="1"/>
  <c r="AN599" i="1" s="1"/>
  <c r="Z600" i="1"/>
  <c r="AA600" i="1" s="1"/>
  <c r="AB600" i="1" s="1"/>
  <c r="AN600" i="1" s="1"/>
  <c r="Z601" i="1"/>
  <c r="AA601" i="1" s="1"/>
  <c r="AB601" i="1" s="1"/>
  <c r="AN601" i="1" s="1"/>
  <c r="Z602" i="1"/>
  <c r="AA602" i="1" s="1"/>
  <c r="AB602" i="1" s="1"/>
  <c r="AN602" i="1" s="1"/>
  <c r="Z603" i="1"/>
  <c r="AA603" i="1" s="1"/>
  <c r="AB603" i="1" s="1"/>
  <c r="AN603" i="1" s="1"/>
  <c r="Z604" i="1"/>
  <c r="AA604" i="1" s="1"/>
  <c r="AB604" i="1" s="1"/>
  <c r="AN604" i="1" s="1"/>
  <c r="Z605" i="1"/>
  <c r="AA605" i="1" s="1"/>
  <c r="AB605" i="1" s="1"/>
  <c r="AN605" i="1" s="1"/>
  <c r="Z606" i="1"/>
  <c r="AA606" i="1" s="1"/>
  <c r="AB606" i="1" s="1"/>
  <c r="AN606" i="1" s="1"/>
  <c r="Z607" i="1"/>
  <c r="AA607" i="1" s="1"/>
  <c r="AB607" i="1" s="1"/>
  <c r="AN607" i="1" s="1"/>
  <c r="Z608" i="1"/>
  <c r="AA608" i="1" s="1"/>
  <c r="AB608" i="1" s="1"/>
  <c r="AN608" i="1" s="1"/>
  <c r="Z609" i="1"/>
  <c r="AA609" i="1" s="1"/>
  <c r="AB609" i="1" s="1"/>
  <c r="AN609" i="1" s="1"/>
  <c r="Z610" i="1"/>
  <c r="AA610" i="1" s="1"/>
  <c r="AB610" i="1" s="1"/>
  <c r="AN610" i="1" s="1"/>
  <c r="Z611" i="1"/>
  <c r="AA611" i="1" s="1"/>
  <c r="AB611" i="1" s="1"/>
  <c r="AN611" i="1" s="1"/>
  <c r="Z612" i="1"/>
  <c r="AA612" i="1" s="1"/>
  <c r="AB612" i="1" s="1"/>
  <c r="AN612" i="1" s="1"/>
  <c r="Z613" i="1"/>
  <c r="AA613" i="1" s="1"/>
  <c r="AB613" i="1" s="1"/>
  <c r="AN613" i="1" s="1"/>
  <c r="Z614" i="1"/>
  <c r="AA614" i="1" s="1"/>
  <c r="AB614" i="1" s="1"/>
  <c r="AN614" i="1" s="1"/>
  <c r="Z615" i="1"/>
  <c r="AA615" i="1" s="1"/>
  <c r="AB615" i="1" s="1"/>
  <c r="AN615" i="1" s="1"/>
  <c r="Z616" i="1"/>
  <c r="AA616" i="1" s="1"/>
  <c r="AB616" i="1" s="1"/>
  <c r="AN616" i="1" s="1"/>
  <c r="Z617" i="1"/>
  <c r="AA617" i="1" s="1"/>
  <c r="AB617" i="1" s="1"/>
  <c r="AN617" i="1" s="1"/>
  <c r="Z618" i="1"/>
  <c r="AA618" i="1" s="1"/>
  <c r="AB618" i="1" s="1"/>
  <c r="AN618" i="1" s="1"/>
  <c r="Z619" i="1"/>
  <c r="AA619" i="1" s="1"/>
  <c r="AB619" i="1" s="1"/>
  <c r="AN619" i="1" s="1"/>
  <c r="Z620" i="1"/>
  <c r="AA620" i="1" s="1"/>
  <c r="AB620" i="1" s="1"/>
  <c r="AN620" i="1" s="1"/>
  <c r="Z621" i="1"/>
  <c r="AA621" i="1" s="1"/>
  <c r="AB621" i="1" s="1"/>
  <c r="AN621" i="1" s="1"/>
  <c r="Z622" i="1"/>
  <c r="AA622" i="1" s="1"/>
  <c r="AB622" i="1" s="1"/>
  <c r="AN622" i="1" s="1"/>
  <c r="Z623" i="1"/>
  <c r="AA623" i="1" s="1"/>
  <c r="AB623" i="1" s="1"/>
  <c r="AN623" i="1" s="1"/>
  <c r="Z624" i="1"/>
  <c r="AA624" i="1" s="1"/>
  <c r="AB624" i="1" s="1"/>
  <c r="AN624" i="1" s="1"/>
  <c r="Z625" i="1"/>
  <c r="AA625" i="1" s="1"/>
  <c r="AB625" i="1" s="1"/>
  <c r="AN625" i="1" s="1"/>
  <c r="Z626" i="1"/>
  <c r="AA626" i="1" s="1"/>
  <c r="AB626" i="1" s="1"/>
  <c r="AN626" i="1" s="1"/>
  <c r="Z627" i="1"/>
  <c r="AA627" i="1" s="1"/>
  <c r="AB627" i="1" s="1"/>
  <c r="AN627" i="1" s="1"/>
  <c r="Z628" i="1"/>
  <c r="AA628" i="1" s="1"/>
  <c r="AB628" i="1" s="1"/>
  <c r="AN628" i="1" s="1"/>
  <c r="Z629" i="1"/>
  <c r="AA629" i="1" s="1"/>
  <c r="AB629" i="1" s="1"/>
  <c r="AN629" i="1" s="1"/>
  <c r="Z630" i="1"/>
  <c r="AA630" i="1" s="1"/>
  <c r="AB630" i="1" s="1"/>
  <c r="AN630" i="1" s="1"/>
  <c r="Z631" i="1"/>
  <c r="AA631" i="1" s="1"/>
  <c r="AB631" i="1" s="1"/>
  <c r="AN631" i="1" s="1"/>
  <c r="Z632" i="1"/>
  <c r="AA632" i="1" s="1"/>
  <c r="AB632" i="1" s="1"/>
  <c r="AN632" i="1" s="1"/>
  <c r="Z633" i="1"/>
  <c r="AA633" i="1" s="1"/>
  <c r="AB633" i="1" s="1"/>
  <c r="AN633" i="1" s="1"/>
  <c r="Z634" i="1"/>
  <c r="AA634" i="1" s="1"/>
  <c r="AB634" i="1" s="1"/>
  <c r="AN634" i="1" s="1"/>
  <c r="Z635" i="1"/>
  <c r="AA635" i="1" s="1"/>
  <c r="AB635" i="1" s="1"/>
  <c r="AN635" i="1" s="1"/>
  <c r="Z636" i="1"/>
  <c r="AA636" i="1" s="1"/>
  <c r="AB636" i="1" s="1"/>
  <c r="AN636" i="1" s="1"/>
  <c r="Z637" i="1"/>
  <c r="AA637" i="1" s="1"/>
  <c r="AB637" i="1" s="1"/>
  <c r="AN637" i="1" s="1"/>
  <c r="Z638" i="1"/>
  <c r="AA638" i="1" s="1"/>
  <c r="AB638" i="1" s="1"/>
  <c r="AN638" i="1" s="1"/>
  <c r="Z639" i="1"/>
  <c r="AA639" i="1" s="1"/>
  <c r="AB639" i="1" s="1"/>
  <c r="AN639" i="1" s="1"/>
  <c r="Z640" i="1"/>
  <c r="AA640" i="1" s="1"/>
  <c r="AB640" i="1" s="1"/>
  <c r="AN640" i="1" s="1"/>
  <c r="Z641" i="1"/>
  <c r="AA641" i="1" s="1"/>
  <c r="AB641" i="1" s="1"/>
  <c r="AN641" i="1" s="1"/>
  <c r="Z642" i="1"/>
  <c r="AA642" i="1" s="1"/>
  <c r="AB642" i="1" s="1"/>
  <c r="AN642" i="1" s="1"/>
  <c r="Z643" i="1"/>
  <c r="AA643" i="1" s="1"/>
  <c r="AB643" i="1" s="1"/>
  <c r="AN643" i="1" s="1"/>
  <c r="Z644" i="1"/>
  <c r="AA644" i="1" s="1"/>
  <c r="AB644" i="1" s="1"/>
  <c r="AN644" i="1" s="1"/>
  <c r="Z645" i="1"/>
  <c r="AA645" i="1" s="1"/>
  <c r="AB645" i="1" s="1"/>
  <c r="AN645" i="1" s="1"/>
  <c r="Z646" i="1"/>
  <c r="AA646" i="1" s="1"/>
  <c r="AB646" i="1" s="1"/>
  <c r="AN646" i="1" s="1"/>
  <c r="Z647" i="1"/>
  <c r="AA647" i="1" s="1"/>
  <c r="AB647" i="1" s="1"/>
  <c r="AN647" i="1" s="1"/>
  <c r="Z648" i="1"/>
  <c r="AA648" i="1" s="1"/>
  <c r="AB648" i="1" s="1"/>
  <c r="AN648" i="1" s="1"/>
  <c r="Z649" i="1"/>
  <c r="AA649" i="1" s="1"/>
  <c r="AB649" i="1" s="1"/>
  <c r="AN649" i="1" s="1"/>
  <c r="Z650" i="1"/>
  <c r="AA650" i="1" s="1"/>
  <c r="AB650" i="1" s="1"/>
  <c r="AN650" i="1" s="1"/>
  <c r="Z651" i="1"/>
  <c r="AA651" i="1" s="1"/>
  <c r="AB651" i="1" s="1"/>
  <c r="AN651" i="1" s="1"/>
  <c r="Z652" i="1"/>
  <c r="AA652" i="1" s="1"/>
  <c r="AB652" i="1" s="1"/>
  <c r="AN652" i="1" s="1"/>
  <c r="Z653" i="1"/>
  <c r="AA653" i="1" s="1"/>
  <c r="AB653" i="1" s="1"/>
  <c r="AN653" i="1" s="1"/>
  <c r="Z654" i="1"/>
  <c r="AA654" i="1" s="1"/>
  <c r="AB654" i="1" s="1"/>
  <c r="AN654" i="1" s="1"/>
  <c r="Z655" i="1"/>
  <c r="AA655" i="1" s="1"/>
  <c r="AB655" i="1" s="1"/>
  <c r="AN655" i="1" s="1"/>
  <c r="Z656" i="1"/>
  <c r="AA656" i="1" s="1"/>
  <c r="AB656" i="1" s="1"/>
  <c r="AN656" i="1" s="1"/>
  <c r="Z657" i="1"/>
  <c r="AA657" i="1" s="1"/>
  <c r="AB657" i="1" s="1"/>
  <c r="AN657" i="1" s="1"/>
  <c r="Z658" i="1"/>
  <c r="AA658" i="1" s="1"/>
  <c r="AB658" i="1" s="1"/>
  <c r="AN658" i="1" s="1"/>
  <c r="Z659" i="1"/>
  <c r="AA659" i="1" s="1"/>
  <c r="AB659" i="1" s="1"/>
  <c r="AN659" i="1" s="1"/>
  <c r="Z660" i="1"/>
  <c r="AA660" i="1" s="1"/>
  <c r="AB660" i="1" s="1"/>
  <c r="AN660" i="1" s="1"/>
  <c r="Z661" i="1"/>
  <c r="AA661" i="1" s="1"/>
  <c r="AB661" i="1" s="1"/>
  <c r="AN661" i="1" s="1"/>
  <c r="Z662" i="1"/>
  <c r="AA662" i="1" s="1"/>
  <c r="AB662" i="1" s="1"/>
  <c r="AN662" i="1" s="1"/>
  <c r="Z663" i="1"/>
  <c r="AA663" i="1" s="1"/>
  <c r="AB663" i="1" s="1"/>
  <c r="AN663" i="1" s="1"/>
  <c r="Z664" i="1"/>
  <c r="AA664" i="1" s="1"/>
  <c r="AB664" i="1" s="1"/>
  <c r="AN664" i="1" s="1"/>
  <c r="Z665" i="1"/>
  <c r="AA665" i="1" s="1"/>
  <c r="AB665" i="1" s="1"/>
  <c r="AN665" i="1" s="1"/>
  <c r="Z666" i="1"/>
  <c r="AA666" i="1" s="1"/>
  <c r="AB666" i="1" s="1"/>
  <c r="AN666" i="1" s="1"/>
  <c r="Z667" i="1"/>
  <c r="AA667" i="1" s="1"/>
  <c r="AB667" i="1" s="1"/>
  <c r="AN667" i="1" s="1"/>
  <c r="Z668" i="1"/>
  <c r="AA668" i="1" s="1"/>
  <c r="AB668" i="1" s="1"/>
  <c r="AN668" i="1" s="1"/>
  <c r="Z669" i="1"/>
  <c r="AA669" i="1" s="1"/>
  <c r="AB669" i="1" s="1"/>
  <c r="AN669" i="1" s="1"/>
  <c r="Z670" i="1"/>
  <c r="AA670" i="1" s="1"/>
  <c r="AB670" i="1" s="1"/>
  <c r="AN670" i="1" s="1"/>
  <c r="Z671" i="1"/>
  <c r="AA671" i="1" s="1"/>
  <c r="AB671" i="1" s="1"/>
  <c r="AN671" i="1" s="1"/>
  <c r="Z672" i="1"/>
  <c r="AA672" i="1" s="1"/>
  <c r="AB672" i="1" s="1"/>
  <c r="AN672" i="1" s="1"/>
  <c r="Z673" i="1"/>
  <c r="AA673" i="1" s="1"/>
  <c r="AB673" i="1" s="1"/>
  <c r="AN673" i="1" s="1"/>
  <c r="Z674" i="1"/>
  <c r="AA674" i="1" s="1"/>
  <c r="AB674" i="1" s="1"/>
  <c r="AN674" i="1" s="1"/>
  <c r="Z675" i="1"/>
  <c r="AA675" i="1" s="1"/>
  <c r="AB675" i="1" s="1"/>
  <c r="AN675" i="1" s="1"/>
  <c r="Z676" i="1"/>
  <c r="AA676" i="1" s="1"/>
  <c r="AB676" i="1" s="1"/>
  <c r="AN676" i="1" s="1"/>
  <c r="Z677" i="1"/>
  <c r="AA677" i="1" s="1"/>
  <c r="AB677" i="1" s="1"/>
  <c r="AN677" i="1" s="1"/>
  <c r="Z678" i="1"/>
  <c r="AA678" i="1" s="1"/>
  <c r="AB678" i="1" s="1"/>
  <c r="AN678" i="1" s="1"/>
  <c r="Z679" i="1"/>
  <c r="AA679" i="1" s="1"/>
  <c r="AB679" i="1" s="1"/>
  <c r="AN679" i="1" s="1"/>
  <c r="Z680" i="1"/>
  <c r="AA680" i="1" s="1"/>
  <c r="AB680" i="1" s="1"/>
  <c r="AN680" i="1" s="1"/>
  <c r="Z681" i="1"/>
  <c r="AA681" i="1" s="1"/>
  <c r="AB681" i="1" s="1"/>
  <c r="AN681" i="1" s="1"/>
  <c r="Z682" i="1"/>
  <c r="AA682" i="1" s="1"/>
  <c r="AB682" i="1" s="1"/>
  <c r="AN682" i="1" s="1"/>
  <c r="Z683" i="1"/>
  <c r="AA683" i="1" s="1"/>
  <c r="AB683" i="1" s="1"/>
  <c r="AN683" i="1" s="1"/>
  <c r="Z684" i="1"/>
  <c r="AA684" i="1" s="1"/>
  <c r="AB684" i="1" s="1"/>
  <c r="AN684" i="1" s="1"/>
  <c r="Z685" i="1"/>
  <c r="AA685" i="1" s="1"/>
  <c r="AB685" i="1" s="1"/>
  <c r="AN685" i="1" s="1"/>
  <c r="Z686" i="1"/>
  <c r="AA686" i="1" s="1"/>
  <c r="AB686" i="1" s="1"/>
  <c r="AN686" i="1" s="1"/>
  <c r="Z687" i="1"/>
  <c r="AA687" i="1" s="1"/>
  <c r="AB687" i="1" s="1"/>
  <c r="AN687" i="1" s="1"/>
  <c r="Z688" i="1"/>
  <c r="AA688" i="1" s="1"/>
  <c r="AB688" i="1" s="1"/>
  <c r="AN688" i="1" s="1"/>
  <c r="Z689" i="1"/>
  <c r="AA689" i="1" s="1"/>
  <c r="AB689" i="1" s="1"/>
  <c r="AN689" i="1" s="1"/>
  <c r="Z690" i="1"/>
  <c r="AA690" i="1" s="1"/>
  <c r="AB690" i="1" s="1"/>
  <c r="AN690" i="1" s="1"/>
  <c r="Z691" i="1"/>
  <c r="AA691" i="1" s="1"/>
  <c r="AB691" i="1" s="1"/>
  <c r="AN691" i="1" s="1"/>
  <c r="Z692" i="1"/>
  <c r="AA692" i="1" s="1"/>
  <c r="AB692" i="1" s="1"/>
  <c r="AN692" i="1" s="1"/>
  <c r="Z693" i="1"/>
  <c r="AA693" i="1" s="1"/>
  <c r="AB693" i="1" s="1"/>
  <c r="AN693" i="1" s="1"/>
  <c r="Z694" i="1"/>
  <c r="AA694" i="1" s="1"/>
  <c r="AB694" i="1" s="1"/>
  <c r="AN694" i="1" s="1"/>
  <c r="Z695" i="1"/>
  <c r="AA695" i="1" s="1"/>
  <c r="AB695" i="1" s="1"/>
  <c r="AN695" i="1" s="1"/>
  <c r="Z696" i="1"/>
  <c r="AA696" i="1" s="1"/>
  <c r="AB696" i="1" s="1"/>
  <c r="AN696" i="1" s="1"/>
  <c r="Z697" i="1"/>
  <c r="AA697" i="1" s="1"/>
  <c r="AB697" i="1" s="1"/>
  <c r="AN697" i="1" s="1"/>
  <c r="Z698" i="1"/>
  <c r="AA698" i="1" s="1"/>
  <c r="AB698" i="1" s="1"/>
  <c r="AN698" i="1" s="1"/>
  <c r="Z699" i="1"/>
  <c r="AA699" i="1" s="1"/>
  <c r="AB699" i="1" s="1"/>
  <c r="AN699" i="1" s="1"/>
  <c r="Z700" i="1"/>
  <c r="AA700" i="1" s="1"/>
  <c r="AB700" i="1" s="1"/>
  <c r="AN700" i="1" s="1"/>
  <c r="Z701" i="1"/>
  <c r="AA701" i="1" s="1"/>
  <c r="AB701" i="1" s="1"/>
  <c r="AN701" i="1" s="1"/>
  <c r="Z702" i="1"/>
  <c r="AA702" i="1" s="1"/>
  <c r="AB702" i="1" s="1"/>
  <c r="AN702" i="1" s="1"/>
  <c r="Z703" i="1"/>
  <c r="AA703" i="1" s="1"/>
  <c r="AB703" i="1" s="1"/>
  <c r="AN703" i="1" s="1"/>
  <c r="Z704" i="1"/>
  <c r="AA704" i="1" s="1"/>
  <c r="AB704" i="1" s="1"/>
  <c r="AN704" i="1" s="1"/>
  <c r="Z705" i="1"/>
  <c r="AA705" i="1" s="1"/>
  <c r="AB705" i="1" s="1"/>
  <c r="AN705" i="1" s="1"/>
  <c r="Z706" i="1"/>
  <c r="AA706" i="1" s="1"/>
  <c r="AB706" i="1" s="1"/>
  <c r="AN706" i="1" s="1"/>
  <c r="Z707" i="1"/>
  <c r="AA707" i="1" s="1"/>
  <c r="AB707" i="1" s="1"/>
  <c r="AN707" i="1" s="1"/>
  <c r="Z708" i="1"/>
  <c r="AA708" i="1" s="1"/>
  <c r="AB708" i="1" s="1"/>
  <c r="AN708" i="1" s="1"/>
  <c r="Z709" i="1"/>
  <c r="AA709" i="1" s="1"/>
  <c r="AB709" i="1" s="1"/>
  <c r="AN709" i="1" s="1"/>
  <c r="Z710" i="1"/>
  <c r="AA710" i="1" s="1"/>
  <c r="AB710" i="1" s="1"/>
  <c r="AN710" i="1" s="1"/>
  <c r="Z711" i="1"/>
  <c r="AA711" i="1" s="1"/>
  <c r="AB711" i="1" s="1"/>
  <c r="AN711" i="1" s="1"/>
  <c r="Z712" i="1"/>
  <c r="AA712" i="1" s="1"/>
  <c r="AB712" i="1" s="1"/>
  <c r="AN712" i="1" s="1"/>
  <c r="Z713" i="1"/>
  <c r="AA713" i="1" s="1"/>
  <c r="AB713" i="1" s="1"/>
  <c r="AN713" i="1" s="1"/>
  <c r="Z714" i="1"/>
  <c r="AA714" i="1" s="1"/>
  <c r="AB714" i="1" s="1"/>
  <c r="AN714" i="1" s="1"/>
  <c r="Z715" i="1"/>
  <c r="AA715" i="1" s="1"/>
  <c r="AB715" i="1" s="1"/>
  <c r="AN715" i="1" s="1"/>
  <c r="Z716" i="1"/>
  <c r="AA716" i="1" s="1"/>
  <c r="AB716" i="1" s="1"/>
  <c r="AN716" i="1" s="1"/>
  <c r="Z717" i="1"/>
  <c r="AA717" i="1" s="1"/>
  <c r="AB717" i="1" s="1"/>
  <c r="AN717" i="1" s="1"/>
  <c r="Z718" i="1"/>
  <c r="AA718" i="1" s="1"/>
  <c r="AB718" i="1" s="1"/>
  <c r="AN718" i="1" s="1"/>
  <c r="Z719" i="1"/>
  <c r="AA719" i="1" s="1"/>
  <c r="AB719" i="1" s="1"/>
  <c r="AN719" i="1" s="1"/>
  <c r="Z720" i="1"/>
  <c r="AA720" i="1" s="1"/>
  <c r="AB720" i="1" s="1"/>
  <c r="AN720" i="1" s="1"/>
  <c r="Z721" i="1"/>
  <c r="AA721" i="1" s="1"/>
  <c r="AB721" i="1" s="1"/>
  <c r="AN721" i="1" s="1"/>
  <c r="Z722" i="1"/>
  <c r="AA722" i="1" s="1"/>
  <c r="AB722" i="1" s="1"/>
  <c r="AN722" i="1" s="1"/>
  <c r="Z723" i="1"/>
  <c r="AA723" i="1" s="1"/>
  <c r="AB723" i="1" s="1"/>
  <c r="AN723" i="1" s="1"/>
  <c r="Z724" i="1"/>
  <c r="AA724" i="1" s="1"/>
  <c r="AB724" i="1" s="1"/>
  <c r="AN724" i="1" s="1"/>
  <c r="Z725" i="1"/>
  <c r="AA725" i="1" s="1"/>
  <c r="AB725" i="1" s="1"/>
  <c r="AN725" i="1" s="1"/>
  <c r="Z726" i="1"/>
  <c r="AA726" i="1" s="1"/>
  <c r="AB726" i="1" s="1"/>
  <c r="AN726" i="1" s="1"/>
  <c r="Z727" i="1"/>
  <c r="AA727" i="1" s="1"/>
  <c r="AB727" i="1" s="1"/>
  <c r="AN727" i="1" s="1"/>
  <c r="Z728" i="1"/>
  <c r="AA728" i="1" s="1"/>
  <c r="AB728" i="1" s="1"/>
  <c r="AN728" i="1" s="1"/>
  <c r="Z729" i="1"/>
  <c r="AA729" i="1" s="1"/>
  <c r="AB729" i="1" s="1"/>
  <c r="AN729" i="1" s="1"/>
  <c r="Z730" i="1"/>
  <c r="AA730" i="1" s="1"/>
  <c r="AB730" i="1" s="1"/>
  <c r="AN730" i="1" s="1"/>
  <c r="Z731" i="1"/>
  <c r="AA731" i="1" s="1"/>
  <c r="AB731" i="1" s="1"/>
  <c r="AN731" i="1" s="1"/>
  <c r="Z732" i="1"/>
  <c r="AA732" i="1" s="1"/>
  <c r="AB732" i="1" s="1"/>
  <c r="AN732" i="1" s="1"/>
  <c r="Z733" i="1"/>
  <c r="AA733" i="1" s="1"/>
  <c r="AB733" i="1" s="1"/>
  <c r="AN733" i="1" s="1"/>
  <c r="Z734" i="1"/>
  <c r="AA734" i="1" s="1"/>
  <c r="AB734" i="1" s="1"/>
  <c r="AN734" i="1" s="1"/>
  <c r="Z735" i="1"/>
  <c r="AA735" i="1" s="1"/>
  <c r="AB735" i="1" s="1"/>
  <c r="AN735" i="1" s="1"/>
  <c r="Z736" i="1"/>
  <c r="AA736" i="1" s="1"/>
  <c r="AB736" i="1" s="1"/>
  <c r="AN736" i="1" s="1"/>
  <c r="Z737" i="1"/>
  <c r="AA737" i="1" s="1"/>
  <c r="AB737" i="1" s="1"/>
  <c r="AN737" i="1" s="1"/>
  <c r="Z738" i="1"/>
  <c r="AA738" i="1" s="1"/>
  <c r="AB738" i="1" s="1"/>
  <c r="AN738" i="1" s="1"/>
  <c r="Z739" i="1"/>
  <c r="AA739" i="1" s="1"/>
  <c r="AB739" i="1" s="1"/>
  <c r="AN739" i="1" s="1"/>
  <c r="Z740" i="1"/>
  <c r="AA740" i="1" s="1"/>
  <c r="AB740" i="1" s="1"/>
  <c r="AN740" i="1" s="1"/>
  <c r="Z741" i="1"/>
  <c r="AA741" i="1" s="1"/>
  <c r="AB741" i="1" s="1"/>
  <c r="AN741" i="1" s="1"/>
  <c r="Z742" i="1"/>
  <c r="AA742" i="1" s="1"/>
  <c r="AB742" i="1" s="1"/>
  <c r="AN742" i="1" s="1"/>
  <c r="Z743" i="1"/>
  <c r="AA743" i="1" s="1"/>
  <c r="AB743" i="1" s="1"/>
  <c r="AN743" i="1" s="1"/>
  <c r="Z744" i="1"/>
  <c r="AA744" i="1" s="1"/>
  <c r="AB744" i="1" s="1"/>
  <c r="AN744" i="1" s="1"/>
  <c r="Z745" i="1"/>
  <c r="AA745" i="1" s="1"/>
  <c r="AB745" i="1" s="1"/>
  <c r="AN745" i="1" s="1"/>
  <c r="Z746" i="1"/>
  <c r="AA746" i="1" s="1"/>
  <c r="AB746" i="1" s="1"/>
  <c r="AN746" i="1" s="1"/>
  <c r="Z747" i="1"/>
  <c r="AA747" i="1" s="1"/>
  <c r="AB747" i="1" s="1"/>
  <c r="AN747" i="1" s="1"/>
  <c r="Z748" i="1"/>
  <c r="AA748" i="1" s="1"/>
  <c r="AB748" i="1" s="1"/>
  <c r="AN748" i="1" s="1"/>
  <c r="Z749" i="1"/>
  <c r="AA749" i="1" s="1"/>
  <c r="AB749" i="1" s="1"/>
  <c r="AN749" i="1" s="1"/>
  <c r="Z750" i="1"/>
  <c r="AA750" i="1" s="1"/>
  <c r="AB750" i="1" s="1"/>
  <c r="AN750" i="1" s="1"/>
  <c r="Z751" i="1"/>
  <c r="AA751" i="1" s="1"/>
  <c r="AB751" i="1" s="1"/>
  <c r="AN751" i="1" s="1"/>
  <c r="Z752" i="1"/>
  <c r="AA752" i="1" s="1"/>
  <c r="AB752" i="1" s="1"/>
  <c r="AN752" i="1" s="1"/>
  <c r="Z753" i="1"/>
  <c r="AA753" i="1" s="1"/>
  <c r="AB753" i="1" s="1"/>
  <c r="AN753" i="1" s="1"/>
  <c r="Z754" i="1"/>
  <c r="AA754" i="1" s="1"/>
  <c r="AB754" i="1" s="1"/>
  <c r="AN754" i="1" s="1"/>
  <c r="Z755" i="1"/>
  <c r="AA755" i="1" s="1"/>
  <c r="AB755" i="1" s="1"/>
  <c r="AN755" i="1" s="1"/>
  <c r="Z756" i="1"/>
  <c r="AA756" i="1" s="1"/>
  <c r="AB756" i="1" s="1"/>
  <c r="AN756" i="1" s="1"/>
  <c r="Z757" i="1"/>
  <c r="AA757" i="1" s="1"/>
  <c r="AB757" i="1" s="1"/>
  <c r="AN757" i="1" s="1"/>
  <c r="Z758" i="1"/>
  <c r="AA758" i="1" s="1"/>
  <c r="AB758" i="1" s="1"/>
  <c r="AN758" i="1" s="1"/>
  <c r="Z759" i="1"/>
  <c r="AA759" i="1" s="1"/>
  <c r="AB759" i="1" s="1"/>
  <c r="AN759" i="1" s="1"/>
  <c r="Z760" i="1"/>
  <c r="AA760" i="1" s="1"/>
  <c r="AB760" i="1" s="1"/>
  <c r="AN760" i="1" s="1"/>
  <c r="Z761" i="1"/>
  <c r="AA761" i="1" s="1"/>
  <c r="AB761" i="1" s="1"/>
  <c r="AN761" i="1" s="1"/>
  <c r="Z762" i="1"/>
  <c r="AA762" i="1" s="1"/>
  <c r="AB762" i="1" s="1"/>
  <c r="AN762" i="1" s="1"/>
  <c r="Z763" i="1"/>
  <c r="AA763" i="1" s="1"/>
  <c r="AB763" i="1" s="1"/>
  <c r="AN763" i="1" s="1"/>
  <c r="Z764" i="1"/>
  <c r="AA764" i="1" s="1"/>
  <c r="AB764" i="1" s="1"/>
  <c r="AN764" i="1" s="1"/>
  <c r="Z765" i="1"/>
  <c r="AA765" i="1" s="1"/>
  <c r="AB765" i="1" s="1"/>
  <c r="AN765" i="1" s="1"/>
  <c r="Z766" i="1"/>
  <c r="AA766" i="1" s="1"/>
  <c r="AB766" i="1" s="1"/>
  <c r="AN766" i="1" s="1"/>
  <c r="Z767" i="1"/>
  <c r="AA767" i="1" s="1"/>
  <c r="AB767" i="1" s="1"/>
  <c r="AN767" i="1" s="1"/>
  <c r="Z768" i="1"/>
  <c r="AA768" i="1" s="1"/>
  <c r="AB768" i="1" s="1"/>
  <c r="AN768" i="1" s="1"/>
  <c r="Z769" i="1"/>
  <c r="AA769" i="1" s="1"/>
  <c r="AB769" i="1" s="1"/>
  <c r="AN769" i="1" s="1"/>
  <c r="Z770" i="1"/>
  <c r="AA770" i="1" s="1"/>
  <c r="AB770" i="1" s="1"/>
  <c r="AN770" i="1" s="1"/>
  <c r="Z771" i="1"/>
  <c r="AA771" i="1" s="1"/>
  <c r="AB771" i="1" s="1"/>
  <c r="AN771" i="1" s="1"/>
  <c r="Z772" i="1"/>
  <c r="AA772" i="1" s="1"/>
  <c r="AB772" i="1" s="1"/>
  <c r="AN772" i="1" s="1"/>
  <c r="Z773" i="1"/>
  <c r="AA773" i="1" s="1"/>
  <c r="AB773" i="1" s="1"/>
  <c r="AN773" i="1" s="1"/>
  <c r="Z774" i="1"/>
  <c r="AA774" i="1" s="1"/>
  <c r="AB774" i="1" s="1"/>
  <c r="AN774" i="1" s="1"/>
  <c r="Z775" i="1"/>
  <c r="AA775" i="1" s="1"/>
  <c r="AB775" i="1" s="1"/>
  <c r="AN775" i="1" s="1"/>
  <c r="Z776" i="1"/>
  <c r="AA776" i="1" s="1"/>
  <c r="AB776" i="1" s="1"/>
  <c r="AN776" i="1" s="1"/>
  <c r="Z777" i="1"/>
  <c r="AA777" i="1" s="1"/>
  <c r="AB777" i="1" s="1"/>
  <c r="AN777" i="1" s="1"/>
  <c r="Z778" i="1"/>
  <c r="AA778" i="1" s="1"/>
  <c r="AB778" i="1" s="1"/>
  <c r="AN778" i="1" s="1"/>
  <c r="Z779" i="1"/>
  <c r="AA779" i="1" s="1"/>
  <c r="AB779" i="1" s="1"/>
  <c r="AN779" i="1" s="1"/>
  <c r="Z780" i="1"/>
  <c r="AA780" i="1" s="1"/>
  <c r="AB780" i="1" s="1"/>
  <c r="AN780" i="1" s="1"/>
  <c r="Z781" i="1"/>
  <c r="AA781" i="1" s="1"/>
  <c r="AB781" i="1" s="1"/>
  <c r="AN781" i="1" s="1"/>
  <c r="Z782" i="1"/>
  <c r="AA782" i="1" s="1"/>
  <c r="AB782" i="1" s="1"/>
  <c r="AN782" i="1" s="1"/>
  <c r="Z783" i="1"/>
  <c r="AA783" i="1" s="1"/>
  <c r="AB783" i="1" s="1"/>
  <c r="AN783" i="1" s="1"/>
  <c r="Z784" i="1"/>
  <c r="AA784" i="1" s="1"/>
  <c r="AB784" i="1" s="1"/>
  <c r="AN784" i="1" s="1"/>
  <c r="Z785" i="1"/>
  <c r="AA785" i="1" s="1"/>
  <c r="AB785" i="1" s="1"/>
  <c r="AN785" i="1" s="1"/>
  <c r="Z786" i="1"/>
  <c r="AA786" i="1" s="1"/>
  <c r="AB786" i="1" s="1"/>
  <c r="AN786" i="1" s="1"/>
  <c r="Z787" i="1"/>
  <c r="AA787" i="1" s="1"/>
  <c r="AB787" i="1" s="1"/>
  <c r="AN787" i="1" s="1"/>
  <c r="Z788" i="1"/>
  <c r="AA788" i="1" s="1"/>
  <c r="AB788" i="1" s="1"/>
  <c r="AN788" i="1" s="1"/>
  <c r="Z789" i="1"/>
  <c r="AA789" i="1" s="1"/>
  <c r="AB789" i="1" s="1"/>
  <c r="AN789" i="1" s="1"/>
  <c r="Z790" i="1"/>
  <c r="AA790" i="1" s="1"/>
  <c r="AB790" i="1" s="1"/>
  <c r="AN790" i="1" s="1"/>
  <c r="Z791" i="1"/>
  <c r="AA791" i="1" s="1"/>
  <c r="AB791" i="1" s="1"/>
  <c r="AN791" i="1" s="1"/>
  <c r="Z792" i="1"/>
  <c r="AA792" i="1" s="1"/>
  <c r="AB792" i="1" s="1"/>
  <c r="AN792" i="1" s="1"/>
  <c r="Z793" i="1"/>
  <c r="AA793" i="1" s="1"/>
  <c r="AB793" i="1" s="1"/>
  <c r="AN793" i="1" s="1"/>
  <c r="Z794" i="1"/>
  <c r="AA794" i="1" s="1"/>
  <c r="AB794" i="1" s="1"/>
  <c r="AN794" i="1" s="1"/>
  <c r="Z795" i="1"/>
  <c r="AA795" i="1" s="1"/>
  <c r="AB795" i="1" s="1"/>
  <c r="AN795" i="1" s="1"/>
  <c r="Z796" i="1"/>
  <c r="AA796" i="1" s="1"/>
  <c r="AB796" i="1" s="1"/>
  <c r="AN796" i="1" s="1"/>
  <c r="Z797" i="1"/>
  <c r="AA797" i="1" s="1"/>
  <c r="AB797" i="1" s="1"/>
  <c r="AN797" i="1" s="1"/>
  <c r="Z798" i="1"/>
  <c r="AA798" i="1" s="1"/>
  <c r="AB798" i="1" s="1"/>
  <c r="AN798" i="1" s="1"/>
  <c r="Z799" i="1"/>
  <c r="AA799" i="1" s="1"/>
  <c r="AB799" i="1" s="1"/>
  <c r="AN799" i="1" s="1"/>
  <c r="Z800" i="1"/>
  <c r="AA800" i="1" s="1"/>
  <c r="AB800" i="1" s="1"/>
  <c r="AN800" i="1" s="1"/>
  <c r="Z801" i="1"/>
  <c r="AA801" i="1" s="1"/>
  <c r="AB801" i="1" s="1"/>
  <c r="AN801" i="1" s="1"/>
  <c r="Z802" i="1"/>
  <c r="AA802" i="1" s="1"/>
  <c r="AB802" i="1" s="1"/>
  <c r="AN802" i="1" s="1"/>
  <c r="Z803" i="1"/>
  <c r="AA803" i="1" s="1"/>
  <c r="AB803" i="1" s="1"/>
  <c r="AN803" i="1" s="1"/>
  <c r="Z804" i="1"/>
  <c r="AA804" i="1" s="1"/>
  <c r="AB804" i="1" s="1"/>
  <c r="AN804" i="1" s="1"/>
  <c r="Z805" i="1"/>
  <c r="AA805" i="1" s="1"/>
  <c r="AB805" i="1" s="1"/>
  <c r="AN805" i="1" s="1"/>
  <c r="Z806" i="1"/>
  <c r="AA806" i="1" s="1"/>
  <c r="AB806" i="1" s="1"/>
  <c r="AN806" i="1" s="1"/>
  <c r="Z807" i="1"/>
  <c r="AA807" i="1" s="1"/>
  <c r="AB807" i="1" s="1"/>
  <c r="AN807" i="1" s="1"/>
  <c r="Z808" i="1"/>
  <c r="AA808" i="1" s="1"/>
  <c r="AB808" i="1" s="1"/>
  <c r="AN808" i="1" s="1"/>
  <c r="Z809" i="1"/>
  <c r="AA809" i="1" s="1"/>
  <c r="AB809" i="1" s="1"/>
  <c r="AN809" i="1" s="1"/>
  <c r="Z810" i="1"/>
  <c r="AA810" i="1" s="1"/>
  <c r="AB810" i="1" s="1"/>
  <c r="AN810" i="1" s="1"/>
  <c r="Z811" i="1"/>
  <c r="AA811" i="1" s="1"/>
  <c r="AB811" i="1" s="1"/>
  <c r="AN811" i="1" s="1"/>
  <c r="Z812" i="1"/>
  <c r="AA812" i="1" s="1"/>
  <c r="AB812" i="1" s="1"/>
  <c r="AN812" i="1" s="1"/>
  <c r="Z813" i="1"/>
  <c r="AA813" i="1" s="1"/>
  <c r="AB813" i="1" s="1"/>
  <c r="AN813" i="1" s="1"/>
  <c r="Z814" i="1"/>
  <c r="AA814" i="1" s="1"/>
  <c r="AB814" i="1" s="1"/>
  <c r="AN814" i="1" s="1"/>
  <c r="Z815" i="1"/>
  <c r="AA815" i="1" s="1"/>
  <c r="AB815" i="1" s="1"/>
  <c r="AN815" i="1" s="1"/>
  <c r="Z816" i="1"/>
  <c r="AA816" i="1" s="1"/>
  <c r="AB816" i="1" s="1"/>
  <c r="AN816" i="1" s="1"/>
  <c r="Z817" i="1"/>
  <c r="AA817" i="1" s="1"/>
  <c r="AB817" i="1" s="1"/>
  <c r="AN817" i="1" s="1"/>
  <c r="Z818" i="1"/>
  <c r="AA818" i="1" s="1"/>
  <c r="AB818" i="1" s="1"/>
  <c r="AN818" i="1" s="1"/>
  <c r="Z819" i="1"/>
  <c r="AA819" i="1" s="1"/>
  <c r="AB819" i="1" s="1"/>
  <c r="AN819" i="1" s="1"/>
  <c r="Z820" i="1"/>
  <c r="AA820" i="1" s="1"/>
  <c r="AB820" i="1" s="1"/>
  <c r="AN820" i="1" s="1"/>
  <c r="Z821" i="1"/>
  <c r="AA821" i="1" s="1"/>
  <c r="AB821" i="1" s="1"/>
  <c r="AN821" i="1" s="1"/>
  <c r="Z822" i="1"/>
  <c r="AA822" i="1" s="1"/>
  <c r="AB822" i="1" s="1"/>
  <c r="AN822" i="1" s="1"/>
  <c r="Z823" i="1"/>
  <c r="AA823" i="1" s="1"/>
  <c r="AB823" i="1" s="1"/>
  <c r="AN823" i="1" s="1"/>
  <c r="Z824" i="1"/>
  <c r="AA824" i="1" s="1"/>
  <c r="AB824" i="1" s="1"/>
  <c r="AN824" i="1" s="1"/>
  <c r="Z825" i="1"/>
  <c r="AA825" i="1" s="1"/>
  <c r="AB825" i="1" s="1"/>
  <c r="AN825" i="1" s="1"/>
  <c r="Z826" i="1"/>
  <c r="AA826" i="1" s="1"/>
  <c r="AB826" i="1" s="1"/>
  <c r="AN826" i="1" s="1"/>
  <c r="Z827" i="1"/>
  <c r="AA827" i="1" s="1"/>
  <c r="AB827" i="1" s="1"/>
  <c r="AN827" i="1" s="1"/>
  <c r="Z828" i="1"/>
  <c r="AA828" i="1" s="1"/>
  <c r="AB828" i="1" s="1"/>
  <c r="AN828" i="1" s="1"/>
  <c r="Z829" i="1"/>
  <c r="AA829" i="1" s="1"/>
  <c r="AB829" i="1" s="1"/>
  <c r="AN829" i="1" s="1"/>
  <c r="Z830" i="1"/>
  <c r="AA830" i="1" s="1"/>
  <c r="AB830" i="1" s="1"/>
  <c r="AN830" i="1" s="1"/>
  <c r="Z831" i="1"/>
  <c r="AA831" i="1" s="1"/>
  <c r="AB831" i="1" s="1"/>
  <c r="AN831" i="1" s="1"/>
  <c r="Z832" i="1"/>
  <c r="AA832" i="1" s="1"/>
  <c r="AB832" i="1" s="1"/>
  <c r="AN832" i="1" s="1"/>
  <c r="Z833" i="1"/>
  <c r="AA833" i="1" s="1"/>
  <c r="AB833" i="1" s="1"/>
  <c r="AN833" i="1" s="1"/>
  <c r="Z834" i="1"/>
  <c r="AA834" i="1" s="1"/>
  <c r="AB834" i="1" s="1"/>
  <c r="AN834" i="1" s="1"/>
  <c r="Z835" i="1"/>
  <c r="AA835" i="1" s="1"/>
  <c r="AB835" i="1" s="1"/>
  <c r="AN835" i="1" s="1"/>
  <c r="Z836" i="1"/>
  <c r="AA836" i="1" s="1"/>
  <c r="AB836" i="1" s="1"/>
  <c r="AN836" i="1" s="1"/>
  <c r="Z837" i="1"/>
  <c r="AA837" i="1" s="1"/>
  <c r="AB837" i="1" s="1"/>
  <c r="AN837" i="1" s="1"/>
  <c r="Z838" i="1"/>
  <c r="AA838" i="1" s="1"/>
  <c r="AB838" i="1" s="1"/>
  <c r="AN838" i="1" s="1"/>
  <c r="Z839" i="1"/>
  <c r="AA839" i="1" s="1"/>
  <c r="AB839" i="1" s="1"/>
  <c r="AN839" i="1" s="1"/>
  <c r="Z840" i="1"/>
  <c r="AA840" i="1" s="1"/>
  <c r="AB840" i="1" s="1"/>
  <c r="AN840" i="1" s="1"/>
  <c r="Z841" i="1"/>
  <c r="AA841" i="1" s="1"/>
  <c r="AB841" i="1" s="1"/>
  <c r="AN841" i="1" s="1"/>
  <c r="Z842" i="1"/>
  <c r="AA842" i="1" s="1"/>
  <c r="AB842" i="1" s="1"/>
  <c r="AN842" i="1" s="1"/>
  <c r="Z843" i="1"/>
  <c r="AA843" i="1" s="1"/>
  <c r="AB843" i="1" s="1"/>
  <c r="AN843" i="1" s="1"/>
  <c r="Z844" i="1"/>
  <c r="AA844" i="1" s="1"/>
  <c r="AB844" i="1" s="1"/>
  <c r="AN844" i="1" s="1"/>
  <c r="Z845" i="1"/>
  <c r="AA845" i="1" s="1"/>
  <c r="AB845" i="1" s="1"/>
  <c r="AN845" i="1" s="1"/>
  <c r="Z846" i="1"/>
  <c r="AA846" i="1" s="1"/>
  <c r="AB846" i="1" s="1"/>
  <c r="AN846" i="1" s="1"/>
  <c r="Z847" i="1"/>
  <c r="AA847" i="1" s="1"/>
  <c r="AB847" i="1" s="1"/>
  <c r="AN847" i="1" s="1"/>
  <c r="Z848" i="1"/>
  <c r="AA848" i="1" s="1"/>
  <c r="AB848" i="1" s="1"/>
  <c r="AN848" i="1" s="1"/>
  <c r="Z849" i="1"/>
  <c r="AA849" i="1" s="1"/>
  <c r="AB849" i="1" s="1"/>
  <c r="AN849" i="1" s="1"/>
  <c r="Z850" i="1"/>
  <c r="AA850" i="1" s="1"/>
  <c r="AB850" i="1" s="1"/>
  <c r="AN850" i="1" s="1"/>
  <c r="Z851" i="1"/>
  <c r="AA851" i="1" s="1"/>
  <c r="AB851" i="1" s="1"/>
  <c r="AN851" i="1" s="1"/>
  <c r="Z852" i="1"/>
  <c r="AA852" i="1" s="1"/>
  <c r="AB852" i="1" s="1"/>
  <c r="AN852" i="1" s="1"/>
  <c r="Z853" i="1"/>
  <c r="AA853" i="1" s="1"/>
  <c r="AB853" i="1" s="1"/>
  <c r="AN853" i="1" s="1"/>
  <c r="Z854" i="1"/>
  <c r="AA854" i="1" s="1"/>
  <c r="AB854" i="1" s="1"/>
  <c r="AN854" i="1" s="1"/>
  <c r="Z855" i="1"/>
  <c r="AA855" i="1" s="1"/>
  <c r="AB855" i="1" s="1"/>
  <c r="AN855" i="1" s="1"/>
  <c r="Z856" i="1"/>
  <c r="AA856" i="1" s="1"/>
  <c r="AB856" i="1" s="1"/>
  <c r="AN856" i="1" s="1"/>
  <c r="Z857" i="1"/>
  <c r="AA857" i="1" s="1"/>
  <c r="AB857" i="1" s="1"/>
  <c r="AN857" i="1" s="1"/>
  <c r="Z858" i="1"/>
  <c r="AA858" i="1" s="1"/>
  <c r="AB858" i="1" s="1"/>
  <c r="AN858" i="1" s="1"/>
  <c r="Z859" i="1"/>
  <c r="AA859" i="1" s="1"/>
  <c r="AB859" i="1" s="1"/>
  <c r="AN859" i="1" s="1"/>
  <c r="Z860" i="1"/>
  <c r="AA860" i="1" s="1"/>
  <c r="AB860" i="1" s="1"/>
  <c r="AN860" i="1" s="1"/>
  <c r="Z861" i="1"/>
  <c r="AA861" i="1" s="1"/>
  <c r="AB861" i="1" s="1"/>
  <c r="AN861" i="1" s="1"/>
  <c r="Z862" i="1"/>
  <c r="AA862" i="1" s="1"/>
  <c r="AB862" i="1" s="1"/>
  <c r="AN862" i="1" s="1"/>
  <c r="Z863" i="1"/>
  <c r="AA863" i="1" s="1"/>
  <c r="AB863" i="1" s="1"/>
  <c r="AN863" i="1" s="1"/>
  <c r="Z864" i="1"/>
  <c r="AA864" i="1" s="1"/>
  <c r="AB864" i="1" s="1"/>
  <c r="AN864" i="1" s="1"/>
  <c r="Z865" i="1"/>
  <c r="AA865" i="1" s="1"/>
  <c r="AB865" i="1" s="1"/>
  <c r="AN865" i="1" s="1"/>
  <c r="Z866" i="1"/>
  <c r="AA866" i="1" s="1"/>
  <c r="AB866" i="1" s="1"/>
  <c r="AN866" i="1" s="1"/>
  <c r="Z867" i="1"/>
  <c r="AA867" i="1" s="1"/>
  <c r="AB867" i="1" s="1"/>
  <c r="AN867" i="1" s="1"/>
  <c r="Z868" i="1"/>
  <c r="AA868" i="1" s="1"/>
  <c r="AB868" i="1" s="1"/>
  <c r="AN868" i="1" s="1"/>
  <c r="Z869" i="1"/>
  <c r="AA869" i="1" s="1"/>
  <c r="AB869" i="1" s="1"/>
  <c r="AN869" i="1" s="1"/>
  <c r="Z870" i="1"/>
  <c r="AA870" i="1" s="1"/>
  <c r="AB870" i="1" s="1"/>
  <c r="AN870" i="1" s="1"/>
  <c r="Z871" i="1"/>
  <c r="AA871" i="1" s="1"/>
  <c r="AB871" i="1" s="1"/>
  <c r="AN871" i="1" s="1"/>
  <c r="Z872" i="1"/>
  <c r="AA872" i="1" s="1"/>
  <c r="AB872" i="1" s="1"/>
  <c r="AN872" i="1" s="1"/>
  <c r="Z873" i="1"/>
  <c r="AA873" i="1" s="1"/>
  <c r="AB873" i="1" s="1"/>
  <c r="AN873" i="1" s="1"/>
  <c r="Z874" i="1"/>
  <c r="AA874" i="1" s="1"/>
  <c r="AB874" i="1" s="1"/>
  <c r="AN874" i="1" s="1"/>
  <c r="Z875" i="1"/>
  <c r="AA875" i="1" s="1"/>
  <c r="AB875" i="1" s="1"/>
  <c r="AN875" i="1" s="1"/>
  <c r="Z876" i="1"/>
  <c r="AA876" i="1" s="1"/>
  <c r="AB876" i="1" s="1"/>
  <c r="AN876" i="1" s="1"/>
  <c r="Z877" i="1"/>
  <c r="AA877" i="1" s="1"/>
  <c r="AB877" i="1" s="1"/>
  <c r="AN877" i="1" s="1"/>
  <c r="Z878" i="1"/>
  <c r="AA878" i="1" s="1"/>
  <c r="AB878" i="1" s="1"/>
  <c r="AN878" i="1" s="1"/>
  <c r="Z879" i="1"/>
  <c r="AA879" i="1" s="1"/>
  <c r="AB879" i="1" s="1"/>
  <c r="AN879" i="1" s="1"/>
  <c r="Z880" i="1"/>
  <c r="AA880" i="1" s="1"/>
  <c r="AB880" i="1" s="1"/>
  <c r="AN880" i="1" s="1"/>
  <c r="Z881" i="1"/>
  <c r="AA881" i="1" s="1"/>
  <c r="AB881" i="1" s="1"/>
  <c r="AN881" i="1" s="1"/>
  <c r="Z882" i="1"/>
  <c r="AA882" i="1" s="1"/>
  <c r="AB882" i="1" s="1"/>
  <c r="AN882" i="1" s="1"/>
  <c r="Z883" i="1"/>
  <c r="AA883" i="1" s="1"/>
  <c r="AB883" i="1" s="1"/>
  <c r="AN883" i="1" s="1"/>
  <c r="Z884" i="1"/>
  <c r="AA884" i="1" s="1"/>
  <c r="AB884" i="1" s="1"/>
  <c r="AN884" i="1" s="1"/>
  <c r="Z885" i="1"/>
  <c r="AA885" i="1" s="1"/>
  <c r="AB885" i="1" s="1"/>
  <c r="AN885" i="1" s="1"/>
  <c r="Z886" i="1"/>
  <c r="AA886" i="1" s="1"/>
  <c r="AB886" i="1" s="1"/>
  <c r="AN886" i="1" s="1"/>
  <c r="Z887" i="1"/>
  <c r="AA887" i="1" s="1"/>
  <c r="AB887" i="1" s="1"/>
  <c r="AN887" i="1" s="1"/>
  <c r="Z888" i="1"/>
  <c r="AA888" i="1" s="1"/>
  <c r="AB888" i="1" s="1"/>
  <c r="AN888" i="1" s="1"/>
  <c r="Z889" i="1"/>
  <c r="AA889" i="1" s="1"/>
  <c r="AB889" i="1" s="1"/>
  <c r="AN889" i="1" s="1"/>
  <c r="Z890" i="1"/>
  <c r="AA890" i="1" s="1"/>
  <c r="AB890" i="1" s="1"/>
  <c r="AN890" i="1" s="1"/>
  <c r="Z891" i="1"/>
  <c r="AA891" i="1" s="1"/>
  <c r="AB891" i="1" s="1"/>
  <c r="AN891" i="1" s="1"/>
  <c r="Z892" i="1"/>
  <c r="AA892" i="1" s="1"/>
  <c r="AB892" i="1" s="1"/>
  <c r="AN892" i="1" s="1"/>
  <c r="Z893" i="1"/>
  <c r="AA893" i="1" s="1"/>
  <c r="AB893" i="1" s="1"/>
  <c r="AN893" i="1" s="1"/>
  <c r="Z894" i="1"/>
  <c r="AA894" i="1" s="1"/>
  <c r="AB894" i="1" s="1"/>
  <c r="AN894" i="1" s="1"/>
  <c r="Z895" i="1"/>
  <c r="AA895" i="1" s="1"/>
  <c r="AB895" i="1" s="1"/>
  <c r="AN895" i="1" s="1"/>
  <c r="Z896" i="1"/>
  <c r="AA896" i="1" s="1"/>
  <c r="AB896" i="1" s="1"/>
  <c r="AN896" i="1" s="1"/>
  <c r="Z897" i="1"/>
  <c r="AA897" i="1" s="1"/>
  <c r="AB897" i="1" s="1"/>
  <c r="AN897" i="1" s="1"/>
  <c r="Z898" i="1"/>
  <c r="AA898" i="1" s="1"/>
  <c r="AB898" i="1" s="1"/>
  <c r="AN898" i="1" s="1"/>
  <c r="Z899" i="1"/>
  <c r="AA899" i="1" s="1"/>
  <c r="AB899" i="1" s="1"/>
  <c r="AN899" i="1" s="1"/>
  <c r="Z900" i="1"/>
  <c r="AA900" i="1" s="1"/>
  <c r="AB900" i="1" s="1"/>
  <c r="AN900" i="1" s="1"/>
  <c r="Z901" i="1"/>
  <c r="AA901" i="1" s="1"/>
  <c r="AB901" i="1" s="1"/>
  <c r="AN901" i="1" s="1"/>
  <c r="Z902" i="1"/>
  <c r="AA902" i="1" s="1"/>
  <c r="AB902" i="1" s="1"/>
  <c r="AN902" i="1" s="1"/>
  <c r="Z903" i="1"/>
  <c r="AA903" i="1" s="1"/>
  <c r="AB903" i="1" s="1"/>
  <c r="AN903" i="1" s="1"/>
  <c r="Z904" i="1"/>
  <c r="AA904" i="1" s="1"/>
  <c r="AB904" i="1" s="1"/>
  <c r="AN904" i="1" s="1"/>
  <c r="Z905" i="1"/>
  <c r="AA905" i="1" s="1"/>
  <c r="AB905" i="1" s="1"/>
  <c r="AN905" i="1" s="1"/>
  <c r="Z906" i="1"/>
  <c r="AA906" i="1" s="1"/>
  <c r="AB906" i="1" s="1"/>
  <c r="AN906" i="1" s="1"/>
  <c r="Z907" i="1"/>
  <c r="AA907" i="1" s="1"/>
  <c r="AB907" i="1" s="1"/>
  <c r="AN907" i="1" s="1"/>
  <c r="Z908" i="1"/>
  <c r="AA908" i="1" s="1"/>
  <c r="AB908" i="1" s="1"/>
  <c r="AN908" i="1" s="1"/>
  <c r="Z909" i="1"/>
  <c r="AA909" i="1" s="1"/>
  <c r="AB909" i="1" s="1"/>
  <c r="AN909" i="1" s="1"/>
  <c r="Z910" i="1"/>
  <c r="AA910" i="1" s="1"/>
  <c r="AB910" i="1" s="1"/>
  <c r="AN910" i="1" s="1"/>
  <c r="Z911" i="1"/>
  <c r="AA911" i="1" s="1"/>
  <c r="AB911" i="1" s="1"/>
  <c r="AN911" i="1" s="1"/>
  <c r="Z912" i="1"/>
  <c r="AA912" i="1" s="1"/>
  <c r="AB912" i="1" s="1"/>
  <c r="AN912" i="1" s="1"/>
  <c r="Z913" i="1"/>
  <c r="AA913" i="1" s="1"/>
  <c r="AB913" i="1" s="1"/>
  <c r="AN913" i="1" s="1"/>
  <c r="Z914" i="1"/>
  <c r="AA914" i="1" s="1"/>
  <c r="AB914" i="1" s="1"/>
  <c r="AN914" i="1" s="1"/>
  <c r="Z915" i="1"/>
  <c r="AA915" i="1" s="1"/>
  <c r="AB915" i="1" s="1"/>
  <c r="AN915" i="1" s="1"/>
  <c r="Z916" i="1"/>
  <c r="AA916" i="1" s="1"/>
  <c r="AB916" i="1" s="1"/>
  <c r="AN916" i="1" s="1"/>
  <c r="Z917" i="1"/>
  <c r="AA917" i="1" s="1"/>
  <c r="AB917" i="1" s="1"/>
  <c r="AN917" i="1" s="1"/>
  <c r="Z918" i="1"/>
  <c r="AA918" i="1" s="1"/>
  <c r="AB918" i="1" s="1"/>
  <c r="AN918" i="1" s="1"/>
  <c r="Z919" i="1"/>
  <c r="AA919" i="1" s="1"/>
  <c r="AB919" i="1" s="1"/>
  <c r="AN919" i="1" s="1"/>
  <c r="Z920" i="1"/>
  <c r="AA920" i="1" s="1"/>
  <c r="AB920" i="1" s="1"/>
  <c r="AN920" i="1" s="1"/>
  <c r="Z921" i="1"/>
  <c r="AA921" i="1" s="1"/>
  <c r="AB921" i="1" s="1"/>
  <c r="AN921" i="1" s="1"/>
  <c r="Z922" i="1"/>
  <c r="AA922" i="1" s="1"/>
  <c r="AB922" i="1" s="1"/>
  <c r="AN922" i="1" s="1"/>
  <c r="Z923" i="1"/>
  <c r="AA923" i="1" s="1"/>
  <c r="AB923" i="1" s="1"/>
  <c r="AN923" i="1" s="1"/>
  <c r="Z924" i="1"/>
  <c r="AA924" i="1" s="1"/>
  <c r="AB924" i="1" s="1"/>
  <c r="AN924" i="1" s="1"/>
  <c r="Z925" i="1"/>
  <c r="AA925" i="1" s="1"/>
  <c r="AB925" i="1" s="1"/>
  <c r="AN925" i="1" s="1"/>
  <c r="Z926" i="1"/>
  <c r="AA926" i="1" s="1"/>
  <c r="AB926" i="1" s="1"/>
  <c r="AN926" i="1" s="1"/>
  <c r="Z927" i="1"/>
  <c r="AA927" i="1" s="1"/>
  <c r="AB927" i="1" s="1"/>
  <c r="AN927" i="1" s="1"/>
  <c r="Z928" i="1"/>
  <c r="AA928" i="1" s="1"/>
  <c r="AB928" i="1" s="1"/>
  <c r="AN928" i="1" s="1"/>
  <c r="Z929" i="1"/>
  <c r="AA929" i="1" s="1"/>
  <c r="AB929" i="1" s="1"/>
  <c r="AN929" i="1" s="1"/>
  <c r="Z930" i="1"/>
  <c r="AA930" i="1" s="1"/>
  <c r="AB930" i="1" s="1"/>
  <c r="AN930" i="1" s="1"/>
  <c r="Z931" i="1"/>
  <c r="AA931" i="1" s="1"/>
  <c r="AB931" i="1" s="1"/>
  <c r="AN931" i="1" s="1"/>
  <c r="Z932" i="1"/>
  <c r="AA932" i="1" s="1"/>
  <c r="AB932" i="1" s="1"/>
  <c r="AN932" i="1" s="1"/>
  <c r="Z933" i="1"/>
  <c r="AA933" i="1" s="1"/>
  <c r="AB933" i="1" s="1"/>
  <c r="AN933" i="1" s="1"/>
  <c r="Z934" i="1"/>
  <c r="AA934" i="1" s="1"/>
  <c r="AB934" i="1" s="1"/>
  <c r="AN934" i="1" s="1"/>
  <c r="Z935" i="1"/>
  <c r="AA935" i="1" s="1"/>
  <c r="AB935" i="1" s="1"/>
  <c r="AN935" i="1" s="1"/>
  <c r="Z936" i="1"/>
  <c r="AA936" i="1" s="1"/>
  <c r="AB936" i="1" s="1"/>
  <c r="AN936" i="1" s="1"/>
  <c r="Z937" i="1"/>
  <c r="AA937" i="1" s="1"/>
  <c r="AB937" i="1" s="1"/>
  <c r="AN937" i="1" s="1"/>
  <c r="Z938" i="1"/>
  <c r="AA938" i="1" s="1"/>
  <c r="AB938" i="1" s="1"/>
  <c r="AN938" i="1" s="1"/>
  <c r="Z939" i="1"/>
  <c r="AA939" i="1" s="1"/>
  <c r="AB939" i="1" s="1"/>
  <c r="AN939" i="1" s="1"/>
  <c r="Z940" i="1"/>
  <c r="AA940" i="1" s="1"/>
  <c r="AB940" i="1" s="1"/>
  <c r="AN940" i="1" s="1"/>
  <c r="Z941" i="1"/>
  <c r="AA941" i="1" s="1"/>
  <c r="AB941" i="1" s="1"/>
  <c r="AN941" i="1" s="1"/>
  <c r="Z942" i="1"/>
  <c r="AA942" i="1" s="1"/>
  <c r="AB942" i="1" s="1"/>
  <c r="AN942" i="1" s="1"/>
  <c r="Z943" i="1"/>
  <c r="AA943" i="1" s="1"/>
  <c r="AB943" i="1" s="1"/>
  <c r="AN943" i="1" s="1"/>
  <c r="Z944" i="1"/>
  <c r="AA944" i="1" s="1"/>
  <c r="AB944" i="1" s="1"/>
  <c r="AN944" i="1" s="1"/>
  <c r="Z945" i="1"/>
  <c r="AA945" i="1" s="1"/>
  <c r="AB945" i="1" s="1"/>
  <c r="AN945" i="1" s="1"/>
  <c r="Z946" i="1"/>
  <c r="AA946" i="1" s="1"/>
  <c r="AB946" i="1" s="1"/>
  <c r="AN946" i="1" s="1"/>
  <c r="Z947" i="1"/>
  <c r="AA947" i="1" s="1"/>
  <c r="AB947" i="1" s="1"/>
  <c r="AN947" i="1" s="1"/>
  <c r="Z948" i="1"/>
  <c r="AA948" i="1" s="1"/>
  <c r="AB948" i="1" s="1"/>
  <c r="AN948" i="1" s="1"/>
  <c r="Z949" i="1"/>
  <c r="AA949" i="1" s="1"/>
  <c r="AB949" i="1" s="1"/>
  <c r="AN949" i="1" s="1"/>
  <c r="Z950" i="1"/>
  <c r="AA950" i="1" s="1"/>
  <c r="AB950" i="1" s="1"/>
  <c r="AN950" i="1" s="1"/>
  <c r="Z951" i="1"/>
  <c r="AA951" i="1" s="1"/>
  <c r="AB951" i="1" s="1"/>
  <c r="AN951" i="1" s="1"/>
  <c r="Z952" i="1"/>
  <c r="AA952" i="1" s="1"/>
  <c r="AB952" i="1" s="1"/>
  <c r="AN952" i="1" s="1"/>
  <c r="Z953" i="1"/>
  <c r="AA953" i="1" s="1"/>
  <c r="AB953" i="1" s="1"/>
  <c r="AN953" i="1" s="1"/>
  <c r="Z954" i="1"/>
  <c r="AA954" i="1" s="1"/>
  <c r="AB954" i="1" s="1"/>
  <c r="AN954" i="1" s="1"/>
  <c r="Z955" i="1"/>
  <c r="AA955" i="1" s="1"/>
  <c r="AB955" i="1" s="1"/>
  <c r="AN955" i="1" s="1"/>
  <c r="Z956" i="1"/>
  <c r="AA956" i="1" s="1"/>
  <c r="AB956" i="1" s="1"/>
  <c r="AN956" i="1" s="1"/>
  <c r="Z957" i="1"/>
  <c r="AA957" i="1" s="1"/>
  <c r="AB957" i="1" s="1"/>
  <c r="AN957" i="1" s="1"/>
  <c r="Z958" i="1"/>
  <c r="AA958" i="1" s="1"/>
  <c r="AB958" i="1" s="1"/>
  <c r="AN958" i="1" s="1"/>
  <c r="Z959" i="1"/>
  <c r="AA959" i="1" s="1"/>
  <c r="AB959" i="1" s="1"/>
  <c r="AN959" i="1" s="1"/>
  <c r="Z960" i="1"/>
  <c r="AA960" i="1" s="1"/>
  <c r="AB960" i="1" s="1"/>
  <c r="AN960" i="1" s="1"/>
  <c r="Z961" i="1"/>
  <c r="AA961" i="1" s="1"/>
  <c r="AB961" i="1" s="1"/>
  <c r="AN961" i="1" s="1"/>
  <c r="Z962" i="1"/>
  <c r="AA962" i="1" s="1"/>
  <c r="AB962" i="1" s="1"/>
  <c r="AN962" i="1" s="1"/>
  <c r="Z963" i="1"/>
  <c r="AA963" i="1" s="1"/>
  <c r="AB963" i="1" s="1"/>
  <c r="AN963" i="1" s="1"/>
  <c r="Z964" i="1"/>
  <c r="AA964" i="1" s="1"/>
  <c r="AB964" i="1" s="1"/>
  <c r="AN964" i="1" s="1"/>
  <c r="Z965" i="1"/>
  <c r="AA965" i="1" s="1"/>
  <c r="AB965" i="1" s="1"/>
  <c r="AN965" i="1" s="1"/>
  <c r="Z966" i="1"/>
  <c r="AA966" i="1" s="1"/>
  <c r="AB966" i="1" s="1"/>
  <c r="AN966" i="1" s="1"/>
  <c r="Z967" i="1"/>
  <c r="AA967" i="1" s="1"/>
  <c r="AB967" i="1" s="1"/>
  <c r="AN967" i="1" s="1"/>
  <c r="Z968" i="1"/>
  <c r="AA968" i="1" s="1"/>
  <c r="AB968" i="1" s="1"/>
  <c r="AN968" i="1" s="1"/>
  <c r="Z969" i="1"/>
  <c r="AA969" i="1" s="1"/>
  <c r="AB969" i="1" s="1"/>
  <c r="AN969" i="1" s="1"/>
  <c r="Z970" i="1"/>
  <c r="AA970" i="1" s="1"/>
  <c r="AB970" i="1" s="1"/>
  <c r="AN970" i="1" s="1"/>
  <c r="Z971" i="1"/>
  <c r="AA971" i="1" s="1"/>
  <c r="AB971" i="1" s="1"/>
  <c r="AN971" i="1" s="1"/>
  <c r="Z972" i="1"/>
  <c r="AA972" i="1" s="1"/>
  <c r="AB972" i="1" s="1"/>
  <c r="AN972" i="1" s="1"/>
  <c r="Z973" i="1"/>
  <c r="AA973" i="1" s="1"/>
  <c r="AB973" i="1" s="1"/>
  <c r="AN973" i="1" s="1"/>
  <c r="Z974" i="1"/>
  <c r="AA974" i="1" s="1"/>
  <c r="AB974" i="1" s="1"/>
  <c r="AN974" i="1" s="1"/>
  <c r="Z975" i="1"/>
  <c r="AA975" i="1" s="1"/>
  <c r="AB975" i="1" s="1"/>
  <c r="AN975" i="1" s="1"/>
  <c r="Z976" i="1"/>
  <c r="AA976" i="1" s="1"/>
  <c r="AB976" i="1" s="1"/>
  <c r="AN976" i="1" s="1"/>
  <c r="Z977" i="1"/>
  <c r="AA977" i="1" s="1"/>
  <c r="AB977" i="1" s="1"/>
  <c r="AN977" i="1" s="1"/>
  <c r="Z978" i="1"/>
  <c r="AA978" i="1" s="1"/>
  <c r="AB978" i="1" s="1"/>
  <c r="AN978" i="1" s="1"/>
  <c r="Z979" i="1"/>
  <c r="AA979" i="1" s="1"/>
  <c r="AB979" i="1" s="1"/>
  <c r="AN979" i="1" s="1"/>
  <c r="Z980" i="1"/>
  <c r="AA980" i="1" s="1"/>
  <c r="AB980" i="1" s="1"/>
  <c r="AN980" i="1" s="1"/>
  <c r="Z981" i="1"/>
  <c r="AA981" i="1" s="1"/>
  <c r="AB981" i="1" s="1"/>
  <c r="AN981" i="1" s="1"/>
  <c r="Z982" i="1"/>
  <c r="AA982" i="1" s="1"/>
  <c r="AB982" i="1" s="1"/>
  <c r="AN982" i="1" s="1"/>
  <c r="Z983" i="1"/>
  <c r="AA983" i="1" s="1"/>
  <c r="AB983" i="1" s="1"/>
  <c r="AN983" i="1" s="1"/>
  <c r="Z984" i="1"/>
  <c r="AA984" i="1" s="1"/>
  <c r="AB984" i="1" s="1"/>
  <c r="AN984" i="1" s="1"/>
  <c r="Z985" i="1"/>
  <c r="AA985" i="1" s="1"/>
  <c r="AB985" i="1" s="1"/>
  <c r="AN985" i="1" s="1"/>
  <c r="Z986" i="1"/>
  <c r="AA986" i="1" s="1"/>
  <c r="AB986" i="1" s="1"/>
  <c r="AN986" i="1" s="1"/>
  <c r="Z987" i="1"/>
  <c r="AA987" i="1" s="1"/>
  <c r="AB987" i="1" s="1"/>
  <c r="AN987" i="1" s="1"/>
  <c r="Z988" i="1"/>
  <c r="AA988" i="1" s="1"/>
  <c r="AB988" i="1" s="1"/>
  <c r="AN988" i="1" s="1"/>
  <c r="Z989" i="1"/>
  <c r="AA989" i="1" s="1"/>
  <c r="AB989" i="1" s="1"/>
  <c r="AN989" i="1" s="1"/>
  <c r="Z990" i="1"/>
  <c r="AA990" i="1" s="1"/>
  <c r="AB990" i="1" s="1"/>
  <c r="AN990" i="1" s="1"/>
  <c r="Z991" i="1"/>
  <c r="AA991" i="1" s="1"/>
  <c r="AB991" i="1" s="1"/>
  <c r="AN991" i="1" s="1"/>
  <c r="Z992" i="1"/>
  <c r="AA992" i="1" s="1"/>
  <c r="AB992" i="1" s="1"/>
  <c r="AN992" i="1" s="1"/>
  <c r="Z993" i="1"/>
  <c r="AA993" i="1" s="1"/>
  <c r="AB993" i="1" s="1"/>
  <c r="AN993" i="1" s="1"/>
  <c r="Z994" i="1"/>
  <c r="AA994" i="1" s="1"/>
  <c r="AB994" i="1" s="1"/>
  <c r="AN994" i="1" s="1"/>
  <c r="Z995" i="1"/>
  <c r="AA995" i="1" s="1"/>
  <c r="AB995" i="1" s="1"/>
  <c r="AN995" i="1" s="1"/>
  <c r="Z996" i="1"/>
  <c r="AA996" i="1" s="1"/>
  <c r="AB996" i="1" s="1"/>
  <c r="AN996" i="1" s="1"/>
  <c r="Z997" i="1"/>
  <c r="AA997" i="1" s="1"/>
  <c r="AB997" i="1" s="1"/>
  <c r="AN997" i="1" s="1"/>
  <c r="Z998" i="1"/>
  <c r="AA998" i="1" s="1"/>
  <c r="AB998" i="1" s="1"/>
  <c r="AN998" i="1" s="1"/>
  <c r="Z999" i="1"/>
  <c r="AA999" i="1" s="1"/>
  <c r="AB999" i="1" s="1"/>
  <c r="AN999" i="1" s="1"/>
  <c r="Z1000" i="1"/>
  <c r="AA1000" i="1" s="1"/>
  <c r="AB1000" i="1" s="1"/>
  <c r="AN1000" i="1" s="1"/>
  <c r="Z1001" i="1"/>
  <c r="AA1001" i="1" s="1"/>
  <c r="AB1001" i="1" s="1"/>
  <c r="AN1001" i="1" s="1"/>
  <c r="Z1002" i="1"/>
  <c r="AA1002" i="1" s="1"/>
  <c r="AB1002" i="1" s="1"/>
  <c r="AN1002" i="1" s="1"/>
  <c r="Z1003" i="1"/>
  <c r="AA1003" i="1" s="1"/>
  <c r="AB1003" i="1" s="1"/>
  <c r="AN1003" i="1" s="1"/>
  <c r="Z1004" i="1"/>
  <c r="AA1004" i="1" s="1"/>
  <c r="AB1004" i="1" s="1"/>
  <c r="AN1004" i="1" s="1"/>
  <c r="Z1005" i="1"/>
  <c r="AA1005" i="1" s="1"/>
  <c r="AB1005" i="1" s="1"/>
  <c r="AN1005" i="1" s="1"/>
  <c r="Z1006" i="1"/>
  <c r="AA1006" i="1" s="1"/>
  <c r="AB1006" i="1" s="1"/>
  <c r="AN1006" i="1" s="1"/>
  <c r="Z1007" i="1"/>
  <c r="AA1007" i="1" s="1"/>
  <c r="AB1007" i="1" s="1"/>
  <c r="AN1007" i="1" s="1"/>
  <c r="Z1008" i="1"/>
  <c r="AA1008" i="1" s="1"/>
  <c r="AB1008" i="1" s="1"/>
  <c r="AN1008" i="1" s="1"/>
  <c r="Z1009" i="1"/>
  <c r="AA1009" i="1" s="1"/>
  <c r="AB1009" i="1" s="1"/>
  <c r="AN1009" i="1" s="1"/>
  <c r="Z1010" i="1"/>
  <c r="AA1010" i="1" s="1"/>
  <c r="AB1010" i="1" s="1"/>
  <c r="AN1010" i="1" s="1"/>
  <c r="Z1011" i="1"/>
  <c r="AA1011" i="1" s="1"/>
  <c r="AB1011" i="1" s="1"/>
  <c r="AN1011" i="1" s="1"/>
  <c r="Z1012" i="1"/>
  <c r="AA1012" i="1" s="1"/>
  <c r="AB1012" i="1" s="1"/>
  <c r="AN1012" i="1" s="1"/>
  <c r="Z1013" i="1"/>
  <c r="AA1013" i="1" s="1"/>
  <c r="AB1013" i="1" s="1"/>
  <c r="AN1013" i="1" s="1"/>
  <c r="Z1014" i="1"/>
  <c r="AA1014" i="1" s="1"/>
  <c r="AB1014" i="1" s="1"/>
  <c r="AN1014" i="1" s="1"/>
  <c r="Z1015" i="1"/>
  <c r="AA1015" i="1" s="1"/>
  <c r="AB1015" i="1" s="1"/>
  <c r="AN1015" i="1" s="1"/>
  <c r="Z1016" i="1"/>
  <c r="AA1016" i="1" s="1"/>
  <c r="AB1016" i="1" s="1"/>
  <c r="AN1016" i="1" s="1"/>
  <c r="Z1017" i="1"/>
  <c r="AA1017" i="1" s="1"/>
  <c r="AB1017" i="1" s="1"/>
  <c r="AN1017" i="1" s="1"/>
  <c r="Z1018" i="1"/>
  <c r="AA1018" i="1" s="1"/>
  <c r="AB1018" i="1" s="1"/>
  <c r="AN1018" i="1" s="1"/>
  <c r="Z1019" i="1"/>
  <c r="AA1019" i="1" s="1"/>
  <c r="AB1019" i="1" s="1"/>
  <c r="AN1019" i="1" s="1"/>
  <c r="Z1020" i="1"/>
  <c r="AA1020" i="1" s="1"/>
  <c r="AB1020" i="1" s="1"/>
  <c r="AN1020" i="1" s="1"/>
  <c r="Z1021" i="1"/>
  <c r="AA1021" i="1" s="1"/>
  <c r="AB1021" i="1" s="1"/>
  <c r="AN1021" i="1" s="1"/>
  <c r="Z1022" i="1"/>
  <c r="AA1022" i="1" s="1"/>
  <c r="AB1022" i="1" s="1"/>
  <c r="AN1022" i="1" s="1"/>
  <c r="Z1023" i="1"/>
  <c r="AA1023" i="1" s="1"/>
  <c r="AB1023" i="1" s="1"/>
  <c r="AN1023" i="1" s="1"/>
  <c r="Z1024" i="1"/>
  <c r="AA1024" i="1" s="1"/>
  <c r="AB1024" i="1" s="1"/>
  <c r="AN1024" i="1" s="1"/>
  <c r="Z1025" i="1"/>
  <c r="AA1025" i="1" s="1"/>
  <c r="AB1025" i="1" s="1"/>
  <c r="AN1025" i="1" s="1"/>
  <c r="Z1026" i="1"/>
  <c r="AA1026" i="1" s="1"/>
  <c r="AB1026" i="1" s="1"/>
  <c r="AN1026" i="1" s="1"/>
  <c r="Z1027" i="1"/>
  <c r="AA1027" i="1" s="1"/>
  <c r="AB1027" i="1" s="1"/>
  <c r="AN1027" i="1" s="1"/>
  <c r="Z1028" i="1"/>
  <c r="AA1028" i="1" s="1"/>
  <c r="AB1028" i="1" s="1"/>
  <c r="AN1028" i="1" s="1"/>
  <c r="Z1029" i="1"/>
  <c r="AA1029" i="1" s="1"/>
  <c r="AB1029" i="1" s="1"/>
  <c r="AN1029" i="1" s="1"/>
  <c r="Z1030" i="1"/>
  <c r="AA1030" i="1" s="1"/>
  <c r="AB1030" i="1" s="1"/>
  <c r="AN1030" i="1" s="1"/>
  <c r="Z1031" i="1"/>
  <c r="AA1031" i="1" s="1"/>
  <c r="AB1031" i="1" s="1"/>
  <c r="AN1031" i="1" s="1"/>
  <c r="Z1032" i="1"/>
  <c r="AA1032" i="1" s="1"/>
  <c r="AB1032" i="1" s="1"/>
  <c r="AN1032" i="1" s="1"/>
  <c r="Z1033" i="1"/>
  <c r="AA1033" i="1" s="1"/>
  <c r="AB1033" i="1" s="1"/>
  <c r="AN1033" i="1" s="1"/>
  <c r="Z1034" i="1"/>
  <c r="AA1034" i="1" s="1"/>
  <c r="AB1034" i="1" s="1"/>
  <c r="AN1034" i="1" s="1"/>
  <c r="Z1035" i="1"/>
  <c r="AA1035" i="1" s="1"/>
  <c r="AB1035" i="1" s="1"/>
  <c r="AN1035" i="1" s="1"/>
  <c r="Z1036" i="1"/>
  <c r="AA1036" i="1" s="1"/>
  <c r="AB1036" i="1" s="1"/>
  <c r="AN1036" i="1" s="1"/>
  <c r="Z1037" i="1"/>
  <c r="AA1037" i="1" s="1"/>
  <c r="AB1037" i="1" s="1"/>
  <c r="AN1037" i="1" s="1"/>
  <c r="Z1038" i="1"/>
  <c r="AA1038" i="1" s="1"/>
  <c r="AB1038" i="1" s="1"/>
  <c r="AN1038" i="1" s="1"/>
  <c r="Z1039" i="1"/>
  <c r="AA1039" i="1" s="1"/>
  <c r="AB1039" i="1" s="1"/>
  <c r="AN1039" i="1" s="1"/>
  <c r="Z1040" i="1"/>
  <c r="AA1040" i="1" s="1"/>
  <c r="AB1040" i="1" s="1"/>
  <c r="AN1040" i="1" s="1"/>
  <c r="Z1041" i="1"/>
  <c r="AA1041" i="1" s="1"/>
  <c r="AB1041" i="1" s="1"/>
  <c r="AN1041" i="1" s="1"/>
  <c r="Z1042" i="1"/>
  <c r="AA1042" i="1" s="1"/>
  <c r="AB1042" i="1" s="1"/>
  <c r="AN1042" i="1" s="1"/>
  <c r="Z1043" i="1"/>
  <c r="AA1043" i="1" s="1"/>
  <c r="AB1043" i="1" s="1"/>
  <c r="AN1043" i="1" s="1"/>
  <c r="Z1044" i="1"/>
  <c r="AA1044" i="1" s="1"/>
  <c r="AB1044" i="1" s="1"/>
  <c r="AN1044" i="1" s="1"/>
  <c r="Z1045" i="1"/>
  <c r="AA1045" i="1" s="1"/>
  <c r="AB1045" i="1" s="1"/>
  <c r="AN1045" i="1" s="1"/>
  <c r="Z1046" i="1"/>
  <c r="AA1046" i="1" s="1"/>
  <c r="AB1046" i="1" s="1"/>
  <c r="AN1046" i="1" s="1"/>
  <c r="Z1047" i="1"/>
  <c r="AA1047" i="1" s="1"/>
  <c r="AB1047" i="1" s="1"/>
  <c r="AN1047" i="1" s="1"/>
  <c r="Z1048" i="1"/>
  <c r="AA1048" i="1" s="1"/>
  <c r="AB1048" i="1" s="1"/>
  <c r="AN1048" i="1" s="1"/>
  <c r="Z1049" i="1"/>
  <c r="AA1049" i="1" s="1"/>
  <c r="AB1049" i="1" s="1"/>
  <c r="AN1049" i="1" s="1"/>
  <c r="Z1050" i="1"/>
  <c r="AA1050" i="1" s="1"/>
  <c r="AB1050" i="1" s="1"/>
  <c r="AN1050" i="1" s="1"/>
  <c r="Z1051" i="1"/>
  <c r="AA1051" i="1" s="1"/>
  <c r="AB1051" i="1" s="1"/>
  <c r="AN1051" i="1" s="1"/>
  <c r="Z1052" i="1"/>
  <c r="AA1052" i="1" s="1"/>
  <c r="AB1052" i="1" s="1"/>
  <c r="AN1052" i="1" s="1"/>
  <c r="Z1053" i="1"/>
  <c r="AA1053" i="1" s="1"/>
  <c r="AB1053" i="1" s="1"/>
  <c r="AN1053" i="1" s="1"/>
  <c r="Z1054" i="1"/>
  <c r="AA1054" i="1" s="1"/>
  <c r="AB1054" i="1" s="1"/>
  <c r="AN1054" i="1" s="1"/>
  <c r="Z1055" i="1"/>
  <c r="AA1055" i="1" s="1"/>
  <c r="AB1055" i="1" s="1"/>
  <c r="AN1055" i="1" s="1"/>
  <c r="Z1056" i="1"/>
  <c r="AA1056" i="1" s="1"/>
  <c r="AB1056" i="1" s="1"/>
  <c r="AN1056" i="1" s="1"/>
  <c r="Z1057" i="1"/>
  <c r="AA1057" i="1" s="1"/>
  <c r="AB1057" i="1" s="1"/>
  <c r="AN1057" i="1" s="1"/>
  <c r="Z1058" i="1"/>
  <c r="AA1058" i="1" s="1"/>
  <c r="AB1058" i="1" s="1"/>
  <c r="AN1058" i="1" s="1"/>
  <c r="Z1059" i="1"/>
  <c r="AA1059" i="1" s="1"/>
  <c r="AB1059" i="1" s="1"/>
  <c r="AN1059" i="1" s="1"/>
  <c r="Z1060" i="1"/>
  <c r="AA1060" i="1" s="1"/>
  <c r="AB1060" i="1" s="1"/>
  <c r="AN1060" i="1" s="1"/>
  <c r="Z1061" i="1"/>
  <c r="AA1061" i="1" s="1"/>
  <c r="AB1061" i="1" s="1"/>
  <c r="AN1061" i="1" s="1"/>
  <c r="Z1062" i="1"/>
  <c r="AA1062" i="1" s="1"/>
  <c r="AB1062" i="1" s="1"/>
  <c r="AN1062" i="1" s="1"/>
  <c r="Z1063" i="1"/>
  <c r="AA1063" i="1" s="1"/>
  <c r="AB1063" i="1" s="1"/>
  <c r="AN1063" i="1" s="1"/>
  <c r="Z1064" i="1"/>
  <c r="AA1064" i="1" s="1"/>
  <c r="AB1064" i="1" s="1"/>
  <c r="AN1064" i="1" s="1"/>
  <c r="Z1065" i="1"/>
  <c r="AA1065" i="1" s="1"/>
  <c r="AB1065" i="1" s="1"/>
  <c r="AN1065" i="1" s="1"/>
  <c r="Z1066" i="1"/>
  <c r="AA1066" i="1" s="1"/>
  <c r="AB1066" i="1" s="1"/>
  <c r="AN1066" i="1" s="1"/>
  <c r="Z1067" i="1"/>
  <c r="AA1067" i="1" s="1"/>
  <c r="AB1067" i="1" s="1"/>
  <c r="AN1067" i="1" s="1"/>
  <c r="Z1068" i="1"/>
  <c r="AA1068" i="1" s="1"/>
  <c r="AB1068" i="1" s="1"/>
  <c r="AN1068" i="1" s="1"/>
  <c r="Z1069" i="1"/>
  <c r="AA1069" i="1" s="1"/>
  <c r="AB1069" i="1" s="1"/>
  <c r="AN1069" i="1" s="1"/>
  <c r="Z1070" i="1"/>
  <c r="AA1070" i="1" s="1"/>
  <c r="AB1070" i="1" s="1"/>
  <c r="AN1070" i="1" s="1"/>
  <c r="Z1071" i="1"/>
  <c r="AA1071" i="1" s="1"/>
  <c r="AB1071" i="1" s="1"/>
  <c r="AN1071" i="1" s="1"/>
  <c r="Z1072" i="1"/>
  <c r="AA1072" i="1" s="1"/>
  <c r="AB1072" i="1" s="1"/>
  <c r="AN1072" i="1" s="1"/>
  <c r="Z1073" i="1"/>
  <c r="AA1073" i="1" s="1"/>
  <c r="AB1073" i="1" s="1"/>
  <c r="AN1073" i="1" s="1"/>
  <c r="Z1074" i="1"/>
  <c r="AA1074" i="1" s="1"/>
  <c r="AB1074" i="1" s="1"/>
  <c r="AN1074" i="1" s="1"/>
  <c r="Z1075" i="1"/>
  <c r="AA1075" i="1" s="1"/>
  <c r="AB1075" i="1" s="1"/>
  <c r="AN1075" i="1" s="1"/>
  <c r="Z1076" i="1"/>
  <c r="AA1076" i="1" s="1"/>
  <c r="AB1076" i="1" s="1"/>
  <c r="AN1076" i="1" s="1"/>
  <c r="Z1077" i="1"/>
  <c r="AA1077" i="1" s="1"/>
  <c r="AB1077" i="1" s="1"/>
  <c r="AN1077" i="1" s="1"/>
  <c r="Z1078" i="1"/>
  <c r="AA1078" i="1" s="1"/>
  <c r="AB1078" i="1" s="1"/>
  <c r="AN1078" i="1" s="1"/>
  <c r="Z1079" i="1"/>
  <c r="AA1079" i="1" s="1"/>
  <c r="AB1079" i="1" s="1"/>
  <c r="AN1079" i="1" s="1"/>
  <c r="Z1080" i="1"/>
  <c r="AA1080" i="1" s="1"/>
  <c r="AB1080" i="1" s="1"/>
  <c r="AN1080" i="1" s="1"/>
  <c r="Z1081" i="1"/>
  <c r="AA1081" i="1" s="1"/>
  <c r="AB1081" i="1" s="1"/>
  <c r="AN1081" i="1" s="1"/>
  <c r="Z1082" i="1"/>
  <c r="AA1082" i="1" s="1"/>
  <c r="AB1082" i="1" s="1"/>
  <c r="AN1082" i="1" s="1"/>
  <c r="Z1083" i="1"/>
  <c r="AA1083" i="1" s="1"/>
  <c r="AB1083" i="1" s="1"/>
  <c r="AN1083" i="1" s="1"/>
  <c r="Z1084" i="1"/>
  <c r="AA1084" i="1" s="1"/>
  <c r="AB1084" i="1" s="1"/>
  <c r="AN1084" i="1" s="1"/>
  <c r="Z1085" i="1"/>
  <c r="AA1085" i="1" s="1"/>
  <c r="AB1085" i="1" s="1"/>
  <c r="AN1085" i="1" s="1"/>
  <c r="Z1086" i="1"/>
  <c r="AA1086" i="1" s="1"/>
  <c r="AB1086" i="1" s="1"/>
  <c r="AN1086" i="1" s="1"/>
  <c r="Z1087" i="1"/>
  <c r="AA1087" i="1" s="1"/>
  <c r="AB1087" i="1" s="1"/>
  <c r="AN1087" i="1" s="1"/>
  <c r="Z1088" i="1"/>
  <c r="AA1088" i="1" s="1"/>
  <c r="AB1088" i="1" s="1"/>
  <c r="AN1088" i="1" s="1"/>
  <c r="Z1089" i="1"/>
  <c r="AA1089" i="1" s="1"/>
  <c r="AB1089" i="1" s="1"/>
  <c r="AN1089" i="1" s="1"/>
  <c r="Z1090" i="1"/>
  <c r="AA1090" i="1" s="1"/>
  <c r="AB1090" i="1" s="1"/>
  <c r="AN1090" i="1" s="1"/>
  <c r="Z1091" i="1"/>
  <c r="AA1091" i="1" s="1"/>
  <c r="AB1091" i="1" s="1"/>
  <c r="AN1091" i="1" s="1"/>
  <c r="Z1092" i="1"/>
  <c r="AA1092" i="1" s="1"/>
  <c r="AB1092" i="1" s="1"/>
  <c r="AN1092" i="1" s="1"/>
  <c r="Z1093" i="1"/>
  <c r="AA1093" i="1" s="1"/>
  <c r="AB1093" i="1" s="1"/>
  <c r="AN1093" i="1" s="1"/>
  <c r="Z1094" i="1"/>
  <c r="AA1094" i="1" s="1"/>
  <c r="AB1094" i="1" s="1"/>
  <c r="AN1094" i="1" s="1"/>
  <c r="Z1095" i="1"/>
  <c r="AA1095" i="1" s="1"/>
  <c r="AB1095" i="1" s="1"/>
  <c r="AN1095" i="1" s="1"/>
  <c r="Z1096" i="1"/>
  <c r="AA1096" i="1" s="1"/>
  <c r="AB1096" i="1" s="1"/>
  <c r="AN1096" i="1" s="1"/>
  <c r="Z1097" i="1"/>
  <c r="AA1097" i="1" s="1"/>
  <c r="AB1097" i="1" s="1"/>
  <c r="AN1097" i="1" s="1"/>
  <c r="Z1098" i="1"/>
  <c r="AA1098" i="1" s="1"/>
  <c r="AB1098" i="1" s="1"/>
  <c r="AN1098" i="1" s="1"/>
  <c r="Z1099" i="1"/>
  <c r="AA1099" i="1" s="1"/>
  <c r="AB1099" i="1" s="1"/>
  <c r="AN1099" i="1" s="1"/>
  <c r="Z1100" i="1"/>
  <c r="AA1100" i="1" s="1"/>
  <c r="AB1100" i="1" s="1"/>
  <c r="AN1100" i="1" s="1"/>
  <c r="Z1101" i="1"/>
  <c r="AA1101" i="1" s="1"/>
  <c r="AB1101" i="1" s="1"/>
  <c r="AN1101" i="1" s="1"/>
  <c r="Z1102" i="1"/>
  <c r="AA1102" i="1" s="1"/>
  <c r="AB1102" i="1" s="1"/>
  <c r="AN1102" i="1" s="1"/>
  <c r="Z1103" i="1"/>
  <c r="AA1103" i="1" s="1"/>
  <c r="AB1103" i="1" s="1"/>
  <c r="AN1103" i="1" s="1"/>
  <c r="Z1104" i="1"/>
  <c r="AA1104" i="1" s="1"/>
  <c r="AB1104" i="1" s="1"/>
  <c r="AN1104" i="1" s="1"/>
  <c r="Z1105" i="1"/>
  <c r="AA1105" i="1" s="1"/>
  <c r="AB1105" i="1" s="1"/>
  <c r="AN1105" i="1" s="1"/>
  <c r="Z1106" i="1"/>
  <c r="AA1106" i="1" s="1"/>
  <c r="AB1106" i="1" s="1"/>
  <c r="AN1106" i="1" s="1"/>
  <c r="Z1107" i="1"/>
  <c r="AA1107" i="1" s="1"/>
  <c r="AB1107" i="1" s="1"/>
  <c r="AN1107" i="1" s="1"/>
  <c r="Z1108" i="1"/>
  <c r="AA1108" i="1" s="1"/>
  <c r="AB1108" i="1" s="1"/>
  <c r="AN1108" i="1" s="1"/>
  <c r="Z1109" i="1"/>
  <c r="AA1109" i="1" s="1"/>
  <c r="AB1109" i="1" s="1"/>
  <c r="AN1109" i="1" s="1"/>
  <c r="Z1110" i="1"/>
  <c r="AA1110" i="1" s="1"/>
  <c r="AB1110" i="1" s="1"/>
  <c r="AN1110" i="1" s="1"/>
  <c r="Z1111" i="1"/>
  <c r="AA1111" i="1" s="1"/>
  <c r="AB1111" i="1" s="1"/>
  <c r="AN1111" i="1" s="1"/>
  <c r="Z1112" i="1"/>
  <c r="AA1112" i="1" s="1"/>
  <c r="AB1112" i="1" s="1"/>
  <c r="AN1112" i="1" s="1"/>
  <c r="Z1113" i="1"/>
  <c r="AA1113" i="1" s="1"/>
  <c r="AB1113" i="1" s="1"/>
  <c r="AN1113" i="1" s="1"/>
  <c r="Z1114" i="1"/>
  <c r="AA1114" i="1" s="1"/>
  <c r="AB1114" i="1" s="1"/>
  <c r="AN1114" i="1" s="1"/>
  <c r="Z1115" i="1"/>
  <c r="AA1115" i="1" s="1"/>
  <c r="AB1115" i="1" s="1"/>
  <c r="AN1115" i="1" s="1"/>
  <c r="Z1116" i="1"/>
  <c r="AA1116" i="1" s="1"/>
  <c r="AB1116" i="1" s="1"/>
  <c r="AN1116" i="1" s="1"/>
  <c r="Z1117" i="1"/>
  <c r="AA1117" i="1" s="1"/>
  <c r="AB1117" i="1" s="1"/>
  <c r="AN1117" i="1" s="1"/>
  <c r="Z1118" i="1"/>
  <c r="AA1118" i="1" s="1"/>
  <c r="AB1118" i="1" s="1"/>
  <c r="AN1118" i="1" s="1"/>
  <c r="Z1119" i="1"/>
  <c r="AA1119" i="1" s="1"/>
  <c r="AB1119" i="1" s="1"/>
  <c r="AN1119" i="1" s="1"/>
  <c r="Z1120" i="1"/>
  <c r="AA1120" i="1" s="1"/>
  <c r="AB1120" i="1" s="1"/>
  <c r="AN1120" i="1" s="1"/>
  <c r="Z1121" i="1"/>
  <c r="AA1121" i="1" s="1"/>
  <c r="AB1121" i="1" s="1"/>
  <c r="AN1121" i="1" s="1"/>
  <c r="Z1122" i="1"/>
  <c r="AA1122" i="1" s="1"/>
  <c r="AB1122" i="1" s="1"/>
  <c r="AN1122" i="1" s="1"/>
  <c r="Z1123" i="1"/>
  <c r="AA1123" i="1" s="1"/>
  <c r="AB1123" i="1" s="1"/>
  <c r="AN1123" i="1" s="1"/>
  <c r="Z1124" i="1"/>
  <c r="AA1124" i="1" s="1"/>
  <c r="AB1124" i="1" s="1"/>
  <c r="AN1124" i="1" s="1"/>
  <c r="Z1125" i="1"/>
  <c r="AA1125" i="1" s="1"/>
  <c r="AB1125" i="1" s="1"/>
  <c r="AN1125" i="1" s="1"/>
  <c r="Z1126" i="1"/>
  <c r="AA1126" i="1" s="1"/>
  <c r="AB1126" i="1" s="1"/>
  <c r="AN1126" i="1" s="1"/>
  <c r="Z1127" i="1"/>
  <c r="AA1127" i="1" s="1"/>
  <c r="AB1127" i="1" s="1"/>
  <c r="AN1127" i="1" s="1"/>
  <c r="Z1128" i="1"/>
  <c r="AA1128" i="1" s="1"/>
  <c r="AB1128" i="1" s="1"/>
  <c r="AN1128" i="1" s="1"/>
  <c r="Z1129" i="1"/>
  <c r="AA1129" i="1" s="1"/>
  <c r="AB1129" i="1" s="1"/>
  <c r="AN1129" i="1" s="1"/>
  <c r="Z1130" i="1"/>
  <c r="AA1130" i="1" s="1"/>
  <c r="AB1130" i="1" s="1"/>
  <c r="AN1130" i="1" s="1"/>
  <c r="Z1131" i="1"/>
  <c r="AA1131" i="1" s="1"/>
  <c r="AB1131" i="1" s="1"/>
  <c r="AN1131" i="1" s="1"/>
  <c r="Z1132" i="1"/>
  <c r="AA1132" i="1" s="1"/>
  <c r="AB1132" i="1" s="1"/>
  <c r="AN1132" i="1" s="1"/>
  <c r="Z1133" i="1"/>
  <c r="AA1133" i="1" s="1"/>
  <c r="AB1133" i="1" s="1"/>
  <c r="AN1133" i="1" s="1"/>
  <c r="Z1134" i="1"/>
  <c r="AA1134" i="1" s="1"/>
  <c r="AB1134" i="1" s="1"/>
  <c r="AN1134" i="1" s="1"/>
  <c r="Z1135" i="1"/>
  <c r="AA1135" i="1" s="1"/>
  <c r="AB1135" i="1" s="1"/>
  <c r="AN1135" i="1" s="1"/>
  <c r="Z1136" i="1"/>
  <c r="AA1136" i="1" s="1"/>
  <c r="AB1136" i="1" s="1"/>
  <c r="AN1136" i="1" s="1"/>
  <c r="Z1137" i="1"/>
  <c r="AA1137" i="1" s="1"/>
  <c r="AB1137" i="1" s="1"/>
  <c r="AN1137" i="1" s="1"/>
  <c r="Z1138" i="1"/>
  <c r="AA1138" i="1" s="1"/>
  <c r="AB1138" i="1" s="1"/>
  <c r="AN1138" i="1" s="1"/>
  <c r="Z1139" i="1"/>
  <c r="AA1139" i="1" s="1"/>
  <c r="AB1139" i="1" s="1"/>
  <c r="AN1139" i="1" s="1"/>
  <c r="Z1140" i="1"/>
  <c r="AA1140" i="1" s="1"/>
  <c r="AB1140" i="1" s="1"/>
  <c r="AN1140" i="1" s="1"/>
  <c r="Z1141" i="1"/>
  <c r="AA1141" i="1" s="1"/>
  <c r="AB1141" i="1" s="1"/>
  <c r="AN1141" i="1" s="1"/>
  <c r="Z1142" i="1"/>
  <c r="AA1142" i="1" s="1"/>
  <c r="AB1142" i="1" s="1"/>
  <c r="AN1142" i="1" s="1"/>
  <c r="Z1143" i="1"/>
  <c r="AA1143" i="1" s="1"/>
  <c r="AB1143" i="1" s="1"/>
  <c r="AN1143" i="1" s="1"/>
  <c r="Z1144" i="1"/>
  <c r="AA1144" i="1" s="1"/>
  <c r="AB1144" i="1" s="1"/>
  <c r="AN1144" i="1" s="1"/>
  <c r="Z1145" i="1"/>
  <c r="AA1145" i="1" s="1"/>
  <c r="AB1145" i="1" s="1"/>
  <c r="AN1145" i="1" s="1"/>
  <c r="Z1146" i="1"/>
  <c r="AA1146" i="1" s="1"/>
  <c r="AB1146" i="1" s="1"/>
  <c r="AN1146" i="1" s="1"/>
  <c r="Z1147" i="1"/>
  <c r="AA1147" i="1" s="1"/>
  <c r="AB1147" i="1" s="1"/>
  <c r="AN1147" i="1" s="1"/>
  <c r="Z1148" i="1"/>
  <c r="AA1148" i="1" s="1"/>
  <c r="AB1148" i="1" s="1"/>
  <c r="AN1148" i="1" s="1"/>
  <c r="Z1149" i="1"/>
  <c r="AA1149" i="1" s="1"/>
  <c r="AB1149" i="1" s="1"/>
  <c r="AN1149" i="1" s="1"/>
  <c r="Z1150" i="1"/>
  <c r="AA1150" i="1" s="1"/>
  <c r="AB1150" i="1" s="1"/>
  <c r="AN1150" i="1" s="1"/>
  <c r="Z1151" i="1"/>
  <c r="AA1151" i="1" s="1"/>
  <c r="AB1151" i="1" s="1"/>
  <c r="AN1151" i="1" s="1"/>
  <c r="Z1152" i="1"/>
  <c r="AA1152" i="1" s="1"/>
  <c r="AB1152" i="1" s="1"/>
  <c r="AN1152" i="1" s="1"/>
  <c r="Z1153" i="1"/>
  <c r="AA1153" i="1" s="1"/>
  <c r="AB1153" i="1" s="1"/>
  <c r="AN1153" i="1" s="1"/>
  <c r="Z1154" i="1"/>
  <c r="AA1154" i="1" s="1"/>
  <c r="AB1154" i="1" s="1"/>
  <c r="AN1154" i="1" s="1"/>
  <c r="Z1155" i="1"/>
  <c r="AA1155" i="1" s="1"/>
  <c r="AB1155" i="1" s="1"/>
  <c r="AN1155" i="1" s="1"/>
  <c r="Z1156" i="1"/>
  <c r="AA1156" i="1" s="1"/>
  <c r="AB1156" i="1" s="1"/>
  <c r="AN1156" i="1" s="1"/>
  <c r="Z1157" i="1"/>
  <c r="AA1157" i="1" s="1"/>
  <c r="AB1157" i="1" s="1"/>
  <c r="AN1157" i="1" s="1"/>
  <c r="Z1158" i="1"/>
  <c r="AA1158" i="1" s="1"/>
  <c r="AB1158" i="1" s="1"/>
  <c r="AN1158" i="1" s="1"/>
  <c r="Z1159" i="1"/>
  <c r="AA1159" i="1" s="1"/>
  <c r="AB1159" i="1" s="1"/>
  <c r="AN1159" i="1" s="1"/>
  <c r="Z1160" i="1"/>
  <c r="AA1160" i="1" s="1"/>
  <c r="AB1160" i="1" s="1"/>
  <c r="AN1160" i="1" s="1"/>
  <c r="Z1161" i="1"/>
  <c r="AA1161" i="1" s="1"/>
  <c r="AB1161" i="1" s="1"/>
  <c r="AN1161" i="1" s="1"/>
  <c r="Z1162" i="1"/>
  <c r="AA1162" i="1" s="1"/>
  <c r="AB1162" i="1" s="1"/>
  <c r="AN1162" i="1" s="1"/>
  <c r="Z1163" i="1"/>
  <c r="AA1163" i="1" s="1"/>
  <c r="AB1163" i="1" s="1"/>
  <c r="AN1163" i="1" s="1"/>
  <c r="Z1164" i="1"/>
  <c r="AA1164" i="1" s="1"/>
  <c r="AB1164" i="1" s="1"/>
  <c r="AN1164" i="1" s="1"/>
  <c r="Z1165" i="1"/>
  <c r="AA1165" i="1" s="1"/>
  <c r="AB1165" i="1" s="1"/>
  <c r="AN1165" i="1" s="1"/>
  <c r="Z1166" i="1"/>
  <c r="AA1166" i="1" s="1"/>
  <c r="AB1166" i="1" s="1"/>
  <c r="AN1166" i="1" s="1"/>
  <c r="Z1167" i="1"/>
  <c r="AA1167" i="1" s="1"/>
  <c r="AB1167" i="1" s="1"/>
  <c r="AN1167" i="1" s="1"/>
  <c r="Z1168" i="1"/>
  <c r="AA1168" i="1" s="1"/>
  <c r="AB1168" i="1" s="1"/>
  <c r="AN1168" i="1" s="1"/>
  <c r="Z1169" i="1"/>
  <c r="AA1169" i="1" s="1"/>
  <c r="AB1169" i="1" s="1"/>
  <c r="AN1169" i="1" s="1"/>
  <c r="Z1170" i="1"/>
  <c r="AA1170" i="1" s="1"/>
  <c r="AB1170" i="1" s="1"/>
  <c r="AN1170" i="1" s="1"/>
  <c r="Z1171" i="1"/>
  <c r="AA1171" i="1" s="1"/>
  <c r="AB1171" i="1" s="1"/>
  <c r="AN1171" i="1" s="1"/>
  <c r="Z1172" i="1"/>
  <c r="AA1172" i="1" s="1"/>
  <c r="AB1172" i="1" s="1"/>
  <c r="AN1172" i="1" s="1"/>
  <c r="Z1173" i="1"/>
  <c r="AA1173" i="1" s="1"/>
  <c r="AB1173" i="1" s="1"/>
  <c r="AN1173" i="1" s="1"/>
  <c r="Z1174" i="1"/>
  <c r="AA1174" i="1" s="1"/>
  <c r="AB1174" i="1" s="1"/>
  <c r="AN1174" i="1" s="1"/>
  <c r="Z1175" i="1"/>
  <c r="AA1175" i="1" s="1"/>
  <c r="AB1175" i="1" s="1"/>
  <c r="AN1175" i="1" s="1"/>
  <c r="Z1176" i="1"/>
  <c r="AA1176" i="1" s="1"/>
  <c r="AB1176" i="1" s="1"/>
  <c r="AN1176" i="1" s="1"/>
  <c r="Z1177" i="1"/>
  <c r="AA1177" i="1" s="1"/>
  <c r="AB1177" i="1" s="1"/>
  <c r="AN1177" i="1" s="1"/>
  <c r="Z1178" i="1"/>
  <c r="AA1178" i="1" s="1"/>
  <c r="AB1178" i="1" s="1"/>
  <c r="AN1178" i="1" s="1"/>
  <c r="Z1179" i="1"/>
  <c r="AA1179" i="1" s="1"/>
  <c r="AB1179" i="1" s="1"/>
  <c r="AN1179" i="1" s="1"/>
  <c r="Z1180" i="1"/>
  <c r="AA1180" i="1" s="1"/>
  <c r="AB1180" i="1" s="1"/>
  <c r="AN1180" i="1" s="1"/>
  <c r="Z1181" i="1"/>
  <c r="AA1181" i="1" s="1"/>
  <c r="AB1181" i="1" s="1"/>
  <c r="AN1181" i="1" s="1"/>
  <c r="Z1182" i="1"/>
  <c r="AA1182" i="1" s="1"/>
  <c r="AB1182" i="1" s="1"/>
  <c r="AN1182" i="1" s="1"/>
  <c r="Z1183" i="1"/>
  <c r="AA1183" i="1" s="1"/>
  <c r="AB1183" i="1" s="1"/>
  <c r="AN1183" i="1" s="1"/>
  <c r="Z1184" i="1"/>
  <c r="AA1184" i="1" s="1"/>
  <c r="AB1184" i="1" s="1"/>
  <c r="AN1184" i="1" s="1"/>
  <c r="Z1185" i="1"/>
  <c r="AA1185" i="1" s="1"/>
  <c r="AB1185" i="1" s="1"/>
  <c r="AN1185" i="1" s="1"/>
  <c r="Z1186" i="1"/>
  <c r="AA1186" i="1" s="1"/>
  <c r="AB1186" i="1" s="1"/>
  <c r="AN1186" i="1" s="1"/>
  <c r="Z1187" i="1"/>
  <c r="AA1187" i="1" s="1"/>
  <c r="AB1187" i="1" s="1"/>
  <c r="AN1187" i="1" s="1"/>
  <c r="Z1188" i="1"/>
  <c r="AA1188" i="1" s="1"/>
  <c r="AB1188" i="1" s="1"/>
  <c r="AN1188" i="1" s="1"/>
  <c r="Z1189" i="1"/>
  <c r="AA1189" i="1" s="1"/>
  <c r="AB1189" i="1" s="1"/>
  <c r="AN1189" i="1" s="1"/>
  <c r="Z1190" i="1"/>
  <c r="AA1190" i="1" s="1"/>
  <c r="AB1190" i="1" s="1"/>
  <c r="AN1190" i="1" s="1"/>
  <c r="Z1191" i="1"/>
  <c r="AA1191" i="1" s="1"/>
  <c r="AB1191" i="1" s="1"/>
  <c r="AN1191" i="1" s="1"/>
  <c r="Z1192" i="1"/>
  <c r="AA1192" i="1" s="1"/>
  <c r="AB1192" i="1" s="1"/>
  <c r="AN1192" i="1" s="1"/>
  <c r="Z1193" i="1"/>
  <c r="AA1193" i="1" s="1"/>
  <c r="AB1193" i="1" s="1"/>
  <c r="AN1193" i="1" s="1"/>
  <c r="Z1194" i="1"/>
  <c r="AA1194" i="1" s="1"/>
  <c r="AB1194" i="1" s="1"/>
  <c r="AN1194" i="1" s="1"/>
  <c r="Z1195" i="1"/>
  <c r="AA1195" i="1" s="1"/>
  <c r="AB1195" i="1" s="1"/>
  <c r="AN1195" i="1" s="1"/>
  <c r="Z1196" i="1"/>
  <c r="AA1196" i="1" s="1"/>
  <c r="AB1196" i="1" s="1"/>
  <c r="AN1196" i="1" s="1"/>
  <c r="Z1197" i="1"/>
  <c r="AA1197" i="1" s="1"/>
  <c r="AB1197" i="1" s="1"/>
  <c r="AN1197" i="1" s="1"/>
  <c r="Z1198" i="1"/>
  <c r="AA1198" i="1" s="1"/>
  <c r="AB1198" i="1" s="1"/>
  <c r="AN1198" i="1" s="1"/>
  <c r="Z1199" i="1"/>
  <c r="AA1199" i="1" s="1"/>
  <c r="AB1199" i="1" s="1"/>
  <c r="AN1199" i="1" s="1"/>
  <c r="Z1200" i="1"/>
  <c r="AA1200" i="1" s="1"/>
  <c r="AB1200" i="1" s="1"/>
  <c r="AN1200" i="1" s="1"/>
  <c r="Z1201" i="1"/>
  <c r="AA1201" i="1" s="1"/>
  <c r="AB1201" i="1" s="1"/>
  <c r="AN1201" i="1" s="1"/>
  <c r="Z1202" i="1"/>
  <c r="AA1202" i="1" s="1"/>
  <c r="AB1202" i="1" s="1"/>
  <c r="AN1202" i="1" s="1"/>
  <c r="Z1203" i="1"/>
  <c r="AA1203" i="1" s="1"/>
  <c r="AB1203" i="1" s="1"/>
  <c r="AN1203" i="1" s="1"/>
  <c r="Z1204" i="1"/>
  <c r="AA1204" i="1" s="1"/>
  <c r="AB1204" i="1" s="1"/>
  <c r="AN1204" i="1" s="1"/>
  <c r="Z1205" i="1"/>
  <c r="AA1205" i="1" s="1"/>
  <c r="AB1205" i="1" s="1"/>
  <c r="AN1205" i="1" s="1"/>
  <c r="Z1206" i="1"/>
  <c r="AA1206" i="1" s="1"/>
  <c r="AB1206" i="1" s="1"/>
  <c r="AN1206" i="1" s="1"/>
  <c r="Z1207" i="1"/>
  <c r="AA1207" i="1" s="1"/>
  <c r="AB1207" i="1" s="1"/>
  <c r="AN1207" i="1" s="1"/>
  <c r="Z1208" i="1"/>
  <c r="AA1208" i="1" s="1"/>
  <c r="AB1208" i="1" s="1"/>
  <c r="AN1208" i="1" s="1"/>
  <c r="Z1209" i="1"/>
  <c r="AA1209" i="1" s="1"/>
  <c r="AB1209" i="1" s="1"/>
  <c r="AN1209" i="1" s="1"/>
  <c r="Z1210" i="1"/>
  <c r="AA1210" i="1" s="1"/>
  <c r="AB1210" i="1" s="1"/>
  <c r="AN1210" i="1" s="1"/>
  <c r="Z1211" i="1"/>
  <c r="AA1211" i="1" s="1"/>
  <c r="AB1211" i="1" s="1"/>
  <c r="AN1211" i="1" s="1"/>
  <c r="Z1212" i="1"/>
  <c r="AA1212" i="1" s="1"/>
  <c r="AB1212" i="1" s="1"/>
  <c r="AN1212" i="1" s="1"/>
  <c r="Z1213" i="1"/>
  <c r="AA1213" i="1" s="1"/>
  <c r="AB1213" i="1" s="1"/>
  <c r="AN1213" i="1" s="1"/>
  <c r="Z1214" i="1"/>
  <c r="AA1214" i="1" s="1"/>
  <c r="AB1214" i="1" s="1"/>
  <c r="AN1214" i="1" s="1"/>
  <c r="Z1215" i="1"/>
  <c r="AA1215" i="1" s="1"/>
  <c r="AB1215" i="1" s="1"/>
  <c r="AN1215" i="1" s="1"/>
  <c r="Z1216" i="1"/>
  <c r="AA1216" i="1" s="1"/>
  <c r="AB1216" i="1" s="1"/>
  <c r="AN1216" i="1" s="1"/>
  <c r="Z1217" i="1"/>
  <c r="AA1217" i="1" s="1"/>
  <c r="AB1217" i="1" s="1"/>
  <c r="AN1217" i="1" s="1"/>
  <c r="Z1218" i="1"/>
  <c r="AA1218" i="1" s="1"/>
  <c r="AB1218" i="1" s="1"/>
  <c r="AN1218" i="1" s="1"/>
  <c r="Z1219" i="1"/>
  <c r="AA1219" i="1" s="1"/>
  <c r="AB1219" i="1" s="1"/>
  <c r="AN1219" i="1" s="1"/>
  <c r="Z1220" i="1"/>
  <c r="AA1220" i="1" s="1"/>
  <c r="AB1220" i="1" s="1"/>
  <c r="AN1220" i="1" s="1"/>
  <c r="Z1221" i="1"/>
  <c r="AA1221" i="1" s="1"/>
  <c r="AB1221" i="1" s="1"/>
  <c r="AN1221" i="1" s="1"/>
  <c r="Z1222" i="1"/>
  <c r="AA1222" i="1" s="1"/>
  <c r="AB1222" i="1" s="1"/>
  <c r="AN1222" i="1" s="1"/>
  <c r="Z1223" i="1"/>
  <c r="AA1223" i="1" s="1"/>
  <c r="AB1223" i="1" s="1"/>
  <c r="AN1223" i="1" s="1"/>
  <c r="Z1224" i="1"/>
  <c r="AA1224" i="1" s="1"/>
  <c r="AB1224" i="1" s="1"/>
  <c r="AN1224" i="1" s="1"/>
  <c r="Z1225" i="1"/>
  <c r="AA1225" i="1" s="1"/>
  <c r="AB1225" i="1" s="1"/>
  <c r="AN1225" i="1" s="1"/>
  <c r="Z1226" i="1"/>
  <c r="AA1226" i="1" s="1"/>
  <c r="AB1226" i="1" s="1"/>
  <c r="AN1226" i="1" s="1"/>
  <c r="Z1227" i="1"/>
  <c r="AA1227" i="1" s="1"/>
  <c r="AB1227" i="1" s="1"/>
  <c r="AN1227" i="1" s="1"/>
  <c r="Z1228" i="1"/>
  <c r="AA1228" i="1" s="1"/>
  <c r="AB1228" i="1" s="1"/>
  <c r="AN1228" i="1" s="1"/>
  <c r="Z1229" i="1"/>
  <c r="AA1229" i="1" s="1"/>
  <c r="AB1229" i="1" s="1"/>
  <c r="AN1229" i="1" s="1"/>
  <c r="Z1230" i="1"/>
  <c r="AA1230" i="1" s="1"/>
  <c r="AB1230" i="1" s="1"/>
  <c r="AN1230" i="1" s="1"/>
  <c r="Z1231" i="1"/>
  <c r="AA1231" i="1" s="1"/>
  <c r="AB1231" i="1" s="1"/>
  <c r="AN1231" i="1" s="1"/>
  <c r="Z1232" i="1"/>
  <c r="AA1232" i="1" s="1"/>
  <c r="AB1232" i="1" s="1"/>
  <c r="AN1232" i="1" s="1"/>
  <c r="Z1233" i="1"/>
  <c r="AA1233" i="1" s="1"/>
  <c r="AB1233" i="1" s="1"/>
  <c r="AN1233" i="1" s="1"/>
  <c r="Z1234" i="1"/>
  <c r="AA1234" i="1" s="1"/>
  <c r="AB1234" i="1" s="1"/>
  <c r="AN1234" i="1" s="1"/>
  <c r="Z1235" i="1"/>
  <c r="AA1235" i="1" s="1"/>
  <c r="AB1235" i="1" s="1"/>
  <c r="AN1235" i="1" s="1"/>
  <c r="Z1236" i="1"/>
  <c r="AA1236" i="1" s="1"/>
  <c r="AB1236" i="1" s="1"/>
  <c r="AN1236" i="1" s="1"/>
  <c r="Z1237" i="1"/>
  <c r="AA1237" i="1" s="1"/>
  <c r="AB1237" i="1" s="1"/>
  <c r="AN1237" i="1" s="1"/>
  <c r="Z1238" i="1"/>
  <c r="AA1238" i="1" s="1"/>
  <c r="AB1238" i="1" s="1"/>
  <c r="AN1238" i="1" s="1"/>
  <c r="Z1239" i="1"/>
  <c r="AA1239" i="1" s="1"/>
  <c r="AB1239" i="1" s="1"/>
  <c r="AN1239" i="1" s="1"/>
  <c r="Z1240" i="1"/>
  <c r="AA1240" i="1" s="1"/>
  <c r="AB1240" i="1" s="1"/>
  <c r="AN1240" i="1" s="1"/>
  <c r="Z1241" i="1"/>
  <c r="AA1241" i="1" s="1"/>
  <c r="AB1241" i="1" s="1"/>
  <c r="AN1241" i="1" s="1"/>
  <c r="Z1242" i="1"/>
  <c r="AA1242" i="1" s="1"/>
  <c r="AB1242" i="1" s="1"/>
  <c r="AN1242" i="1" s="1"/>
  <c r="Z1243" i="1"/>
  <c r="AA1243" i="1" s="1"/>
  <c r="AB1243" i="1" s="1"/>
  <c r="AN1243" i="1" s="1"/>
  <c r="Z1244" i="1"/>
  <c r="AA1244" i="1" s="1"/>
  <c r="AB1244" i="1" s="1"/>
  <c r="AN1244" i="1" s="1"/>
  <c r="Z1245" i="1"/>
  <c r="AA1245" i="1" s="1"/>
  <c r="AB1245" i="1" s="1"/>
  <c r="AN1245" i="1" s="1"/>
  <c r="Z1246" i="1"/>
  <c r="AA1246" i="1" s="1"/>
  <c r="AB1246" i="1" s="1"/>
  <c r="AN1246" i="1" s="1"/>
  <c r="Z1247" i="1"/>
  <c r="AA1247" i="1" s="1"/>
  <c r="AB1247" i="1" s="1"/>
  <c r="AN1247" i="1" s="1"/>
  <c r="Z1248" i="1"/>
  <c r="AA1248" i="1" s="1"/>
  <c r="AB1248" i="1" s="1"/>
  <c r="AN1248" i="1" s="1"/>
  <c r="Z1249" i="1"/>
  <c r="AA1249" i="1" s="1"/>
  <c r="AB1249" i="1" s="1"/>
  <c r="AN1249" i="1" s="1"/>
  <c r="Z1250" i="1"/>
  <c r="AA1250" i="1" s="1"/>
  <c r="AB1250" i="1" s="1"/>
  <c r="AN1250" i="1" s="1"/>
  <c r="Z1251" i="1"/>
  <c r="AA1251" i="1" s="1"/>
  <c r="AB1251" i="1" s="1"/>
  <c r="AN1251" i="1" s="1"/>
  <c r="Z1252" i="1"/>
  <c r="AA1252" i="1" s="1"/>
  <c r="AB1252" i="1" s="1"/>
  <c r="AN1252" i="1" s="1"/>
  <c r="Z1253" i="1"/>
  <c r="AA1253" i="1" s="1"/>
  <c r="AB1253" i="1" s="1"/>
  <c r="AN1253" i="1" s="1"/>
  <c r="Z1254" i="1"/>
  <c r="AA1254" i="1" s="1"/>
  <c r="AB1254" i="1" s="1"/>
  <c r="AN1254" i="1" s="1"/>
  <c r="Z1255" i="1"/>
  <c r="AA1255" i="1" s="1"/>
  <c r="AB1255" i="1" s="1"/>
  <c r="AN1255" i="1" s="1"/>
  <c r="Z1256" i="1"/>
  <c r="AA1256" i="1" s="1"/>
  <c r="AB1256" i="1" s="1"/>
  <c r="AN1256" i="1" s="1"/>
  <c r="Z1257" i="1"/>
  <c r="AA1257" i="1" s="1"/>
  <c r="AB1257" i="1" s="1"/>
  <c r="AN1257" i="1" s="1"/>
  <c r="Z1258" i="1"/>
  <c r="AA1258" i="1" s="1"/>
  <c r="AB1258" i="1" s="1"/>
  <c r="AN1258" i="1" s="1"/>
  <c r="Z1259" i="1"/>
  <c r="AA1259" i="1" s="1"/>
  <c r="AB1259" i="1" s="1"/>
  <c r="AN1259" i="1" s="1"/>
  <c r="Z1260" i="1"/>
  <c r="AA1260" i="1" s="1"/>
  <c r="AB1260" i="1" s="1"/>
  <c r="AN1260" i="1" s="1"/>
  <c r="Z1261" i="1"/>
  <c r="AA1261" i="1" s="1"/>
  <c r="AB1261" i="1" s="1"/>
  <c r="AN1261" i="1" s="1"/>
  <c r="Z1262" i="1"/>
  <c r="AA1262" i="1" s="1"/>
  <c r="AB1262" i="1" s="1"/>
  <c r="AN1262" i="1" s="1"/>
  <c r="Z1263" i="1"/>
  <c r="AA1263" i="1" s="1"/>
  <c r="AB1263" i="1" s="1"/>
  <c r="AN1263" i="1" s="1"/>
  <c r="Z1264" i="1"/>
  <c r="AA1264" i="1" s="1"/>
  <c r="AB1264" i="1" s="1"/>
  <c r="AN1264" i="1" s="1"/>
  <c r="Z1265" i="1"/>
  <c r="AA1265" i="1" s="1"/>
  <c r="AB1265" i="1" s="1"/>
  <c r="AN1265" i="1" s="1"/>
  <c r="Z1266" i="1"/>
  <c r="AA1266" i="1" s="1"/>
  <c r="AB1266" i="1" s="1"/>
  <c r="AN1266" i="1" s="1"/>
  <c r="Z1267" i="1"/>
  <c r="AA1267" i="1" s="1"/>
  <c r="AB1267" i="1" s="1"/>
  <c r="AN1267" i="1" s="1"/>
  <c r="Z1268" i="1"/>
  <c r="AA1268" i="1" s="1"/>
  <c r="AB1268" i="1" s="1"/>
  <c r="AN1268" i="1" s="1"/>
  <c r="Z1269" i="1"/>
  <c r="AA1269" i="1" s="1"/>
  <c r="AB1269" i="1" s="1"/>
  <c r="AN1269" i="1" s="1"/>
  <c r="Z1270" i="1"/>
  <c r="AA1270" i="1" s="1"/>
  <c r="AB1270" i="1" s="1"/>
  <c r="AN1270" i="1" s="1"/>
  <c r="Z1271" i="1"/>
  <c r="AA1271" i="1" s="1"/>
  <c r="AB1271" i="1" s="1"/>
  <c r="AN1271" i="1" s="1"/>
  <c r="Z1272" i="1"/>
  <c r="AA1272" i="1" s="1"/>
  <c r="AB1272" i="1" s="1"/>
  <c r="AN1272" i="1" s="1"/>
  <c r="Z1273" i="1"/>
  <c r="AA1273" i="1" s="1"/>
  <c r="AB1273" i="1" s="1"/>
  <c r="AN1273" i="1" s="1"/>
  <c r="Z1274" i="1"/>
  <c r="AA1274" i="1" s="1"/>
  <c r="AB1274" i="1" s="1"/>
  <c r="AN1274" i="1" s="1"/>
  <c r="Z1275" i="1"/>
  <c r="AA1275" i="1" s="1"/>
  <c r="AB1275" i="1" s="1"/>
  <c r="AN1275" i="1" s="1"/>
  <c r="Z1276" i="1"/>
  <c r="AA1276" i="1" s="1"/>
  <c r="AB1276" i="1" s="1"/>
  <c r="AN1276" i="1" s="1"/>
  <c r="Z1277" i="1"/>
  <c r="AA1277" i="1" s="1"/>
  <c r="AB1277" i="1" s="1"/>
  <c r="AN1277" i="1" s="1"/>
  <c r="Z1278" i="1"/>
  <c r="AA1278" i="1" s="1"/>
  <c r="AB1278" i="1" s="1"/>
  <c r="AN1278" i="1" s="1"/>
  <c r="Z1279" i="1"/>
  <c r="AA1279" i="1" s="1"/>
  <c r="AB1279" i="1" s="1"/>
  <c r="AN1279" i="1" s="1"/>
  <c r="Z1280" i="1"/>
  <c r="AA1280" i="1" s="1"/>
  <c r="AB1280" i="1" s="1"/>
  <c r="AN1280" i="1" s="1"/>
  <c r="Z1281" i="1"/>
  <c r="AA1281" i="1" s="1"/>
  <c r="AB1281" i="1" s="1"/>
  <c r="AN1281" i="1" s="1"/>
  <c r="Z1282" i="1"/>
  <c r="AA1282" i="1" s="1"/>
  <c r="AB1282" i="1" s="1"/>
  <c r="AN1282" i="1" s="1"/>
  <c r="Z1283" i="1"/>
  <c r="AA1283" i="1" s="1"/>
  <c r="AB1283" i="1" s="1"/>
  <c r="AN1283" i="1" s="1"/>
  <c r="Z1284" i="1"/>
  <c r="AA1284" i="1" s="1"/>
  <c r="AB1284" i="1" s="1"/>
  <c r="AN1284" i="1" s="1"/>
  <c r="Z1285" i="1"/>
  <c r="AA1285" i="1" s="1"/>
  <c r="AB1285" i="1" s="1"/>
  <c r="AN1285" i="1" s="1"/>
  <c r="Z1286" i="1"/>
  <c r="AA1286" i="1" s="1"/>
  <c r="AB1286" i="1" s="1"/>
  <c r="AN1286" i="1" s="1"/>
  <c r="Z1287" i="1"/>
  <c r="AA1287" i="1" s="1"/>
  <c r="AB1287" i="1" s="1"/>
  <c r="AN1287" i="1" s="1"/>
  <c r="Z1288" i="1"/>
  <c r="AA1288" i="1" s="1"/>
  <c r="AB1288" i="1" s="1"/>
  <c r="AN1288" i="1" s="1"/>
  <c r="Z1289" i="1"/>
  <c r="AA1289" i="1" s="1"/>
  <c r="AB1289" i="1" s="1"/>
  <c r="AN1289" i="1" s="1"/>
  <c r="Z1290" i="1"/>
  <c r="AA1290" i="1" s="1"/>
  <c r="AB1290" i="1" s="1"/>
  <c r="AN1290" i="1" s="1"/>
  <c r="Z1291" i="1"/>
  <c r="AA1291" i="1" s="1"/>
  <c r="AB1291" i="1" s="1"/>
  <c r="AN1291" i="1" s="1"/>
  <c r="Z1292" i="1"/>
  <c r="AA1292" i="1" s="1"/>
  <c r="AB1292" i="1" s="1"/>
  <c r="AN1292" i="1" s="1"/>
  <c r="Z1293" i="1"/>
  <c r="AA1293" i="1" s="1"/>
  <c r="AB1293" i="1" s="1"/>
  <c r="AN1293" i="1" s="1"/>
  <c r="Z1294" i="1"/>
  <c r="AA1294" i="1" s="1"/>
  <c r="AB1294" i="1" s="1"/>
  <c r="AN1294" i="1" s="1"/>
  <c r="Z1295" i="1"/>
  <c r="AA1295" i="1" s="1"/>
  <c r="AB1295" i="1" s="1"/>
  <c r="AN1295" i="1" s="1"/>
  <c r="Z1296" i="1"/>
  <c r="AA1296" i="1" s="1"/>
  <c r="AB1296" i="1" s="1"/>
  <c r="AN1296" i="1" s="1"/>
  <c r="Z1297" i="1"/>
  <c r="AA1297" i="1" s="1"/>
  <c r="AB1297" i="1" s="1"/>
  <c r="AN1297" i="1" s="1"/>
  <c r="Z1298" i="1"/>
  <c r="AA1298" i="1" s="1"/>
  <c r="AB1298" i="1" s="1"/>
  <c r="AN1298" i="1" s="1"/>
  <c r="Z1299" i="1"/>
  <c r="AA1299" i="1" s="1"/>
  <c r="AB1299" i="1" s="1"/>
  <c r="AN1299" i="1" s="1"/>
  <c r="Z1300" i="1"/>
  <c r="AA1300" i="1" s="1"/>
  <c r="AB1300" i="1" s="1"/>
  <c r="AN1300" i="1" s="1"/>
  <c r="Z1301" i="1"/>
  <c r="AA1301" i="1" s="1"/>
  <c r="AB1301" i="1" s="1"/>
  <c r="AN1301" i="1" s="1"/>
  <c r="Z1302" i="1"/>
  <c r="AA1302" i="1" s="1"/>
  <c r="AB1302" i="1" s="1"/>
  <c r="AN1302" i="1" s="1"/>
  <c r="Z1303" i="1"/>
  <c r="AA1303" i="1" s="1"/>
  <c r="AB1303" i="1" s="1"/>
  <c r="AN1303" i="1" s="1"/>
  <c r="Z1304" i="1"/>
  <c r="AA1304" i="1" s="1"/>
  <c r="AB1304" i="1" s="1"/>
  <c r="AN1304" i="1" s="1"/>
  <c r="Z1305" i="1"/>
  <c r="AA1305" i="1" s="1"/>
  <c r="AB1305" i="1" s="1"/>
  <c r="AN1305" i="1" s="1"/>
  <c r="Z1306" i="1"/>
  <c r="AA1306" i="1" s="1"/>
  <c r="AB1306" i="1" s="1"/>
  <c r="AN1306" i="1" s="1"/>
  <c r="Z1307" i="1"/>
  <c r="AA1307" i="1" s="1"/>
  <c r="AB1307" i="1" s="1"/>
  <c r="AN1307" i="1" s="1"/>
  <c r="Z1308" i="1"/>
  <c r="AA1308" i="1" s="1"/>
  <c r="AB1308" i="1" s="1"/>
  <c r="AN1308" i="1" s="1"/>
  <c r="Z1309" i="1"/>
  <c r="AA1309" i="1" s="1"/>
  <c r="AB1309" i="1" s="1"/>
  <c r="AN1309" i="1" s="1"/>
  <c r="Z1310" i="1"/>
  <c r="AA1310" i="1" s="1"/>
  <c r="AB1310" i="1" s="1"/>
  <c r="AN1310" i="1" s="1"/>
  <c r="Z1311" i="1"/>
  <c r="AA1311" i="1" s="1"/>
  <c r="AB1311" i="1" s="1"/>
  <c r="AN1311" i="1" s="1"/>
  <c r="Z1312" i="1"/>
  <c r="AA1312" i="1" s="1"/>
  <c r="AB1312" i="1" s="1"/>
  <c r="AN1312" i="1" s="1"/>
  <c r="Z1313" i="1"/>
  <c r="AA1313" i="1" s="1"/>
  <c r="AB1313" i="1" s="1"/>
  <c r="AN1313" i="1" s="1"/>
  <c r="Z1314" i="1"/>
  <c r="AA1314" i="1" s="1"/>
  <c r="AB1314" i="1" s="1"/>
  <c r="AN1314" i="1" s="1"/>
  <c r="Z1315" i="1"/>
  <c r="AA1315" i="1" s="1"/>
  <c r="AB1315" i="1" s="1"/>
  <c r="AN1315" i="1" s="1"/>
  <c r="Z1316" i="1"/>
  <c r="AA1316" i="1" s="1"/>
  <c r="AB1316" i="1" s="1"/>
  <c r="AN1316" i="1" s="1"/>
  <c r="Z1317" i="1"/>
  <c r="AA1317" i="1" s="1"/>
  <c r="AB1317" i="1" s="1"/>
  <c r="AN1317" i="1" s="1"/>
  <c r="Z1318" i="1"/>
  <c r="AA1318" i="1" s="1"/>
  <c r="AB1318" i="1" s="1"/>
  <c r="AN1318" i="1" s="1"/>
  <c r="Z1319" i="1"/>
  <c r="AA1319" i="1" s="1"/>
  <c r="AB1319" i="1" s="1"/>
  <c r="AN1319" i="1" s="1"/>
  <c r="Z1320" i="1"/>
  <c r="AA1320" i="1" s="1"/>
  <c r="AB1320" i="1" s="1"/>
  <c r="AN1320" i="1" s="1"/>
  <c r="Z1321" i="1"/>
  <c r="AA1321" i="1" s="1"/>
  <c r="AB1321" i="1" s="1"/>
  <c r="AN1321" i="1" s="1"/>
  <c r="Z1322" i="1"/>
  <c r="AA1322" i="1" s="1"/>
  <c r="AB1322" i="1" s="1"/>
  <c r="AN1322" i="1" s="1"/>
  <c r="Z1323" i="1"/>
  <c r="AA1323" i="1" s="1"/>
  <c r="AB1323" i="1" s="1"/>
  <c r="AN1323" i="1" s="1"/>
  <c r="Z1324" i="1"/>
  <c r="AA1324" i="1" s="1"/>
  <c r="AB1324" i="1" s="1"/>
  <c r="AN1324" i="1" s="1"/>
  <c r="Z1325" i="1"/>
  <c r="AA1325" i="1" s="1"/>
  <c r="AB1325" i="1" s="1"/>
  <c r="AN1325" i="1" s="1"/>
  <c r="Z1326" i="1"/>
  <c r="AA1326" i="1" s="1"/>
  <c r="AB1326" i="1" s="1"/>
  <c r="AN1326" i="1" s="1"/>
  <c r="Z1327" i="1"/>
  <c r="AA1327" i="1" s="1"/>
  <c r="AB1327" i="1" s="1"/>
  <c r="AN1327" i="1" s="1"/>
  <c r="Z1328" i="1"/>
  <c r="AA1328" i="1" s="1"/>
  <c r="AB1328" i="1" s="1"/>
  <c r="AN1328" i="1" s="1"/>
  <c r="Z1329" i="1"/>
  <c r="AA1329" i="1" s="1"/>
  <c r="AB1329" i="1" s="1"/>
  <c r="AN1329" i="1" s="1"/>
  <c r="Z1330" i="1"/>
  <c r="AA1330" i="1" s="1"/>
  <c r="AB1330" i="1" s="1"/>
  <c r="AN1330" i="1" s="1"/>
  <c r="Z1331" i="1"/>
  <c r="AA1331" i="1" s="1"/>
  <c r="AB1331" i="1" s="1"/>
  <c r="AN1331" i="1" s="1"/>
  <c r="Z1332" i="1"/>
  <c r="AA1332" i="1" s="1"/>
  <c r="AB1332" i="1" s="1"/>
  <c r="AN1332" i="1" s="1"/>
  <c r="Z1333" i="1"/>
  <c r="AA1333" i="1" s="1"/>
  <c r="AB1333" i="1" s="1"/>
  <c r="AN1333" i="1" s="1"/>
  <c r="Z1334" i="1"/>
  <c r="AA1334" i="1" s="1"/>
  <c r="AB1334" i="1" s="1"/>
  <c r="AN1334" i="1" s="1"/>
  <c r="Z1335" i="1"/>
  <c r="AA1335" i="1" s="1"/>
  <c r="AB1335" i="1" s="1"/>
  <c r="AN1335" i="1" s="1"/>
  <c r="Z1336" i="1"/>
  <c r="AA1336" i="1" s="1"/>
  <c r="AB1336" i="1" s="1"/>
  <c r="AN1336" i="1" s="1"/>
  <c r="Z1337" i="1"/>
  <c r="AA1337" i="1" s="1"/>
  <c r="AB1337" i="1" s="1"/>
  <c r="AN1337" i="1" s="1"/>
  <c r="Z1338" i="1"/>
  <c r="AA1338" i="1" s="1"/>
  <c r="AB1338" i="1" s="1"/>
  <c r="AN1338" i="1" s="1"/>
  <c r="Z1339" i="1"/>
  <c r="AA1339" i="1" s="1"/>
  <c r="AB1339" i="1" s="1"/>
  <c r="AN1339" i="1" s="1"/>
  <c r="Z1340" i="1"/>
  <c r="AA1340" i="1" s="1"/>
  <c r="AB1340" i="1" s="1"/>
  <c r="AN1340" i="1" s="1"/>
  <c r="Z1341" i="1"/>
  <c r="AA1341" i="1" s="1"/>
  <c r="AB1341" i="1" s="1"/>
  <c r="AN1341" i="1" s="1"/>
  <c r="Z1342" i="1"/>
  <c r="AA1342" i="1" s="1"/>
  <c r="AB1342" i="1" s="1"/>
  <c r="AN1342" i="1" s="1"/>
  <c r="Z1343" i="1"/>
  <c r="AA1343" i="1" s="1"/>
  <c r="AB1343" i="1" s="1"/>
  <c r="AN1343" i="1" s="1"/>
  <c r="Z1344" i="1"/>
  <c r="AA1344" i="1" s="1"/>
  <c r="AB1344" i="1" s="1"/>
  <c r="AN1344" i="1" s="1"/>
  <c r="Z1345" i="1"/>
  <c r="AA1345" i="1" s="1"/>
  <c r="AB1345" i="1" s="1"/>
  <c r="AN1345" i="1" s="1"/>
  <c r="Z1346" i="1"/>
  <c r="AA1346" i="1" s="1"/>
  <c r="AB1346" i="1" s="1"/>
  <c r="AN1346" i="1" s="1"/>
  <c r="Z1347" i="1"/>
  <c r="AA1347" i="1" s="1"/>
  <c r="AB1347" i="1" s="1"/>
  <c r="AN1347" i="1" s="1"/>
  <c r="Z1348" i="1"/>
  <c r="AA1348" i="1" s="1"/>
  <c r="AB1348" i="1" s="1"/>
  <c r="AN1348" i="1" s="1"/>
  <c r="Z1349" i="1"/>
  <c r="AA1349" i="1" s="1"/>
  <c r="AB1349" i="1" s="1"/>
  <c r="AN1349" i="1" s="1"/>
  <c r="Z1350" i="1"/>
  <c r="AA1350" i="1" s="1"/>
  <c r="AB1350" i="1" s="1"/>
  <c r="AN1350" i="1" s="1"/>
  <c r="Z1351" i="1"/>
  <c r="AA1351" i="1" s="1"/>
  <c r="AB1351" i="1" s="1"/>
  <c r="AN1351" i="1" s="1"/>
  <c r="Z1352" i="1"/>
  <c r="AA1352" i="1" s="1"/>
  <c r="AB1352" i="1" s="1"/>
  <c r="AN1352" i="1" s="1"/>
  <c r="Z1353" i="1"/>
  <c r="AA1353" i="1" s="1"/>
  <c r="AB1353" i="1" s="1"/>
  <c r="AN1353" i="1" s="1"/>
  <c r="Z1354" i="1"/>
  <c r="AA1354" i="1" s="1"/>
  <c r="AB1354" i="1" s="1"/>
  <c r="AN1354" i="1" s="1"/>
  <c r="Z1355" i="1"/>
  <c r="AA1355" i="1" s="1"/>
  <c r="AB1355" i="1" s="1"/>
  <c r="AN1355" i="1" s="1"/>
  <c r="Z1356" i="1"/>
  <c r="AA1356" i="1" s="1"/>
  <c r="AB1356" i="1" s="1"/>
  <c r="AN1356" i="1" s="1"/>
  <c r="Z1357" i="1"/>
  <c r="AA1357" i="1" s="1"/>
  <c r="AB1357" i="1" s="1"/>
  <c r="AN1357" i="1" s="1"/>
  <c r="Z1358" i="1"/>
  <c r="AA1358" i="1" s="1"/>
  <c r="AB1358" i="1" s="1"/>
  <c r="AN1358" i="1" s="1"/>
  <c r="Z1359" i="1"/>
  <c r="AA1359" i="1" s="1"/>
  <c r="AB1359" i="1" s="1"/>
  <c r="AN1359" i="1" s="1"/>
  <c r="Z1360" i="1"/>
  <c r="AA1360" i="1" s="1"/>
  <c r="AB1360" i="1" s="1"/>
  <c r="AN1360" i="1" s="1"/>
  <c r="Z1361" i="1"/>
  <c r="AA1361" i="1" s="1"/>
  <c r="AB1361" i="1" s="1"/>
  <c r="AN1361" i="1" s="1"/>
  <c r="Z1362" i="1"/>
  <c r="AA1362" i="1" s="1"/>
  <c r="AB1362" i="1" s="1"/>
  <c r="AN1362" i="1" s="1"/>
  <c r="Z1363" i="1"/>
  <c r="AA1363" i="1" s="1"/>
  <c r="AB1363" i="1" s="1"/>
  <c r="AN1363" i="1" s="1"/>
  <c r="Z1364" i="1"/>
  <c r="AA1364" i="1" s="1"/>
  <c r="AB1364" i="1" s="1"/>
  <c r="AN1364" i="1" s="1"/>
  <c r="Z1365" i="1"/>
  <c r="AA1365" i="1" s="1"/>
  <c r="AB1365" i="1" s="1"/>
  <c r="AN1365" i="1" s="1"/>
  <c r="Z1366" i="1"/>
  <c r="AA1366" i="1" s="1"/>
  <c r="AB1366" i="1" s="1"/>
  <c r="AN1366" i="1" s="1"/>
  <c r="Z1367" i="1"/>
  <c r="AA1367" i="1" s="1"/>
  <c r="AB1367" i="1" s="1"/>
  <c r="AN1367" i="1" s="1"/>
  <c r="Z1368" i="1"/>
  <c r="AA1368" i="1" s="1"/>
  <c r="AB1368" i="1" s="1"/>
  <c r="AN1368" i="1" s="1"/>
  <c r="Z1369" i="1"/>
  <c r="AA1369" i="1" s="1"/>
  <c r="AB1369" i="1" s="1"/>
  <c r="AN1369" i="1" s="1"/>
  <c r="Z1370" i="1"/>
  <c r="AA1370" i="1" s="1"/>
  <c r="AB1370" i="1" s="1"/>
  <c r="AN1370" i="1" s="1"/>
  <c r="Z1371" i="1"/>
  <c r="AA1371" i="1" s="1"/>
  <c r="AB1371" i="1" s="1"/>
  <c r="AN1371" i="1" s="1"/>
  <c r="Z1372" i="1"/>
  <c r="AA1372" i="1" s="1"/>
  <c r="AB1372" i="1" s="1"/>
  <c r="AN1372" i="1" s="1"/>
  <c r="Z1373" i="1"/>
  <c r="AA1373" i="1" s="1"/>
  <c r="AB1373" i="1" s="1"/>
  <c r="AN1373" i="1" s="1"/>
  <c r="Z1374" i="1"/>
  <c r="AA1374" i="1" s="1"/>
  <c r="AB1374" i="1" s="1"/>
  <c r="AN1374" i="1" s="1"/>
  <c r="Z1375" i="1"/>
  <c r="AA1375" i="1" s="1"/>
  <c r="AB1375" i="1" s="1"/>
  <c r="AN1375" i="1" s="1"/>
  <c r="Z1376" i="1"/>
  <c r="AA1376" i="1" s="1"/>
  <c r="AB1376" i="1" s="1"/>
  <c r="AN1376" i="1" s="1"/>
  <c r="Z1377" i="1"/>
  <c r="AA1377" i="1" s="1"/>
  <c r="AB1377" i="1" s="1"/>
  <c r="AN1377" i="1" s="1"/>
  <c r="Z1378" i="1"/>
  <c r="AA1378" i="1" s="1"/>
  <c r="AB1378" i="1" s="1"/>
  <c r="AN1378" i="1" s="1"/>
  <c r="Z1379" i="1"/>
  <c r="AA1379" i="1" s="1"/>
  <c r="AB1379" i="1" s="1"/>
  <c r="AN1379" i="1" s="1"/>
  <c r="Z1380" i="1"/>
  <c r="AA1380" i="1" s="1"/>
  <c r="AB1380" i="1" s="1"/>
  <c r="AN1380" i="1" s="1"/>
  <c r="Z1381" i="1"/>
  <c r="AA1381" i="1" s="1"/>
  <c r="AB1381" i="1" s="1"/>
  <c r="AN1381" i="1" s="1"/>
  <c r="Z1382" i="1"/>
  <c r="AA1382" i="1" s="1"/>
  <c r="AB1382" i="1" s="1"/>
  <c r="AN1382" i="1" s="1"/>
  <c r="Z1383" i="1"/>
  <c r="AA1383" i="1" s="1"/>
  <c r="AB1383" i="1" s="1"/>
  <c r="AN1383" i="1" s="1"/>
  <c r="Z1384" i="1"/>
  <c r="AA1384" i="1" s="1"/>
  <c r="AB1384" i="1" s="1"/>
  <c r="AN1384" i="1" s="1"/>
  <c r="Z1385" i="1"/>
  <c r="AA1385" i="1" s="1"/>
  <c r="AB1385" i="1" s="1"/>
  <c r="AN1385" i="1" s="1"/>
  <c r="Z1386" i="1"/>
  <c r="AA1386" i="1" s="1"/>
  <c r="AB1386" i="1" s="1"/>
  <c r="AN1386" i="1" s="1"/>
  <c r="Z1387" i="1"/>
  <c r="AA1387" i="1" s="1"/>
  <c r="AB1387" i="1" s="1"/>
  <c r="AN1387" i="1" s="1"/>
  <c r="Z1388" i="1"/>
  <c r="AA1388" i="1" s="1"/>
  <c r="AB1388" i="1" s="1"/>
  <c r="AN1388" i="1" s="1"/>
  <c r="Z1389" i="1"/>
  <c r="AA1389" i="1" s="1"/>
  <c r="AB1389" i="1" s="1"/>
  <c r="AN1389" i="1" s="1"/>
  <c r="Z1390" i="1"/>
  <c r="AA1390" i="1" s="1"/>
  <c r="AB1390" i="1" s="1"/>
  <c r="AN1390" i="1" s="1"/>
  <c r="Z1391" i="1"/>
  <c r="AA1391" i="1" s="1"/>
  <c r="AB1391" i="1" s="1"/>
  <c r="AN1391" i="1" s="1"/>
  <c r="Z1392" i="1"/>
  <c r="AA1392" i="1" s="1"/>
  <c r="AB1392" i="1" s="1"/>
  <c r="AN1392" i="1" s="1"/>
  <c r="Z1393" i="1"/>
  <c r="AA1393" i="1" s="1"/>
  <c r="AB1393" i="1" s="1"/>
  <c r="AN1393" i="1" s="1"/>
  <c r="Z1394" i="1"/>
  <c r="AA1394" i="1" s="1"/>
  <c r="AB1394" i="1" s="1"/>
  <c r="AN1394" i="1" s="1"/>
  <c r="Z1395" i="1"/>
  <c r="AA1395" i="1" s="1"/>
  <c r="AB1395" i="1" s="1"/>
  <c r="AN1395" i="1" s="1"/>
  <c r="Z1396" i="1"/>
  <c r="AA1396" i="1" s="1"/>
  <c r="AB1396" i="1" s="1"/>
  <c r="AN1396" i="1" s="1"/>
  <c r="Z1397" i="1"/>
  <c r="AA1397" i="1" s="1"/>
  <c r="AB1397" i="1" s="1"/>
  <c r="AN1397" i="1" s="1"/>
  <c r="Z1398" i="1"/>
  <c r="AA1398" i="1" s="1"/>
  <c r="AB1398" i="1" s="1"/>
  <c r="AN1398" i="1" s="1"/>
  <c r="Z1399" i="1"/>
  <c r="AA1399" i="1" s="1"/>
  <c r="AB1399" i="1" s="1"/>
  <c r="AN1399" i="1" s="1"/>
  <c r="Z1400" i="1"/>
  <c r="AA1400" i="1" s="1"/>
  <c r="AB1400" i="1" s="1"/>
  <c r="AN1400" i="1" s="1"/>
  <c r="Z1401" i="1"/>
  <c r="AA1401" i="1" s="1"/>
  <c r="AB1401" i="1" s="1"/>
  <c r="AN1401" i="1" s="1"/>
  <c r="Z1402" i="1"/>
  <c r="AA1402" i="1" s="1"/>
  <c r="AB1402" i="1" s="1"/>
  <c r="AN1402" i="1" s="1"/>
  <c r="Z1403" i="1"/>
  <c r="AA1403" i="1" s="1"/>
  <c r="AB1403" i="1" s="1"/>
  <c r="AN1403" i="1" s="1"/>
  <c r="Z1404" i="1"/>
  <c r="AA1404" i="1" s="1"/>
  <c r="AB1404" i="1" s="1"/>
  <c r="AN1404" i="1" s="1"/>
  <c r="Z1405" i="1"/>
  <c r="AA1405" i="1" s="1"/>
  <c r="AB1405" i="1" s="1"/>
  <c r="AN1405" i="1" s="1"/>
  <c r="Z1406" i="1"/>
  <c r="AA1406" i="1" s="1"/>
  <c r="AB1406" i="1" s="1"/>
  <c r="AN1406" i="1" s="1"/>
  <c r="Z1407" i="1"/>
  <c r="AA1407" i="1" s="1"/>
  <c r="AB1407" i="1" s="1"/>
  <c r="AN1407" i="1" s="1"/>
  <c r="Z1408" i="1"/>
  <c r="AA1408" i="1" s="1"/>
  <c r="AB1408" i="1" s="1"/>
  <c r="AN1408" i="1" s="1"/>
  <c r="Z1409" i="1"/>
  <c r="AA1409" i="1" s="1"/>
  <c r="AB1409" i="1" s="1"/>
  <c r="AN1409" i="1" s="1"/>
  <c r="Z1410" i="1"/>
  <c r="AA1410" i="1" s="1"/>
  <c r="AB1410" i="1" s="1"/>
  <c r="AN1410" i="1" s="1"/>
  <c r="Z1411" i="1"/>
  <c r="AA1411" i="1" s="1"/>
  <c r="AB1411" i="1" s="1"/>
  <c r="AN1411" i="1" s="1"/>
  <c r="Z1412" i="1"/>
  <c r="AA1412" i="1" s="1"/>
  <c r="AB1412" i="1" s="1"/>
  <c r="AN1412" i="1" s="1"/>
  <c r="Z1413" i="1"/>
  <c r="AA1413" i="1" s="1"/>
  <c r="AB1413" i="1" s="1"/>
  <c r="AN1413" i="1" s="1"/>
  <c r="Z1414" i="1"/>
  <c r="AA1414" i="1" s="1"/>
  <c r="AB1414" i="1" s="1"/>
  <c r="AN1414" i="1" s="1"/>
  <c r="Z1415" i="1"/>
  <c r="AA1415" i="1" s="1"/>
  <c r="AB1415" i="1" s="1"/>
  <c r="AN1415" i="1" s="1"/>
  <c r="Z1416" i="1"/>
  <c r="AA1416" i="1" s="1"/>
  <c r="AB1416" i="1" s="1"/>
  <c r="AN1416" i="1" s="1"/>
  <c r="Z1417" i="1"/>
  <c r="AA1417" i="1" s="1"/>
  <c r="AB1417" i="1" s="1"/>
  <c r="AN1417" i="1" s="1"/>
  <c r="Z1418" i="1"/>
  <c r="AA1418" i="1" s="1"/>
  <c r="AB1418" i="1" s="1"/>
  <c r="AN1418" i="1" s="1"/>
  <c r="Z1419" i="1"/>
  <c r="AA1419" i="1" s="1"/>
  <c r="AB1419" i="1" s="1"/>
  <c r="AN1419" i="1" s="1"/>
  <c r="Z1420" i="1"/>
  <c r="AA1420" i="1" s="1"/>
  <c r="AB1420" i="1" s="1"/>
  <c r="AN1420" i="1" s="1"/>
  <c r="Z1421" i="1"/>
  <c r="AA1421" i="1" s="1"/>
  <c r="AB1421" i="1" s="1"/>
  <c r="AN1421" i="1" s="1"/>
  <c r="Z1422" i="1"/>
  <c r="AA1422" i="1" s="1"/>
  <c r="AB1422" i="1" s="1"/>
  <c r="AN1422" i="1" s="1"/>
  <c r="Z1423" i="1"/>
  <c r="AA1423" i="1" s="1"/>
  <c r="AB1423" i="1" s="1"/>
  <c r="AN1423" i="1" s="1"/>
  <c r="Z1424" i="1"/>
  <c r="AA1424" i="1" s="1"/>
  <c r="AB1424" i="1" s="1"/>
  <c r="AN1424" i="1" s="1"/>
  <c r="Z1425" i="1"/>
  <c r="AA1425" i="1" s="1"/>
  <c r="AB1425" i="1" s="1"/>
  <c r="AN1425" i="1" s="1"/>
  <c r="Z1426" i="1"/>
  <c r="AA1426" i="1" s="1"/>
  <c r="AB1426" i="1" s="1"/>
  <c r="AN1426" i="1" s="1"/>
  <c r="Z1427" i="1"/>
  <c r="AA1427" i="1" s="1"/>
  <c r="AB1427" i="1" s="1"/>
  <c r="AN1427" i="1" s="1"/>
  <c r="Z1428" i="1"/>
  <c r="AA1428" i="1" s="1"/>
  <c r="AB1428" i="1" s="1"/>
  <c r="AN1428" i="1" s="1"/>
  <c r="Z1429" i="1"/>
  <c r="AA1429" i="1" s="1"/>
  <c r="AB1429" i="1" s="1"/>
  <c r="AN1429" i="1" s="1"/>
  <c r="Z1430" i="1"/>
  <c r="AA1430" i="1" s="1"/>
  <c r="AB1430" i="1" s="1"/>
  <c r="AN1430" i="1" s="1"/>
  <c r="Z1431" i="1"/>
  <c r="AA1431" i="1" s="1"/>
  <c r="AB1431" i="1" s="1"/>
  <c r="AN1431" i="1" s="1"/>
  <c r="Z1432" i="1"/>
  <c r="AA1432" i="1" s="1"/>
  <c r="AB1432" i="1" s="1"/>
  <c r="AN1432" i="1" s="1"/>
  <c r="Z1433" i="1"/>
  <c r="AA1433" i="1" s="1"/>
  <c r="AB1433" i="1" s="1"/>
  <c r="AN1433" i="1" s="1"/>
  <c r="Z1434" i="1"/>
  <c r="AA1434" i="1" s="1"/>
  <c r="AB1434" i="1" s="1"/>
  <c r="AN1434" i="1" s="1"/>
  <c r="Z1435" i="1"/>
  <c r="AA1435" i="1" s="1"/>
  <c r="AB1435" i="1" s="1"/>
  <c r="AN1435" i="1" s="1"/>
  <c r="Z1436" i="1"/>
  <c r="AA1436" i="1" s="1"/>
  <c r="AB1436" i="1" s="1"/>
  <c r="AN1436" i="1" s="1"/>
  <c r="Z1437" i="1"/>
  <c r="AA1437" i="1" s="1"/>
  <c r="AB1437" i="1" s="1"/>
  <c r="AN1437" i="1" s="1"/>
  <c r="Z1438" i="1"/>
  <c r="AA1438" i="1" s="1"/>
  <c r="AB1438" i="1" s="1"/>
  <c r="AN1438" i="1" s="1"/>
  <c r="Z1439" i="1"/>
  <c r="AA1439" i="1" s="1"/>
  <c r="AB1439" i="1" s="1"/>
  <c r="AN1439" i="1" s="1"/>
  <c r="Z1440" i="1"/>
  <c r="AA1440" i="1" s="1"/>
  <c r="AB1440" i="1" s="1"/>
  <c r="AN1440" i="1" s="1"/>
  <c r="Z1441" i="1"/>
  <c r="AA1441" i="1" s="1"/>
  <c r="AB1441" i="1" s="1"/>
  <c r="AN1441" i="1" s="1"/>
  <c r="Z1442" i="1"/>
  <c r="AA1442" i="1" s="1"/>
  <c r="AB1442" i="1" s="1"/>
  <c r="AN1442" i="1" s="1"/>
  <c r="Z1443" i="1"/>
  <c r="AA1443" i="1" s="1"/>
  <c r="AB1443" i="1" s="1"/>
  <c r="AN1443" i="1" s="1"/>
  <c r="Z1444" i="1"/>
  <c r="AA1444" i="1" s="1"/>
  <c r="AB1444" i="1" s="1"/>
  <c r="AN1444" i="1" s="1"/>
  <c r="Z1445" i="1"/>
  <c r="AA1445" i="1" s="1"/>
  <c r="AB1445" i="1" s="1"/>
  <c r="AN1445" i="1" s="1"/>
  <c r="Z1446" i="1"/>
  <c r="AA1446" i="1" s="1"/>
  <c r="AB1446" i="1" s="1"/>
  <c r="AN1446" i="1" s="1"/>
  <c r="Z1447" i="1"/>
  <c r="AA1447" i="1" s="1"/>
  <c r="AB1447" i="1" s="1"/>
  <c r="AN1447" i="1" s="1"/>
  <c r="Z1448" i="1"/>
  <c r="AA1448" i="1" s="1"/>
  <c r="AB1448" i="1" s="1"/>
  <c r="AN1448" i="1" s="1"/>
  <c r="Z1449" i="1"/>
  <c r="AA1449" i="1" s="1"/>
  <c r="AB1449" i="1" s="1"/>
  <c r="AN1449" i="1" s="1"/>
  <c r="Z1450" i="1"/>
  <c r="AA1450" i="1" s="1"/>
  <c r="AB1450" i="1" s="1"/>
  <c r="AN1450" i="1" s="1"/>
  <c r="Z1451" i="1"/>
  <c r="AA1451" i="1" s="1"/>
  <c r="AB1451" i="1" s="1"/>
  <c r="AN1451" i="1" s="1"/>
  <c r="Z1452" i="1"/>
  <c r="AA1452" i="1" s="1"/>
  <c r="AB1452" i="1" s="1"/>
  <c r="AN1452" i="1" s="1"/>
  <c r="Z1453" i="1"/>
  <c r="AA1453" i="1" s="1"/>
  <c r="AB1453" i="1" s="1"/>
  <c r="AN1453" i="1" s="1"/>
  <c r="Z1454" i="1"/>
  <c r="AA1454" i="1" s="1"/>
  <c r="AB1454" i="1" s="1"/>
  <c r="AN1454" i="1" s="1"/>
  <c r="Z1455" i="1"/>
  <c r="AA1455" i="1" s="1"/>
  <c r="AB1455" i="1" s="1"/>
  <c r="AN1455" i="1" s="1"/>
  <c r="Z1456" i="1"/>
  <c r="AA1456" i="1" s="1"/>
  <c r="AB1456" i="1" s="1"/>
  <c r="AN1456" i="1" s="1"/>
  <c r="Z1457" i="1"/>
  <c r="AA1457" i="1" s="1"/>
  <c r="AB1457" i="1" s="1"/>
  <c r="AN1457" i="1" s="1"/>
  <c r="Z1458" i="1"/>
  <c r="AA1458" i="1" s="1"/>
  <c r="AB1458" i="1" s="1"/>
  <c r="AN1458" i="1" s="1"/>
  <c r="Z1459" i="1"/>
  <c r="AA1459" i="1" s="1"/>
  <c r="AB1459" i="1" s="1"/>
  <c r="AN1459" i="1" s="1"/>
  <c r="Z1460" i="1"/>
  <c r="AA1460" i="1" s="1"/>
  <c r="AB1460" i="1" s="1"/>
  <c r="AN1460" i="1" s="1"/>
  <c r="Z1461" i="1"/>
  <c r="AA1461" i="1" s="1"/>
  <c r="AB1461" i="1" s="1"/>
  <c r="AN1461" i="1" s="1"/>
  <c r="Z1462" i="1"/>
  <c r="AA1462" i="1" s="1"/>
  <c r="AB1462" i="1" s="1"/>
  <c r="AN1462" i="1" s="1"/>
  <c r="Z1463" i="1"/>
  <c r="AA1463" i="1" s="1"/>
  <c r="AB1463" i="1" s="1"/>
  <c r="AN1463" i="1" s="1"/>
  <c r="Z1464" i="1"/>
  <c r="AA1464" i="1" s="1"/>
  <c r="AB1464" i="1" s="1"/>
  <c r="AN1464" i="1" s="1"/>
  <c r="Z1465" i="1"/>
  <c r="AA1465" i="1" s="1"/>
  <c r="AB1465" i="1" s="1"/>
  <c r="AN1465" i="1" s="1"/>
  <c r="Z1466" i="1"/>
  <c r="AA1466" i="1" s="1"/>
  <c r="AB1466" i="1" s="1"/>
  <c r="AN1466" i="1" s="1"/>
  <c r="Z1467" i="1"/>
  <c r="AA1467" i="1" s="1"/>
  <c r="AB1467" i="1" s="1"/>
  <c r="AN1467" i="1" s="1"/>
  <c r="Z1468" i="1"/>
  <c r="AA1468" i="1" s="1"/>
  <c r="AB1468" i="1" s="1"/>
  <c r="AN1468" i="1" s="1"/>
  <c r="Z1469" i="1"/>
  <c r="AA1469" i="1" s="1"/>
  <c r="AB1469" i="1" s="1"/>
  <c r="AN1469" i="1" s="1"/>
  <c r="Z1470" i="1"/>
  <c r="AA1470" i="1" s="1"/>
  <c r="AB1470" i="1" s="1"/>
  <c r="AN1470" i="1" s="1"/>
  <c r="Z1471" i="1"/>
  <c r="AA1471" i="1" s="1"/>
  <c r="AB1471" i="1" s="1"/>
  <c r="AN1471" i="1" s="1"/>
  <c r="Z1472" i="1"/>
  <c r="AA1472" i="1" s="1"/>
  <c r="AB1472" i="1" s="1"/>
  <c r="AN1472" i="1" s="1"/>
  <c r="Z1473" i="1"/>
  <c r="AA1473" i="1" s="1"/>
  <c r="AB1473" i="1" s="1"/>
  <c r="AN1473" i="1" s="1"/>
  <c r="Z1474" i="1"/>
  <c r="AA1474" i="1" s="1"/>
  <c r="AB1474" i="1" s="1"/>
  <c r="AN1474" i="1" s="1"/>
  <c r="Z1475" i="1"/>
  <c r="AA1475" i="1" s="1"/>
  <c r="AB1475" i="1" s="1"/>
  <c r="AN1475" i="1" s="1"/>
  <c r="Z1476" i="1"/>
  <c r="AA1476" i="1" s="1"/>
  <c r="AB1476" i="1" s="1"/>
  <c r="AN1476" i="1" s="1"/>
  <c r="Z1477" i="1"/>
  <c r="AA1477" i="1" s="1"/>
  <c r="AB1477" i="1" s="1"/>
  <c r="AN1477" i="1" s="1"/>
  <c r="Z1478" i="1"/>
  <c r="AA1478" i="1" s="1"/>
  <c r="AB1478" i="1" s="1"/>
  <c r="AN1478" i="1" s="1"/>
  <c r="Z1479" i="1"/>
  <c r="AA1479" i="1" s="1"/>
  <c r="AB1479" i="1" s="1"/>
  <c r="AN1479" i="1" s="1"/>
  <c r="Z1480" i="1"/>
  <c r="AA1480" i="1" s="1"/>
  <c r="AB1480" i="1" s="1"/>
  <c r="AN1480" i="1" s="1"/>
  <c r="Z1481" i="1"/>
  <c r="AA1481" i="1" s="1"/>
  <c r="AB1481" i="1" s="1"/>
  <c r="AN1481" i="1" s="1"/>
  <c r="Z1482" i="1"/>
  <c r="AA1482" i="1" s="1"/>
  <c r="AB1482" i="1" s="1"/>
  <c r="AN1482" i="1" s="1"/>
  <c r="Z1483" i="1"/>
  <c r="AA1483" i="1" s="1"/>
  <c r="AB1483" i="1" s="1"/>
  <c r="AN1483" i="1" s="1"/>
  <c r="Z1484" i="1"/>
  <c r="AA1484" i="1" s="1"/>
  <c r="AB1484" i="1" s="1"/>
  <c r="AN1484" i="1" s="1"/>
  <c r="Z1485" i="1"/>
  <c r="AA1485" i="1" s="1"/>
  <c r="AB1485" i="1" s="1"/>
  <c r="AN1485" i="1" s="1"/>
  <c r="Z1486" i="1"/>
  <c r="AA1486" i="1" s="1"/>
  <c r="AB1486" i="1" s="1"/>
  <c r="AN1486" i="1" s="1"/>
  <c r="Z1487" i="1"/>
  <c r="AA1487" i="1" s="1"/>
  <c r="AB1487" i="1" s="1"/>
  <c r="AN1487" i="1" s="1"/>
  <c r="Z1488" i="1"/>
  <c r="AA1488" i="1" s="1"/>
  <c r="AB1488" i="1" s="1"/>
  <c r="AN1488" i="1" s="1"/>
  <c r="Z1489" i="1"/>
  <c r="AA1489" i="1" s="1"/>
  <c r="AB1489" i="1" s="1"/>
  <c r="AN1489" i="1" s="1"/>
  <c r="Z1490" i="1"/>
  <c r="AA1490" i="1" s="1"/>
  <c r="AB1490" i="1" s="1"/>
  <c r="AN1490" i="1" s="1"/>
  <c r="Z1491" i="1"/>
  <c r="AA1491" i="1" s="1"/>
  <c r="AB1491" i="1" s="1"/>
  <c r="AN1491" i="1" s="1"/>
  <c r="Z1492" i="1"/>
  <c r="AA1492" i="1" s="1"/>
  <c r="AB1492" i="1" s="1"/>
  <c r="AN1492" i="1" s="1"/>
  <c r="Z1493" i="1"/>
  <c r="AA1493" i="1" s="1"/>
  <c r="AB1493" i="1" s="1"/>
  <c r="AN1493" i="1" s="1"/>
  <c r="Z1494" i="1"/>
  <c r="AA1494" i="1" s="1"/>
  <c r="AB1494" i="1" s="1"/>
  <c r="AN1494" i="1" s="1"/>
  <c r="Z1495" i="1"/>
  <c r="AA1495" i="1" s="1"/>
  <c r="AB1495" i="1" s="1"/>
  <c r="AN1495" i="1" s="1"/>
  <c r="Z1496" i="1"/>
  <c r="AA1496" i="1" s="1"/>
  <c r="AB1496" i="1" s="1"/>
  <c r="AN1496" i="1" s="1"/>
  <c r="Z1497" i="1"/>
  <c r="AA1497" i="1" s="1"/>
  <c r="AB1497" i="1" s="1"/>
  <c r="AN1497" i="1" s="1"/>
  <c r="Z1498" i="1"/>
  <c r="AA1498" i="1" s="1"/>
  <c r="AB1498" i="1" s="1"/>
  <c r="AN1498" i="1" s="1"/>
  <c r="Z1499" i="1"/>
  <c r="AA1499" i="1" s="1"/>
  <c r="AB1499" i="1" s="1"/>
  <c r="AN1499" i="1" s="1"/>
  <c r="Z1500" i="1"/>
  <c r="AA1500" i="1" s="1"/>
  <c r="AB1500" i="1" s="1"/>
  <c r="AN1500" i="1" s="1"/>
  <c r="Z1501" i="1"/>
  <c r="AA1501" i="1" s="1"/>
  <c r="AB1501" i="1" s="1"/>
  <c r="AN1501" i="1" s="1"/>
  <c r="Z1502" i="1"/>
  <c r="AA1502" i="1" s="1"/>
  <c r="AB1502" i="1" s="1"/>
  <c r="AN1502" i="1" s="1"/>
  <c r="Z1503" i="1"/>
  <c r="AA1503" i="1" s="1"/>
  <c r="AB1503" i="1" s="1"/>
  <c r="AN1503" i="1" s="1"/>
  <c r="Z1504" i="1"/>
  <c r="AA1504" i="1" s="1"/>
  <c r="AB1504" i="1" s="1"/>
  <c r="AN1504" i="1" s="1"/>
  <c r="Z1505" i="1"/>
  <c r="AA1505" i="1" s="1"/>
  <c r="AB1505" i="1" s="1"/>
  <c r="AN1505" i="1" s="1"/>
  <c r="Z1506" i="1"/>
  <c r="AA1506" i="1" s="1"/>
  <c r="AB1506" i="1" s="1"/>
  <c r="AN1506" i="1" s="1"/>
  <c r="Z1507" i="1"/>
  <c r="AA1507" i="1" s="1"/>
  <c r="AB1507" i="1" s="1"/>
  <c r="AN1507" i="1" s="1"/>
  <c r="Z1508" i="1"/>
  <c r="AA1508" i="1" s="1"/>
  <c r="AB1508" i="1" s="1"/>
  <c r="AN1508" i="1" s="1"/>
  <c r="Z1509" i="1"/>
  <c r="AA1509" i="1" s="1"/>
  <c r="AB1509" i="1" s="1"/>
  <c r="AN1509" i="1" s="1"/>
  <c r="Z1510" i="1"/>
  <c r="AA1510" i="1" s="1"/>
  <c r="AB1510" i="1" s="1"/>
  <c r="AN1510" i="1" s="1"/>
  <c r="Z1511" i="1"/>
  <c r="AA1511" i="1" s="1"/>
  <c r="AB1511" i="1" s="1"/>
  <c r="AN1511" i="1" s="1"/>
  <c r="Z1512" i="1"/>
  <c r="AA1512" i="1" s="1"/>
  <c r="AB1512" i="1" s="1"/>
  <c r="AN1512" i="1" s="1"/>
  <c r="Z1513" i="1"/>
  <c r="AA1513" i="1" s="1"/>
  <c r="AB1513" i="1" s="1"/>
  <c r="AN1513" i="1" s="1"/>
  <c r="Z1514" i="1"/>
  <c r="AA1514" i="1" s="1"/>
  <c r="AB1514" i="1" s="1"/>
  <c r="AN1514" i="1" s="1"/>
  <c r="Z1515" i="1"/>
  <c r="AA1515" i="1" s="1"/>
  <c r="AB1515" i="1" s="1"/>
  <c r="AN1515" i="1" s="1"/>
  <c r="Z1516" i="1"/>
  <c r="AA1516" i="1" s="1"/>
  <c r="AB1516" i="1" s="1"/>
  <c r="AN1516" i="1" s="1"/>
  <c r="Z1517" i="1"/>
  <c r="AA1517" i="1" s="1"/>
  <c r="AB1517" i="1" s="1"/>
  <c r="AN1517" i="1" s="1"/>
  <c r="Z1518" i="1"/>
  <c r="AA1518" i="1" s="1"/>
  <c r="AB1518" i="1" s="1"/>
  <c r="AN1518" i="1" s="1"/>
  <c r="Z1519" i="1"/>
  <c r="AA1519" i="1" s="1"/>
  <c r="AB1519" i="1" s="1"/>
  <c r="AN1519" i="1" s="1"/>
  <c r="Z1520" i="1"/>
  <c r="AA1520" i="1" s="1"/>
  <c r="AB1520" i="1" s="1"/>
  <c r="AN1520" i="1" s="1"/>
  <c r="Z1521" i="1"/>
  <c r="AA1521" i="1" s="1"/>
  <c r="AB1521" i="1" s="1"/>
  <c r="AN1521" i="1" s="1"/>
  <c r="Z1522" i="1"/>
  <c r="AA1522" i="1" s="1"/>
  <c r="AB1522" i="1" s="1"/>
  <c r="AN1522" i="1" s="1"/>
  <c r="Z1523" i="1"/>
  <c r="AA1523" i="1" s="1"/>
  <c r="AB1523" i="1" s="1"/>
  <c r="AN1523" i="1" s="1"/>
  <c r="Z1524" i="1"/>
  <c r="AA1524" i="1" s="1"/>
  <c r="AB1524" i="1" s="1"/>
  <c r="AN1524" i="1" s="1"/>
  <c r="Z1525" i="1"/>
  <c r="AA1525" i="1" s="1"/>
  <c r="AB1525" i="1" s="1"/>
  <c r="AN1525" i="1" s="1"/>
  <c r="Z1526" i="1"/>
  <c r="AA1526" i="1" s="1"/>
  <c r="AB1526" i="1" s="1"/>
  <c r="AN1526" i="1" s="1"/>
  <c r="Z1527" i="1"/>
  <c r="AA1527" i="1" s="1"/>
  <c r="AB1527" i="1" s="1"/>
  <c r="AN1527" i="1" s="1"/>
  <c r="Z1528" i="1"/>
  <c r="AA1528" i="1" s="1"/>
  <c r="AB1528" i="1" s="1"/>
  <c r="AN1528" i="1" s="1"/>
  <c r="Z1529" i="1"/>
  <c r="AA1529" i="1" s="1"/>
  <c r="AB1529" i="1" s="1"/>
  <c r="AN1529" i="1" s="1"/>
  <c r="Z1530" i="1"/>
  <c r="AA1530" i="1" s="1"/>
  <c r="AB1530" i="1" s="1"/>
  <c r="AN1530" i="1" s="1"/>
  <c r="Z1531" i="1"/>
  <c r="AA1531" i="1" s="1"/>
  <c r="AB1531" i="1" s="1"/>
  <c r="AN1531" i="1" s="1"/>
  <c r="Z1532" i="1"/>
  <c r="AA1532" i="1" s="1"/>
  <c r="AB1532" i="1" s="1"/>
  <c r="AN1532" i="1" s="1"/>
  <c r="Z1533" i="1"/>
  <c r="AA1533" i="1" s="1"/>
  <c r="AB1533" i="1" s="1"/>
  <c r="AN1533" i="1" s="1"/>
  <c r="Z1534" i="1"/>
  <c r="AA1534" i="1" s="1"/>
  <c r="AB1534" i="1" s="1"/>
  <c r="AN1534" i="1" s="1"/>
  <c r="Z1535" i="1"/>
  <c r="AA1535" i="1" s="1"/>
  <c r="AB1535" i="1" s="1"/>
  <c r="AN1535" i="1" s="1"/>
  <c r="Z1536" i="1"/>
  <c r="AA1536" i="1" s="1"/>
  <c r="AB1536" i="1" s="1"/>
  <c r="AN1536" i="1" s="1"/>
  <c r="Z1537" i="1"/>
  <c r="AA1537" i="1" s="1"/>
  <c r="AB1537" i="1" s="1"/>
  <c r="AN1537" i="1" s="1"/>
  <c r="Z1538" i="1"/>
  <c r="AA1538" i="1" s="1"/>
  <c r="AB1538" i="1" s="1"/>
  <c r="AN1538" i="1" s="1"/>
  <c r="Z1539" i="1"/>
  <c r="AA1539" i="1" s="1"/>
  <c r="AB1539" i="1" s="1"/>
  <c r="AN1539" i="1" s="1"/>
  <c r="Z1540" i="1"/>
  <c r="AA1540" i="1" s="1"/>
  <c r="AB1540" i="1" s="1"/>
  <c r="AN1540" i="1" s="1"/>
  <c r="Z1541" i="1"/>
  <c r="AA1541" i="1" s="1"/>
  <c r="AB1541" i="1" s="1"/>
  <c r="AN1541" i="1" s="1"/>
  <c r="Z1542" i="1"/>
  <c r="AA1542" i="1" s="1"/>
  <c r="AB1542" i="1" s="1"/>
  <c r="AN1542" i="1" s="1"/>
  <c r="Z1543" i="1"/>
  <c r="AA1543" i="1" s="1"/>
  <c r="AB1543" i="1" s="1"/>
  <c r="AN1543" i="1" s="1"/>
  <c r="Z1544" i="1"/>
  <c r="AA1544" i="1" s="1"/>
  <c r="AB1544" i="1" s="1"/>
  <c r="AN1544" i="1" s="1"/>
  <c r="Z1545" i="1"/>
  <c r="AA1545" i="1" s="1"/>
  <c r="AB1545" i="1" s="1"/>
  <c r="AN1545" i="1" s="1"/>
  <c r="Z1546" i="1"/>
  <c r="AA1546" i="1" s="1"/>
  <c r="AB1546" i="1" s="1"/>
  <c r="AN1546" i="1" s="1"/>
  <c r="Z1547" i="1"/>
  <c r="AA1547" i="1" s="1"/>
  <c r="AB1547" i="1" s="1"/>
  <c r="AN1547" i="1" s="1"/>
  <c r="Z1548" i="1"/>
  <c r="AA1548" i="1" s="1"/>
  <c r="AB1548" i="1" s="1"/>
  <c r="AN1548" i="1" s="1"/>
  <c r="Z1549" i="1"/>
  <c r="AA1549" i="1" s="1"/>
  <c r="AB1549" i="1" s="1"/>
  <c r="AN1549" i="1" s="1"/>
  <c r="Z1550" i="1"/>
  <c r="AA1550" i="1" s="1"/>
  <c r="AB1550" i="1" s="1"/>
  <c r="AN1550" i="1" s="1"/>
  <c r="Z1551" i="1"/>
  <c r="AA1551" i="1" s="1"/>
  <c r="AB1551" i="1" s="1"/>
  <c r="AN1551" i="1" s="1"/>
  <c r="Z1552" i="1"/>
  <c r="AA1552" i="1" s="1"/>
  <c r="AB1552" i="1" s="1"/>
  <c r="AN1552" i="1" s="1"/>
  <c r="Z1553" i="1"/>
  <c r="AA1553" i="1" s="1"/>
  <c r="AB1553" i="1" s="1"/>
  <c r="AN1553" i="1" s="1"/>
  <c r="Z1554" i="1"/>
  <c r="AA1554" i="1" s="1"/>
  <c r="AB1554" i="1" s="1"/>
  <c r="AN1554" i="1" s="1"/>
  <c r="Z1555" i="1"/>
  <c r="AA1555" i="1" s="1"/>
  <c r="AB1555" i="1" s="1"/>
  <c r="AN1555" i="1" s="1"/>
  <c r="Z1556" i="1"/>
  <c r="AA1556" i="1" s="1"/>
  <c r="AB1556" i="1" s="1"/>
  <c r="AN1556" i="1" s="1"/>
  <c r="Z1557" i="1"/>
  <c r="AA1557" i="1" s="1"/>
  <c r="AB1557" i="1" s="1"/>
  <c r="AN1557" i="1" s="1"/>
  <c r="Z1558" i="1"/>
  <c r="AA1558" i="1" s="1"/>
  <c r="AB1558" i="1" s="1"/>
  <c r="AN1558" i="1" s="1"/>
  <c r="Z1559" i="1"/>
  <c r="AA1559" i="1" s="1"/>
  <c r="AB1559" i="1" s="1"/>
  <c r="AN1559" i="1" s="1"/>
  <c r="Z1560" i="1"/>
  <c r="AA1560" i="1" s="1"/>
  <c r="AB1560" i="1" s="1"/>
  <c r="AN1560" i="1" s="1"/>
  <c r="Z1561" i="1"/>
  <c r="AA1561" i="1" s="1"/>
  <c r="AB1561" i="1" s="1"/>
  <c r="AN1561" i="1" s="1"/>
  <c r="Z1562" i="1"/>
  <c r="AA1562" i="1" s="1"/>
  <c r="AB1562" i="1" s="1"/>
  <c r="AN1562" i="1" s="1"/>
  <c r="Z1563" i="1"/>
  <c r="AA1563" i="1" s="1"/>
  <c r="AB1563" i="1" s="1"/>
  <c r="AN1563" i="1" s="1"/>
  <c r="Z1564" i="1"/>
  <c r="AA1564" i="1" s="1"/>
  <c r="AB1564" i="1" s="1"/>
  <c r="AN1564" i="1" s="1"/>
  <c r="Z1565" i="1"/>
  <c r="AA1565" i="1" s="1"/>
  <c r="AB1565" i="1" s="1"/>
  <c r="AN1565" i="1" s="1"/>
  <c r="Z1566" i="1"/>
  <c r="AA1566" i="1" s="1"/>
  <c r="AB1566" i="1" s="1"/>
  <c r="AN1566" i="1" s="1"/>
  <c r="Z1567" i="1"/>
  <c r="AA1567" i="1" s="1"/>
  <c r="AB1567" i="1" s="1"/>
  <c r="AN1567" i="1" s="1"/>
  <c r="Z1568" i="1"/>
  <c r="AA1568" i="1" s="1"/>
  <c r="AB1568" i="1" s="1"/>
  <c r="AN1568" i="1" s="1"/>
  <c r="Z1569" i="1"/>
  <c r="AA1569" i="1" s="1"/>
  <c r="AB1569" i="1" s="1"/>
  <c r="AN1569" i="1" s="1"/>
  <c r="Z1570" i="1"/>
  <c r="AA1570" i="1" s="1"/>
  <c r="AB1570" i="1" s="1"/>
  <c r="AN1570" i="1" s="1"/>
  <c r="Z1571" i="1"/>
  <c r="AA1571" i="1" s="1"/>
  <c r="AB1571" i="1" s="1"/>
  <c r="AN1571" i="1" s="1"/>
  <c r="Z1572" i="1"/>
  <c r="AA1572" i="1" s="1"/>
  <c r="AB1572" i="1" s="1"/>
  <c r="AN1572" i="1" s="1"/>
  <c r="Z1573" i="1"/>
  <c r="AA1573" i="1" s="1"/>
  <c r="AB1573" i="1" s="1"/>
  <c r="AN1573" i="1" s="1"/>
  <c r="Z1574" i="1"/>
  <c r="AA1574" i="1" s="1"/>
  <c r="AB1574" i="1" s="1"/>
  <c r="AN1574" i="1" s="1"/>
  <c r="Z1575" i="1"/>
  <c r="AA1575" i="1" s="1"/>
  <c r="AB1575" i="1" s="1"/>
  <c r="AN1575" i="1" s="1"/>
  <c r="Z1576" i="1"/>
  <c r="AA1576" i="1" s="1"/>
  <c r="AB1576" i="1" s="1"/>
  <c r="AN1576" i="1" s="1"/>
  <c r="Z1577" i="1"/>
  <c r="AA1577" i="1" s="1"/>
  <c r="AB1577" i="1" s="1"/>
  <c r="AN1577" i="1" s="1"/>
  <c r="Z1578" i="1"/>
  <c r="AA1578" i="1" s="1"/>
  <c r="AB1578" i="1" s="1"/>
  <c r="AN1578" i="1" s="1"/>
  <c r="Z1579" i="1"/>
  <c r="AA1579" i="1" s="1"/>
  <c r="AB1579" i="1" s="1"/>
  <c r="AN1579" i="1" s="1"/>
  <c r="Z1580" i="1"/>
  <c r="AA1580" i="1" s="1"/>
  <c r="AB1580" i="1" s="1"/>
  <c r="AN1580" i="1" s="1"/>
  <c r="Z1581" i="1"/>
  <c r="AA1581" i="1" s="1"/>
  <c r="AB1581" i="1" s="1"/>
  <c r="AN1581" i="1" s="1"/>
  <c r="Z1582" i="1"/>
  <c r="AA1582" i="1" s="1"/>
  <c r="AB1582" i="1" s="1"/>
  <c r="AN1582" i="1" s="1"/>
  <c r="Z1583" i="1"/>
  <c r="AA1583" i="1" s="1"/>
  <c r="AB1583" i="1" s="1"/>
  <c r="AN1583" i="1" s="1"/>
  <c r="Z1584" i="1"/>
  <c r="AA1584" i="1" s="1"/>
  <c r="AB1584" i="1" s="1"/>
  <c r="AN1584" i="1" s="1"/>
  <c r="Z1585" i="1"/>
  <c r="AA1585" i="1" s="1"/>
  <c r="AB1585" i="1" s="1"/>
  <c r="AN1585" i="1" s="1"/>
  <c r="Z1586" i="1"/>
  <c r="AA1586" i="1" s="1"/>
  <c r="AB1586" i="1" s="1"/>
  <c r="AN1586" i="1" s="1"/>
  <c r="Z1587" i="1"/>
  <c r="AA1587" i="1" s="1"/>
  <c r="AB1587" i="1" s="1"/>
  <c r="AN1587" i="1" s="1"/>
  <c r="Z1588" i="1"/>
  <c r="AA1588" i="1" s="1"/>
  <c r="AB1588" i="1" s="1"/>
  <c r="AN1588" i="1" s="1"/>
  <c r="Z1589" i="1"/>
  <c r="AA1589" i="1" s="1"/>
  <c r="AB1589" i="1" s="1"/>
  <c r="AN1589" i="1" s="1"/>
  <c r="Z1590" i="1"/>
  <c r="AA1590" i="1" s="1"/>
  <c r="AB1590" i="1" s="1"/>
  <c r="AN1590" i="1" s="1"/>
  <c r="Z1591" i="1"/>
  <c r="AA1591" i="1" s="1"/>
  <c r="AB1591" i="1" s="1"/>
  <c r="AN1591" i="1" s="1"/>
  <c r="Z1592" i="1"/>
  <c r="AA1592" i="1" s="1"/>
  <c r="AB1592" i="1" s="1"/>
  <c r="AN1592" i="1" s="1"/>
  <c r="Z1593" i="1"/>
  <c r="AA1593" i="1" s="1"/>
  <c r="AB1593" i="1" s="1"/>
  <c r="AN1593" i="1" s="1"/>
  <c r="Z1594" i="1"/>
  <c r="AA1594" i="1" s="1"/>
  <c r="AB1594" i="1" s="1"/>
  <c r="AN1594" i="1" s="1"/>
  <c r="Z1595" i="1"/>
  <c r="AA1595" i="1" s="1"/>
  <c r="AB1595" i="1" s="1"/>
  <c r="AN1595" i="1" s="1"/>
  <c r="Z1596" i="1"/>
  <c r="AA1596" i="1" s="1"/>
  <c r="AB1596" i="1" s="1"/>
  <c r="AN1596" i="1" s="1"/>
  <c r="Z1597" i="1"/>
  <c r="AA1597" i="1" s="1"/>
  <c r="AB1597" i="1" s="1"/>
  <c r="AN1597" i="1" s="1"/>
  <c r="Z1598" i="1"/>
  <c r="AA1598" i="1" s="1"/>
  <c r="AB1598" i="1" s="1"/>
  <c r="AN1598" i="1" s="1"/>
  <c r="Z1599" i="1"/>
  <c r="AA1599" i="1" s="1"/>
  <c r="AB1599" i="1" s="1"/>
  <c r="AN1599" i="1" s="1"/>
  <c r="Z1712" i="1"/>
  <c r="AA1712" i="1" s="1"/>
  <c r="AB1712" i="1" s="1"/>
  <c r="AN1712" i="1" s="1"/>
  <c r="Z1713" i="1"/>
  <c r="AA1713" i="1" s="1"/>
  <c r="AB1713" i="1" s="1"/>
  <c r="AN1713" i="1" s="1"/>
  <c r="Z1714" i="1"/>
  <c r="AA1714" i="1" s="1"/>
  <c r="AB1714" i="1" s="1"/>
  <c r="AN1714" i="1" s="1"/>
  <c r="Z1715" i="1"/>
  <c r="AA1715" i="1" s="1"/>
  <c r="AB1715" i="1" s="1"/>
  <c r="AN1715" i="1" s="1"/>
  <c r="Z1716" i="1"/>
  <c r="AA1716" i="1" s="1"/>
  <c r="AB1716" i="1" s="1"/>
  <c r="AN1716" i="1" s="1"/>
  <c r="Z1717" i="1"/>
  <c r="AA1717" i="1" s="1"/>
  <c r="AB1717" i="1" s="1"/>
  <c r="AN1717" i="1" s="1"/>
  <c r="Z1718" i="1"/>
  <c r="AA1718" i="1" s="1"/>
  <c r="AB1718" i="1" s="1"/>
  <c r="AN1718" i="1" s="1"/>
  <c r="Z1719" i="1"/>
  <c r="AA1719" i="1" s="1"/>
  <c r="AB1719" i="1" s="1"/>
  <c r="AN1719" i="1" s="1"/>
  <c r="Z1720" i="1"/>
  <c r="AA1720" i="1" s="1"/>
  <c r="AB1720" i="1" s="1"/>
  <c r="AN1720" i="1" s="1"/>
  <c r="Z1721" i="1"/>
  <c r="AA1721" i="1" s="1"/>
  <c r="AB1721" i="1" s="1"/>
  <c r="AN1721" i="1" s="1"/>
  <c r="Z1722" i="1"/>
  <c r="AA1722" i="1" s="1"/>
  <c r="AB1722" i="1" s="1"/>
  <c r="AN1722" i="1" s="1"/>
  <c r="Z1723" i="1"/>
  <c r="AA1723" i="1" s="1"/>
  <c r="AB1723" i="1" s="1"/>
  <c r="AN1723" i="1" s="1"/>
  <c r="Z1724" i="1"/>
  <c r="AA1724" i="1" s="1"/>
  <c r="AB1724" i="1" s="1"/>
  <c r="AN1724" i="1" s="1"/>
  <c r="Z1725" i="1"/>
  <c r="AA1725" i="1" s="1"/>
  <c r="AB1725" i="1" s="1"/>
  <c r="AN1725" i="1" s="1"/>
  <c r="Z1726" i="1"/>
  <c r="AA1726" i="1" s="1"/>
  <c r="AB1726" i="1" s="1"/>
  <c r="AN1726" i="1" s="1"/>
  <c r="Z1727" i="1"/>
  <c r="AA1727" i="1" s="1"/>
  <c r="AB1727" i="1" s="1"/>
  <c r="AN1727" i="1" s="1"/>
  <c r="Z1728" i="1"/>
  <c r="AA1728" i="1" s="1"/>
  <c r="AB1728" i="1" s="1"/>
  <c r="AN1728" i="1" s="1"/>
  <c r="Z1729" i="1"/>
  <c r="AA1729" i="1" s="1"/>
  <c r="AB1729" i="1" s="1"/>
  <c r="AN1729" i="1" s="1"/>
  <c r="Z1730" i="1"/>
  <c r="AA1730" i="1" s="1"/>
  <c r="AB1730" i="1" s="1"/>
  <c r="AN1730" i="1" s="1"/>
  <c r="Z1731" i="1"/>
  <c r="AA1731" i="1" s="1"/>
  <c r="AB1731" i="1" s="1"/>
  <c r="AN1731" i="1" s="1"/>
  <c r="Z1732" i="1"/>
  <c r="AA1732" i="1" s="1"/>
  <c r="AB1732" i="1" s="1"/>
  <c r="AN1732" i="1" s="1"/>
  <c r="Z1733" i="1"/>
  <c r="AA1733" i="1" s="1"/>
  <c r="AB1733" i="1" s="1"/>
  <c r="AN1733" i="1" s="1"/>
  <c r="Z1734" i="1"/>
  <c r="AA1734" i="1" s="1"/>
  <c r="AB1734" i="1" s="1"/>
  <c r="AN1734" i="1" s="1"/>
  <c r="Z1735" i="1"/>
  <c r="AA1735" i="1" s="1"/>
  <c r="AB1735" i="1" s="1"/>
  <c r="AN1735" i="1" s="1"/>
  <c r="Z1736" i="1"/>
  <c r="AA1736" i="1" s="1"/>
  <c r="AB1736" i="1" s="1"/>
  <c r="AN1736" i="1" s="1"/>
  <c r="Z1737" i="1"/>
  <c r="AA1737" i="1" s="1"/>
  <c r="AB1737" i="1" s="1"/>
  <c r="AN1737" i="1" s="1"/>
  <c r="Z1738" i="1"/>
  <c r="AA1738" i="1" s="1"/>
  <c r="AB1738" i="1" s="1"/>
  <c r="AN1738" i="1" s="1"/>
  <c r="Z1739" i="1"/>
  <c r="AA1739" i="1" s="1"/>
  <c r="AB1739" i="1" s="1"/>
  <c r="AN1739" i="1" s="1"/>
  <c r="Z1740" i="1"/>
  <c r="AA1740" i="1" s="1"/>
  <c r="AB1740" i="1" s="1"/>
  <c r="AN1740" i="1" s="1"/>
  <c r="Z1741" i="1"/>
  <c r="AA1741" i="1" s="1"/>
  <c r="AB1741" i="1" s="1"/>
  <c r="AN1741" i="1" s="1"/>
  <c r="Z1742" i="1"/>
  <c r="AA1742" i="1" s="1"/>
  <c r="AB1742" i="1" s="1"/>
  <c r="AN1742" i="1" s="1"/>
  <c r="Z1743" i="1"/>
  <c r="AA1743" i="1" s="1"/>
  <c r="AB1743" i="1" s="1"/>
  <c r="AN1743" i="1" s="1"/>
  <c r="Z1744" i="1"/>
  <c r="AA1744" i="1" s="1"/>
  <c r="AB1744" i="1" s="1"/>
  <c r="AN1744" i="1" s="1"/>
  <c r="Z1745" i="1"/>
  <c r="AA1745" i="1" s="1"/>
  <c r="AB1745" i="1" s="1"/>
  <c r="AN1745" i="1" s="1"/>
  <c r="Z1746" i="1"/>
  <c r="AA1746" i="1" s="1"/>
  <c r="AB1746" i="1" s="1"/>
  <c r="AN1746" i="1" s="1"/>
  <c r="Z1747" i="1"/>
  <c r="AA1747" i="1" s="1"/>
  <c r="AB1747" i="1" s="1"/>
  <c r="AN1747" i="1" s="1"/>
  <c r="Z1748" i="1"/>
  <c r="AA1748" i="1" s="1"/>
  <c r="AB1748" i="1" s="1"/>
  <c r="AN1748" i="1" s="1"/>
  <c r="Z1749" i="1"/>
  <c r="AA1749" i="1" s="1"/>
  <c r="AB1749" i="1" s="1"/>
  <c r="AN1749" i="1" s="1"/>
  <c r="Z1750" i="1"/>
  <c r="AA1750" i="1" s="1"/>
  <c r="AB1750" i="1" s="1"/>
  <c r="AN1750" i="1" s="1"/>
  <c r="Z1751" i="1"/>
  <c r="AA1751" i="1" s="1"/>
  <c r="AB1751" i="1" s="1"/>
  <c r="AN1751" i="1" s="1"/>
  <c r="Z1752" i="1"/>
  <c r="AA1752" i="1" s="1"/>
  <c r="AB1752" i="1" s="1"/>
  <c r="AN1752" i="1" s="1"/>
  <c r="Z1753" i="1"/>
  <c r="AA1753" i="1" s="1"/>
  <c r="AB1753" i="1" s="1"/>
  <c r="AN1753" i="1" s="1"/>
  <c r="Z1754" i="1"/>
  <c r="AA1754" i="1" s="1"/>
  <c r="AB1754" i="1" s="1"/>
  <c r="AN1754" i="1" s="1"/>
  <c r="Z1755" i="1"/>
  <c r="AA1755" i="1" s="1"/>
  <c r="AB1755" i="1" s="1"/>
  <c r="AN1755" i="1" s="1"/>
  <c r="Z1756" i="1"/>
  <c r="AA1756" i="1" s="1"/>
  <c r="AB1756" i="1" s="1"/>
  <c r="AN1756" i="1" s="1"/>
  <c r="Z1757" i="1"/>
  <c r="AA1757" i="1" s="1"/>
  <c r="AB1757" i="1" s="1"/>
  <c r="AN1757" i="1" s="1"/>
  <c r="Z1758" i="1"/>
  <c r="AA1758" i="1" s="1"/>
  <c r="AB1758" i="1" s="1"/>
  <c r="AN1758" i="1" s="1"/>
  <c r="Z1759" i="1"/>
  <c r="AA1759" i="1" s="1"/>
  <c r="AB1759" i="1" s="1"/>
  <c r="AN1759" i="1" s="1"/>
  <c r="Z1760" i="1"/>
  <c r="AA1760" i="1" s="1"/>
  <c r="AB1760" i="1" s="1"/>
  <c r="AN1760" i="1" s="1"/>
  <c r="Z1761" i="1"/>
  <c r="AA1761" i="1" s="1"/>
  <c r="AB1761" i="1" s="1"/>
  <c r="AN1761" i="1" s="1"/>
  <c r="Z1762" i="1"/>
  <c r="AA1762" i="1" s="1"/>
  <c r="AB1762" i="1" s="1"/>
  <c r="AN1762" i="1" s="1"/>
  <c r="Z1763" i="1"/>
  <c r="AA1763" i="1" s="1"/>
  <c r="AB1763" i="1" s="1"/>
  <c r="AN1763" i="1" s="1"/>
  <c r="Z1764" i="1"/>
  <c r="AA1764" i="1" s="1"/>
  <c r="AB1764" i="1" s="1"/>
  <c r="AN1764" i="1" s="1"/>
  <c r="Z1765" i="1"/>
  <c r="AA1765" i="1" s="1"/>
  <c r="AB1765" i="1" s="1"/>
  <c r="AN1765" i="1" s="1"/>
  <c r="Z1766" i="1"/>
  <c r="AA1766" i="1" s="1"/>
  <c r="AB1766" i="1" s="1"/>
  <c r="AN1766" i="1" s="1"/>
  <c r="Z1767" i="1"/>
  <c r="AA1767" i="1" s="1"/>
  <c r="AB1767" i="1" s="1"/>
  <c r="AN1767" i="1" s="1"/>
  <c r="Z1768" i="1"/>
  <c r="AA1768" i="1" s="1"/>
  <c r="AB1768" i="1" s="1"/>
  <c r="AN1768" i="1" s="1"/>
  <c r="Z1769" i="1"/>
  <c r="AA1769" i="1" s="1"/>
  <c r="AB1769" i="1" s="1"/>
  <c r="AN1769" i="1" s="1"/>
  <c r="Z1770" i="1"/>
  <c r="AA1770" i="1" s="1"/>
  <c r="AB1770" i="1" s="1"/>
  <c r="AN1770" i="1" s="1"/>
  <c r="Z1771" i="1"/>
  <c r="AA1771" i="1" s="1"/>
  <c r="AB1771" i="1" s="1"/>
  <c r="AN1771" i="1" s="1"/>
  <c r="Z1772" i="1"/>
  <c r="AA1772" i="1" s="1"/>
  <c r="AB1772" i="1" s="1"/>
  <c r="AN1772" i="1" s="1"/>
  <c r="Z1773" i="1"/>
  <c r="AA1773" i="1" s="1"/>
  <c r="AB1773" i="1" s="1"/>
  <c r="AN1773" i="1" s="1"/>
  <c r="Z1774" i="1"/>
  <c r="AA1774" i="1" s="1"/>
  <c r="AB1774" i="1" s="1"/>
  <c r="AN1774" i="1" s="1"/>
  <c r="Z1775" i="1"/>
  <c r="AA1775" i="1" s="1"/>
  <c r="AB1775" i="1" s="1"/>
  <c r="AN1775" i="1" s="1"/>
  <c r="Z1776" i="1"/>
  <c r="AA1776" i="1" s="1"/>
  <c r="AB1776" i="1" s="1"/>
  <c r="AN1776" i="1" s="1"/>
  <c r="Z1777" i="1"/>
  <c r="AA1777" i="1" s="1"/>
  <c r="AB1777" i="1" s="1"/>
  <c r="AN1777" i="1" s="1"/>
  <c r="Z1778" i="1"/>
  <c r="AA1778" i="1" s="1"/>
  <c r="AB1778" i="1" s="1"/>
  <c r="AN1778" i="1" s="1"/>
  <c r="Z1779" i="1"/>
  <c r="AA1779" i="1" s="1"/>
  <c r="AB1779" i="1" s="1"/>
  <c r="AN1779" i="1" s="1"/>
  <c r="Z1780" i="1"/>
  <c r="AA1780" i="1" s="1"/>
  <c r="AB1780" i="1" s="1"/>
  <c r="AN1780" i="1" s="1"/>
  <c r="Z1781" i="1"/>
  <c r="AA1781" i="1" s="1"/>
  <c r="AB1781" i="1" s="1"/>
  <c r="AN1781" i="1" s="1"/>
  <c r="Z1782" i="1"/>
  <c r="AA1782" i="1" s="1"/>
  <c r="AB1782" i="1" s="1"/>
  <c r="AN1782" i="1" s="1"/>
  <c r="Z1783" i="1"/>
  <c r="AA1783" i="1" s="1"/>
  <c r="AB1783" i="1" s="1"/>
  <c r="AN1783" i="1" s="1"/>
  <c r="Z1784" i="1"/>
  <c r="AA1784" i="1" s="1"/>
  <c r="AB1784" i="1" s="1"/>
  <c r="AN1784" i="1" s="1"/>
  <c r="Z1785" i="1"/>
  <c r="AA1785" i="1" s="1"/>
  <c r="AB1785" i="1" s="1"/>
  <c r="AN1785" i="1" s="1"/>
  <c r="Z1786" i="1"/>
  <c r="AA1786" i="1" s="1"/>
  <c r="AB1786" i="1" s="1"/>
  <c r="AN1786" i="1" s="1"/>
  <c r="Z1787" i="1"/>
  <c r="AA1787" i="1" s="1"/>
  <c r="AB1787" i="1" s="1"/>
  <c r="AN1787" i="1" s="1"/>
  <c r="Z1788" i="1"/>
  <c r="AA1788" i="1" s="1"/>
  <c r="AB1788" i="1" s="1"/>
  <c r="AN1788" i="1" s="1"/>
  <c r="Z1789" i="1"/>
  <c r="AA1789" i="1" s="1"/>
  <c r="AB1789" i="1" s="1"/>
  <c r="AN1789" i="1" s="1"/>
  <c r="Z1790" i="1"/>
  <c r="AA1790" i="1" s="1"/>
  <c r="AB1790" i="1" s="1"/>
  <c r="AN1790" i="1" s="1"/>
  <c r="Z1791" i="1"/>
  <c r="AA1791" i="1" s="1"/>
  <c r="AB1791" i="1" s="1"/>
  <c r="AN1791" i="1" s="1"/>
  <c r="Z1792" i="1"/>
  <c r="AA1792" i="1" s="1"/>
  <c r="AB1792" i="1" s="1"/>
  <c r="AN1792" i="1" s="1"/>
  <c r="Z1793" i="1"/>
  <c r="AA1793" i="1" s="1"/>
  <c r="AB1793" i="1" s="1"/>
  <c r="AN1793" i="1" s="1"/>
  <c r="Z1794" i="1"/>
  <c r="AA1794" i="1" s="1"/>
  <c r="AB1794" i="1" s="1"/>
  <c r="AN1794" i="1" s="1"/>
  <c r="Z1795" i="1"/>
  <c r="AA1795" i="1" s="1"/>
  <c r="AB1795" i="1" s="1"/>
  <c r="AN1795" i="1" s="1"/>
  <c r="Z1796" i="1"/>
  <c r="AA1796" i="1" s="1"/>
  <c r="AB1796" i="1" s="1"/>
  <c r="AN1796" i="1" s="1"/>
  <c r="Z1797" i="1"/>
  <c r="AA1797" i="1" s="1"/>
  <c r="AB1797" i="1" s="1"/>
  <c r="AN1797" i="1" s="1"/>
  <c r="Z1798" i="1"/>
  <c r="AA1798" i="1" s="1"/>
  <c r="AB1798" i="1" s="1"/>
  <c r="AN1798" i="1" s="1"/>
  <c r="Z1799" i="1"/>
  <c r="AA1799" i="1" s="1"/>
  <c r="AB1799" i="1" s="1"/>
  <c r="AN1799" i="1" s="1"/>
  <c r="Z1800" i="1"/>
  <c r="AA1800" i="1" s="1"/>
  <c r="AB1800" i="1" s="1"/>
  <c r="AN1800" i="1" s="1"/>
  <c r="Z1801" i="1"/>
  <c r="AA1801" i="1" s="1"/>
  <c r="AB1801" i="1" s="1"/>
  <c r="AN1801" i="1" s="1"/>
  <c r="Z1802" i="1"/>
  <c r="AA1802" i="1" s="1"/>
  <c r="AB1802" i="1" s="1"/>
  <c r="AN1802" i="1" s="1"/>
  <c r="Z1803" i="1"/>
  <c r="AA1803" i="1" s="1"/>
  <c r="AB1803" i="1" s="1"/>
  <c r="AN1803" i="1" s="1"/>
  <c r="Z1804" i="1"/>
  <c r="AA1804" i="1" s="1"/>
  <c r="AB1804" i="1" s="1"/>
  <c r="AN1804" i="1" s="1"/>
  <c r="Z1805" i="1"/>
  <c r="AA1805" i="1" s="1"/>
  <c r="AB1805" i="1" s="1"/>
  <c r="AN1805" i="1" s="1"/>
  <c r="Z1806" i="1"/>
  <c r="AA1806" i="1" s="1"/>
  <c r="AB1806" i="1" s="1"/>
  <c r="AN1806" i="1" s="1"/>
  <c r="Z1807" i="1"/>
  <c r="AA1807" i="1" s="1"/>
  <c r="AB1807" i="1" s="1"/>
  <c r="AN1807" i="1" s="1"/>
  <c r="Z1808" i="1"/>
  <c r="AA1808" i="1" s="1"/>
  <c r="AB1808" i="1" s="1"/>
  <c r="AN1808" i="1" s="1"/>
  <c r="Z1809" i="1"/>
  <c r="AA1809" i="1" s="1"/>
  <c r="AB1809" i="1" s="1"/>
  <c r="AN1809" i="1" s="1"/>
  <c r="Z1810" i="1"/>
  <c r="AA1810" i="1" s="1"/>
  <c r="AB1810" i="1" s="1"/>
  <c r="AN1810" i="1" s="1"/>
  <c r="Z1811" i="1"/>
  <c r="AA1811" i="1" s="1"/>
  <c r="AB1811" i="1" s="1"/>
  <c r="AN1811" i="1" s="1"/>
  <c r="Z1812" i="1"/>
  <c r="AA1812" i="1" s="1"/>
  <c r="AB1812" i="1" s="1"/>
  <c r="AN1812" i="1" s="1"/>
  <c r="Z1813" i="1"/>
  <c r="AA1813" i="1" s="1"/>
  <c r="AB1813" i="1" s="1"/>
  <c r="AN1813" i="1" s="1"/>
  <c r="Z1814" i="1"/>
  <c r="AA1814" i="1" s="1"/>
  <c r="AB1814" i="1" s="1"/>
  <c r="AN1814" i="1" s="1"/>
  <c r="Z1815" i="1"/>
  <c r="AA1815" i="1" s="1"/>
  <c r="AB1815" i="1" s="1"/>
  <c r="AN1815" i="1" s="1"/>
  <c r="Z1816" i="1"/>
  <c r="AA1816" i="1" s="1"/>
  <c r="AB1816" i="1" s="1"/>
  <c r="AN1816" i="1" s="1"/>
  <c r="Z1817" i="1"/>
  <c r="AA1817" i="1" s="1"/>
  <c r="AB1817" i="1" s="1"/>
  <c r="AN1817" i="1" s="1"/>
  <c r="Z1818" i="1"/>
  <c r="AA1818" i="1" s="1"/>
  <c r="AB1818" i="1" s="1"/>
  <c r="AN1818" i="1" s="1"/>
  <c r="Z1819" i="1"/>
  <c r="AA1819" i="1" s="1"/>
  <c r="AB1819" i="1" s="1"/>
  <c r="AN1819" i="1" s="1"/>
  <c r="Z1820" i="1"/>
  <c r="AA1820" i="1" s="1"/>
  <c r="AB1820" i="1" s="1"/>
  <c r="AN1820" i="1" s="1"/>
  <c r="Z1821" i="1"/>
  <c r="AA1821" i="1" s="1"/>
  <c r="AB1821" i="1" s="1"/>
  <c r="AN1821" i="1" s="1"/>
  <c r="Z1822" i="1"/>
  <c r="AA1822" i="1" s="1"/>
  <c r="AB1822" i="1" s="1"/>
  <c r="AN1822" i="1" s="1"/>
  <c r="Z1823" i="1"/>
  <c r="AA1823" i="1" s="1"/>
  <c r="AB1823" i="1" s="1"/>
  <c r="AN1823" i="1" s="1"/>
  <c r="Z1824" i="1"/>
  <c r="AA1824" i="1" s="1"/>
  <c r="AB1824" i="1" s="1"/>
  <c r="AN1824" i="1" s="1"/>
  <c r="Z1825" i="1"/>
  <c r="AA1825" i="1" s="1"/>
  <c r="AB1825" i="1" s="1"/>
  <c r="AN1825" i="1" s="1"/>
  <c r="Z1826" i="1"/>
  <c r="AA1826" i="1" s="1"/>
  <c r="AB1826" i="1" s="1"/>
  <c r="AN1826" i="1" s="1"/>
  <c r="Z1827" i="1"/>
  <c r="AA1827" i="1" s="1"/>
  <c r="AB1827" i="1" s="1"/>
  <c r="AN1827" i="1" s="1"/>
  <c r="Z1828" i="1"/>
  <c r="AA1828" i="1" s="1"/>
  <c r="AB1828" i="1" s="1"/>
  <c r="AN1828" i="1" s="1"/>
  <c r="Z1829" i="1"/>
  <c r="AA1829" i="1" s="1"/>
  <c r="AB1829" i="1" s="1"/>
  <c r="AN1829" i="1" s="1"/>
  <c r="Z1830" i="1"/>
  <c r="AA1830" i="1" s="1"/>
  <c r="AB1830" i="1" s="1"/>
  <c r="AN1830" i="1" s="1"/>
  <c r="Z1831" i="1"/>
  <c r="AA1831" i="1" s="1"/>
  <c r="AB1831" i="1" s="1"/>
  <c r="AN1831" i="1" s="1"/>
  <c r="Z1832" i="1"/>
  <c r="AA1832" i="1" s="1"/>
  <c r="AB1832" i="1" s="1"/>
  <c r="AN1832" i="1" s="1"/>
  <c r="Z1833" i="1"/>
  <c r="AA1833" i="1" s="1"/>
  <c r="AB1833" i="1" s="1"/>
  <c r="AN1833" i="1" s="1"/>
  <c r="Z1834" i="1"/>
  <c r="AA1834" i="1" s="1"/>
  <c r="AB1834" i="1" s="1"/>
  <c r="AN1834" i="1" s="1"/>
  <c r="Z1835" i="1"/>
  <c r="AA1835" i="1" s="1"/>
  <c r="AB1835" i="1" s="1"/>
  <c r="AN1835" i="1" s="1"/>
  <c r="Z1836" i="1"/>
  <c r="AA1836" i="1" s="1"/>
  <c r="AB1836" i="1" s="1"/>
  <c r="AN1836" i="1" s="1"/>
  <c r="Z1837" i="1"/>
  <c r="AA1837" i="1" s="1"/>
  <c r="AB1837" i="1" s="1"/>
  <c r="AN1837" i="1" s="1"/>
  <c r="Z1838" i="1"/>
  <c r="AA1838" i="1" s="1"/>
  <c r="AB1838" i="1" s="1"/>
  <c r="AN1838" i="1" s="1"/>
  <c r="Z1839" i="1"/>
  <c r="AA1839" i="1" s="1"/>
  <c r="AB1839" i="1" s="1"/>
  <c r="AN1839" i="1" s="1"/>
  <c r="Z1840" i="1"/>
  <c r="AA1840" i="1" s="1"/>
  <c r="AB1840" i="1" s="1"/>
  <c r="AN1840" i="1" s="1"/>
  <c r="Z1841" i="1"/>
  <c r="AA1841" i="1" s="1"/>
  <c r="AB1841" i="1" s="1"/>
  <c r="AN1841" i="1" s="1"/>
  <c r="Z1842" i="1"/>
  <c r="AA1842" i="1" s="1"/>
  <c r="AB1842" i="1" s="1"/>
  <c r="AN1842" i="1" s="1"/>
  <c r="Z1843" i="1"/>
  <c r="AA1843" i="1" s="1"/>
  <c r="AB1843" i="1" s="1"/>
  <c r="AN1843" i="1" s="1"/>
  <c r="Z1844" i="1"/>
  <c r="AA1844" i="1" s="1"/>
  <c r="AB1844" i="1" s="1"/>
  <c r="AN1844" i="1" s="1"/>
  <c r="Z1845" i="1"/>
  <c r="AA1845" i="1" s="1"/>
  <c r="AB1845" i="1" s="1"/>
  <c r="AN1845" i="1" s="1"/>
  <c r="Z1846" i="1"/>
  <c r="AA1846" i="1" s="1"/>
  <c r="AB1846" i="1" s="1"/>
  <c r="AN1846" i="1" s="1"/>
  <c r="Z1847" i="1"/>
  <c r="AA1847" i="1" s="1"/>
  <c r="AB1847" i="1" s="1"/>
  <c r="AN1847" i="1" s="1"/>
  <c r="Z1848" i="1"/>
  <c r="AA1848" i="1" s="1"/>
  <c r="AB1848" i="1" s="1"/>
  <c r="AN1848" i="1" s="1"/>
  <c r="Z1849" i="1"/>
  <c r="AA1849" i="1" s="1"/>
  <c r="AB1849" i="1" s="1"/>
  <c r="AN1849" i="1" s="1"/>
  <c r="Z1850" i="1"/>
  <c r="AA1850" i="1" s="1"/>
  <c r="AB1850" i="1" s="1"/>
  <c r="AN1850" i="1" s="1"/>
  <c r="Z1851" i="1"/>
  <c r="AA1851" i="1" s="1"/>
  <c r="AB1851" i="1" s="1"/>
  <c r="AN1851" i="1" s="1"/>
  <c r="Z1852" i="1"/>
  <c r="AA1852" i="1" s="1"/>
  <c r="AB1852" i="1" s="1"/>
  <c r="AN1852" i="1" s="1"/>
  <c r="Z1853" i="1"/>
  <c r="AA1853" i="1" s="1"/>
  <c r="AB1853" i="1" s="1"/>
  <c r="AN1853" i="1" s="1"/>
  <c r="Z1854" i="1"/>
  <c r="AA1854" i="1" s="1"/>
  <c r="AB1854" i="1" s="1"/>
  <c r="AN1854" i="1" s="1"/>
  <c r="Z1855" i="1"/>
  <c r="AA1855" i="1" s="1"/>
  <c r="AB1855" i="1" s="1"/>
  <c r="AN1855" i="1" s="1"/>
  <c r="Z1856" i="1"/>
  <c r="AA1856" i="1" s="1"/>
  <c r="AB1856" i="1" s="1"/>
  <c r="AN1856" i="1" s="1"/>
  <c r="Z1857" i="1"/>
  <c r="AA1857" i="1" s="1"/>
  <c r="AB1857" i="1" s="1"/>
  <c r="AN1857" i="1" s="1"/>
  <c r="Z1858" i="1"/>
  <c r="AA1858" i="1" s="1"/>
  <c r="AB1858" i="1" s="1"/>
  <c r="AN1858" i="1" s="1"/>
  <c r="Z1859" i="1"/>
  <c r="AA1859" i="1" s="1"/>
  <c r="AB1859" i="1" s="1"/>
  <c r="AN1859" i="1" s="1"/>
  <c r="Z1860" i="1"/>
  <c r="AA1860" i="1" s="1"/>
  <c r="AB1860" i="1" s="1"/>
  <c r="AN1860" i="1" s="1"/>
  <c r="Z1861" i="1"/>
  <c r="AA1861" i="1" s="1"/>
  <c r="AB1861" i="1" s="1"/>
  <c r="AN1861" i="1" s="1"/>
  <c r="Z1862" i="1"/>
  <c r="AA1862" i="1" s="1"/>
  <c r="AB1862" i="1" s="1"/>
  <c r="AN1862" i="1" s="1"/>
  <c r="Z1863" i="1"/>
  <c r="AA1863" i="1" s="1"/>
  <c r="AB1863" i="1" s="1"/>
  <c r="AN1863" i="1" s="1"/>
  <c r="Z1864" i="1"/>
  <c r="AA1864" i="1" s="1"/>
  <c r="AB1864" i="1" s="1"/>
  <c r="AN1864" i="1" s="1"/>
  <c r="Z1865" i="1"/>
  <c r="AA1865" i="1" s="1"/>
  <c r="AB1865" i="1" s="1"/>
  <c r="AN1865" i="1" s="1"/>
  <c r="Z1866" i="1"/>
  <c r="AA1866" i="1" s="1"/>
  <c r="AB1866" i="1" s="1"/>
  <c r="AN1866" i="1" s="1"/>
  <c r="Z1867" i="1"/>
  <c r="AA1867" i="1" s="1"/>
  <c r="AB1867" i="1" s="1"/>
  <c r="AN1867" i="1" s="1"/>
  <c r="Z1868" i="1"/>
  <c r="AA1868" i="1" s="1"/>
  <c r="AB1868" i="1" s="1"/>
  <c r="AN1868" i="1" s="1"/>
  <c r="Z1869" i="1"/>
  <c r="AA1869" i="1" s="1"/>
  <c r="AB1869" i="1" s="1"/>
  <c r="AN1869" i="1" s="1"/>
  <c r="Z1870" i="1"/>
  <c r="AA1870" i="1" s="1"/>
  <c r="AB1870" i="1" s="1"/>
  <c r="AN1870" i="1" s="1"/>
  <c r="Z1871" i="1"/>
  <c r="AA1871" i="1" s="1"/>
  <c r="AB1871" i="1" s="1"/>
  <c r="AN1871" i="1" s="1"/>
  <c r="Z1872" i="1"/>
  <c r="AA1872" i="1" s="1"/>
  <c r="AB1872" i="1" s="1"/>
  <c r="AN1872" i="1" s="1"/>
  <c r="Z1873" i="1"/>
  <c r="AA1873" i="1" s="1"/>
  <c r="AB1873" i="1" s="1"/>
  <c r="AN1873" i="1" s="1"/>
  <c r="Z1874" i="1"/>
  <c r="AA1874" i="1" s="1"/>
  <c r="AB1874" i="1" s="1"/>
  <c r="AN1874" i="1" s="1"/>
  <c r="Z1875" i="1"/>
  <c r="AA1875" i="1" s="1"/>
  <c r="AB1875" i="1" s="1"/>
  <c r="AN1875" i="1" s="1"/>
  <c r="Z1876" i="1"/>
  <c r="AA1876" i="1" s="1"/>
  <c r="AB1876" i="1" s="1"/>
  <c r="AN1876" i="1" s="1"/>
  <c r="Z1877" i="1"/>
  <c r="AA1877" i="1" s="1"/>
  <c r="AB1877" i="1" s="1"/>
  <c r="AN1877" i="1" s="1"/>
  <c r="Z1878" i="1"/>
  <c r="AA1878" i="1" s="1"/>
  <c r="AB1878" i="1" s="1"/>
  <c r="AN1878" i="1" s="1"/>
  <c r="Z1879" i="1"/>
  <c r="AA1879" i="1" s="1"/>
  <c r="AB1879" i="1" s="1"/>
  <c r="AN1879" i="1" s="1"/>
  <c r="Z1880" i="1"/>
  <c r="AA1880" i="1" s="1"/>
  <c r="AB1880" i="1" s="1"/>
  <c r="AN1880" i="1" s="1"/>
  <c r="Z1881" i="1"/>
  <c r="AA1881" i="1" s="1"/>
  <c r="AB1881" i="1" s="1"/>
  <c r="AN1881" i="1" s="1"/>
  <c r="Z1882" i="1"/>
  <c r="AA1882" i="1" s="1"/>
  <c r="AB1882" i="1" s="1"/>
  <c r="AN1882" i="1" s="1"/>
  <c r="Z1883" i="1"/>
  <c r="AA1883" i="1" s="1"/>
  <c r="AB1883" i="1" s="1"/>
  <c r="AN1883" i="1" s="1"/>
  <c r="Z1884" i="1"/>
  <c r="AA1884" i="1" s="1"/>
  <c r="AB1884" i="1" s="1"/>
  <c r="AN1884" i="1" s="1"/>
  <c r="Z1885" i="1"/>
  <c r="AA1885" i="1" s="1"/>
  <c r="AB1885" i="1" s="1"/>
  <c r="AN1885" i="1" s="1"/>
  <c r="Z1886" i="1"/>
  <c r="AA1886" i="1" s="1"/>
  <c r="AB1886" i="1" s="1"/>
  <c r="AN1886" i="1" s="1"/>
  <c r="Z1887" i="1"/>
  <c r="AA1887" i="1" s="1"/>
  <c r="AB1887" i="1" s="1"/>
  <c r="AN1887" i="1" s="1"/>
  <c r="Z1888" i="1"/>
  <c r="AA1888" i="1" s="1"/>
  <c r="AB1888" i="1" s="1"/>
  <c r="AN1888" i="1" s="1"/>
  <c r="Z1889" i="1"/>
  <c r="AA1889" i="1" s="1"/>
  <c r="AB1889" i="1" s="1"/>
  <c r="AN1889" i="1" s="1"/>
  <c r="Z1890" i="1"/>
  <c r="AA1890" i="1" s="1"/>
  <c r="AB1890" i="1" s="1"/>
  <c r="AN1890" i="1" s="1"/>
  <c r="Z1891" i="1"/>
  <c r="AA1891" i="1" s="1"/>
  <c r="AB1891" i="1" s="1"/>
  <c r="AN1891" i="1" s="1"/>
  <c r="Z1892" i="1"/>
  <c r="AA1892" i="1" s="1"/>
  <c r="AB1892" i="1" s="1"/>
  <c r="AN1892" i="1" s="1"/>
  <c r="Z1893" i="1"/>
  <c r="AA1893" i="1" s="1"/>
  <c r="AB1893" i="1" s="1"/>
  <c r="AN1893" i="1" s="1"/>
  <c r="Z1894" i="1"/>
  <c r="AA1894" i="1" s="1"/>
  <c r="AB1894" i="1" s="1"/>
  <c r="AN1894" i="1" s="1"/>
  <c r="Z1895" i="1"/>
  <c r="AA1895" i="1" s="1"/>
  <c r="AB1895" i="1" s="1"/>
  <c r="AN1895" i="1" s="1"/>
  <c r="Z1896" i="1"/>
  <c r="AA1896" i="1" s="1"/>
  <c r="AB1896" i="1" s="1"/>
  <c r="AN1896" i="1" s="1"/>
  <c r="Z1897" i="1"/>
  <c r="AA1897" i="1" s="1"/>
  <c r="AB1897" i="1" s="1"/>
  <c r="AN1897" i="1" s="1"/>
  <c r="Z1898" i="1"/>
  <c r="AA1898" i="1" s="1"/>
  <c r="AB1898" i="1" s="1"/>
  <c r="AN1898" i="1" s="1"/>
  <c r="Z1899" i="1"/>
  <c r="AA1899" i="1" s="1"/>
  <c r="AB1899" i="1" s="1"/>
  <c r="AN1899" i="1" s="1"/>
  <c r="Z1900" i="1"/>
  <c r="AA1900" i="1" s="1"/>
  <c r="AB1900" i="1" s="1"/>
  <c r="AN1900" i="1" s="1"/>
  <c r="Z1901" i="1"/>
  <c r="AA1901" i="1" s="1"/>
  <c r="AB1901" i="1" s="1"/>
  <c r="AN1901" i="1" s="1"/>
  <c r="Z1902" i="1"/>
  <c r="AA1902" i="1" s="1"/>
  <c r="AB1902" i="1" s="1"/>
  <c r="AN1902" i="1" s="1"/>
  <c r="Z1903" i="1"/>
  <c r="AA1903" i="1" s="1"/>
  <c r="AB1903" i="1" s="1"/>
  <c r="AN1903" i="1" s="1"/>
  <c r="Z1904" i="1"/>
  <c r="AA1904" i="1" s="1"/>
  <c r="AB1904" i="1" s="1"/>
  <c r="AN1904" i="1" s="1"/>
  <c r="Z1905" i="1"/>
  <c r="AA1905" i="1" s="1"/>
  <c r="AB1905" i="1" s="1"/>
  <c r="AN1905" i="1" s="1"/>
  <c r="Z1906" i="1"/>
  <c r="AA1906" i="1" s="1"/>
  <c r="AB1906" i="1" s="1"/>
  <c r="AN1906" i="1" s="1"/>
  <c r="Z1907" i="1"/>
  <c r="AA1907" i="1" s="1"/>
  <c r="AB1907" i="1" s="1"/>
  <c r="AN1907" i="1" s="1"/>
  <c r="Z1908" i="1"/>
  <c r="AA1908" i="1" s="1"/>
  <c r="AB1908" i="1" s="1"/>
  <c r="AN1908" i="1" s="1"/>
  <c r="Z1909" i="1"/>
  <c r="AA1909" i="1" s="1"/>
  <c r="AB1909" i="1" s="1"/>
  <c r="AN1909" i="1" s="1"/>
  <c r="Z1910" i="1"/>
  <c r="AA1910" i="1" s="1"/>
  <c r="AB1910" i="1" s="1"/>
  <c r="AN1910" i="1" s="1"/>
  <c r="Z1911" i="1"/>
  <c r="AA1911" i="1" s="1"/>
  <c r="AB1911" i="1" s="1"/>
  <c r="AN1911" i="1" s="1"/>
  <c r="Z1912" i="1"/>
  <c r="AA1912" i="1" s="1"/>
  <c r="AB1912" i="1" s="1"/>
  <c r="AN1912" i="1" s="1"/>
  <c r="Z1913" i="1"/>
  <c r="AA1913" i="1" s="1"/>
  <c r="AB1913" i="1" s="1"/>
  <c r="AN1913" i="1" s="1"/>
  <c r="Z1914" i="1"/>
  <c r="AA1914" i="1" s="1"/>
  <c r="AB1914" i="1" s="1"/>
  <c r="AN1914" i="1" s="1"/>
  <c r="Z1915" i="1"/>
  <c r="AA1915" i="1" s="1"/>
  <c r="AB1915" i="1" s="1"/>
  <c r="AN1915" i="1" s="1"/>
  <c r="Z1916" i="1"/>
  <c r="AA1916" i="1" s="1"/>
  <c r="AB1916" i="1" s="1"/>
  <c r="AN1916" i="1" s="1"/>
  <c r="Z1917" i="1"/>
  <c r="AA1917" i="1" s="1"/>
  <c r="AB1917" i="1" s="1"/>
  <c r="AN1917" i="1" s="1"/>
  <c r="Z1918" i="1"/>
  <c r="AA1918" i="1" s="1"/>
  <c r="AB1918" i="1" s="1"/>
  <c r="AN1918" i="1" s="1"/>
  <c r="Z1919" i="1"/>
  <c r="AA1919" i="1" s="1"/>
  <c r="AB1919" i="1" s="1"/>
  <c r="AN1919" i="1" s="1"/>
  <c r="Z1920" i="1"/>
  <c r="AA1920" i="1" s="1"/>
  <c r="AB1920" i="1" s="1"/>
  <c r="AN1920" i="1" s="1"/>
  <c r="Z1921" i="1"/>
  <c r="AA1921" i="1" s="1"/>
  <c r="AB1921" i="1" s="1"/>
  <c r="AN1921" i="1" s="1"/>
  <c r="Z1922" i="1"/>
  <c r="AA1922" i="1" s="1"/>
  <c r="AB1922" i="1" s="1"/>
  <c r="AN1922" i="1" s="1"/>
  <c r="Z1923" i="1"/>
  <c r="AA1923" i="1" s="1"/>
  <c r="AB1923" i="1" s="1"/>
  <c r="AN1923" i="1" s="1"/>
  <c r="Z1924" i="1"/>
  <c r="AA1924" i="1" s="1"/>
  <c r="AB1924" i="1" s="1"/>
  <c r="AN1924" i="1" s="1"/>
  <c r="Z1925" i="1"/>
  <c r="AA1925" i="1" s="1"/>
  <c r="AB1925" i="1" s="1"/>
  <c r="AN1925" i="1" s="1"/>
  <c r="Z1926" i="1"/>
  <c r="AA1926" i="1" s="1"/>
  <c r="AB1926" i="1" s="1"/>
  <c r="AN1926" i="1" s="1"/>
  <c r="Z1927" i="1"/>
  <c r="AA1927" i="1" s="1"/>
  <c r="AB1927" i="1" s="1"/>
  <c r="AN1927" i="1" s="1"/>
  <c r="Z1928" i="1"/>
  <c r="AA1928" i="1" s="1"/>
  <c r="AB1928" i="1" s="1"/>
  <c r="AN1928" i="1" s="1"/>
  <c r="Z1929" i="1"/>
  <c r="AA1929" i="1" s="1"/>
  <c r="AB1929" i="1" s="1"/>
  <c r="AN1929" i="1" s="1"/>
  <c r="Z1930" i="1"/>
  <c r="AA1930" i="1" s="1"/>
  <c r="AB1930" i="1" s="1"/>
  <c r="AN1930" i="1" s="1"/>
  <c r="Z1931" i="1"/>
  <c r="AA1931" i="1" s="1"/>
  <c r="AB1931" i="1" s="1"/>
  <c r="AN1931" i="1" s="1"/>
  <c r="Z1932" i="1"/>
  <c r="AA1932" i="1" s="1"/>
  <c r="AB1932" i="1" s="1"/>
  <c r="AN1932" i="1" s="1"/>
  <c r="Z1933" i="1"/>
  <c r="AA1933" i="1" s="1"/>
  <c r="AB1933" i="1" s="1"/>
  <c r="AN1933" i="1" s="1"/>
  <c r="Z1934" i="1"/>
  <c r="AA1934" i="1" s="1"/>
  <c r="AB1934" i="1" s="1"/>
  <c r="AN1934" i="1" s="1"/>
  <c r="Z1935" i="1"/>
  <c r="AA1935" i="1" s="1"/>
  <c r="AB1935" i="1" s="1"/>
  <c r="AN1935" i="1" s="1"/>
  <c r="Z1936" i="1"/>
  <c r="AA1936" i="1" s="1"/>
  <c r="AB1936" i="1" s="1"/>
  <c r="AN1936" i="1" s="1"/>
  <c r="Z1937" i="1"/>
  <c r="AA1937" i="1" s="1"/>
  <c r="AB1937" i="1" s="1"/>
  <c r="AN1937" i="1" s="1"/>
  <c r="Z1938" i="1"/>
  <c r="AA1938" i="1" s="1"/>
  <c r="AB1938" i="1" s="1"/>
  <c r="AN1938" i="1" s="1"/>
  <c r="Z1939" i="1"/>
  <c r="AA1939" i="1" s="1"/>
  <c r="AB1939" i="1" s="1"/>
  <c r="AN1939" i="1" s="1"/>
  <c r="Z1940" i="1"/>
  <c r="AA1940" i="1" s="1"/>
  <c r="AB1940" i="1" s="1"/>
  <c r="AN1940" i="1" s="1"/>
  <c r="Z1941" i="1"/>
  <c r="AA1941" i="1" s="1"/>
  <c r="AB1941" i="1" s="1"/>
  <c r="AN1941" i="1" s="1"/>
  <c r="Z1942" i="1"/>
  <c r="AA1942" i="1" s="1"/>
  <c r="AB1942" i="1" s="1"/>
  <c r="AN1942" i="1" s="1"/>
  <c r="Z1943" i="1"/>
  <c r="AA1943" i="1" s="1"/>
  <c r="AB1943" i="1" s="1"/>
  <c r="AN1943" i="1" s="1"/>
  <c r="Z1944" i="1"/>
  <c r="AA1944" i="1" s="1"/>
  <c r="AB1944" i="1" s="1"/>
  <c r="AN1944" i="1" s="1"/>
  <c r="Z1945" i="1"/>
  <c r="AA1945" i="1" s="1"/>
  <c r="AB1945" i="1" s="1"/>
  <c r="AN1945" i="1" s="1"/>
  <c r="Z1946" i="1"/>
  <c r="AA1946" i="1" s="1"/>
  <c r="AB1946" i="1" s="1"/>
  <c r="AN1946" i="1" s="1"/>
  <c r="Z1947" i="1"/>
  <c r="AA1947" i="1" s="1"/>
  <c r="AB1947" i="1" s="1"/>
  <c r="AN1947" i="1" s="1"/>
  <c r="Z1948" i="1"/>
  <c r="AA1948" i="1" s="1"/>
  <c r="AB1948" i="1" s="1"/>
  <c r="AN1948" i="1" s="1"/>
  <c r="Z1949" i="1"/>
  <c r="AA1949" i="1" s="1"/>
  <c r="AB1949" i="1" s="1"/>
  <c r="AN1949" i="1" s="1"/>
  <c r="Z1950" i="1"/>
  <c r="AA1950" i="1" s="1"/>
  <c r="AB1950" i="1" s="1"/>
  <c r="AN1950" i="1" s="1"/>
  <c r="Z1951" i="1"/>
  <c r="AA1951" i="1" s="1"/>
  <c r="AB1951" i="1" s="1"/>
  <c r="AN1951" i="1" s="1"/>
  <c r="Z1952" i="1"/>
  <c r="AA1952" i="1" s="1"/>
  <c r="AB1952" i="1" s="1"/>
  <c r="AN1952" i="1" s="1"/>
  <c r="Z1953" i="1"/>
  <c r="AA1953" i="1" s="1"/>
  <c r="AB1953" i="1" s="1"/>
  <c r="AN1953" i="1" s="1"/>
  <c r="Z1954" i="1"/>
  <c r="AA1954" i="1" s="1"/>
  <c r="AB1954" i="1" s="1"/>
  <c r="AN1954" i="1" s="1"/>
  <c r="Z1955" i="1"/>
  <c r="AA1955" i="1" s="1"/>
  <c r="AB1955" i="1" s="1"/>
  <c r="AN1955" i="1" s="1"/>
  <c r="Z1956" i="1"/>
  <c r="AA1956" i="1" s="1"/>
  <c r="AB1956" i="1" s="1"/>
  <c r="AN1956" i="1" s="1"/>
  <c r="Z1957" i="1"/>
  <c r="AA1957" i="1" s="1"/>
  <c r="AB1957" i="1" s="1"/>
  <c r="AN1957" i="1" s="1"/>
  <c r="Z1958" i="1"/>
  <c r="AA1958" i="1" s="1"/>
  <c r="AB1958" i="1" s="1"/>
  <c r="AN1958" i="1" s="1"/>
  <c r="Z1959" i="1"/>
  <c r="AA1959" i="1" s="1"/>
  <c r="AB1959" i="1" s="1"/>
  <c r="AN1959" i="1" s="1"/>
  <c r="Z1960" i="1"/>
  <c r="AA1960" i="1" s="1"/>
  <c r="AB1960" i="1" s="1"/>
  <c r="AN1960" i="1" s="1"/>
  <c r="Z1961" i="1"/>
  <c r="AA1961" i="1" s="1"/>
  <c r="AB1961" i="1" s="1"/>
  <c r="AN1961" i="1" s="1"/>
  <c r="Z1962" i="1"/>
  <c r="AA1962" i="1" s="1"/>
  <c r="AB1962" i="1" s="1"/>
  <c r="AN1962" i="1" s="1"/>
  <c r="Z1963" i="1"/>
  <c r="AA1963" i="1" s="1"/>
  <c r="AB1963" i="1" s="1"/>
  <c r="AN1963" i="1" s="1"/>
  <c r="Z1964" i="1"/>
  <c r="AA1964" i="1" s="1"/>
  <c r="AB1964" i="1" s="1"/>
  <c r="AN1964" i="1" s="1"/>
  <c r="Z1965" i="1"/>
  <c r="AA1965" i="1" s="1"/>
  <c r="AB1965" i="1" s="1"/>
  <c r="AN1965" i="1" s="1"/>
  <c r="Z1966" i="1"/>
  <c r="AA1966" i="1" s="1"/>
  <c r="AB1966" i="1" s="1"/>
  <c r="AN1966" i="1" s="1"/>
  <c r="Z1967" i="1"/>
  <c r="AA1967" i="1" s="1"/>
  <c r="AB1967" i="1" s="1"/>
  <c r="AN1967" i="1" s="1"/>
  <c r="Z1968" i="1"/>
  <c r="AA1968" i="1" s="1"/>
  <c r="AB1968" i="1" s="1"/>
  <c r="AN1968" i="1" s="1"/>
  <c r="Z1969" i="1"/>
  <c r="AA1969" i="1" s="1"/>
  <c r="AB1969" i="1" s="1"/>
  <c r="AN1969" i="1" s="1"/>
  <c r="Z1970" i="1"/>
  <c r="AA1970" i="1" s="1"/>
  <c r="AB1970" i="1" s="1"/>
  <c r="AN1970" i="1" s="1"/>
  <c r="Z1971" i="1"/>
  <c r="AA1971" i="1" s="1"/>
  <c r="AB1971" i="1" s="1"/>
  <c r="AN1971" i="1" s="1"/>
  <c r="Z1972" i="1"/>
  <c r="AA1972" i="1" s="1"/>
  <c r="AB1972" i="1" s="1"/>
  <c r="AN1972" i="1" s="1"/>
  <c r="Z1973" i="1"/>
  <c r="AA1973" i="1" s="1"/>
  <c r="AB1973" i="1" s="1"/>
  <c r="AN1973" i="1" s="1"/>
  <c r="Z1974" i="1"/>
  <c r="AA1974" i="1" s="1"/>
  <c r="AB1974" i="1" s="1"/>
  <c r="AN1974" i="1" s="1"/>
  <c r="Z1975" i="1"/>
  <c r="AA1975" i="1" s="1"/>
  <c r="AB1975" i="1" s="1"/>
  <c r="AN1975" i="1" s="1"/>
  <c r="Z1976" i="1"/>
  <c r="AA1976" i="1" s="1"/>
  <c r="AB1976" i="1" s="1"/>
  <c r="AN1976" i="1" s="1"/>
  <c r="Z1977" i="1"/>
  <c r="AA1977" i="1" s="1"/>
  <c r="AB1977" i="1" s="1"/>
  <c r="AN1977" i="1" s="1"/>
  <c r="Z1978" i="1"/>
  <c r="AA1978" i="1" s="1"/>
  <c r="AB1978" i="1" s="1"/>
  <c r="AN1978" i="1" s="1"/>
  <c r="Z1979" i="1"/>
  <c r="AA1979" i="1" s="1"/>
  <c r="AB1979" i="1" s="1"/>
  <c r="AN1979" i="1" s="1"/>
  <c r="Z1980" i="1"/>
  <c r="AA1980" i="1" s="1"/>
  <c r="AB1980" i="1" s="1"/>
  <c r="AN1980" i="1" s="1"/>
  <c r="Z1981" i="1"/>
  <c r="AA1981" i="1" s="1"/>
  <c r="AB1981" i="1" s="1"/>
  <c r="AN1981" i="1" s="1"/>
  <c r="Z1982" i="1"/>
  <c r="AA1982" i="1" s="1"/>
  <c r="AB1982" i="1" s="1"/>
  <c r="AN1982" i="1" s="1"/>
  <c r="Z1983" i="1"/>
  <c r="AA1983" i="1" s="1"/>
  <c r="AB1983" i="1" s="1"/>
  <c r="AN1983" i="1" s="1"/>
  <c r="Z1984" i="1"/>
  <c r="AA1984" i="1" s="1"/>
  <c r="AB1984" i="1" s="1"/>
  <c r="AN1984" i="1" s="1"/>
  <c r="Z1985" i="1"/>
  <c r="AA1985" i="1" s="1"/>
  <c r="AB1985" i="1" s="1"/>
  <c r="AN1985" i="1" s="1"/>
  <c r="Z1986" i="1"/>
  <c r="AA1986" i="1" s="1"/>
  <c r="AB1986" i="1" s="1"/>
  <c r="AN1986" i="1" s="1"/>
  <c r="Z1987" i="1"/>
  <c r="AA1987" i="1" s="1"/>
  <c r="AB1987" i="1" s="1"/>
  <c r="AN1987" i="1" s="1"/>
  <c r="Z1988" i="1"/>
  <c r="AA1988" i="1" s="1"/>
  <c r="AB1988" i="1" s="1"/>
  <c r="AN1988" i="1" s="1"/>
  <c r="Z1989" i="1"/>
  <c r="AA1989" i="1" s="1"/>
  <c r="AB1989" i="1" s="1"/>
  <c r="AN1989" i="1" s="1"/>
  <c r="Z1990" i="1"/>
  <c r="AA1990" i="1" s="1"/>
  <c r="AB1990" i="1" s="1"/>
  <c r="AN1990" i="1" s="1"/>
  <c r="Z1991" i="1"/>
  <c r="AA1991" i="1" s="1"/>
  <c r="AB1991" i="1" s="1"/>
  <c r="AN1991" i="1" s="1"/>
  <c r="Z1992" i="1"/>
  <c r="AA1992" i="1" s="1"/>
  <c r="AB1992" i="1" s="1"/>
  <c r="AN1992" i="1" s="1"/>
  <c r="Z1993" i="1"/>
  <c r="AA1993" i="1" s="1"/>
  <c r="AB1993" i="1" s="1"/>
  <c r="AN1993" i="1" s="1"/>
  <c r="Z1994" i="1"/>
  <c r="AA1994" i="1" s="1"/>
  <c r="AB1994" i="1" s="1"/>
  <c r="AN1994" i="1" s="1"/>
  <c r="Z1995" i="1"/>
  <c r="AA1995" i="1" s="1"/>
  <c r="AB1995" i="1" s="1"/>
  <c r="AN1995" i="1" s="1"/>
  <c r="Z1996" i="1"/>
  <c r="AA1996" i="1" s="1"/>
  <c r="AB1996" i="1" s="1"/>
  <c r="AN1996" i="1" s="1"/>
  <c r="Z1997" i="1"/>
  <c r="AA1997" i="1" s="1"/>
  <c r="AB1997" i="1" s="1"/>
  <c r="AN1997" i="1" s="1"/>
  <c r="Z1998" i="1"/>
  <c r="AA1998" i="1" s="1"/>
  <c r="AB1998" i="1" s="1"/>
  <c r="AN1998" i="1" s="1"/>
  <c r="Z1999" i="1"/>
  <c r="AA1999" i="1" s="1"/>
  <c r="AB1999" i="1" s="1"/>
  <c r="AN1999" i="1" s="1"/>
  <c r="Z2000" i="1"/>
  <c r="AA2000" i="1" s="1"/>
  <c r="AB2000" i="1" s="1"/>
  <c r="AN2000" i="1" s="1"/>
  <c r="Z2001" i="1"/>
  <c r="AA2001" i="1" s="1"/>
  <c r="AB2001" i="1" s="1"/>
  <c r="AN2001" i="1" s="1"/>
  <c r="Z2002" i="1"/>
  <c r="AA2002" i="1" s="1"/>
  <c r="AB2002" i="1" s="1"/>
  <c r="AN2002" i="1" s="1"/>
  <c r="Z2003" i="1"/>
  <c r="AA2003" i="1" s="1"/>
  <c r="AB2003" i="1" s="1"/>
  <c r="AN2003" i="1" s="1"/>
  <c r="Z2004" i="1"/>
  <c r="AA2004" i="1" s="1"/>
  <c r="AB2004" i="1" s="1"/>
  <c r="AN2004" i="1" s="1"/>
  <c r="Z2005" i="1"/>
  <c r="AA2005" i="1" s="1"/>
  <c r="AB2005" i="1" s="1"/>
  <c r="AN2005" i="1" s="1"/>
  <c r="Z2006" i="1"/>
  <c r="AA2006" i="1" s="1"/>
  <c r="AB2006" i="1" s="1"/>
  <c r="AN2006" i="1" s="1"/>
  <c r="Z2007" i="1"/>
  <c r="AA2007" i="1" s="1"/>
  <c r="AB2007" i="1" s="1"/>
  <c r="AN2007" i="1" s="1"/>
  <c r="Z2008" i="1"/>
  <c r="AA2008" i="1" s="1"/>
  <c r="AB2008" i="1" s="1"/>
  <c r="AN2008" i="1" s="1"/>
  <c r="Z2009" i="1"/>
  <c r="AA2009" i="1" s="1"/>
  <c r="AB2009" i="1" s="1"/>
  <c r="AN2009" i="1" s="1"/>
  <c r="Z2010" i="1"/>
  <c r="AA2010" i="1" s="1"/>
  <c r="AB2010" i="1" s="1"/>
  <c r="AN2010" i="1" s="1"/>
  <c r="Z2011" i="1"/>
  <c r="AA2011" i="1" s="1"/>
  <c r="AB2011" i="1" s="1"/>
  <c r="AN2011" i="1" s="1"/>
  <c r="Z2012" i="1"/>
  <c r="AA2012" i="1" s="1"/>
  <c r="AB2012" i="1" s="1"/>
  <c r="AN2012" i="1" s="1"/>
  <c r="Z2013" i="1"/>
  <c r="AA2013" i="1" s="1"/>
  <c r="AB2013" i="1" s="1"/>
  <c r="AN2013" i="1" s="1"/>
  <c r="Z2014" i="1"/>
  <c r="AA2014" i="1" s="1"/>
  <c r="AB2014" i="1" s="1"/>
  <c r="AN2014" i="1" s="1"/>
  <c r="Z2015" i="1"/>
  <c r="AA2015" i="1" s="1"/>
  <c r="AB2015" i="1" s="1"/>
  <c r="AN2015" i="1" s="1"/>
  <c r="Z2016" i="1"/>
  <c r="AA2016" i="1" s="1"/>
  <c r="AB2016" i="1" s="1"/>
  <c r="AN2016" i="1" s="1"/>
  <c r="Z2017" i="1"/>
  <c r="AA2017" i="1" s="1"/>
  <c r="AB2017" i="1" s="1"/>
  <c r="AN2017" i="1" s="1"/>
  <c r="Z2018" i="1"/>
  <c r="AA2018" i="1" s="1"/>
  <c r="AB2018" i="1" s="1"/>
  <c r="AN2018" i="1" s="1"/>
  <c r="Z2019" i="1"/>
  <c r="AA2019" i="1" s="1"/>
  <c r="AB2019" i="1" s="1"/>
  <c r="AN2019" i="1" s="1"/>
  <c r="Z2020" i="1"/>
  <c r="AA2020" i="1" s="1"/>
  <c r="AB2020" i="1" s="1"/>
  <c r="AN2020" i="1" s="1"/>
  <c r="Z2021" i="1"/>
  <c r="AA2021" i="1" s="1"/>
  <c r="AB2021" i="1" s="1"/>
  <c r="AN2021" i="1" s="1"/>
  <c r="Z2022" i="1"/>
  <c r="AA2022" i="1" s="1"/>
  <c r="AB2022" i="1" s="1"/>
  <c r="AN2022" i="1" s="1"/>
  <c r="Z2023" i="1"/>
  <c r="AA2023" i="1" s="1"/>
  <c r="AB2023" i="1" s="1"/>
  <c r="AN2023" i="1" s="1"/>
  <c r="Z2024" i="1"/>
  <c r="AA2024" i="1" s="1"/>
  <c r="AB2024" i="1" s="1"/>
  <c r="AN2024" i="1" s="1"/>
  <c r="Z2025" i="1"/>
  <c r="AA2025" i="1" s="1"/>
  <c r="AB2025" i="1" s="1"/>
  <c r="AN2025" i="1" s="1"/>
  <c r="Z2026" i="1"/>
  <c r="AA2026" i="1" s="1"/>
  <c r="AB2026" i="1" s="1"/>
  <c r="AN2026" i="1" s="1"/>
  <c r="Z2027" i="1"/>
  <c r="AA2027" i="1" s="1"/>
  <c r="AB2027" i="1" s="1"/>
  <c r="AN2027" i="1" s="1"/>
  <c r="Z2028" i="1"/>
  <c r="AA2028" i="1" s="1"/>
  <c r="AB2028" i="1" s="1"/>
  <c r="AN2028" i="1" s="1"/>
  <c r="Z2029" i="1"/>
  <c r="AA2029" i="1" s="1"/>
  <c r="AB2029" i="1" s="1"/>
  <c r="AN2029" i="1" s="1"/>
  <c r="Z2030" i="1"/>
  <c r="AA2030" i="1" s="1"/>
  <c r="AB2030" i="1" s="1"/>
  <c r="AN2030" i="1" s="1"/>
  <c r="Z2031" i="1"/>
  <c r="AA2031" i="1" s="1"/>
  <c r="AB2031" i="1" s="1"/>
  <c r="AN2031" i="1" s="1"/>
  <c r="Z2032" i="1"/>
  <c r="AA2032" i="1" s="1"/>
  <c r="AB2032" i="1" s="1"/>
  <c r="AN2032" i="1" s="1"/>
  <c r="Z2033" i="1"/>
  <c r="AA2033" i="1" s="1"/>
  <c r="AB2033" i="1" s="1"/>
  <c r="AN2033" i="1" s="1"/>
  <c r="Z2034" i="1"/>
  <c r="AA2034" i="1" s="1"/>
  <c r="AB2034" i="1" s="1"/>
  <c r="AN2034" i="1" s="1"/>
  <c r="Z2035" i="1"/>
  <c r="AA2035" i="1" s="1"/>
  <c r="AB2035" i="1" s="1"/>
  <c r="AN2035" i="1" s="1"/>
  <c r="Z2036" i="1"/>
  <c r="AA2036" i="1" s="1"/>
  <c r="AB2036" i="1" s="1"/>
  <c r="AN2036" i="1" s="1"/>
  <c r="Z2037" i="1"/>
  <c r="AA2037" i="1" s="1"/>
  <c r="AB2037" i="1" s="1"/>
  <c r="AN2037" i="1" s="1"/>
  <c r="Z2038" i="1"/>
  <c r="AA2038" i="1" s="1"/>
  <c r="AB2038" i="1" s="1"/>
  <c r="AN2038" i="1" s="1"/>
  <c r="Z2039" i="1"/>
  <c r="AA2039" i="1" s="1"/>
  <c r="AB2039" i="1" s="1"/>
  <c r="AN2039" i="1" s="1"/>
  <c r="Z2040" i="1"/>
  <c r="AA2040" i="1" s="1"/>
  <c r="AB2040" i="1" s="1"/>
  <c r="AN2040" i="1" s="1"/>
  <c r="Z2041" i="1"/>
  <c r="AA2041" i="1" s="1"/>
  <c r="AB2041" i="1" s="1"/>
  <c r="AN2041" i="1" s="1"/>
  <c r="Z2042" i="1"/>
  <c r="AA2042" i="1" s="1"/>
  <c r="AB2042" i="1" s="1"/>
  <c r="AN2042" i="1" s="1"/>
  <c r="Z2043" i="1"/>
  <c r="AA2043" i="1" s="1"/>
  <c r="AB2043" i="1" s="1"/>
  <c r="AN2043" i="1" s="1"/>
  <c r="Z2044" i="1"/>
  <c r="AA2044" i="1" s="1"/>
  <c r="AB2044" i="1" s="1"/>
  <c r="AN2044" i="1" s="1"/>
  <c r="Z2045" i="1"/>
  <c r="AA2045" i="1" s="1"/>
  <c r="AB2045" i="1" s="1"/>
  <c r="AN2045" i="1" s="1"/>
  <c r="Z2046" i="1"/>
  <c r="AA2046" i="1" s="1"/>
  <c r="AB2046" i="1" s="1"/>
  <c r="AN2046" i="1" s="1"/>
  <c r="Z2047" i="1"/>
  <c r="AA2047" i="1" s="1"/>
  <c r="AB2047" i="1" s="1"/>
  <c r="AN2047" i="1" s="1"/>
  <c r="Z2048" i="1"/>
  <c r="AA2048" i="1" s="1"/>
  <c r="AB2048" i="1" s="1"/>
  <c r="AN2048" i="1" s="1"/>
  <c r="Z2049" i="1"/>
  <c r="AA2049" i="1" s="1"/>
  <c r="AB2049" i="1" s="1"/>
  <c r="AN2049" i="1" s="1"/>
  <c r="Z2050" i="1"/>
  <c r="AA2050" i="1" s="1"/>
  <c r="AB2050" i="1" s="1"/>
  <c r="AN2050" i="1" s="1"/>
  <c r="Z2051" i="1"/>
  <c r="AA2051" i="1" s="1"/>
  <c r="AB2051" i="1" s="1"/>
  <c r="AN2051" i="1" s="1"/>
  <c r="Z2052" i="1"/>
  <c r="AA2052" i="1" s="1"/>
  <c r="AB2052" i="1" s="1"/>
  <c r="AN2052" i="1" s="1"/>
  <c r="Z2053" i="1"/>
  <c r="AA2053" i="1" s="1"/>
  <c r="AB2053" i="1" s="1"/>
  <c r="AN2053" i="1" s="1"/>
  <c r="Z2054" i="1"/>
  <c r="AA2054" i="1" s="1"/>
  <c r="AB2054" i="1" s="1"/>
  <c r="AN2054" i="1" s="1"/>
  <c r="Z2055" i="1"/>
  <c r="AA2055" i="1" s="1"/>
  <c r="AB2055" i="1" s="1"/>
  <c r="AN2055" i="1" s="1"/>
  <c r="Z2056" i="1"/>
  <c r="AA2056" i="1" s="1"/>
  <c r="AB2056" i="1" s="1"/>
  <c r="AN2056" i="1" s="1"/>
  <c r="Z2057" i="1"/>
  <c r="AA2057" i="1" s="1"/>
  <c r="AB2057" i="1" s="1"/>
  <c r="AN2057" i="1" s="1"/>
  <c r="Z2058" i="1"/>
  <c r="AA2058" i="1" s="1"/>
  <c r="AB2058" i="1" s="1"/>
  <c r="AN2058" i="1" s="1"/>
  <c r="Z2059" i="1"/>
  <c r="AA2059" i="1" s="1"/>
  <c r="AB2059" i="1" s="1"/>
  <c r="AN2059" i="1" s="1"/>
  <c r="Z2060" i="1"/>
  <c r="AA2060" i="1" s="1"/>
  <c r="AB2060" i="1" s="1"/>
  <c r="AN2060" i="1" s="1"/>
  <c r="Z2061" i="1"/>
  <c r="AA2061" i="1" s="1"/>
  <c r="AB2061" i="1" s="1"/>
  <c r="AN2061" i="1" s="1"/>
  <c r="Z2062" i="1"/>
  <c r="AA2062" i="1" s="1"/>
  <c r="AB2062" i="1" s="1"/>
  <c r="AN2062" i="1" s="1"/>
  <c r="Z2063" i="1"/>
  <c r="AA2063" i="1" s="1"/>
  <c r="AB2063" i="1" s="1"/>
  <c r="AN2063" i="1" s="1"/>
  <c r="Z2064" i="1"/>
  <c r="AA2064" i="1" s="1"/>
  <c r="AB2064" i="1" s="1"/>
  <c r="AN2064" i="1" s="1"/>
  <c r="Z2065" i="1"/>
  <c r="AA2065" i="1" s="1"/>
  <c r="AB2065" i="1" s="1"/>
  <c r="AN2065" i="1" s="1"/>
  <c r="Z2066" i="1"/>
  <c r="AA2066" i="1" s="1"/>
  <c r="AB2066" i="1" s="1"/>
  <c r="AN2066" i="1" s="1"/>
  <c r="Z2067" i="1"/>
  <c r="AA2067" i="1" s="1"/>
  <c r="AB2067" i="1" s="1"/>
  <c r="AN2067" i="1" s="1"/>
  <c r="Z2068" i="1"/>
  <c r="AA2068" i="1" s="1"/>
  <c r="AB2068" i="1" s="1"/>
  <c r="AN2068" i="1" s="1"/>
  <c r="Z2069" i="1"/>
  <c r="AA2069" i="1" s="1"/>
  <c r="AB2069" i="1" s="1"/>
  <c r="AN2069" i="1" s="1"/>
  <c r="Z2070" i="1"/>
  <c r="AA2070" i="1" s="1"/>
  <c r="AB2070" i="1" s="1"/>
  <c r="AN2070" i="1" s="1"/>
  <c r="Z2071" i="1"/>
  <c r="AA2071" i="1" s="1"/>
  <c r="AB2071" i="1" s="1"/>
  <c r="AN2071" i="1" s="1"/>
  <c r="Z2072" i="1"/>
  <c r="AA2072" i="1" s="1"/>
  <c r="AB2072" i="1" s="1"/>
  <c r="AN2072" i="1" s="1"/>
  <c r="Z2073" i="1"/>
  <c r="AA2073" i="1" s="1"/>
  <c r="AB2073" i="1" s="1"/>
  <c r="AN2073" i="1" s="1"/>
  <c r="Z2074" i="1"/>
  <c r="AA2074" i="1" s="1"/>
  <c r="AB2074" i="1" s="1"/>
  <c r="AN2074" i="1" s="1"/>
  <c r="Z2075" i="1"/>
  <c r="AA2075" i="1" s="1"/>
  <c r="AB2075" i="1" s="1"/>
  <c r="AN2075" i="1" s="1"/>
  <c r="Z2076" i="1"/>
  <c r="AA2076" i="1" s="1"/>
  <c r="AB2076" i="1" s="1"/>
  <c r="AN2076" i="1" s="1"/>
  <c r="Z2077" i="1"/>
  <c r="AA2077" i="1" s="1"/>
  <c r="AB2077" i="1" s="1"/>
  <c r="AN2077" i="1" s="1"/>
  <c r="Z2078" i="1"/>
  <c r="AA2078" i="1" s="1"/>
  <c r="AB2078" i="1" s="1"/>
  <c r="AN2078" i="1" s="1"/>
  <c r="Z2079" i="1"/>
  <c r="AA2079" i="1" s="1"/>
  <c r="AB2079" i="1" s="1"/>
  <c r="AN2079" i="1" s="1"/>
  <c r="Z2080" i="1"/>
  <c r="AA2080" i="1" s="1"/>
  <c r="AB2080" i="1" s="1"/>
  <c r="AN2080" i="1" s="1"/>
  <c r="Z2081" i="1"/>
  <c r="AA2081" i="1" s="1"/>
  <c r="AB2081" i="1" s="1"/>
  <c r="AN2081" i="1" s="1"/>
  <c r="Z2082" i="1"/>
  <c r="AA2082" i="1" s="1"/>
  <c r="AB2082" i="1" s="1"/>
  <c r="AN2082" i="1" s="1"/>
  <c r="Z2083" i="1"/>
  <c r="AA2083" i="1" s="1"/>
  <c r="AB2083" i="1" s="1"/>
  <c r="AN2083" i="1" s="1"/>
  <c r="Z2084" i="1"/>
  <c r="AA2084" i="1" s="1"/>
  <c r="AB2084" i="1" s="1"/>
  <c r="AN2084" i="1" s="1"/>
  <c r="Z2085" i="1"/>
  <c r="AA2085" i="1" s="1"/>
  <c r="AB2085" i="1" s="1"/>
  <c r="AN2085" i="1" s="1"/>
  <c r="Z2086" i="1"/>
  <c r="AA2086" i="1" s="1"/>
  <c r="AB2086" i="1" s="1"/>
  <c r="AN2086" i="1" s="1"/>
  <c r="Z2087" i="1"/>
  <c r="AA2087" i="1" s="1"/>
  <c r="AB2087" i="1" s="1"/>
  <c r="AN2087" i="1" s="1"/>
  <c r="Z2088" i="1"/>
  <c r="AA2088" i="1" s="1"/>
  <c r="AB2088" i="1" s="1"/>
  <c r="AN2088" i="1" s="1"/>
  <c r="Z2089" i="1"/>
  <c r="AA2089" i="1" s="1"/>
  <c r="AB2089" i="1" s="1"/>
  <c r="AN2089" i="1" s="1"/>
  <c r="Z2090" i="1"/>
  <c r="AA2090" i="1" s="1"/>
  <c r="AB2090" i="1" s="1"/>
  <c r="AN2090" i="1" s="1"/>
  <c r="Z2091" i="1"/>
  <c r="AA2091" i="1" s="1"/>
  <c r="AB2091" i="1" s="1"/>
  <c r="AN2091" i="1" s="1"/>
  <c r="Z2092" i="1"/>
  <c r="AA2092" i="1" s="1"/>
  <c r="AB2092" i="1" s="1"/>
  <c r="AN2092" i="1" s="1"/>
  <c r="Z2093" i="1"/>
  <c r="AA2093" i="1" s="1"/>
  <c r="AB2093" i="1" s="1"/>
  <c r="AN2093" i="1" s="1"/>
  <c r="Z2094" i="1"/>
  <c r="AA2094" i="1" s="1"/>
  <c r="AB2094" i="1" s="1"/>
  <c r="AN2094" i="1" s="1"/>
  <c r="Z2095" i="1"/>
  <c r="AA2095" i="1" s="1"/>
  <c r="AB2095" i="1" s="1"/>
  <c r="AN2095" i="1" s="1"/>
  <c r="Z2096" i="1"/>
  <c r="AA2096" i="1" s="1"/>
  <c r="AB2096" i="1" s="1"/>
  <c r="AN2096" i="1" s="1"/>
  <c r="Z2097" i="1"/>
  <c r="AA2097" i="1" s="1"/>
  <c r="AB2097" i="1" s="1"/>
  <c r="AN2097" i="1" s="1"/>
  <c r="Z2098" i="1"/>
  <c r="AA2098" i="1" s="1"/>
  <c r="AB2098" i="1" s="1"/>
  <c r="AN2098" i="1" s="1"/>
  <c r="Z2099" i="1"/>
  <c r="AA2099" i="1" s="1"/>
  <c r="AB2099" i="1" s="1"/>
  <c r="AN2099" i="1" s="1"/>
  <c r="Z2100" i="1"/>
  <c r="AA2100" i="1" s="1"/>
  <c r="AB2100" i="1" s="1"/>
  <c r="AN2100" i="1" s="1"/>
  <c r="Z2101" i="1"/>
  <c r="AA2101" i="1" s="1"/>
  <c r="AB2101" i="1" s="1"/>
  <c r="AN2101" i="1" s="1"/>
  <c r="Z2102" i="1"/>
  <c r="AA2102" i="1" s="1"/>
  <c r="AB2102" i="1" s="1"/>
  <c r="AN2102" i="1" s="1"/>
  <c r="Z2103" i="1"/>
  <c r="AA2103" i="1" s="1"/>
  <c r="AB2103" i="1" s="1"/>
  <c r="AN2103" i="1" s="1"/>
  <c r="Z2104" i="1"/>
  <c r="AA2104" i="1" s="1"/>
  <c r="AB2104" i="1" s="1"/>
  <c r="AN2104" i="1" s="1"/>
  <c r="Z2105" i="1"/>
  <c r="AA2105" i="1" s="1"/>
  <c r="AB2105" i="1" s="1"/>
  <c r="AN2105" i="1" s="1"/>
  <c r="Z2106" i="1"/>
  <c r="AA2106" i="1" s="1"/>
  <c r="AB2106" i="1" s="1"/>
  <c r="AN2106" i="1" s="1"/>
  <c r="Z2107" i="1"/>
  <c r="AA2107" i="1" s="1"/>
  <c r="AB2107" i="1" s="1"/>
  <c r="AN2107" i="1" s="1"/>
  <c r="Z2108" i="1"/>
  <c r="AA2108" i="1" s="1"/>
  <c r="AB2108" i="1" s="1"/>
  <c r="AN2108" i="1" s="1"/>
  <c r="Z2109" i="1"/>
  <c r="AA2109" i="1" s="1"/>
  <c r="AB2109" i="1" s="1"/>
  <c r="AN2109" i="1" s="1"/>
  <c r="Z2110" i="1"/>
  <c r="AA2110" i="1" s="1"/>
  <c r="AB2110" i="1" s="1"/>
  <c r="AN2110" i="1" s="1"/>
  <c r="Z2111" i="1"/>
  <c r="AA2111" i="1" s="1"/>
  <c r="AB2111" i="1" s="1"/>
  <c r="AN2111" i="1" s="1"/>
  <c r="Z2112" i="1"/>
  <c r="AA2112" i="1" s="1"/>
  <c r="AB2112" i="1" s="1"/>
  <c r="AN2112" i="1" s="1"/>
  <c r="Z2113" i="1"/>
  <c r="AA2113" i="1" s="1"/>
  <c r="AB2113" i="1" s="1"/>
  <c r="AN2113" i="1" s="1"/>
  <c r="Z2114" i="1"/>
  <c r="AA2114" i="1" s="1"/>
  <c r="AB2114" i="1" s="1"/>
  <c r="AN2114" i="1" s="1"/>
  <c r="Z2115" i="1"/>
  <c r="AA2115" i="1" s="1"/>
  <c r="AB2115" i="1" s="1"/>
  <c r="AN2115" i="1" s="1"/>
  <c r="Z2116" i="1"/>
  <c r="AA2116" i="1" s="1"/>
  <c r="AB2116" i="1" s="1"/>
  <c r="AN2116" i="1" s="1"/>
  <c r="Z2117" i="1"/>
  <c r="AA2117" i="1" s="1"/>
  <c r="AB2117" i="1" s="1"/>
  <c r="AN2117" i="1" s="1"/>
  <c r="Z2118" i="1"/>
  <c r="AA2118" i="1" s="1"/>
  <c r="AB2118" i="1" s="1"/>
  <c r="AN2118" i="1" s="1"/>
  <c r="Z2119" i="1"/>
  <c r="AA2119" i="1" s="1"/>
  <c r="AB2119" i="1" s="1"/>
  <c r="AN2119" i="1" s="1"/>
  <c r="Z2120" i="1"/>
  <c r="AA2120" i="1" s="1"/>
  <c r="AB2120" i="1" s="1"/>
  <c r="AN2120" i="1" s="1"/>
  <c r="Z2121" i="1"/>
  <c r="AA2121" i="1" s="1"/>
  <c r="AB2121" i="1" s="1"/>
  <c r="AN2121" i="1" s="1"/>
  <c r="Z2122" i="1"/>
  <c r="AA2122" i="1" s="1"/>
  <c r="AB2122" i="1" s="1"/>
  <c r="AN2122" i="1" s="1"/>
  <c r="Z2123" i="1"/>
  <c r="AA2123" i="1" s="1"/>
  <c r="AB2123" i="1" s="1"/>
  <c r="AN2123" i="1" s="1"/>
  <c r="Z2124" i="1"/>
  <c r="AA2124" i="1" s="1"/>
  <c r="AB2124" i="1" s="1"/>
  <c r="AN2124" i="1" s="1"/>
  <c r="Z2125" i="1"/>
  <c r="AA2125" i="1" s="1"/>
  <c r="AB2125" i="1" s="1"/>
  <c r="AN2125" i="1" s="1"/>
  <c r="Z2126" i="1"/>
  <c r="AA2126" i="1" s="1"/>
  <c r="AB2126" i="1" s="1"/>
  <c r="AN2126" i="1" s="1"/>
  <c r="Z2127" i="1"/>
  <c r="AA2127" i="1" s="1"/>
  <c r="AB2127" i="1" s="1"/>
  <c r="AN2127" i="1" s="1"/>
  <c r="Z2128" i="1"/>
  <c r="AA2128" i="1" s="1"/>
  <c r="AB2128" i="1" s="1"/>
  <c r="AN2128" i="1" s="1"/>
  <c r="Z2129" i="1"/>
  <c r="AA2129" i="1" s="1"/>
  <c r="AB2129" i="1" s="1"/>
  <c r="AN2129" i="1" s="1"/>
  <c r="Z2130" i="1"/>
  <c r="AA2130" i="1" s="1"/>
  <c r="AB2130" i="1" s="1"/>
  <c r="AN2130" i="1" s="1"/>
  <c r="Z2131" i="1"/>
  <c r="AA2131" i="1" s="1"/>
  <c r="AB2131" i="1" s="1"/>
  <c r="AN2131" i="1" s="1"/>
  <c r="Z2132" i="1"/>
  <c r="AA2132" i="1" s="1"/>
  <c r="AB2132" i="1" s="1"/>
  <c r="AN2132" i="1" s="1"/>
  <c r="Z2133" i="1"/>
  <c r="AA2133" i="1" s="1"/>
  <c r="AB2133" i="1" s="1"/>
  <c r="AN2133" i="1" s="1"/>
  <c r="Z2134" i="1"/>
  <c r="AA2134" i="1" s="1"/>
  <c r="AB2134" i="1" s="1"/>
  <c r="AN2134" i="1" s="1"/>
  <c r="Z2135" i="1"/>
  <c r="AA2135" i="1" s="1"/>
  <c r="AB2135" i="1" s="1"/>
  <c r="AN2135" i="1" s="1"/>
  <c r="Z2136" i="1"/>
  <c r="AA2136" i="1" s="1"/>
  <c r="AB2136" i="1" s="1"/>
  <c r="AN2136" i="1" s="1"/>
  <c r="Z2137" i="1"/>
  <c r="AA2137" i="1" s="1"/>
  <c r="AB2137" i="1" s="1"/>
  <c r="AN2137" i="1" s="1"/>
  <c r="Z2138" i="1"/>
  <c r="AA2138" i="1" s="1"/>
  <c r="AB2138" i="1" s="1"/>
  <c r="AN2138" i="1" s="1"/>
  <c r="Z2139" i="1"/>
  <c r="AA2139" i="1" s="1"/>
  <c r="AB2139" i="1" s="1"/>
  <c r="AN2139" i="1" s="1"/>
  <c r="Z2140" i="1"/>
  <c r="AA2140" i="1" s="1"/>
  <c r="AB2140" i="1" s="1"/>
  <c r="AN2140" i="1" s="1"/>
  <c r="Z2141" i="1"/>
  <c r="AA2141" i="1" s="1"/>
  <c r="AB2141" i="1" s="1"/>
  <c r="AN2141" i="1" s="1"/>
  <c r="Z2142" i="1"/>
  <c r="AA2142" i="1" s="1"/>
  <c r="AB2142" i="1" s="1"/>
  <c r="AN2142" i="1" s="1"/>
  <c r="Z2143" i="1"/>
  <c r="AA2143" i="1" s="1"/>
  <c r="AB2143" i="1" s="1"/>
  <c r="AN2143" i="1" s="1"/>
  <c r="Z2144" i="1"/>
  <c r="AA2144" i="1" s="1"/>
  <c r="AB2144" i="1" s="1"/>
  <c r="AN2144" i="1" s="1"/>
  <c r="Z2145" i="1"/>
  <c r="AA2145" i="1" s="1"/>
  <c r="AB2145" i="1" s="1"/>
  <c r="AN2145" i="1" s="1"/>
  <c r="Z2146" i="1"/>
  <c r="AA2146" i="1" s="1"/>
  <c r="AB2146" i="1" s="1"/>
  <c r="AN2146" i="1" s="1"/>
  <c r="Z2147" i="1"/>
  <c r="AA2147" i="1" s="1"/>
  <c r="AB2147" i="1" s="1"/>
  <c r="AN2147" i="1" s="1"/>
  <c r="Z2148" i="1"/>
  <c r="AA2148" i="1" s="1"/>
  <c r="AB2148" i="1" s="1"/>
  <c r="AN2148" i="1" s="1"/>
  <c r="Z2149" i="1"/>
  <c r="AA2149" i="1" s="1"/>
  <c r="AB2149" i="1" s="1"/>
  <c r="AN2149" i="1" s="1"/>
  <c r="Z2150" i="1"/>
  <c r="AA2150" i="1" s="1"/>
  <c r="AB2150" i="1" s="1"/>
  <c r="AN2150" i="1" s="1"/>
  <c r="Z2151" i="1"/>
  <c r="AA2151" i="1" s="1"/>
  <c r="AB2151" i="1" s="1"/>
  <c r="AN2151" i="1" s="1"/>
  <c r="Z2152" i="1"/>
  <c r="AA2152" i="1" s="1"/>
  <c r="AB2152" i="1" s="1"/>
  <c r="AN2152" i="1" s="1"/>
  <c r="Z2153" i="1"/>
  <c r="AA2153" i="1" s="1"/>
  <c r="AB2153" i="1" s="1"/>
  <c r="AN2153" i="1" s="1"/>
  <c r="Z2154" i="1"/>
  <c r="AA2154" i="1" s="1"/>
  <c r="AB2154" i="1" s="1"/>
  <c r="AN2154" i="1" s="1"/>
  <c r="Z2155" i="1"/>
  <c r="AA2155" i="1" s="1"/>
  <c r="AB2155" i="1" s="1"/>
  <c r="AN2155" i="1" s="1"/>
  <c r="Z2156" i="1"/>
  <c r="AA2156" i="1" s="1"/>
  <c r="AB2156" i="1" s="1"/>
  <c r="AN2156" i="1" s="1"/>
  <c r="Z2157" i="1"/>
  <c r="AA2157" i="1" s="1"/>
  <c r="AB2157" i="1" s="1"/>
  <c r="AN2157" i="1" s="1"/>
  <c r="Z2158" i="1"/>
  <c r="AA2158" i="1" s="1"/>
  <c r="AB2158" i="1" s="1"/>
  <c r="AN2158" i="1" s="1"/>
  <c r="Z2159" i="1"/>
  <c r="AA2159" i="1" s="1"/>
  <c r="AB2159" i="1" s="1"/>
  <c r="AN2159" i="1" s="1"/>
  <c r="Z2160" i="1"/>
  <c r="AA2160" i="1" s="1"/>
  <c r="AB2160" i="1" s="1"/>
  <c r="AN2160" i="1" s="1"/>
  <c r="Z2161" i="1"/>
  <c r="AA2161" i="1" s="1"/>
  <c r="AB2161" i="1" s="1"/>
  <c r="AN2161" i="1" s="1"/>
  <c r="Z2162" i="1"/>
  <c r="AA2162" i="1" s="1"/>
  <c r="AB2162" i="1" s="1"/>
  <c r="AN2162" i="1" s="1"/>
  <c r="Z2163" i="1"/>
  <c r="AA2163" i="1" s="1"/>
  <c r="AB2163" i="1" s="1"/>
  <c r="AN2163" i="1" s="1"/>
  <c r="Z2164" i="1"/>
  <c r="AA2164" i="1" s="1"/>
  <c r="AB2164" i="1" s="1"/>
  <c r="AN2164" i="1" s="1"/>
  <c r="Z2165" i="1"/>
  <c r="AA2165" i="1" s="1"/>
  <c r="AB2165" i="1" s="1"/>
  <c r="AN2165" i="1" s="1"/>
  <c r="Z2166" i="1"/>
  <c r="AA2166" i="1" s="1"/>
  <c r="AB2166" i="1" s="1"/>
  <c r="AN2166" i="1" s="1"/>
  <c r="Z2167" i="1"/>
  <c r="AA2167" i="1" s="1"/>
  <c r="AB2167" i="1" s="1"/>
  <c r="AN2167" i="1" s="1"/>
  <c r="Z2168" i="1"/>
  <c r="AA2168" i="1" s="1"/>
  <c r="AB2168" i="1" s="1"/>
  <c r="AN2168" i="1" s="1"/>
  <c r="Z2169" i="1"/>
  <c r="AA2169" i="1" s="1"/>
  <c r="AB2169" i="1" s="1"/>
  <c r="AN2169" i="1" s="1"/>
  <c r="Z2170" i="1"/>
  <c r="AA2170" i="1" s="1"/>
  <c r="AB2170" i="1" s="1"/>
  <c r="AN2170" i="1" s="1"/>
  <c r="Z2171" i="1"/>
  <c r="AA2171" i="1" s="1"/>
  <c r="AB2171" i="1" s="1"/>
  <c r="AN2171" i="1" s="1"/>
  <c r="Z2172" i="1"/>
  <c r="AA2172" i="1" s="1"/>
  <c r="AB2172" i="1" s="1"/>
  <c r="AN2172" i="1" s="1"/>
  <c r="Z2173" i="1"/>
  <c r="AA2173" i="1" s="1"/>
  <c r="AB2173" i="1" s="1"/>
  <c r="AN2173" i="1" s="1"/>
  <c r="Z2174" i="1"/>
  <c r="AA2174" i="1" s="1"/>
  <c r="AB2174" i="1" s="1"/>
  <c r="AN2174" i="1" s="1"/>
  <c r="Z2175" i="1"/>
  <c r="AA2175" i="1" s="1"/>
  <c r="AB2175" i="1" s="1"/>
  <c r="AN2175" i="1" s="1"/>
  <c r="Z2176" i="1"/>
  <c r="AA2176" i="1" s="1"/>
  <c r="AB2176" i="1" s="1"/>
  <c r="AN2176" i="1" s="1"/>
  <c r="Z2177" i="1"/>
  <c r="AA2177" i="1" s="1"/>
  <c r="AB2177" i="1" s="1"/>
  <c r="AN2177" i="1" s="1"/>
  <c r="Z2178" i="1"/>
  <c r="AA2178" i="1" s="1"/>
  <c r="AB2178" i="1" s="1"/>
  <c r="AN2178" i="1" s="1"/>
  <c r="Z2179" i="1"/>
  <c r="AA2179" i="1" s="1"/>
  <c r="AB2179" i="1" s="1"/>
  <c r="AN2179" i="1" s="1"/>
  <c r="Z2180" i="1"/>
  <c r="AA2180" i="1" s="1"/>
  <c r="AB2180" i="1" s="1"/>
  <c r="AN2180" i="1" s="1"/>
  <c r="Z2181" i="1"/>
  <c r="AA2181" i="1" s="1"/>
  <c r="AB2181" i="1" s="1"/>
  <c r="AN2181" i="1" s="1"/>
  <c r="Z2182" i="1"/>
  <c r="AA2182" i="1" s="1"/>
  <c r="AB2182" i="1" s="1"/>
  <c r="AN2182" i="1" s="1"/>
  <c r="Z2183" i="1"/>
  <c r="AA2183" i="1" s="1"/>
  <c r="AB2183" i="1" s="1"/>
  <c r="AN2183" i="1" s="1"/>
  <c r="Z2184" i="1"/>
  <c r="AA2184" i="1" s="1"/>
  <c r="AB2184" i="1" s="1"/>
  <c r="AN2184" i="1" s="1"/>
  <c r="Z2185" i="1"/>
  <c r="AA2185" i="1" s="1"/>
  <c r="AB2185" i="1" s="1"/>
  <c r="AN2185" i="1" s="1"/>
  <c r="Z2186" i="1"/>
  <c r="AA2186" i="1" s="1"/>
  <c r="AB2186" i="1" s="1"/>
  <c r="AN2186" i="1" s="1"/>
  <c r="Z2187" i="1"/>
  <c r="AA2187" i="1" s="1"/>
  <c r="AB2187" i="1" s="1"/>
  <c r="AN2187" i="1" s="1"/>
  <c r="Z2188" i="1"/>
  <c r="AA2188" i="1" s="1"/>
  <c r="AB2188" i="1" s="1"/>
  <c r="AN2188" i="1" s="1"/>
  <c r="Z2189" i="1"/>
  <c r="AA2189" i="1" s="1"/>
  <c r="AB2189" i="1" s="1"/>
  <c r="AN2189" i="1" s="1"/>
  <c r="Z2190" i="1"/>
  <c r="AA2190" i="1" s="1"/>
  <c r="AB2190" i="1" s="1"/>
  <c r="AN2190" i="1" s="1"/>
  <c r="Z2191" i="1"/>
  <c r="AA2191" i="1" s="1"/>
  <c r="AB2191" i="1" s="1"/>
  <c r="AN2191" i="1" s="1"/>
  <c r="Z2192" i="1"/>
  <c r="AA2192" i="1" s="1"/>
  <c r="AB2192" i="1" s="1"/>
  <c r="AN2192" i="1" s="1"/>
  <c r="Z2193" i="1"/>
  <c r="AA2193" i="1" s="1"/>
  <c r="AB2193" i="1" s="1"/>
  <c r="AN2193" i="1" s="1"/>
  <c r="Z2194" i="1"/>
  <c r="AA2194" i="1" s="1"/>
  <c r="AB2194" i="1" s="1"/>
  <c r="AN2194" i="1" s="1"/>
  <c r="Z2195" i="1"/>
  <c r="AA2195" i="1" s="1"/>
  <c r="AB2195" i="1" s="1"/>
  <c r="AN2195" i="1" s="1"/>
  <c r="Z2196" i="1"/>
  <c r="AA2196" i="1" s="1"/>
  <c r="AB2196" i="1" s="1"/>
  <c r="AN2196" i="1" s="1"/>
  <c r="Z2197" i="1"/>
  <c r="AA2197" i="1" s="1"/>
  <c r="AB2197" i="1" s="1"/>
  <c r="AN2197" i="1" s="1"/>
  <c r="Z2198" i="1"/>
  <c r="AA2198" i="1" s="1"/>
  <c r="AB2198" i="1" s="1"/>
  <c r="AN2198" i="1" s="1"/>
  <c r="Z2199" i="1"/>
  <c r="AA2199" i="1" s="1"/>
  <c r="AB2199" i="1" s="1"/>
  <c r="AN2199" i="1" s="1"/>
  <c r="Z2200" i="1"/>
  <c r="AA2200" i="1" s="1"/>
  <c r="AB2200" i="1" s="1"/>
  <c r="AN2200" i="1" s="1"/>
  <c r="Z2201" i="1"/>
  <c r="AA2201" i="1" s="1"/>
  <c r="AB2201" i="1" s="1"/>
  <c r="AN2201" i="1" s="1"/>
  <c r="Z2202" i="1"/>
  <c r="AA2202" i="1" s="1"/>
  <c r="AB2202" i="1" s="1"/>
  <c r="AN2202" i="1" s="1"/>
  <c r="Z2203" i="1"/>
  <c r="AA2203" i="1" s="1"/>
  <c r="AB2203" i="1" s="1"/>
  <c r="AN2203" i="1" s="1"/>
  <c r="Z2204" i="1"/>
  <c r="AA2204" i="1" s="1"/>
  <c r="AB2204" i="1" s="1"/>
  <c r="AN2204" i="1" s="1"/>
  <c r="Z2205" i="1"/>
  <c r="AA2205" i="1" s="1"/>
  <c r="AB2205" i="1" s="1"/>
  <c r="AN2205" i="1" s="1"/>
  <c r="Z2206" i="1"/>
  <c r="AA2206" i="1" s="1"/>
  <c r="AB2206" i="1" s="1"/>
  <c r="AN2206" i="1" s="1"/>
  <c r="Z2207" i="1"/>
  <c r="AA2207" i="1" s="1"/>
  <c r="AB2207" i="1" s="1"/>
  <c r="AN2207" i="1" s="1"/>
  <c r="Z2208" i="1"/>
  <c r="AA2208" i="1" s="1"/>
  <c r="AB2208" i="1" s="1"/>
  <c r="AN2208" i="1" s="1"/>
  <c r="Z2209" i="1"/>
  <c r="AA2209" i="1" s="1"/>
  <c r="AB2209" i="1" s="1"/>
  <c r="AN2209" i="1" s="1"/>
  <c r="Z2210" i="1"/>
  <c r="AA2210" i="1" s="1"/>
  <c r="AB2210" i="1" s="1"/>
  <c r="AN2210" i="1" s="1"/>
  <c r="Z2211" i="1"/>
  <c r="AA2211" i="1" s="1"/>
  <c r="AB2211" i="1" s="1"/>
  <c r="AN2211" i="1" s="1"/>
  <c r="Z2212" i="1"/>
  <c r="AA2212" i="1" s="1"/>
  <c r="AB2212" i="1" s="1"/>
  <c r="AN2212" i="1" s="1"/>
  <c r="Z2213" i="1"/>
  <c r="AA2213" i="1" s="1"/>
  <c r="AB2213" i="1" s="1"/>
  <c r="AN2213" i="1" s="1"/>
  <c r="Z2214" i="1"/>
  <c r="AA2214" i="1" s="1"/>
  <c r="AB2214" i="1" s="1"/>
  <c r="AN2214" i="1" s="1"/>
  <c r="Z2215" i="1"/>
  <c r="AA2215" i="1" s="1"/>
  <c r="AB2215" i="1" s="1"/>
  <c r="AN2215" i="1" s="1"/>
  <c r="Z2216" i="1"/>
  <c r="AA2216" i="1" s="1"/>
  <c r="AB2216" i="1" s="1"/>
  <c r="AN2216" i="1" s="1"/>
  <c r="Z2217" i="1"/>
  <c r="AA2217" i="1" s="1"/>
  <c r="AB2217" i="1" s="1"/>
  <c r="AN2217" i="1" s="1"/>
  <c r="Z2218" i="1"/>
  <c r="AA2218" i="1" s="1"/>
  <c r="AB2218" i="1" s="1"/>
  <c r="AN2218" i="1" s="1"/>
  <c r="Z2219" i="1"/>
  <c r="AA2219" i="1" s="1"/>
  <c r="AB2219" i="1" s="1"/>
  <c r="AN2219" i="1" s="1"/>
  <c r="Z2220" i="1"/>
  <c r="AA2220" i="1" s="1"/>
  <c r="AB2220" i="1" s="1"/>
  <c r="AN2220" i="1" s="1"/>
  <c r="Z2221" i="1"/>
  <c r="AA2221" i="1" s="1"/>
  <c r="AB2221" i="1" s="1"/>
  <c r="AN2221" i="1" s="1"/>
  <c r="Z2222" i="1"/>
  <c r="AA2222" i="1" s="1"/>
  <c r="AB2222" i="1" s="1"/>
  <c r="AN2222" i="1" s="1"/>
  <c r="Z2223" i="1"/>
  <c r="AA2223" i="1" s="1"/>
  <c r="AB2223" i="1" s="1"/>
  <c r="AN2223" i="1" s="1"/>
  <c r="Z2224" i="1"/>
  <c r="AA2224" i="1" s="1"/>
  <c r="AB2224" i="1" s="1"/>
  <c r="AN2224" i="1" s="1"/>
  <c r="Z2225" i="1"/>
  <c r="AA2225" i="1" s="1"/>
  <c r="AB2225" i="1" s="1"/>
  <c r="AN2225" i="1" s="1"/>
  <c r="Z2226" i="1"/>
  <c r="AA2226" i="1" s="1"/>
  <c r="AB2226" i="1" s="1"/>
  <c r="AN2226" i="1" s="1"/>
  <c r="Z2227" i="1"/>
  <c r="AA2227" i="1" s="1"/>
  <c r="AB2227" i="1" s="1"/>
  <c r="AN2227" i="1" s="1"/>
  <c r="Z2228" i="1"/>
  <c r="AA2228" i="1" s="1"/>
  <c r="AB2228" i="1" s="1"/>
  <c r="AN2228" i="1" s="1"/>
  <c r="Z2229" i="1"/>
  <c r="AA2229" i="1" s="1"/>
  <c r="AB2229" i="1" s="1"/>
  <c r="AN2229" i="1" s="1"/>
  <c r="Z2230" i="1"/>
  <c r="AA2230" i="1" s="1"/>
  <c r="AB2230" i="1" s="1"/>
  <c r="AN2230" i="1" s="1"/>
  <c r="Z2231" i="1"/>
  <c r="AA2231" i="1" s="1"/>
  <c r="AB2231" i="1" s="1"/>
  <c r="AN2231" i="1" s="1"/>
  <c r="Z2232" i="1"/>
  <c r="AA2232" i="1" s="1"/>
  <c r="AB2232" i="1" s="1"/>
  <c r="AN2232" i="1" s="1"/>
  <c r="Z2233" i="1"/>
  <c r="AA2233" i="1" s="1"/>
  <c r="AB2233" i="1" s="1"/>
  <c r="AN2233" i="1" s="1"/>
  <c r="Z2234" i="1"/>
  <c r="AA2234" i="1" s="1"/>
  <c r="AB2234" i="1" s="1"/>
  <c r="AN2234" i="1" s="1"/>
  <c r="Z2235" i="1"/>
  <c r="AA2235" i="1" s="1"/>
  <c r="AB2235" i="1" s="1"/>
  <c r="AN2235" i="1" s="1"/>
  <c r="Z2236" i="1"/>
  <c r="AA2236" i="1" s="1"/>
  <c r="AB2236" i="1" s="1"/>
  <c r="AN2236" i="1" s="1"/>
  <c r="Z2237" i="1"/>
  <c r="AA2237" i="1" s="1"/>
  <c r="AB2237" i="1" s="1"/>
  <c r="AN2237" i="1" s="1"/>
  <c r="Z2238" i="1"/>
  <c r="AA2238" i="1" s="1"/>
  <c r="AB2238" i="1" s="1"/>
  <c r="AN2238" i="1" s="1"/>
  <c r="Z2239" i="1"/>
  <c r="AA2239" i="1" s="1"/>
  <c r="AB2239" i="1" s="1"/>
  <c r="AN2239" i="1" s="1"/>
  <c r="Z2240" i="1"/>
  <c r="AA2240" i="1" s="1"/>
  <c r="AB2240" i="1" s="1"/>
  <c r="AN2240" i="1" s="1"/>
  <c r="Z2241" i="1"/>
  <c r="AA2241" i="1" s="1"/>
  <c r="AB2241" i="1" s="1"/>
  <c r="AN2241" i="1" s="1"/>
  <c r="Z2242" i="1"/>
  <c r="AA2242" i="1" s="1"/>
  <c r="AB2242" i="1" s="1"/>
  <c r="AN2242" i="1" s="1"/>
  <c r="Z2243" i="1"/>
  <c r="AA2243" i="1" s="1"/>
  <c r="AB2243" i="1" s="1"/>
  <c r="AN2243" i="1" s="1"/>
  <c r="Z2244" i="1"/>
  <c r="AA2244" i="1" s="1"/>
  <c r="AB2244" i="1" s="1"/>
  <c r="AN2244" i="1" s="1"/>
  <c r="Z2245" i="1"/>
  <c r="AA2245" i="1" s="1"/>
  <c r="AB2245" i="1" s="1"/>
  <c r="AN2245" i="1" s="1"/>
  <c r="Z2246" i="1"/>
  <c r="AA2246" i="1" s="1"/>
  <c r="AB2246" i="1" s="1"/>
  <c r="AN2246" i="1" s="1"/>
  <c r="Z2247" i="1"/>
  <c r="AA2247" i="1" s="1"/>
  <c r="AB2247" i="1" s="1"/>
  <c r="AN2247" i="1" s="1"/>
  <c r="Z2248" i="1"/>
  <c r="AA2248" i="1" s="1"/>
  <c r="AB2248" i="1" s="1"/>
  <c r="AN2248" i="1" s="1"/>
  <c r="Z2249" i="1"/>
  <c r="AA2249" i="1" s="1"/>
  <c r="AB2249" i="1" s="1"/>
  <c r="AN2249" i="1" s="1"/>
  <c r="Z2250" i="1"/>
  <c r="AA2250" i="1" s="1"/>
  <c r="AB2250" i="1" s="1"/>
  <c r="AN2250" i="1" s="1"/>
  <c r="Z2251" i="1"/>
  <c r="AA2251" i="1" s="1"/>
  <c r="AB2251" i="1" s="1"/>
  <c r="AN2251" i="1" s="1"/>
  <c r="Z2252" i="1"/>
  <c r="AA2252" i="1" s="1"/>
  <c r="AB2252" i="1" s="1"/>
  <c r="AN2252" i="1" s="1"/>
  <c r="Z2253" i="1"/>
  <c r="AA2253" i="1" s="1"/>
  <c r="AB2253" i="1" s="1"/>
  <c r="AN2253" i="1" s="1"/>
  <c r="Z2254" i="1"/>
  <c r="AA2254" i="1" s="1"/>
  <c r="AB2254" i="1" s="1"/>
  <c r="AN2254" i="1" s="1"/>
  <c r="Z2255" i="1"/>
  <c r="AA2255" i="1" s="1"/>
  <c r="AB2255" i="1" s="1"/>
  <c r="AN2255" i="1" s="1"/>
  <c r="Z2256" i="1"/>
  <c r="AA2256" i="1" s="1"/>
  <c r="AB2256" i="1" s="1"/>
  <c r="AN2256" i="1" s="1"/>
  <c r="Z2257" i="1"/>
  <c r="AA2257" i="1" s="1"/>
  <c r="AB2257" i="1" s="1"/>
  <c r="AN2257" i="1" s="1"/>
  <c r="Z2258" i="1"/>
  <c r="AA2258" i="1" s="1"/>
  <c r="AB2258" i="1" s="1"/>
  <c r="AN2258" i="1" s="1"/>
  <c r="Z2259" i="1"/>
  <c r="AA2259" i="1" s="1"/>
  <c r="AB2259" i="1" s="1"/>
  <c r="AN2259" i="1" s="1"/>
  <c r="Z2260" i="1"/>
  <c r="AA2260" i="1" s="1"/>
  <c r="AB2260" i="1" s="1"/>
  <c r="AN2260" i="1" s="1"/>
  <c r="Z2261" i="1"/>
  <c r="AA2261" i="1" s="1"/>
  <c r="AB2261" i="1" s="1"/>
  <c r="AN2261" i="1" s="1"/>
  <c r="Z2262" i="1"/>
  <c r="AA2262" i="1" s="1"/>
  <c r="AB2262" i="1" s="1"/>
  <c r="AN2262" i="1" s="1"/>
  <c r="Z2263" i="1"/>
  <c r="AA2263" i="1" s="1"/>
  <c r="AB2263" i="1" s="1"/>
  <c r="AN2263" i="1" s="1"/>
  <c r="Z2264" i="1"/>
  <c r="AA2264" i="1" s="1"/>
  <c r="AB2264" i="1" s="1"/>
  <c r="AN2264" i="1" s="1"/>
  <c r="Z2265" i="1"/>
  <c r="AA2265" i="1" s="1"/>
  <c r="AB2265" i="1" s="1"/>
  <c r="AN2265" i="1" s="1"/>
  <c r="Z2266" i="1"/>
  <c r="AA2266" i="1" s="1"/>
  <c r="AB2266" i="1" s="1"/>
  <c r="AN2266" i="1" s="1"/>
  <c r="Z2267" i="1"/>
  <c r="AA2267" i="1" s="1"/>
  <c r="AB2267" i="1" s="1"/>
  <c r="AN2267" i="1" s="1"/>
  <c r="Z2268" i="1"/>
  <c r="AA2268" i="1" s="1"/>
  <c r="AB2268" i="1" s="1"/>
  <c r="AN2268" i="1" s="1"/>
  <c r="Z2269" i="1"/>
  <c r="AA2269" i="1" s="1"/>
  <c r="AB2269" i="1" s="1"/>
  <c r="AN2269" i="1" s="1"/>
  <c r="Z2270" i="1"/>
  <c r="AA2270" i="1" s="1"/>
  <c r="AB2270" i="1" s="1"/>
  <c r="AN2270" i="1" s="1"/>
  <c r="Z2271" i="1"/>
  <c r="AA2271" i="1" s="1"/>
  <c r="AB2271" i="1" s="1"/>
  <c r="AN2271" i="1" s="1"/>
  <c r="Z2272" i="1"/>
  <c r="AA2272" i="1" s="1"/>
  <c r="AB2272" i="1" s="1"/>
  <c r="AN2272" i="1" s="1"/>
  <c r="Z2273" i="1"/>
  <c r="AA2273" i="1" s="1"/>
  <c r="AB2273" i="1" s="1"/>
  <c r="AN2273" i="1" s="1"/>
  <c r="Z2274" i="1"/>
  <c r="AA2274" i="1" s="1"/>
  <c r="AB2274" i="1" s="1"/>
  <c r="AN2274" i="1" s="1"/>
  <c r="Z2275" i="1"/>
  <c r="AA2275" i="1" s="1"/>
  <c r="AB2275" i="1" s="1"/>
  <c r="AN2275" i="1" s="1"/>
  <c r="Z2276" i="1"/>
  <c r="AA2276" i="1" s="1"/>
  <c r="AB2276" i="1" s="1"/>
  <c r="AN2276" i="1" s="1"/>
  <c r="Z2277" i="1"/>
  <c r="AA2277" i="1" s="1"/>
  <c r="AB2277" i="1" s="1"/>
  <c r="AN2277" i="1" s="1"/>
  <c r="Z2278" i="1"/>
  <c r="AA2278" i="1" s="1"/>
  <c r="AB2278" i="1" s="1"/>
  <c r="AN2278" i="1" s="1"/>
  <c r="Z2279" i="1"/>
  <c r="AA2279" i="1" s="1"/>
  <c r="AB2279" i="1" s="1"/>
  <c r="AN2279" i="1" s="1"/>
  <c r="Z2280" i="1"/>
  <c r="AA2280" i="1" s="1"/>
  <c r="AB2280" i="1" s="1"/>
  <c r="AN2280" i="1" s="1"/>
  <c r="Z2281" i="1"/>
  <c r="AA2281" i="1" s="1"/>
  <c r="AB2281" i="1" s="1"/>
  <c r="AN2281" i="1" s="1"/>
  <c r="Z2282" i="1"/>
  <c r="AA2282" i="1" s="1"/>
  <c r="AB2282" i="1" s="1"/>
  <c r="AN2282" i="1" s="1"/>
  <c r="Z2283" i="1"/>
  <c r="AA2283" i="1" s="1"/>
  <c r="AB2283" i="1" s="1"/>
  <c r="AN2283" i="1" s="1"/>
  <c r="Z2284" i="1"/>
  <c r="AA2284" i="1" s="1"/>
  <c r="AB2284" i="1" s="1"/>
  <c r="AN2284" i="1" s="1"/>
  <c r="Z2285" i="1"/>
  <c r="AA2285" i="1" s="1"/>
  <c r="AB2285" i="1" s="1"/>
  <c r="AN2285" i="1" s="1"/>
  <c r="Z2286" i="1"/>
  <c r="AA2286" i="1" s="1"/>
  <c r="AB2286" i="1" s="1"/>
  <c r="AN2286" i="1" s="1"/>
  <c r="Z2287" i="1"/>
  <c r="AA2287" i="1" s="1"/>
  <c r="AB2287" i="1" s="1"/>
  <c r="AN2287" i="1" s="1"/>
  <c r="Z2288" i="1"/>
  <c r="AA2288" i="1" s="1"/>
  <c r="AB2288" i="1" s="1"/>
  <c r="AN2288" i="1" s="1"/>
  <c r="Z2289" i="1"/>
  <c r="AA2289" i="1" s="1"/>
  <c r="AB2289" i="1" s="1"/>
  <c r="AN2289" i="1" s="1"/>
  <c r="Z2290" i="1"/>
  <c r="AA2290" i="1" s="1"/>
  <c r="AB2290" i="1" s="1"/>
  <c r="AN2290" i="1" s="1"/>
  <c r="Z2291" i="1"/>
  <c r="AA2291" i="1" s="1"/>
  <c r="AB2291" i="1" s="1"/>
  <c r="AN2291" i="1" s="1"/>
  <c r="Z2292" i="1"/>
  <c r="AA2292" i="1" s="1"/>
  <c r="AB2292" i="1" s="1"/>
  <c r="AN2292" i="1" s="1"/>
  <c r="Z2293" i="1"/>
  <c r="AA2293" i="1" s="1"/>
  <c r="AB2293" i="1" s="1"/>
  <c r="AN2293" i="1" s="1"/>
  <c r="Z2294" i="1"/>
  <c r="AA2294" i="1" s="1"/>
  <c r="AB2294" i="1" s="1"/>
  <c r="AN2294" i="1" s="1"/>
  <c r="Z2295" i="1"/>
  <c r="AA2295" i="1" s="1"/>
  <c r="AB2295" i="1" s="1"/>
  <c r="AN2295" i="1" s="1"/>
  <c r="Z2296" i="1"/>
  <c r="AA2296" i="1" s="1"/>
  <c r="AB2296" i="1" s="1"/>
  <c r="AN2296" i="1" s="1"/>
  <c r="Z2297" i="1"/>
  <c r="AA2297" i="1" s="1"/>
  <c r="AB2297" i="1" s="1"/>
  <c r="AN2297" i="1" s="1"/>
  <c r="Z2298" i="1"/>
  <c r="AA2298" i="1" s="1"/>
  <c r="AB2298" i="1" s="1"/>
  <c r="AN2298" i="1" s="1"/>
  <c r="Z2299" i="1"/>
  <c r="AA2299" i="1" s="1"/>
  <c r="AB2299" i="1" s="1"/>
  <c r="AN2299" i="1" s="1"/>
  <c r="Z2300" i="1"/>
  <c r="AA2300" i="1" s="1"/>
  <c r="AB2300" i="1" s="1"/>
  <c r="AN2300" i="1" s="1"/>
  <c r="Z2301" i="1"/>
  <c r="AA2301" i="1" s="1"/>
  <c r="AB2301" i="1" s="1"/>
  <c r="AN2301" i="1" s="1"/>
  <c r="Z2302" i="1"/>
  <c r="AA2302" i="1" s="1"/>
  <c r="AB2302" i="1" s="1"/>
  <c r="AN2302" i="1" s="1"/>
  <c r="Z2303" i="1"/>
  <c r="AA2303" i="1" s="1"/>
  <c r="AB2303" i="1" s="1"/>
  <c r="AN2303" i="1" s="1"/>
  <c r="Z2304" i="1"/>
  <c r="AA2304" i="1" s="1"/>
  <c r="AB2304" i="1" s="1"/>
  <c r="AN2304" i="1" s="1"/>
  <c r="Z2305" i="1"/>
  <c r="AA2305" i="1" s="1"/>
  <c r="AB2305" i="1" s="1"/>
  <c r="AN2305" i="1" s="1"/>
  <c r="Z2306" i="1"/>
  <c r="AA2306" i="1" s="1"/>
  <c r="AB2306" i="1" s="1"/>
  <c r="AN2306" i="1" s="1"/>
  <c r="Z2307" i="1"/>
  <c r="AA2307" i="1" s="1"/>
  <c r="AB2307" i="1" s="1"/>
  <c r="AN2307" i="1" s="1"/>
  <c r="Z2308" i="1"/>
  <c r="AA2308" i="1" s="1"/>
  <c r="AB2308" i="1" s="1"/>
  <c r="AN2308" i="1" s="1"/>
  <c r="Z2309" i="1"/>
  <c r="AA2309" i="1" s="1"/>
  <c r="AB2309" i="1" s="1"/>
  <c r="AN2309" i="1" s="1"/>
  <c r="Z2310" i="1"/>
  <c r="AA2310" i="1" s="1"/>
  <c r="AB2310" i="1" s="1"/>
  <c r="AN2310" i="1" s="1"/>
  <c r="Z2311" i="1"/>
  <c r="AA2311" i="1" s="1"/>
  <c r="AB2311" i="1" s="1"/>
  <c r="AN2311" i="1" s="1"/>
  <c r="Z2312" i="1"/>
  <c r="AA2312" i="1" s="1"/>
  <c r="AB2312" i="1" s="1"/>
  <c r="AN2312" i="1" s="1"/>
  <c r="Z2313" i="1"/>
  <c r="AA2313" i="1" s="1"/>
  <c r="AB2313" i="1" s="1"/>
  <c r="AN2313" i="1" s="1"/>
  <c r="Z2314" i="1"/>
  <c r="AA2314" i="1" s="1"/>
  <c r="AB2314" i="1" s="1"/>
  <c r="AN2314" i="1" s="1"/>
  <c r="Z2315" i="1"/>
  <c r="AA2315" i="1" s="1"/>
  <c r="AB2315" i="1" s="1"/>
  <c r="AN2315" i="1" s="1"/>
  <c r="Z2316" i="1"/>
  <c r="AA2316" i="1" s="1"/>
  <c r="AB2316" i="1" s="1"/>
  <c r="AN2316" i="1" s="1"/>
  <c r="Z2317" i="1"/>
  <c r="AA2317" i="1" s="1"/>
  <c r="AB2317" i="1" s="1"/>
  <c r="AN2317" i="1" s="1"/>
  <c r="Z2318" i="1"/>
  <c r="AA2318" i="1" s="1"/>
  <c r="AB2318" i="1" s="1"/>
  <c r="AN2318" i="1" s="1"/>
  <c r="Z2319" i="1"/>
  <c r="AA2319" i="1" s="1"/>
  <c r="AB2319" i="1" s="1"/>
  <c r="AN2319" i="1" s="1"/>
  <c r="Z2320" i="1"/>
  <c r="AA2320" i="1" s="1"/>
  <c r="AB2320" i="1" s="1"/>
  <c r="AN2320" i="1" s="1"/>
  <c r="Z2321" i="1"/>
  <c r="AA2321" i="1" s="1"/>
  <c r="AB2321" i="1" s="1"/>
  <c r="AN2321" i="1" s="1"/>
  <c r="Z2322" i="1"/>
  <c r="AA2322" i="1" s="1"/>
  <c r="AB2322" i="1" s="1"/>
  <c r="AN2322" i="1" s="1"/>
  <c r="Z2323" i="1"/>
  <c r="AA2323" i="1" s="1"/>
  <c r="AB2323" i="1" s="1"/>
  <c r="AN2323" i="1" s="1"/>
  <c r="Z2324" i="1"/>
  <c r="AA2324" i="1" s="1"/>
  <c r="AB2324" i="1" s="1"/>
  <c r="AN2324" i="1" s="1"/>
  <c r="Z2325" i="1"/>
  <c r="AA2325" i="1" s="1"/>
  <c r="AB2325" i="1" s="1"/>
  <c r="AN2325" i="1" s="1"/>
  <c r="Z2326" i="1"/>
  <c r="AA2326" i="1" s="1"/>
  <c r="AB2326" i="1" s="1"/>
  <c r="AN2326" i="1" s="1"/>
  <c r="Z2327" i="1"/>
  <c r="AA2327" i="1" s="1"/>
  <c r="AB2327" i="1" s="1"/>
  <c r="AN2327" i="1" s="1"/>
  <c r="Z2328" i="1"/>
  <c r="AA2328" i="1" s="1"/>
  <c r="AB2328" i="1" s="1"/>
  <c r="AN2328" i="1" s="1"/>
  <c r="Z2329" i="1"/>
  <c r="AA2329" i="1" s="1"/>
  <c r="AB2329" i="1" s="1"/>
  <c r="AN2329" i="1" s="1"/>
  <c r="Z2330" i="1"/>
  <c r="AA2330" i="1" s="1"/>
  <c r="AB2330" i="1" s="1"/>
  <c r="AN2330" i="1" s="1"/>
  <c r="Z2331" i="1"/>
  <c r="AA2331" i="1" s="1"/>
  <c r="AB2331" i="1" s="1"/>
  <c r="AN2331" i="1" s="1"/>
  <c r="Z2332" i="1"/>
  <c r="AA2332" i="1" s="1"/>
  <c r="AB2332" i="1" s="1"/>
  <c r="AN2332" i="1" s="1"/>
  <c r="Z2333" i="1"/>
  <c r="AA2333" i="1" s="1"/>
  <c r="AB2333" i="1" s="1"/>
  <c r="AN2333" i="1" s="1"/>
  <c r="Z2334" i="1"/>
  <c r="AA2334" i="1" s="1"/>
  <c r="AB2334" i="1" s="1"/>
  <c r="AN2334" i="1" s="1"/>
  <c r="Z2335" i="1"/>
  <c r="AA2335" i="1" s="1"/>
  <c r="AB2335" i="1" s="1"/>
  <c r="AN2335" i="1" s="1"/>
  <c r="Z2336" i="1"/>
  <c r="AA2336" i="1" s="1"/>
  <c r="AB2336" i="1" s="1"/>
  <c r="AN2336" i="1" s="1"/>
  <c r="Z2337" i="1"/>
  <c r="AA2337" i="1" s="1"/>
  <c r="AB2337" i="1" s="1"/>
  <c r="AN2337" i="1" s="1"/>
  <c r="Z2338" i="1"/>
  <c r="AA2338" i="1" s="1"/>
  <c r="AB2338" i="1" s="1"/>
  <c r="AN2338" i="1" s="1"/>
  <c r="Z2339" i="1"/>
  <c r="AA2339" i="1" s="1"/>
  <c r="AB2339" i="1" s="1"/>
  <c r="AN2339" i="1" s="1"/>
  <c r="Z2340" i="1"/>
  <c r="AA2340" i="1" s="1"/>
  <c r="AB2340" i="1" s="1"/>
  <c r="AN2340" i="1" s="1"/>
  <c r="Z2341" i="1"/>
  <c r="AA2341" i="1" s="1"/>
  <c r="AB2341" i="1" s="1"/>
  <c r="AN2341" i="1" s="1"/>
  <c r="Z2342" i="1"/>
  <c r="AA2342" i="1" s="1"/>
  <c r="AB2342" i="1" s="1"/>
  <c r="AN2342" i="1" s="1"/>
  <c r="Z2343" i="1"/>
  <c r="AA2343" i="1" s="1"/>
  <c r="AB2343" i="1" s="1"/>
  <c r="AN2343" i="1" s="1"/>
  <c r="Z2344" i="1"/>
  <c r="AA2344" i="1" s="1"/>
  <c r="AB2344" i="1" s="1"/>
  <c r="AN2344" i="1" s="1"/>
  <c r="Z2345" i="1"/>
  <c r="AA2345" i="1" s="1"/>
  <c r="AB2345" i="1" s="1"/>
  <c r="AN2345" i="1" s="1"/>
  <c r="Z2346" i="1"/>
  <c r="AA2346" i="1" s="1"/>
  <c r="AB2346" i="1" s="1"/>
  <c r="AN2346" i="1" s="1"/>
  <c r="Z2347" i="1"/>
  <c r="AA2347" i="1" s="1"/>
  <c r="AB2347" i="1" s="1"/>
  <c r="AN2347" i="1" s="1"/>
  <c r="Z2348" i="1"/>
  <c r="AA2348" i="1" s="1"/>
  <c r="AB2348" i="1" s="1"/>
  <c r="AN2348" i="1" s="1"/>
  <c r="Z2349" i="1"/>
  <c r="AA2349" i="1" s="1"/>
  <c r="AB2349" i="1" s="1"/>
  <c r="AN2349" i="1" s="1"/>
  <c r="Z2350" i="1"/>
  <c r="AA2350" i="1" s="1"/>
  <c r="AB2350" i="1" s="1"/>
  <c r="AN2350" i="1" s="1"/>
  <c r="Z2351" i="1"/>
  <c r="AA2351" i="1" s="1"/>
  <c r="AB2351" i="1" s="1"/>
  <c r="AN2351" i="1" s="1"/>
  <c r="Z2352" i="1"/>
  <c r="AA2352" i="1" s="1"/>
  <c r="AB2352" i="1" s="1"/>
  <c r="AN2352" i="1" s="1"/>
  <c r="Z2353" i="1"/>
  <c r="AA2353" i="1" s="1"/>
  <c r="AB2353" i="1" s="1"/>
  <c r="AN2353" i="1" s="1"/>
  <c r="Z2354" i="1"/>
  <c r="AA2354" i="1" s="1"/>
  <c r="AB2354" i="1" s="1"/>
  <c r="AN2354" i="1" s="1"/>
  <c r="Z2355" i="1"/>
  <c r="AA2355" i="1" s="1"/>
  <c r="AB2355" i="1" s="1"/>
  <c r="AN2355" i="1" s="1"/>
  <c r="Z2356" i="1"/>
  <c r="AA2356" i="1" s="1"/>
  <c r="AB2356" i="1" s="1"/>
  <c r="AN2356" i="1" s="1"/>
  <c r="Z2357" i="1"/>
  <c r="AA2357" i="1" s="1"/>
  <c r="AB2357" i="1" s="1"/>
  <c r="AN2357" i="1" s="1"/>
  <c r="Z2358" i="1"/>
  <c r="AA2358" i="1" s="1"/>
  <c r="AB2358" i="1" s="1"/>
  <c r="AN2358" i="1" s="1"/>
  <c r="Z2359" i="1"/>
  <c r="AA2359" i="1" s="1"/>
  <c r="AB2359" i="1" s="1"/>
  <c r="AN2359" i="1" s="1"/>
  <c r="Z2360" i="1"/>
  <c r="AA2360" i="1" s="1"/>
  <c r="AB2360" i="1" s="1"/>
  <c r="AN2360" i="1" s="1"/>
  <c r="Z2361" i="1"/>
  <c r="AA2361" i="1" s="1"/>
  <c r="AB2361" i="1" s="1"/>
  <c r="AN2361" i="1" s="1"/>
  <c r="Z2362" i="1"/>
  <c r="AA2362" i="1" s="1"/>
  <c r="AB2362" i="1" s="1"/>
  <c r="AN2362" i="1" s="1"/>
  <c r="Z2363" i="1"/>
  <c r="AA2363" i="1" s="1"/>
  <c r="AB2363" i="1" s="1"/>
  <c r="AN2363" i="1" s="1"/>
  <c r="Z2364" i="1"/>
  <c r="AA2364" i="1" s="1"/>
  <c r="AB2364" i="1" s="1"/>
  <c r="AN2364" i="1" s="1"/>
  <c r="Z2365" i="1"/>
  <c r="AA2365" i="1" s="1"/>
  <c r="AB2365" i="1" s="1"/>
  <c r="AN2365" i="1" s="1"/>
  <c r="Z2366" i="1"/>
  <c r="AA2366" i="1" s="1"/>
  <c r="AB2366" i="1" s="1"/>
  <c r="AN2366" i="1" s="1"/>
  <c r="Z2367" i="1"/>
  <c r="AA2367" i="1" s="1"/>
  <c r="AB2367" i="1" s="1"/>
  <c r="AN2367" i="1" s="1"/>
  <c r="Z2368" i="1"/>
  <c r="AA2368" i="1" s="1"/>
  <c r="AB2368" i="1" s="1"/>
  <c r="AN2368" i="1" s="1"/>
  <c r="Z2369" i="1"/>
  <c r="AA2369" i="1" s="1"/>
  <c r="AB2369" i="1" s="1"/>
  <c r="AN2369" i="1" s="1"/>
  <c r="Z2370" i="1"/>
  <c r="AA2370" i="1" s="1"/>
  <c r="AB2370" i="1" s="1"/>
  <c r="AN2370" i="1" s="1"/>
  <c r="Z2371" i="1"/>
  <c r="AA2371" i="1" s="1"/>
  <c r="AB2371" i="1" s="1"/>
  <c r="AN2371" i="1" s="1"/>
  <c r="Z2372" i="1"/>
  <c r="AA2372" i="1" s="1"/>
  <c r="AB2372" i="1" s="1"/>
  <c r="AN2372" i="1" s="1"/>
  <c r="Z2373" i="1"/>
  <c r="AA2373" i="1" s="1"/>
  <c r="AB2373" i="1" s="1"/>
  <c r="AN2373" i="1" s="1"/>
  <c r="Z2374" i="1"/>
  <c r="AA2374" i="1" s="1"/>
  <c r="AB2374" i="1" s="1"/>
  <c r="AN2374" i="1" s="1"/>
  <c r="Z2375" i="1"/>
  <c r="AA2375" i="1" s="1"/>
  <c r="AB2375" i="1" s="1"/>
  <c r="AN2375" i="1" s="1"/>
  <c r="Z2376" i="1"/>
  <c r="AA2376" i="1" s="1"/>
  <c r="AB2376" i="1" s="1"/>
  <c r="AN2376" i="1" s="1"/>
  <c r="Z2377" i="1"/>
  <c r="AA2377" i="1" s="1"/>
  <c r="AB2377" i="1" s="1"/>
  <c r="AN2377" i="1" s="1"/>
  <c r="Z2378" i="1"/>
  <c r="AA2378" i="1" s="1"/>
  <c r="AB2378" i="1" s="1"/>
  <c r="AN2378" i="1" s="1"/>
  <c r="Z2379" i="1"/>
  <c r="AA2379" i="1" s="1"/>
  <c r="AB2379" i="1" s="1"/>
  <c r="AN2379" i="1" s="1"/>
  <c r="Z2380" i="1"/>
  <c r="AA2380" i="1" s="1"/>
  <c r="AB2380" i="1" s="1"/>
  <c r="AN2380" i="1" s="1"/>
  <c r="Z2381" i="1"/>
  <c r="AA2381" i="1" s="1"/>
  <c r="AB2381" i="1" s="1"/>
  <c r="AN2381" i="1" s="1"/>
  <c r="Z2382" i="1"/>
  <c r="AA2382" i="1" s="1"/>
  <c r="AB2382" i="1" s="1"/>
  <c r="AN2382" i="1" s="1"/>
  <c r="Z2383" i="1"/>
  <c r="AA2383" i="1" s="1"/>
  <c r="AB2383" i="1" s="1"/>
  <c r="AN2383" i="1" s="1"/>
  <c r="Z2384" i="1"/>
  <c r="AA2384" i="1" s="1"/>
  <c r="AB2384" i="1" s="1"/>
  <c r="AN2384" i="1" s="1"/>
  <c r="Z2385" i="1"/>
  <c r="AA2385" i="1" s="1"/>
  <c r="AB2385" i="1" s="1"/>
  <c r="AN2385" i="1" s="1"/>
  <c r="Z2386" i="1"/>
  <c r="AA2386" i="1" s="1"/>
  <c r="AB2386" i="1" s="1"/>
  <c r="AN2386" i="1" s="1"/>
  <c r="Z2387" i="1"/>
  <c r="AA2387" i="1" s="1"/>
  <c r="AB2387" i="1" s="1"/>
  <c r="AN2387" i="1" s="1"/>
  <c r="Z2388" i="1"/>
  <c r="AA2388" i="1" s="1"/>
  <c r="AB2388" i="1" s="1"/>
  <c r="AN2388" i="1" s="1"/>
  <c r="Z2389" i="1"/>
  <c r="AA2389" i="1" s="1"/>
  <c r="AB2389" i="1" s="1"/>
  <c r="AN2389" i="1" s="1"/>
  <c r="Z2390" i="1"/>
  <c r="AA2390" i="1" s="1"/>
  <c r="AB2390" i="1" s="1"/>
  <c r="AN2390" i="1" s="1"/>
  <c r="Z2391" i="1"/>
  <c r="AA2391" i="1" s="1"/>
  <c r="AB2391" i="1" s="1"/>
  <c r="AN2391" i="1" s="1"/>
  <c r="Z2392" i="1"/>
  <c r="AA2392" i="1" s="1"/>
  <c r="AB2392" i="1" s="1"/>
  <c r="AN2392" i="1" s="1"/>
  <c r="Z2393" i="1"/>
  <c r="AA2393" i="1" s="1"/>
  <c r="AB2393" i="1" s="1"/>
  <c r="AN2393" i="1" s="1"/>
  <c r="Z2394" i="1"/>
  <c r="AA2394" i="1" s="1"/>
  <c r="AB2394" i="1" s="1"/>
  <c r="AN2394" i="1" s="1"/>
  <c r="Z2395" i="1"/>
  <c r="AA2395" i="1" s="1"/>
  <c r="AB2395" i="1" s="1"/>
  <c r="AN2395" i="1" s="1"/>
  <c r="Z2396" i="1"/>
  <c r="AA2396" i="1" s="1"/>
  <c r="AB2396" i="1" s="1"/>
  <c r="AN2396" i="1" s="1"/>
  <c r="Z2397" i="1"/>
  <c r="AA2397" i="1" s="1"/>
  <c r="AB2397" i="1" s="1"/>
  <c r="AN2397" i="1" s="1"/>
  <c r="Z2398" i="1"/>
  <c r="AA2398" i="1" s="1"/>
  <c r="AB2398" i="1" s="1"/>
  <c r="AN2398" i="1" s="1"/>
  <c r="Z2399" i="1"/>
  <c r="AA2399" i="1" s="1"/>
  <c r="AB2399" i="1" s="1"/>
  <c r="AN2399" i="1" s="1"/>
  <c r="Z2400" i="1"/>
  <c r="AA2400" i="1" s="1"/>
  <c r="AB2400" i="1" s="1"/>
  <c r="AN2400" i="1" s="1"/>
  <c r="Z2401" i="1"/>
  <c r="AA2401" i="1" s="1"/>
  <c r="AB2401" i="1" s="1"/>
  <c r="AN2401" i="1" s="1"/>
  <c r="Z2402" i="1"/>
  <c r="AA2402" i="1" s="1"/>
  <c r="AB2402" i="1" s="1"/>
  <c r="AN2402" i="1" s="1"/>
  <c r="Z2403" i="1"/>
  <c r="AA2403" i="1" s="1"/>
  <c r="AB2403" i="1" s="1"/>
  <c r="AN2403" i="1" s="1"/>
  <c r="Z2404" i="1"/>
  <c r="AA2404" i="1" s="1"/>
  <c r="AB2404" i="1" s="1"/>
  <c r="AN2404" i="1" s="1"/>
  <c r="Z2405" i="1"/>
  <c r="AA2405" i="1" s="1"/>
  <c r="AB2405" i="1" s="1"/>
  <c r="AN2405" i="1" s="1"/>
  <c r="Z2406" i="1"/>
  <c r="AA2406" i="1" s="1"/>
  <c r="AB2406" i="1" s="1"/>
  <c r="AN2406" i="1" s="1"/>
  <c r="Z2407" i="1"/>
  <c r="AA2407" i="1" s="1"/>
  <c r="AB2407" i="1" s="1"/>
  <c r="AN2407" i="1" s="1"/>
  <c r="Z2408" i="1"/>
  <c r="AA2408" i="1" s="1"/>
  <c r="AB2408" i="1" s="1"/>
  <c r="AN2408" i="1" s="1"/>
  <c r="Z2409" i="1"/>
  <c r="AA2409" i="1" s="1"/>
  <c r="AB2409" i="1" s="1"/>
  <c r="AN2409" i="1" s="1"/>
  <c r="Z2410" i="1"/>
  <c r="AA2410" i="1" s="1"/>
  <c r="AB2410" i="1" s="1"/>
  <c r="AN2410" i="1" s="1"/>
  <c r="Z2411" i="1"/>
  <c r="AA2411" i="1" s="1"/>
  <c r="AB2411" i="1" s="1"/>
  <c r="AN2411" i="1" s="1"/>
  <c r="Z2412" i="1"/>
  <c r="AA2412" i="1" s="1"/>
  <c r="AB2412" i="1" s="1"/>
  <c r="AN2412" i="1" s="1"/>
  <c r="Z2413" i="1"/>
  <c r="AA2413" i="1" s="1"/>
  <c r="AB2413" i="1" s="1"/>
  <c r="AN2413" i="1" s="1"/>
  <c r="Z2414" i="1"/>
  <c r="AA2414" i="1" s="1"/>
  <c r="AB2414" i="1" s="1"/>
  <c r="AN2414" i="1" s="1"/>
  <c r="Z2415" i="1"/>
  <c r="AA2415" i="1" s="1"/>
  <c r="AB2415" i="1" s="1"/>
  <c r="AN2415" i="1" s="1"/>
  <c r="Z2416" i="1"/>
  <c r="AA2416" i="1" s="1"/>
  <c r="AB2416" i="1" s="1"/>
  <c r="AN2416" i="1" s="1"/>
  <c r="Z2417" i="1"/>
  <c r="AA2417" i="1" s="1"/>
  <c r="AB2417" i="1" s="1"/>
  <c r="AN2417" i="1" s="1"/>
  <c r="Z2418" i="1"/>
  <c r="AA2418" i="1" s="1"/>
  <c r="AB2418" i="1" s="1"/>
  <c r="AN2418" i="1" s="1"/>
  <c r="Z2419" i="1"/>
  <c r="AA2419" i="1" s="1"/>
  <c r="AB2419" i="1" s="1"/>
  <c r="AN2419" i="1" s="1"/>
  <c r="Z2420" i="1"/>
  <c r="AA2420" i="1" s="1"/>
  <c r="AB2420" i="1" s="1"/>
  <c r="AN2420" i="1" s="1"/>
  <c r="Z2421" i="1"/>
  <c r="AA2421" i="1" s="1"/>
  <c r="AB2421" i="1" s="1"/>
  <c r="AN2421" i="1" s="1"/>
  <c r="Z2422" i="1"/>
  <c r="AA2422" i="1" s="1"/>
  <c r="AB2422" i="1" s="1"/>
  <c r="AN2422" i="1" s="1"/>
  <c r="Z2423" i="1"/>
  <c r="AA2423" i="1" s="1"/>
  <c r="AB2423" i="1" s="1"/>
  <c r="AN2423" i="1" s="1"/>
  <c r="Z2424" i="1"/>
  <c r="AA2424" i="1" s="1"/>
  <c r="AB2424" i="1" s="1"/>
  <c r="AN2424" i="1" s="1"/>
  <c r="Z2425" i="1"/>
  <c r="AA2425" i="1" s="1"/>
  <c r="AB2425" i="1" s="1"/>
  <c r="AN2425" i="1" s="1"/>
  <c r="Z2426" i="1"/>
  <c r="AA2426" i="1" s="1"/>
  <c r="AB2426" i="1" s="1"/>
  <c r="AN2426" i="1" s="1"/>
  <c r="Z2427" i="1"/>
  <c r="AA2427" i="1" s="1"/>
  <c r="AB2427" i="1" s="1"/>
  <c r="AN2427" i="1" s="1"/>
  <c r="Z2428" i="1"/>
  <c r="AA2428" i="1" s="1"/>
  <c r="AB2428" i="1" s="1"/>
  <c r="AN2428" i="1" s="1"/>
  <c r="Z2429" i="1"/>
  <c r="AA2429" i="1" s="1"/>
  <c r="AB2429" i="1" s="1"/>
  <c r="AN2429" i="1" s="1"/>
  <c r="Z2430" i="1"/>
  <c r="AA2430" i="1" s="1"/>
  <c r="AB2430" i="1" s="1"/>
  <c r="AN2430" i="1" s="1"/>
  <c r="Z2431" i="1"/>
  <c r="AA2431" i="1" s="1"/>
  <c r="AB2431" i="1" s="1"/>
  <c r="AN2431" i="1" s="1"/>
  <c r="Z2432" i="1"/>
  <c r="AA2432" i="1" s="1"/>
  <c r="AB2432" i="1" s="1"/>
  <c r="AN2432" i="1" s="1"/>
  <c r="Z2433" i="1"/>
  <c r="AA2433" i="1" s="1"/>
  <c r="AB2433" i="1" s="1"/>
  <c r="AN2433" i="1" s="1"/>
  <c r="Z2434" i="1"/>
  <c r="AA2434" i="1" s="1"/>
  <c r="AB2434" i="1" s="1"/>
  <c r="AN2434" i="1" s="1"/>
  <c r="Z2435" i="1"/>
  <c r="AA2435" i="1" s="1"/>
  <c r="AB2435" i="1" s="1"/>
  <c r="AN2435" i="1" s="1"/>
  <c r="Z2436" i="1"/>
  <c r="AA2436" i="1" s="1"/>
  <c r="AB2436" i="1" s="1"/>
  <c r="AN2436" i="1" s="1"/>
  <c r="Z2437" i="1"/>
  <c r="AA2437" i="1" s="1"/>
  <c r="AB2437" i="1" s="1"/>
  <c r="AN2437" i="1" s="1"/>
  <c r="Z2438" i="1"/>
  <c r="AA2438" i="1" s="1"/>
  <c r="AB2438" i="1" s="1"/>
  <c r="AN2438" i="1" s="1"/>
  <c r="Z2439" i="1"/>
  <c r="AA2439" i="1" s="1"/>
  <c r="AB2439" i="1" s="1"/>
  <c r="AN2439" i="1" s="1"/>
  <c r="Z2440" i="1"/>
  <c r="AA2440" i="1" s="1"/>
  <c r="AB2440" i="1" s="1"/>
  <c r="AN2440" i="1" s="1"/>
  <c r="Z2441" i="1"/>
  <c r="AA2441" i="1" s="1"/>
  <c r="AB2441" i="1" s="1"/>
  <c r="AN2441" i="1" s="1"/>
  <c r="Z2442" i="1"/>
  <c r="AA2442" i="1" s="1"/>
  <c r="AB2442" i="1" s="1"/>
  <c r="AN2442" i="1" s="1"/>
  <c r="Z2443" i="1"/>
  <c r="AA2443" i="1" s="1"/>
  <c r="AB2443" i="1" s="1"/>
  <c r="AN2443" i="1" s="1"/>
  <c r="Z2444" i="1"/>
  <c r="AA2444" i="1" s="1"/>
  <c r="AB2444" i="1" s="1"/>
  <c r="AN2444" i="1" s="1"/>
  <c r="Z2445" i="1"/>
  <c r="AA2445" i="1" s="1"/>
  <c r="AB2445" i="1" s="1"/>
  <c r="AN2445" i="1" s="1"/>
  <c r="Z2446" i="1"/>
  <c r="AA2446" i="1" s="1"/>
  <c r="AB2446" i="1" s="1"/>
  <c r="AN2446" i="1" s="1"/>
  <c r="Z2447" i="1"/>
  <c r="AA2447" i="1" s="1"/>
  <c r="AB2447" i="1" s="1"/>
  <c r="AN2447" i="1" s="1"/>
  <c r="Z2448" i="1"/>
  <c r="AA2448" i="1" s="1"/>
  <c r="AB2448" i="1" s="1"/>
  <c r="AN2448" i="1" s="1"/>
  <c r="Z2449" i="1"/>
  <c r="AA2449" i="1" s="1"/>
  <c r="AB2449" i="1" s="1"/>
  <c r="AN2449" i="1" s="1"/>
  <c r="Z2450" i="1"/>
  <c r="AA2450" i="1" s="1"/>
  <c r="AB2450" i="1" s="1"/>
  <c r="AN2450" i="1" s="1"/>
  <c r="Z2451" i="1"/>
  <c r="AA2451" i="1" s="1"/>
  <c r="AB2451" i="1" s="1"/>
  <c r="AN2451" i="1" s="1"/>
  <c r="Z2452" i="1"/>
  <c r="AA2452" i="1" s="1"/>
  <c r="AB2452" i="1" s="1"/>
  <c r="AN2452" i="1" s="1"/>
  <c r="Z2453" i="1"/>
  <c r="AA2453" i="1" s="1"/>
  <c r="AB2453" i="1" s="1"/>
  <c r="AN2453" i="1" s="1"/>
  <c r="Z2454" i="1"/>
  <c r="AA2454" i="1" s="1"/>
  <c r="AB2454" i="1" s="1"/>
  <c r="AN2454" i="1" s="1"/>
  <c r="Z2455" i="1"/>
  <c r="AA2455" i="1" s="1"/>
  <c r="AB2455" i="1" s="1"/>
  <c r="AN2455" i="1" s="1"/>
  <c r="Z2456" i="1"/>
  <c r="AA2456" i="1" s="1"/>
  <c r="AB2456" i="1" s="1"/>
  <c r="AN2456" i="1" s="1"/>
  <c r="Z2457" i="1"/>
  <c r="AA2457" i="1" s="1"/>
  <c r="AB2457" i="1" s="1"/>
  <c r="AN2457" i="1" s="1"/>
  <c r="Z2458" i="1"/>
  <c r="AA2458" i="1" s="1"/>
  <c r="AB2458" i="1" s="1"/>
  <c r="AN2458" i="1" s="1"/>
  <c r="Z2459" i="1"/>
  <c r="AA2459" i="1" s="1"/>
  <c r="AB2459" i="1" s="1"/>
  <c r="AN2459" i="1" s="1"/>
  <c r="Z2460" i="1"/>
  <c r="AA2460" i="1" s="1"/>
  <c r="AB2460" i="1" s="1"/>
  <c r="AN2460" i="1" s="1"/>
  <c r="Z2461" i="1"/>
  <c r="AA2461" i="1" s="1"/>
  <c r="AB2461" i="1" s="1"/>
  <c r="AN2461" i="1" s="1"/>
  <c r="Z2462" i="1"/>
  <c r="AA2462" i="1" s="1"/>
  <c r="AB2462" i="1" s="1"/>
  <c r="AN2462" i="1" s="1"/>
  <c r="Z2463" i="1"/>
  <c r="AA2463" i="1" s="1"/>
  <c r="AB2463" i="1" s="1"/>
  <c r="AN2463" i="1" s="1"/>
  <c r="Z2464" i="1"/>
  <c r="AA2464" i="1" s="1"/>
  <c r="AB2464" i="1" s="1"/>
  <c r="AN2464" i="1" s="1"/>
  <c r="Z2465" i="1"/>
  <c r="AA2465" i="1" s="1"/>
  <c r="AB2465" i="1" s="1"/>
  <c r="AN2465" i="1" s="1"/>
  <c r="Z2466" i="1"/>
  <c r="AA2466" i="1" s="1"/>
  <c r="AB2466" i="1" s="1"/>
  <c r="AN2466" i="1" s="1"/>
  <c r="Z2467" i="1"/>
  <c r="AA2467" i="1" s="1"/>
  <c r="AB2467" i="1" s="1"/>
  <c r="AN2467" i="1" s="1"/>
  <c r="Z2468" i="1"/>
  <c r="AA2468" i="1" s="1"/>
  <c r="AB2468" i="1" s="1"/>
  <c r="AN2468" i="1" s="1"/>
  <c r="Z2469" i="1"/>
  <c r="AA2469" i="1" s="1"/>
  <c r="AB2469" i="1" s="1"/>
  <c r="AN2469" i="1" s="1"/>
  <c r="Z2470" i="1"/>
  <c r="AA2470" i="1" s="1"/>
  <c r="AB2470" i="1" s="1"/>
  <c r="AN2470" i="1" s="1"/>
  <c r="Z2471" i="1"/>
  <c r="AA2471" i="1" s="1"/>
  <c r="AB2471" i="1" s="1"/>
  <c r="AN2471" i="1" s="1"/>
  <c r="Z2472" i="1"/>
  <c r="AA2472" i="1" s="1"/>
  <c r="AB2472" i="1" s="1"/>
  <c r="AN2472" i="1" s="1"/>
  <c r="Z2473" i="1"/>
  <c r="AA2473" i="1" s="1"/>
  <c r="AB2473" i="1" s="1"/>
  <c r="AN2473" i="1" s="1"/>
  <c r="Z2474" i="1"/>
  <c r="AA2474" i="1" s="1"/>
  <c r="AB2474" i="1" s="1"/>
  <c r="AN2474" i="1" s="1"/>
  <c r="Z2475" i="1"/>
  <c r="AA2475" i="1" s="1"/>
  <c r="AB2475" i="1" s="1"/>
  <c r="AN2475" i="1" s="1"/>
  <c r="Z2476" i="1"/>
  <c r="AA2476" i="1" s="1"/>
  <c r="AB2476" i="1" s="1"/>
  <c r="AN2476" i="1" s="1"/>
  <c r="Z2477" i="1"/>
  <c r="AA2477" i="1" s="1"/>
  <c r="AB2477" i="1" s="1"/>
  <c r="AN2477" i="1" s="1"/>
  <c r="Z2478" i="1"/>
  <c r="AA2478" i="1" s="1"/>
  <c r="AB2478" i="1" s="1"/>
  <c r="AN2478" i="1" s="1"/>
  <c r="Z2479" i="1"/>
  <c r="AA2479" i="1" s="1"/>
  <c r="AB2479" i="1" s="1"/>
  <c r="AN2479" i="1" s="1"/>
  <c r="Z2480" i="1"/>
  <c r="AA2480" i="1" s="1"/>
  <c r="AB2480" i="1" s="1"/>
  <c r="AN2480" i="1" s="1"/>
  <c r="Z2481" i="1"/>
  <c r="AA2481" i="1" s="1"/>
  <c r="AB2481" i="1" s="1"/>
  <c r="AN2481" i="1" s="1"/>
  <c r="Z2482" i="1"/>
  <c r="AA2482" i="1" s="1"/>
  <c r="AB2482" i="1" s="1"/>
  <c r="AN2482" i="1" s="1"/>
  <c r="Z2483" i="1"/>
  <c r="AA2483" i="1" s="1"/>
  <c r="AB2483" i="1" s="1"/>
  <c r="AN2483" i="1" s="1"/>
  <c r="Z2484" i="1"/>
  <c r="AA2484" i="1" s="1"/>
  <c r="AB2484" i="1" s="1"/>
  <c r="AN2484" i="1" s="1"/>
  <c r="Z2485" i="1"/>
  <c r="AA2485" i="1" s="1"/>
  <c r="AB2485" i="1" s="1"/>
  <c r="AN2485" i="1" s="1"/>
  <c r="Z2486" i="1"/>
  <c r="AA2486" i="1" s="1"/>
  <c r="AB2486" i="1" s="1"/>
  <c r="AN2486" i="1" s="1"/>
  <c r="Z2487" i="1"/>
  <c r="AA2487" i="1" s="1"/>
  <c r="AB2487" i="1" s="1"/>
  <c r="AN2487" i="1" s="1"/>
  <c r="Z2488" i="1"/>
  <c r="AA2488" i="1" s="1"/>
  <c r="AB2488" i="1" s="1"/>
  <c r="AN2488" i="1" s="1"/>
  <c r="Z2489" i="1"/>
  <c r="AA2489" i="1" s="1"/>
  <c r="AB2489" i="1" s="1"/>
  <c r="AN2489" i="1" s="1"/>
  <c r="Z2490" i="1"/>
  <c r="AA2490" i="1" s="1"/>
  <c r="AB2490" i="1" s="1"/>
  <c r="AN2490" i="1" s="1"/>
  <c r="Z2491" i="1"/>
  <c r="AA2491" i="1" s="1"/>
  <c r="AB2491" i="1" s="1"/>
  <c r="AN2491" i="1" s="1"/>
  <c r="Z2492" i="1"/>
  <c r="AA2492" i="1" s="1"/>
  <c r="AB2492" i="1" s="1"/>
  <c r="AN2492" i="1" s="1"/>
  <c r="Z2493" i="1"/>
  <c r="AA2493" i="1" s="1"/>
  <c r="AB2493" i="1" s="1"/>
  <c r="AN2493" i="1" s="1"/>
  <c r="Z2494" i="1"/>
  <c r="AA2494" i="1" s="1"/>
  <c r="AB2494" i="1" s="1"/>
  <c r="AN2494" i="1" s="1"/>
  <c r="Z2495" i="1"/>
  <c r="AA2495" i="1" s="1"/>
  <c r="AB2495" i="1" s="1"/>
  <c r="AN2495" i="1" s="1"/>
  <c r="Z2496" i="1"/>
  <c r="AA2496" i="1" s="1"/>
  <c r="AB2496" i="1" s="1"/>
  <c r="AN2496" i="1" s="1"/>
  <c r="Z2497" i="1"/>
  <c r="AA2497" i="1" s="1"/>
  <c r="AB2497" i="1" s="1"/>
  <c r="AN2497" i="1" s="1"/>
  <c r="Z2498" i="1"/>
  <c r="AA2498" i="1" s="1"/>
  <c r="AB2498" i="1" s="1"/>
  <c r="AN2498" i="1" s="1"/>
  <c r="Z2499" i="1"/>
  <c r="AA2499" i="1" s="1"/>
  <c r="AB2499" i="1" s="1"/>
  <c r="AN2499" i="1" s="1"/>
  <c r="Z2500" i="1"/>
  <c r="AA2500" i="1" s="1"/>
  <c r="AB2500" i="1" s="1"/>
  <c r="AN2500" i="1" s="1"/>
  <c r="Z2501" i="1"/>
  <c r="AA2501" i="1" s="1"/>
  <c r="AB2501" i="1" s="1"/>
  <c r="AN2501" i="1" s="1"/>
  <c r="Z2502" i="1"/>
  <c r="AA2502" i="1" s="1"/>
  <c r="AB2502" i="1" s="1"/>
  <c r="AN2502" i="1" s="1"/>
  <c r="Z2503" i="1"/>
  <c r="AA2503" i="1" s="1"/>
  <c r="AB2503" i="1" s="1"/>
  <c r="AN2503" i="1" s="1"/>
  <c r="Z2504" i="1"/>
  <c r="AA2504" i="1" s="1"/>
  <c r="AB2504" i="1" s="1"/>
  <c r="AN2504" i="1" s="1"/>
  <c r="Z2505" i="1"/>
  <c r="AA2505" i="1" s="1"/>
  <c r="AB2505" i="1" s="1"/>
  <c r="AN2505" i="1" s="1"/>
  <c r="Z2506" i="1"/>
  <c r="AA2506" i="1" s="1"/>
  <c r="AB2506" i="1" s="1"/>
  <c r="AN2506" i="1" s="1"/>
  <c r="Z2507" i="1"/>
  <c r="AA2507" i="1" s="1"/>
  <c r="AB2507" i="1" s="1"/>
  <c r="AN2507" i="1" s="1"/>
  <c r="Z2508" i="1"/>
  <c r="AA2508" i="1" s="1"/>
  <c r="AB2508" i="1" s="1"/>
  <c r="AN2508" i="1" s="1"/>
  <c r="Z2509" i="1"/>
  <c r="AA2509" i="1" s="1"/>
  <c r="AB2509" i="1" s="1"/>
  <c r="AN2509" i="1" s="1"/>
  <c r="Z2510" i="1"/>
  <c r="AA2510" i="1" s="1"/>
  <c r="AB2510" i="1" s="1"/>
  <c r="AN2510" i="1" s="1"/>
  <c r="Z2511" i="1"/>
  <c r="AA2511" i="1" s="1"/>
  <c r="AB2511" i="1" s="1"/>
  <c r="AN2511" i="1" s="1"/>
  <c r="Z2512" i="1"/>
  <c r="AA2512" i="1" s="1"/>
  <c r="AB2512" i="1" s="1"/>
  <c r="AN2512" i="1" s="1"/>
  <c r="Z2513" i="1"/>
  <c r="AA2513" i="1" s="1"/>
  <c r="AB2513" i="1" s="1"/>
  <c r="AN2513" i="1" s="1"/>
  <c r="Z2514" i="1"/>
  <c r="AA2514" i="1" s="1"/>
  <c r="AB2514" i="1" s="1"/>
  <c r="AN2514" i="1" s="1"/>
  <c r="Z2515" i="1"/>
  <c r="AA2515" i="1" s="1"/>
  <c r="AB2515" i="1" s="1"/>
  <c r="AN2515" i="1" s="1"/>
  <c r="Z2516" i="1"/>
  <c r="AA2516" i="1" s="1"/>
  <c r="AB2516" i="1" s="1"/>
  <c r="AN2516" i="1" s="1"/>
  <c r="Z2517" i="1"/>
  <c r="AA2517" i="1" s="1"/>
  <c r="AB2517" i="1" s="1"/>
  <c r="AN2517" i="1" s="1"/>
  <c r="Z2518" i="1"/>
  <c r="AA2518" i="1" s="1"/>
  <c r="AB2518" i="1" s="1"/>
  <c r="AN2518" i="1" s="1"/>
  <c r="Z2519" i="1"/>
  <c r="AA2519" i="1" s="1"/>
  <c r="AB2519" i="1" s="1"/>
  <c r="AN2519" i="1" s="1"/>
  <c r="Z2520" i="1"/>
  <c r="AA2520" i="1" s="1"/>
  <c r="AB2520" i="1" s="1"/>
  <c r="AN2520" i="1" s="1"/>
  <c r="Z2521" i="1"/>
  <c r="AA2521" i="1" s="1"/>
  <c r="AB2521" i="1" s="1"/>
  <c r="AN2521" i="1" s="1"/>
  <c r="Z2522" i="1"/>
  <c r="AA2522" i="1" s="1"/>
  <c r="AB2522" i="1" s="1"/>
  <c r="AN2522" i="1" s="1"/>
  <c r="Z2523" i="1"/>
  <c r="AA2523" i="1" s="1"/>
  <c r="AB2523" i="1" s="1"/>
  <c r="AN2523" i="1" s="1"/>
  <c r="Z2524" i="1"/>
  <c r="AA2524" i="1" s="1"/>
  <c r="AB2524" i="1" s="1"/>
  <c r="AN2524" i="1" s="1"/>
  <c r="Z2525" i="1"/>
  <c r="AA2525" i="1" s="1"/>
  <c r="AB2525" i="1" s="1"/>
  <c r="AN2525" i="1" s="1"/>
  <c r="Z2526" i="1"/>
  <c r="AA2526" i="1" s="1"/>
  <c r="AB2526" i="1" s="1"/>
  <c r="AN2526" i="1" s="1"/>
  <c r="Z2527" i="1"/>
  <c r="AA2527" i="1" s="1"/>
  <c r="AB2527" i="1" s="1"/>
  <c r="AN2527" i="1" s="1"/>
  <c r="Z2528" i="1"/>
  <c r="AA2528" i="1" s="1"/>
  <c r="AB2528" i="1" s="1"/>
  <c r="AN2528" i="1" s="1"/>
  <c r="Z2529" i="1"/>
  <c r="AA2529" i="1" s="1"/>
  <c r="AB2529" i="1" s="1"/>
  <c r="AN2529" i="1" s="1"/>
  <c r="Z2530" i="1"/>
  <c r="AA2530" i="1" s="1"/>
  <c r="AB2530" i="1" s="1"/>
  <c r="AN2530" i="1" s="1"/>
  <c r="Z2531" i="1"/>
  <c r="AA2531" i="1" s="1"/>
  <c r="AB2531" i="1" s="1"/>
  <c r="AN2531" i="1" s="1"/>
  <c r="Z2532" i="1"/>
  <c r="AA2532" i="1" s="1"/>
  <c r="AB2532" i="1" s="1"/>
  <c r="AN2532" i="1" s="1"/>
  <c r="Z2533" i="1"/>
  <c r="AA2533" i="1" s="1"/>
  <c r="AB2533" i="1" s="1"/>
  <c r="AN2533" i="1" s="1"/>
  <c r="Z2534" i="1"/>
  <c r="AA2534" i="1" s="1"/>
  <c r="AB2534" i="1" s="1"/>
  <c r="AN2534" i="1" s="1"/>
  <c r="Z2535" i="1"/>
  <c r="AA2535" i="1" s="1"/>
  <c r="AB2535" i="1" s="1"/>
  <c r="AN2535" i="1" s="1"/>
  <c r="Z2536" i="1"/>
  <c r="AA2536" i="1" s="1"/>
  <c r="AB2536" i="1" s="1"/>
  <c r="AN2536" i="1" s="1"/>
  <c r="Z2537" i="1"/>
  <c r="AA2537" i="1" s="1"/>
  <c r="AB2537" i="1" s="1"/>
  <c r="AN2537" i="1" s="1"/>
  <c r="Z2538" i="1"/>
  <c r="AA2538" i="1" s="1"/>
  <c r="AB2538" i="1" s="1"/>
  <c r="AN2538" i="1" s="1"/>
  <c r="Z2539" i="1"/>
  <c r="AA2539" i="1" s="1"/>
  <c r="AB2539" i="1" s="1"/>
  <c r="AN2539" i="1" s="1"/>
  <c r="Z2540" i="1"/>
  <c r="AA2540" i="1" s="1"/>
  <c r="AB2540" i="1" s="1"/>
  <c r="AN2540" i="1" s="1"/>
  <c r="Z2541" i="1"/>
  <c r="AA2541" i="1" s="1"/>
  <c r="AB2541" i="1" s="1"/>
  <c r="AN2541" i="1" s="1"/>
  <c r="Z2542" i="1"/>
  <c r="AA2542" i="1" s="1"/>
  <c r="AB2542" i="1" s="1"/>
  <c r="AN2542" i="1" s="1"/>
  <c r="Z2543" i="1"/>
  <c r="AA2543" i="1" s="1"/>
  <c r="AB2543" i="1" s="1"/>
  <c r="AN2543" i="1" s="1"/>
  <c r="Z2544" i="1"/>
  <c r="AA2544" i="1" s="1"/>
  <c r="AB2544" i="1" s="1"/>
  <c r="AN2544" i="1" s="1"/>
  <c r="Z2545" i="1"/>
  <c r="AA2545" i="1" s="1"/>
  <c r="AB2545" i="1" s="1"/>
  <c r="AN2545" i="1" s="1"/>
  <c r="Z2546" i="1"/>
  <c r="AA2546" i="1" s="1"/>
  <c r="AB2546" i="1" s="1"/>
  <c r="AN2546" i="1" s="1"/>
  <c r="Z2547" i="1"/>
  <c r="AA2547" i="1" s="1"/>
  <c r="AB2547" i="1" s="1"/>
  <c r="AN2547" i="1" s="1"/>
  <c r="Z2548" i="1"/>
  <c r="AA2548" i="1" s="1"/>
  <c r="AB2548" i="1" s="1"/>
  <c r="AN2548" i="1" s="1"/>
  <c r="Z2549" i="1"/>
  <c r="AA2549" i="1" s="1"/>
  <c r="AB2549" i="1" s="1"/>
  <c r="AN2549" i="1" s="1"/>
  <c r="Z2550" i="1"/>
  <c r="AA2550" i="1" s="1"/>
  <c r="AB2550" i="1" s="1"/>
  <c r="AN2550" i="1" s="1"/>
  <c r="Z2551" i="1"/>
  <c r="AA2551" i="1" s="1"/>
  <c r="AB2551" i="1" s="1"/>
  <c r="AN2551" i="1" s="1"/>
  <c r="Z2552" i="1"/>
  <c r="AA2552" i="1" s="1"/>
  <c r="AB2552" i="1" s="1"/>
  <c r="AN2552" i="1" s="1"/>
  <c r="Z2553" i="1"/>
  <c r="AA2553" i="1" s="1"/>
  <c r="AB2553" i="1" s="1"/>
  <c r="AN2553" i="1" s="1"/>
  <c r="Z2554" i="1"/>
  <c r="AA2554" i="1" s="1"/>
  <c r="AB2554" i="1" s="1"/>
  <c r="AN2554" i="1" s="1"/>
  <c r="Z2555" i="1"/>
  <c r="AA2555" i="1" s="1"/>
  <c r="AB2555" i="1" s="1"/>
  <c r="AN2555" i="1" s="1"/>
  <c r="Z2556" i="1"/>
  <c r="AA2556" i="1" s="1"/>
  <c r="AB2556" i="1" s="1"/>
  <c r="AN2556" i="1" s="1"/>
  <c r="Z2557" i="1"/>
  <c r="AA2557" i="1" s="1"/>
  <c r="AB2557" i="1" s="1"/>
  <c r="AN2557" i="1" s="1"/>
  <c r="Z2558" i="1"/>
  <c r="AA2558" i="1" s="1"/>
  <c r="AB2558" i="1" s="1"/>
  <c r="AN2558" i="1" s="1"/>
  <c r="Z2559" i="1"/>
  <c r="AA2559" i="1" s="1"/>
  <c r="AB2559" i="1" s="1"/>
  <c r="AN2559" i="1" s="1"/>
  <c r="Z2560" i="1"/>
  <c r="AA2560" i="1" s="1"/>
  <c r="AB2560" i="1" s="1"/>
  <c r="AN2560" i="1" s="1"/>
  <c r="Z2561" i="1"/>
  <c r="AA2561" i="1" s="1"/>
  <c r="AB2561" i="1" s="1"/>
  <c r="AN2561" i="1" s="1"/>
  <c r="Z2562" i="1"/>
  <c r="AA2562" i="1" s="1"/>
  <c r="AB2562" i="1" s="1"/>
  <c r="AN2562" i="1" s="1"/>
  <c r="Z2563" i="1"/>
  <c r="AA2563" i="1" s="1"/>
  <c r="AB2563" i="1" s="1"/>
  <c r="AN2563" i="1" s="1"/>
  <c r="Z2564" i="1"/>
  <c r="AA2564" i="1" s="1"/>
  <c r="AB2564" i="1" s="1"/>
  <c r="AN2564" i="1" s="1"/>
  <c r="Z2565" i="1"/>
  <c r="AA2565" i="1" s="1"/>
  <c r="AB2565" i="1" s="1"/>
  <c r="AN2565" i="1" s="1"/>
  <c r="Z2566" i="1"/>
  <c r="AA2566" i="1" s="1"/>
  <c r="AB2566" i="1" s="1"/>
  <c r="AN2566" i="1" s="1"/>
  <c r="Z2567" i="1"/>
  <c r="AA2567" i="1" s="1"/>
  <c r="AB2567" i="1" s="1"/>
  <c r="AN2567" i="1" s="1"/>
  <c r="Z2568" i="1"/>
  <c r="AA2568" i="1" s="1"/>
  <c r="AB2568" i="1" s="1"/>
  <c r="AN2568" i="1" s="1"/>
  <c r="Z2569" i="1"/>
  <c r="AA2569" i="1" s="1"/>
  <c r="AB2569" i="1" s="1"/>
  <c r="AN2569" i="1" s="1"/>
  <c r="Z2570" i="1"/>
  <c r="AA2570" i="1" s="1"/>
  <c r="AB2570" i="1" s="1"/>
  <c r="AN2570" i="1" s="1"/>
  <c r="Z2571" i="1"/>
  <c r="AA2571" i="1" s="1"/>
  <c r="AB2571" i="1" s="1"/>
  <c r="AN2571" i="1" s="1"/>
  <c r="Z2572" i="1"/>
  <c r="AA2572" i="1" s="1"/>
  <c r="AB2572" i="1" s="1"/>
  <c r="AN2572" i="1" s="1"/>
  <c r="Z2573" i="1"/>
  <c r="AA2573" i="1" s="1"/>
  <c r="AB2573" i="1" s="1"/>
  <c r="AN2573" i="1" s="1"/>
  <c r="Z2574" i="1"/>
  <c r="AA2574" i="1" s="1"/>
  <c r="AB2574" i="1" s="1"/>
  <c r="AN2574" i="1" s="1"/>
  <c r="Z2575" i="1"/>
  <c r="AA2575" i="1" s="1"/>
  <c r="AB2575" i="1" s="1"/>
  <c r="AN2575" i="1" s="1"/>
  <c r="Z2576" i="1"/>
  <c r="AA2576" i="1" s="1"/>
  <c r="AB2576" i="1" s="1"/>
  <c r="AN2576" i="1" s="1"/>
  <c r="Z2577" i="1"/>
  <c r="AA2577" i="1" s="1"/>
  <c r="AB2577" i="1" s="1"/>
  <c r="AN2577" i="1" s="1"/>
  <c r="Z2578" i="1"/>
  <c r="AA2578" i="1" s="1"/>
  <c r="AB2578" i="1" s="1"/>
  <c r="AN2578" i="1" s="1"/>
  <c r="Z2579" i="1"/>
  <c r="AA2579" i="1" s="1"/>
  <c r="AB2579" i="1" s="1"/>
  <c r="AN2579" i="1" s="1"/>
  <c r="Z2580" i="1"/>
  <c r="AA2580" i="1" s="1"/>
  <c r="AB2580" i="1" s="1"/>
  <c r="AN2580" i="1" s="1"/>
  <c r="Z2581" i="1"/>
  <c r="AA2581" i="1" s="1"/>
  <c r="AB2581" i="1" s="1"/>
  <c r="AN2581" i="1" s="1"/>
  <c r="Z2582" i="1"/>
  <c r="AA2582" i="1" s="1"/>
  <c r="AB2582" i="1" s="1"/>
  <c r="AN2582" i="1" s="1"/>
  <c r="Z2583" i="1"/>
  <c r="AA2583" i="1" s="1"/>
  <c r="AB2583" i="1" s="1"/>
  <c r="AN2583" i="1" s="1"/>
  <c r="Z2584" i="1"/>
  <c r="AA2584" i="1" s="1"/>
  <c r="AB2584" i="1" s="1"/>
  <c r="AN2584" i="1" s="1"/>
  <c r="Z2585" i="1"/>
  <c r="AA2585" i="1" s="1"/>
  <c r="AB2585" i="1" s="1"/>
  <c r="AN2585" i="1" s="1"/>
  <c r="Z2586" i="1"/>
  <c r="AA2586" i="1" s="1"/>
  <c r="AB2586" i="1" s="1"/>
  <c r="AN2586" i="1" s="1"/>
  <c r="Z2587" i="1"/>
  <c r="AA2587" i="1" s="1"/>
  <c r="AB2587" i="1" s="1"/>
  <c r="AN2587" i="1" s="1"/>
  <c r="Z2588" i="1"/>
  <c r="AA2588" i="1" s="1"/>
  <c r="AB2588" i="1" s="1"/>
  <c r="AN2588" i="1" s="1"/>
  <c r="Z2589" i="1"/>
  <c r="AA2589" i="1" s="1"/>
  <c r="AB2589" i="1" s="1"/>
  <c r="AN2589" i="1" s="1"/>
  <c r="Z2590" i="1"/>
  <c r="AA2590" i="1" s="1"/>
  <c r="AB2590" i="1" s="1"/>
  <c r="AN2590" i="1" s="1"/>
  <c r="Z2591" i="1"/>
  <c r="AA2591" i="1" s="1"/>
  <c r="AB2591" i="1" s="1"/>
  <c r="AN2591" i="1" s="1"/>
  <c r="Z2592" i="1"/>
  <c r="AA2592" i="1" s="1"/>
  <c r="AB2592" i="1" s="1"/>
  <c r="AN2592" i="1" s="1"/>
  <c r="Z2593" i="1"/>
  <c r="AA2593" i="1" s="1"/>
  <c r="AB2593" i="1" s="1"/>
  <c r="AN2593" i="1" s="1"/>
  <c r="Z2594" i="1"/>
  <c r="AA2594" i="1" s="1"/>
  <c r="AB2594" i="1" s="1"/>
  <c r="AN2594" i="1" s="1"/>
  <c r="Z2595" i="1"/>
  <c r="AA2595" i="1" s="1"/>
  <c r="AB2595" i="1" s="1"/>
  <c r="AN2595" i="1" s="1"/>
  <c r="Z2596" i="1"/>
  <c r="AA2596" i="1" s="1"/>
  <c r="AB2596" i="1" s="1"/>
  <c r="AN2596" i="1" s="1"/>
  <c r="Z2597" i="1"/>
  <c r="AA2597" i="1" s="1"/>
  <c r="AB2597" i="1" s="1"/>
  <c r="AN2597" i="1" s="1"/>
  <c r="Z2598" i="1"/>
  <c r="AA2598" i="1" s="1"/>
  <c r="AB2598" i="1" s="1"/>
  <c r="AN2598" i="1" s="1"/>
  <c r="Z2599" i="1"/>
  <c r="AA2599" i="1" s="1"/>
  <c r="AB2599" i="1" s="1"/>
  <c r="AN2599" i="1" s="1"/>
  <c r="Z2600" i="1"/>
  <c r="AA2600" i="1" s="1"/>
  <c r="AB2600" i="1" s="1"/>
  <c r="AN2600" i="1" s="1"/>
  <c r="Z2601" i="1"/>
  <c r="AA2601" i="1" s="1"/>
  <c r="AB2601" i="1" s="1"/>
  <c r="AN2601" i="1" s="1"/>
  <c r="Z2602" i="1"/>
  <c r="AA2602" i="1" s="1"/>
  <c r="AB2602" i="1" s="1"/>
  <c r="AN2602" i="1" s="1"/>
  <c r="Z2603" i="1"/>
  <c r="AA2603" i="1" s="1"/>
  <c r="AB2603" i="1" s="1"/>
  <c r="AN2603" i="1" s="1"/>
  <c r="Z2604" i="1"/>
  <c r="AA2604" i="1" s="1"/>
  <c r="AB2604" i="1" s="1"/>
  <c r="AN2604" i="1" s="1"/>
  <c r="Z2605" i="1"/>
  <c r="AA2605" i="1" s="1"/>
  <c r="AB2605" i="1" s="1"/>
  <c r="AN2605" i="1" s="1"/>
  <c r="Z2606" i="1"/>
  <c r="AA2606" i="1" s="1"/>
  <c r="AB2606" i="1" s="1"/>
  <c r="AN2606" i="1" s="1"/>
  <c r="Z2607" i="1"/>
  <c r="AA2607" i="1" s="1"/>
  <c r="AB2607" i="1" s="1"/>
  <c r="AN2607" i="1" s="1"/>
  <c r="Z2608" i="1"/>
  <c r="AA2608" i="1" s="1"/>
  <c r="AB2608" i="1" s="1"/>
  <c r="AN2608" i="1" s="1"/>
  <c r="Z2609" i="1"/>
  <c r="AA2609" i="1" s="1"/>
  <c r="AB2609" i="1" s="1"/>
  <c r="AN2609" i="1" s="1"/>
  <c r="Z2610" i="1"/>
  <c r="AA2610" i="1" s="1"/>
  <c r="AB2610" i="1" s="1"/>
  <c r="AN2610" i="1" s="1"/>
  <c r="Z2611" i="1"/>
  <c r="AA2611" i="1" s="1"/>
  <c r="AB2611" i="1" s="1"/>
  <c r="AN2611" i="1" s="1"/>
  <c r="Z2612" i="1"/>
  <c r="AA2612" i="1" s="1"/>
  <c r="AB2612" i="1" s="1"/>
  <c r="AN2612" i="1" s="1"/>
  <c r="Z2613" i="1"/>
  <c r="AA2613" i="1" s="1"/>
  <c r="AB2613" i="1" s="1"/>
  <c r="AN2613" i="1" s="1"/>
  <c r="Z2614" i="1"/>
  <c r="AA2614" i="1" s="1"/>
  <c r="AB2614" i="1" s="1"/>
  <c r="AN2614" i="1" s="1"/>
  <c r="Z2615" i="1"/>
  <c r="AA2615" i="1" s="1"/>
  <c r="AB2615" i="1" s="1"/>
  <c r="AN2615" i="1" s="1"/>
  <c r="Z2616" i="1"/>
  <c r="AA2616" i="1" s="1"/>
  <c r="AB2616" i="1" s="1"/>
  <c r="AN2616" i="1" s="1"/>
  <c r="Z2617" i="1"/>
  <c r="AA2617" i="1" s="1"/>
  <c r="AB2617" i="1" s="1"/>
  <c r="AN2617" i="1" s="1"/>
  <c r="Z2618" i="1"/>
  <c r="AA2618" i="1" s="1"/>
  <c r="AB2618" i="1" s="1"/>
  <c r="AN2618" i="1" s="1"/>
  <c r="Z2619" i="1"/>
  <c r="AA2619" i="1" s="1"/>
  <c r="AB2619" i="1" s="1"/>
  <c r="AN2619" i="1" s="1"/>
  <c r="Z2620" i="1"/>
  <c r="AA2620" i="1" s="1"/>
  <c r="AB2620" i="1" s="1"/>
  <c r="AN2620" i="1" s="1"/>
  <c r="Z2621" i="1"/>
  <c r="AA2621" i="1" s="1"/>
  <c r="AB2621" i="1" s="1"/>
  <c r="AN2621" i="1" s="1"/>
  <c r="Z2622" i="1"/>
  <c r="AA2622" i="1" s="1"/>
  <c r="AB2622" i="1" s="1"/>
  <c r="AN2622" i="1" s="1"/>
  <c r="Z2623" i="1"/>
  <c r="AA2623" i="1" s="1"/>
  <c r="AB2623" i="1" s="1"/>
  <c r="AN2623" i="1" s="1"/>
  <c r="Z2624" i="1"/>
  <c r="AA2624" i="1" s="1"/>
  <c r="AB2624" i="1" s="1"/>
  <c r="AN2624" i="1" s="1"/>
  <c r="Z2625" i="1"/>
  <c r="AA2625" i="1" s="1"/>
  <c r="AB2625" i="1" s="1"/>
  <c r="AN2625" i="1" s="1"/>
  <c r="Z2626" i="1"/>
  <c r="AA2626" i="1" s="1"/>
  <c r="AB2626" i="1" s="1"/>
  <c r="AN2626" i="1" s="1"/>
  <c r="Z2627" i="1"/>
  <c r="AA2627" i="1" s="1"/>
  <c r="AB2627" i="1" s="1"/>
  <c r="AN2627" i="1" s="1"/>
  <c r="Z2628" i="1"/>
  <c r="AA2628" i="1" s="1"/>
  <c r="AB2628" i="1" s="1"/>
  <c r="AN2628" i="1" s="1"/>
  <c r="Z2629" i="1"/>
  <c r="AA2629" i="1" s="1"/>
  <c r="AB2629" i="1" s="1"/>
  <c r="AN2629" i="1" s="1"/>
  <c r="Z2630" i="1"/>
  <c r="AA2630" i="1" s="1"/>
  <c r="AB2630" i="1" s="1"/>
  <c r="AN2630" i="1" s="1"/>
  <c r="Z2631" i="1"/>
  <c r="AA2631" i="1" s="1"/>
  <c r="AB2631" i="1" s="1"/>
  <c r="AN2631" i="1" s="1"/>
  <c r="Z2632" i="1"/>
  <c r="AA2632" i="1" s="1"/>
  <c r="AB2632" i="1" s="1"/>
  <c r="AN2632" i="1" s="1"/>
  <c r="Z2633" i="1"/>
  <c r="AA2633" i="1" s="1"/>
  <c r="AB2633" i="1" s="1"/>
  <c r="AN2633" i="1" s="1"/>
  <c r="Z2634" i="1"/>
  <c r="AA2634" i="1" s="1"/>
  <c r="AB2634" i="1" s="1"/>
  <c r="AN2634" i="1" s="1"/>
  <c r="Z2635" i="1"/>
  <c r="AA2635" i="1" s="1"/>
  <c r="AB2635" i="1" s="1"/>
  <c r="AN2635" i="1" s="1"/>
  <c r="Z2636" i="1"/>
  <c r="AA2636" i="1" s="1"/>
  <c r="AB2636" i="1" s="1"/>
  <c r="AN2636" i="1" s="1"/>
  <c r="Z2637" i="1"/>
  <c r="AA2637" i="1" s="1"/>
  <c r="AB2637" i="1" s="1"/>
  <c r="AN2637" i="1" s="1"/>
  <c r="Z2638" i="1"/>
  <c r="AA2638" i="1" s="1"/>
  <c r="AB2638" i="1" s="1"/>
  <c r="AN2638" i="1" s="1"/>
  <c r="Z2639" i="1"/>
  <c r="AA2639" i="1" s="1"/>
  <c r="AB2639" i="1" s="1"/>
  <c r="AN2639" i="1" s="1"/>
  <c r="Z2640" i="1"/>
  <c r="AA2640" i="1" s="1"/>
  <c r="AB2640" i="1" s="1"/>
  <c r="AN2640" i="1" s="1"/>
  <c r="Z2641" i="1"/>
  <c r="AA2641" i="1" s="1"/>
  <c r="AB2641" i="1" s="1"/>
  <c r="AN2641" i="1" s="1"/>
  <c r="Z2642" i="1"/>
  <c r="AA2642" i="1" s="1"/>
  <c r="AB2642" i="1" s="1"/>
  <c r="AN2642" i="1" s="1"/>
  <c r="Z2643" i="1"/>
  <c r="AA2643" i="1" s="1"/>
  <c r="AB2643" i="1" s="1"/>
  <c r="AN2643" i="1" s="1"/>
  <c r="Z2644" i="1"/>
  <c r="AA2644" i="1" s="1"/>
  <c r="AB2644" i="1" s="1"/>
  <c r="AN2644" i="1" s="1"/>
  <c r="Z2645" i="1"/>
  <c r="AA2645" i="1" s="1"/>
  <c r="AB2645" i="1" s="1"/>
  <c r="AN2645" i="1" s="1"/>
  <c r="Z2646" i="1"/>
  <c r="AA2646" i="1" s="1"/>
  <c r="AB2646" i="1" s="1"/>
  <c r="AN2646" i="1" s="1"/>
  <c r="Z2647" i="1"/>
  <c r="AA2647" i="1" s="1"/>
  <c r="AB2647" i="1" s="1"/>
  <c r="AN2647" i="1" s="1"/>
  <c r="Z2648" i="1"/>
  <c r="AA2648" i="1" s="1"/>
  <c r="AB2648" i="1" s="1"/>
  <c r="AN2648" i="1" s="1"/>
  <c r="Z2649" i="1"/>
  <c r="AA2649" i="1" s="1"/>
  <c r="AB2649" i="1" s="1"/>
  <c r="AN2649" i="1" s="1"/>
  <c r="Z2650" i="1"/>
  <c r="AA2650" i="1" s="1"/>
  <c r="AB2650" i="1" s="1"/>
  <c r="AN2650" i="1" s="1"/>
  <c r="Z2651" i="1"/>
  <c r="AA2651" i="1" s="1"/>
  <c r="AB2651" i="1" s="1"/>
  <c r="AN2651" i="1" s="1"/>
  <c r="Z2652" i="1"/>
  <c r="AA2652" i="1" s="1"/>
  <c r="AB2652" i="1" s="1"/>
  <c r="AN2652" i="1" s="1"/>
  <c r="Z2653" i="1"/>
  <c r="AA2653" i="1" s="1"/>
  <c r="AB2653" i="1" s="1"/>
  <c r="AN2653" i="1" s="1"/>
  <c r="Z2654" i="1"/>
  <c r="AA2654" i="1" s="1"/>
  <c r="AB2654" i="1" s="1"/>
  <c r="AN2654" i="1" s="1"/>
  <c r="Z2655" i="1"/>
  <c r="AA2655" i="1" s="1"/>
  <c r="AB2655" i="1" s="1"/>
  <c r="AN2655" i="1" s="1"/>
  <c r="Z2656" i="1"/>
  <c r="AA2656" i="1" s="1"/>
  <c r="AB2656" i="1" s="1"/>
  <c r="AN2656" i="1" s="1"/>
  <c r="Z2657" i="1"/>
  <c r="AA2657" i="1" s="1"/>
  <c r="AB2657" i="1" s="1"/>
  <c r="AN2657" i="1" s="1"/>
  <c r="Z2658" i="1"/>
  <c r="AA2658" i="1" s="1"/>
  <c r="AB2658" i="1" s="1"/>
  <c r="AN2658" i="1" s="1"/>
  <c r="Z2659" i="1"/>
  <c r="AA2659" i="1" s="1"/>
  <c r="AB2659" i="1" s="1"/>
  <c r="AN2659" i="1" s="1"/>
  <c r="Z2660" i="1"/>
  <c r="AA2660" i="1" s="1"/>
  <c r="AB2660" i="1" s="1"/>
  <c r="AN2660" i="1" s="1"/>
  <c r="Z2661" i="1"/>
  <c r="AA2661" i="1" s="1"/>
  <c r="AB2661" i="1" s="1"/>
  <c r="AN2661" i="1" s="1"/>
  <c r="Z2662" i="1"/>
  <c r="AA2662" i="1" s="1"/>
  <c r="AB2662" i="1" s="1"/>
  <c r="AN2662" i="1" s="1"/>
  <c r="Z2663" i="1"/>
  <c r="AA2663" i="1" s="1"/>
  <c r="AB2663" i="1" s="1"/>
  <c r="AN2663" i="1" s="1"/>
  <c r="Z2664" i="1"/>
  <c r="AA2664" i="1" s="1"/>
  <c r="AB2664" i="1" s="1"/>
  <c r="AN2664" i="1" s="1"/>
  <c r="Z2665" i="1"/>
  <c r="AA2665" i="1" s="1"/>
  <c r="AB2665" i="1" s="1"/>
  <c r="AN2665" i="1" s="1"/>
  <c r="Z2666" i="1"/>
  <c r="AA2666" i="1" s="1"/>
  <c r="AB2666" i="1" s="1"/>
  <c r="AN2666" i="1" s="1"/>
  <c r="Z2667" i="1"/>
  <c r="AA2667" i="1" s="1"/>
  <c r="AB2667" i="1" s="1"/>
  <c r="AN2667" i="1" s="1"/>
  <c r="Z2668" i="1"/>
  <c r="AA2668" i="1" s="1"/>
  <c r="AB2668" i="1" s="1"/>
  <c r="AN2668" i="1" s="1"/>
  <c r="Z2669" i="1"/>
  <c r="AA2669" i="1" s="1"/>
  <c r="AB2669" i="1" s="1"/>
  <c r="AN2669" i="1" s="1"/>
  <c r="Z2670" i="1"/>
  <c r="AA2670" i="1" s="1"/>
  <c r="AB2670" i="1" s="1"/>
  <c r="AN2670" i="1" s="1"/>
  <c r="Z2671" i="1"/>
  <c r="AA2671" i="1" s="1"/>
  <c r="AB2671" i="1" s="1"/>
  <c r="AN2671" i="1" s="1"/>
  <c r="Z2672" i="1"/>
  <c r="AA2672" i="1" s="1"/>
  <c r="AB2672" i="1" s="1"/>
  <c r="AN2672" i="1" s="1"/>
  <c r="Z2673" i="1"/>
  <c r="AA2673" i="1" s="1"/>
  <c r="AB2673" i="1" s="1"/>
  <c r="AN2673" i="1" s="1"/>
  <c r="Z2674" i="1"/>
  <c r="AA2674" i="1" s="1"/>
  <c r="AB2674" i="1" s="1"/>
  <c r="AN2674" i="1" s="1"/>
  <c r="Z2675" i="1"/>
  <c r="AA2675" i="1" s="1"/>
  <c r="AB2675" i="1" s="1"/>
  <c r="AN2675" i="1" s="1"/>
  <c r="Z2676" i="1"/>
  <c r="AA2676" i="1" s="1"/>
  <c r="AB2676" i="1" s="1"/>
  <c r="AN2676" i="1" s="1"/>
  <c r="Z2677" i="1"/>
  <c r="AA2677" i="1" s="1"/>
  <c r="AB2677" i="1" s="1"/>
  <c r="AN2677" i="1" s="1"/>
  <c r="Z2678" i="1"/>
  <c r="AA2678" i="1" s="1"/>
  <c r="AB2678" i="1" s="1"/>
  <c r="AN2678" i="1" s="1"/>
  <c r="Z2679" i="1"/>
  <c r="AA2679" i="1" s="1"/>
  <c r="AB2679" i="1" s="1"/>
  <c r="AN2679" i="1" s="1"/>
  <c r="Z2680" i="1"/>
  <c r="AA2680" i="1" s="1"/>
  <c r="AB2680" i="1" s="1"/>
  <c r="AN2680" i="1" s="1"/>
  <c r="Z2681" i="1"/>
  <c r="AA2681" i="1" s="1"/>
  <c r="AB2681" i="1" s="1"/>
  <c r="AN2681" i="1" s="1"/>
  <c r="Z2682" i="1"/>
  <c r="AA2682" i="1" s="1"/>
  <c r="AB2682" i="1" s="1"/>
  <c r="AN2682" i="1" s="1"/>
  <c r="Z2683" i="1"/>
  <c r="AA2683" i="1" s="1"/>
  <c r="AB2683" i="1" s="1"/>
  <c r="AN2683" i="1" s="1"/>
  <c r="Z2684" i="1"/>
  <c r="AA2684" i="1" s="1"/>
  <c r="AB2684" i="1" s="1"/>
  <c r="AN2684" i="1" s="1"/>
  <c r="Z2685" i="1"/>
  <c r="AA2685" i="1" s="1"/>
  <c r="AB2685" i="1" s="1"/>
  <c r="AN2685" i="1" s="1"/>
  <c r="Z2686" i="1"/>
  <c r="AA2686" i="1" s="1"/>
  <c r="AB2686" i="1" s="1"/>
  <c r="AN2686" i="1" s="1"/>
  <c r="Z2687" i="1"/>
  <c r="AA2687" i="1" s="1"/>
  <c r="AB2687" i="1" s="1"/>
  <c r="AN2687" i="1" s="1"/>
  <c r="Z2688" i="1"/>
  <c r="AA2688" i="1" s="1"/>
  <c r="AB2688" i="1" s="1"/>
  <c r="AN2688" i="1" s="1"/>
  <c r="Z2689" i="1"/>
  <c r="AA2689" i="1" s="1"/>
  <c r="AB2689" i="1" s="1"/>
  <c r="AN2689" i="1" s="1"/>
  <c r="Z2690" i="1"/>
  <c r="AA2690" i="1" s="1"/>
  <c r="AB2690" i="1" s="1"/>
  <c r="AN2690" i="1" s="1"/>
  <c r="Z2691" i="1"/>
  <c r="AA2691" i="1" s="1"/>
  <c r="AB2691" i="1" s="1"/>
  <c r="AN2691" i="1" s="1"/>
  <c r="Z2692" i="1"/>
  <c r="AA2692" i="1" s="1"/>
  <c r="AB2692" i="1" s="1"/>
  <c r="AN2692" i="1" s="1"/>
  <c r="Z2693" i="1"/>
  <c r="AA2693" i="1" s="1"/>
  <c r="AB2693" i="1" s="1"/>
  <c r="AN2693" i="1" s="1"/>
  <c r="Z2694" i="1"/>
  <c r="AA2694" i="1" s="1"/>
  <c r="AB2694" i="1" s="1"/>
  <c r="AN2694" i="1" s="1"/>
  <c r="Z2695" i="1"/>
  <c r="AA2695" i="1" s="1"/>
  <c r="AB2695" i="1" s="1"/>
  <c r="AN2695" i="1" s="1"/>
  <c r="Z2696" i="1"/>
  <c r="AA2696" i="1" s="1"/>
  <c r="AB2696" i="1" s="1"/>
  <c r="AN2696" i="1" s="1"/>
  <c r="Z2697" i="1"/>
  <c r="AA2697" i="1" s="1"/>
  <c r="AB2697" i="1" s="1"/>
  <c r="AN2697" i="1" s="1"/>
  <c r="Z2698" i="1"/>
  <c r="AA2698" i="1" s="1"/>
  <c r="AB2698" i="1" s="1"/>
  <c r="AN2698" i="1" s="1"/>
  <c r="Z2699" i="1"/>
  <c r="AA2699" i="1" s="1"/>
  <c r="AB2699" i="1" s="1"/>
  <c r="AN2699" i="1" s="1"/>
  <c r="Z2700" i="1"/>
  <c r="AA2700" i="1" s="1"/>
  <c r="AB2700" i="1" s="1"/>
  <c r="AN2700" i="1" s="1"/>
  <c r="Z2701" i="1"/>
  <c r="AA2701" i="1" s="1"/>
  <c r="AB2701" i="1" s="1"/>
  <c r="AN2701" i="1" s="1"/>
  <c r="Z2702" i="1"/>
  <c r="AA2702" i="1" s="1"/>
  <c r="AB2702" i="1" s="1"/>
  <c r="AN2702" i="1" s="1"/>
  <c r="Z2703" i="1"/>
  <c r="AA2703" i="1" s="1"/>
  <c r="AB2703" i="1" s="1"/>
  <c r="AN2703" i="1" s="1"/>
  <c r="Z2704" i="1"/>
  <c r="AA2704" i="1" s="1"/>
  <c r="AB2704" i="1" s="1"/>
  <c r="AN2704" i="1" s="1"/>
  <c r="Z2705" i="1"/>
  <c r="AA2705" i="1" s="1"/>
  <c r="AB2705" i="1" s="1"/>
  <c r="AN2705" i="1" s="1"/>
  <c r="Z2706" i="1"/>
  <c r="AA2706" i="1" s="1"/>
  <c r="AB2706" i="1" s="1"/>
  <c r="AN2706" i="1" s="1"/>
  <c r="Z2707" i="1"/>
  <c r="AA2707" i="1" s="1"/>
  <c r="AB2707" i="1" s="1"/>
  <c r="AN2707" i="1" s="1"/>
  <c r="Z2708" i="1"/>
  <c r="AA2708" i="1" s="1"/>
  <c r="AB2708" i="1" s="1"/>
  <c r="AN2708" i="1" s="1"/>
  <c r="Z2709" i="1"/>
  <c r="AA2709" i="1" s="1"/>
  <c r="AB2709" i="1" s="1"/>
  <c r="AN2709" i="1" s="1"/>
  <c r="Z2710" i="1"/>
  <c r="AA2710" i="1" s="1"/>
  <c r="AB2710" i="1" s="1"/>
  <c r="AN2710" i="1" s="1"/>
  <c r="Z2711" i="1"/>
  <c r="AA2711" i="1" s="1"/>
  <c r="AB2711" i="1" s="1"/>
  <c r="AN2711" i="1" s="1"/>
  <c r="Z2712" i="1"/>
  <c r="AA2712" i="1" s="1"/>
  <c r="AB2712" i="1" s="1"/>
  <c r="AN2712" i="1" s="1"/>
  <c r="Z2713" i="1"/>
  <c r="AA2713" i="1" s="1"/>
  <c r="AB2713" i="1" s="1"/>
  <c r="AN2713" i="1" s="1"/>
  <c r="Z2714" i="1"/>
  <c r="AA2714" i="1" s="1"/>
  <c r="AB2714" i="1" s="1"/>
  <c r="AN2714" i="1" s="1"/>
  <c r="Z2715" i="1"/>
  <c r="AA2715" i="1" s="1"/>
  <c r="AB2715" i="1" s="1"/>
  <c r="AN2715" i="1" s="1"/>
  <c r="Z2716" i="1"/>
  <c r="AA2716" i="1" s="1"/>
  <c r="AB2716" i="1" s="1"/>
  <c r="AN2716" i="1" s="1"/>
  <c r="Z2717" i="1"/>
  <c r="AA2717" i="1" s="1"/>
  <c r="AB2717" i="1" s="1"/>
  <c r="AN2717" i="1" s="1"/>
  <c r="Z2718" i="1"/>
  <c r="AA2718" i="1" s="1"/>
  <c r="AB2718" i="1" s="1"/>
  <c r="AN2718" i="1" s="1"/>
  <c r="Z2719" i="1"/>
  <c r="AA2719" i="1" s="1"/>
  <c r="AB2719" i="1" s="1"/>
  <c r="AN2719" i="1" s="1"/>
  <c r="Z2720" i="1"/>
  <c r="AA2720" i="1" s="1"/>
  <c r="AB2720" i="1" s="1"/>
  <c r="AN2720" i="1" s="1"/>
  <c r="Z2721" i="1"/>
  <c r="AA2721" i="1" s="1"/>
  <c r="AB2721" i="1" s="1"/>
  <c r="AN2721" i="1" s="1"/>
  <c r="Z2722" i="1"/>
  <c r="AA2722" i="1" s="1"/>
  <c r="AB2722" i="1" s="1"/>
  <c r="AN2722" i="1" s="1"/>
  <c r="Z2723" i="1"/>
  <c r="AA2723" i="1" s="1"/>
  <c r="AB2723" i="1" s="1"/>
  <c r="AN2723" i="1" s="1"/>
  <c r="Z2724" i="1"/>
  <c r="AA2724" i="1" s="1"/>
  <c r="AB2724" i="1" s="1"/>
  <c r="AN2724" i="1" s="1"/>
  <c r="Z2725" i="1"/>
  <c r="AA2725" i="1" s="1"/>
  <c r="AB2725" i="1" s="1"/>
  <c r="AN2725" i="1" s="1"/>
  <c r="Z2726" i="1"/>
  <c r="AA2726" i="1" s="1"/>
  <c r="AB2726" i="1" s="1"/>
  <c r="AN2726" i="1" s="1"/>
  <c r="Z2727" i="1"/>
  <c r="AA2727" i="1" s="1"/>
  <c r="AB2727" i="1" s="1"/>
  <c r="AN2727" i="1" s="1"/>
  <c r="Z2728" i="1"/>
  <c r="AA2728" i="1" s="1"/>
  <c r="AB2728" i="1" s="1"/>
  <c r="AN2728" i="1" s="1"/>
  <c r="Z2729" i="1"/>
  <c r="AA2729" i="1" s="1"/>
  <c r="AB2729" i="1" s="1"/>
  <c r="AN2729" i="1" s="1"/>
  <c r="Z2730" i="1"/>
  <c r="AA2730" i="1" s="1"/>
  <c r="AB2730" i="1" s="1"/>
  <c r="AN2730" i="1" s="1"/>
  <c r="Z2731" i="1"/>
  <c r="AA2731" i="1" s="1"/>
  <c r="AB2731" i="1" s="1"/>
  <c r="AN2731" i="1" s="1"/>
  <c r="Z2732" i="1"/>
  <c r="AA2732" i="1" s="1"/>
  <c r="AB2732" i="1" s="1"/>
  <c r="AN2732" i="1" s="1"/>
  <c r="Z2733" i="1"/>
  <c r="AA2733" i="1" s="1"/>
  <c r="AB2733" i="1" s="1"/>
  <c r="AN2733" i="1" s="1"/>
  <c r="Z2734" i="1"/>
  <c r="AA2734" i="1" s="1"/>
  <c r="AB2734" i="1" s="1"/>
  <c r="AN2734" i="1" s="1"/>
  <c r="Z2735" i="1"/>
  <c r="AA2735" i="1" s="1"/>
  <c r="AB2735" i="1" s="1"/>
  <c r="AN2735" i="1" s="1"/>
  <c r="Z2736" i="1"/>
  <c r="AA2736" i="1" s="1"/>
  <c r="AB2736" i="1" s="1"/>
  <c r="AN2736" i="1" s="1"/>
  <c r="Z2737" i="1"/>
  <c r="AA2737" i="1" s="1"/>
  <c r="AB2737" i="1" s="1"/>
  <c r="AN2737" i="1" s="1"/>
  <c r="Z2738" i="1"/>
  <c r="AA2738" i="1" s="1"/>
  <c r="AB2738" i="1" s="1"/>
  <c r="AN2738" i="1" s="1"/>
  <c r="Z2739" i="1"/>
  <c r="AA2739" i="1" s="1"/>
  <c r="AB2739" i="1" s="1"/>
  <c r="AN2739" i="1" s="1"/>
  <c r="Z2740" i="1"/>
  <c r="AA2740" i="1" s="1"/>
  <c r="AB2740" i="1" s="1"/>
  <c r="AN2740" i="1" s="1"/>
  <c r="Z2741" i="1"/>
  <c r="AA2741" i="1" s="1"/>
  <c r="AB2741" i="1" s="1"/>
  <c r="AN2741" i="1" s="1"/>
  <c r="Z2742" i="1"/>
  <c r="AA2742" i="1" s="1"/>
  <c r="AB2742" i="1" s="1"/>
  <c r="AN2742" i="1" s="1"/>
  <c r="Z2743" i="1"/>
  <c r="AA2743" i="1" s="1"/>
  <c r="AB2743" i="1" s="1"/>
  <c r="AN2743" i="1" s="1"/>
  <c r="Z2744" i="1"/>
  <c r="AA2744" i="1" s="1"/>
  <c r="AB2744" i="1" s="1"/>
  <c r="AN2744" i="1" s="1"/>
  <c r="Z2745" i="1"/>
  <c r="AA2745" i="1" s="1"/>
  <c r="AB2745" i="1" s="1"/>
  <c r="AN2745" i="1" s="1"/>
  <c r="Z2746" i="1"/>
  <c r="AA2746" i="1" s="1"/>
  <c r="AB2746" i="1" s="1"/>
  <c r="AN2746" i="1" s="1"/>
  <c r="Z2747" i="1"/>
  <c r="AA2747" i="1" s="1"/>
  <c r="AB2747" i="1" s="1"/>
  <c r="AN2747" i="1" s="1"/>
  <c r="Z2748" i="1"/>
  <c r="AA2748" i="1" s="1"/>
  <c r="AB2748" i="1" s="1"/>
  <c r="AN2748" i="1" s="1"/>
  <c r="Z2749" i="1"/>
  <c r="AA2749" i="1" s="1"/>
  <c r="AB2749" i="1" s="1"/>
  <c r="AN2749" i="1" s="1"/>
  <c r="Z2750" i="1"/>
  <c r="AA2750" i="1" s="1"/>
  <c r="AB2750" i="1" s="1"/>
  <c r="AN2750" i="1" s="1"/>
  <c r="Z2751" i="1"/>
  <c r="AA2751" i="1" s="1"/>
  <c r="AB2751" i="1" s="1"/>
  <c r="AN2751" i="1" s="1"/>
  <c r="Z2752" i="1"/>
  <c r="AA2752" i="1" s="1"/>
  <c r="AB2752" i="1" s="1"/>
  <c r="AN2752" i="1" s="1"/>
  <c r="Z2753" i="1"/>
  <c r="AA2753" i="1" s="1"/>
  <c r="AB2753" i="1" s="1"/>
  <c r="AN2753" i="1" s="1"/>
  <c r="Z2754" i="1"/>
  <c r="AA2754" i="1" s="1"/>
  <c r="AB2754" i="1" s="1"/>
  <c r="AN2754" i="1" s="1"/>
  <c r="Z2755" i="1"/>
  <c r="AA2755" i="1" s="1"/>
  <c r="AB2755" i="1" s="1"/>
  <c r="AN2755" i="1" s="1"/>
  <c r="Z2756" i="1"/>
  <c r="AA2756" i="1" s="1"/>
  <c r="AB2756" i="1" s="1"/>
  <c r="AN2756" i="1" s="1"/>
  <c r="Z2757" i="1"/>
  <c r="AA2757" i="1" s="1"/>
  <c r="AB2757" i="1" s="1"/>
  <c r="AN2757" i="1" s="1"/>
  <c r="Z2758" i="1"/>
  <c r="AA2758" i="1" s="1"/>
  <c r="AB2758" i="1" s="1"/>
  <c r="AN2758" i="1" s="1"/>
  <c r="Z2759" i="1"/>
  <c r="AA2759" i="1" s="1"/>
  <c r="AB2759" i="1" s="1"/>
  <c r="AN2759" i="1" s="1"/>
  <c r="Z2760" i="1"/>
  <c r="AA2760" i="1" s="1"/>
  <c r="AB2760" i="1" s="1"/>
  <c r="AN2760" i="1" s="1"/>
  <c r="Z2761" i="1"/>
  <c r="AA2761" i="1" s="1"/>
  <c r="AB2761" i="1" s="1"/>
  <c r="AN2761" i="1" s="1"/>
  <c r="Z2762" i="1"/>
  <c r="AA2762" i="1" s="1"/>
  <c r="AB2762" i="1" s="1"/>
  <c r="AN2762" i="1" s="1"/>
  <c r="Z2763" i="1"/>
  <c r="AA2763" i="1" s="1"/>
  <c r="AB2763" i="1" s="1"/>
  <c r="AN2763" i="1" s="1"/>
  <c r="Z2764" i="1"/>
  <c r="AA2764" i="1" s="1"/>
  <c r="AB2764" i="1" s="1"/>
  <c r="AN2764" i="1" s="1"/>
  <c r="Z2765" i="1"/>
  <c r="AA2765" i="1" s="1"/>
  <c r="AB2765" i="1" s="1"/>
  <c r="AN2765" i="1" s="1"/>
  <c r="Z2766" i="1"/>
  <c r="AA2766" i="1" s="1"/>
  <c r="AB2766" i="1" s="1"/>
  <c r="AN2766" i="1" s="1"/>
  <c r="Z2767" i="1"/>
  <c r="AA2767" i="1" s="1"/>
  <c r="AB2767" i="1" s="1"/>
  <c r="AN2767" i="1" s="1"/>
  <c r="Z2768" i="1"/>
  <c r="AA2768" i="1" s="1"/>
  <c r="AB2768" i="1" s="1"/>
  <c r="AN2768" i="1" s="1"/>
  <c r="Z2769" i="1"/>
  <c r="AA2769" i="1" s="1"/>
  <c r="AB2769" i="1" s="1"/>
  <c r="AN2769" i="1" s="1"/>
  <c r="Z2770" i="1"/>
  <c r="AA2770" i="1" s="1"/>
  <c r="AB2770" i="1" s="1"/>
  <c r="AN2770" i="1" s="1"/>
  <c r="Z2771" i="1"/>
  <c r="AA2771" i="1" s="1"/>
  <c r="AB2771" i="1" s="1"/>
  <c r="AN2771" i="1" s="1"/>
  <c r="Z2772" i="1"/>
  <c r="AA2772" i="1" s="1"/>
  <c r="AB2772" i="1" s="1"/>
  <c r="AN2772" i="1" s="1"/>
  <c r="Z2773" i="1"/>
  <c r="AA2773" i="1" s="1"/>
  <c r="AB2773" i="1" s="1"/>
  <c r="AN2773" i="1" s="1"/>
  <c r="Z2774" i="1"/>
  <c r="AA2774" i="1" s="1"/>
  <c r="AB2774" i="1" s="1"/>
  <c r="AN2774" i="1" s="1"/>
  <c r="Z2775" i="1"/>
  <c r="AA2775" i="1" s="1"/>
  <c r="AB2775" i="1" s="1"/>
  <c r="AN2775" i="1" s="1"/>
  <c r="Z2776" i="1"/>
  <c r="AA2776" i="1" s="1"/>
  <c r="AB2776" i="1" s="1"/>
  <c r="AN2776" i="1" s="1"/>
  <c r="Z2777" i="1"/>
  <c r="AA2777" i="1" s="1"/>
  <c r="AB2777" i="1" s="1"/>
  <c r="AN2777" i="1" s="1"/>
  <c r="Z2778" i="1"/>
  <c r="AA2778" i="1" s="1"/>
  <c r="AB2778" i="1" s="1"/>
  <c r="AN2778" i="1" s="1"/>
  <c r="Z2779" i="1"/>
  <c r="AA2779" i="1" s="1"/>
  <c r="AB2779" i="1" s="1"/>
  <c r="AN2779" i="1" s="1"/>
  <c r="Z2780" i="1"/>
  <c r="AA2780" i="1" s="1"/>
  <c r="AB2780" i="1" s="1"/>
  <c r="AN2780" i="1" s="1"/>
  <c r="Z2781" i="1"/>
  <c r="AA2781" i="1" s="1"/>
  <c r="AB2781" i="1" s="1"/>
  <c r="AN2781" i="1" s="1"/>
  <c r="Z2782" i="1"/>
  <c r="AA2782" i="1" s="1"/>
  <c r="AB2782" i="1" s="1"/>
  <c r="AN2782" i="1" s="1"/>
  <c r="Z2783" i="1"/>
  <c r="AA2783" i="1" s="1"/>
  <c r="AB2783" i="1" s="1"/>
  <c r="AN2783" i="1" s="1"/>
  <c r="Z2784" i="1"/>
  <c r="AA2784" i="1" s="1"/>
  <c r="AB2784" i="1" s="1"/>
  <c r="AN2784" i="1" s="1"/>
  <c r="Z2785" i="1"/>
  <c r="AA2785" i="1" s="1"/>
  <c r="AB2785" i="1" s="1"/>
  <c r="AN2785" i="1" s="1"/>
  <c r="Z2786" i="1"/>
  <c r="AA2786" i="1" s="1"/>
  <c r="AB2786" i="1" s="1"/>
  <c r="AN2786" i="1" s="1"/>
  <c r="Z2787" i="1"/>
  <c r="AA2787" i="1" s="1"/>
  <c r="AB2787" i="1" s="1"/>
  <c r="AN2787" i="1" s="1"/>
  <c r="Z2788" i="1"/>
  <c r="AA2788" i="1" s="1"/>
  <c r="AB2788" i="1" s="1"/>
  <c r="AN2788" i="1" s="1"/>
  <c r="Z2789" i="1"/>
  <c r="AA2789" i="1" s="1"/>
  <c r="AB2789" i="1" s="1"/>
  <c r="AN2789" i="1" s="1"/>
  <c r="Z2790" i="1"/>
  <c r="AA2790" i="1" s="1"/>
  <c r="AB2790" i="1" s="1"/>
  <c r="AN2790" i="1" s="1"/>
</calcChain>
</file>

<file path=xl/sharedStrings.xml><?xml version="1.0" encoding="utf-8"?>
<sst xmlns="http://schemas.openxmlformats.org/spreadsheetml/2006/main" count="8613" uniqueCount="3921">
  <si>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</si>
  <si>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</si>
  <si>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</si>
  <si>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</si>
  <si>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</si>
  <si>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</si>
  <si>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</si>
  <si>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</si>
  <si>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</si>
  <si>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</si>
  <si>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</si>
  <si>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</si>
  <si>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</si>
  <si>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</si>
  <si>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</si>
  <si>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</si>
  <si>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</si>
  <si>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</si>
  <si>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</si>
  <si>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</si>
  <si>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fire_start_time</t>
  </si>
  <si>
    <t>fire_start_full_datetime</t>
  </si>
  <si>
    <t>fire_duration_minutes</t>
  </si>
  <si>
    <t>fire_duration_class</t>
  </si>
  <si>
    <t>fire_burned_forest</t>
  </si>
  <si>
    <t>fire_burned_forest_land</t>
  </si>
  <si>
    <t>fire_burned_grove</t>
  </si>
  <si>
    <t>Crete Greece</t>
  </si>
  <si>
    <t>20:29:00</t>
  </si>
  <si>
    <t>04/05/2000 20:29</t>
  </si>
  <si>
    <t>18:14:00</t>
  </si>
  <si>
    <t>10/05/2000 18:14</t>
  </si>
  <si>
    <t>17:39:00</t>
  </si>
  <si>
    <t>15/05/2000 17:39</t>
  </si>
  <si>
    <t>16:59:00</t>
  </si>
  <si>
    <t>20/05/2000 16:59</t>
  </si>
  <si>
    <t>21/05/2000 20:29</t>
  </si>
  <si>
    <t>14:04:00</t>
  </si>
  <si>
    <t>21/05/2000 14:04</t>
  </si>
  <si>
    <t>19:54:00</t>
  </si>
  <si>
    <t>21/05/2000 19:54</t>
  </si>
  <si>
    <t>07:59:00</t>
  </si>
  <si>
    <t>22/05/2000 07:59</t>
  </si>
  <si>
    <t>03:20:00</t>
  </si>
  <si>
    <t>22/05/2000 03:20</t>
  </si>
  <si>
    <t>22:05:00</t>
  </si>
  <si>
    <t>24/05/2000 22:05</t>
  </si>
  <si>
    <t>13:44:00</t>
  </si>
  <si>
    <t>27/05/2000 13:44</t>
  </si>
  <si>
    <t>14:34:00</t>
  </si>
  <si>
    <t>01/06/2000 14:34</t>
  </si>
  <si>
    <t>15:29:00</t>
  </si>
  <si>
    <t>03/06/2000 15:29</t>
  </si>
  <si>
    <t>11:59:00</t>
  </si>
  <si>
    <t>04/06/2000 11:59</t>
  </si>
  <si>
    <t>01:19:00</t>
  </si>
  <si>
    <t>04/06/2000 01:19</t>
  </si>
  <si>
    <t>12:49:00</t>
  </si>
  <si>
    <t>06/06/2000 12:49</t>
  </si>
  <si>
    <t>11:00:00</t>
  </si>
  <si>
    <t>08/06/2000 11:00</t>
  </si>
  <si>
    <t>11:34:00</t>
  </si>
  <si>
    <t>08/06/2000 11:34</t>
  </si>
  <si>
    <t>02:49:00</t>
  </si>
  <si>
    <t>14/06/2000 02:49</t>
  </si>
  <si>
    <t>15:54:00</t>
  </si>
  <si>
    <t>15/06/2000 15:54</t>
  </si>
  <si>
    <t>10:54:00</t>
  </si>
  <si>
    <t>19/06/2000 10:54</t>
  </si>
  <si>
    <t>19:00:00</t>
  </si>
  <si>
    <t>22/06/2000 19:00</t>
  </si>
  <si>
    <t>18:20:00</t>
  </si>
  <si>
    <t>23/06/2000 18:20</t>
  </si>
  <si>
    <t>18:45:00</t>
  </si>
  <si>
    <t>24/06/2000 18:45</t>
  </si>
  <si>
    <t>26/06/2000 15:54</t>
  </si>
  <si>
    <t>16:44:00</t>
  </si>
  <si>
    <t>27/06/2000 16:44</t>
  </si>
  <si>
    <t>20:44:00</t>
  </si>
  <si>
    <t>29/06/2000 20:44</t>
  </si>
  <si>
    <t>00:49:00</t>
  </si>
  <si>
    <t>29/06/2000 00:49</t>
  </si>
  <si>
    <t>30/06/2000 14:34</t>
  </si>
  <si>
    <t>21:14:00</t>
  </si>
  <si>
    <t>02/07/2000 21:14</t>
  </si>
  <si>
    <t>09:49:00</t>
  </si>
  <si>
    <t>04/07/2000 09:49</t>
  </si>
  <si>
    <t>07/07/2000 15:29</t>
  </si>
  <si>
    <t>18:29:00</t>
  </si>
  <si>
    <t>07/07/2000 18:29</t>
  </si>
  <si>
    <t>16:14:00</t>
  </si>
  <si>
    <t>09/07/2000 16:14</t>
  </si>
  <si>
    <t>22:15:00</t>
  </si>
  <si>
    <t>09/07/2000 22:15</t>
  </si>
  <si>
    <t>12/07/2000 18:45</t>
  </si>
  <si>
    <t>21:34:00</t>
  </si>
  <si>
    <t>14/07/2000 21:34</t>
  </si>
  <si>
    <t>16:54:00</t>
  </si>
  <si>
    <t>14/07/2000 16:54</t>
  </si>
  <si>
    <t>17:20:00</t>
  </si>
  <si>
    <t>16/07/2000 17:20</t>
  </si>
  <si>
    <t>16/07/2000 11:59</t>
  </si>
  <si>
    <t>03:59:00</t>
  </si>
  <si>
    <t>17/07/2000 03:59</t>
  </si>
  <si>
    <t>19/07/2000 20:29</t>
  </si>
  <si>
    <t>10:09:00</t>
  </si>
  <si>
    <t>20/07/2000 10:09</t>
  </si>
  <si>
    <t>25/07/2000 19:54</t>
  </si>
  <si>
    <t>13:04:00</t>
  </si>
  <si>
    <t>29/07/2000 13:04</t>
  </si>
  <si>
    <t>08:34:00</t>
  </si>
  <si>
    <t>01/08/2000 08:34</t>
  </si>
  <si>
    <t>18:00:00</t>
  </si>
  <si>
    <t>02/08/2000 18:00</t>
  </si>
  <si>
    <t>07/08/2000 15:29</t>
  </si>
  <si>
    <t>10/08/2000 16:59</t>
  </si>
  <si>
    <t>21:44:00</t>
  </si>
  <si>
    <t>11/08/2000 21:44</t>
  </si>
  <si>
    <t>11:45:00</t>
  </si>
  <si>
    <t>11/08/2000 11:45</t>
  </si>
  <si>
    <t>13:39:00</t>
  </si>
  <si>
    <t>13/08/2000 13:39</t>
  </si>
  <si>
    <t>21:00:00</t>
  </si>
  <si>
    <t>17/08/2000 21:00</t>
  </si>
  <si>
    <t>17:14:00</t>
  </si>
  <si>
    <t>20/08/2000 17:14</t>
  </si>
  <si>
    <t>23:00:00</t>
  </si>
  <si>
    <t>21/08/2000 23:00</t>
  </si>
  <si>
    <t>22/08/2000 02:49</t>
  </si>
  <si>
    <t>22:00:00</t>
  </si>
  <si>
    <t>23/08/2000 22:00</t>
  </si>
  <si>
    <t>11:30:00</t>
  </si>
  <si>
    <t>24/08/2000 11:30</t>
  </si>
  <si>
    <t>21:49:00</t>
  </si>
  <si>
    <t>25/08/2000 21:49</t>
  </si>
  <si>
    <t>11:29:00</t>
  </si>
  <si>
    <t>25/08/2000 11:29</t>
  </si>
  <si>
    <t>16:21:00</t>
  </si>
  <si>
    <t>28/08/2000 16:21</t>
  </si>
  <si>
    <t>09:50:00</t>
  </si>
  <si>
    <t>30/08/2000 09:50</t>
  </si>
  <si>
    <t>10:19:00</t>
  </si>
  <si>
    <t>30/08/2000 10:19</t>
  </si>
  <si>
    <t>12:25:00</t>
  </si>
  <si>
    <t>30/08/2000 12:25</t>
  </si>
  <si>
    <t>22:55:00</t>
  </si>
  <si>
    <t>01/09/2000 22:55</t>
  </si>
  <si>
    <t>11:14:00</t>
  </si>
  <si>
    <t>02/09/2000 11:14</t>
  </si>
  <si>
    <t>10:44:00</t>
  </si>
  <si>
    <t>02/09/2000 10:44</t>
  </si>
  <si>
    <t>03/09/2000 18:00</t>
  </si>
  <si>
    <t>04/09/2000 11:14</t>
  </si>
  <si>
    <t>18:30:00</t>
  </si>
  <si>
    <t>06/09/2000 18:30</t>
  </si>
  <si>
    <t>22:44:00</t>
  </si>
  <si>
    <t>08/09/2000 22:44</t>
  </si>
  <si>
    <t>15/09/2000 17:20</t>
  </si>
  <si>
    <t>14:15:00</t>
  </si>
  <si>
    <t>17/09/2000 14:15</t>
  </si>
  <si>
    <t>09:39:00</t>
  </si>
  <si>
    <t>17/09/2000 09:39</t>
  </si>
  <si>
    <t>12:59:00</t>
  </si>
  <si>
    <t>17/09/2000 12:59</t>
  </si>
  <si>
    <t>21/09/2000 13:44</t>
  </si>
  <si>
    <t>11:50:00</t>
  </si>
  <si>
    <t>26/09/2000 11:50</t>
  </si>
  <si>
    <t>23:09:00</t>
  </si>
  <si>
    <t>26/09/2000 23:09</t>
  </si>
  <si>
    <t>22:39:00</t>
  </si>
  <si>
    <t>26/09/2000 22:39</t>
  </si>
  <si>
    <t>20:34:00</t>
  </si>
  <si>
    <t>02/10/2000 20:34</t>
  </si>
  <si>
    <t>12:14:00</t>
  </si>
  <si>
    <t>05/10/2000 12:14</t>
  </si>
  <si>
    <t>17:24:00</t>
  </si>
  <si>
    <t>08/10/2000 17:24</t>
  </si>
  <si>
    <t>19:44:00</t>
  </si>
  <si>
    <t>14/10/2000 19:44</t>
  </si>
  <si>
    <t>16/10/2000 18:29</t>
  </si>
  <si>
    <t>19:34:00</t>
  </si>
  <si>
    <t>16/10/2000 19:34</t>
  </si>
  <si>
    <t>rain</t>
  </si>
  <si>
    <t>20:49:00</t>
  </si>
  <si>
    <t>22/10/2000 20:49</t>
  </si>
  <si>
    <t>16:09:00</t>
  </si>
  <si>
    <t>22/10/2000 16:09</t>
  </si>
  <si>
    <t>19:24:00</t>
  </si>
  <si>
    <t>24/10/2000 19:24</t>
  </si>
  <si>
    <t>17:19:00</t>
  </si>
  <si>
    <t>25/10/2000 17:19</t>
  </si>
  <si>
    <t>16:39:00</t>
  </si>
  <si>
    <t>28/10/2000 16:39</t>
  </si>
  <si>
    <t>18:04:00</t>
  </si>
  <si>
    <t>31/10/2000 18:04</t>
  </si>
  <si>
    <t>13:29:00</t>
  </si>
  <si>
    <t>05/11/2000 13:29</t>
  </si>
  <si>
    <t>14:39:00</t>
  </si>
  <si>
    <t>06/11/2000 14:39</t>
  </si>
  <si>
    <t>07/11/2000 12:14</t>
  </si>
  <si>
    <t>20:59:00</t>
  </si>
  <si>
    <t>07/11/2000 20:59</t>
  </si>
  <si>
    <t>07/11/2000 16:59</t>
  </si>
  <si>
    <t>23:29:00</t>
  </si>
  <si>
    <t>07/11/2000 23:29</t>
  </si>
  <si>
    <t>19:59:00</t>
  </si>
  <si>
    <t>10/11/2000 19:59</t>
  </si>
  <si>
    <t>20:19:00</t>
  </si>
  <si>
    <t>10/11/2000 20:19</t>
  </si>
  <si>
    <t>11:39:00</t>
  </si>
  <si>
    <t>10/11/2000 11:39</t>
  </si>
  <si>
    <t>16:29:00</t>
  </si>
  <si>
    <t>10/11/2000 16:29</t>
  </si>
  <si>
    <t>14:19:00</t>
  </si>
  <si>
    <t>10/11/2000 14:19</t>
  </si>
  <si>
    <t>14:59:00</t>
  </si>
  <si>
    <t>10/11/2000 14:59</t>
  </si>
  <si>
    <t>11:22:00</t>
  </si>
  <si>
    <t>11/11/2000 11:22</t>
  </si>
  <si>
    <t>08:59:00</t>
  </si>
  <si>
    <t>11/11/2000 08:59</t>
  </si>
  <si>
    <t>10:59:00</t>
  </si>
  <si>
    <t>11/11/2000 10:59</t>
  </si>
  <si>
    <t>11:04:00</t>
  </si>
  <si>
    <t>12/11/2000 11:04</t>
  </si>
  <si>
    <t>14/11/2000 20:49</t>
  </si>
  <si>
    <t>16/11/2000 16:09</t>
  </si>
  <si>
    <t>23:14:00</t>
  </si>
  <si>
    <t>16/11/2000 23:14</t>
  </si>
  <si>
    <t>15:30:00</t>
  </si>
  <si>
    <t>18/11/2000 15:30</t>
  </si>
  <si>
    <t>14:09:00</t>
  </si>
  <si>
    <t>18/11/2000 14:09</t>
  </si>
  <si>
    <t>14:14:00</t>
  </si>
  <si>
    <t>19/11/2000 14:14</t>
  </si>
  <si>
    <t>17:50:00</t>
  </si>
  <si>
    <t>20/11/2000 17:50</t>
  </si>
  <si>
    <t>15:24:00</t>
  </si>
  <si>
    <t>20/11/2000 15:24</t>
  </si>
  <si>
    <t>20/11/2000 19:24</t>
  </si>
  <si>
    <t>23/11/2000 12:59</t>
  </si>
  <si>
    <t>14:45:00</t>
  </si>
  <si>
    <t>03/12/2000 14:45</t>
  </si>
  <si>
    <t>23:49:00</t>
  </si>
  <si>
    <t>11/12/2000 23:49</t>
  </si>
  <si>
    <t>16/12/2000 13:29</t>
  </si>
  <si>
    <t>16:35:00</t>
  </si>
  <si>
    <t>18/12/2000 16:35</t>
  </si>
  <si>
    <t>13:24:00</t>
  </si>
  <si>
    <t>21/12/2000 13:24</t>
  </si>
  <si>
    <t>28/12/2000 13:44</t>
  </si>
  <si>
    <t>14:00:00</t>
  </si>
  <si>
    <t>12/01/2001 14:00</t>
  </si>
  <si>
    <t>20/01/2001 16:39</t>
  </si>
  <si>
    <t>24/01/2001 16:44</t>
  </si>
  <si>
    <t>24/01/2001 18:00</t>
  </si>
  <si>
    <t>20:54:00</t>
  </si>
  <si>
    <t>07/02/2001 20:54</t>
  </si>
  <si>
    <t>17:29:00</t>
  </si>
  <si>
    <t>07/02/2001 17:29</t>
  </si>
  <si>
    <t>25/02/2001 16:29</t>
  </si>
  <si>
    <t>12:44:00</t>
  </si>
  <si>
    <t>26/02/2001 12:44</t>
  </si>
  <si>
    <t>18:34:00</t>
  </si>
  <si>
    <t>27/02/2001 18:34</t>
  </si>
  <si>
    <t>27/02/2001 18:29</t>
  </si>
  <si>
    <t>13:40:00</t>
  </si>
  <si>
    <t>05/03/2001 13:40</t>
  </si>
  <si>
    <t>13:25:00</t>
  </si>
  <si>
    <t>06/03/2001 13:25</t>
  </si>
  <si>
    <t>15/03/2001 12:14</t>
  </si>
  <si>
    <t>16/03/2001 21:49</t>
  </si>
  <si>
    <t>16/03/2001 18:29</t>
  </si>
  <si>
    <t>17/03/2001 16:14</t>
  </si>
  <si>
    <t>15:59:00</t>
  </si>
  <si>
    <t>19/03/2001 15:59</t>
  </si>
  <si>
    <t>12:40:00</t>
  </si>
  <si>
    <t>20/03/2001 12:40</t>
  </si>
  <si>
    <t>13:19:00</t>
  </si>
  <si>
    <t>21/03/2001 13:19</t>
  </si>
  <si>
    <t>21/03/2001 12:59</t>
  </si>
  <si>
    <t>22/03/2001 14:04</t>
  </si>
  <si>
    <t>23/03/2001 14:34</t>
  </si>
  <si>
    <t>07:34:00</t>
  </si>
  <si>
    <t>23/03/2001 07:34</t>
  </si>
  <si>
    <t>20:09:00</t>
  </si>
  <si>
    <t>25/03/2001 20:09</t>
  </si>
  <si>
    <t>13:45:00</t>
  </si>
  <si>
    <t>26/03/2001 13:45</t>
  </si>
  <si>
    <t>20:00:00</t>
  </si>
  <si>
    <t>27/03/2001 20:00</t>
  </si>
  <si>
    <t>13:54:00</t>
  </si>
  <si>
    <t>27/03/2001 13:54</t>
  </si>
  <si>
    <t>27/03/2001 15:30</t>
  </si>
  <si>
    <t>22:11:00</t>
  </si>
  <si>
    <t>27/03/2001 22:11</t>
  </si>
  <si>
    <t>14:05:00</t>
  </si>
  <si>
    <t>27/03/2001 14:05</t>
  </si>
  <si>
    <t>13:15:00</t>
  </si>
  <si>
    <t>28/03/2001 13:15</t>
  </si>
  <si>
    <t>04/04/2001 13:39</t>
  </si>
  <si>
    <t>10/04/2001 18:14</t>
  </si>
  <si>
    <t>15:44:00</t>
  </si>
  <si>
    <t>17/04/2001 15:44</t>
  </si>
  <si>
    <t>18/04/2001 16:14</t>
  </si>
  <si>
    <t>14:20:00</t>
  </si>
  <si>
    <t>20/04/2001 14:20</t>
  </si>
  <si>
    <t>18:09:00</t>
  </si>
  <si>
    <t>27/04/2001 18:09</t>
  </si>
  <si>
    <t>15:10:00</t>
  </si>
  <si>
    <t>30/04/2001 15:10</t>
  </si>
  <si>
    <t>20:20:00</t>
  </si>
  <si>
    <t>06/05/2001 20:20</t>
  </si>
  <si>
    <t>20:12:00</t>
  </si>
  <si>
    <t>06/05/2001 20:12</t>
  </si>
  <si>
    <t>10/05/2001 23:14</t>
  </si>
  <si>
    <t>02/06/2001 15:30</t>
  </si>
  <si>
    <t>13:59:00</t>
  </si>
  <si>
    <t>12/06/2001 13:59</t>
  </si>
  <si>
    <t>13/06/2001 14:04</t>
  </si>
  <si>
    <t>09:00:00</t>
  </si>
  <si>
    <t>13/06/2001 09:00</t>
  </si>
  <si>
    <t>20/06/2001 13:44</t>
  </si>
  <si>
    <t>04:48:00</t>
  </si>
  <si>
    <t>21/06/2001 04:48</t>
  </si>
  <si>
    <t>01:59:00</t>
  </si>
  <si>
    <t>22/06/2001 01:59</t>
  </si>
  <si>
    <t>02:30:00</t>
  </si>
  <si>
    <t>30/06/2001 02:30</t>
  </si>
  <si>
    <t>30/06/2001 16:44</t>
  </si>
  <si>
    <t>15:09:00</t>
  </si>
  <si>
    <t>08/07/2001 15:09</t>
  </si>
  <si>
    <t>21:55:00</t>
  </si>
  <si>
    <t>08/07/2001 21:55</t>
  </si>
  <si>
    <t>09:44:00</t>
  </si>
  <si>
    <t>10/07/2001 09:44</t>
  </si>
  <si>
    <t>11/07/2001 15:59</t>
  </si>
  <si>
    <t>08:30:00</t>
  </si>
  <si>
    <t>19/07/2001 08:30</t>
  </si>
  <si>
    <t>12:20:00</t>
  </si>
  <si>
    <t>21/07/2001 12:20</t>
  </si>
  <si>
    <t>25/07/2001 10:44</t>
  </si>
  <si>
    <t>18:50:00</t>
  </si>
  <si>
    <t>25/07/2001 18:50</t>
  </si>
  <si>
    <t>17:01:00</t>
  </si>
  <si>
    <t>25/07/2001 17:01</t>
  </si>
  <si>
    <t>15:00:00</t>
  </si>
  <si>
    <t>26/07/2001 15:00</t>
  </si>
  <si>
    <t>20:39:00</t>
  </si>
  <si>
    <t>26/07/2001 20:39</t>
  </si>
  <si>
    <t>12:09:00</t>
  </si>
  <si>
    <t>26/07/2001 12:09</t>
  </si>
  <si>
    <t>29/07/2001 09:00</t>
  </si>
  <si>
    <t>19:04:00</t>
  </si>
  <si>
    <t>29/07/2001 19:04</t>
  </si>
  <si>
    <t>17:59:00</t>
  </si>
  <si>
    <t>31/07/2001 17:59</t>
  </si>
  <si>
    <t>13:20:00</t>
  </si>
  <si>
    <t>31/07/2001 13:20</t>
  </si>
  <si>
    <t>13:49:00</t>
  </si>
  <si>
    <t>01/08/2001 13:49</t>
  </si>
  <si>
    <t>18:59:00</t>
  </si>
  <si>
    <t>02/08/2001 18:59</t>
  </si>
  <si>
    <t>03/08/2001 21:44</t>
  </si>
  <si>
    <t>19:32:00</t>
  </si>
  <si>
    <t>13/08/2001 19:32</t>
  </si>
  <si>
    <t>14/08/2001 19:00</t>
  </si>
  <si>
    <t>19:16:00</t>
  </si>
  <si>
    <t>15/08/2001 19:16</t>
  </si>
  <si>
    <t>04:19:00</t>
  </si>
  <si>
    <t>18/08/2001 04:19</t>
  </si>
  <si>
    <t>21:45:00</t>
  </si>
  <si>
    <t>19/08/2001 21:45</t>
  </si>
  <si>
    <t>19/08/2001 20:00</t>
  </si>
  <si>
    <t>04:30:00</t>
  </si>
  <si>
    <t>20/08/2001 04:30</t>
  </si>
  <si>
    <t>22/08/2001 16:35</t>
  </si>
  <si>
    <t>23/08/2001 21:49</t>
  </si>
  <si>
    <t>03:18:00</t>
  </si>
  <si>
    <t>23/08/2001 03:18</t>
  </si>
  <si>
    <t>11:44:00</t>
  </si>
  <si>
    <t>24/08/2001 11:44</t>
  </si>
  <si>
    <t>27/08/2001 18:30</t>
  </si>
  <si>
    <t>27/08/2001 13:24</t>
  </si>
  <si>
    <t>16:04:00</t>
  </si>
  <si>
    <t>29/08/2001 16:04</t>
  </si>
  <si>
    <t>00:39:00</t>
  </si>
  <si>
    <t>30/08/2001 00:39</t>
  </si>
  <si>
    <t>03/09/2001 13:19</t>
  </si>
  <si>
    <t>19:45:00</t>
  </si>
  <si>
    <t>04/09/2001 19:45</t>
  </si>
  <si>
    <t>06/09/2001 22:00</t>
  </si>
  <si>
    <t>07/09/2001 14:14</t>
  </si>
  <si>
    <t>09/09/2001 15:29</t>
  </si>
  <si>
    <t>11/09/2001 11:30</t>
  </si>
  <si>
    <t>16:10:00</t>
  </si>
  <si>
    <t>11/09/2001 16:10</t>
  </si>
  <si>
    <t>16:50:00</t>
  </si>
  <si>
    <t>11/09/2001 16:50</t>
  </si>
  <si>
    <t>12/09/2001 16:09</t>
  </si>
  <si>
    <t>14:25:00</t>
  </si>
  <si>
    <t>14/09/2001 14:25</t>
  </si>
  <si>
    <t>19/09/2001 13:04</t>
  </si>
  <si>
    <t>16:00:00</t>
  </si>
  <si>
    <t>25/09/2001 16:00</t>
  </si>
  <si>
    <t>25/09/2001 14:15</t>
  </si>
  <si>
    <t>09:19:00</t>
  </si>
  <si>
    <t>27/09/2001 09:19</t>
  </si>
  <si>
    <t>16:58:00</t>
  </si>
  <si>
    <t>29/09/2001 16:58</t>
  </si>
  <si>
    <t>19:14:00</t>
  </si>
  <si>
    <t>29/09/2001 19:14</t>
  </si>
  <si>
    <t>11:33:00</t>
  </si>
  <si>
    <t>30/09/2001 11:33</t>
  </si>
  <si>
    <t>16:19:00</t>
  </si>
  <si>
    <t>02/10/2001 16:19</t>
  </si>
  <si>
    <t>02/10/2001 10:09</t>
  </si>
  <si>
    <t>15:49:00</t>
  </si>
  <si>
    <t>03/10/2001 15:49</t>
  </si>
  <si>
    <t>19:25:00</t>
  </si>
  <si>
    <t>06/10/2001 19:25</t>
  </si>
  <si>
    <t>07/10/2001 14:59</t>
  </si>
  <si>
    <t>07/10/2001 11:00</t>
  </si>
  <si>
    <t>12:29:00</t>
  </si>
  <si>
    <t>09/10/2001 12:29</t>
  </si>
  <si>
    <t>09/10/2001 11:00</t>
  </si>
  <si>
    <t>10/10/2001 16:54</t>
  </si>
  <si>
    <t>18:10:00</t>
  </si>
  <si>
    <t>11/10/2001 18:10</t>
  </si>
  <si>
    <t>16:15:00</t>
  </si>
  <si>
    <t>12/10/2001 16:15</t>
  </si>
  <si>
    <t>03:44:00</t>
  </si>
  <si>
    <t>12/10/2001 03:44</t>
  </si>
  <si>
    <t>12/10/2001 17:29</t>
  </si>
  <si>
    <t>13/10/2001 14:59</t>
  </si>
  <si>
    <t>21:29:00</t>
  </si>
  <si>
    <t>13/10/2001 21:29</t>
  </si>
  <si>
    <t>05:49:00</t>
  </si>
  <si>
    <t>13/10/2001 05:49</t>
  </si>
  <si>
    <t>14:54:00</t>
  </si>
  <si>
    <t>14/10/2001 14:54</t>
  </si>
  <si>
    <t>08:45:00</t>
  </si>
  <si>
    <t>14/10/2001 08:45</t>
  </si>
  <si>
    <t>15:37:00</t>
  </si>
  <si>
    <t>15/10/2001 15:37</t>
  </si>
  <si>
    <t>08:40:00</t>
  </si>
  <si>
    <t>17/10/2001 08:40</t>
  </si>
  <si>
    <t>21/10/2001 17:20</t>
  </si>
  <si>
    <t>22/10/2001 15:44</t>
  </si>
  <si>
    <t>22:04:00</t>
  </si>
  <si>
    <t>23/10/2001 22:04</t>
  </si>
  <si>
    <t>23/10/2001 14:09</t>
  </si>
  <si>
    <t>24/10/2001 16:54</t>
  </si>
  <si>
    <t>13:09:00</t>
  </si>
  <si>
    <t>24/10/2001 13:09</t>
  </si>
  <si>
    <t>28/10/2001 17:19</t>
  </si>
  <si>
    <t>28/10/2001 14:59</t>
  </si>
  <si>
    <t>29/10/2001 17:29</t>
  </si>
  <si>
    <t>29/10/2001 18:10</t>
  </si>
  <si>
    <t>04:39:00</t>
  </si>
  <si>
    <t>31/10/2001 04:39</t>
  </si>
  <si>
    <t>16:05:00</t>
  </si>
  <si>
    <t>01/11/2001 16:05</t>
  </si>
  <si>
    <t>10:00:00</t>
  </si>
  <si>
    <t>11/11/2001 10:00</t>
  </si>
  <si>
    <t>16:55:00</t>
  </si>
  <si>
    <t>11/11/2001 16:55</t>
  </si>
  <si>
    <t>12/11/2001 11:14</t>
  </si>
  <si>
    <t>17/11/2001 11:29</t>
  </si>
  <si>
    <t>11:24:00</t>
  </si>
  <si>
    <t>18/11/2001 11:24</t>
  </si>
  <si>
    <t>19/11/2001 11:29</t>
  </si>
  <si>
    <t>15:04:00</t>
  </si>
  <si>
    <t>25/11/2001 15:04</t>
  </si>
  <si>
    <t>25/11/2001 14:00</t>
  </si>
  <si>
    <t>15:34:00</t>
  </si>
  <si>
    <t>06/01/2002 15:34</t>
  </si>
  <si>
    <t>10/01/2002 16:19</t>
  </si>
  <si>
    <t>28/01/2002 13:29</t>
  </si>
  <si>
    <t>12:10:00</t>
  </si>
  <si>
    <t>30/01/2002 12:10</t>
  </si>
  <si>
    <t>03:14:00</t>
  </si>
  <si>
    <t>30/01/2002 03:14</t>
  </si>
  <si>
    <t>31/01/2002 13:19</t>
  </si>
  <si>
    <t>07:30:00</t>
  </si>
  <si>
    <t>03/02/2002 07:30</t>
  </si>
  <si>
    <t>14:49:00</t>
  </si>
  <si>
    <t>07/02/2002 14:49</t>
  </si>
  <si>
    <t>07/02/2002 16:29</t>
  </si>
  <si>
    <t>13:13:00</t>
  </si>
  <si>
    <t>13/02/2002 13:13</t>
  </si>
  <si>
    <t>12:30:00</t>
  </si>
  <si>
    <t>13/02/2002 12:30</t>
  </si>
  <si>
    <t>17/02/2002 18:30</t>
  </si>
  <si>
    <t>17/02/2002 14:09</t>
  </si>
  <si>
    <t>17/02/2002 14:19</t>
  </si>
  <si>
    <t>19:10:00</t>
  </si>
  <si>
    <t>19/02/2002 19:10</t>
  </si>
  <si>
    <t>20/02/2002 16:15</t>
  </si>
  <si>
    <t>19:20:00</t>
  </si>
  <si>
    <t>22/02/2002 19:20</t>
  </si>
  <si>
    <t>17:05:00</t>
  </si>
  <si>
    <t>22/02/2002 17:05</t>
  </si>
  <si>
    <t>01/03/2002 16:09</t>
  </si>
  <si>
    <t>02/03/2002 13:49</t>
  </si>
  <si>
    <t>03/03/2002 16:29</t>
  </si>
  <si>
    <t>15:14:00</t>
  </si>
  <si>
    <t>05/03/2002 15:14</t>
  </si>
  <si>
    <t>08/03/2002 19:54</t>
  </si>
  <si>
    <t>15:31:00</t>
  </si>
  <si>
    <t>09/03/2002 15:31</t>
  </si>
  <si>
    <t>10/03/2002 17:19</t>
  </si>
  <si>
    <t>10/03/2002 15:00</t>
  </si>
  <si>
    <t>14/03/2002 10:59</t>
  </si>
  <si>
    <t>19:09:00</t>
  </si>
  <si>
    <t>17/03/2002 19:09</t>
  </si>
  <si>
    <t>22:19:00</t>
  </si>
  <si>
    <t>20/03/2002 22:19</t>
  </si>
  <si>
    <t>11:02:00</t>
  </si>
  <si>
    <t>06/04/2002 11:02</t>
  </si>
  <si>
    <t>05/05/2002 10:59</t>
  </si>
  <si>
    <t>07/05/2002 19:24</t>
  </si>
  <si>
    <t>13/05/2002 11:04</t>
  </si>
  <si>
    <t>23:30:00</t>
  </si>
  <si>
    <t>19/05/2002 23:30</t>
  </si>
  <si>
    <t>17:44:00</t>
  </si>
  <si>
    <t>05/06/2002 17:44</t>
  </si>
  <si>
    <t>12:34:00</t>
  </si>
  <si>
    <t>11/06/2002 12:34</t>
  </si>
  <si>
    <t>11:49:00</t>
  </si>
  <si>
    <t>12/06/2002 11:49</t>
  </si>
  <si>
    <t>14/06/2002 11:24</t>
  </si>
  <si>
    <t>00:35:00</t>
  </si>
  <si>
    <t>20/06/2002 00:35</t>
  </si>
  <si>
    <t>15:18:00</t>
  </si>
  <si>
    <t>22/06/2002 15:18</t>
  </si>
  <si>
    <t>24/06/2002 14:54</t>
  </si>
  <si>
    <t>24/06/2002 11:45</t>
  </si>
  <si>
    <t>26/06/2002 13:49</t>
  </si>
  <si>
    <t>27/06/2002 16:44</t>
  </si>
  <si>
    <t>28/06/2002 09:44</t>
  </si>
  <si>
    <t>10:56:00</t>
  </si>
  <si>
    <t>28/06/2002 10:56</t>
  </si>
  <si>
    <t>18:15:00</t>
  </si>
  <si>
    <t>02/07/2002 18:15</t>
  </si>
  <si>
    <t>06:50:00</t>
  </si>
  <si>
    <t>03/07/2002 06:50</t>
  </si>
  <si>
    <t>06/07/2002 14:09</t>
  </si>
  <si>
    <t>08/07/2002 09:19</t>
  </si>
  <si>
    <t>08/07/2002 17:14</t>
  </si>
  <si>
    <t>08/07/2002 20:34</t>
  </si>
  <si>
    <t>11/07/2002 07:59</t>
  </si>
  <si>
    <t>11/07/2002 20:29</t>
  </si>
  <si>
    <t>16:34:00</t>
  </si>
  <si>
    <t>12/07/2002 16:34</t>
  </si>
  <si>
    <t>12:04:00</t>
  </si>
  <si>
    <t>13/07/2002 12:04</t>
  </si>
  <si>
    <t>18/07/2002 13:59</t>
  </si>
  <si>
    <t>18:54:00</t>
  </si>
  <si>
    <t>20/07/2002 18:54</t>
  </si>
  <si>
    <t>20:15:00</t>
  </si>
  <si>
    <t>20/07/2002 20:15</t>
  </si>
  <si>
    <t>22/07/2002 12:29</t>
  </si>
  <si>
    <t>23/07/2002 14:59</t>
  </si>
  <si>
    <t>17:08:00</t>
  </si>
  <si>
    <t>25/07/2002 17:08</t>
  </si>
  <si>
    <t>17:40:00</t>
  </si>
  <si>
    <t>27/07/2002 17:40</t>
  </si>
  <si>
    <t>28/07/2002 20:29</t>
  </si>
  <si>
    <t>05:44:00</t>
  </si>
  <si>
    <t>28/07/2002 05:44</t>
  </si>
  <si>
    <t>01:50:00</t>
  </si>
  <si>
    <t>05/08/2002 01:50</t>
  </si>
  <si>
    <t>08/08/2002 12:20</t>
  </si>
  <si>
    <t>19:29:00</t>
  </si>
  <si>
    <t>09/08/2002 19:29</t>
  </si>
  <si>
    <t>09/08/2002 16:19</t>
  </si>
  <si>
    <t>11/08/2002 18:00</t>
  </si>
  <si>
    <t>11/08/2002 11:44</t>
  </si>
  <si>
    <t>12/08/2002 14:49</t>
  </si>
  <si>
    <t>02:14:00</t>
  </si>
  <si>
    <t>13/08/2002 02:14</t>
  </si>
  <si>
    <t>16/08/2002 15:59</t>
  </si>
  <si>
    <t>18/08/2002 16:34</t>
  </si>
  <si>
    <t>18/08/2002 20:49</t>
  </si>
  <si>
    <t>18/08/2002 18:00</t>
  </si>
  <si>
    <t>10:50:00</t>
  </si>
  <si>
    <t>19/08/2002 10:50</t>
  </si>
  <si>
    <t>20/08/2002 12:30</t>
  </si>
  <si>
    <t>25/08/2002 02:49</t>
  </si>
  <si>
    <t>10:30:00</t>
  </si>
  <si>
    <t>26/08/2002 10:30</t>
  </si>
  <si>
    <t>00:04:00</t>
  </si>
  <si>
    <t>28/08/2002 00:04</t>
  </si>
  <si>
    <t>20:55:00</t>
  </si>
  <si>
    <t>28/08/2002 20:55</t>
  </si>
  <si>
    <t>08/09/2002 16:29</t>
  </si>
  <si>
    <t>19/09/2002 08:40</t>
  </si>
  <si>
    <t>23/09/2002 11:30</t>
  </si>
  <si>
    <t>24/09/2002 10:30</t>
  </si>
  <si>
    <t>26/09/2002 12:04</t>
  </si>
  <si>
    <t>18:39:00</t>
  </si>
  <si>
    <t>30/09/2002 18:39</t>
  </si>
  <si>
    <t>09:59:00</t>
  </si>
  <si>
    <t>03/10/2002 09:59</t>
  </si>
  <si>
    <t>02:59:00</t>
  </si>
  <si>
    <t>04/10/2002 02:59</t>
  </si>
  <si>
    <t>13:50:00</t>
  </si>
  <si>
    <t>10/10/2002 13:50</t>
  </si>
  <si>
    <t>17:25:00</t>
  </si>
  <si>
    <t>11/10/2002 17:25</t>
  </si>
  <si>
    <t>18:35:00</t>
  </si>
  <si>
    <t>12/10/2002 18:35</t>
  </si>
  <si>
    <t>15:39:00</t>
  </si>
  <si>
    <t>17/10/2002 15:39</t>
  </si>
  <si>
    <t>26/10/2002 14:09</t>
  </si>
  <si>
    <t>13:00:00</t>
  </si>
  <si>
    <t>27/10/2002 13:00</t>
  </si>
  <si>
    <t>29/10/2002 18:10</t>
  </si>
  <si>
    <t>12:15:00</t>
  </si>
  <si>
    <t>14/11/2002 12:15</t>
  </si>
  <si>
    <t>23/12/2002 14:59</t>
  </si>
  <si>
    <t>06/05/2003 13:04</t>
  </si>
  <si>
    <t>06:00:00</t>
  </si>
  <si>
    <t>07/05/2003 06:00</t>
  </si>
  <si>
    <t>15:15:00</t>
  </si>
  <si>
    <t>21/06/2003 15:15</t>
  </si>
  <si>
    <t>11:40:00</t>
  </si>
  <si>
    <t>26/07/2003 11:40</t>
  </si>
  <si>
    <t>21:50:00</t>
  </si>
  <si>
    <t>05/08/2003 21:50</t>
  </si>
  <si>
    <t>16:30:00</t>
  </si>
  <si>
    <t>05/09/2003 16:30</t>
  </si>
  <si>
    <t>07/09/2003 18:59</t>
  </si>
  <si>
    <t>16/09/2003 11:34</t>
  </si>
  <si>
    <t>13:06:00</t>
  </si>
  <si>
    <t>24/09/2003 13:06</t>
  </si>
  <si>
    <t>14:35:00</t>
  </si>
  <si>
    <t>02/10/2003 14:35</t>
  </si>
  <si>
    <t>15:45:00</t>
  </si>
  <si>
    <t>07/10/2003 15:45</t>
  </si>
  <si>
    <t>07/10/2003 13:49</t>
  </si>
  <si>
    <t>09:20:00</t>
  </si>
  <si>
    <t>07/10/2003 09:20</t>
  </si>
  <si>
    <t>21:15:00</t>
  </si>
  <si>
    <t>13/10/2003 21:15</t>
  </si>
  <si>
    <t>20/10/2003 19:59</t>
  </si>
  <si>
    <t>21/10/2003 14:14</t>
  </si>
  <si>
    <t>23/10/2003 09:44</t>
  </si>
  <si>
    <t>19:03:00</t>
  </si>
  <si>
    <t>11/01/2004 19:03</t>
  </si>
  <si>
    <t>15/01/2004 16:59</t>
  </si>
  <si>
    <t>05/02/2004 20:09</t>
  </si>
  <si>
    <t>07/02/2004 16:05</t>
  </si>
  <si>
    <t>07/02/2004 14:39</t>
  </si>
  <si>
    <t>07/02/2004 18:04</t>
  </si>
  <si>
    <t>08/02/2004 13:49</t>
  </si>
  <si>
    <t>19/02/2004 14:59</t>
  </si>
  <si>
    <t>21/02/2004 12:49</t>
  </si>
  <si>
    <t>11:10:00</t>
  </si>
  <si>
    <t>23/02/2004 11:10</t>
  </si>
  <si>
    <t>26/02/2004 11:29</t>
  </si>
  <si>
    <t>27/02/2004 17:29</t>
  </si>
  <si>
    <t>27/02/2004 14:59</t>
  </si>
  <si>
    <t>29/02/2004 13:29</t>
  </si>
  <si>
    <t>15/03/2004 21:14</t>
  </si>
  <si>
    <t>16:49:00</t>
  </si>
  <si>
    <t>15/03/2004 16:49</t>
  </si>
  <si>
    <t>17/03/2004 15:44</t>
  </si>
  <si>
    <t>17/03/2004 15:14</t>
  </si>
  <si>
    <t>10:29:00</t>
  </si>
  <si>
    <t>17/03/2004 10:29</t>
  </si>
  <si>
    <t>19/03/2004 17:24</t>
  </si>
  <si>
    <t>12:19:00</t>
  </si>
  <si>
    <t>21/03/2004 12:19</t>
  </si>
  <si>
    <t>21/03/2004 13:44</t>
  </si>
  <si>
    <t>23/03/2004 12:09</t>
  </si>
  <si>
    <t>09:40:00</t>
  </si>
  <si>
    <t>28/03/2004 09:40</t>
  </si>
  <si>
    <t>01/04/2004 15:59</t>
  </si>
  <si>
    <t>04/04/2004 12:29</t>
  </si>
  <si>
    <t>12:54:00</t>
  </si>
  <si>
    <t>08/04/2004 12:54</t>
  </si>
  <si>
    <t>12/04/2004 10:30</t>
  </si>
  <si>
    <t>15/04/2004 13:44</t>
  </si>
  <si>
    <t>13:14:00</t>
  </si>
  <si>
    <t>15/04/2004 13:14</t>
  </si>
  <si>
    <t>19/04/2004 13:54</t>
  </si>
  <si>
    <t>07/05/2004 15:04</t>
  </si>
  <si>
    <t>02/06/2004 13:00</t>
  </si>
  <si>
    <t>04/06/2004 13:00</t>
  </si>
  <si>
    <t>11/06/2004 16:59</t>
  </si>
  <si>
    <t>16/06/2004 14:14</t>
  </si>
  <si>
    <t>19:19:00</t>
  </si>
  <si>
    <t>19/06/2004 19:19</t>
  </si>
  <si>
    <t>10:14:00</t>
  </si>
  <si>
    <t>24/06/2004 10:14</t>
  </si>
  <si>
    <t>10:24:00</t>
  </si>
  <si>
    <t>24/06/2004 10:24</t>
  </si>
  <si>
    <t>17:00:00</t>
  </si>
  <si>
    <t>29/06/2004 17:00</t>
  </si>
  <si>
    <t>02/07/2004 00:39</t>
  </si>
  <si>
    <t>16:32:00</t>
  </si>
  <si>
    <t>05/07/2004 16:32</t>
  </si>
  <si>
    <t>08/07/2004 15:00</t>
  </si>
  <si>
    <t>08/07/2004 20:20</t>
  </si>
  <si>
    <t>09/07/2004 11:44</t>
  </si>
  <si>
    <t>13/07/2004 11:29</t>
  </si>
  <si>
    <t>14:50:00</t>
  </si>
  <si>
    <t>15/07/2004 14:50</t>
  </si>
  <si>
    <t>19/07/2004 11:29</t>
  </si>
  <si>
    <t>23/07/2004 14:59</t>
  </si>
  <si>
    <t>23/07/2004 14:09</t>
  </si>
  <si>
    <t>02:25:00</t>
  </si>
  <si>
    <t>24/07/2004 02:25</t>
  </si>
  <si>
    <t>11:54:00</t>
  </si>
  <si>
    <t>03/08/2004 11:54</t>
  </si>
  <si>
    <t>19:30:00</t>
  </si>
  <si>
    <t>03/08/2004 19:30</t>
  </si>
  <si>
    <t>02:26:00</t>
  </si>
  <si>
    <t>13/08/2004 02:26</t>
  </si>
  <si>
    <t>21:20:00</t>
  </si>
  <si>
    <t>14/08/2004 21:20</t>
  </si>
  <si>
    <t>01:27:00</t>
  </si>
  <si>
    <t>19/08/2004 01:27</t>
  </si>
  <si>
    <t>24/08/2004 16:49</t>
  </si>
  <si>
    <t>26/08/2004 12:59</t>
  </si>
  <si>
    <t>26/08/2004 22:00</t>
  </si>
  <si>
    <t>26/08/2004 13:14</t>
  </si>
  <si>
    <t>03/09/2004 13:50</t>
  </si>
  <si>
    <t>04/09/2004 11:54</t>
  </si>
  <si>
    <t>07/09/2004 18:39</t>
  </si>
  <si>
    <t>02:00:00</t>
  </si>
  <si>
    <t>08/09/2004 02:00</t>
  </si>
  <si>
    <t>17:42:00</t>
  </si>
  <si>
    <t>12/09/2004 17:42</t>
  </si>
  <si>
    <t>17/09/2004 19:00</t>
  </si>
  <si>
    <t>17/09/2004 12:30</t>
  </si>
  <si>
    <t>17/09/2004 16:44</t>
  </si>
  <si>
    <t>09:15:00</t>
  </si>
  <si>
    <t>18/09/2004 09:15</t>
  </si>
  <si>
    <t>07:54:00</t>
  </si>
  <si>
    <t>22/09/2004 07:54</t>
  </si>
  <si>
    <t>27/09/2004 11:29</t>
  </si>
  <si>
    <t>27/09/2004 12:30</t>
  </si>
  <si>
    <t>17:30:00</t>
  </si>
  <si>
    <t>28/09/2004 17:30</t>
  </si>
  <si>
    <t>10:10:00</t>
  </si>
  <si>
    <t>30/09/2004 10:10</t>
  </si>
  <si>
    <t>01:29:00</t>
  </si>
  <si>
    <t>01/10/2004 01:29</t>
  </si>
  <si>
    <t>05/10/2004 10:09</t>
  </si>
  <si>
    <t>05/10/2004 21:29</t>
  </si>
  <si>
    <t>14:40:00</t>
  </si>
  <si>
    <t>11/10/2004 14:40</t>
  </si>
  <si>
    <t>12/10/2004 13:24</t>
  </si>
  <si>
    <t>12/10/2004 14:59</t>
  </si>
  <si>
    <t>13/10/2004 18:29</t>
  </si>
  <si>
    <t>16/10/2004 13:14</t>
  </si>
  <si>
    <t>01:15:00</t>
  </si>
  <si>
    <t>16/10/2004 01:15</t>
  </si>
  <si>
    <t>16/10/2004 13:44</t>
  </si>
  <si>
    <t>16/10/2004 12:59</t>
  </si>
  <si>
    <t>16/10/2004 13:19</t>
  </si>
  <si>
    <t>17/10/2004 16:09</t>
  </si>
  <si>
    <t>17/10/2004 21:44</t>
  </si>
  <si>
    <t>18/10/2004 14:59</t>
  </si>
  <si>
    <t>18/10/2004 13:44</t>
  </si>
  <si>
    <t>19/10/2004 17:30</t>
  </si>
  <si>
    <t>23:19:00</t>
  </si>
  <si>
    <t>20/10/2004 23:19</t>
  </si>
  <si>
    <t>23/10/2004 11:44</t>
  </si>
  <si>
    <t>12:45:00</t>
  </si>
  <si>
    <t>31/10/2004 12:45</t>
  </si>
  <si>
    <t>05/11/2004 16:30</t>
  </si>
  <si>
    <t>10:45:00</t>
  </si>
  <si>
    <t>14/11/2004 10:45</t>
  </si>
  <si>
    <t>08:32:00</t>
  </si>
  <si>
    <t>14/11/2004 08:32</t>
  </si>
  <si>
    <t>19/11/2004 14:14</t>
  </si>
  <si>
    <t>19/11/2004 13:19</t>
  </si>
  <si>
    <t>23/11/2004 11:59</t>
  </si>
  <si>
    <t>25/11/2004 14:14</t>
  </si>
  <si>
    <t>25/11/2004 17:30</t>
  </si>
  <si>
    <t>27/12/2004 14:59</t>
  </si>
  <si>
    <t>07/01/2005 15:44</t>
  </si>
  <si>
    <t>08/01/2005 13:29</t>
  </si>
  <si>
    <t>12:05:00</t>
  </si>
  <si>
    <t>10/01/2005 12:05</t>
  </si>
  <si>
    <t>11/02/2005 11:40</t>
  </si>
  <si>
    <t>12/02/2005 14:04</t>
  </si>
  <si>
    <t>17:35:00</t>
  </si>
  <si>
    <t>14/02/2005 17:35</t>
  </si>
  <si>
    <t>01/03/2005 14:09</t>
  </si>
  <si>
    <t>18:49:00</t>
  </si>
  <si>
    <t>05/03/2005 18:49</t>
  </si>
  <si>
    <t>17/03/2005 13:29</t>
  </si>
  <si>
    <t>12:46:00</t>
  </si>
  <si>
    <t>18/03/2005 12:46</t>
  </si>
  <si>
    <t>14:10:00</t>
  </si>
  <si>
    <t>19/03/2005 14:10</t>
  </si>
  <si>
    <t>21/03/2005 17:00</t>
  </si>
  <si>
    <t>26/03/2005 16:50</t>
  </si>
  <si>
    <t>26/03/2005 11:29</t>
  </si>
  <si>
    <t>28/03/2005 16:30</t>
  </si>
  <si>
    <t>28/03/2005 12:44</t>
  </si>
  <si>
    <t>29/03/2005 13:59</t>
  </si>
  <si>
    <t>30/03/2005 18:45</t>
  </si>
  <si>
    <t>01/04/2005 17:39</t>
  </si>
  <si>
    <t>14:58:00</t>
  </si>
  <si>
    <t>03/04/2005 14:58</t>
  </si>
  <si>
    <t>04/04/2005 18:04</t>
  </si>
  <si>
    <t>05/04/2005 13:14</t>
  </si>
  <si>
    <t>07/04/2005 16:00</t>
  </si>
  <si>
    <t>14:44:00</t>
  </si>
  <si>
    <t>08/04/2005 14:44</t>
  </si>
  <si>
    <t>08/04/2005 12:09</t>
  </si>
  <si>
    <t>09/04/2005 13:49</t>
  </si>
  <si>
    <t>09/04/2005 14:34</t>
  </si>
  <si>
    <t>09/04/2005 14:49</t>
  </si>
  <si>
    <t>16/04/2005 19:34</t>
  </si>
  <si>
    <t>22:45:00</t>
  </si>
  <si>
    <t>16/04/2005 22:45</t>
  </si>
  <si>
    <t>10:15:00</t>
  </si>
  <si>
    <t>18/04/2005 10:15</t>
  </si>
  <si>
    <t>20/04/2005 11:39</t>
  </si>
  <si>
    <t>22/04/2005 15:34</t>
  </si>
  <si>
    <t>10/05/2005 10:24</t>
  </si>
  <si>
    <t>19/05/2005 14:44</t>
  </si>
  <si>
    <t>12:24:00</t>
  </si>
  <si>
    <t>25/05/2005 12:24</t>
  </si>
  <si>
    <t>17:49:00</t>
  </si>
  <si>
    <t>27/05/2005 17:49</t>
  </si>
  <si>
    <t>05/06/2005 14:19</t>
  </si>
  <si>
    <t>11/06/2005 10:19</t>
  </si>
  <si>
    <t>14/06/2005 20:19</t>
  </si>
  <si>
    <t>12:35:00</t>
  </si>
  <si>
    <t>20/06/2005 12:35</t>
  </si>
  <si>
    <t>18:07:00</t>
  </si>
  <si>
    <t>28/06/2005 18:07</t>
  </si>
  <si>
    <t>29/06/2005 18:14</t>
  </si>
  <si>
    <t>30/06/2005 11:24</t>
  </si>
  <si>
    <t>15:40:00</t>
  </si>
  <si>
    <t>02/07/2005 15:40</t>
  </si>
  <si>
    <t>20:40:00</t>
  </si>
  <si>
    <t>03/07/2005 20:40</t>
  </si>
  <si>
    <t>20:04:00</t>
  </si>
  <si>
    <t>13/07/2005 20:04</t>
  </si>
  <si>
    <t>24/07/2005 11:00</t>
  </si>
  <si>
    <t>10:49:00</t>
  </si>
  <si>
    <t>24/07/2005 10:49</t>
  </si>
  <si>
    <t>21:19:00</t>
  </si>
  <si>
    <t>26/07/2005 21:19</t>
  </si>
  <si>
    <t>29/07/2005 18:30</t>
  </si>
  <si>
    <t>04:23:00</t>
  </si>
  <si>
    <t>30/07/2005 04:23</t>
  </si>
  <si>
    <t>02/08/2005 17:20</t>
  </si>
  <si>
    <t>09:04:00</t>
  </si>
  <si>
    <t>02/08/2005 09:04</t>
  </si>
  <si>
    <t>02/08/2005 13:24</t>
  </si>
  <si>
    <t>00:45:00</t>
  </si>
  <si>
    <t>05/08/2005 00:45</t>
  </si>
  <si>
    <t>05/08/2005 22:00</t>
  </si>
  <si>
    <t>08/08/2005 11:29</t>
  </si>
  <si>
    <t>05:25:00</t>
  </si>
  <si>
    <t>19/08/2005 05:25</t>
  </si>
  <si>
    <t>18:44:00</t>
  </si>
  <si>
    <t>20/08/2005 18:44</t>
  </si>
  <si>
    <t>16:27:00</t>
  </si>
  <si>
    <t>20/08/2005 16:27</t>
  </si>
  <si>
    <t>22/08/2005 19:14</t>
  </si>
  <si>
    <t>17:55:00</t>
  </si>
  <si>
    <t>26/08/2005 17:55</t>
  </si>
  <si>
    <t>00:09:00</t>
  </si>
  <si>
    <t>26/08/2005 00:09</t>
  </si>
  <si>
    <t>26/08/2005 18:50</t>
  </si>
  <si>
    <t>15:35:00</t>
  </si>
  <si>
    <t>31/08/2005 15:35</t>
  </si>
  <si>
    <t>31/08/2005 02:49</t>
  </si>
  <si>
    <t>01/09/2005 16:49</t>
  </si>
  <si>
    <t>01/09/2005 20:40</t>
  </si>
  <si>
    <t>02/09/2005 02:30</t>
  </si>
  <si>
    <t>10:05:00</t>
  </si>
  <si>
    <t>04/09/2005 10:05</t>
  </si>
  <si>
    <t>04/09/2005 11:39</t>
  </si>
  <si>
    <t>20:56:00</t>
  </si>
  <si>
    <t>04/09/2005 20:56</t>
  </si>
  <si>
    <t>10/09/2005 17:19</t>
  </si>
  <si>
    <t>21:59:00</t>
  </si>
  <si>
    <t>11/09/2005 21:59</t>
  </si>
  <si>
    <t>15/09/2005 17:25</t>
  </si>
  <si>
    <t>15/09/2005 16:30</t>
  </si>
  <si>
    <t>10:25:00</t>
  </si>
  <si>
    <t>24/09/2005 10:25</t>
  </si>
  <si>
    <t>07/10/2005 14:20</t>
  </si>
  <si>
    <t>07/10/2005 16:49</t>
  </si>
  <si>
    <t>08/10/2005 14:40</t>
  </si>
  <si>
    <t>20/10/2005 12:49</t>
  </si>
  <si>
    <t>24/10/2005 16:30</t>
  </si>
  <si>
    <t>09:30:00</t>
  </si>
  <si>
    <t>26/10/2005 09:30</t>
  </si>
  <si>
    <t>30/10/2005 10:45</t>
  </si>
  <si>
    <t>30/10/2005 13:15</t>
  </si>
  <si>
    <t>13:43:00</t>
  </si>
  <si>
    <t>03/11/2005 13:43</t>
  </si>
  <si>
    <t>04/11/2005 18:00</t>
  </si>
  <si>
    <t>06/11/2005 10:15</t>
  </si>
  <si>
    <t>08/11/2005 14:05</t>
  </si>
  <si>
    <t>09/11/2005 15:09</t>
  </si>
  <si>
    <t>09/11/2005 10:29</t>
  </si>
  <si>
    <t>10/11/2005 11:59</t>
  </si>
  <si>
    <t>12/11/2005 13:14</t>
  </si>
  <si>
    <t>14/11/2005 12:34</t>
  </si>
  <si>
    <t>18:24:00</t>
  </si>
  <si>
    <t>14/11/2005 18:24</t>
  </si>
  <si>
    <t>14/11/2005 15:00</t>
  </si>
  <si>
    <t>24/11/2005 12:05</t>
  </si>
  <si>
    <t>28/11/2005 15:00</t>
  </si>
  <si>
    <t>16:31:00</t>
  </si>
  <si>
    <t>02/12/2005 16:31</t>
  </si>
  <si>
    <t>19/12/2005 14:04</t>
  </si>
  <si>
    <t>12/01/2006 14:10</t>
  </si>
  <si>
    <t>17/01/2006 13:45</t>
  </si>
  <si>
    <t>04/02/2006 11:39</t>
  </si>
  <si>
    <t>10/02/2006 13:00</t>
  </si>
  <si>
    <t>19:02:00</t>
  </si>
  <si>
    <t>23/02/2006 19:02</t>
  </si>
  <si>
    <t>02/03/2006 17:55</t>
  </si>
  <si>
    <t>03/03/2006 14:20</t>
  </si>
  <si>
    <t>04/03/2006 14:44</t>
  </si>
  <si>
    <t>16:40:00</t>
  </si>
  <si>
    <t>04/03/2006 16:40</t>
  </si>
  <si>
    <t>04/03/2006 14:58</t>
  </si>
  <si>
    <t>05/03/2006 14:00</t>
  </si>
  <si>
    <t>09:45:00</t>
  </si>
  <si>
    <t>07/03/2006 09:45</t>
  </si>
  <si>
    <t>24/03/2006 15:59</t>
  </si>
  <si>
    <t>28/03/2006 13:50</t>
  </si>
  <si>
    <t>29/03/2006 16:55</t>
  </si>
  <si>
    <t>16:20:00</t>
  </si>
  <si>
    <t>30/03/2006 16:20</t>
  </si>
  <si>
    <t>31/03/2006 15:24</t>
  </si>
  <si>
    <t>15:55:00</t>
  </si>
  <si>
    <t>02/04/2006 15:55</t>
  </si>
  <si>
    <t>02/04/2006 14:09</t>
  </si>
  <si>
    <t>02/04/2006 14:00</t>
  </si>
  <si>
    <t>05/04/2006 13:40</t>
  </si>
  <si>
    <t>12:55:00</t>
  </si>
  <si>
    <t>10/04/2006 12:55</t>
  </si>
  <si>
    <t>11/04/2006 15:45</t>
  </si>
  <si>
    <t>12/04/2006 13:54</t>
  </si>
  <si>
    <t>17:45:00</t>
  </si>
  <si>
    <t>12/04/2006 17:45</t>
  </si>
  <si>
    <t>18/04/2006 16:20</t>
  </si>
  <si>
    <t>10:20:00</t>
  </si>
  <si>
    <t>19/04/2006 10:20</t>
  </si>
  <si>
    <t>10:33:00</t>
  </si>
  <si>
    <t>08/05/2006 10:33</t>
  </si>
  <si>
    <t>16:28:00</t>
  </si>
  <si>
    <t>17/05/2006 16:28</t>
  </si>
  <si>
    <t>12:39:00</t>
  </si>
  <si>
    <t>25/05/2006 12:39</t>
  </si>
  <si>
    <t>28/05/2006 10:25</t>
  </si>
  <si>
    <t>04/06/2006 11:40</t>
  </si>
  <si>
    <t>08/06/2006 15:45</t>
  </si>
  <si>
    <t>10/06/2006 18:20</t>
  </si>
  <si>
    <t>17:10:00</t>
  </si>
  <si>
    <t>10/06/2006 17:10</t>
  </si>
  <si>
    <t>10/06/2006 18:14</t>
  </si>
  <si>
    <t>18:05:00</t>
  </si>
  <si>
    <t>25/06/2006 18:05</t>
  </si>
  <si>
    <t>27/06/2006 21:20</t>
  </si>
  <si>
    <t>01/07/2006 23:19</t>
  </si>
  <si>
    <t>20:24:00</t>
  </si>
  <si>
    <t>02/07/2006 20:24</t>
  </si>
  <si>
    <t>03/07/2006 18:44</t>
  </si>
  <si>
    <t>03/07/2006 14:05</t>
  </si>
  <si>
    <t>04/07/2006 09:49</t>
  </si>
  <si>
    <t>07/07/2006 17:00</t>
  </si>
  <si>
    <t>15:20:00</t>
  </si>
  <si>
    <t>12/07/2006 15:20</t>
  </si>
  <si>
    <t>14/07/2006 09:45</t>
  </si>
  <si>
    <t>15/07/2006 14:20</t>
  </si>
  <si>
    <t>13:36:00</t>
  </si>
  <si>
    <t>16/07/2006 13:36</t>
  </si>
  <si>
    <t>19/07/2006 22:04</t>
  </si>
  <si>
    <t>19/07/2006 13:50</t>
  </si>
  <si>
    <t>19/07/2006 14:40</t>
  </si>
  <si>
    <t>25/07/2006 14:15</t>
  </si>
  <si>
    <t>28/07/2006 18:20</t>
  </si>
  <si>
    <t>28/07/2006 19:54</t>
  </si>
  <si>
    <t>01/08/2006 18:45</t>
  </si>
  <si>
    <t>22:35:00</t>
  </si>
  <si>
    <t>06/08/2006 22:35</t>
  </si>
  <si>
    <t>08/08/2006 13:15</t>
  </si>
  <si>
    <t>14:30:00</t>
  </si>
  <si>
    <t>11/08/2006 14:30</t>
  </si>
  <si>
    <t>04:44:00</t>
  </si>
  <si>
    <t>14/08/2006 04:44</t>
  </si>
  <si>
    <t>15/08/2006 17:20</t>
  </si>
  <si>
    <t>16/08/2006 14:54</t>
  </si>
  <si>
    <t>17/08/2006 19:34</t>
  </si>
  <si>
    <t>18/08/2006 17:44</t>
  </si>
  <si>
    <t>19/08/2006 19:30</t>
  </si>
  <si>
    <t>19/08/2006 18:20</t>
  </si>
  <si>
    <t>09:05:00</t>
  </si>
  <si>
    <t>21/08/2006 09:05</t>
  </si>
  <si>
    <t>22/08/2006 14:00</t>
  </si>
  <si>
    <t>23/08/2006 13:54</t>
  </si>
  <si>
    <t>23/08/2006 01:59</t>
  </si>
  <si>
    <t>23/08/2006 21:00</t>
  </si>
  <si>
    <t>15:05:00</t>
  </si>
  <si>
    <t>24/08/2006 15:05</t>
  </si>
  <si>
    <t>24/08/2006 18:05</t>
  </si>
  <si>
    <t>22:50:00</t>
  </si>
  <si>
    <t>25/08/2006 22:50</t>
  </si>
  <si>
    <t>26/08/2006 16:20</t>
  </si>
  <si>
    <t>23:52:00</t>
  </si>
  <si>
    <t>28/08/2006 23:52</t>
  </si>
  <si>
    <t>13:55:00</t>
  </si>
  <si>
    <t>29/08/2006 13:55</t>
  </si>
  <si>
    <t>29/08/2006 14:15</t>
  </si>
  <si>
    <t>21:40:00</t>
  </si>
  <si>
    <t>02/09/2006 21:40</t>
  </si>
  <si>
    <t>13:30:00</t>
  </si>
  <si>
    <t>03/09/2006 13:30</t>
  </si>
  <si>
    <t>07/09/2006 10:20</t>
  </si>
  <si>
    <t>07/09/2006 11:00</t>
  </si>
  <si>
    <t>08/09/2006 12:59</t>
  </si>
  <si>
    <t>08/09/2006 13:20</t>
  </si>
  <si>
    <t>10/09/2006 13:45</t>
  </si>
  <si>
    <t>07:39:00</t>
  </si>
  <si>
    <t>10/09/2006 07:39</t>
  </si>
  <si>
    <t>11/09/2006 21:15</t>
  </si>
  <si>
    <t>11/09/2006 11:30</t>
  </si>
  <si>
    <t>13/09/2006 14:50</t>
  </si>
  <si>
    <t>14/09/2006 10:14</t>
  </si>
  <si>
    <t>17/09/2006 15:24</t>
  </si>
  <si>
    <t>17/09/2006 13:55</t>
  </si>
  <si>
    <t>17/09/2006 13:45</t>
  </si>
  <si>
    <t>21/09/2006 17:14</t>
  </si>
  <si>
    <t>23/09/2006 19:20</t>
  </si>
  <si>
    <t>25/09/2006 17:10</t>
  </si>
  <si>
    <t>26/09/2006 17:35</t>
  </si>
  <si>
    <t>20:33:00</t>
  </si>
  <si>
    <t>26/09/2006 20:33</t>
  </si>
  <si>
    <t>28/09/2006 12:30</t>
  </si>
  <si>
    <t>28/09/2006 17:00</t>
  </si>
  <si>
    <t>02/10/2006 10:45</t>
  </si>
  <si>
    <t>02/10/2006 20:55</t>
  </si>
  <si>
    <t>04/10/2006 15:15</t>
  </si>
  <si>
    <t>04/10/2006 16:30</t>
  </si>
  <si>
    <t>04/10/2006 13:20</t>
  </si>
  <si>
    <t>00:29:00</t>
  </si>
  <si>
    <t>05/10/2006 00:29</t>
  </si>
  <si>
    <t>05/10/2006 15:20</t>
  </si>
  <si>
    <t>07/10/2006 14:05</t>
  </si>
  <si>
    <t>00:59:00</t>
  </si>
  <si>
    <t>28/10/2006 00:59</t>
  </si>
  <si>
    <t>28/10/2006 11:00</t>
  </si>
  <si>
    <t>15:19:00</t>
  </si>
  <si>
    <t>02/11/2006 15:19</t>
  </si>
  <si>
    <t>09/11/2006 16:30</t>
  </si>
  <si>
    <t>17:27:00</t>
  </si>
  <si>
    <t>30/11/2006 17:27</t>
  </si>
  <si>
    <t>09/12/2006 17:20</t>
  </si>
  <si>
    <t>24/12/2006 14:50</t>
  </si>
  <si>
    <t>17:15:00</t>
  </si>
  <si>
    <t>25/12/2006 17:15</t>
  </si>
  <si>
    <t>17:45</t>
  </si>
  <si>
    <t>19/01/2007 17:45</t>
  </si>
  <si>
    <t>11:50</t>
  </si>
  <si>
    <t>20/01/2007 11:50</t>
  </si>
  <si>
    <t>18:55</t>
  </si>
  <si>
    <t>26/01/2007 18:55</t>
  </si>
  <si>
    <t>14:20</t>
  </si>
  <si>
    <t>28/01/2007 14:20</t>
  </si>
  <si>
    <t>14:40</t>
  </si>
  <si>
    <t>29/01/2007 14:40</t>
  </si>
  <si>
    <t>16:35</t>
  </si>
  <si>
    <t>29/01/2007 16:35</t>
  </si>
  <si>
    <t>08:48</t>
  </si>
  <si>
    <t>29/01/2007 08:48</t>
  </si>
  <si>
    <t>19:09</t>
  </si>
  <si>
    <t>30/01/2007 19:09</t>
  </si>
  <si>
    <t>13:10</t>
  </si>
  <si>
    <t>01/02/2007 13:10</t>
  </si>
  <si>
    <t>01:25</t>
  </si>
  <si>
    <t>18/02/2007 01:25</t>
  </si>
  <si>
    <t>12:40</t>
  </si>
  <si>
    <t>03/03/2007 12:40</t>
  </si>
  <si>
    <t>18:40</t>
  </si>
  <si>
    <t>03/03/2007 18:40</t>
  </si>
  <si>
    <t>16:00</t>
  </si>
  <si>
    <t>06/03/2007 16:00</t>
  </si>
  <si>
    <t>19:19</t>
  </si>
  <si>
    <t>09/03/2007 19:19</t>
  </si>
  <si>
    <t>15:39</t>
  </si>
  <si>
    <t>18/03/2007 15:39</t>
  </si>
  <si>
    <t>15:44</t>
  </si>
  <si>
    <t>18/03/2007 15:44</t>
  </si>
  <si>
    <t>13:35</t>
  </si>
  <si>
    <t>21/03/2007 13:35</t>
  </si>
  <si>
    <t>15:00</t>
  </si>
  <si>
    <t>26/03/2007 15:00</t>
  </si>
  <si>
    <t>17:25</t>
  </si>
  <si>
    <t>26/03/2007 17:25</t>
  </si>
  <si>
    <t>14:10</t>
  </si>
  <si>
    <t>28/03/2007 14:10</t>
  </si>
  <si>
    <t>17:40</t>
  </si>
  <si>
    <t>29/03/2007 17:40</t>
  </si>
  <si>
    <t>18:00</t>
  </si>
  <si>
    <t>02/04/2007 18:00</t>
  </si>
  <si>
    <t>14:25</t>
  </si>
  <si>
    <t>03/04/2007 14:25</t>
  </si>
  <si>
    <t>12:05</t>
  </si>
  <si>
    <t>04/04/2007 12:05</t>
  </si>
  <si>
    <t>10:20</t>
  </si>
  <si>
    <t>09/04/2007 10:20</t>
  </si>
  <si>
    <t>12:30</t>
  </si>
  <si>
    <t>14/04/2007 12:30</t>
  </si>
  <si>
    <t>15:35</t>
  </si>
  <si>
    <t>14/04/2007 15:35</t>
  </si>
  <si>
    <t>13:00</t>
  </si>
  <si>
    <t>16/04/2007 13:00</t>
  </si>
  <si>
    <t>15:50</t>
  </si>
  <si>
    <t>22/04/2007 15:50</t>
  </si>
  <si>
    <t>12:50</t>
  </si>
  <si>
    <t>23/04/2007 12:50</t>
  </si>
  <si>
    <t>18:35</t>
  </si>
  <si>
    <t>24/04/2007 18:35</t>
  </si>
  <si>
    <t>18:25</t>
  </si>
  <si>
    <t>26/04/2007 18:25</t>
  </si>
  <si>
    <t>18:30</t>
  </si>
  <si>
    <t>11/05/2007 18:30</t>
  </si>
  <si>
    <t>12:45</t>
  </si>
  <si>
    <t>11/05/2007 12:45</t>
  </si>
  <si>
    <t>10/06/2007 12:30</t>
  </si>
  <si>
    <t>14:49</t>
  </si>
  <si>
    <t>14/06/2007 14:49</t>
  </si>
  <si>
    <t>22:54</t>
  </si>
  <si>
    <t>18/06/2007 22:54</t>
  </si>
  <si>
    <t>21:10</t>
  </si>
  <si>
    <t>21/06/2007 21:10</t>
  </si>
  <si>
    <t>19:39</t>
  </si>
  <si>
    <t>23/06/2007 19:39</t>
  </si>
  <si>
    <t>24/06/2007 16:35</t>
  </si>
  <si>
    <t>28/06/2007 14:40</t>
  </si>
  <si>
    <t>12:04</t>
  </si>
  <si>
    <t>30/06/2007 12:04</t>
  </si>
  <si>
    <t>02/07/2007 21:10</t>
  </si>
  <si>
    <t>08:35</t>
  </si>
  <si>
    <t>03/07/2007 08:35</t>
  </si>
  <si>
    <t>15:05</t>
  </si>
  <si>
    <t>08/07/2007 15:05</t>
  </si>
  <si>
    <t>21:00</t>
  </si>
  <si>
    <t>08/07/2007 21:00</t>
  </si>
  <si>
    <t>09/07/2007 13:10</t>
  </si>
  <si>
    <t>09/07/2007 13:00</t>
  </si>
  <si>
    <t>21:59</t>
  </si>
  <si>
    <t>12/07/2007 21:59</t>
  </si>
  <si>
    <t>11:00</t>
  </si>
  <si>
    <t>13/07/2007 11:00</t>
  </si>
  <si>
    <t>18:10</t>
  </si>
  <si>
    <t>15/07/2007 18:10</t>
  </si>
  <si>
    <t>12:10</t>
  </si>
  <si>
    <t>15/07/2007 12:10</t>
  </si>
  <si>
    <t>10:14</t>
  </si>
  <si>
    <t>17/07/2007 10:14</t>
  </si>
  <si>
    <t>09:10</t>
  </si>
  <si>
    <t>17/07/2007 09:10</t>
  </si>
  <si>
    <t>09:50</t>
  </si>
  <si>
    <t>18/07/2007 09:50</t>
  </si>
  <si>
    <t>11:05</t>
  </si>
  <si>
    <t>18/07/2007 11:05</t>
  </si>
  <si>
    <t>20/07/2007 15:50</t>
  </si>
  <si>
    <t>20/07/2007 18:00</t>
  </si>
  <si>
    <t>01:08</t>
  </si>
  <si>
    <t>22/07/2007 01:08</t>
  </si>
  <si>
    <t>24/07/2007 15:00</t>
  </si>
  <si>
    <t>24/07/2007 18:35</t>
  </si>
  <si>
    <t>26/07/2007 12:45</t>
  </si>
  <si>
    <t>18:50</t>
  </si>
  <si>
    <t>28/07/2007 18:50</t>
  </si>
  <si>
    <t>12:35</t>
  </si>
  <si>
    <t>28/07/2007 12:35</t>
  </si>
  <si>
    <t>29/07/2007 17:45</t>
  </si>
  <si>
    <t>30/07/2007 14:10</t>
  </si>
  <si>
    <t>12:25</t>
  </si>
  <si>
    <t>31/07/2007 12:25</t>
  </si>
  <si>
    <t>31/07/2007 12:30</t>
  </si>
  <si>
    <t>12:00</t>
  </si>
  <si>
    <t>03/08/2007 12:00</t>
  </si>
  <si>
    <t>20:55</t>
  </si>
  <si>
    <t>03/08/2007 20:55</t>
  </si>
  <si>
    <t>13:55</t>
  </si>
  <si>
    <t>04/08/2007 13:55</t>
  </si>
  <si>
    <t>03:24</t>
  </si>
  <si>
    <t>08/08/2007 03:24</t>
  </si>
  <si>
    <t>19:44</t>
  </si>
  <si>
    <t>11/08/2007 19:44</t>
  </si>
  <si>
    <t>16:30</t>
  </si>
  <si>
    <t>12/08/2007 16:30</t>
  </si>
  <si>
    <t>13:50</t>
  </si>
  <si>
    <t>13/08/2007 13:50</t>
  </si>
  <si>
    <t>14:30</t>
  </si>
  <si>
    <t>16/08/2007 14:30</t>
  </si>
  <si>
    <t>15:30</t>
  </si>
  <si>
    <t>16/08/2007 15:30</t>
  </si>
  <si>
    <t>17/08/2007 21:00</t>
  </si>
  <si>
    <t>07:00</t>
  </si>
  <si>
    <t>17/08/2007 07:00</t>
  </si>
  <si>
    <t>19/08/2007 15:50</t>
  </si>
  <si>
    <t>21:45</t>
  </si>
  <si>
    <t>20/08/2007 21:45</t>
  </si>
  <si>
    <t>17:00</t>
  </si>
  <si>
    <t>21/08/2007 17:00</t>
  </si>
  <si>
    <t>22/08/2007 15:30</t>
  </si>
  <si>
    <t>10:30</t>
  </si>
  <si>
    <t>23/08/2007 10:30</t>
  </si>
  <si>
    <t>23/08/2007 13:35</t>
  </si>
  <si>
    <t>02:45</t>
  </si>
  <si>
    <t>24/08/2007 02:45</t>
  </si>
  <si>
    <t>24/08/2007 10:30</t>
  </si>
  <si>
    <t>23:50</t>
  </si>
  <si>
    <t>24/08/2007 23:50</t>
  </si>
  <si>
    <t>18:05</t>
  </si>
  <si>
    <t>25/08/2007 18:05</t>
  </si>
  <si>
    <t>21:40</t>
  </si>
  <si>
    <t>25/08/2007 21:40</t>
  </si>
  <si>
    <t>20:25</t>
  </si>
  <si>
    <t>30/08/2007 20:25</t>
  </si>
  <si>
    <t>03:50</t>
  </si>
  <si>
    <t>31/08/2007 03:50</t>
  </si>
  <si>
    <t>17:10</t>
  </si>
  <si>
    <t>31/08/2007 17:10</t>
  </si>
  <si>
    <t>03/09/2007 13:55</t>
  </si>
  <si>
    <t>15:15</t>
  </si>
  <si>
    <t>05/09/2007 15:15</t>
  </si>
  <si>
    <t>06/09/2007 14:30</t>
  </si>
  <si>
    <t>07/09/2007 18:40</t>
  </si>
  <si>
    <t>10:55</t>
  </si>
  <si>
    <t>16/09/2007 10:55</t>
  </si>
  <si>
    <t>19:30</t>
  </si>
  <si>
    <t>22/09/2007 19:30</t>
  </si>
  <si>
    <t>22:35</t>
  </si>
  <si>
    <t>22/09/2007 22:35</t>
  </si>
  <si>
    <t>09:30</t>
  </si>
  <si>
    <t>25/09/2007 09:30</t>
  </si>
  <si>
    <t>19:55</t>
  </si>
  <si>
    <t>02/10/2007 19:55</t>
  </si>
  <si>
    <t>08/10/2007 23:50</t>
  </si>
  <si>
    <t>20:15</t>
  </si>
  <si>
    <t>11/10/2007 20:15</t>
  </si>
  <si>
    <t>13:30</t>
  </si>
  <si>
    <t>13/10/2007 13:30</t>
  </si>
  <si>
    <t>13/10/2007 12:10</t>
  </si>
  <si>
    <t>13/10/2007 15:35</t>
  </si>
  <si>
    <t>09:25</t>
  </si>
  <si>
    <t>17/10/2007 09:25</t>
  </si>
  <si>
    <t>15:25</t>
  </si>
  <si>
    <t>28/10/2007 15:25</t>
  </si>
  <si>
    <t>07:40</t>
  </si>
  <si>
    <t>31/10/2007 07:40</t>
  </si>
  <si>
    <t>15:10</t>
  </si>
  <si>
    <t>21/11/2007 15:10</t>
  </si>
  <si>
    <t>13:05</t>
  </si>
  <si>
    <t>26/11/2007 13:05</t>
  </si>
  <si>
    <t>12:26</t>
  </si>
  <si>
    <t>28/11/2007 12:26</t>
  </si>
  <si>
    <t>17:05</t>
  </si>
  <si>
    <t>03/12/2007 17:05</t>
  </si>
  <si>
    <t>17:34</t>
  </si>
  <si>
    <t>25/12/2007 17:34</t>
  </si>
  <si>
    <t>14:05</t>
  </si>
  <si>
    <t>30/12/2007 14:05</t>
  </si>
  <si>
    <t>10/01/2008 13:30</t>
  </si>
  <si>
    <t>27/01/2008 12:10</t>
  </si>
  <si>
    <t>28/01/2008 17:40</t>
  </si>
  <si>
    <t>28/01/2008 17:30</t>
  </si>
  <si>
    <t>15:50:00</t>
  </si>
  <si>
    <t>30/01/2008 15:50</t>
  </si>
  <si>
    <t>10:40:00</t>
  </si>
  <si>
    <t>05/02/2008 10:40</t>
  </si>
  <si>
    <t>08:09:00</t>
  </si>
  <si>
    <t>16/02/2008 08:09</t>
  </si>
  <si>
    <t>13:10:00</t>
  </si>
  <si>
    <t>24/02/2008 13:10</t>
  </si>
  <si>
    <t>03/03/2008 11:45</t>
  </si>
  <si>
    <t>10:55:00</t>
  </si>
  <si>
    <t>03/03/2008 10:55</t>
  </si>
  <si>
    <t>06/03/2008 08:40</t>
  </si>
  <si>
    <t>16:25:00</t>
  </si>
  <si>
    <t>09/03/2008 16:25</t>
  </si>
  <si>
    <t>09/03/2008 10:30</t>
  </si>
  <si>
    <t>10/03/2008 16:55</t>
  </si>
  <si>
    <t>10/03/2008 14:25</t>
  </si>
  <si>
    <t>11/03/2008 14:20</t>
  </si>
  <si>
    <t>11/03/2008 22:00</t>
  </si>
  <si>
    <t>14/03/2008 12:15</t>
  </si>
  <si>
    <t>15/03/2008 15:10</t>
  </si>
  <si>
    <t>19/03/2008 16:30</t>
  </si>
  <si>
    <t>20/03/2008 15:00</t>
  </si>
  <si>
    <t>20/03/2008 12:15</t>
  </si>
  <si>
    <t>20/03/2008 18:10</t>
  </si>
  <si>
    <t>15:58:00</t>
  </si>
  <si>
    <t>21/03/2008 15:58</t>
  </si>
  <si>
    <t>22/03/2008 10:30</t>
  </si>
  <si>
    <t>23/03/2008 13:50</t>
  </si>
  <si>
    <t>25/03/2008 13:10</t>
  </si>
  <si>
    <t>25/03/2008 12:10</t>
  </si>
  <si>
    <t>11/04/2008 13:30</t>
  </si>
  <si>
    <t>12/04/2008 17:45</t>
  </si>
  <si>
    <t>11:25:00</t>
  </si>
  <si>
    <t>13/04/2008 11:25</t>
  </si>
  <si>
    <t>15/04/2008 15:10</t>
  </si>
  <si>
    <t>17/04/2008 14:00</t>
  </si>
  <si>
    <t>20:13:00</t>
  </si>
  <si>
    <t>19/04/2008 20:13</t>
  </si>
  <si>
    <t>20/04/2008 15:30</t>
  </si>
  <si>
    <t>20/04/2008 16:35</t>
  </si>
  <si>
    <t>22/04/2008 16:40</t>
  </si>
  <si>
    <t>24/04/2008 16:15</t>
  </si>
  <si>
    <t>24/04/2008 09:00</t>
  </si>
  <si>
    <t>06/05/2008 13:29</t>
  </si>
  <si>
    <t>07/05/2008 14:00</t>
  </si>
  <si>
    <t>15/05/2008 16:40</t>
  </si>
  <si>
    <t>25/05/2008 15:00</t>
  </si>
  <si>
    <t>12:00:00</t>
  </si>
  <si>
    <t>07/06/2008 12:00</t>
  </si>
  <si>
    <t>19/06/2008 12:35</t>
  </si>
  <si>
    <t>20:30:00</t>
  </si>
  <si>
    <t>19/06/2008 20:30</t>
  </si>
  <si>
    <t>20:25:00</t>
  </si>
  <si>
    <t>19/06/2008 20:25</t>
  </si>
  <si>
    <t>29/06/2008 16:59</t>
  </si>
  <si>
    <t>03/07/2008 12:45</t>
  </si>
  <si>
    <t>07/07/2008 12:00</t>
  </si>
  <si>
    <t>11:05:00</t>
  </si>
  <si>
    <t>10/07/2008 11:05</t>
  </si>
  <si>
    <t>12/07/2008 16:00</t>
  </si>
  <si>
    <t>13/07/2008 19:10</t>
  </si>
  <si>
    <t>03:35:00</t>
  </si>
  <si>
    <t>14/07/2008 03:35</t>
  </si>
  <si>
    <t>01:40:00</t>
  </si>
  <si>
    <t>16/07/2008 01:40</t>
  </si>
  <si>
    <t>17/07/2008 12:30</t>
  </si>
  <si>
    <t>18/07/2008 12:15</t>
  </si>
  <si>
    <t>22/07/2008 15:15</t>
  </si>
  <si>
    <t>23/07/2008 23:00</t>
  </si>
  <si>
    <t>03:15:00</t>
  </si>
  <si>
    <t>27/07/2008 03:15</t>
  </si>
  <si>
    <t>08:55:00</t>
  </si>
  <si>
    <t>27/07/2008 08:55</t>
  </si>
  <si>
    <t>30/07/2008 17:25</t>
  </si>
  <si>
    <t>31/07/2008 11:25</t>
  </si>
  <si>
    <t>17:56:00</t>
  </si>
  <si>
    <t>03/08/2008 17:56</t>
  </si>
  <si>
    <t>21:54:00</t>
  </si>
  <si>
    <t>03/08/2008 21:54</t>
  </si>
  <si>
    <t>06/08/2008 17:45</t>
  </si>
  <si>
    <t>07/08/2008 17:00</t>
  </si>
  <si>
    <t>09/08/2008 20:30</t>
  </si>
  <si>
    <t>12:50:00</t>
  </si>
  <si>
    <t>10/08/2008 12:50</t>
  </si>
  <si>
    <t>18/08/2008 15:00</t>
  </si>
  <si>
    <t>20/08/2008 12:50</t>
  </si>
  <si>
    <t>25/08/2008 13:55</t>
  </si>
  <si>
    <t>25/08/2008 13:25</t>
  </si>
  <si>
    <t>26/08/2008 13:50</t>
  </si>
  <si>
    <t>30/08/2008 14:40</t>
  </si>
  <si>
    <t>30/08/2008 16:00</t>
  </si>
  <si>
    <t>18:55:00</t>
  </si>
  <si>
    <t>31/08/2008 18:55</t>
  </si>
  <si>
    <t>01/09/2008 17:25</t>
  </si>
  <si>
    <t>06/09/2008 21:40</t>
  </si>
  <si>
    <t>08/09/2008 13:00</t>
  </si>
  <si>
    <t>14:36:00</t>
  </si>
  <si>
    <t>09/09/2008 14:36</t>
  </si>
  <si>
    <t>12/09/2008 19:20</t>
  </si>
  <si>
    <t>13/09/2008 17:20</t>
  </si>
  <si>
    <t>06:30:00</t>
  </si>
  <si>
    <t>15/09/2008 06:30</t>
  </si>
  <si>
    <t>15/09/2008 20:55</t>
  </si>
  <si>
    <t>15/09/2008 17:30</t>
  </si>
  <si>
    <t>15/09/2008 19:30</t>
  </si>
  <si>
    <t>16/09/2008 11:30</t>
  </si>
  <si>
    <t>14:55:00</t>
  </si>
  <si>
    <t>16/09/2008 14:55</t>
  </si>
  <si>
    <t>16/09/2008 13:36</t>
  </si>
  <si>
    <t>17/09/2008 13:00</t>
  </si>
  <si>
    <t>17/09/2008 16:30</t>
  </si>
  <si>
    <t>18/09/2008 07:30</t>
  </si>
  <si>
    <t>06:20:00</t>
  </si>
  <si>
    <t>18/09/2008 06:20</t>
  </si>
  <si>
    <t>18/09/2008 14:30</t>
  </si>
  <si>
    <t>10/10/2008 19:25</t>
  </si>
  <si>
    <t>11/10/2008 21:55</t>
  </si>
  <si>
    <t>04:15:00</t>
  </si>
  <si>
    <t>18/10/2008 04:15</t>
  </si>
  <si>
    <t>00:10:00</t>
  </si>
  <si>
    <t>21/10/2008 00:10</t>
  </si>
  <si>
    <t>02:20:00</t>
  </si>
  <si>
    <t>22/10/2008 02:20</t>
  </si>
  <si>
    <t>24/10/2008 20:15</t>
  </si>
  <si>
    <t>31/10/2008 11:00</t>
  </si>
  <si>
    <t>01/11/2008 13:20</t>
  </si>
  <si>
    <t>09/11/2008 18:00</t>
  </si>
  <si>
    <t>11/11/2008 21:40</t>
  </si>
  <si>
    <t>19/12/2008 18:10</t>
  </si>
  <si>
    <t>24/12/2008 18:20</t>
  </si>
  <si>
    <t>05/01/2009 14:45</t>
  </si>
  <si>
    <t>07:10:00</t>
  </si>
  <si>
    <t>06/02/2009 07:10</t>
  </si>
  <si>
    <t>18:25:00</t>
  </si>
  <si>
    <t>11/02/2009 18:25</t>
  </si>
  <si>
    <t>22:10:00</t>
  </si>
  <si>
    <t>27/02/2009 22:10</t>
  </si>
  <si>
    <t>01/03/2009 12:30</t>
  </si>
  <si>
    <t>11/03/2009 19:00</t>
  </si>
  <si>
    <t>16:45:00</t>
  </si>
  <si>
    <t>17/03/2009 16:45</t>
  </si>
  <si>
    <t>20/03/2009 17:40</t>
  </si>
  <si>
    <t>15:17:00</t>
  </si>
  <si>
    <t>21/03/2009 15:17</t>
  </si>
  <si>
    <t>30/03/2009 15:40</t>
  </si>
  <si>
    <t>08/04/2009 16:00</t>
  </si>
  <si>
    <t>08/04/2009 16:40</t>
  </si>
  <si>
    <t>11/04/2009 14:50</t>
  </si>
  <si>
    <t>16:46:00</t>
  </si>
  <si>
    <t>12/04/2009 16:46</t>
  </si>
  <si>
    <t>17/04/2009 15:50</t>
  </si>
  <si>
    <t>19/05/2009 23:30</t>
  </si>
  <si>
    <t>11/06/2009 18:50</t>
  </si>
  <si>
    <t>11/06/2009 14:55</t>
  </si>
  <si>
    <t>12/06/2009 11:00</t>
  </si>
  <si>
    <t>19/06/2009 16:55</t>
  </si>
  <si>
    <t>20/06/2009 22:10</t>
  </si>
  <si>
    <t>21/06/2009 10:55</t>
  </si>
  <si>
    <t>22/06/2009 14:00</t>
  </si>
  <si>
    <t>13/07/2009 13:50</t>
  </si>
  <si>
    <t>23:20:00</t>
  </si>
  <si>
    <t>13/07/2009 23:20</t>
  </si>
  <si>
    <t>14/07/2009 13:00</t>
  </si>
  <si>
    <t>13:01:00</t>
  </si>
  <si>
    <t>14/07/2009 13:01</t>
  </si>
  <si>
    <t>17/07/2009 14:40</t>
  </si>
  <si>
    <t>19/07/2009 13:04</t>
  </si>
  <si>
    <t>24/07/2009 14:10</t>
  </si>
  <si>
    <t>27/07/2009 14:15</t>
  </si>
  <si>
    <t>13:35:00</t>
  </si>
  <si>
    <t>28/07/2009 13:35</t>
  </si>
  <si>
    <t>02/08/2009 18:55</t>
  </si>
  <si>
    <t>09/08/2009 13:00</t>
  </si>
  <si>
    <t>11/08/2009 12:40</t>
  </si>
  <si>
    <t>05:15:00</t>
  </si>
  <si>
    <t>16/08/2009 05:15</t>
  </si>
  <si>
    <t>20:27:00</t>
  </si>
  <si>
    <t>21/08/2009 20:27</t>
  </si>
  <si>
    <t>22/08/2009 11:25</t>
  </si>
  <si>
    <t>05:02:00</t>
  </si>
  <si>
    <t>23/08/2009 05:02</t>
  </si>
  <si>
    <t>24/08/2009 13:09</t>
  </si>
  <si>
    <t>24/08/2009 21:20</t>
  </si>
  <si>
    <t>25/08/2009 17:00</t>
  </si>
  <si>
    <t>26/08/2009 17:05</t>
  </si>
  <si>
    <t>11:20:00</t>
  </si>
  <si>
    <t>26/08/2009 11:20</t>
  </si>
  <si>
    <t>27/08/2009 14:59</t>
  </si>
  <si>
    <t>27/08/2009 14:05</t>
  </si>
  <si>
    <t>30/08/2009 16:30</t>
  </si>
  <si>
    <t>30/08/2009 16:35</t>
  </si>
  <si>
    <t>31/08/2009 13:55</t>
  </si>
  <si>
    <t>31/08/2009 14:10</t>
  </si>
  <si>
    <t>08:20:00</t>
  </si>
  <si>
    <t>01/09/2009 08:20</t>
  </si>
  <si>
    <t>04/09/2009 12:15</t>
  </si>
  <si>
    <t>20/09/2009 11:40</t>
  </si>
  <si>
    <t>21/09/2009 21:50</t>
  </si>
  <si>
    <t>23/09/2009 13:45</t>
  </si>
  <si>
    <t>00:12:00</t>
  </si>
  <si>
    <t>24/09/2009 00:12</t>
  </si>
  <si>
    <t>02/10/2009 13:20</t>
  </si>
  <si>
    <t>00:05:00</t>
  </si>
  <si>
    <t>03/10/2009 00:05</t>
  </si>
  <si>
    <t>03/10/2009 20:15</t>
  </si>
  <si>
    <t>07/10/2009 13:50</t>
  </si>
  <si>
    <t>10/10/2009 10:00</t>
  </si>
  <si>
    <t>10/10/2009 11:40</t>
  </si>
  <si>
    <t>10/10/2009 13:50</t>
  </si>
  <si>
    <t>10/10/2009 13:25</t>
  </si>
  <si>
    <t>11/10/2009 14:55</t>
  </si>
  <si>
    <t>13/10/2009 10:50</t>
  </si>
  <si>
    <t>13/10/2009 18:15</t>
  </si>
  <si>
    <t>15/10/2009 13:55</t>
  </si>
  <si>
    <t>09:55:00</t>
  </si>
  <si>
    <t>16/10/2009 09:55</t>
  </si>
  <si>
    <t>16/10/2009 17:00</t>
  </si>
  <si>
    <t>21/10/2009 16:55</t>
  </si>
  <si>
    <t>21/10/2009 17:00</t>
  </si>
  <si>
    <t>22/10/2009 10:20</t>
  </si>
  <si>
    <t>23/10/2009 14:25</t>
  </si>
  <si>
    <t>17/11/2009 12:00</t>
  </si>
  <si>
    <t>08:00:00</t>
  </si>
  <si>
    <t>18/11/2009 08:00</t>
  </si>
  <si>
    <t>21/11/2009 14:00</t>
  </si>
  <si>
    <t>26/11/2009 17:50</t>
  </si>
  <si>
    <t>27/11/2009 15:15</t>
  </si>
  <si>
    <t>16:08:00</t>
  </si>
  <si>
    <t>20/12/2009 16:08</t>
  </si>
  <si>
    <t>23/12/2009 17:30</t>
  </si>
  <si>
    <t>17:54:00</t>
  </si>
  <si>
    <t>24/12/2009 17:54</t>
  </si>
  <si>
    <t>01/01/2010 16:44</t>
  </si>
  <si>
    <t>01/01/2010 11:39</t>
  </si>
  <si>
    <t>03/01/2010 18:00</t>
  </si>
  <si>
    <t>08/01/2010 12:19</t>
  </si>
  <si>
    <t>08/01/2010 12:15</t>
  </si>
  <si>
    <t>10/01/2010 11:45</t>
  </si>
  <si>
    <t>02/02/2010 12:30</t>
  </si>
  <si>
    <t>04/02/2010 12:00</t>
  </si>
  <si>
    <t>10/02/2010 10:15</t>
  </si>
  <si>
    <t>15/02/2010 19:00</t>
  </si>
  <si>
    <t>19/02/2010 13:35</t>
  </si>
  <si>
    <t>19/02/2010 12:35</t>
  </si>
  <si>
    <t>20/02/2010 18:10</t>
  </si>
  <si>
    <t>20/02/2010 10:40</t>
  </si>
  <si>
    <t>22/02/2010 18:45</t>
  </si>
  <si>
    <t>25/02/2010 15:00</t>
  </si>
  <si>
    <t>27/02/2010 12:25</t>
  </si>
  <si>
    <t>27/02/2010 19:10</t>
  </si>
  <si>
    <t>02/03/2010 19:25</t>
  </si>
  <si>
    <t>02/03/2010 13:45</t>
  </si>
  <si>
    <t>03/03/2010 15:30</t>
  </si>
  <si>
    <t>06/03/2010 14:54</t>
  </si>
  <si>
    <t>06/03/2010 17:40</t>
  </si>
  <si>
    <t>12/03/2010 12:00</t>
  </si>
  <si>
    <t>29/03/2010 15:35</t>
  </si>
  <si>
    <t>20:05:00</t>
  </si>
  <si>
    <t>30/03/2010 20:05</t>
  </si>
  <si>
    <t>31/03/2010 11:39</t>
  </si>
  <si>
    <t>08/04/2010 12:15</t>
  </si>
  <si>
    <t>09/04/2010 13:30</t>
  </si>
  <si>
    <t>09/04/2010 13:40</t>
  </si>
  <si>
    <t>09/04/2010 14:00</t>
  </si>
  <si>
    <t>11/04/2010 13:20</t>
  </si>
  <si>
    <t>13/04/2010 17:40</t>
  </si>
  <si>
    <t>13/04/2010 12:05</t>
  </si>
  <si>
    <t>17/04/2010 14:15</t>
  </si>
  <si>
    <t>24/04/2010 15:10</t>
  </si>
  <si>
    <t>24/04/2010 14:30</t>
  </si>
  <si>
    <t>25/04/2010 15:20</t>
  </si>
  <si>
    <t>21:10:00</t>
  </si>
  <si>
    <t>26/04/2010 21:10</t>
  </si>
  <si>
    <t>26/04/2010 09:55</t>
  </si>
  <si>
    <t>01:00:00</t>
  </si>
  <si>
    <t>27/04/2010 01:00</t>
  </si>
  <si>
    <t>28/04/2010 14:54</t>
  </si>
  <si>
    <t>29/04/2010 14:25</t>
  </si>
  <si>
    <t>30/04/2010 14:35</t>
  </si>
  <si>
    <t>08/05/2010 17:05</t>
  </si>
  <si>
    <t>20:45:00</t>
  </si>
  <si>
    <t>16/05/2010 20:45</t>
  </si>
  <si>
    <t>16:18:00</t>
  </si>
  <si>
    <t>16/05/2010 16:18</t>
  </si>
  <si>
    <t>23/05/2010 12:15</t>
  </si>
  <si>
    <t>09:25:00</t>
  </si>
  <si>
    <t>28/05/2010 09:25</t>
  </si>
  <si>
    <t>11/06/2010 21:40</t>
  </si>
  <si>
    <t>12/06/2010 10:30</t>
  </si>
  <si>
    <t>13/06/2010 18:30</t>
  </si>
  <si>
    <t>14/06/2010 16:45</t>
  </si>
  <si>
    <t>13:11:00</t>
  </si>
  <si>
    <t>15/06/2010 13:11</t>
  </si>
  <si>
    <t>16/06/2010 11:45</t>
  </si>
  <si>
    <t>03:05:00</t>
  </si>
  <si>
    <t>17/06/2010 03:05</t>
  </si>
  <si>
    <t>15:25:00</t>
  </si>
  <si>
    <t>18/06/2010 15:25</t>
  </si>
  <si>
    <t>23/06/2010 16:00</t>
  </si>
  <si>
    <t>14:43:00</t>
  </si>
  <si>
    <t>06/07/2010 14:43</t>
  </si>
  <si>
    <t>07/07/2010 18:30</t>
  </si>
  <si>
    <t>07/07/2010 18:44</t>
  </si>
  <si>
    <t>11/07/2010 13:40</t>
  </si>
  <si>
    <t>11/07/2010 15:55</t>
  </si>
  <si>
    <t>15/07/2010 15:20</t>
  </si>
  <si>
    <t>16/07/2010 20:30</t>
  </si>
  <si>
    <t>16/07/2010 13:15</t>
  </si>
  <si>
    <t>17/07/2010 17:00</t>
  </si>
  <si>
    <t>17/07/2010 10:44</t>
  </si>
  <si>
    <t>17/07/2010 16:00</t>
  </si>
  <si>
    <t>19/07/2010 17:40</t>
  </si>
  <si>
    <t>19/07/2010 18:00</t>
  </si>
  <si>
    <t>19/07/2010 17:05</t>
  </si>
  <si>
    <t>19/07/2010 16:45</t>
  </si>
  <si>
    <t>19/07/2010 14:40</t>
  </si>
  <si>
    <t>23/07/2010 12:20</t>
  </si>
  <si>
    <t>07:00:00</t>
  </si>
  <si>
    <t>23/07/2010 07:00</t>
  </si>
  <si>
    <t>22:40:00</t>
  </si>
  <si>
    <t>25/07/2010 22:40</t>
  </si>
  <si>
    <t>26/07/2010 00:05</t>
  </si>
  <si>
    <t>21:05:00</t>
  </si>
  <si>
    <t>29/07/2010 21:05</t>
  </si>
  <si>
    <t>30/07/2010 22:00</t>
  </si>
  <si>
    <t>31/07/2010 16:04</t>
  </si>
  <si>
    <t>05/08/2010 14:55</t>
  </si>
  <si>
    <t>05/08/2010 15:30</t>
  </si>
  <si>
    <t>03:25:00</t>
  </si>
  <si>
    <t>10/08/2010 03:25</t>
  </si>
  <si>
    <t>12/08/2010 12:15</t>
  </si>
  <si>
    <t>14/08/2010 13:00</t>
  </si>
  <si>
    <t>03:29:00</t>
  </si>
  <si>
    <t>15/08/2010 03:29</t>
  </si>
  <si>
    <t>16/08/2010 21:59</t>
  </si>
  <si>
    <t>01:20:00</t>
  </si>
  <si>
    <t>18/08/2010 01:20</t>
  </si>
  <si>
    <t>18/08/2010 11:45</t>
  </si>
  <si>
    <t>19/08/2010 11:40</t>
  </si>
  <si>
    <t>19/08/2010 21:05</t>
  </si>
  <si>
    <t>03:36:00</t>
  </si>
  <si>
    <t>20/08/2010 03:36</t>
  </si>
  <si>
    <t>19:05:00</t>
  </si>
  <si>
    <t>21/08/2010 19:05</t>
  </si>
  <si>
    <t>21/08/2010 11:20</t>
  </si>
  <si>
    <t>21/08/2010 21:10</t>
  </si>
  <si>
    <t>21/08/2010 20:20</t>
  </si>
  <si>
    <t>21:28:00</t>
  </si>
  <si>
    <t>21/08/2010 21:28</t>
  </si>
  <si>
    <t>22/08/2010 16:35</t>
  </si>
  <si>
    <t>05:20:00</t>
  </si>
  <si>
    <t>22/08/2010 05:20</t>
  </si>
  <si>
    <t>23/08/2010 09:05</t>
  </si>
  <si>
    <t>23/08/2010 00:29</t>
  </si>
  <si>
    <t>25/08/2010 17:00</t>
  </si>
  <si>
    <t>26/08/2010 10:45</t>
  </si>
  <si>
    <t>27/08/2010 18:10</t>
  </si>
  <si>
    <t>30/08/2010 15:35</t>
  </si>
  <si>
    <t>20:10:00</t>
  </si>
  <si>
    <t>31/08/2010 20:10</t>
  </si>
  <si>
    <t>31/08/2010 20:45</t>
  </si>
  <si>
    <t>21:35:00</t>
  </si>
  <si>
    <t>31/08/2010 21:35</t>
  </si>
  <si>
    <t>01/09/2010 20:45</t>
  </si>
  <si>
    <t>19:40:00</t>
  </si>
  <si>
    <t>01/09/2010 19:40</t>
  </si>
  <si>
    <t>01/09/2010 17:05</t>
  </si>
  <si>
    <t>01/09/2010 03:44</t>
  </si>
  <si>
    <t>03/09/2010 18:20</t>
  </si>
  <si>
    <t>03/09/2010 13:00</t>
  </si>
  <si>
    <t>05/09/2010 21:50</t>
  </si>
  <si>
    <t>07/09/2010 11:45</t>
  </si>
  <si>
    <t>09/09/2010 12:15</t>
  </si>
  <si>
    <t>11:52:00</t>
  </si>
  <si>
    <t>10/09/2010 11:52</t>
  </si>
  <si>
    <t>11/09/2010 13:00</t>
  </si>
  <si>
    <t>12/09/2010 15:15</t>
  </si>
  <si>
    <t>13/09/2010 20:30</t>
  </si>
  <si>
    <t>15/09/2010 13:55</t>
  </si>
  <si>
    <t>20/09/2010 12:15</t>
  </si>
  <si>
    <t>20/09/2010 12:00</t>
  </si>
  <si>
    <t>22/09/2010 17:00</t>
  </si>
  <si>
    <t>24/09/2010 10:15</t>
  </si>
  <si>
    <t>24/09/2010 10:50</t>
  </si>
  <si>
    <t>25/09/2010 22:45</t>
  </si>
  <si>
    <t>25/09/2010 22:15</t>
  </si>
  <si>
    <t>25/09/2010 20:20</t>
  </si>
  <si>
    <t>26/09/2010 17:40</t>
  </si>
  <si>
    <t>29/09/2010 06:00</t>
  </si>
  <si>
    <t>05:50:00</t>
  </si>
  <si>
    <t>29/09/2010 05:50</t>
  </si>
  <si>
    <t>06:10:00</t>
  </si>
  <si>
    <t>29/09/2010 06:10</t>
  </si>
  <si>
    <t>00:25:00</t>
  </si>
  <si>
    <t>29/09/2010 00:25</t>
  </si>
  <si>
    <t>29/09/2010 10:15</t>
  </si>
  <si>
    <t>29/09/2010 14:04</t>
  </si>
  <si>
    <t>30/09/2010 14:44</t>
  </si>
  <si>
    <t>01/10/2010 14:45</t>
  </si>
  <si>
    <t>01/10/2010 16:31</t>
  </si>
  <si>
    <t>02/10/2010 14:10</t>
  </si>
  <si>
    <t>07/10/2010 09:30</t>
  </si>
  <si>
    <t>14:42:00</t>
  </si>
  <si>
    <t>07/10/2010 14:42</t>
  </si>
  <si>
    <t>09/10/2010 13:10</t>
  </si>
  <si>
    <t>10/10/2010 11:50</t>
  </si>
  <si>
    <t>13:02:00</t>
  </si>
  <si>
    <t>11/10/2010 13:02</t>
  </si>
  <si>
    <t>11/10/2010 15:50</t>
  </si>
  <si>
    <t>12/10/2010 16:35</t>
  </si>
  <si>
    <t>12/10/2010 21:45</t>
  </si>
  <si>
    <t>13/10/2010 19:25</t>
  </si>
  <si>
    <t>15:11:00</t>
  </si>
  <si>
    <t>13/10/2010 15:11</t>
  </si>
  <si>
    <t>13/10/2010 17:00</t>
  </si>
  <si>
    <t>14/10/2010 14:00</t>
  </si>
  <si>
    <t>25/10/2010 18:55</t>
  </si>
  <si>
    <t>25/10/2010 23:00</t>
  </si>
  <si>
    <t>29/10/2010 17:40</t>
  </si>
  <si>
    <t>04/11/2010 16:10</t>
  </si>
  <si>
    <t>14:53:00</t>
  </si>
  <si>
    <t>08/11/2010 14:53</t>
  </si>
  <si>
    <t>02:05:00</t>
  </si>
  <si>
    <t>09/11/2010 02:05</t>
  </si>
  <si>
    <t>09/11/2010 19:30</t>
  </si>
  <si>
    <t>22:20:00</t>
  </si>
  <si>
    <t>09/11/2010 22:20</t>
  </si>
  <si>
    <t>10/11/2010 19:14</t>
  </si>
  <si>
    <t>10/11/2010 14:45</t>
  </si>
  <si>
    <t>10/11/2010 15:20</t>
  </si>
  <si>
    <t>10/11/2010 21:55</t>
  </si>
  <si>
    <t>10/11/2010 16:10</t>
  </si>
  <si>
    <t>10/11/2010 11:30</t>
  </si>
  <si>
    <t>11:15:00</t>
  </si>
  <si>
    <t>11/11/2010 11:15</t>
  </si>
  <si>
    <t>12/11/2010 14:00</t>
  </si>
  <si>
    <t>22/11/2010 18:30</t>
  </si>
  <si>
    <t>16:48:00</t>
  </si>
  <si>
    <t>24/11/2010 16:48</t>
  </si>
  <si>
    <t>08:17:00</t>
  </si>
  <si>
    <t>24/11/2010 08:17</t>
  </si>
  <si>
    <t>27/11/2010 12:20</t>
  </si>
  <si>
    <t>28/11/2010 18:50</t>
  </si>
  <si>
    <t>28/11/2010 13:15</t>
  </si>
  <si>
    <t>28/11/2010 11:00</t>
  </si>
  <si>
    <t>29/11/2010 17:24</t>
  </si>
  <si>
    <t>23:11:00</t>
  </si>
  <si>
    <t>29/11/2010 23:11</t>
  </si>
  <si>
    <t>12:27:00</t>
  </si>
  <si>
    <t>01/12/2010 12:27</t>
  </si>
  <si>
    <t>01/12/2010 13:40</t>
  </si>
  <si>
    <t>11:23:00</t>
  </si>
  <si>
    <t>02/12/2010 11:23</t>
  </si>
  <si>
    <t>02/12/2010 09:40</t>
  </si>
  <si>
    <t>02/12/2010 10:15</t>
  </si>
  <si>
    <t>05:55:00</t>
  </si>
  <si>
    <t>05/12/2010 05:55</t>
  </si>
  <si>
    <t>08/12/2010 12:14</t>
  </si>
  <si>
    <t>18:40:00</t>
  </si>
  <si>
    <t>21/12/2010 18:40</t>
  </si>
  <si>
    <t>21/12/2010 12:20</t>
  </si>
  <si>
    <t>25/12/2010 16:15</t>
  </si>
  <si>
    <t>15:28:00</t>
  </si>
  <si>
    <t>27/12/2010 15:28</t>
  </si>
  <si>
    <t>16:44</t>
  </si>
  <si>
    <t>07/02/2011 16:44</t>
  </si>
  <si>
    <t>07/02/2011 14:20</t>
  </si>
  <si>
    <t>15:40</t>
  </si>
  <si>
    <t>08/02/2011 15:40</t>
  </si>
  <si>
    <t>17:35</t>
  </si>
  <si>
    <t>09/02/2011 17:35</t>
  </si>
  <si>
    <t>13/02/2011 14:40</t>
  </si>
  <si>
    <t>18:16</t>
  </si>
  <si>
    <t>28/02/2011 18:16</t>
  </si>
  <si>
    <t>19:10</t>
  </si>
  <si>
    <t>11/03/2011 19:10</t>
  </si>
  <si>
    <t>19:14</t>
  </si>
  <si>
    <t>11/03/2011 19:14</t>
  </si>
  <si>
    <t>16:10</t>
  </si>
  <si>
    <t>12/03/2011 16:10</t>
  </si>
  <si>
    <t>18:48</t>
  </si>
  <si>
    <t>12/03/2011 18:48</t>
  </si>
  <si>
    <t>12:15</t>
  </si>
  <si>
    <t>25/03/2011 12:15</t>
  </si>
  <si>
    <t>25/03/2011 17:40</t>
  </si>
  <si>
    <t>10:54</t>
  </si>
  <si>
    <t>27/03/2011 10:54</t>
  </si>
  <si>
    <t>09:45</t>
  </si>
  <si>
    <t>27/03/2011 09:45</t>
  </si>
  <si>
    <t>07/04/2011 14:05</t>
  </si>
  <si>
    <t>14/04/2011 15:25</t>
  </si>
  <si>
    <t>11:25</t>
  </si>
  <si>
    <t>17/04/2011 11:25</t>
  </si>
  <si>
    <t>24/04/2011 19:39</t>
  </si>
  <si>
    <t>09/05/2011 16:00</t>
  </si>
  <si>
    <t>17:12</t>
  </si>
  <si>
    <t>23/05/2011 17:12</t>
  </si>
  <si>
    <t>24/05/2011 18:35</t>
  </si>
  <si>
    <t>14:15</t>
  </si>
  <si>
    <t>17/06/2011 14:15</t>
  </si>
  <si>
    <t>14:45</t>
  </si>
  <si>
    <t>23/06/2011 14:45</t>
  </si>
  <si>
    <t>13:19</t>
  </si>
  <si>
    <t>24/06/2011 13:19</t>
  </si>
  <si>
    <t>19:50</t>
  </si>
  <si>
    <t>25/06/2011 19:50</t>
  </si>
  <si>
    <t>10:40</t>
  </si>
  <si>
    <t>26/06/2011 10:40</t>
  </si>
  <si>
    <t>29/06/2011 10:30</t>
  </si>
  <si>
    <t>03/07/2011 18:55</t>
  </si>
  <si>
    <t>03/07/2011 17:00</t>
  </si>
  <si>
    <t>10:05</t>
  </si>
  <si>
    <t>07/07/2011 10:05</t>
  </si>
  <si>
    <t>16:20</t>
  </si>
  <si>
    <t>09/07/2011 16:20</t>
  </si>
  <si>
    <t>17:30</t>
  </si>
  <si>
    <t>10/07/2011 17:30</t>
  </si>
  <si>
    <t>11:20</t>
  </si>
  <si>
    <t>11/07/2011 11:20</t>
  </si>
  <si>
    <t>17:20</t>
  </si>
  <si>
    <t>12/07/2011 17:20</t>
  </si>
  <si>
    <t>12/07/2011 09:45</t>
  </si>
  <si>
    <t>13/07/2011 18:05</t>
  </si>
  <si>
    <t>00:40</t>
  </si>
  <si>
    <t>13/07/2011 00:40</t>
  </si>
  <si>
    <t>13:45</t>
  </si>
  <si>
    <t>13/07/2011 13:45</t>
  </si>
  <si>
    <t>14/07/2011 11:20</t>
  </si>
  <si>
    <t>11:09</t>
  </si>
  <si>
    <t>15/07/2011 11:09</t>
  </si>
  <si>
    <t>16/07/2011 13:50</t>
  </si>
  <si>
    <t>09:55</t>
  </si>
  <si>
    <t>17/07/2011 09:55</t>
  </si>
  <si>
    <t>20:40</t>
  </si>
  <si>
    <t>17/07/2011 20:40</t>
  </si>
  <si>
    <t>18/07/2011 16:10</t>
  </si>
  <si>
    <t>19/07/2011 15:30</t>
  </si>
  <si>
    <t>23:35</t>
  </si>
  <si>
    <t>19/07/2011 23:35</t>
  </si>
  <si>
    <t>19/07/2011 10:20</t>
  </si>
  <si>
    <t>13:34</t>
  </si>
  <si>
    <t>20/07/2011 13:34</t>
  </si>
  <si>
    <t>20/07/2011 18:40</t>
  </si>
  <si>
    <t>19:20</t>
  </si>
  <si>
    <t>22/07/2011 19:20</t>
  </si>
  <si>
    <t>22/07/2011 17:10</t>
  </si>
  <si>
    <t>03:20</t>
  </si>
  <si>
    <t>24/07/2011 03:20</t>
  </si>
  <si>
    <t>24/07/2011 10:30</t>
  </si>
  <si>
    <t>01:59</t>
  </si>
  <si>
    <t>27/07/2011 01:59</t>
  </si>
  <si>
    <t>21:16</t>
  </si>
  <si>
    <t>28/07/2011 21:16</t>
  </si>
  <si>
    <t>15:45</t>
  </si>
  <si>
    <t>29/07/2011 15:45</t>
  </si>
  <si>
    <t>29/07/2011 17:10</t>
  </si>
  <si>
    <t>30/07/2011 15:50</t>
  </si>
  <si>
    <t>12:37</t>
  </si>
  <si>
    <t>01/08/2011 12:37</t>
  </si>
  <si>
    <t>02/08/2011 21:00</t>
  </si>
  <si>
    <t>04/08/2011 14:05</t>
  </si>
  <si>
    <t>16:31</t>
  </si>
  <si>
    <t>04/08/2011 16:31</t>
  </si>
  <si>
    <t>16:50</t>
  </si>
  <si>
    <t>05/08/2011 16:50</t>
  </si>
  <si>
    <t>07/08/2011 15:30</t>
  </si>
  <si>
    <t>17:02</t>
  </si>
  <si>
    <t>08/08/2011 17:02</t>
  </si>
  <si>
    <t>15:03</t>
  </si>
  <si>
    <t>10/08/2011 15:03</t>
  </si>
  <si>
    <t>11/08/2011 10:20</t>
  </si>
  <si>
    <t>13/08/2011 15:15</t>
  </si>
  <si>
    <t>00:30</t>
  </si>
  <si>
    <t>13/08/2011 00:30</t>
  </si>
  <si>
    <t>16:14</t>
  </si>
  <si>
    <t>14/08/2011 16:14</t>
  </si>
  <si>
    <t>21:06</t>
  </si>
  <si>
    <t>16/08/2011 21:06</t>
  </si>
  <si>
    <t>16/08/2011 15:30</t>
  </si>
  <si>
    <t>18/08/2011 15:05</t>
  </si>
  <si>
    <t>11:30</t>
  </si>
  <si>
    <t>21/08/2011 11:30</t>
  </si>
  <si>
    <t>21/08/2011 13:30</t>
  </si>
  <si>
    <t>17:43</t>
  </si>
  <si>
    <t>21/08/2011 17:43</t>
  </si>
  <si>
    <t>13:25</t>
  </si>
  <si>
    <t>21/08/2011 13:25</t>
  </si>
  <si>
    <t>14:00</t>
  </si>
  <si>
    <t>22/08/2011 14:00</t>
  </si>
  <si>
    <t>25/08/2011 17:35</t>
  </si>
  <si>
    <t>05:00</t>
  </si>
  <si>
    <t>25/08/2011 05:00</t>
  </si>
  <si>
    <t>31/08/2011 15:45</t>
  </si>
  <si>
    <t>31/08/2011 16:30</t>
  </si>
  <si>
    <t>01/09/2011 18:05</t>
  </si>
  <si>
    <t>02/09/2011 19:14</t>
  </si>
  <si>
    <t>10:15</t>
  </si>
  <si>
    <t>06/09/2011 10:15</t>
  </si>
  <si>
    <t>22:00</t>
  </si>
  <si>
    <t>07/09/2011 22:00</t>
  </si>
  <si>
    <t>15:08</t>
  </si>
  <si>
    <t>07/09/2011 15:08</t>
  </si>
  <si>
    <t>10/09/2011 13:50</t>
  </si>
  <si>
    <t>10/09/2011 13:55</t>
  </si>
  <si>
    <t>13:40</t>
  </si>
  <si>
    <t>10/09/2011 13:40</t>
  </si>
  <si>
    <t>22:15</t>
  </si>
  <si>
    <t>11/09/2011 22:15</t>
  </si>
  <si>
    <t>11/09/2011 12:40</t>
  </si>
  <si>
    <t>16:25</t>
  </si>
  <si>
    <t>15/09/2011 16:25</t>
  </si>
  <si>
    <t>16/09/2011 12:45</t>
  </si>
  <si>
    <t>18/09/2011 12:45</t>
  </si>
  <si>
    <t>18/09/2011 09:30</t>
  </si>
  <si>
    <t>19/09/2011 14:45</t>
  </si>
  <si>
    <t>19/09/2011 22:00</t>
  </si>
  <si>
    <t>17:50</t>
  </si>
  <si>
    <t>24/09/2011 17:50</t>
  </si>
  <si>
    <t>24/09/2011 11:50</t>
  </si>
  <si>
    <t>20:10</t>
  </si>
  <si>
    <t>24/09/2011 20:10</t>
  </si>
  <si>
    <t>25/09/2011 09:45</t>
  </si>
  <si>
    <t>26/09/2011 15:50</t>
  </si>
  <si>
    <t>07:25</t>
  </si>
  <si>
    <t>26/09/2011 07:25</t>
  </si>
  <si>
    <t>11:10</t>
  </si>
  <si>
    <t>27/09/2011 11:10</t>
  </si>
  <si>
    <t>28/09/2011 22:00</t>
  </si>
  <si>
    <t>29/09/2011 12:30</t>
  </si>
  <si>
    <t>29/09/2011 15:00</t>
  </si>
  <si>
    <t>21:20</t>
  </si>
  <si>
    <t>30/09/2011 21:20</t>
  </si>
  <si>
    <t>30/09/2011 11:10</t>
  </si>
  <si>
    <t>19:15</t>
  </si>
  <si>
    <t>06/10/2011 19:15</t>
  </si>
  <si>
    <t>20:20</t>
  </si>
  <si>
    <t>06/10/2011 20:20</t>
  </si>
  <si>
    <t>06/10/2011 23:50</t>
  </si>
  <si>
    <t>12:49</t>
  </si>
  <si>
    <t>07/10/2011 12:49</t>
  </si>
  <si>
    <t>20:50</t>
  </si>
  <si>
    <t>07/10/2011 20:50</t>
  </si>
  <si>
    <t>08/10/2011 15:30</t>
  </si>
  <si>
    <t>11:45</t>
  </si>
  <si>
    <t>13/10/2011 11:45</t>
  </si>
  <si>
    <t>14/10/2011 12:35</t>
  </si>
  <si>
    <t>18/10/2011 19:50</t>
  </si>
  <si>
    <t>19/10/2011 11:20</t>
  </si>
  <si>
    <t>19/10/2011 14:25</t>
  </si>
  <si>
    <t>16:13</t>
  </si>
  <si>
    <t>21/10/2011 16:13</t>
  </si>
  <si>
    <t>24/10/2011 19:50</t>
  </si>
  <si>
    <t>26/10/2011 23:50</t>
  </si>
  <si>
    <t>29/10/2011 12:30</t>
  </si>
  <si>
    <t>18:20</t>
  </si>
  <si>
    <t>30/10/2011 18:20</t>
  </si>
  <si>
    <t>30/10/2011 12:35</t>
  </si>
  <si>
    <t>10:35</t>
  </si>
  <si>
    <t>30/10/2011 10:35</t>
  </si>
  <si>
    <t>30/10/2011 14:00</t>
  </si>
  <si>
    <t>31/10/2011 19:15</t>
  </si>
  <si>
    <t>18:09</t>
  </si>
  <si>
    <t>31/10/2011 18:09</t>
  </si>
  <si>
    <t>02/11/2011 17:30</t>
  </si>
  <si>
    <t>03/11/2011 15:50</t>
  </si>
  <si>
    <t>04/11/2011 17:20</t>
  </si>
  <si>
    <t>14:35</t>
  </si>
  <si>
    <t>04/11/2011 14:35</t>
  </si>
  <si>
    <t>05/11/2011 10:35</t>
  </si>
  <si>
    <t>08/11/2011 15:40</t>
  </si>
  <si>
    <t>11:33</t>
  </si>
  <si>
    <t>10/11/2011 11:33</t>
  </si>
  <si>
    <t>16:38</t>
  </si>
  <si>
    <t>12/11/2011 16:38</t>
  </si>
  <si>
    <t>13/11/2011 12:00</t>
  </si>
  <si>
    <t>14/11/2011 13:45</t>
  </si>
  <si>
    <t>14/11/2011 18:10</t>
  </si>
  <si>
    <t>08:40</t>
  </si>
  <si>
    <t>14/11/2011 08:40</t>
  </si>
  <si>
    <t>13:15</t>
  </si>
  <si>
    <t>15/11/2011 13:15</t>
  </si>
  <si>
    <t>12:55</t>
  </si>
  <si>
    <t>16/11/2011 12:55</t>
  </si>
  <si>
    <t>09:54</t>
  </si>
  <si>
    <t>18/11/2011 09:54</t>
  </si>
  <si>
    <t>23:15</t>
  </si>
  <si>
    <t>19/11/2011 23:15</t>
  </si>
  <si>
    <t>20/11/2011 12:50</t>
  </si>
  <si>
    <t>17:39</t>
  </si>
  <si>
    <t>22/11/2011 17:39</t>
  </si>
  <si>
    <t>23/11/2011 17:45</t>
  </si>
  <si>
    <t>24/11/2011 23:35</t>
  </si>
  <si>
    <t>00:25</t>
  </si>
  <si>
    <t>26/11/2011 00:25</t>
  </si>
  <si>
    <t>27/11/2011 17:20</t>
  </si>
  <si>
    <t>11:55</t>
  </si>
  <si>
    <t>28/11/2011 11:55</t>
  </si>
  <si>
    <t>10:25</t>
  </si>
  <si>
    <t>29/11/2011 10:25</t>
  </si>
  <si>
    <t>16:45</t>
  </si>
  <si>
    <t>04/12/2011 16:45</t>
  </si>
  <si>
    <t>04/12/2011 14:45</t>
  </si>
  <si>
    <t>14:50</t>
  </si>
  <si>
    <t>04/12/2011 14:50</t>
  </si>
  <si>
    <t>08:29</t>
  </si>
  <si>
    <t>07/12/2011 08:29</t>
  </si>
  <si>
    <t>15/12/2011 17:12</t>
  </si>
  <si>
    <t>10:00</t>
  </si>
  <si>
    <t>16/12/2011 10:00</t>
  </si>
  <si>
    <t>17/12/2011 12:00</t>
  </si>
  <si>
    <t>10:52</t>
  </si>
  <si>
    <t>19/12/2011 10:52</t>
  </si>
  <si>
    <t>29/12/2011 15:45</t>
  </si>
  <si>
    <t>03/01/2012 14:20</t>
  </si>
  <si>
    <t>03/01/2012 17:45</t>
  </si>
  <si>
    <t>16:39</t>
  </si>
  <si>
    <t>14/01/2012 16:39</t>
  </si>
  <si>
    <t>16:15</t>
  </si>
  <si>
    <t>20/01/2012 16:15</t>
  </si>
  <si>
    <t>16:59</t>
  </si>
  <si>
    <t>03/02/2012 16:59</t>
  </si>
  <si>
    <t>23:05</t>
  </si>
  <si>
    <t>05/02/2012 23:05</t>
  </si>
  <si>
    <t>13:27</t>
  </si>
  <si>
    <t>08/02/2012 13:27</t>
  </si>
  <si>
    <t>19/02/2012 15:00</t>
  </si>
  <si>
    <t>29/02/2012 12:10</t>
  </si>
  <si>
    <t>20:00</t>
  </si>
  <si>
    <t>03/03/2012 20:00</t>
  </si>
  <si>
    <t>05/03/2012 10:55</t>
  </si>
  <si>
    <t>10/03/2012 18:20</t>
  </si>
  <si>
    <t>16/03/2012 12:30</t>
  </si>
  <si>
    <t>14:47</t>
  </si>
  <si>
    <t>19/03/2012 14:47</t>
  </si>
  <si>
    <t>21/03/2012 14:35</t>
  </si>
  <si>
    <t>21/03/2012 15:10</t>
  </si>
  <si>
    <t>21/03/2012 12:25</t>
  </si>
  <si>
    <t>12:44</t>
  </si>
  <si>
    <t>22/03/2012 12:44</t>
  </si>
  <si>
    <t>24/03/2012 13:40</t>
  </si>
  <si>
    <t>24/03/2012 15:15</t>
  </si>
  <si>
    <t>15:59</t>
  </si>
  <si>
    <t>25/03/2012 15:59</t>
  </si>
  <si>
    <t>17:01</t>
  </si>
  <si>
    <t>30/03/2012 17:01</t>
  </si>
  <si>
    <t>01/04/2012 14:30</t>
  </si>
  <si>
    <t>11:54</t>
  </si>
  <si>
    <t>02/04/2012 11:54</t>
  </si>
  <si>
    <t>15:04</t>
  </si>
  <si>
    <t>02/04/2012 15:04</t>
  </si>
  <si>
    <t>19:00</t>
  </si>
  <si>
    <t>04/04/2012 19:00</t>
  </si>
  <si>
    <t>11:28</t>
  </si>
  <si>
    <t>05/04/2012 11:28</t>
  </si>
  <si>
    <t>22:30</t>
  </si>
  <si>
    <t>06/04/2012 22:30</t>
  </si>
  <si>
    <t>07/04/2012 14:35</t>
  </si>
  <si>
    <t>08/04/2012 17:10</t>
  </si>
  <si>
    <t>08/04/2012 17:20</t>
  </si>
  <si>
    <t>13/04/2012 10:54</t>
  </si>
  <si>
    <t>01:35</t>
  </si>
  <si>
    <t>18/04/2012 01:35</t>
  </si>
  <si>
    <t>16:09</t>
  </si>
  <si>
    <t>18/04/2012 16:09</t>
  </si>
  <si>
    <t>21/04/2012 09:50</t>
  </si>
  <si>
    <t>21/04/2012 16:35</t>
  </si>
  <si>
    <t>15:54</t>
  </si>
  <si>
    <t>23/04/2012 15:54</t>
  </si>
  <si>
    <t>25/04/2012 11:50</t>
  </si>
  <si>
    <t>19:28</t>
  </si>
  <si>
    <t>27/04/2012 19:28</t>
  </si>
  <si>
    <t>07:44</t>
  </si>
  <si>
    <t>29/04/2012 07:44</t>
  </si>
  <si>
    <t>30/04/2012 12:10</t>
  </si>
  <si>
    <t>30/04/2012 14:20</t>
  </si>
  <si>
    <t>16:04</t>
  </si>
  <si>
    <t>02/05/2012 16:04</t>
  </si>
  <si>
    <t>08:10</t>
  </si>
  <si>
    <t>04/05/2012 08:10</t>
  </si>
  <si>
    <t>12/05/2012 17:45</t>
  </si>
  <si>
    <t>17:47</t>
  </si>
  <si>
    <t>17/05/2012 17:47</t>
  </si>
  <si>
    <t>20/05/2012 14:30</t>
  </si>
  <si>
    <t>23/05/2012 14:15</t>
  </si>
  <si>
    <t>21:05</t>
  </si>
  <si>
    <t>03/06/2012 21:05</t>
  </si>
  <si>
    <t>21:03</t>
  </si>
  <si>
    <t>08/06/2012 21:03</t>
  </si>
  <si>
    <t>05:10</t>
  </si>
  <si>
    <t>08/06/2012 05:10</t>
  </si>
  <si>
    <t>15/06/2012 14:15</t>
  </si>
  <si>
    <t>16/06/2012 09:45</t>
  </si>
  <si>
    <t>16/06/2012 09:30</t>
  </si>
  <si>
    <t>04:40</t>
  </si>
  <si>
    <t>17/06/2012 04:40</t>
  </si>
  <si>
    <t>13:29</t>
  </si>
  <si>
    <t>18/06/2012 13:29</t>
  </si>
  <si>
    <t>11:40</t>
  </si>
  <si>
    <t>21/06/2012 11:40</t>
  </si>
  <si>
    <t>11:46</t>
  </si>
  <si>
    <t>23/06/2012 11:46</t>
  </si>
  <si>
    <t>24/06/2012 12:25</t>
  </si>
  <si>
    <t>11:24</t>
  </si>
  <si>
    <t>01/07/2012 11:24</t>
  </si>
  <si>
    <t>11:44</t>
  </si>
  <si>
    <t>02/07/2012 11:44</t>
  </si>
  <si>
    <t>17:15</t>
  </si>
  <si>
    <t>04/07/2012 17:15</t>
  </si>
  <si>
    <t>09:41</t>
  </si>
  <si>
    <t>14/07/2012 09:41</t>
  </si>
  <si>
    <t>22:16</t>
  </si>
  <si>
    <t>14/07/2012 22:16</t>
  </si>
  <si>
    <t>15/07/2012 07:40</t>
  </si>
  <si>
    <t>20:30</t>
  </si>
  <si>
    <t>17/07/2012 20:30</t>
  </si>
  <si>
    <t>11:56</t>
  </si>
  <si>
    <t>18/07/2012 11:56</t>
  </si>
  <si>
    <t>18/07/2012 19:00</t>
  </si>
  <si>
    <t>19/07/2012 17:50</t>
  </si>
  <si>
    <t>17:49</t>
  </si>
  <si>
    <t>19/07/2012 17:49</t>
  </si>
  <si>
    <t>01:12</t>
  </si>
  <si>
    <t>21/07/2012 01:12</t>
  </si>
  <si>
    <t>20:14</t>
  </si>
  <si>
    <t>22/07/2012 20:14</t>
  </si>
  <si>
    <t>22/07/2012 00:30</t>
  </si>
  <si>
    <t>15:48</t>
  </si>
  <si>
    <t>22/07/2012 15:48</t>
  </si>
  <si>
    <t>22/07/2012 11:33</t>
  </si>
  <si>
    <t>23/07/2012 23:50</t>
  </si>
  <si>
    <t>11:35</t>
  </si>
  <si>
    <t>23/07/2012 11:35</t>
  </si>
  <si>
    <t>13:24</t>
  </si>
  <si>
    <t>23/07/2012 13:24</t>
  </si>
  <si>
    <t>10:22</t>
  </si>
  <si>
    <t>24/07/2012 10:22</t>
  </si>
  <si>
    <t>25/07/2012 14:25</t>
  </si>
  <si>
    <t>13:39</t>
  </si>
  <si>
    <t>28/07/2012 13:39</t>
  </si>
  <si>
    <t>29/07/2012 17:35</t>
  </si>
  <si>
    <t>00:12</t>
  </si>
  <si>
    <t>30/07/2012 00:12</t>
  </si>
  <si>
    <t>30/07/2012 11:20</t>
  </si>
  <si>
    <t>00:20</t>
  </si>
  <si>
    <t>30/07/2012 00:20</t>
  </si>
  <si>
    <t>12:58</t>
  </si>
  <si>
    <t>30/07/2012 12:58</t>
  </si>
  <si>
    <t>31/07/2012 17:20</t>
  </si>
  <si>
    <t>01/08/2012 14:20</t>
  </si>
  <si>
    <t>01/08/2012 15:15</t>
  </si>
  <si>
    <t>01/08/2012 16:25</t>
  </si>
  <si>
    <t>01/08/2012 17:00</t>
  </si>
  <si>
    <t>01/08/2012 17:20</t>
  </si>
  <si>
    <t>01/08/2012 17:40</t>
  </si>
  <si>
    <t>01/08/2012 18:30</t>
  </si>
  <si>
    <t>03:15</t>
  </si>
  <si>
    <t>02/08/2012 03:15</t>
  </si>
  <si>
    <t>03/08/2012 12:00</t>
  </si>
  <si>
    <t>03/08/2012 17:15</t>
  </si>
  <si>
    <t>04/08/2012 15:15</t>
  </si>
  <si>
    <t>13:20</t>
  </si>
  <si>
    <t>05/08/2012 13:20</t>
  </si>
  <si>
    <t>06/08/2012 16:15</t>
  </si>
  <si>
    <t>06/08/2012 17:25</t>
  </si>
  <si>
    <t>06/08/2012 19:15</t>
  </si>
  <si>
    <t>08/08/2012 17:00</t>
  </si>
  <si>
    <t>09/08/2012 17:20</t>
  </si>
  <si>
    <t>20:43</t>
  </si>
  <si>
    <t>09/08/2012 20:43</t>
  </si>
  <si>
    <t>07:20</t>
  </si>
  <si>
    <t>10/08/2012 07:20</t>
  </si>
  <si>
    <t>11/08/2012 18:20</t>
  </si>
  <si>
    <t>12/08/2012 15:05</t>
  </si>
  <si>
    <t>12/08/2012 05:00</t>
  </si>
  <si>
    <t>08:45</t>
  </si>
  <si>
    <t>13/08/2012 08:45</t>
  </si>
  <si>
    <t>13/08/2012 13:10</t>
  </si>
  <si>
    <t>14/08/2012 11:10</t>
  </si>
  <si>
    <t>14/08/2012 17:30</t>
  </si>
  <si>
    <t>06:20</t>
  </si>
  <si>
    <t>14/08/2012 06:20</t>
  </si>
  <si>
    <t>09:15</t>
  </si>
  <si>
    <t>15/08/2012 09:15</t>
  </si>
  <si>
    <t>16/08/2012 18:30</t>
  </si>
  <si>
    <t>18/08/2012 15:15</t>
  </si>
  <si>
    <t>00:23</t>
  </si>
  <si>
    <t>18/08/2012 00:23</t>
  </si>
  <si>
    <t>19/08/2012 11:05</t>
  </si>
  <si>
    <t>19/08/2012 11:24</t>
  </si>
  <si>
    <t>19/08/2012 12:00</t>
  </si>
  <si>
    <t>19/08/2012 14:35</t>
  </si>
  <si>
    <t>20:45</t>
  </si>
  <si>
    <t>19/08/2012 20:45</t>
  </si>
  <si>
    <t>20:26</t>
  </si>
  <si>
    <t>19/08/2012 20:26</t>
  </si>
  <si>
    <t>20/08/2012 10:30</t>
  </si>
  <si>
    <t>20/08/2012 11:30</t>
  </si>
  <si>
    <t>20/08/2012 18:50</t>
  </si>
  <si>
    <t>06:00</t>
  </si>
  <si>
    <t>20/08/2012 06:00</t>
  </si>
  <si>
    <t>21/08/2012 14:35</t>
  </si>
  <si>
    <t>22/08/2012 17:20</t>
  </si>
  <si>
    <t>23/08/2012 16:30</t>
  </si>
  <si>
    <t>23/08/2012 18:00</t>
  </si>
  <si>
    <t>23/08/2012 11:00</t>
  </si>
  <si>
    <t>20:35</t>
  </si>
  <si>
    <t>25/08/2012 20:35</t>
  </si>
  <si>
    <t>13:14</t>
  </si>
  <si>
    <t>27/08/2012 13:14</t>
  </si>
  <si>
    <t>27/08/2012 13:40</t>
  </si>
  <si>
    <t>27/08/2012 21:20</t>
  </si>
  <si>
    <t>27/08/2012 21:40</t>
  </si>
  <si>
    <t>22:10</t>
  </si>
  <si>
    <t>27/08/2012 22:10</t>
  </si>
  <si>
    <t>27/08/2012 17:50</t>
  </si>
  <si>
    <t>21:50</t>
  </si>
  <si>
    <t>28/08/2012 21:50</t>
  </si>
  <si>
    <t>17:44</t>
  </si>
  <si>
    <t>28/08/2012 17:44</t>
  </si>
  <si>
    <t>29/08/2012 10:30</t>
  </si>
  <si>
    <t>30/08/2012 13:27</t>
  </si>
  <si>
    <t>12:20</t>
  </si>
  <si>
    <t>30/08/2012 12:20</t>
  </si>
  <si>
    <t>31/08/2012 14:00</t>
  </si>
  <si>
    <t>01/09/2012 16:59</t>
  </si>
  <si>
    <t>16:40</t>
  </si>
  <si>
    <t>02/09/2012 16:40</t>
  </si>
  <si>
    <t>13:28</t>
  </si>
  <si>
    <t>03/09/2012 13:28</t>
  </si>
  <si>
    <t>15:20</t>
  </si>
  <si>
    <t>03/09/2012 15:20</t>
  </si>
  <si>
    <t>05/09/2012 13:20</t>
  </si>
  <si>
    <t>05/09/2012 14:10</t>
  </si>
  <si>
    <t>14:19</t>
  </si>
  <si>
    <t>05/09/2012 14:19</t>
  </si>
  <si>
    <t>19:35</t>
  </si>
  <si>
    <t>06/09/2012 19:35</t>
  </si>
  <si>
    <t>20:23</t>
  </si>
  <si>
    <t>06/09/2012 20:23</t>
  </si>
  <si>
    <t>09/09/2012 12:35</t>
  </si>
  <si>
    <t>09/09/2012 00:20</t>
  </si>
  <si>
    <t>22:52</t>
  </si>
  <si>
    <t>09/09/2012 22:52</t>
  </si>
  <si>
    <t>10/09/2012 20:15</t>
  </si>
  <si>
    <t>10/09/2012 21:20</t>
  </si>
  <si>
    <t>11/09/2012 14:20</t>
  </si>
  <si>
    <t>12/09/2012 20:25</t>
  </si>
  <si>
    <t>12/09/2012 13:50</t>
  </si>
  <si>
    <t>13/09/2012 21:05</t>
  </si>
  <si>
    <t>11:12</t>
  </si>
  <si>
    <t>14/09/2012 11:12</t>
  </si>
  <si>
    <t>14/09/2012 11:00</t>
  </si>
  <si>
    <t>15/09/2012 18:25</t>
  </si>
  <si>
    <t>15/09/2012 18:00</t>
  </si>
  <si>
    <t>15/09/2012 19:55</t>
  </si>
  <si>
    <t>16/09/2012 21:45</t>
  </si>
  <si>
    <t>03:00</t>
  </si>
  <si>
    <t>16/09/2012 03:00</t>
  </si>
  <si>
    <t>07:38</t>
  </si>
  <si>
    <t>17/09/2012 07:38</t>
  </si>
  <si>
    <t>19:59</t>
  </si>
  <si>
    <t>19/09/2012 19:59</t>
  </si>
  <si>
    <t>21:54</t>
  </si>
  <si>
    <t>19/09/2012 21:54</t>
  </si>
  <si>
    <t>20/09/2012 13:40</t>
  </si>
  <si>
    <t>20/09/2012 15:00</t>
  </si>
  <si>
    <t>21:14</t>
  </si>
  <si>
    <t>20/09/2012 21:14</t>
  </si>
  <si>
    <t>21/09/2012 15:50</t>
  </si>
  <si>
    <t>22/09/2012 19:30</t>
  </si>
  <si>
    <t>24/09/2012 20:15</t>
  </si>
  <si>
    <t>26/09/2012 19:15</t>
  </si>
  <si>
    <t>27/09/2012 15:39</t>
  </si>
  <si>
    <t>10:28</t>
  </si>
  <si>
    <t>27/09/2012 10:28</t>
  </si>
  <si>
    <t>12:39</t>
  </si>
  <si>
    <t>27/09/2012 12:39</t>
  </si>
  <si>
    <t>29/09/2012 10:25</t>
  </si>
  <si>
    <t>30/09/2012 09:54</t>
  </si>
  <si>
    <t>01/10/2012 13:00</t>
  </si>
  <si>
    <t>03/10/2012 15:45</t>
  </si>
  <si>
    <t>03/10/2012 11:40</t>
  </si>
  <si>
    <t>10:19</t>
  </si>
  <si>
    <t>03/10/2012 10:19</t>
  </si>
  <si>
    <t>14:09</t>
  </si>
  <si>
    <t>04/10/2012 14:09</t>
  </si>
  <si>
    <t>04/10/2012 14:10</t>
  </si>
  <si>
    <t>08/10/2012 15:50</t>
  </si>
  <si>
    <t>19:18</t>
  </si>
  <si>
    <t>12/10/2012 19:18</t>
  </si>
  <si>
    <t>12/10/2012 18:30</t>
  </si>
  <si>
    <t>14/10/2012 19:00</t>
  </si>
  <si>
    <t>14/10/2012 13:00</t>
  </si>
  <si>
    <t>18:06</t>
  </si>
  <si>
    <t>14/10/2012 18:06</t>
  </si>
  <si>
    <t>15/10/2012 09:30</t>
  </si>
  <si>
    <t>16/10/2012 17:35</t>
  </si>
  <si>
    <t>16/10/2012 17:20</t>
  </si>
  <si>
    <t>17/10/2012 14:00</t>
  </si>
  <si>
    <t>17/10/2012 22:00</t>
  </si>
  <si>
    <t>14:01</t>
  </si>
  <si>
    <t>17/10/2012 14:01</t>
  </si>
  <si>
    <t>18/10/2012 12:50</t>
  </si>
  <si>
    <t>18/10/2012 17:43</t>
  </si>
  <si>
    <t>19/10/2012 20:10</t>
  </si>
  <si>
    <t>22:20</t>
  </si>
  <si>
    <t>19/10/2012 22:20</t>
  </si>
  <si>
    <t>20/10/2012 20:45</t>
  </si>
  <si>
    <t>22:58</t>
  </si>
  <si>
    <t>21/10/2012 22:58</t>
  </si>
  <si>
    <t>00:43</t>
  </si>
  <si>
    <t>22/10/2012 00:43</t>
  </si>
  <si>
    <t>26/10/2012 15:20</t>
  </si>
  <si>
    <t>27/10/2012 15:30</t>
  </si>
  <si>
    <t>28/10/2012 12:00</t>
  </si>
  <si>
    <t>16:57</t>
  </si>
  <si>
    <t>30/10/2012 16:57</t>
  </si>
  <si>
    <t>16:55</t>
  </si>
  <si>
    <t>01/11/2012 16:55</t>
  </si>
  <si>
    <t>09:19</t>
  </si>
  <si>
    <t>01/11/2012 09:19</t>
  </si>
  <si>
    <t>01/11/2012 16:39</t>
  </si>
  <si>
    <t>12:36</t>
  </si>
  <si>
    <t>01/11/2012 12:36</t>
  </si>
  <si>
    <t>01/11/2012 12:05</t>
  </si>
  <si>
    <t>22:37</t>
  </si>
  <si>
    <t>01/11/2012 22:37</t>
  </si>
  <si>
    <t>11:31</t>
  </si>
  <si>
    <t>02/11/2012 11:31</t>
  </si>
  <si>
    <t>05/11/2012 15:35</t>
  </si>
  <si>
    <t>06/11/2012 16:30</t>
  </si>
  <si>
    <t>06/11/2012 13:00</t>
  </si>
  <si>
    <t>15:33</t>
  </si>
  <si>
    <t>07/11/2012 15:33</t>
  </si>
  <si>
    <t>18:44</t>
  </si>
  <si>
    <t>10/11/2012 18:44</t>
  </si>
  <si>
    <t>15:09</t>
  </si>
  <si>
    <t>11/11/2012 15:09</t>
  </si>
  <si>
    <t>11/11/2012 15:20</t>
  </si>
  <si>
    <t>12:03</t>
  </si>
  <si>
    <t>12/11/2012 12:03</t>
  </si>
  <si>
    <t>13/11/2012 13:50</t>
  </si>
  <si>
    <t>14/11/2012 11:40</t>
  </si>
  <si>
    <t>17:14</t>
  </si>
  <si>
    <t>15/11/2012 17:14</t>
  </si>
  <si>
    <t>16/11/2012 10:05</t>
  </si>
  <si>
    <t>14:17</t>
  </si>
  <si>
    <t>21/11/2012 14:17</t>
  </si>
  <si>
    <t>25/11/2012 10:20</t>
  </si>
  <si>
    <t>13:59</t>
  </si>
  <si>
    <t>19/12/2012 13:59</t>
  </si>
  <si>
    <t>14:44</t>
  </si>
  <si>
    <t>14:58</t>
  </si>
  <si>
    <t>10:38</t>
  </si>
  <si>
    <t>22:49</t>
  </si>
  <si>
    <t>14:27</t>
  </si>
  <si>
    <t>20:05</t>
  </si>
  <si>
    <t>16:34</t>
  </si>
  <si>
    <t>16:24</t>
  </si>
  <si>
    <t>12:19</t>
  </si>
  <si>
    <t>14:04</t>
  </si>
  <si>
    <t>15:29</t>
  </si>
  <si>
    <t>09:00</t>
  </si>
  <si>
    <t>17/09/2014   13:28</t>
  </si>
  <si>
    <t>17/09/2014   14:10</t>
  </si>
  <si>
    <t>13:52</t>
  </si>
  <si>
    <t>18/09/2014   13:52</t>
  </si>
  <si>
    <t>18/09/2014   16:10</t>
  </si>
  <si>
    <t>19/09/2014   23:05</t>
  </si>
  <si>
    <t>13:02</t>
  </si>
  <si>
    <t>19/09/2014   13:02</t>
  </si>
  <si>
    <t>22/09/2014   17:45</t>
  </si>
  <si>
    <t>22/09/2014   12:15</t>
  </si>
  <si>
    <t>23/09/2014   20:10</t>
  </si>
  <si>
    <t>24/09/2014   13:39</t>
  </si>
  <si>
    <t>26/09/2014   06:00</t>
  </si>
  <si>
    <t>11:17</t>
  </si>
  <si>
    <t>26/09/2014   11:17</t>
  </si>
  <si>
    <t>12:34</t>
  </si>
  <si>
    <t>27/09/2014   12:34</t>
  </si>
  <si>
    <t>29/09/2014   11:30</t>
  </si>
  <si>
    <t>14:41</t>
  </si>
  <si>
    <t>30/09/2014   14:41</t>
  </si>
  <si>
    <t>01/10/2014   12:00</t>
  </si>
  <si>
    <t>00:50</t>
  </si>
  <si>
    <t>03/10/2014   00:50</t>
  </si>
  <si>
    <t>04/10/2014   14:30</t>
  </si>
  <si>
    <t>04/10/2014   18:30</t>
  </si>
  <si>
    <t>04/10/2014   15:08</t>
  </si>
  <si>
    <t>04/10/2014   15:10</t>
  </si>
  <si>
    <t>05/10/2014   13:00</t>
  </si>
  <si>
    <t>12:14</t>
  </si>
  <si>
    <t>06/10/2014   12:14</t>
  </si>
  <si>
    <t>06/10/2014   12:44</t>
  </si>
  <si>
    <t>13:44</t>
  </si>
  <si>
    <t>06/10/2014   13:44</t>
  </si>
  <si>
    <t>09/10/2014   16:10</t>
  </si>
  <si>
    <t>10/10/2014   09:50</t>
  </si>
  <si>
    <t>19:05</t>
  </si>
  <si>
    <t>10/10/2014   19:05</t>
  </si>
  <si>
    <t>14:14</t>
  </si>
  <si>
    <t>14/10/2014   14:14</t>
  </si>
  <si>
    <t>17/10/2014   11:55</t>
  </si>
  <si>
    <t>11:29</t>
  </si>
  <si>
    <t>17/10/2014   11:29</t>
  </si>
  <si>
    <t>21:25</t>
  </si>
  <si>
    <t>17/10/2014   21:25</t>
  </si>
  <si>
    <t>08:30</t>
  </si>
  <si>
    <t>17/10/2014   08:30</t>
  </si>
  <si>
    <t>18/10/2014   14:45</t>
  </si>
  <si>
    <t>19/10/2014   16:44</t>
  </si>
  <si>
    <t>09:20</t>
  </si>
  <si>
    <t>19/10/2014   09:20</t>
  </si>
  <si>
    <t>01:14</t>
  </si>
  <si>
    <t>20/10/2014   01:14</t>
  </si>
  <si>
    <t>22/10/2014   14:10</t>
  </si>
  <si>
    <t>17:55</t>
  </si>
  <si>
    <t>01/11/2014   17:55</t>
  </si>
  <si>
    <t>04/11/2014   11:40</t>
  </si>
  <si>
    <t>18:14</t>
  </si>
  <si>
    <t>06/11/2014   18:14</t>
  </si>
  <si>
    <t>16/11/2014   19:55</t>
  </si>
  <si>
    <t>10:34</t>
  </si>
  <si>
    <t>19/11/2014   10:34</t>
  </si>
  <si>
    <t>25/11/2014   16:38</t>
  </si>
  <si>
    <t>02/12/2014   17:05</t>
  </si>
  <si>
    <t>03/12/2014   14:15</t>
  </si>
  <si>
    <t>17/01/2015 17:50</t>
  </si>
  <si>
    <t>20/01/2015 13:10</t>
  </si>
  <si>
    <t>20/01/2015 15:20</t>
  </si>
  <si>
    <t>14:24</t>
  </si>
  <si>
    <t>23/01/2015 14:24</t>
  </si>
  <si>
    <t>12:09</t>
  </si>
  <si>
    <t>05/02/2015 12:09</t>
  </si>
  <si>
    <t>18/02/2015 13:40</t>
  </si>
  <si>
    <t>13:48</t>
  </si>
  <si>
    <t>26/02/2015 13:48</t>
  </si>
  <si>
    <t>11:22</t>
  </si>
  <si>
    <t>19/03/2015 11:22</t>
  </si>
  <si>
    <t>10:50</t>
  </si>
  <si>
    <t>10/04/2015 10:50</t>
  </si>
  <si>
    <t>16:32</t>
  </si>
  <si>
    <t>13/04/2015 16:32</t>
  </si>
  <si>
    <t>13/04/2015 12:30</t>
  </si>
  <si>
    <t>15/04/2015 14:49</t>
  </si>
  <si>
    <t>15/04/2015 15:30</t>
  </si>
  <si>
    <t>15/04/2015 15:40</t>
  </si>
  <si>
    <t>16/04/2015 13:30</t>
  </si>
  <si>
    <t>10:57</t>
  </si>
  <si>
    <t>16/04/2015 10:57</t>
  </si>
  <si>
    <t>17/04/2015 18:05</t>
  </si>
  <si>
    <t>18/04/2015 11:25</t>
  </si>
  <si>
    <t>21/04/2015 16:09</t>
  </si>
  <si>
    <t>18:39</t>
  </si>
  <si>
    <t>24/04/2015 18:39</t>
  </si>
  <si>
    <t>24/04/2015 18:40</t>
  </si>
  <si>
    <t>26/04/2015 23:15</t>
  </si>
  <si>
    <t>27/04/2015 13:10</t>
  </si>
  <si>
    <t>28/04/2015 12:37</t>
  </si>
  <si>
    <t>28/04/2015 09:00</t>
  </si>
  <si>
    <t>14:34</t>
  </si>
  <si>
    <t>01/05/2015 14:34</t>
  </si>
  <si>
    <t>22:04</t>
  </si>
  <si>
    <t>12/05/2015 22:04</t>
  </si>
  <si>
    <t>16/05/2015 12:34</t>
  </si>
  <si>
    <t>27/05/2015 09:19</t>
  </si>
  <si>
    <t>25/06/2015 14:15</t>
  </si>
  <si>
    <t>09:39</t>
  </si>
  <si>
    <t>26/06/2015 09:39</t>
  </si>
  <si>
    <t>03/07/2015 23:50</t>
  </si>
  <si>
    <t>05/07/2015 14:40</t>
  </si>
  <si>
    <t>10/07/2015 14:49</t>
  </si>
  <si>
    <t>03:40</t>
  </si>
  <si>
    <t>17/07/2015 03:40</t>
  </si>
  <si>
    <t>17/07/2015 11:24</t>
  </si>
  <si>
    <t>18/07/2015 18:20</t>
  </si>
  <si>
    <t>21:18</t>
  </si>
  <si>
    <t>19/07/2015 21:18</t>
  </si>
  <si>
    <t>02:30</t>
  </si>
  <si>
    <t>24/07/2015 02:30</t>
  </si>
  <si>
    <t>29/07/2015 13:35</t>
  </si>
  <si>
    <t>02:59</t>
  </si>
  <si>
    <t>03/08/2015 02:59</t>
  </si>
  <si>
    <t>05/08/2015 14:34</t>
  </si>
  <si>
    <t>05/08/2015 12:15</t>
  </si>
  <si>
    <t>08/08/2015 20:40</t>
  </si>
  <si>
    <t>09/08/2015 16:00</t>
  </si>
  <si>
    <t>10/08/2015 17:05</t>
  </si>
  <si>
    <t>13/08/2015 13:30</t>
  </si>
  <si>
    <t>24/08/2015 11:50</t>
  </si>
  <si>
    <t>22:59</t>
  </si>
  <si>
    <t>24/08/2015 22:59</t>
  </si>
  <si>
    <t>30/08/2015 12:34</t>
  </si>
  <si>
    <t>08:57</t>
  </si>
  <si>
    <t>01/09/2015 08:57</t>
  </si>
  <si>
    <t>02/09/2015 14:34</t>
  </si>
  <si>
    <t>10:44</t>
  </si>
  <si>
    <t>03/09/2015 10:44</t>
  </si>
  <si>
    <t>03/09/2015 11:44</t>
  </si>
  <si>
    <t>03/09/2015 13:14</t>
  </si>
  <si>
    <t>04:09</t>
  </si>
  <si>
    <t>03/09/2015 04:09</t>
  </si>
  <si>
    <t>05:29</t>
  </si>
  <si>
    <t>03/09/2015 05:29</t>
  </si>
  <si>
    <t>04/09/2015 20:40</t>
  </si>
  <si>
    <t>21:44</t>
  </si>
  <si>
    <t>06/09/2015 21:44</t>
  </si>
  <si>
    <t>21:49</t>
  </si>
  <si>
    <t>09/09/2015 21:49</t>
  </si>
  <si>
    <t>10/09/2015 16:15</t>
  </si>
  <si>
    <t>12/09/2015 10:52</t>
  </si>
  <si>
    <t>14:18</t>
  </si>
  <si>
    <t>12/09/2015 14:18</t>
  </si>
  <si>
    <t>18/09/2015 13:29</t>
  </si>
  <si>
    <t>03/10/2015 11:17</t>
  </si>
  <si>
    <t>04/10/2015 16:45</t>
  </si>
  <si>
    <t>21:17</t>
  </si>
  <si>
    <t>06/10/2015 21:17</t>
  </si>
  <si>
    <t>10:13</t>
  </si>
  <si>
    <t>11/10/2015 10:13</t>
  </si>
  <si>
    <t>18:43</t>
  </si>
  <si>
    <t>11/10/2015 18:43</t>
  </si>
  <si>
    <t>01:24</t>
  </si>
  <si>
    <t>25/10/2015 01:24</t>
  </si>
  <si>
    <t>10:42</t>
  </si>
  <si>
    <t>26/10/2015 10:42</t>
  </si>
  <si>
    <t>02/11/2015 10:30</t>
  </si>
  <si>
    <t>11:49</t>
  </si>
  <si>
    <t>02/11/2015 11:49</t>
  </si>
  <si>
    <t>16:12</t>
  </si>
  <si>
    <t>04/11/2015 16:12</t>
  </si>
  <si>
    <t>11:27</t>
  </si>
  <si>
    <t>07/11/2015 11:27</t>
  </si>
  <si>
    <t>08/11/2015 10:19</t>
  </si>
  <si>
    <t>21:23</t>
  </si>
  <si>
    <t>08/11/2015 21:23</t>
  </si>
  <si>
    <t>09/11/2015 12:15</t>
  </si>
  <si>
    <t>10/11/2015 17:30</t>
  </si>
  <si>
    <t>14/11/2015 15:29</t>
  </si>
  <si>
    <t>16:48</t>
  </si>
  <si>
    <t>16/11/2015 16:48</t>
  </si>
  <si>
    <t>17/11/2015 11:00</t>
  </si>
  <si>
    <t>16:19</t>
  </si>
  <si>
    <t>20/11/2015 16:19</t>
  </si>
  <si>
    <t>20:09</t>
  </si>
  <si>
    <t>20/11/2015 20:09</t>
  </si>
  <si>
    <t>16:05</t>
  </si>
  <si>
    <t>22/11/2015 16:05</t>
  </si>
  <si>
    <t>23/11/2015 16:10</t>
  </si>
  <si>
    <t>10:10</t>
  </si>
  <si>
    <t>02/12/2015 10:10</t>
  </si>
  <si>
    <t>16/01/2016 13:50</t>
  </si>
  <si>
    <t>28/01/2016 15:59</t>
  </si>
  <si>
    <t>28/01/2016 12:40</t>
  </si>
  <si>
    <t>30/01/2016 16:15</t>
  </si>
  <si>
    <t>14:32</t>
  </si>
  <si>
    <t>04/02/2016 14:32</t>
  </si>
  <si>
    <t>04/02/2016 12:40</t>
  </si>
  <si>
    <t>10/02/2016 15:25</t>
  </si>
  <si>
    <t>12/02/2016 11:05</t>
  </si>
  <si>
    <t>15/02/2016 12:10</t>
  </si>
  <si>
    <t>15/02/2016 15:30</t>
  </si>
  <si>
    <t>16/02/2016 19:00</t>
  </si>
  <si>
    <t>16/02/2016 12:00</t>
  </si>
  <si>
    <t>16/02/2016 10:15</t>
  </si>
  <si>
    <t>16/02/2016 13:40</t>
  </si>
  <si>
    <t>17/02/2016 15:30</t>
  </si>
  <si>
    <t>15:58</t>
  </si>
  <si>
    <t>17/02/2016 15:58</t>
  </si>
  <si>
    <t>09:40</t>
  </si>
  <si>
    <t>18/02/2016 09:40</t>
  </si>
  <si>
    <t>22/02/2016 09:30</t>
  </si>
  <si>
    <t>23/02/2016 11:44</t>
  </si>
  <si>
    <t>11:41</t>
  </si>
  <si>
    <t>24/02/2016 11:41</t>
  </si>
  <si>
    <t>27/02/2016 17:49</t>
  </si>
  <si>
    <t>29/02/2016 20:05</t>
  </si>
  <si>
    <t>10:59</t>
  </si>
  <si>
    <t>29/02/2016 10:59</t>
  </si>
  <si>
    <t>15:14</t>
  </si>
  <si>
    <t>01/03/2016 15:14</t>
  </si>
  <si>
    <t>12:24</t>
  </si>
  <si>
    <t>03/03/2016 12:24</t>
  </si>
  <si>
    <t>12/03/2016 11:49</t>
  </si>
  <si>
    <t>02:40</t>
  </si>
  <si>
    <t>23/03/2016 02:40</t>
  </si>
  <si>
    <t>10:04</t>
  </si>
  <si>
    <t>23/03/2016 10:04</t>
  </si>
  <si>
    <t>23/03/2016 10:55</t>
  </si>
  <si>
    <t>29/03/2016 20:35</t>
  </si>
  <si>
    <t>14:55</t>
  </si>
  <si>
    <t>29/03/2016 14:55</t>
  </si>
  <si>
    <t>14:21</t>
  </si>
  <si>
    <t>01/04/2016 14:21</t>
  </si>
  <si>
    <t>05/04/2016 12:45</t>
  </si>
  <si>
    <t>06/04/2016 15:45</t>
  </si>
  <si>
    <t>06/04/2016 14:40</t>
  </si>
  <si>
    <t>07/04/2016 20:45</t>
  </si>
  <si>
    <t>07/04/2016 13:35</t>
  </si>
  <si>
    <t>08/04/2016 17:05</t>
  </si>
  <si>
    <t>08/04/2016 12:30</t>
  </si>
  <si>
    <t>08/04/2016 03:50</t>
  </si>
  <si>
    <t>09/04/2016 16:25</t>
  </si>
  <si>
    <t>22:45</t>
  </si>
  <si>
    <t>13/04/2016 22:45</t>
  </si>
  <si>
    <t>15/04/2016 08:35</t>
  </si>
  <si>
    <t>17/04/2016 21:05</t>
  </si>
  <si>
    <t>16:06</t>
  </si>
  <si>
    <t>19/04/2016 16:06</t>
  </si>
  <si>
    <t>19/04/2016 17:14</t>
  </si>
  <si>
    <t>12:59</t>
  </si>
  <si>
    <t>21/04/2016 12:59</t>
  </si>
  <si>
    <t>21/04/2016 15:10</t>
  </si>
  <si>
    <t>22/04/2016 14:05</t>
  </si>
  <si>
    <t>21:37</t>
  </si>
  <si>
    <t>22/04/2016 21:37</t>
  </si>
  <si>
    <t>23/04/2016 14:45</t>
  </si>
  <si>
    <t>15:19</t>
  </si>
  <si>
    <t>26/04/2016 15:19</t>
  </si>
  <si>
    <t>26/04/2016 18:39</t>
  </si>
  <si>
    <t>29/04/2016 14:10</t>
  </si>
  <si>
    <t>12:13</t>
  </si>
  <si>
    <t>29/04/2016 12:13</t>
  </si>
  <si>
    <t>29/04/2016 22:49</t>
  </si>
  <si>
    <t>00:19</t>
  </si>
  <si>
    <t>01/05/2016 00:19</t>
  </si>
  <si>
    <t>11:02</t>
  </si>
  <si>
    <t>06/05/2016 11:02</t>
  </si>
  <si>
    <t>12/05/2016 13:40</t>
  </si>
  <si>
    <t>14/05/2016 10:05</t>
  </si>
  <si>
    <t>21/05/2016 05:00</t>
  </si>
  <si>
    <t>22/05/2016 16:20</t>
  </si>
  <si>
    <t>23/05/2016 16:20</t>
  </si>
  <si>
    <t>28/05/2016 15:15</t>
  </si>
  <si>
    <t>15:16</t>
  </si>
  <si>
    <t>01/06/2016 15:16</t>
  </si>
  <si>
    <t>05/06/2016 12:25</t>
  </si>
  <si>
    <t>13/06/2016 12:49</t>
  </si>
  <si>
    <t>13/06/2016 12:10</t>
  </si>
  <si>
    <t>14/06/2016 07:20</t>
  </si>
  <si>
    <t>02:02</t>
  </si>
  <si>
    <t>14/06/2016 02:02</t>
  </si>
  <si>
    <t>20/06/2016 03:20</t>
  </si>
  <si>
    <t>27/06/2016 22:00</t>
  </si>
  <si>
    <t>06:04</t>
  </si>
  <si>
    <t>28/06/2016 06:04</t>
  </si>
  <si>
    <t>01/07/2016 13:20</t>
  </si>
  <si>
    <t>13/07/2016 14:10</t>
  </si>
  <si>
    <t>04:02</t>
  </si>
  <si>
    <t>14/07/2016 04:02</t>
  </si>
  <si>
    <t>15/07/2016 21:40</t>
  </si>
  <si>
    <t>03:44</t>
  </si>
  <si>
    <t>17/07/2016 03:44</t>
  </si>
  <si>
    <t>22:39</t>
  </si>
  <si>
    <t>18/07/2016 22:39</t>
  </si>
  <si>
    <t>14:39</t>
  </si>
  <si>
    <t>21/07/2016 14:39</t>
  </si>
  <si>
    <t>22:25</t>
  </si>
  <si>
    <t>24/07/2016 22:25</t>
  </si>
  <si>
    <t>11:04</t>
  </si>
  <si>
    <t>25/07/2016 11:04</t>
  </si>
  <si>
    <t>26/07/2016 11:54</t>
  </si>
  <si>
    <t>15:24</t>
  </si>
  <si>
    <t>26/07/2016 15:24</t>
  </si>
  <si>
    <t>27/07/2016 16:50</t>
  </si>
  <si>
    <t>28/07/2016 14:35</t>
  </si>
  <si>
    <t>28/07/2016 15:40</t>
  </si>
  <si>
    <t>29/07/2016 14:00</t>
  </si>
  <si>
    <t>30/07/2016 13:20</t>
  </si>
  <si>
    <t>30/07/2016 12:30</t>
  </si>
  <si>
    <t>08:50</t>
  </si>
  <si>
    <t>04/08/2016 08:50</t>
  </si>
  <si>
    <t>06/08/2016 15:08</t>
  </si>
  <si>
    <t>14:02</t>
  </si>
  <si>
    <t>07/08/2016 14:02</t>
  </si>
  <si>
    <t>16:52</t>
  </si>
  <si>
    <t>12/08/2016 16:52</t>
  </si>
  <si>
    <t>00:55</t>
  </si>
  <si>
    <t>12/08/2016 00:55</t>
  </si>
  <si>
    <t>12/08/2016 12:40</t>
  </si>
  <si>
    <t>13/08/2016 11:30</t>
  </si>
  <si>
    <t>13/08/2016 14:10</t>
  </si>
  <si>
    <t>13/08/2016 17:40</t>
  </si>
  <si>
    <t>23:10</t>
  </si>
  <si>
    <t>15/08/2016 23:10</t>
  </si>
  <si>
    <t>20:13</t>
  </si>
  <si>
    <t>16/08/2016 20:13</t>
  </si>
  <si>
    <t>17/08/2016 13:35</t>
  </si>
  <si>
    <t>15:55</t>
  </si>
  <si>
    <t>17/08/2016 15:55</t>
  </si>
  <si>
    <t>22/08/2016 13:45</t>
  </si>
  <si>
    <t>16:58</t>
  </si>
  <si>
    <t>23/08/2016 16:58</t>
  </si>
  <si>
    <t>24/08/2016 17:50</t>
  </si>
  <si>
    <t>06:29</t>
  </si>
  <si>
    <t>25/08/2016 06:29</t>
  </si>
  <si>
    <t>25/08/2016 13:28</t>
  </si>
  <si>
    <t>22:48</t>
  </si>
  <si>
    <t>25/08/2016 22:48</t>
  </si>
  <si>
    <t>23:00</t>
  </si>
  <si>
    <t>25/08/2016 23:00</t>
  </si>
  <si>
    <t>04:00</t>
  </si>
  <si>
    <t>26/08/2016 04:00</t>
  </si>
  <si>
    <t>09:59</t>
  </si>
  <si>
    <t>26/08/2016 09:59</t>
  </si>
  <si>
    <t>11:15</t>
  </si>
  <si>
    <t>29/08/2016 11:15</t>
  </si>
  <si>
    <t>01/09/2016 10:44</t>
  </si>
  <si>
    <t>02/09/2016 20:50</t>
  </si>
  <si>
    <t>04/09/2016 20:15</t>
  </si>
  <si>
    <t>06:45</t>
  </si>
  <si>
    <t>06/09/2016 06:45</t>
  </si>
  <si>
    <t>10:47</t>
  </si>
  <si>
    <t>09/09/2016 10:47</t>
  </si>
  <si>
    <t>15/09/2016 15:25</t>
  </si>
  <si>
    <t>17/09/2016 13:45</t>
  </si>
  <si>
    <t>12:47</t>
  </si>
  <si>
    <t>17/09/2016 12:47</t>
  </si>
  <si>
    <t>20:34</t>
  </si>
  <si>
    <t>17/09/2016 20:34</t>
  </si>
  <si>
    <t>17/09/2016 21:05</t>
  </si>
  <si>
    <t>17/09/2016 17:55</t>
  </si>
  <si>
    <t>19/09/2016 12:45</t>
  </si>
  <si>
    <t>22/09/2016 16:50</t>
  </si>
  <si>
    <t>24/09/2016 14:15</t>
  </si>
  <si>
    <t>26/09/2016 21:20</t>
  </si>
  <si>
    <t>29/09/2016 00:25</t>
  </si>
  <si>
    <t>29/09/2016 06:00</t>
  </si>
  <si>
    <t>30/09/2016 18:30</t>
  </si>
  <si>
    <t>02/10/2016 12:35</t>
  </si>
  <si>
    <t>02/10/2016 14:00</t>
  </si>
  <si>
    <t>02/10/2016 15:30</t>
  </si>
  <si>
    <t>05/10/2016 13:20</t>
  </si>
  <si>
    <t>07:15</t>
  </si>
  <si>
    <t>11/10/2016 07:15</t>
  </si>
  <si>
    <t>11/10/2016 12:30</t>
  </si>
  <si>
    <t>15:27</t>
  </si>
  <si>
    <t>11/10/2016 15:27</t>
  </si>
  <si>
    <t>17/10/2016 10:55</t>
  </si>
  <si>
    <t>17/10/2016 18:20</t>
  </si>
  <si>
    <t>17:19</t>
  </si>
  <si>
    <t>17/10/2016 17:19</t>
  </si>
  <si>
    <t>17/10/2016 15:20</t>
  </si>
  <si>
    <t>17/10/2016 18:35</t>
  </si>
  <si>
    <t>22/10/2016 17:43</t>
  </si>
  <si>
    <t>23/10/2016 17:30</t>
  </si>
  <si>
    <t>23/10/2016 18:50</t>
  </si>
  <si>
    <t>26/10/2016 16:00</t>
  </si>
  <si>
    <t>01/11/2016 13:30</t>
  </si>
  <si>
    <t>06/11/2016 14:40</t>
  </si>
  <si>
    <t>13:54</t>
  </si>
  <si>
    <t>07/11/2016 13:54</t>
  </si>
  <si>
    <t>07/11/2016 10:10</t>
  </si>
  <si>
    <t>08/11/2016 13:05</t>
  </si>
  <si>
    <t>09/11/2016 14:30</t>
  </si>
  <si>
    <t>09/11/2016 16:50</t>
  </si>
  <si>
    <t>17/11/2016 22:48</t>
  </si>
  <si>
    <t>20/11/2016 16:50</t>
  </si>
  <si>
    <t>26/11/2016 17:55</t>
  </si>
  <si>
    <t>26/11/2016 20:25</t>
  </si>
  <si>
    <t>28/11/2016 15:40</t>
  </si>
  <si>
    <t>12:18</t>
  </si>
  <si>
    <t>10/12/2016 12:18</t>
  </si>
  <si>
    <t>13/12/2016 17:40</t>
  </si>
  <si>
    <t>16/12/2016 12:00</t>
  </si>
  <si>
    <t>21/12/2016 09:50</t>
  </si>
  <si>
    <t>22/12/2016 14:27</t>
  </si>
  <si>
    <t>14:53</t>
  </si>
  <si>
    <t>30/12/2016 14:53</t>
  </si>
  <si>
    <t>02/01/2017 14:25</t>
  </si>
  <si>
    <t>05/02/2017 18:50</t>
  </si>
  <si>
    <t>12:28</t>
  </si>
  <si>
    <t>07/02/2017 12:28</t>
  </si>
  <si>
    <t>16/02/2017 13:59</t>
  </si>
  <si>
    <t>17/02/2017 15:45</t>
  </si>
  <si>
    <t>20/02/2017 09:50</t>
  </si>
  <si>
    <t>23/02/2017 15:50</t>
  </si>
  <si>
    <t>04/03/2017 12:03</t>
  </si>
  <si>
    <t>19:07</t>
  </si>
  <si>
    <t>21/03/2017 19:07</t>
  </si>
  <si>
    <t>18:54</t>
  </si>
  <si>
    <t>25/03/2017 18:54</t>
  </si>
  <si>
    <t>03/04/2017 20:30</t>
  </si>
  <si>
    <t>09/04/2017 14:40</t>
  </si>
  <si>
    <t>12/04/2017 15:20</t>
  </si>
  <si>
    <t>15/04/2017 15:14</t>
  </si>
  <si>
    <t>15/04/2017 17:12</t>
  </si>
  <si>
    <t>15/04/2017 11:22</t>
  </si>
  <si>
    <t>19/04/2017 14:19</t>
  </si>
  <si>
    <t>19/04/2017 18:50</t>
  </si>
  <si>
    <t>20/04/2017 11:44</t>
  </si>
  <si>
    <t>20/04/2017 15:29</t>
  </si>
  <si>
    <t>20:51</t>
  </si>
  <si>
    <t>21/04/2017 20:51</t>
  </si>
  <si>
    <t>21/04/2017 14:40</t>
  </si>
  <si>
    <t>20:47</t>
  </si>
  <si>
    <t>27/04/2017 20:47</t>
  </si>
  <si>
    <t>16:49</t>
  </si>
  <si>
    <t>28/04/2017 16:49</t>
  </si>
  <si>
    <t>28/04/2017 14:18</t>
  </si>
  <si>
    <t>12:53</t>
  </si>
  <si>
    <t>30/04/2017 12:53</t>
  </si>
  <si>
    <t>02/05/2017 15:15</t>
  </si>
  <si>
    <t>08/05/2017 11:45</t>
  </si>
  <si>
    <t>09/05/2017 12:20</t>
  </si>
  <si>
    <t>03/06/2017 21:40</t>
  </si>
  <si>
    <t>25/06/2017 18:50</t>
  </si>
  <si>
    <t>01/07/2017 11:25</t>
  </si>
  <si>
    <t>02/07/2017 19:00</t>
  </si>
  <si>
    <t>19:43</t>
  </si>
  <si>
    <t>03/07/2017 19:43</t>
  </si>
  <si>
    <t>03/07/2017 10:44</t>
  </si>
  <si>
    <t>18/07/2017 18:30</t>
  </si>
  <si>
    <t>19/07/2017 14:00</t>
  </si>
  <si>
    <t>16:02</t>
  </si>
  <si>
    <t>21/07/2017 16:02</t>
  </si>
  <si>
    <t>21:30</t>
  </si>
  <si>
    <t>22/07/2017 21:30</t>
  </si>
  <si>
    <t>15:17</t>
  </si>
  <si>
    <t>22/07/2017 15:17</t>
  </si>
  <si>
    <t>03/08/2017 19:35</t>
  </si>
  <si>
    <t>20:29</t>
  </si>
  <si>
    <t>13/08/2017 20:29</t>
  </si>
  <si>
    <t>15/08/2017 16:59</t>
  </si>
  <si>
    <t>10:45</t>
  </si>
  <si>
    <t>18/08/2017 10:45</t>
  </si>
  <si>
    <t>18/08/2017 16:00</t>
  </si>
  <si>
    <t>23/08/2017 21:30</t>
  </si>
  <si>
    <t>25/08/2017 09:45</t>
  </si>
  <si>
    <t>17:33</t>
  </si>
  <si>
    <t>28/08/2017 17:33</t>
  </si>
  <si>
    <t>28/08/2017 19:00</t>
  </si>
  <si>
    <t>22:24</t>
  </si>
  <si>
    <t>04/09/2017 22:24</t>
  </si>
  <si>
    <t>22:33</t>
  </si>
  <si>
    <t>04/09/2017 22:33</t>
  </si>
  <si>
    <t>06/09/2017 12:30</t>
  </si>
  <si>
    <t>07/09/2017 05:29</t>
  </si>
  <si>
    <t>11/09/2017 17:01</t>
  </si>
  <si>
    <t>20:32</t>
  </si>
  <si>
    <t>12/09/2017 20:32</t>
  </si>
  <si>
    <t>14/09/2017 12:05</t>
  </si>
  <si>
    <t>18:58</t>
  </si>
  <si>
    <t>15/09/2017 18:58</t>
  </si>
  <si>
    <t>21/09/2017 19:59</t>
  </si>
  <si>
    <t>05/10/2017 12:28</t>
  </si>
  <si>
    <t>05/10/2017 15:44</t>
  </si>
  <si>
    <t>08/10/2017 15:55</t>
  </si>
  <si>
    <t>12/10/2017 14:25</t>
  </si>
  <si>
    <t>14/10/2017 00:20</t>
  </si>
  <si>
    <t>14/10/2017 15:15</t>
  </si>
  <si>
    <t>17:31</t>
  </si>
  <si>
    <t>14/10/2017 17:31</t>
  </si>
  <si>
    <t>14/10/2017 13:00</t>
  </si>
  <si>
    <t>12:43</t>
  </si>
  <si>
    <t>29/10/2017 12:43</t>
  </si>
  <si>
    <t>29/10/2017 17:45</t>
  </si>
  <si>
    <t>31/10/2017 20:40</t>
  </si>
  <si>
    <t>01/11/2017 12:14</t>
  </si>
  <si>
    <t>15:43</t>
  </si>
  <si>
    <t>07/11/2017 15:43</t>
  </si>
  <si>
    <t>07/11/2017 16:25</t>
  </si>
  <si>
    <t>09/11/2017 13:39</t>
  </si>
  <si>
    <t>13:09</t>
  </si>
  <si>
    <t>26/11/2017 13:09</t>
  </si>
  <si>
    <t>18:03</t>
  </si>
  <si>
    <t>30/11/2017 18:03</t>
  </si>
  <si>
    <t>30/11/2017 16:55</t>
  </si>
  <si>
    <t>09:29</t>
  </si>
  <si>
    <t>05/12/2017 09:29</t>
  </si>
  <si>
    <t>14:16</t>
  </si>
  <si>
    <t>08/12/2017 14:16</t>
  </si>
  <si>
    <t>09/12/2017 12:20</t>
  </si>
  <si>
    <t>15/12/2017 09:50</t>
  </si>
  <si>
    <t>20/12/2017 16:34</t>
  </si>
  <si>
    <t>02/01/2018 14:21</t>
  </si>
  <si>
    <t>03/01/2018 18:09</t>
  </si>
  <si>
    <t>21/01/2018 12:20</t>
  </si>
  <si>
    <t>09:28</t>
  </si>
  <si>
    <t>22/01/2018 09:28</t>
  </si>
  <si>
    <t>15:31</t>
  </si>
  <si>
    <t>25/01/2018 15:31</t>
  </si>
  <si>
    <t>14:59</t>
  </si>
  <si>
    <t>30/01/2018 14:59</t>
  </si>
  <si>
    <t>17:57</t>
  </si>
  <si>
    <t>31/01/2018 17:57</t>
  </si>
  <si>
    <t>10:08</t>
  </si>
  <si>
    <t>04/02/2018 10:08</t>
  </si>
  <si>
    <t>16:18</t>
  </si>
  <si>
    <t>08/02/2018 16:18</t>
  </si>
  <si>
    <t>09/02/2018 12:30</t>
  </si>
  <si>
    <t>10/02/2018 11:10</t>
  </si>
  <si>
    <t>10/02/2018 11:33</t>
  </si>
  <si>
    <t>12:54</t>
  </si>
  <si>
    <t>01/03/2018 12:54</t>
  </si>
  <si>
    <t>05/03/2018 14:34</t>
  </si>
  <si>
    <t>06/03/2018 10:30</t>
  </si>
  <si>
    <t>07/03/2018 11:55</t>
  </si>
  <si>
    <t>13/03/2018 15:40</t>
  </si>
  <si>
    <t>14/03/2018 19:14</t>
  </si>
  <si>
    <t>17/03/2018 12:44</t>
  </si>
  <si>
    <t>18:29</t>
  </si>
  <si>
    <t>17/03/2018 18:29</t>
  </si>
  <si>
    <t>18:33</t>
  </si>
  <si>
    <t>17/03/2018 18:33</t>
  </si>
  <si>
    <t>17/03/2018 18:50</t>
  </si>
  <si>
    <t>20/03/2018 13:25</t>
  </si>
  <si>
    <t>20/03/2018 16:55</t>
  </si>
  <si>
    <t>20/03/2018 10:45</t>
  </si>
  <si>
    <t>23:12</t>
  </si>
  <si>
    <t>21/03/2018 23:12</t>
  </si>
  <si>
    <t>19:34</t>
  </si>
  <si>
    <t>22/03/2018 19:34</t>
  </si>
  <si>
    <t>02:18</t>
  </si>
  <si>
    <t>22/03/2018 02:18</t>
  </si>
  <si>
    <t>06:19</t>
  </si>
  <si>
    <t>22/03/2018 06:19</t>
  </si>
  <si>
    <t>23/03/2018 15:45</t>
  </si>
  <si>
    <t>30/03/2018 09:00</t>
  </si>
  <si>
    <t>03/04/2018 16:05</t>
  </si>
  <si>
    <t>03/04/2018 14:15</t>
  </si>
  <si>
    <t>04/04/2018 13:05</t>
  </si>
  <si>
    <t>04/04/2018 16:00</t>
  </si>
  <si>
    <t>05/04/2018 19:34</t>
  </si>
  <si>
    <t>19:24</t>
  </si>
  <si>
    <t>11/04/2018 19:24</t>
  </si>
  <si>
    <t>21:24</t>
  </si>
  <si>
    <t>11/04/2018 21:24</t>
  </si>
  <si>
    <t>12/04/2018 16:45</t>
  </si>
  <si>
    <t>13/04/2018 16:34</t>
  </si>
  <si>
    <t>19/04/2018 16:30</t>
  </si>
  <si>
    <t>09:47</t>
  </si>
  <si>
    <t>25/04/2018 09:47</t>
  </si>
  <si>
    <t>27/04/2018 13:25</t>
  </si>
  <si>
    <t>28/04/2018 18:14</t>
  </si>
  <si>
    <t>01/05/2018 22:49</t>
  </si>
  <si>
    <t>06/05/2018 10:40</t>
  </si>
  <si>
    <t>26/05/2018 13:40</t>
  </si>
  <si>
    <t>06:40</t>
  </si>
  <si>
    <t>29/05/2018 06:40</t>
  </si>
  <si>
    <t>13:42</t>
  </si>
  <si>
    <t>03/06/2018 13:42</t>
  </si>
  <si>
    <t>11:14</t>
  </si>
  <si>
    <t>06/06/2018 11:14</t>
  </si>
  <si>
    <t>17:32</t>
  </si>
  <si>
    <t>06/06/2018 17:32</t>
  </si>
  <si>
    <t>06/06/2018 13:24</t>
  </si>
  <si>
    <t>07:50</t>
  </si>
  <si>
    <t>10/06/2018 07:50</t>
  </si>
  <si>
    <t>12/06/2018 16:00</t>
  </si>
  <si>
    <t>14/06/2018 14:50</t>
  </si>
  <si>
    <t>21:57</t>
  </si>
  <si>
    <t>02/07/2018 21:57</t>
  </si>
  <si>
    <t>03/07/2018 01:12</t>
  </si>
  <si>
    <t>03/07/2018 22:10</t>
  </si>
  <si>
    <t>04/07/2018 18:05</t>
  </si>
  <si>
    <t>21:12</t>
  </si>
  <si>
    <t>05/07/2018 21:12</t>
  </si>
  <si>
    <t>12/07/2018 13:10</t>
  </si>
  <si>
    <t>15/07/2018 14:55</t>
  </si>
  <si>
    <t>15/07/2018 18:55</t>
  </si>
  <si>
    <t>16/07/2018 18:20</t>
  </si>
  <si>
    <t>16/07/2018 15:43</t>
  </si>
  <si>
    <t>16/07/2018 15:20</t>
  </si>
  <si>
    <t>21/07/2018 13:54</t>
  </si>
  <si>
    <t>16:43</t>
  </si>
  <si>
    <t>24/07/2018 16:43</t>
  </si>
  <si>
    <t>19:16</t>
  </si>
  <si>
    <t>24/07/2018 19:16</t>
  </si>
  <si>
    <t>28/07/2018 16:34</t>
  </si>
  <si>
    <t>08/08/2018 13:30</t>
  </si>
  <si>
    <t>10:01</t>
  </si>
  <si>
    <t>11/08/2018 10:01</t>
  </si>
  <si>
    <t>16/08/2018 18:40</t>
  </si>
  <si>
    <t>03:10</t>
  </si>
  <si>
    <t>16/08/2018 03:10</t>
  </si>
  <si>
    <t>17:56</t>
  </si>
  <si>
    <t>21/08/2018 17:56</t>
  </si>
  <si>
    <t>12:32</t>
  </si>
  <si>
    <t>23/08/2018 12:32</t>
  </si>
  <si>
    <t>26/08/2018 14:15</t>
  </si>
  <si>
    <t>03/09/2018 15:33</t>
  </si>
  <si>
    <t>21:26</t>
  </si>
  <si>
    <t>04/09/2018 21:26</t>
  </si>
  <si>
    <t>05/09/2018 12:47</t>
  </si>
  <si>
    <t>19:57</t>
  </si>
  <si>
    <t>05/09/2018 19:57</t>
  </si>
  <si>
    <t>06/09/2018 12:19</t>
  </si>
  <si>
    <t>15/09/2018 19:05</t>
  </si>
  <si>
    <t>16/09/2018 16:12</t>
  </si>
  <si>
    <t>21:31</t>
  </si>
  <si>
    <t>25/09/2018 21:31</t>
  </si>
  <si>
    <t>25/09/2018 10:01</t>
  </si>
  <si>
    <t>14:54</t>
  </si>
  <si>
    <t>26/09/2018 14:54</t>
  </si>
  <si>
    <t>27/09/2018 20:00</t>
  </si>
  <si>
    <t>27/09/2018 17:20</t>
  </si>
  <si>
    <t>27/09/2018 20:55</t>
  </si>
  <si>
    <t>06/10/2018 12:20</t>
  </si>
  <si>
    <t>26/10/2018 18:40</t>
  </si>
  <si>
    <t>01/11/2018 11:30</t>
  </si>
  <si>
    <t>05/11/2018 10:45</t>
  </si>
  <si>
    <t>06/11/2018 18:06</t>
  </si>
  <si>
    <t>06/11/2018 16:06</t>
  </si>
  <si>
    <t>13/11/2018 16:50</t>
  </si>
  <si>
    <t>13:18</t>
  </si>
  <si>
    <t>14/11/2018 13:18</t>
  </si>
  <si>
    <t>15/11/2018 15:55</t>
  </si>
  <si>
    <t>18/11/2018 14:55</t>
  </si>
  <si>
    <t>07/12/2018 15:14</t>
  </si>
  <si>
    <t>26/12/2018 14:30</t>
  </si>
  <si>
    <t>28/12/2018 19:24</t>
  </si>
  <si>
    <t>04/02/2019 16:34</t>
  </si>
  <si>
    <t>11/02/2019 17:50</t>
  </si>
  <si>
    <t>17/02/2019 14:41</t>
  </si>
  <si>
    <t>18/02/2019 16:50</t>
  </si>
  <si>
    <t>28/02/2019 14:25</t>
  </si>
  <si>
    <t>20:38</t>
  </si>
  <si>
    <t>06/03/2019 20:38</t>
  </si>
  <si>
    <t>19:53</t>
  </si>
  <si>
    <t>08/03/2019 19:53</t>
  </si>
  <si>
    <t>19:49</t>
  </si>
  <si>
    <t>09/03/2019 19:49</t>
  </si>
  <si>
    <t>10/03/2019 21:59</t>
  </si>
  <si>
    <t>19:37</t>
  </si>
  <si>
    <t>18/03/2019 19:37</t>
  </si>
  <si>
    <t>13:46</t>
  </si>
  <si>
    <t>18/03/2019 13:46</t>
  </si>
  <si>
    <t>19:38</t>
  </si>
  <si>
    <t>23/03/2019 19:38</t>
  </si>
  <si>
    <t>24/03/2019 09:29</t>
  </si>
  <si>
    <t>26/03/2019 13:10</t>
  </si>
  <si>
    <t>26/03/2019 11:40</t>
  </si>
  <si>
    <t>17:54</t>
  </si>
  <si>
    <t>05/04/2019 17:54</t>
  </si>
  <si>
    <t>05:05</t>
  </si>
  <si>
    <t>05/04/2019 05:05</t>
  </si>
  <si>
    <t>20/04/2019 20:00</t>
  </si>
  <si>
    <t>08:00</t>
  </si>
  <si>
    <t>21/04/2019 08:00</t>
  </si>
  <si>
    <t>21/04/2019 10:10</t>
  </si>
  <si>
    <t>05/05/2019 13:35</t>
  </si>
  <si>
    <t>18:17</t>
  </si>
  <si>
    <t>08/05/2019 18:17</t>
  </si>
  <si>
    <t>21:48</t>
  </si>
  <si>
    <t>10/05/2019 21:48</t>
  </si>
  <si>
    <t>31/05/2019 18:00</t>
  </si>
  <si>
    <t>08/06/2019 19:49</t>
  </si>
  <si>
    <t>15/06/2019 17:45</t>
  </si>
  <si>
    <t>15/06/2019 18:29</t>
  </si>
  <si>
    <t>20:41</t>
  </si>
  <si>
    <t>18/06/2019 20:41</t>
  </si>
  <si>
    <t>04:30</t>
  </si>
  <si>
    <t>20/06/2019 04:30</t>
  </si>
  <si>
    <t>17:11</t>
  </si>
  <si>
    <t>28/06/2019 17:11</t>
  </si>
  <si>
    <t>07/07/2019 16:30</t>
  </si>
  <si>
    <t>17:29</t>
  </si>
  <si>
    <t>10/07/2019 17:29</t>
  </si>
  <si>
    <t>21:35</t>
  </si>
  <si>
    <t>10/07/2019 21:35</t>
  </si>
  <si>
    <t>11/07/2019 19:30</t>
  </si>
  <si>
    <t>15/07/2019 14:45</t>
  </si>
  <si>
    <t>23/07/2019 18:06</t>
  </si>
  <si>
    <t>14:52</t>
  </si>
  <si>
    <t>06/08/2019 14:52</t>
  </si>
  <si>
    <t>21:51</t>
  </si>
  <si>
    <t>06/08/2019 21:51</t>
  </si>
  <si>
    <t>13:53</t>
  </si>
  <si>
    <t>06/08/2019 13:53</t>
  </si>
  <si>
    <t>05:40</t>
  </si>
  <si>
    <t>10/08/2019 05:40</t>
  </si>
  <si>
    <t>18:53</t>
  </si>
  <si>
    <t>13/08/2019 18:53</t>
  </si>
  <si>
    <t>13/08/2019 19:18</t>
  </si>
  <si>
    <t>15/08/2019 13:30</t>
  </si>
  <si>
    <t>16:26</t>
  </si>
  <si>
    <t>25/08/2019 16:26</t>
  </si>
  <si>
    <t>21:46</t>
  </si>
  <si>
    <t>30/08/2019 21:46</t>
  </si>
  <si>
    <t>06/09/2019 12:49</t>
  </si>
  <si>
    <t>08/09/2019 14:58</t>
  </si>
  <si>
    <t>17:24</t>
  </si>
  <si>
    <t>14/09/2019 17:24</t>
  </si>
  <si>
    <t>20/09/2019 11:15</t>
  </si>
  <si>
    <t>23:53</t>
  </si>
  <si>
    <t>22/09/2019 23:53</t>
  </si>
  <si>
    <t>23/09/2019 14:05</t>
  </si>
  <si>
    <t>29/09/2019 17:02</t>
  </si>
  <si>
    <t>03/10/2019 16:10</t>
  </si>
  <si>
    <t>13:31</t>
  </si>
  <si>
    <t>04/10/2019 13:31</t>
  </si>
  <si>
    <t>09:35</t>
  </si>
  <si>
    <t>21/10/2019 09:35</t>
  </si>
  <si>
    <t>23/10/2019 11:25</t>
  </si>
  <si>
    <t>08:51</t>
  </si>
  <si>
    <t>23/10/2019 08:51</t>
  </si>
  <si>
    <t>17:38</t>
  </si>
  <si>
    <t>01/11/2019 17:38</t>
  </si>
  <si>
    <t>13:36</t>
  </si>
  <si>
    <t>04/11/2019 13:36</t>
  </si>
  <si>
    <t>10:37</t>
  </si>
  <si>
    <t>06/11/2019 10:37</t>
  </si>
  <si>
    <t>10/11/2019 10:37</t>
  </si>
  <si>
    <t>10/11/2019 13:18</t>
  </si>
  <si>
    <t>19/11/2019 10:00</t>
  </si>
  <si>
    <t>01/12/2019 17:43</t>
  </si>
  <si>
    <t>15:42</t>
  </si>
  <si>
    <t>02/12/2019 15:42</t>
  </si>
  <si>
    <t>15:36</t>
  </si>
  <si>
    <t>04/12/2019 15:36</t>
  </si>
  <si>
    <t>05/12/2019 17:45</t>
  </si>
  <si>
    <t>07/12/2019 11:40</t>
  </si>
  <si>
    <t>17:22</t>
  </si>
  <si>
    <t>19/12/2019 17:22</t>
  </si>
  <si>
    <t>22/12/2019 13:25</t>
  </si>
  <si>
    <t>03/01/2020 16:30</t>
  </si>
  <si>
    <t>13:21</t>
  </si>
  <si>
    <t>26/01/2020 13:21</t>
  </si>
  <si>
    <t>18:19</t>
  </si>
  <si>
    <t>29/01/2020 18:19</t>
  </si>
  <si>
    <t>04/02/2020 00:40</t>
  </si>
  <si>
    <t>01/03/2020 13:30</t>
  </si>
  <si>
    <t>01/03/2020 14:19</t>
  </si>
  <si>
    <t>01/03/2020 18:14</t>
  </si>
  <si>
    <t>03/03/2020 17:00</t>
  </si>
  <si>
    <t>03/03/2020 14:53</t>
  </si>
  <si>
    <t>06/03/2020 11:49</t>
  </si>
  <si>
    <t>12:48</t>
  </si>
  <si>
    <t>07/03/2020 12:48</t>
  </si>
  <si>
    <t>08/03/2020 15:45</t>
  </si>
  <si>
    <t>12/03/2020 15:30</t>
  </si>
  <si>
    <t>13/03/2020 08:29</t>
  </si>
  <si>
    <t>17/03/2020 09:35</t>
  </si>
  <si>
    <t>19/03/2020 11:50</t>
  </si>
  <si>
    <t>20/03/2020 13:14</t>
  </si>
  <si>
    <t>20/03/2020 14:55</t>
  </si>
  <si>
    <t>20/03/2020 15:39</t>
  </si>
  <si>
    <t>21/03/2020 13:10</t>
  </si>
  <si>
    <t>21/03/2020 13:21</t>
  </si>
  <si>
    <t>15:52</t>
  </si>
  <si>
    <t>21/03/2020 15:52</t>
  </si>
  <si>
    <t>23/03/2020 13:44</t>
  </si>
  <si>
    <t>14:51</t>
  </si>
  <si>
    <t>24/03/2020 14:51</t>
  </si>
  <si>
    <t>24/03/2020 19:18</t>
  </si>
  <si>
    <t>24/03/2020 15:40</t>
  </si>
  <si>
    <t>06/04/2020 18:35</t>
  </si>
  <si>
    <t>09/04/2020 11:30</t>
  </si>
  <si>
    <t>10/04/2020 15:20</t>
  </si>
  <si>
    <t>11/04/2020 19:20</t>
  </si>
  <si>
    <t>12/04/2020 15:29</t>
  </si>
  <si>
    <t>12:51</t>
  </si>
  <si>
    <t>13/04/2020 12:51</t>
  </si>
  <si>
    <t>21:09</t>
  </si>
  <si>
    <t>14/04/2020 21:09</t>
  </si>
  <si>
    <t>23:39</t>
  </si>
  <si>
    <t>14/04/2020 23:39</t>
  </si>
  <si>
    <t>17:13</t>
  </si>
  <si>
    <t>29/04/2020 17:13</t>
  </si>
  <si>
    <t>18:41</t>
  </si>
  <si>
    <t>01/05/2020 18:41</t>
  </si>
  <si>
    <t>14:43</t>
  </si>
  <si>
    <t>09/05/2020 14:43</t>
  </si>
  <si>
    <t>16:36</t>
  </si>
  <si>
    <t>11/05/2020 16:36</t>
  </si>
  <si>
    <t>20/05/2020 12:00</t>
  </si>
  <si>
    <t>15:18</t>
  </si>
  <si>
    <t>28/05/2020 15:18</t>
  </si>
  <si>
    <t>29/05/2020 17:30</t>
  </si>
  <si>
    <t>06/06/2020 20:43</t>
  </si>
  <si>
    <t>19/06/2020 09:50</t>
  </si>
  <si>
    <t>07:24</t>
  </si>
  <si>
    <t>22/06/2020 07:24</t>
  </si>
  <si>
    <t>25/06/2020 18:10</t>
  </si>
  <si>
    <t>02/07/2020 15:08</t>
  </si>
  <si>
    <t>03/07/2020 10:00</t>
  </si>
  <si>
    <t>16/07/2020 12:55</t>
  </si>
  <si>
    <t>20/07/2020 12:24</t>
  </si>
  <si>
    <t>21/07/2020 16:00</t>
  </si>
  <si>
    <t>13:07</t>
  </si>
  <si>
    <t>22/07/2020 13:07</t>
  </si>
  <si>
    <t>27/07/2020 16:12</t>
  </si>
  <si>
    <t>27/07/2020 14:44</t>
  </si>
  <si>
    <t>23:46</t>
  </si>
  <si>
    <t>31/07/2020 23:46</t>
  </si>
  <si>
    <t>20:12</t>
  </si>
  <si>
    <t>06/08/2020 20:12</t>
  </si>
  <si>
    <t>08/08/2020 16:10</t>
  </si>
  <si>
    <t>15/08/2020 13:00</t>
  </si>
  <si>
    <t>22/08/2020 12:10</t>
  </si>
  <si>
    <t>22/08/2020 16:50</t>
  </si>
  <si>
    <t>25/08/2020 19:55</t>
  </si>
  <si>
    <t>27/08/2020 13:50</t>
  </si>
  <si>
    <t>17:04</t>
  </si>
  <si>
    <t>31/08/2020 17:04</t>
  </si>
  <si>
    <t>01/09/2020 14:05</t>
  </si>
  <si>
    <t>08:56</t>
  </si>
  <si>
    <t>03/09/2020 08:56</t>
  </si>
  <si>
    <t>13:32</t>
  </si>
  <si>
    <t>04/09/2020 13:32</t>
  </si>
  <si>
    <t>09/09/2020 23:00</t>
  </si>
  <si>
    <t>14:42</t>
  </si>
  <si>
    <t>10/09/2020 14:42</t>
  </si>
  <si>
    <t>11/09/2020 15:30</t>
  </si>
  <si>
    <t>13/09/2020 17:54</t>
  </si>
  <si>
    <t>14/09/2020 07:50</t>
  </si>
  <si>
    <t>01:04</t>
  </si>
  <si>
    <t>17/09/2020 01:04</t>
  </si>
  <si>
    <t>02:31</t>
  </si>
  <si>
    <t>17/09/2020 02:31</t>
  </si>
  <si>
    <t>16:11</t>
  </si>
  <si>
    <t>17/09/2020 16:11</t>
  </si>
  <si>
    <t>18/09/2020 20:20</t>
  </si>
  <si>
    <t>26/09/2020 14:10</t>
  </si>
  <si>
    <t>26/09/2020 14:53</t>
  </si>
  <si>
    <t>14:29</t>
  </si>
  <si>
    <t>26/09/2020 14:29</t>
  </si>
  <si>
    <t>26/09/2020 14:55</t>
  </si>
  <si>
    <t>29/09/2020 18:14</t>
  </si>
  <si>
    <t>08/10/2020 14:40</t>
  </si>
  <si>
    <t>12/10/2020 19:05</t>
  </si>
  <si>
    <t>17:23</t>
  </si>
  <si>
    <t>24/10/2020 17:23</t>
  </si>
  <si>
    <t>27/10/2020 12:10</t>
  </si>
  <si>
    <t>01:30</t>
  </si>
  <si>
    <t>28/10/2020 01:30</t>
  </si>
  <si>
    <t>06/11/2020 11:12</t>
  </si>
  <si>
    <t>11/11/2020 12:15</t>
  </si>
  <si>
    <t>13/11/2020 12:49</t>
  </si>
  <si>
    <t>16:16</t>
  </si>
  <si>
    <t>14/11/2020 16:16</t>
  </si>
  <si>
    <t>19/11/2020 15:04</t>
  </si>
  <si>
    <t>21/11/2020 14:15</t>
  </si>
  <si>
    <t>22/11/2020 19:43</t>
  </si>
  <si>
    <t>14:33</t>
  </si>
  <si>
    <t>27/11/2020 14:33</t>
  </si>
  <si>
    <t>28/11/2020 10:42</t>
  </si>
  <si>
    <t>27/12/2020 12:20</t>
  </si>
  <si>
    <t>02/01/2021 14:34</t>
  </si>
  <si>
    <t>08/01/2021 14:10</t>
  </si>
  <si>
    <t>14/01/2021 15:42</t>
  </si>
  <si>
    <t>06/02/2021 14:00</t>
  </si>
  <si>
    <t>06/02/2021 17:45</t>
  </si>
  <si>
    <t>11/02/2021 12:30</t>
  </si>
  <si>
    <t>11/02/2021 13:00</t>
  </si>
  <si>
    <t>11/02/2021 16:26</t>
  </si>
  <si>
    <t>11/02/2021 17:39</t>
  </si>
  <si>
    <t>12/02/2021 15:10</t>
  </si>
  <si>
    <t>14/02/2021 14:40</t>
  </si>
  <si>
    <t>22/02/2021 13:50</t>
  </si>
  <si>
    <t>28/02/2021 08:45</t>
  </si>
  <si>
    <t>03/03/2021 12:55</t>
  </si>
  <si>
    <t>06/03/2021 17:00</t>
  </si>
  <si>
    <t>10/03/2021 13:50</t>
  </si>
  <si>
    <t>13/03/2021 14:49</t>
  </si>
  <si>
    <t>18/03/2021 12:09</t>
  </si>
  <si>
    <t>20/03/2021 15:50</t>
  </si>
  <si>
    <t>30/03/2021 18:00</t>
  </si>
  <si>
    <t>04/04/2021 12:24</t>
  </si>
  <si>
    <t>14:13</t>
  </si>
  <si>
    <t>05/04/2021 14:13</t>
  </si>
  <si>
    <t>05/04/2021 10:30</t>
  </si>
  <si>
    <t>07/04/2021 13:35</t>
  </si>
  <si>
    <t>10:09</t>
  </si>
  <si>
    <t>09/04/2021 10:09</t>
  </si>
  <si>
    <t>10:24</t>
  </si>
  <si>
    <t>11/04/2021 10:24</t>
  </si>
  <si>
    <t>12/04/2021 16:50</t>
  </si>
  <si>
    <t>12/04/2021 19:15</t>
  </si>
  <si>
    <t>10:39</t>
  </si>
  <si>
    <t>19/04/2021 10:39</t>
  </si>
  <si>
    <t>24/04/2021 11:40</t>
  </si>
  <si>
    <t>28/04/2021 18:25</t>
  </si>
  <si>
    <t>28/04/2021 18:00</t>
  </si>
  <si>
    <t>02/05/2021 19:15</t>
  </si>
  <si>
    <t>04/05/2021 20:14</t>
  </si>
  <si>
    <t>22/05/2021 17:04</t>
  </si>
  <si>
    <t>24/05/2021 14:34</t>
  </si>
  <si>
    <t>14:07</t>
  </si>
  <si>
    <t>26/05/2021 14:07</t>
  </si>
  <si>
    <t>14:31</t>
  </si>
  <si>
    <t>31/05/2021 14:31</t>
  </si>
  <si>
    <t>04/06/2021 14:25</t>
  </si>
  <si>
    <t>05/06/2021 22:30</t>
  </si>
  <si>
    <t>20/06/2021 15:30</t>
  </si>
  <si>
    <t>22/06/2021 13:34</t>
  </si>
  <si>
    <t>17:09</t>
  </si>
  <si>
    <t>25/06/2021 17:09</t>
  </si>
  <si>
    <t>06:39</t>
  </si>
  <si>
    <t>26/06/2021 06:39</t>
  </si>
  <si>
    <t>29/06/2021 20:12</t>
  </si>
  <si>
    <t>29/06/2021 18:30</t>
  </si>
  <si>
    <t>01/07/2021 13:30</t>
  </si>
  <si>
    <t>07/07/2021 16:20</t>
  </si>
  <si>
    <t>08:25</t>
  </si>
  <si>
    <t>09/07/2021 08:25</t>
  </si>
  <si>
    <t>03:31</t>
  </si>
  <si>
    <t>12/07/2021 03:31</t>
  </si>
  <si>
    <t>18/07/2021 11:40</t>
  </si>
  <si>
    <t>23/07/2021 13:35</t>
  </si>
  <si>
    <t>00:58</t>
  </si>
  <si>
    <t>24/07/2021 00:58</t>
  </si>
  <si>
    <t>19:21</t>
  </si>
  <si>
    <t>29/07/2021 19:21</t>
  </si>
  <si>
    <t>30/07/2021 10:28</t>
  </si>
  <si>
    <t>08:28</t>
  </si>
  <si>
    <t>30/07/2021 08:28</t>
  </si>
  <si>
    <t>01/08/2021 11:05</t>
  </si>
  <si>
    <t>03/08/2021 13:10</t>
  </si>
  <si>
    <t>03/08/2021 14:58</t>
  </si>
  <si>
    <t>03/08/2021 15:58</t>
  </si>
  <si>
    <t>10:51</t>
  </si>
  <si>
    <t>03/08/2021 10:51</t>
  </si>
  <si>
    <t>21:04</t>
  </si>
  <si>
    <t>03/08/2021 21:04</t>
  </si>
  <si>
    <t>18:59</t>
  </si>
  <si>
    <t>05/08/2021 18:59</t>
  </si>
  <si>
    <t>05/08/2021 22:33</t>
  </si>
  <si>
    <t>21:28</t>
  </si>
  <si>
    <t>06/08/2021 21:28</t>
  </si>
  <si>
    <t>19:54</t>
  </si>
  <si>
    <t>06/08/2021 19:54</t>
  </si>
  <si>
    <t>06/08/2021 16:35</t>
  </si>
  <si>
    <t>11:57</t>
  </si>
  <si>
    <t>08/08/2021 11:57</t>
  </si>
  <si>
    <t>13/08/2021 16:18</t>
  </si>
  <si>
    <t>18/08/2021 19:09</t>
  </si>
  <si>
    <t>21/08/2021 00:23</t>
  </si>
  <si>
    <t>07:09</t>
  </si>
  <si>
    <t>25/08/2021 07:09</t>
  </si>
  <si>
    <t>08:20</t>
  </si>
  <si>
    <t>04/09/2021 08:20</t>
  </si>
  <si>
    <t>05/09/2021 17:02</t>
  </si>
  <si>
    <t>05/09/2021 17:25</t>
  </si>
  <si>
    <t>11:39</t>
  </si>
  <si>
    <t>07/09/2021 11:39</t>
  </si>
  <si>
    <t>18/09/2021 11:41</t>
  </si>
  <si>
    <t>22/09/2021 14:40</t>
  </si>
  <si>
    <t>01/10/2021 21:48</t>
  </si>
  <si>
    <t>04/10/2021 11:57</t>
  </si>
  <si>
    <t>07/10/2021 20:14</t>
  </si>
  <si>
    <t>07/10/2021 16:50</t>
  </si>
  <si>
    <t>10/10/2021 17:00</t>
  </si>
  <si>
    <t>11/10/2021 19:30</t>
  </si>
  <si>
    <t>18:15</t>
  </si>
  <si>
    <t>13/10/2021 18:15</t>
  </si>
  <si>
    <t>12:01</t>
  </si>
  <si>
    <t>15/10/2021 12:01</t>
  </si>
  <si>
    <t>11:26</t>
  </si>
  <si>
    <t>22/10/2021 11:26</t>
  </si>
  <si>
    <t>18:52</t>
  </si>
  <si>
    <t>23/10/2021 18:52</t>
  </si>
  <si>
    <t>24/10/2021 18:00</t>
  </si>
  <si>
    <t>19:04</t>
  </si>
  <si>
    <t>25/10/2021 19:04</t>
  </si>
  <si>
    <t>02:05</t>
  </si>
  <si>
    <t>31/10/2021 02:05</t>
  </si>
  <si>
    <t>03/11/2021 13:45</t>
  </si>
  <si>
    <t>06/11/2021 13:35</t>
  </si>
  <si>
    <t>06/11/2021 13:40</t>
  </si>
  <si>
    <t>20:36</t>
  </si>
  <si>
    <t>09/11/2021 20:36</t>
  </si>
  <si>
    <t>10/11/2021 10:39</t>
  </si>
  <si>
    <t>21:07</t>
  </si>
  <si>
    <t>11/11/2021 21:07</t>
  </si>
  <si>
    <t>01:45</t>
  </si>
  <si>
    <t>11/11/2021 01:45</t>
  </si>
  <si>
    <t>12/11/2021 13:35</t>
  </si>
  <si>
    <t>13/11/2021 07:25</t>
  </si>
  <si>
    <t>18:32</t>
  </si>
  <si>
    <t>14/11/2021 18:32</t>
  </si>
  <si>
    <t>22/11/2021 12:50</t>
  </si>
  <si>
    <t>22/11/2021 13:20</t>
  </si>
  <si>
    <t>23/11/2021 13:30</t>
  </si>
  <si>
    <t>23/11/2021 14:43</t>
  </si>
  <si>
    <t>25/11/2021 18:15</t>
  </si>
  <si>
    <t>27/11/2021 17:09</t>
  </si>
  <si>
    <t>28/11/2021 14:40</t>
  </si>
  <si>
    <t>30/11/2021 17:49</t>
  </si>
  <si>
    <t>22:29</t>
  </si>
  <si>
    <t>01/12/2021 22:29</t>
  </si>
  <si>
    <t>01/12/2021 14:43</t>
  </si>
  <si>
    <t>05/12/2021 13:50</t>
  </si>
  <si>
    <t>23:49</t>
  </si>
  <si>
    <t>06/12/2021 23:49</t>
  </si>
  <si>
    <t>19/12/2021 10:37</t>
  </si>
  <si>
    <t>21/12/2021 17:05</t>
  </si>
  <si>
    <t>24/12/2021 20:36</t>
  </si>
  <si>
    <t>27/12/2021 18:32</t>
  </si>
  <si>
    <t>28/12/2021 18:00</t>
  </si>
  <si>
    <t>04/01/2022 13:40</t>
  </si>
  <si>
    <t>15/01/2022 12:44</t>
  </si>
  <si>
    <t>17/01/2022 12:10</t>
  </si>
  <si>
    <t>13:49</t>
  </si>
  <si>
    <t>26/01/2022 13:49</t>
  </si>
  <si>
    <t>28/01/2022 13:31</t>
  </si>
  <si>
    <t>06/02/2022 17:12</t>
  </si>
  <si>
    <t>18:34</t>
  </si>
  <si>
    <t>11/02/2022 18:34</t>
  </si>
  <si>
    <t>15/02/2022 11:40</t>
  </si>
  <si>
    <t>24/02/2022 13:27</t>
  </si>
  <si>
    <t>14:57</t>
  </si>
  <si>
    <t>24/02/2022 14:57</t>
  </si>
  <si>
    <t>25/02/2022 16:34</t>
  </si>
  <si>
    <t>28/02/2022 13:00</t>
  </si>
  <si>
    <t>15/03/2022 19:00</t>
  </si>
  <si>
    <t>19/03/2022 12:18</t>
  </si>
  <si>
    <t>19:02</t>
  </si>
  <si>
    <t>26/03/2022 19:02</t>
  </si>
  <si>
    <t>27/03/2022 13:29</t>
  </si>
  <si>
    <t>01/04/2022 11:40</t>
  </si>
  <si>
    <t>01/04/2022 10:30</t>
  </si>
  <si>
    <t>02/04/2022 16:39</t>
  </si>
  <si>
    <t>13:38</t>
  </si>
  <si>
    <t>02/04/2022 13:38</t>
  </si>
  <si>
    <t>05/04/2022 15:20</t>
  </si>
  <si>
    <t>16:08</t>
  </si>
  <si>
    <t>07/04/2022 16:08</t>
  </si>
  <si>
    <t>09/04/2022 13:10</t>
  </si>
  <si>
    <t>19:40</t>
  </si>
  <si>
    <t>12/04/2022 19:40</t>
  </si>
  <si>
    <t>10:41</t>
  </si>
  <si>
    <t>13/04/2022 10:41</t>
  </si>
  <si>
    <t>18:45</t>
  </si>
  <si>
    <t>16/04/2022 18:45</t>
  </si>
  <si>
    <t>11:53</t>
  </si>
  <si>
    <t>17/04/2022 11:53</t>
  </si>
  <si>
    <t>17/04/2022 16:45</t>
  </si>
  <si>
    <t>17/04/2022 15:00</t>
  </si>
  <si>
    <t>20/04/2022 12:20</t>
  </si>
  <si>
    <t>21/04/2022 17:10</t>
  </si>
  <si>
    <t>23/04/2022 14:30</t>
  </si>
  <si>
    <t>24/04/2022 19:44</t>
  </si>
  <si>
    <t>27/04/2022 12:50</t>
  </si>
  <si>
    <t>18:28</t>
  </si>
  <si>
    <t>28/04/2022 18:28</t>
  </si>
  <si>
    <t>28/04/2022 14:32</t>
  </si>
  <si>
    <t>29/04/2022 14:34</t>
  </si>
  <si>
    <t>07:42</t>
  </si>
  <si>
    <t>29/04/2022 07:42</t>
  </si>
  <si>
    <t>20:22</t>
  </si>
  <si>
    <t>30/04/2022 20:22</t>
  </si>
  <si>
    <t>03:55</t>
  </si>
  <si>
    <t>02/05/2022 03:55</t>
  </si>
  <si>
    <t>06/05/2022 13:49</t>
  </si>
  <si>
    <t>11/05/2022 15:52</t>
  </si>
  <si>
    <t>29/05/2022 13:48</t>
  </si>
  <si>
    <t>04/06/2022 14:15</t>
  </si>
  <si>
    <t>06/06/2022 19:24</t>
  </si>
  <si>
    <t>16:46</t>
  </si>
  <si>
    <t>06/06/2022 16:46</t>
  </si>
  <si>
    <t>07/06/2022 18:39</t>
  </si>
  <si>
    <t>07/06/2022 20:36</t>
  </si>
  <si>
    <t>07/06/2022 21:12</t>
  </si>
  <si>
    <t>08/06/2022 17:15</t>
  </si>
  <si>
    <t>13/06/2022 18:06</t>
  </si>
  <si>
    <t>15/06/2022 12:45</t>
  </si>
  <si>
    <t>16/06/2022 16:35</t>
  </si>
  <si>
    <t>18/06/2022 18:00</t>
  </si>
  <si>
    <t>22/06/2022 12:15</t>
  </si>
  <si>
    <t>28/06/2022 21:09</t>
  </si>
  <si>
    <t>02/07/2022 12:50</t>
  </si>
  <si>
    <t>13:17</t>
  </si>
  <si>
    <t>06/07/2022 13:17</t>
  </si>
  <si>
    <t>10:48</t>
  </si>
  <si>
    <t>15/07/2022 10:48</t>
  </si>
  <si>
    <t>15/07/2022 15:35</t>
  </si>
  <si>
    <t>18/07/2022 17:10</t>
  </si>
  <si>
    <t>12:29</t>
  </si>
  <si>
    <t>19/07/2022 12:29</t>
  </si>
  <si>
    <t>19/07/2022 13:36</t>
  </si>
  <si>
    <t>20:07</t>
  </si>
  <si>
    <t>24/07/2022 20:07</t>
  </si>
  <si>
    <t>15:32</t>
  </si>
  <si>
    <t>24/07/2022 15:32</t>
  </si>
  <si>
    <t>13:33</t>
  </si>
  <si>
    <t>25/07/2022 13:33</t>
  </si>
  <si>
    <t>01:47</t>
  </si>
  <si>
    <t>25/07/2022 01:47</t>
  </si>
  <si>
    <t>01:52</t>
  </si>
  <si>
    <t>28/07/2022 01:52</t>
  </si>
  <si>
    <t>02/08/2022 14:30</t>
  </si>
  <si>
    <t>03/08/2022 15:20</t>
  </si>
  <si>
    <t>06/08/2022 10:40</t>
  </si>
  <si>
    <t>11:16</t>
  </si>
  <si>
    <t>11/08/2022 11:16</t>
  </si>
  <si>
    <t>13/08/2022 13:28</t>
  </si>
  <si>
    <t>09:32</t>
  </si>
  <si>
    <t>17/08/2022 09:32</t>
  </si>
  <si>
    <t>08/09/2022 19:55</t>
  </si>
  <si>
    <t>09/09/2022 14:49</t>
  </si>
  <si>
    <t>10/09/2022 20:36</t>
  </si>
  <si>
    <t>12/09/2022 12:20</t>
  </si>
  <si>
    <t>15/09/2022 12:10</t>
  </si>
  <si>
    <t>20:48</t>
  </si>
  <si>
    <t>18/09/2022 20:48</t>
  </si>
  <si>
    <t>19/09/2022 10:45</t>
  </si>
  <si>
    <t>23/09/2022 18:33</t>
  </si>
  <si>
    <t>02:54</t>
  </si>
  <si>
    <t>26/09/2022 02:54</t>
  </si>
  <si>
    <t>27/09/2022 19:14</t>
  </si>
  <si>
    <t>28/09/2022 13:36</t>
  </si>
  <si>
    <t>28/09/2022 14:05</t>
  </si>
  <si>
    <t>19:03</t>
  </si>
  <si>
    <t>01/10/2022 19:03</t>
  </si>
  <si>
    <t>02:32</t>
  </si>
  <si>
    <t>04/10/2022 02:32</t>
  </si>
  <si>
    <t>05/10/2022 11:22</t>
  </si>
  <si>
    <t>05/10/2022 14:05</t>
  </si>
  <si>
    <t>08/10/2022 20:45</t>
  </si>
  <si>
    <t>10:46</t>
  </si>
  <si>
    <t>09/10/2022 10:46</t>
  </si>
  <si>
    <t>13:47</t>
  </si>
  <si>
    <t>10/10/2022 13:47</t>
  </si>
  <si>
    <t>11/10/2022 18:17</t>
  </si>
  <si>
    <t>11/10/2022 19:00</t>
  </si>
  <si>
    <t>08:54</t>
  </si>
  <si>
    <t>21/10/2022 08:54</t>
  </si>
  <si>
    <t>25/10/2022 16:52</t>
  </si>
  <si>
    <t>27/10/2022 15:20</t>
  </si>
  <si>
    <t>28/10/2022 20:10</t>
  </si>
  <si>
    <t>29/10/2022 13:48</t>
  </si>
  <si>
    <t>15:22</t>
  </si>
  <si>
    <t>30/10/2022 15:22</t>
  </si>
  <si>
    <t>08:12</t>
  </si>
  <si>
    <t>04/11/2022 08:12</t>
  </si>
  <si>
    <t>05/11/2022 13:49</t>
  </si>
  <si>
    <t>05/11/2022 16:46</t>
  </si>
  <si>
    <t>05/11/2022 16:30</t>
  </si>
  <si>
    <t>17:58</t>
  </si>
  <si>
    <t>06/11/2022 17:58</t>
  </si>
  <si>
    <t>06/11/2022 10:30</t>
  </si>
  <si>
    <t>11/11/2022 16:49</t>
  </si>
  <si>
    <t>15/11/2022 17:38</t>
  </si>
  <si>
    <t>17/11/2022 16:14</t>
  </si>
  <si>
    <t>17/11/2022 13:30</t>
  </si>
  <si>
    <t>20/11/2022 21:44</t>
  </si>
  <si>
    <t>21/11/2022 21:44</t>
  </si>
  <si>
    <t>16:01</t>
  </si>
  <si>
    <t>29/11/2022 16:01</t>
  </si>
  <si>
    <t>22/12/2022 18:19</t>
  </si>
  <si>
    <t>25/12/2022 12:55</t>
  </si>
  <si>
    <t>18:21</t>
  </si>
  <si>
    <t>26/12/2022 18:21</t>
  </si>
  <si>
    <t>12:07</t>
  </si>
  <si>
    <t>27/12/2022 12:07</t>
  </si>
  <si>
    <t>27/12/2022 18:00</t>
  </si>
  <si>
    <t>09/01/2023 12:14</t>
  </si>
  <si>
    <t>12/02/2023 13:25</t>
  </si>
  <si>
    <t>16:41</t>
  </si>
  <si>
    <t>13/02/2023 16:41</t>
  </si>
  <si>
    <t>13/02/2023 11:29</t>
  </si>
  <si>
    <t>17/02/2023 15:00</t>
  </si>
  <si>
    <t>18/02/2023 15:10</t>
  </si>
  <si>
    <t>18/02/2023 10:48</t>
  </si>
  <si>
    <t>26/02/2023 11:50</t>
  </si>
  <si>
    <t>01/03/2023 12:34</t>
  </si>
  <si>
    <t>02/03/2023 14:20</t>
  </si>
  <si>
    <t>13:37</t>
  </si>
  <si>
    <t>03/03/2023 13:37</t>
  </si>
  <si>
    <t>05/03/2023 15:00</t>
  </si>
  <si>
    <t>10/03/2023 19:15</t>
  </si>
  <si>
    <t>11/03/2023 10:25</t>
  </si>
  <si>
    <t>11/03/2023 23:15</t>
  </si>
  <si>
    <t>20/03/2023 15:27</t>
  </si>
  <si>
    <t>25/03/2023 18:59</t>
  </si>
  <si>
    <t>26/03/2023 19:35</t>
  </si>
  <si>
    <t>26/03/2023 13:14</t>
  </si>
  <si>
    <t>26/03/2023 12:30</t>
  </si>
  <si>
    <t>28/03/2023 17:31</t>
  </si>
  <si>
    <t>30/03/2023 12:53</t>
  </si>
  <si>
    <t>13:56</t>
  </si>
  <si>
    <t>30/03/2023 13:56</t>
  </si>
  <si>
    <t>30/03/2023 14:25</t>
  </si>
  <si>
    <t>14:23</t>
  </si>
  <si>
    <t>01/04/2023 14:23</t>
  </si>
  <si>
    <t>02/04/2023 14:02</t>
  </si>
  <si>
    <t>03/04/2023 13:20</t>
  </si>
  <si>
    <t>09:07</t>
  </si>
  <si>
    <t>06/04/2023 09:07</t>
  </si>
  <si>
    <t>09/04/2023 14:00</t>
  </si>
  <si>
    <t>18/04/2023 19:40</t>
  </si>
  <si>
    <t>18/04/2023 11:30</t>
  </si>
  <si>
    <t>18/04/2023 07:20</t>
  </si>
  <si>
    <t>26/04/2023 13:00</t>
  </si>
  <si>
    <t>27/04/2023 16:09</t>
  </si>
  <si>
    <t>01/06/2023 11:55</t>
  </si>
  <si>
    <t>15/06/2023 12:35</t>
  </si>
  <si>
    <t>21:34</t>
  </si>
  <si>
    <t>01/07/2023 21:34</t>
  </si>
  <si>
    <t>04/07/2023 13:07</t>
  </si>
  <si>
    <t>10/07/2023 13:25</t>
  </si>
  <si>
    <t>10/07/2023 14:20</t>
  </si>
  <si>
    <t>14/07/2023 14:47</t>
  </si>
  <si>
    <t>18:56</t>
  </si>
  <si>
    <t>18/07/2023 18:56</t>
  </si>
  <si>
    <t>18/07/2023 12:59</t>
  </si>
  <si>
    <t>18/07/2023 13:15</t>
  </si>
  <si>
    <t>21:02</t>
  </si>
  <si>
    <t>23/07/2023 21:02</t>
  </si>
  <si>
    <t>25/07/2023 14:05</t>
  </si>
  <si>
    <t>06:05</t>
  </si>
  <si>
    <t>25/07/2023 06:05</t>
  </si>
  <si>
    <t>15:46</t>
  </si>
  <si>
    <t>31/07/2023 15:46</t>
  </si>
  <si>
    <t>20:19</t>
  </si>
  <si>
    <t>06/08/2023 20:19</t>
  </si>
  <si>
    <t>08/08/2023 13:15</t>
  </si>
  <si>
    <t>10/08/2023 12:59</t>
  </si>
  <si>
    <t>11:11</t>
  </si>
  <si>
    <t>16/08/2023 11:11</t>
  </si>
  <si>
    <t>16/08/2023 18:43</t>
  </si>
  <si>
    <t>17/08/2023 02:05</t>
  </si>
  <si>
    <t>02:16</t>
  </si>
  <si>
    <t>23/08/2023 02:16</t>
  </si>
  <si>
    <t>23/08/2023 14:10</t>
  </si>
  <si>
    <t>25/08/2023 14:00</t>
  </si>
  <si>
    <t>25/08/2023 16:30</t>
  </si>
  <si>
    <t>27/08/2023 15:52</t>
  </si>
  <si>
    <t>04:04</t>
  </si>
  <si>
    <t>15/09/2023 04:04</t>
  </si>
  <si>
    <t>04:07</t>
  </si>
  <si>
    <t>15/09/2023 04:07</t>
  </si>
  <si>
    <t>01:03</t>
  </si>
  <si>
    <t>18/09/2023 01:03</t>
  </si>
  <si>
    <t>22/09/2023 17:30</t>
  </si>
  <si>
    <t>22:11</t>
  </si>
  <si>
    <t>24/09/2023 22:11</t>
  </si>
  <si>
    <t>25/09/2023 14:52</t>
  </si>
  <si>
    <t>16:17</t>
  </si>
  <si>
    <t>01/10/2023 16:17</t>
  </si>
  <si>
    <t>02/10/2023 19:43</t>
  </si>
  <si>
    <t>02/10/2023 16:10</t>
  </si>
  <si>
    <t>13:51</t>
  </si>
  <si>
    <t>02/10/2023 13:51</t>
  </si>
  <si>
    <t>11/10/2023 12:37</t>
  </si>
  <si>
    <t>25/10/2023 19:50</t>
  </si>
  <si>
    <t>27/10/2023 10:19</t>
  </si>
  <si>
    <t>04/11/2023 08:20</t>
  </si>
  <si>
    <t>04/11/2023 20:32</t>
  </si>
  <si>
    <t>07:30</t>
  </si>
  <si>
    <t>06/11/2023 07:30</t>
  </si>
  <si>
    <t>04:10</t>
  </si>
  <si>
    <t>11/11/2023 04:10</t>
  </si>
  <si>
    <t>15/11/2023 13:30</t>
  </si>
  <si>
    <t>13:22</t>
  </si>
  <si>
    <t>16/11/2023 13:22</t>
  </si>
  <si>
    <t>18/11/2023 11:35</t>
  </si>
  <si>
    <t>18/11/2023 13:09</t>
  </si>
  <si>
    <t>18:02</t>
  </si>
  <si>
    <t>19/11/2023 18:02</t>
  </si>
  <si>
    <t>20/11/2023 13:38</t>
  </si>
  <si>
    <t>20/11/2023 14:49</t>
  </si>
  <si>
    <t>21/11/2023 12:40</t>
  </si>
  <si>
    <t>22/11/2023 16:20</t>
  </si>
  <si>
    <t>25/11/2023 17:45</t>
  </si>
  <si>
    <t>28/11/2023 08:00</t>
  </si>
  <si>
    <t>10:23</t>
  </si>
  <si>
    <t>29/11/2023 10:23</t>
  </si>
  <si>
    <t>03/12/2023 18:00</t>
  </si>
  <si>
    <t>04/12/2023 17:00</t>
  </si>
  <si>
    <t>06/12/2023 20:15</t>
  </si>
  <si>
    <t>06/12/2023 12:09</t>
  </si>
  <si>
    <t>22:28</t>
  </si>
  <si>
    <t>09/12/2023 22:28</t>
  </si>
  <si>
    <t>16:29</t>
  </si>
  <si>
    <t>11/12/2023 16:29</t>
  </si>
  <si>
    <t>15/12/2023 15:50</t>
  </si>
  <si>
    <t>15/12/2023 18:09</t>
  </si>
  <si>
    <t>20/12/2023 12:24</t>
  </si>
  <si>
    <t>26/12/2023 16:20</t>
  </si>
  <si>
    <t>10:49</t>
  </si>
  <si>
    <t>27/12/2023 10:49</t>
  </si>
  <si>
    <t>30/12/2023 18:00</t>
  </si>
  <si>
    <t>03/01/2024 17:35</t>
  </si>
  <si>
    <t>05/01/2024 13:00</t>
  </si>
  <si>
    <t>06/01/2024 13:32</t>
  </si>
  <si>
    <t>19/01/2024 14:50</t>
  </si>
  <si>
    <t>18:51</t>
  </si>
  <si>
    <t>20/01/2024 18:51</t>
  </si>
  <si>
    <t>20/01/2024 03:40</t>
  </si>
  <si>
    <t>01/02/2024 19:30</t>
  </si>
  <si>
    <t>05/02/2024 17:20</t>
  </si>
  <si>
    <t>08/02/2024 16:24</t>
  </si>
  <si>
    <t>10/02/2024 17:24</t>
  </si>
  <si>
    <t>23/02/2024 09:50</t>
  </si>
  <si>
    <t>29/02/2024 17:00</t>
  </si>
  <si>
    <t>19/03/2024 14:20</t>
  </si>
  <si>
    <t>21/03/2024 15:24</t>
  </si>
  <si>
    <t>24/03/2024 15:39</t>
  </si>
  <si>
    <t>26/03/2024 12:00</t>
  </si>
  <si>
    <t>27/03/2024 11:41</t>
  </si>
  <si>
    <t>13:16</t>
  </si>
  <si>
    <t>27/03/2024 13:16</t>
  </si>
  <si>
    <t>30/03/2024 12:07</t>
  </si>
  <si>
    <t>16:27</t>
  </si>
  <si>
    <t>31/03/2024 16:27</t>
  </si>
  <si>
    <t>03/04/2024 17:39</t>
  </si>
  <si>
    <t>12:16</t>
  </si>
  <si>
    <t>03/04/2024 12:16</t>
  </si>
  <si>
    <t>06/04/2024 15:52</t>
  </si>
  <si>
    <t>06:50</t>
  </si>
  <si>
    <t>06/04/2024 06:50</t>
  </si>
  <si>
    <t>07/04/2024 16:45</t>
  </si>
  <si>
    <t>07/04/2024 13:51</t>
  </si>
  <si>
    <t>09/04/2024 16:11</t>
  </si>
  <si>
    <t>10/04/2024 00:30</t>
  </si>
  <si>
    <t>11/04/2024 15:50</t>
  </si>
  <si>
    <t>12/04/2024 11:45</t>
  </si>
  <si>
    <t>12/04/2024 14:09</t>
  </si>
  <si>
    <t>15/04/2024 11:14</t>
  </si>
  <si>
    <t>08:19</t>
  </si>
  <si>
    <t>15/04/2024 08:19</t>
  </si>
  <si>
    <t>17/04/2024 20:38</t>
  </si>
  <si>
    <t>19/04/2024 21:04</t>
  </si>
  <si>
    <t>25/04/2024 11:53</t>
  </si>
  <si>
    <t>17:06</t>
  </si>
  <si>
    <t>03/05/2024 17:06</t>
  </si>
  <si>
    <t>11:08</t>
  </si>
  <si>
    <t>04/05/2024 11:08</t>
  </si>
  <si>
    <t>08/05/2024 15:32</t>
  </si>
  <si>
    <t>21/05/2024 19:50</t>
  </si>
  <si>
    <t>09:27</t>
  </si>
  <si>
    <t>23/05/2024 09:27</t>
  </si>
  <si>
    <t>23/05/2024 14:53</t>
  </si>
  <si>
    <t>03/06/2024 10:05</t>
  </si>
  <si>
    <t>11:58</t>
  </si>
  <si>
    <t>04/06/2024 11:58</t>
  </si>
  <si>
    <t>05/06/2024 15:30</t>
  </si>
  <si>
    <t>04:22</t>
  </si>
  <si>
    <t>07/06/2024 04:22</t>
  </si>
  <si>
    <t>20/06/2024 09:27</t>
  </si>
  <si>
    <t>20/06/2024 11:41</t>
  </si>
  <si>
    <t>14:26</t>
  </si>
  <si>
    <t>20/06/2024 14:26</t>
  </si>
  <si>
    <t>07:16</t>
  </si>
  <si>
    <t>21/06/2024 07:16</t>
  </si>
  <si>
    <t>23/06/2024 14:18</t>
  </si>
  <si>
    <t>25/06/2024 13:14</t>
  </si>
  <si>
    <t>09:53</t>
  </si>
  <si>
    <t>26/06/2024 09:53</t>
  </si>
  <si>
    <t>01/07/2024 13:50</t>
  </si>
  <si>
    <t>01/07/2024 13:32</t>
  </si>
  <si>
    <t>18:07</t>
  </si>
  <si>
    <t>01/07/2024 18:07</t>
  </si>
  <si>
    <t>00:32</t>
  </si>
  <si>
    <t>02/07/2024 00:32</t>
  </si>
  <si>
    <t>16:37</t>
  </si>
  <si>
    <t>15/07/2024 16:37</t>
  </si>
  <si>
    <t>09:52</t>
  </si>
  <si>
    <t>15/07/2024 09:52</t>
  </si>
  <si>
    <t>17/07/2024 15:45</t>
  </si>
  <si>
    <t>18/07/2024 18:58</t>
  </si>
  <si>
    <t>19:41</t>
  </si>
  <si>
    <t>18/07/2024 19:41</t>
  </si>
  <si>
    <t>18/07/2024 20:00</t>
  </si>
  <si>
    <t>18/07/2024 23:05</t>
  </si>
  <si>
    <t>25/07/2024 11:10</t>
  </si>
  <si>
    <t>14:36</t>
  </si>
  <si>
    <t>12/08/2024 14:36</t>
  </si>
  <si>
    <t>13:08</t>
  </si>
  <si>
    <t>17/08/2024 13:08</t>
  </si>
  <si>
    <t>17/08/2024 15:17</t>
  </si>
  <si>
    <t>20/08/2024 16:50</t>
  </si>
  <si>
    <t>21/08/2024 00:25</t>
  </si>
  <si>
    <t>11:01</t>
  </si>
  <si>
    <t>26/08/2024 11:01</t>
  </si>
  <si>
    <t>30/08/2024 14:04</t>
  </si>
  <si>
    <t>04/09/2024 20:38</t>
  </si>
  <si>
    <t>00:18</t>
  </si>
  <si>
    <t>16/09/2024 00:18</t>
  </si>
  <si>
    <t>23:08</t>
  </si>
  <si>
    <t>25/09/2024 23:08</t>
  </si>
  <si>
    <t>23:44</t>
  </si>
  <si>
    <t>04/10/2024 23:44</t>
  </si>
  <si>
    <t>14/10/2024 18:00</t>
  </si>
  <si>
    <t>24/10/2024 13:39</t>
  </si>
  <si>
    <t>30/10/2024 19:03</t>
  </si>
  <si>
    <t>06/11/2024 11:01</t>
  </si>
  <si>
    <t>08/11/2024 19:04</t>
  </si>
  <si>
    <t>11/11/2024 13:35</t>
  </si>
  <si>
    <t>15:37</t>
  </si>
  <si>
    <t>19/11/2024 15:37</t>
  </si>
  <si>
    <t>22/11/2024 10:13</t>
  </si>
  <si>
    <t>23/11/2024 11:00</t>
  </si>
  <si>
    <t>12:08</t>
  </si>
  <si>
    <t>24/11/2024 12:08</t>
  </si>
  <si>
    <t>25/11/2024 14:19</t>
  </si>
  <si>
    <t>07:21</t>
  </si>
  <si>
    <t>25/11/2024 07:21</t>
  </si>
  <si>
    <t>26/11/2024 16:09</t>
  </si>
  <si>
    <t>26/11/2024 09:41</t>
  </si>
  <si>
    <t>28/11/2024 12:00</t>
  </si>
  <si>
    <t>28/11/2024 15:10</t>
  </si>
  <si>
    <t>11/12/2024 14:44</t>
  </si>
  <si>
    <t>12/12/2024 11:11</t>
  </si>
  <si>
    <t>WindDirCode</t>
  </si>
  <si>
    <t>WindDirClass</t>
  </si>
  <si>
    <t>11/03/2013 19:00</t>
  </si>
  <si>
    <t>05/04/2013 23:15</t>
  </si>
  <si>
    <t>00:52</t>
  </si>
  <si>
    <t>07/04/2013 00:52</t>
  </si>
  <si>
    <t>12:41</t>
  </si>
  <si>
    <t>28/04/2013 12:41</t>
  </si>
  <si>
    <t>01/05/2013 13:54</t>
  </si>
  <si>
    <t>23/05/2013 14:40</t>
  </si>
  <si>
    <t>23/05/2013 11:25</t>
  </si>
  <si>
    <t>06/06/2013 18:35</t>
  </si>
  <si>
    <t>27/07/2013 10:38</t>
  </si>
  <si>
    <t>03/08/2013 20:10</t>
  </si>
  <si>
    <t>11/08/2013 16:00</t>
  </si>
  <si>
    <t>15/08/2013 18:05</t>
  </si>
  <si>
    <t>22/08/2013 03:20</t>
  </si>
  <si>
    <t>20/09/2013 11:45</t>
  </si>
  <si>
    <t>22/09/2013 12:53</t>
  </si>
  <si>
    <t>08/11/2013 18:16</t>
  </si>
  <si>
    <t>08/11/2013 08:40</t>
  </si>
  <si>
    <t>22:08</t>
  </si>
  <si>
    <t>20/12/2013 22:08</t>
  </si>
  <si>
    <t>21/01/2013 14:40</t>
  </si>
  <si>
    <t>21/01/2013 16:15</t>
  </si>
  <si>
    <t>02/02/2013 18:15</t>
  </si>
  <si>
    <t>06/02/2013 12:00</t>
  </si>
  <si>
    <t>21/02/2013 09:50</t>
  </si>
  <si>
    <t>01/03/2013 11:10</t>
  </si>
  <si>
    <t>14/03/2013 11:35</t>
  </si>
  <si>
    <t>21/03/2013 11:49</t>
  </si>
  <si>
    <t>21/03/2013 02:30</t>
  </si>
  <si>
    <t>21/03/2013 09:00</t>
  </si>
  <si>
    <t>00:45</t>
  </si>
  <si>
    <t>21/03/2013 00:45</t>
  </si>
  <si>
    <t>23/03/2013 15:10</t>
  </si>
  <si>
    <t>25/03/2013 11:00</t>
  </si>
  <si>
    <t>25/03/2013 11:44</t>
  </si>
  <si>
    <t>25/03/2013 07:20</t>
  </si>
  <si>
    <t>25/03/2013 10:00</t>
  </si>
  <si>
    <t>01:55</t>
  </si>
  <si>
    <t>25/03/2013 01:55</t>
  </si>
  <si>
    <t>25/03/2013 13:30</t>
  </si>
  <si>
    <t>27/03/2013 15:00</t>
  </si>
  <si>
    <t>30/03/2013 09:25</t>
  </si>
  <si>
    <t>30/03/2013 19:00</t>
  </si>
  <si>
    <t>02/04/2013 16:50</t>
  </si>
  <si>
    <t>06/04/2013 11:55</t>
  </si>
  <si>
    <t>06/04/2013 12:30</t>
  </si>
  <si>
    <t>11/04/2013 17:50</t>
  </si>
  <si>
    <t>11/04/2013 17:20</t>
  </si>
  <si>
    <t>29/04/2013 17:39</t>
  </si>
  <si>
    <t>06/05/2013 16:30</t>
  </si>
  <si>
    <t>15:26</t>
  </si>
  <si>
    <t>17/05/2013 15:26</t>
  </si>
  <si>
    <t>05:20</t>
  </si>
  <si>
    <t>02/06/2013 05:20</t>
  </si>
  <si>
    <t>14/06/2013 16:45</t>
  </si>
  <si>
    <t>23:20</t>
  </si>
  <si>
    <t>19/06/2013 23:20</t>
  </si>
  <si>
    <t>22/06/2013 20:10</t>
  </si>
  <si>
    <t>15/07/2013 11:00</t>
  </si>
  <si>
    <t>21/07/2013 20:15</t>
  </si>
  <si>
    <t>28/07/2013 15:40</t>
  </si>
  <si>
    <t>11/08/2013 11:20</t>
  </si>
  <si>
    <t>12/08/2013 15:30</t>
  </si>
  <si>
    <t>10/09/2013 10:00</t>
  </si>
  <si>
    <t>02/10/2013 19:15</t>
  </si>
  <si>
    <t>04/10/2013 17:15</t>
  </si>
  <si>
    <t>06/10/2013 09:50</t>
  </si>
  <si>
    <t>14/10/2013 11:30</t>
  </si>
  <si>
    <t>19/10/2013 18:45</t>
  </si>
  <si>
    <t>03/11/2013 16:30</t>
  </si>
  <si>
    <t>04/11/2013 13:50</t>
  </si>
  <si>
    <t>10/11/2013 12:15</t>
  </si>
  <si>
    <t>12/11/2013 14:00</t>
  </si>
  <si>
    <t>18/11/2013 16:10</t>
  </si>
  <si>
    <t>28/11/2013 17:20</t>
  </si>
  <si>
    <t>06/12/2013 14:20</t>
  </si>
  <si>
    <t>22/02/2013 07:00</t>
  </si>
  <si>
    <t>25/02/2013 15:42</t>
  </si>
  <si>
    <t>13/03/2013 15:00</t>
  </si>
  <si>
    <t>13/03/2013 13:50</t>
  </si>
  <si>
    <t>09:57</t>
  </si>
  <si>
    <t>20/03/2013 09:57</t>
  </si>
  <si>
    <t>19:08</t>
  </si>
  <si>
    <t>21/03/2013 19:08</t>
  </si>
  <si>
    <t>21/03/2013 10:30</t>
  </si>
  <si>
    <t>24/03/2013 14:30</t>
  </si>
  <si>
    <t>09:14</t>
  </si>
  <si>
    <t>25/03/2013 09:14</t>
  </si>
  <si>
    <t>25/03/2013 15:55</t>
  </si>
  <si>
    <t>25/03/2013 10:35</t>
  </si>
  <si>
    <t>27/03/2013 12:10</t>
  </si>
  <si>
    <t>29/03/2013 11:09</t>
  </si>
  <si>
    <t>04:51</t>
  </si>
  <si>
    <t>03/04/2013 04:51</t>
  </si>
  <si>
    <t>06/04/2013 15:20</t>
  </si>
  <si>
    <t>00:44</t>
  </si>
  <si>
    <t>07/04/2013 00:44</t>
  </si>
  <si>
    <t>11:43</t>
  </si>
  <si>
    <t>12/04/2013 11:43</t>
  </si>
  <si>
    <t>11:34</t>
  </si>
  <si>
    <t>22/04/2013 11:34</t>
  </si>
  <si>
    <t>30/04/2013 15:00</t>
  </si>
  <si>
    <t>29/05/2013 01:04</t>
  </si>
  <si>
    <t>05/07/2013 15:20</t>
  </si>
  <si>
    <t>09/07/2013 12:55</t>
  </si>
  <si>
    <t>12/07/2013 16:30</t>
  </si>
  <si>
    <t>19:25</t>
  </si>
  <si>
    <t>24/07/2013 19:25</t>
  </si>
  <si>
    <t>25/07/2013 14:30</t>
  </si>
  <si>
    <t>07/08/2013 16:10</t>
  </si>
  <si>
    <t>12/08/2013 21:00</t>
  </si>
  <si>
    <t>19/08/2013 22:10</t>
  </si>
  <si>
    <t>19:45</t>
  </si>
  <si>
    <t>30/08/2013 19:45</t>
  </si>
  <si>
    <t>11:19</t>
  </si>
  <si>
    <t>01/09/2013 11:19</t>
  </si>
  <si>
    <t>12/09/2013 18:55</t>
  </si>
  <si>
    <t>13/09/2013 18:34</t>
  </si>
  <si>
    <t>08:08</t>
  </si>
  <si>
    <t>16/09/2013 08:08</t>
  </si>
  <si>
    <t>21/09/2013 12:30</t>
  </si>
  <si>
    <t>25/09/2013 16:00</t>
  </si>
  <si>
    <t>29/09/2013 17:00</t>
  </si>
  <si>
    <t>29/09/2013 13:35</t>
  </si>
  <si>
    <t>06/10/2013 12:00</t>
  </si>
  <si>
    <t>12/10/2013 17:55</t>
  </si>
  <si>
    <t>23/10/2013 17:00</t>
  </si>
  <si>
    <t>11/11/2013 16:35</t>
  </si>
  <si>
    <t>12/12/2013 20:45</t>
  </si>
  <si>
    <t>HumiditySpecialClass</t>
  </si>
  <si>
    <t>PrecipitationbasicClass</t>
  </si>
  <si>
    <t>WinddirSpecialClass</t>
  </si>
  <si>
    <t>TimeClass</t>
  </si>
  <si>
    <t>Month</t>
  </si>
  <si>
    <t>Month class</t>
  </si>
  <si>
    <t>Final_DangerClass_combination</t>
  </si>
  <si>
    <t>tempspecialClass</t>
  </si>
  <si>
    <t>Year</t>
  </si>
  <si>
    <t>WindgustSpecialClass</t>
  </si>
  <si>
    <t>WindspeedSpecialClass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</si>
</sst>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2" borderId="1" xfId="0" applyFill="1" applyBorder="1"/>
    <xf numFmtId="3" fontId="0" fillId="0" borderId="0" xfId="0" applyNumberFormat="1"/>
    <xf numFmtId="0" fontId="0" fillId="2" borderId="2" xfId="0" applyFill="1" applyBorder="1"/>
    <xf numFmtId="0" fontId="0" fillId="0" borderId="1" xfId="0" applyBorder="1"/>
    <xf numFmtId="1" fontId="0" fillId="2" borderId="1" xfId="0" applyNumberFormat="1" applyFill="1" applyBorder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212"/>
  <sheetViews>
    <sheetView tabSelected="1" zoomScale="70" zoomScaleNormal="70" workbookViewId="0">
      <selection activeCell="N1" sqref="N1:N1048576"/>
    </sheetView>
  </sheetViews>
  <sheetFormatPr defaultRowHeight="15" x14ac:dyDescent="0.25"/>
  <cols>
    <col min="2" max="2" width="18.28515625" bestFit="1" customWidth="1"/>
    <col min="3" max="3" width="18.28515625" style="2" customWidth="1"/>
    <col min="7" max="7" width="16.42578125" style="2" bestFit="1" customWidth="1"/>
    <col min="13" max="13" width="20.140625" style="2" bestFit="1" customWidth="1"/>
    <col min="15" max="15" width="21.7109375" style="2" bestFit="1" customWidth="1"/>
    <col min="22" max="22" width="14" style="2" bestFit="1" customWidth="1"/>
    <col min="23" max="23" width="10.85546875" bestFit="1" customWidth="1"/>
    <col min="24" max="24" width="15.7109375" style="2" bestFit="1" customWidth="1"/>
    <col min="26" max="26" width="12.85546875" style="2" bestFit="1" customWidth="1"/>
    <col min="27" max="27" width="12.7109375" style="4" bestFit="1" customWidth="1"/>
    <col min="28" max="28" width="19.140625" style="2" bestFit="1" customWidth="1"/>
    <col min="30" max="30" width="14.42578125" bestFit="1" customWidth="1"/>
    <col min="31" max="31" width="9.85546875" style="2" bestFit="1" customWidth="1"/>
    <col min="32" max="32" width="22.7109375" bestFit="1" customWidth="1"/>
    <col min="33" max="34" width="22.7109375" style="2" customWidth="1"/>
    <col min="35" max="35" width="21.42578125" style="3" bestFit="1" customWidth="1"/>
    <col min="36" max="36" width="18.140625" style="2" bestFit="1" customWidth="1"/>
    <col min="39" max="39" width="17.85546875" bestFit="1" customWidth="1"/>
    <col min="40" max="40" width="29.85546875" style="2" bestFit="1" customWidth="1"/>
  </cols>
  <sheetData>
    <row r="1" spans="1:40" x14ac:dyDescent="0.25">
      <c r="A1" t="s">
        <v>0</v>
      </c>
      <c r="B1" t="s">
        <v>1</v>
      </c>
      <c r="C1" s="2" t="s">
        <v>3918</v>
      </c>
      <c r="D1" t="s">
        <v>2</v>
      </c>
      <c r="E1" t="s">
        <v>3</v>
      </c>
      <c r="F1" t="s">
        <v>4</v>
      </c>
      <c r="G1" s="2" t="s">
        <v>3917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s="2" t="s">
        <v>3910</v>
      </c>
      <c r="N1" t="s">
        <v>10</v>
      </c>
      <c r="O1" s="2" t="s">
        <v>3911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s="2" t="s">
        <v>3919</v>
      </c>
      <c r="W1" t="s">
        <v>17</v>
      </c>
      <c r="X1" s="2" t="s">
        <v>3920</v>
      </c>
      <c r="Y1" t="s">
        <v>18</v>
      </c>
      <c r="Z1" s="2" t="s">
        <v>3778</v>
      </c>
      <c r="AA1" s="4" t="s">
        <v>3779</v>
      </c>
      <c r="AB1" s="2" t="s">
        <v>3912</v>
      </c>
      <c r="AC1" t="s">
        <v>19</v>
      </c>
      <c r="AD1" t="s">
        <v>20</v>
      </c>
      <c r="AE1" s="2" t="s">
        <v>3913</v>
      </c>
      <c r="AF1" t="s">
        <v>21</v>
      </c>
      <c r="AG1" s="2" t="s">
        <v>3914</v>
      </c>
      <c r="AH1" s="2" t="s">
        <v>3915</v>
      </c>
      <c r="AI1" s="3" t="s">
        <v>22</v>
      </c>
      <c r="AJ1" s="2" t="s">
        <v>23</v>
      </c>
      <c r="AK1" t="s">
        <v>24</v>
      </c>
      <c r="AL1" t="s">
        <v>25</v>
      </c>
      <c r="AM1" t="s">
        <v>26</v>
      </c>
      <c r="AN1" s="2" t="s">
        <v>3916</v>
      </c>
    </row>
    <row r="2" spans="1:40" x14ac:dyDescent="0.25">
      <c r="A2" t="s">
        <v>27</v>
      </c>
      <c r="B2" s="1">
        <v>36650</v>
      </c>
      <c r="C2" s="6">
        <f>YEAR(B2)</f>
        <v>2000</v>
      </c>
      <c r="D2">
        <v>60.9</v>
      </c>
      <c r="E2">
        <v>57.3</v>
      </c>
      <c r="F2">
        <v>58.1</v>
      </c>
      <c r="G2" s="2">
        <f>IF(F2&lt;=70,0,1)</f>
        <v>0</v>
      </c>
      <c r="H2">
        <v>60.9</v>
      </c>
      <c r="I2">
        <v>57.3</v>
      </c>
      <c r="J2">
        <v>58.1</v>
      </c>
      <c r="K2">
        <v>48.9</v>
      </c>
      <c r="L2">
        <v>71.599999999999994</v>
      </c>
      <c r="M2" s="2">
        <f>IF(L2&lt;=66,1,0)</f>
        <v>0</v>
      </c>
      <c r="N2">
        <v>0</v>
      </c>
      <c r="O2" s="2">
        <f>IF(N2&lt;=0.01,1,0)</f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f>IF(U2&lt;=9,0,1)</f>
        <v>0</v>
      </c>
      <c r="W2">
        <v>23</v>
      </c>
      <c r="X2" s="2">
        <f>IF(W2&gt;=16,1,0)</f>
        <v>1</v>
      </c>
      <c r="Y2">
        <v>328.5</v>
      </c>
      <c r="Z2" s="2" t="str">
        <f>CHOOSE(MATCH(Y2,{0;11;80;111;161;191;241;281;341},1),"North","NorthEast","East","SouthEast","South","SouthWest","West","NorthWest","North")</f>
        <v>NorthWest</v>
      </c>
      <c r="AA2" s="4">
        <f>CHOOSE(MATCH(Z2,{"South";"SouthEast";"SouthWest";"North";"NorthEast";"East";"West";"NorthWest"},0),1,2,3,4,5,6,7,8)</f>
        <v>8</v>
      </c>
      <c r="AB2" s="2">
        <f>IF(OR(AA2=4,AA2=5,AA2=8),1,0)</f>
        <v>1</v>
      </c>
      <c r="AC2">
        <v>1013.8</v>
      </c>
      <c r="AD2" t="s">
        <v>28</v>
      </c>
      <c r="AE2" s="2">
        <f>IF(TIMEVALUE(AD2)&lt;=TIME(12,30,0),0,1)</f>
        <v>1</v>
      </c>
      <c r="AF2" t="s">
        <v>29</v>
      </c>
      <c r="AG2" s="2">
        <f>MONTH(AF2)</f>
        <v>5</v>
      </c>
      <c r="AH2" s="2">
        <f>IF(OR(AG2=6,AG2=7,AG2=8),1,0)</f>
        <v>0</v>
      </c>
      <c r="AI2" s="3">
        <v>270.99999999278231</v>
      </c>
      <c r="AJ2" s="2">
        <v>0</v>
      </c>
      <c r="AK2">
        <v>0</v>
      </c>
      <c r="AL2">
        <v>15</v>
      </c>
      <c r="AM2">
        <v>0</v>
      </c>
      <c r="AN2" s="2">
        <f>IF((2*G2+M2-O2+3*V2+2*AB2+2*AE2+2*AH2+3*AJ2)&gt;=7,1,0)</f>
        <v>0</v>
      </c>
    </row>
    <row r="3" spans="1:40" x14ac:dyDescent="0.25">
      <c r="A3" t="s">
        <v>27</v>
      </c>
      <c r="B3" s="1">
        <v>36656</v>
      </c>
      <c r="C3" s="6">
        <f t="shared" ref="C3:C66" si="0">YEAR(B3)</f>
        <v>2000</v>
      </c>
      <c r="D3">
        <v>73.5</v>
      </c>
      <c r="E3">
        <v>60.9</v>
      </c>
      <c r="F3">
        <v>68.099999999999994</v>
      </c>
      <c r="G3" s="2">
        <f t="shared" ref="G3:G66" si="1">IF(F3&lt;=70,0,1)</f>
        <v>0</v>
      </c>
      <c r="H3">
        <v>73.5</v>
      </c>
      <c r="I3">
        <v>60.9</v>
      </c>
      <c r="J3">
        <v>68.099999999999994</v>
      </c>
      <c r="K3">
        <v>48</v>
      </c>
      <c r="L3">
        <v>48.9</v>
      </c>
      <c r="M3" s="2">
        <f t="shared" ref="M3:M66" si="2">IF(L3&lt;=66,1,0)</f>
        <v>1</v>
      </c>
      <c r="N3">
        <v>0</v>
      </c>
      <c r="O3" s="2">
        <f t="shared" ref="O3:O66" si="3">IF(N3&lt;=0.01,1,0)</f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s="2">
        <f t="shared" ref="V3:V66" si="4">IF(U3&lt;=9,0,1)</f>
        <v>0</v>
      </c>
      <c r="W3">
        <v>10.3</v>
      </c>
      <c r="X3" s="2">
        <f t="shared" ref="X3:X66" si="5">IF(W3&gt;=16,1,0)</f>
        <v>0</v>
      </c>
      <c r="Y3">
        <v>296.60000000000002</v>
      </c>
      <c r="Z3" s="2" t="str">
        <f>CHOOSE(MATCH(Y3,{0;11;80;111;161;191;241;281;341},1),"North","NorthEast","East","SouthEast","South","SouthWest","West","NorthWest","North")</f>
        <v>NorthWest</v>
      </c>
      <c r="AA3" s="4">
        <f>CHOOSE(MATCH(Z3,{"South";"SouthEast";"SouthWest";"North";"NorthEast";"East";"West";"NorthWest"},0),1,2,3,4,5,6,7,8)</f>
        <v>8</v>
      </c>
      <c r="AB3" s="2">
        <f t="shared" ref="AB3:AB66" si="6">IF(OR(AA3=4,AA3=5,AA3=8),1,0)</f>
        <v>1</v>
      </c>
      <c r="AC3">
        <v>1020.2</v>
      </c>
      <c r="AD3" t="s">
        <v>30</v>
      </c>
      <c r="AE3" s="2">
        <f t="shared" ref="AE3:AE66" si="7">IF(TIMEVALUE(AD3)&lt;=TIME(12,30,0),0,1)</f>
        <v>1</v>
      </c>
      <c r="AF3" t="s">
        <v>31</v>
      </c>
      <c r="AG3" s="2">
        <f t="shared" ref="AG3:AG66" si="8">MONTH(AF3)</f>
        <v>5</v>
      </c>
      <c r="AH3" s="2">
        <f t="shared" ref="AH3:AH66" si="9">IF(OR(AG3=6,AG3=7,AG3=8),1,0)</f>
        <v>0</v>
      </c>
      <c r="AI3" s="3">
        <v>325.9999999939464</v>
      </c>
      <c r="AJ3" s="2">
        <v>0</v>
      </c>
      <c r="AK3">
        <v>0</v>
      </c>
      <c r="AL3">
        <v>10</v>
      </c>
      <c r="AM3">
        <v>0</v>
      </c>
      <c r="AN3" s="2">
        <f>IF((2*G3+M3-O3+3*V3+2*AB3+2*AE3+2*AH3+3*AJ3)&gt;=7,1,0)</f>
        <v>0</v>
      </c>
    </row>
    <row r="4" spans="1:40" x14ac:dyDescent="0.25">
      <c r="A4" t="s">
        <v>27</v>
      </c>
      <c r="B4" s="1">
        <v>36661</v>
      </c>
      <c r="C4" s="6">
        <f t="shared" si="0"/>
        <v>2000</v>
      </c>
      <c r="D4">
        <v>73.5</v>
      </c>
      <c r="E4">
        <v>62.7</v>
      </c>
      <c r="F4">
        <v>67.099999999999994</v>
      </c>
      <c r="G4" s="2">
        <f t="shared" si="1"/>
        <v>0</v>
      </c>
      <c r="H4">
        <v>73.5</v>
      </c>
      <c r="I4">
        <v>62.7</v>
      </c>
      <c r="J4">
        <v>67.099999999999994</v>
      </c>
      <c r="K4">
        <v>56.3</v>
      </c>
      <c r="L4">
        <v>69.5</v>
      </c>
      <c r="M4" s="2">
        <f t="shared" si="2"/>
        <v>0</v>
      </c>
      <c r="N4">
        <v>0</v>
      </c>
      <c r="O4" s="2">
        <f t="shared" si="3"/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s="2">
        <f t="shared" si="4"/>
        <v>0</v>
      </c>
      <c r="W4">
        <v>12.8</v>
      </c>
      <c r="X4" s="2">
        <f t="shared" si="5"/>
        <v>0</v>
      </c>
      <c r="Y4">
        <v>351.7</v>
      </c>
      <c r="Z4" s="2" t="str">
        <f>CHOOSE(MATCH(Y4,{0;11;80;111;161;191;241;281;341},1),"North","NorthEast","East","SouthEast","South","SouthWest","West","NorthWest","North")</f>
        <v>North</v>
      </c>
      <c r="AA4" s="4">
        <f>CHOOSE(MATCH(Z4,{"South";"SouthEast";"SouthWest";"North";"NorthEast";"East";"West";"NorthWest"},0),1,2,3,4,5,6,7,8)</f>
        <v>4</v>
      </c>
      <c r="AB4" s="2">
        <f t="shared" si="6"/>
        <v>1</v>
      </c>
      <c r="AC4">
        <v>1016.1</v>
      </c>
      <c r="AD4" t="s">
        <v>32</v>
      </c>
      <c r="AE4" s="2">
        <f t="shared" si="7"/>
        <v>1</v>
      </c>
      <c r="AF4" t="s">
        <v>33</v>
      </c>
      <c r="AG4" s="2">
        <f t="shared" si="8"/>
        <v>5</v>
      </c>
      <c r="AH4" s="2">
        <f t="shared" si="9"/>
        <v>0</v>
      </c>
      <c r="AI4" s="3">
        <v>110.9999999951106</v>
      </c>
      <c r="AJ4" s="2">
        <v>0</v>
      </c>
      <c r="AK4">
        <v>0</v>
      </c>
      <c r="AL4">
        <v>20</v>
      </c>
      <c r="AM4">
        <v>0</v>
      </c>
      <c r="AN4" s="2">
        <f>IF((2*G4+M4-O4+3*V4+2*AB4+2*AE4+2*AH4+3*AJ4)&gt;=7,1,0)</f>
        <v>0</v>
      </c>
    </row>
    <row r="5" spans="1:40" x14ac:dyDescent="0.25">
      <c r="A5" t="s">
        <v>27</v>
      </c>
      <c r="B5" s="1">
        <v>36666</v>
      </c>
      <c r="C5" s="6">
        <f t="shared" si="0"/>
        <v>2000</v>
      </c>
      <c r="D5">
        <v>78.900000000000006</v>
      </c>
      <c r="E5">
        <v>60.9</v>
      </c>
      <c r="F5">
        <v>69.099999999999994</v>
      </c>
      <c r="G5" s="2">
        <f t="shared" si="1"/>
        <v>0</v>
      </c>
      <c r="H5">
        <v>78.900000000000006</v>
      </c>
      <c r="I5">
        <v>60.9</v>
      </c>
      <c r="J5">
        <v>69.099999999999994</v>
      </c>
      <c r="K5">
        <v>49.7</v>
      </c>
      <c r="L5">
        <v>53.1</v>
      </c>
      <c r="M5" s="2">
        <f t="shared" si="2"/>
        <v>1</v>
      </c>
      <c r="N5">
        <v>0</v>
      </c>
      <c r="O5" s="2">
        <f t="shared" si="3"/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2">
        <f t="shared" si="4"/>
        <v>0</v>
      </c>
      <c r="W5">
        <v>9.1999999999999993</v>
      </c>
      <c r="X5" s="2">
        <f t="shared" si="5"/>
        <v>0</v>
      </c>
      <c r="Y5">
        <v>311.8</v>
      </c>
      <c r="Z5" s="2" t="str">
        <f>CHOOSE(MATCH(Y5,{0;11;80;111;161;191;241;281;341},1),"North","NorthEast","East","SouthEast","South","SouthWest","West","NorthWest","North")</f>
        <v>NorthWest</v>
      </c>
      <c r="AA5" s="4">
        <f>CHOOSE(MATCH(Z5,{"South";"SouthEast";"SouthWest";"North";"NorthEast";"East";"West";"NorthWest"},0),1,2,3,4,5,6,7,8)</f>
        <v>8</v>
      </c>
      <c r="AB5" s="2">
        <f t="shared" si="6"/>
        <v>1</v>
      </c>
      <c r="AC5">
        <v>1010.5</v>
      </c>
      <c r="AD5" t="s">
        <v>34</v>
      </c>
      <c r="AE5" s="2">
        <f t="shared" si="7"/>
        <v>1</v>
      </c>
      <c r="AF5" t="s">
        <v>35</v>
      </c>
      <c r="AG5" s="2">
        <f t="shared" si="8"/>
        <v>5</v>
      </c>
      <c r="AH5" s="2">
        <f t="shared" si="9"/>
        <v>0</v>
      </c>
      <c r="AI5" s="3">
        <v>410.99999999860302</v>
      </c>
      <c r="AJ5" s="2">
        <v>1</v>
      </c>
      <c r="AK5">
        <v>0</v>
      </c>
      <c r="AL5">
        <v>10</v>
      </c>
      <c r="AM5">
        <v>0</v>
      </c>
      <c r="AN5" s="2">
        <f>IF((2*G5+M5-O5+3*V5+2*AB5+2*AE5+2*AH5+3*AJ5)&gt;=7,1,0)</f>
        <v>1</v>
      </c>
    </row>
    <row r="6" spans="1:40" x14ac:dyDescent="0.25">
      <c r="A6" t="s">
        <v>27</v>
      </c>
      <c r="B6" s="1">
        <v>36667</v>
      </c>
      <c r="C6" s="6">
        <f t="shared" si="0"/>
        <v>2000</v>
      </c>
      <c r="D6">
        <v>78.900000000000006</v>
      </c>
      <c r="E6">
        <v>60.9</v>
      </c>
      <c r="F6">
        <v>70.599999999999994</v>
      </c>
      <c r="G6" s="2">
        <f t="shared" si="1"/>
        <v>1</v>
      </c>
      <c r="H6">
        <v>78.900000000000006</v>
      </c>
      <c r="I6">
        <v>60.9</v>
      </c>
      <c r="J6">
        <v>70.599999999999994</v>
      </c>
      <c r="K6">
        <v>48.4</v>
      </c>
      <c r="L6">
        <v>46.8</v>
      </c>
      <c r="M6" s="2">
        <f t="shared" si="2"/>
        <v>1</v>
      </c>
      <c r="N6">
        <v>0</v>
      </c>
      <c r="O6" s="2">
        <f t="shared" si="3"/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s="2">
        <f t="shared" si="4"/>
        <v>0</v>
      </c>
      <c r="W6">
        <v>9.1999999999999993</v>
      </c>
      <c r="X6" s="2">
        <f t="shared" si="5"/>
        <v>0</v>
      </c>
      <c r="Y6">
        <v>80.400000000000006</v>
      </c>
      <c r="Z6" s="2" t="str">
        <f>CHOOSE(MATCH(Y6,{0;11;80;111;161;191;241;281;341},1),"North","NorthEast","East","SouthEast","South","SouthWest","West","NorthWest","North")</f>
        <v>East</v>
      </c>
      <c r="AA6" s="4">
        <f>CHOOSE(MATCH(Z6,{"South";"SouthEast";"SouthWest";"North";"NorthEast";"East";"West";"NorthWest"},0),1,2,3,4,5,6,7,8)</f>
        <v>6</v>
      </c>
      <c r="AB6" s="2">
        <f t="shared" si="6"/>
        <v>0</v>
      </c>
      <c r="AC6">
        <v>1012.5</v>
      </c>
      <c r="AD6" t="s">
        <v>28</v>
      </c>
      <c r="AE6" s="2">
        <f t="shared" si="7"/>
        <v>1</v>
      </c>
      <c r="AF6" t="s">
        <v>36</v>
      </c>
      <c r="AG6" s="2">
        <f t="shared" si="8"/>
        <v>5</v>
      </c>
      <c r="AH6" s="2">
        <f t="shared" si="9"/>
        <v>0</v>
      </c>
      <c r="AI6" s="3">
        <v>380.99999999511061</v>
      </c>
      <c r="AJ6" s="2">
        <v>1</v>
      </c>
      <c r="AK6">
        <v>0</v>
      </c>
      <c r="AL6">
        <v>70</v>
      </c>
      <c r="AM6">
        <v>0</v>
      </c>
      <c r="AN6" s="2">
        <f>IF((2*G6+M6-O6+3*V6+2*AB6+2*AE6+2*AH6+3*AJ6)&gt;=7,1,0)</f>
        <v>1</v>
      </c>
    </row>
    <row r="7" spans="1:40" x14ac:dyDescent="0.25">
      <c r="A7" t="s">
        <v>27</v>
      </c>
      <c r="B7" s="1">
        <v>36667</v>
      </c>
      <c r="C7" s="6">
        <f t="shared" si="0"/>
        <v>2000</v>
      </c>
      <c r="D7">
        <v>78.900000000000006</v>
      </c>
      <c r="E7">
        <v>60.9</v>
      </c>
      <c r="F7">
        <v>70.599999999999994</v>
      </c>
      <c r="G7" s="2">
        <f t="shared" si="1"/>
        <v>1</v>
      </c>
      <c r="H7">
        <v>78.900000000000006</v>
      </c>
      <c r="I7">
        <v>60.9</v>
      </c>
      <c r="J7">
        <v>70.599999999999994</v>
      </c>
      <c r="K7">
        <v>48.4</v>
      </c>
      <c r="L7">
        <v>46.8</v>
      </c>
      <c r="M7" s="2">
        <f t="shared" si="2"/>
        <v>1</v>
      </c>
      <c r="N7">
        <v>0</v>
      </c>
      <c r="O7" s="2">
        <f t="shared" si="3"/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s="2">
        <f t="shared" si="4"/>
        <v>0</v>
      </c>
      <c r="W7">
        <v>9.1999999999999993</v>
      </c>
      <c r="X7" s="2">
        <f t="shared" si="5"/>
        <v>0</v>
      </c>
      <c r="Y7">
        <v>80.400000000000006</v>
      </c>
      <c r="Z7" s="2" t="str">
        <f>CHOOSE(MATCH(Y7,{0;11;80;111;161;191;241;281;341},1),"North","NorthEast","East","SouthEast","South","SouthWest","West","NorthWest","North")</f>
        <v>East</v>
      </c>
      <c r="AA7" s="4">
        <f>CHOOSE(MATCH(Z7,{"South";"SouthEast";"SouthWest";"North";"NorthEast";"East";"West";"NorthWest"},0),1,2,3,4,5,6,7,8)</f>
        <v>6</v>
      </c>
      <c r="AB7" s="2">
        <f t="shared" si="6"/>
        <v>0</v>
      </c>
      <c r="AC7">
        <v>1012.5</v>
      </c>
      <c r="AD7" t="s">
        <v>37</v>
      </c>
      <c r="AE7" s="2">
        <f t="shared" si="7"/>
        <v>1</v>
      </c>
      <c r="AF7" t="s">
        <v>38</v>
      </c>
      <c r="AG7" s="2">
        <f t="shared" si="8"/>
        <v>5</v>
      </c>
      <c r="AH7" s="2">
        <f t="shared" si="9"/>
        <v>0</v>
      </c>
      <c r="AI7" s="3">
        <v>176.00000000791621</v>
      </c>
      <c r="AJ7" s="2">
        <v>0</v>
      </c>
      <c r="AK7">
        <v>8</v>
      </c>
      <c r="AL7">
        <v>0</v>
      </c>
      <c r="AM7">
        <v>0</v>
      </c>
      <c r="AN7" s="2">
        <f>IF((2*G7+M7-O7+3*V7+2*AB7+2*AE7+2*AH7+3*AJ7)&gt;=7,1,0)</f>
        <v>0</v>
      </c>
    </row>
    <row r="8" spans="1:40" x14ac:dyDescent="0.25">
      <c r="A8" t="s">
        <v>27</v>
      </c>
      <c r="B8" s="1">
        <v>36667</v>
      </c>
      <c r="C8" s="6">
        <f t="shared" si="0"/>
        <v>2000</v>
      </c>
      <c r="D8">
        <v>78.900000000000006</v>
      </c>
      <c r="E8">
        <v>60.9</v>
      </c>
      <c r="F8">
        <v>70.599999999999994</v>
      </c>
      <c r="G8" s="2">
        <f t="shared" si="1"/>
        <v>1</v>
      </c>
      <c r="H8">
        <v>78.900000000000006</v>
      </c>
      <c r="I8">
        <v>60.9</v>
      </c>
      <c r="J8">
        <v>70.599999999999994</v>
      </c>
      <c r="K8">
        <v>48.4</v>
      </c>
      <c r="L8">
        <v>46.8</v>
      </c>
      <c r="M8" s="2">
        <f t="shared" si="2"/>
        <v>1</v>
      </c>
      <c r="N8">
        <v>0</v>
      </c>
      <c r="O8" s="2">
        <f t="shared" si="3"/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s="2">
        <f t="shared" si="4"/>
        <v>0</v>
      </c>
      <c r="W8">
        <v>9.1999999999999993</v>
      </c>
      <c r="X8" s="2">
        <f t="shared" si="5"/>
        <v>0</v>
      </c>
      <c r="Y8">
        <v>80.400000000000006</v>
      </c>
      <c r="Z8" s="2" t="str">
        <f>CHOOSE(MATCH(Y8,{0;11;80;111;161;191;241;281;341},1),"North","NorthEast","East","SouthEast","South","SouthWest","West","NorthWest","North")</f>
        <v>East</v>
      </c>
      <c r="AA8" s="4">
        <f>CHOOSE(MATCH(Z8,{"South";"SouthEast";"SouthWest";"North";"NorthEast";"East";"West";"NorthWest"},0),1,2,3,4,5,6,7,8)</f>
        <v>6</v>
      </c>
      <c r="AB8" s="2">
        <f t="shared" si="6"/>
        <v>0</v>
      </c>
      <c r="AC8">
        <v>1012.5</v>
      </c>
      <c r="AD8" t="s">
        <v>39</v>
      </c>
      <c r="AE8" s="2">
        <f t="shared" si="7"/>
        <v>1</v>
      </c>
      <c r="AF8" t="s">
        <v>40</v>
      </c>
      <c r="AG8" s="2">
        <f t="shared" si="8"/>
        <v>5</v>
      </c>
      <c r="AH8" s="2">
        <f t="shared" si="9"/>
        <v>0</v>
      </c>
      <c r="AI8" s="3">
        <v>110.9999999951106</v>
      </c>
      <c r="AJ8" s="2">
        <v>0</v>
      </c>
      <c r="AK8">
        <v>1</v>
      </c>
      <c r="AL8">
        <v>0</v>
      </c>
      <c r="AM8">
        <v>0</v>
      </c>
      <c r="AN8" s="2">
        <f>IF((2*G8+M8-O8+3*V8+2*AB8+2*AE8+2*AH8+3*AJ8)&gt;=7,1,0)</f>
        <v>0</v>
      </c>
    </row>
    <row r="9" spans="1:40" x14ac:dyDescent="0.25">
      <c r="A9" t="s">
        <v>27</v>
      </c>
      <c r="B9" s="1">
        <v>36668</v>
      </c>
      <c r="C9" s="6">
        <f t="shared" si="0"/>
        <v>2000</v>
      </c>
      <c r="D9">
        <v>73.5</v>
      </c>
      <c r="E9">
        <v>60.9</v>
      </c>
      <c r="F9">
        <v>68.400000000000006</v>
      </c>
      <c r="G9" s="2">
        <f t="shared" si="1"/>
        <v>0</v>
      </c>
      <c r="H9">
        <v>73.5</v>
      </c>
      <c r="I9">
        <v>60.9</v>
      </c>
      <c r="J9">
        <v>68.400000000000006</v>
      </c>
      <c r="K9">
        <v>58.1</v>
      </c>
      <c r="L9">
        <v>69.900000000000006</v>
      </c>
      <c r="M9" s="2">
        <f t="shared" si="2"/>
        <v>0</v>
      </c>
      <c r="N9">
        <v>0</v>
      </c>
      <c r="O9" s="2">
        <f t="shared" si="3"/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2">
        <f t="shared" si="4"/>
        <v>0</v>
      </c>
      <c r="W9">
        <v>10.3</v>
      </c>
      <c r="X9" s="2">
        <f t="shared" si="5"/>
        <v>0</v>
      </c>
      <c r="Y9">
        <v>73.7</v>
      </c>
      <c r="Z9" s="2" t="str">
        <f>CHOOSE(MATCH(Y9,{0;11;80;111;161;191;241;281;341},1),"North","NorthEast","East","SouthEast","South","SouthWest","West","NorthWest","North")</f>
        <v>NorthEast</v>
      </c>
      <c r="AA9" s="4">
        <f>CHOOSE(MATCH(Z9,{"South";"SouthEast";"SouthWest";"North";"NorthEast";"East";"West";"NorthWest"},0),1,2,3,4,5,6,7,8)</f>
        <v>5</v>
      </c>
      <c r="AB9" s="2">
        <f t="shared" si="6"/>
        <v>1</v>
      </c>
      <c r="AC9">
        <v>1014.4</v>
      </c>
      <c r="AD9" t="s">
        <v>41</v>
      </c>
      <c r="AE9" s="2">
        <f t="shared" si="7"/>
        <v>0</v>
      </c>
      <c r="AF9" t="s">
        <v>42</v>
      </c>
      <c r="AG9" s="2">
        <f t="shared" si="8"/>
        <v>5</v>
      </c>
      <c r="AH9" s="2">
        <f t="shared" si="9"/>
        <v>0</v>
      </c>
      <c r="AI9" s="3">
        <v>40.999999997438863</v>
      </c>
      <c r="AJ9" s="2">
        <v>0</v>
      </c>
      <c r="AK9">
        <v>0</v>
      </c>
      <c r="AL9">
        <v>30</v>
      </c>
      <c r="AM9">
        <v>0</v>
      </c>
      <c r="AN9" s="2">
        <f>IF((2*G9+M9-O9+3*V9+2*AB9+2*AE9+2*AH9+3*AJ9)&gt;=7,1,0)</f>
        <v>0</v>
      </c>
    </row>
    <row r="10" spans="1:40" x14ac:dyDescent="0.25">
      <c r="A10" t="s">
        <v>27</v>
      </c>
      <c r="B10" s="1">
        <v>36668</v>
      </c>
      <c r="C10" s="6">
        <f t="shared" si="0"/>
        <v>2000</v>
      </c>
      <c r="D10">
        <v>73.5</v>
      </c>
      <c r="E10">
        <v>60.9</v>
      </c>
      <c r="F10">
        <v>68.400000000000006</v>
      </c>
      <c r="G10" s="2">
        <f t="shared" si="1"/>
        <v>0</v>
      </c>
      <c r="H10">
        <v>73.5</v>
      </c>
      <c r="I10">
        <v>60.9</v>
      </c>
      <c r="J10">
        <v>68.400000000000006</v>
      </c>
      <c r="K10">
        <v>58.1</v>
      </c>
      <c r="L10">
        <v>69.900000000000006</v>
      </c>
      <c r="M10" s="2">
        <f t="shared" si="2"/>
        <v>0</v>
      </c>
      <c r="N10">
        <v>0</v>
      </c>
      <c r="O10" s="2">
        <f t="shared" si="3"/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s="2">
        <f t="shared" si="4"/>
        <v>0</v>
      </c>
      <c r="W10">
        <v>10.3</v>
      </c>
      <c r="X10" s="2">
        <f t="shared" si="5"/>
        <v>0</v>
      </c>
      <c r="Y10">
        <v>73.7</v>
      </c>
      <c r="Z10" s="2" t="str">
        <f>CHOOSE(MATCH(Y10,{0;11;80;111;161;191;241;281;341},1),"North","NorthEast","East","SouthEast","South","SouthWest","West","NorthWest","North")</f>
        <v>NorthEast</v>
      </c>
      <c r="AA10" s="4">
        <f>CHOOSE(MATCH(Z10,{"South";"SouthEast";"SouthWest";"North";"NorthEast";"East";"West";"NorthWest"},0),1,2,3,4,5,6,7,8)</f>
        <v>5</v>
      </c>
      <c r="AB10" s="2">
        <f t="shared" si="6"/>
        <v>1</v>
      </c>
      <c r="AC10">
        <v>1014.4</v>
      </c>
      <c r="AD10" t="s">
        <v>43</v>
      </c>
      <c r="AE10" s="2">
        <f t="shared" si="7"/>
        <v>0</v>
      </c>
      <c r="AF10" t="s">
        <v>44</v>
      </c>
      <c r="AG10" s="2">
        <f t="shared" si="8"/>
        <v>5</v>
      </c>
      <c r="AH10" s="2">
        <f t="shared" si="9"/>
        <v>0</v>
      </c>
      <c r="AI10" s="3">
        <v>1779.9999999976719</v>
      </c>
      <c r="AJ10" s="2">
        <v>1</v>
      </c>
      <c r="AK10">
        <v>0</v>
      </c>
      <c r="AL10">
        <v>70</v>
      </c>
      <c r="AM10">
        <v>0</v>
      </c>
      <c r="AN10" s="2">
        <f>IF((2*G10+M10-O10+3*V10+2*AB10+2*AE10+2*AH10+3*AJ10)&gt;=7,1,0)</f>
        <v>0</v>
      </c>
    </row>
    <row r="11" spans="1:40" x14ac:dyDescent="0.25">
      <c r="A11" t="s">
        <v>27</v>
      </c>
      <c r="B11" s="1">
        <v>36670</v>
      </c>
      <c r="C11" s="6">
        <f t="shared" si="0"/>
        <v>2000</v>
      </c>
      <c r="D11">
        <v>77.099999999999994</v>
      </c>
      <c r="E11">
        <v>66.3</v>
      </c>
      <c r="F11">
        <v>70.900000000000006</v>
      </c>
      <c r="G11" s="2">
        <f t="shared" si="1"/>
        <v>1</v>
      </c>
      <c r="H11">
        <v>77.099999999999994</v>
      </c>
      <c r="I11">
        <v>66.3</v>
      </c>
      <c r="J11">
        <v>70.900000000000006</v>
      </c>
      <c r="K11">
        <v>59.5</v>
      </c>
      <c r="L11">
        <v>67.599999999999994</v>
      </c>
      <c r="M11" s="2">
        <f t="shared" si="2"/>
        <v>0</v>
      </c>
      <c r="N11">
        <v>0</v>
      </c>
      <c r="O11" s="2">
        <f t="shared" si="3"/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s="2">
        <f t="shared" si="4"/>
        <v>0</v>
      </c>
      <c r="W11">
        <v>15</v>
      </c>
      <c r="X11" s="2">
        <f t="shared" si="5"/>
        <v>0</v>
      </c>
      <c r="Y11">
        <v>1.7</v>
      </c>
      <c r="Z11" s="2" t="str">
        <f>CHOOSE(MATCH(Y11,{0;11;80;111;161;191;241;281;341},1),"North","NorthEast","East","SouthEast","South","SouthWest","West","NorthWest","North")</f>
        <v>North</v>
      </c>
      <c r="AA11" s="4">
        <f>CHOOSE(MATCH(Z11,{"South";"SouthEast";"SouthWest";"North";"NorthEast";"East";"West";"NorthWest"},0),1,2,3,4,5,6,7,8)</f>
        <v>4</v>
      </c>
      <c r="AB11" s="2">
        <f t="shared" si="6"/>
        <v>1</v>
      </c>
      <c r="AC11">
        <v>1011.9</v>
      </c>
      <c r="AD11" t="s">
        <v>45</v>
      </c>
      <c r="AE11" s="2">
        <f t="shared" si="7"/>
        <v>1</v>
      </c>
      <c r="AF11" t="s">
        <v>46</v>
      </c>
      <c r="AG11" s="2">
        <f t="shared" si="8"/>
        <v>5</v>
      </c>
      <c r="AH11" s="2">
        <f t="shared" si="9"/>
        <v>0</v>
      </c>
      <c r="AI11" s="3">
        <v>124.9999999988358</v>
      </c>
      <c r="AJ11" s="2">
        <v>0</v>
      </c>
      <c r="AK11">
        <v>0</v>
      </c>
      <c r="AL11">
        <v>5</v>
      </c>
      <c r="AM11">
        <v>0</v>
      </c>
      <c r="AN11" s="2">
        <f>IF((2*G11+M11-O11+3*V11+2*AB11+2*AE11+2*AH11+3*AJ11)&gt;=7,1,0)</f>
        <v>0</v>
      </c>
    </row>
    <row r="12" spans="1:40" x14ac:dyDescent="0.25">
      <c r="A12" t="s">
        <v>27</v>
      </c>
      <c r="B12" s="1">
        <v>36673</v>
      </c>
      <c r="C12" s="6">
        <f t="shared" si="0"/>
        <v>2000</v>
      </c>
      <c r="D12">
        <v>73.5</v>
      </c>
      <c r="E12">
        <v>62.7</v>
      </c>
      <c r="F12">
        <v>68.7</v>
      </c>
      <c r="G12" s="2">
        <f t="shared" si="1"/>
        <v>0</v>
      </c>
      <c r="H12">
        <v>73.5</v>
      </c>
      <c r="I12">
        <v>62.7</v>
      </c>
      <c r="J12">
        <v>68.7</v>
      </c>
      <c r="K12">
        <v>58.8</v>
      </c>
      <c r="L12">
        <v>70.900000000000006</v>
      </c>
      <c r="M12" s="2">
        <f t="shared" si="2"/>
        <v>0</v>
      </c>
      <c r="N12">
        <v>0</v>
      </c>
      <c r="O12" s="2">
        <f t="shared" si="3"/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s="2">
        <f t="shared" si="4"/>
        <v>0</v>
      </c>
      <c r="W12">
        <v>15</v>
      </c>
      <c r="X12" s="2">
        <f t="shared" si="5"/>
        <v>0</v>
      </c>
      <c r="Y12">
        <v>329</v>
      </c>
      <c r="Z12" s="2" t="str">
        <f>CHOOSE(MATCH(Y12,{0;11;80;111;161;191;241;281;341},1),"North","NorthEast","East","SouthEast","South","SouthWest","West","NorthWest","North")</f>
        <v>NorthWest</v>
      </c>
      <c r="AA12" s="4">
        <f>CHOOSE(MATCH(Z12,{"South";"SouthEast";"SouthWest";"North";"NorthEast";"East";"West";"NorthWest"},0),1,2,3,4,5,6,7,8)</f>
        <v>8</v>
      </c>
      <c r="AB12" s="2">
        <f t="shared" si="6"/>
        <v>1</v>
      </c>
      <c r="AC12">
        <v>1014.2</v>
      </c>
      <c r="AD12" t="s">
        <v>47</v>
      </c>
      <c r="AE12" s="2">
        <f t="shared" si="7"/>
        <v>1</v>
      </c>
      <c r="AF12" t="s">
        <v>48</v>
      </c>
      <c r="AG12" s="2">
        <f t="shared" si="8"/>
        <v>5</v>
      </c>
      <c r="AH12" s="2">
        <f t="shared" si="9"/>
        <v>0</v>
      </c>
      <c r="AI12" s="3">
        <v>35.999999991618097</v>
      </c>
      <c r="AJ12" s="2">
        <v>0</v>
      </c>
      <c r="AK12">
        <v>0</v>
      </c>
      <c r="AL12">
        <v>0.5</v>
      </c>
      <c r="AM12">
        <v>0</v>
      </c>
      <c r="AN12" s="2">
        <f>IF((2*G12+M12-O12+3*V12+2*AB12+2*AE12+2*AH12+3*AJ12)&gt;=7,1,0)</f>
        <v>0</v>
      </c>
    </row>
    <row r="13" spans="1:40" x14ac:dyDescent="0.25">
      <c r="A13" t="s">
        <v>27</v>
      </c>
      <c r="B13" s="1">
        <v>36678</v>
      </c>
      <c r="C13" s="6">
        <f t="shared" si="0"/>
        <v>2000</v>
      </c>
      <c r="D13">
        <v>78.900000000000006</v>
      </c>
      <c r="E13">
        <v>64.5</v>
      </c>
      <c r="F13">
        <v>72.2</v>
      </c>
      <c r="G13" s="2">
        <f t="shared" si="1"/>
        <v>1</v>
      </c>
      <c r="H13">
        <v>78.900000000000006</v>
      </c>
      <c r="I13">
        <v>64.5</v>
      </c>
      <c r="J13">
        <v>72.2</v>
      </c>
      <c r="K13">
        <v>63.4</v>
      </c>
      <c r="L13">
        <v>74.3</v>
      </c>
      <c r="M13" s="2">
        <f t="shared" si="2"/>
        <v>0</v>
      </c>
      <c r="N13">
        <v>0</v>
      </c>
      <c r="O13" s="2">
        <f t="shared" si="3"/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s="2">
        <f t="shared" si="4"/>
        <v>0</v>
      </c>
      <c r="W13">
        <v>11.4</v>
      </c>
      <c r="X13" s="2">
        <f t="shared" si="5"/>
        <v>0</v>
      </c>
      <c r="Y13">
        <v>16.100000000000001</v>
      </c>
      <c r="Z13" s="2" t="str">
        <f>CHOOSE(MATCH(Y13,{0;11;80;111;161;191;241;281;341},1),"North","NorthEast","East","SouthEast","South","SouthWest","West","NorthWest","North")</f>
        <v>NorthEast</v>
      </c>
      <c r="AA13" s="4">
        <f>CHOOSE(MATCH(Z13,{"South";"SouthEast";"SouthWest";"North";"NorthEast";"East";"West";"NorthWest"},0),1,2,3,4,5,6,7,8)</f>
        <v>5</v>
      </c>
      <c r="AB13" s="2">
        <f t="shared" si="6"/>
        <v>1</v>
      </c>
      <c r="AC13">
        <v>1011.9</v>
      </c>
      <c r="AD13" t="s">
        <v>49</v>
      </c>
      <c r="AE13" s="2">
        <f t="shared" si="7"/>
        <v>1</v>
      </c>
      <c r="AF13" t="s">
        <v>50</v>
      </c>
      <c r="AG13" s="2">
        <f t="shared" si="8"/>
        <v>6</v>
      </c>
      <c r="AH13" s="2">
        <f t="shared" si="9"/>
        <v>1</v>
      </c>
      <c r="AI13" s="3">
        <v>1525.9999999974391</v>
      </c>
      <c r="AJ13" s="2">
        <v>1</v>
      </c>
      <c r="AK13">
        <v>0</v>
      </c>
      <c r="AL13">
        <v>5</v>
      </c>
      <c r="AM13">
        <v>0</v>
      </c>
      <c r="AN13" s="2">
        <f>IF((2*G13+M13-O13+3*V13+2*AB13+2*AE13+2*AH13+3*AJ13)&gt;=7,1,0)</f>
        <v>1</v>
      </c>
    </row>
    <row r="14" spans="1:40" x14ac:dyDescent="0.25">
      <c r="A14" t="s">
        <v>27</v>
      </c>
      <c r="B14" s="1">
        <v>36680</v>
      </c>
      <c r="C14" s="6">
        <f t="shared" si="0"/>
        <v>2000</v>
      </c>
      <c r="D14">
        <v>71.7</v>
      </c>
      <c r="E14">
        <v>66.3</v>
      </c>
      <c r="F14">
        <v>69.2</v>
      </c>
      <c r="G14" s="2">
        <f t="shared" si="1"/>
        <v>0</v>
      </c>
      <c r="H14">
        <v>71.7</v>
      </c>
      <c r="I14">
        <v>66.3</v>
      </c>
      <c r="J14">
        <v>69.2</v>
      </c>
      <c r="K14">
        <v>54.2</v>
      </c>
      <c r="L14">
        <v>59</v>
      </c>
      <c r="M14" s="2">
        <f t="shared" si="2"/>
        <v>1</v>
      </c>
      <c r="N14">
        <v>0</v>
      </c>
      <c r="O14" s="2">
        <f t="shared" si="3"/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s="2">
        <f t="shared" si="4"/>
        <v>0</v>
      </c>
      <c r="W14">
        <v>23</v>
      </c>
      <c r="X14" s="2">
        <f t="shared" si="5"/>
        <v>1</v>
      </c>
      <c r="Y14">
        <v>329.9</v>
      </c>
      <c r="Z14" s="2" t="str">
        <f>CHOOSE(MATCH(Y14,{0;11;80;111;161;191;241;281;341},1),"North","NorthEast","East","SouthEast","South","SouthWest","West","NorthWest","North")</f>
        <v>NorthWest</v>
      </c>
      <c r="AA14" s="4">
        <f>CHOOSE(MATCH(Z14,{"South";"SouthEast";"SouthWest";"North";"NorthEast";"East";"West";"NorthWest"},0),1,2,3,4,5,6,7,8)</f>
        <v>8</v>
      </c>
      <c r="AB14" s="2">
        <f t="shared" si="6"/>
        <v>1</v>
      </c>
      <c r="AC14">
        <v>1015.2</v>
      </c>
      <c r="AD14" t="s">
        <v>51</v>
      </c>
      <c r="AE14" s="2">
        <f t="shared" si="7"/>
        <v>1</v>
      </c>
      <c r="AF14" t="s">
        <v>52</v>
      </c>
      <c r="AG14" s="2">
        <f t="shared" si="8"/>
        <v>6</v>
      </c>
      <c r="AH14" s="2">
        <f t="shared" si="9"/>
        <v>1</v>
      </c>
      <c r="AI14" s="3">
        <v>50.999999998603023</v>
      </c>
      <c r="AJ14" s="2">
        <v>0</v>
      </c>
      <c r="AK14">
        <v>3</v>
      </c>
      <c r="AL14">
        <v>0</v>
      </c>
      <c r="AM14">
        <v>0</v>
      </c>
      <c r="AN14" s="2">
        <f>IF((2*G14+M14-O14+3*V14+2*AB14+2*AE14+2*AH14+3*AJ14)&gt;=7,1,0)</f>
        <v>0</v>
      </c>
    </row>
    <row r="15" spans="1:40" x14ac:dyDescent="0.25">
      <c r="A15" t="s">
        <v>27</v>
      </c>
      <c r="B15" s="1">
        <v>36681</v>
      </c>
      <c r="C15" s="6">
        <f t="shared" si="0"/>
        <v>2000</v>
      </c>
      <c r="D15">
        <v>75.3</v>
      </c>
      <c r="E15">
        <v>68.099999999999994</v>
      </c>
      <c r="F15">
        <v>70.599999999999994</v>
      </c>
      <c r="G15" s="2">
        <f t="shared" si="1"/>
        <v>1</v>
      </c>
      <c r="H15">
        <v>75.3</v>
      </c>
      <c r="I15">
        <v>68.099999999999994</v>
      </c>
      <c r="J15">
        <v>70.599999999999994</v>
      </c>
      <c r="K15">
        <v>55.8</v>
      </c>
      <c r="L15">
        <v>59.8</v>
      </c>
      <c r="M15" s="2">
        <f t="shared" si="2"/>
        <v>1</v>
      </c>
      <c r="N15">
        <v>0</v>
      </c>
      <c r="O15" s="2">
        <f t="shared" si="3"/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s="2">
        <f t="shared" si="4"/>
        <v>0</v>
      </c>
      <c r="W15">
        <v>19.5</v>
      </c>
      <c r="X15" s="2">
        <f t="shared" si="5"/>
        <v>1</v>
      </c>
      <c r="Y15">
        <v>313.60000000000002</v>
      </c>
      <c r="Z15" s="2" t="str">
        <f>CHOOSE(MATCH(Y15,{0;11;80;111;161;191;241;281;341},1),"North","NorthEast","East","SouthEast","South","SouthWest","West","NorthWest","North")</f>
        <v>NorthWest</v>
      </c>
      <c r="AA15" s="4">
        <f>CHOOSE(MATCH(Z15,{"South";"SouthEast";"SouthWest";"North";"NorthEast";"East";"West";"NorthWest"},0),1,2,3,4,5,6,7,8)</f>
        <v>8</v>
      </c>
      <c r="AB15" s="2">
        <f t="shared" si="6"/>
        <v>1</v>
      </c>
      <c r="AC15">
        <v>1015.7</v>
      </c>
      <c r="AD15" t="s">
        <v>53</v>
      </c>
      <c r="AE15" s="2">
        <f t="shared" si="7"/>
        <v>0</v>
      </c>
      <c r="AF15" t="s">
        <v>54</v>
      </c>
      <c r="AG15" s="2">
        <f t="shared" si="8"/>
        <v>6</v>
      </c>
      <c r="AH15" s="2">
        <f t="shared" si="9"/>
        <v>1</v>
      </c>
      <c r="AI15" s="3">
        <v>134.00000000721769</v>
      </c>
      <c r="AJ15" s="2">
        <v>0</v>
      </c>
      <c r="AK15">
        <v>0</v>
      </c>
      <c r="AL15">
        <v>1</v>
      </c>
      <c r="AM15">
        <v>0</v>
      </c>
      <c r="AN15" s="2">
        <f>IF((2*G15+M15-O15+3*V15+2*AB15+2*AE15+2*AH15+3*AJ15)&gt;=7,1,0)</f>
        <v>0</v>
      </c>
    </row>
    <row r="16" spans="1:40" x14ac:dyDescent="0.25">
      <c r="A16" t="s">
        <v>27</v>
      </c>
      <c r="B16" s="1">
        <v>36681</v>
      </c>
      <c r="C16" s="6">
        <f t="shared" si="0"/>
        <v>2000</v>
      </c>
      <c r="D16">
        <v>75.3</v>
      </c>
      <c r="E16">
        <v>68.099999999999994</v>
      </c>
      <c r="F16">
        <v>70.599999999999994</v>
      </c>
      <c r="G16" s="2">
        <f t="shared" si="1"/>
        <v>1</v>
      </c>
      <c r="H16">
        <v>75.3</v>
      </c>
      <c r="I16">
        <v>68.099999999999994</v>
      </c>
      <c r="J16">
        <v>70.599999999999994</v>
      </c>
      <c r="K16">
        <v>55.8</v>
      </c>
      <c r="L16">
        <v>59.8</v>
      </c>
      <c r="M16" s="2">
        <f t="shared" si="2"/>
        <v>1</v>
      </c>
      <c r="N16">
        <v>0</v>
      </c>
      <c r="O16" s="2">
        <f t="shared" si="3"/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s="2">
        <f t="shared" si="4"/>
        <v>0</v>
      </c>
      <c r="W16">
        <v>19.5</v>
      </c>
      <c r="X16" s="2">
        <f t="shared" si="5"/>
        <v>1</v>
      </c>
      <c r="Y16">
        <v>313.60000000000002</v>
      </c>
      <c r="Z16" s="2" t="str">
        <f>CHOOSE(MATCH(Y16,{0;11;80;111;161;191;241;281;341},1),"North","NorthEast","East","SouthEast","South","SouthWest","West","NorthWest","North")</f>
        <v>NorthWest</v>
      </c>
      <c r="AA16" s="4">
        <f>CHOOSE(MATCH(Z16,{"South";"SouthEast";"SouthWest";"North";"NorthEast";"East";"West";"NorthWest"},0),1,2,3,4,5,6,7,8)</f>
        <v>8</v>
      </c>
      <c r="AB16" s="2">
        <f t="shared" si="6"/>
        <v>1</v>
      </c>
      <c r="AC16">
        <v>1015.7</v>
      </c>
      <c r="AD16" t="s">
        <v>55</v>
      </c>
      <c r="AE16" s="2">
        <f t="shared" si="7"/>
        <v>0</v>
      </c>
      <c r="AF16" t="s">
        <v>56</v>
      </c>
      <c r="AG16" s="2">
        <f t="shared" si="8"/>
        <v>6</v>
      </c>
      <c r="AH16" s="2">
        <f t="shared" si="9"/>
        <v>1</v>
      </c>
      <c r="AI16" s="3">
        <v>405</v>
      </c>
      <c r="AJ16" s="2">
        <v>1</v>
      </c>
      <c r="AK16">
        <v>1</v>
      </c>
      <c r="AL16">
        <v>0</v>
      </c>
      <c r="AM16">
        <v>0</v>
      </c>
      <c r="AN16" s="2">
        <f>IF((2*G16+M16-O16+3*V16+2*AB16+2*AE16+2*AH16+3*AJ16)&gt;=7,1,0)</f>
        <v>1</v>
      </c>
    </row>
    <row r="17" spans="1:40" x14ac:dyDescent="0.25">
      <c r="A17" t="s">
        <v>27</v>
      </c>
      <c r="B17" s="1">
        <v>36683</v>
      </c>
      <c r="C17" s="6">
        <f t="shared" si="0"/>
        <v>2000</v>
      </c>
      <c r="D17">
        <v>77.099999999999994</v>
      </c>
      <c r="E17">
        <v>64.5</v>
      </c>
      <c r="F17">
        <v>72.2</v>
      </c>
      <c r="G17" s="2">
        <f t="shared" si="1"/>
        <v>1</v>
      </c>
      <c r="H17">
        <v>77.099999999999994</v>
      </c>
      <c r="I17">
        <v>64.5</v>
      </c>
      <c r="J17">
        <v>72.2</v>
      </c>
      <c r="K17">
        <v>56.4</v>
      </c>
      <c r="L17">
        <v>58</v>
      </c>
      <c r="M17" s="2">
        <f t="shared" si="2"/>
        <v>1</v>
      </c>
      <c r="N17">
        <v>0</v>
      </c>
      <c r="O17" s="2">
        <f t="shared" si="3"/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s="2">
        <f t="shared" si="4"/>
        <v>0</v>
      </c>
      <c r="W17">
        <v>19.5</v>
      </c>
      <c r="X17" s="2">
        <f t="shared" si="5"/>
        <v>1</v>
      </c>
      <c r="Y17">
        <v>311</v>
      </c>
      <c r="Z17" s="2" t="str">
        <f>CHOOSE(MATCH(Y17,{0;11;80;111;161;191;241;281;341},1),"North","NorthEast","East","SouthEast","South","SouthWest","West","NorthWest","North")</f>
        <v>NorthWest</v>
      </c>
      <c r="AA17" s="4">
        <f>CHOOSE(MATCH(Z17,{"South";"SouthEast";"SouthWest";"North";"NorthEast";"East";"West";"NorthWest"},0),1,2,3,4,5,6,7,8)</f>
        <v>8</v>
      </c>
      <c r="AB17" s="2">
        <f t="shared" si="6"/>
        <v>1</v>
      </c>
      <c r="AC17">
        <v>1010.4</v>
      </c>
      <c r="AD17" t="s">
        <v>57</v>
      </c>
      <c r="AE17" s="2">
        <f t="shared" si="7"/>
        <v>1</v>
      </c>
      <c r="AF17" t="s">
        <v>58</v>
      </c>
      <c r="AG17" s="2">
        <f t="shared" si="8"/>
        <v>6</v>
      </c>
      <c r="AH17" s="2">
        <f t="shared" si="9"/>
        <v>1</v>
      </c>
      <c r="AI17" s="3">
        <v>521.00000000093132</v>
      </c>
      <c r="AJ17" s="2">
        <v>1</v>
      </c>
      <c r="AK17">
        <v>0</v>
      </c>
      <c r="AL17">
        <v>8</v>
      </c>
      <c r="AM17">
        <v>0</v>
      </c>
      <c r="AN17" s="2">
        <f>IF((2*G17+M17-O17+3*V17+2*AB17+2*AE17+2*AH17+3*AJ17)&gt;=7,1,0)</f>
        <v>1</v>
      </c>
    </row>
    <row r="18" spans="1:40" x14ac:dyDescent="0.25">
      <c r="A18" t="s">
        <v>27</v>
      </c>
      <c r="B18" s="1">
        <v>36685</v>
      </c>
      <c r="C18" s="6">
        <f t="shared" si="0"/>
        <v>2000</v>
      </c>
      <c r="D18">
        <v>82.5</v>
      </c>
      <c r="E18">
        <v>66.3</v>
      </c>
      <c r="F18">
        <v>75.099999999999994</v>
      </c>
      <c r="G18" s="2">
        <f t="shared" si="1"/>
        <v>1</v>
      </c>
      <c r="H18">
        <v>83</v>
      </c>
      <c r="I18">
        <v>66.3</v>
      </c>
      <c r="J18">
        <v>75.2</v>
      </c>
      <c r="K18">
        <v>58.1</v>
      </c>
      <c r="L18">
        <v>56.1</v>
      </c>
      <c r="M18" s="2">
        <f t="shared" si="2"/>
        <v>1</v>
      </c>
      <c r="N18">
        <v>0</v>
      </c>
      <c r="O18" s="2">
        <f t="shared" si="3"/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s="2">
        <f t="shared" si="4"/>
        <v>0</v>
      </c>
      <c r="W18">
        <v>12.8</v>
      </c>
      <c r="X18" s="2">
        <f t="shared" si="5"/>
        <v>0</v>
      </c>
      <c r="Y18">
        <v>286.39999999999998</v>
      </c>
      <c r="Z18" s="2" t="str">
        <f>CHOOSE(MATCH(Y18,{0;11;80;111;161;191;241;281;341},1),"North","NorthEast","East","SouthEast","South","SouthWest","West","NorthWest","North")</f>
        <v>NorthWest</v>
      </c>
      <c r="AA18" s="4">
        <f>CHOOSE(MATCH(Z18,{"South";"SouthEast";"SouthWest";"North";"NorthEast";"East";"West";"NorthWest"},0),1,2,3,4,5,6,7,8)</f>
        <v>8</v>
      </c>
      <c r="AB18" s="2">
        <f t="shared" si="6"/>
        <v>1</v>
      </c>
      <c r="AC18">
        <v>1013.4</v>
      </c>
      <c r="AD18" t="s">
        <v>59</v>
      </c>
      <c r="AE18" s="2">
        <f t="shared" si="7"/>
        <v>0</v>
      </c>
      <c r="AF18" t="s">
        <v>60</v>
      </c>
      <c r="AG18" s="2">
        <f t="shared" si="8"/>
        <v>6</v>
      </c>
      <c r="AH18" s="2">
        <f t="shared" si="9"/>
        <v>1</v>
      </c>
      <c r="AI18" s="3">
        <v>90</v>
      </c>
      <c r="AJ18" s="2">
        <v>0</v>
      </c>
      <c r="AK18">
        <v>0</v>
      </c>
      <c r="AL18">
        <v>0.5</v>
      </c>
      <c r="AM18">
        <v>0</v>
      </c>
      <c r="AN18" s="2">
        <f>IF((2*G18+M18-O18+3*V18+2*AB18+2*AE18+2*AH18+3*AJ18)&gt;=7,1,0)</f>
        <v>0</v>
      </c>
    </row>
    <row r="19" spans="1:40" x14ac:dyDescent="0.25">
      <c r="A19" t="s">
        <v>27</v>
      </c>
      <c r="B19" s="1">
        <v>36685</v>
      </c>
      <c r="C19" s="6">
        <f t="shared" si="0"/>
        <v>2000</v>
      </c>
      <c r="D19">
        <v>82.5</v>
      </c>
      <c r="E19">
        <v>66.3</v>
      </c>
      <c r="F19">
        <v>75.099999999999994</v>
      </c>
      <c r="G19" s="2">
        <f t="shared" si="1"/>
        <v>1</v>
      </c>
      <c r="H19">
        <v>83</v>
      </c>
      <c r="I19">
        <v>66.3</v>
      </c>
      <c r="J19">
        <v>75.2</v>
      </c>
      <c r="K19">
        <v>58.1</v>
      </c>
      <c r="L19">
        <v>56.1</v>
      </c>
      <c r="M19" s="2">
        <f t="shared" si="2"/>
        <v>1</v>
      </c>
      <c r="N19">
        <v>0</v>
      </c>
      <c r="O19" s="2">
        <f t="shared" si="3"/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2">
        <f t="shared" si="4"/>
        <v>0</v>
      </c>
      <c r="W19">
        <v>12.8</v>
      </c>
      <c r="X19" s="2">
        <f t="shared" si="5"/>
        <v>0</v>
      </c>
      <c r="Y19">
        <v>286.39999999999998</v>
      </c>
      <c r="Z19" s="2" t="str">
        <f>CHOOSE(MATCH(Y19,{0;11;80;111;161;191;241;281;341},1),"North","NorthEast","East","SouthEast","South","SouthWest","West","NorthWest","North")</f>
        <v>NorthWest</v>
      </c>
      <c r="AA19" s="4">
        <f>CHOOSE(MATCH(Z19,{"South";"SouthEast";"SouthWest";"North";"NorthEast";"East";"West";"NorthWest"},0),1,2,3,4,5,6,7,8)</f>
        <v>8</v>
      </c>
      <c r="AB19" s="2">
        <f t="shared" si="6"/>
        <v>1</v>
      </c>
      <c r="AC19">
        <v>1013.4</v>
      </c>
      <c r="AD19" t="s">
        <v>61</v>
      </c>
      <c r="AE19" s="2">
        <f t="shared" si="7"/>
        <v>0</v>
      </c>
      <c r="AF19" t="s">
        <v>62</v>
      </c>
      <c r="AG19" s="2">
        <f t="shared" si="8"/>
        <v>6</v>
      </c>
      <c r="AH19" s="2">
        <f t="shared" si="9"/>
        <v>1</v>
      </c>
      <c r="AI19" s="3">
        <v>326.00000000442378</v>
      </c>
      <c r="AJ19" s="2">
        <v>0</v>
      </c>
      <c r="AK19">
        <v>1</v>
      </c>
      <c r="AL19">
        <v>0</v>
      </c>
      <c r="AM19">
        <v>0</v>
      </c>
      <c r="AN19" s="2">
        <f>IF((2*G19+M19-O19+3*V19+2*AB19+2*AE19+2*AH19+3*AJ19)&gt;=7,1,0)</f>
        <v>0</v>
      </c>
    </row>
    <row r="20" spans="1:40" x14ac:dyDescent="0.25">
      <c r="A20" t="s">
        <v>27</v>
      </c>
      <c r="B20" s="1">
        <v>36691</v>
      </c>
      <c r="C20" s="6">
        <f t="shared" si="0"/>
        <v>2000</v>
      </c>
      <c r="D20">
        <v>78.900000000000006</v>
      </c>
      <c r="E20">
        <v>64.5</v>
      </c>
      <c r="F20">
        <v>75.400000000000006</v>
      </c>
      <c r="G20" s="2">
        <f t="shared" si="1"/>
        <v>1</v>
      </c>
      <c r="H20">
        <v>78.900000000000006</v>
      </c>
      <c r="I20">
        <v>64.5</v>
      </c>
      <c r="J20">
        <v>75.400000000000006</v>
      </c>
      <c r="K20">
        <v>55.1</v>
      </c>
      <c r="L20">
        <v>49.8</v>
      </c>
      <c r="M20" s="2">
        <f t="shared" si="2"/>
        <v>1</v>
      </c>
      <c r="N20">
        <v>0</v>
      </c>
      <c r="O20" s="2">
        <f t="shared" si="3"/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2">
        <f t="shared" si="4"/>
        <v>0</v>
      </c>
      <c r="W20">
        <v>19.5</v>
      </c>
      <c r="X20" s="2">
        <f t="shared" si="5"/>
        <v>1</v>
      </c>
      <c r="Y20">
        <v>320.39999999999998</v>
      </c>
      <c r="Z20" s="2" t="str">
        <f>CHOOSE(MATCH(Y20,{0;11;80;111;161;191;241;281;341},1),"North","NorthEast","East","SouthEast","South","SouthWest","West","NorthWest","North")</f>
        <v>NorthWest</v>
      </c>
      <c r="AA20" s="4">
        <f>CHOOSE(MATCH(Z20,{"South";"SouthEast";"SouthWest";"North";"NorthEast";"East";"West";"NorthWest"},0),1,2,3,4,5,6,7,8)</f>
        <v>8</v>
      </c>
      <c r="AB20" s="2">
        <f t="shared" si="6"/>
        <v>1</v>
      </c>
      <c r="AC20">
        <v>1015.9</v>
      </c>
      <c r="AD20" t="s">
        <v>63</v>
      </c>
      <c r="AE20" s="2">
        <f t="shared" si="7"/>
        <v>0</v>
      </c>
      <c r="AF20" t="s">
        <v>64</v>
      </c>
      <c r="AG20" s="2">
        <f t="shared" si="8"/>
        <v>6</v>
      </c>
      <c r="AH20" s="2">
        <f t="shared" si="9"/>
        <v>1</v>
      </c>
      <c r="AI20" s="3">
        <v>19271.00000000442</v>
      </c>
      <c r="AJ20" s="2">
        <v>1</v>
      </c>
      <c r="AK20">
        <v>100</v>
      </c>
      <c r="AL20">
        <v>150</v>
      </c>
      <c r="AM20">
        <v>0</v>
      </c>
      <c r="AN20" s="2">
        <f>IF((2*G20+M20-O20+3*V20+2*AB20+2*AE20+2*AH20+3*AJ20)&gt;=7,1,0)</f>
        <v>1</v>
      </c>
    </row>
    <row r="21" spans="1:40" x14ac:dyDescent="0.25">
      <c r="A21" t="s">
        <v>27</v>
      </c>
      <c r="B21" s="1">
        <v>36692</v>
      </c>
      <c r="C21" s="6">
        <f t="shared" si="0"/>
        <v>2000</v>
      </c>
      <c r="D21">
        <v>82.5</v>
      </c>
      <c r="E21">
        <v>68.099999999999994</v>
      </c>
      <c r="F21">
        <v>76.7</v>
      </c>
      <c r="G21" s="2">
        <f t="shared" si="1"/>
        <v>1</v>
      </c>
      <c r="H21">
        <v>83.5</v>
      </c>
      <c r="I21">
        <v>68.099999999999994</v>
      </c>
      <c r="J21">
        <v>77.099999999999994</v>
      </c>
      <c r="K21">
        <v>57.9</v>
      </c>
      <c r="L21">
        <v>52.5</v>
      </c>
      <c r="M21" s="2">
        <f t="shared" si="2"/>
        <v>1</v>
      </c>
      <c r="N21">
        <v>0</v>
      </c>
      <c r="O21" s="2">
        <f t="shared" si="3"/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s="2">
        <f t="shared" si="4"/>
        <v>0</v>
      </c>
      <c r="W21">
        <v>17.2</v>
      </c>
      <c r="X21" s="2">
        <f t="shared" si="5"/>
        <v>1</v>
      </c>
      <c r="Y21">
        <v>310.60000000000002</v>
      </c>
      <c r="Z21" s="2" t="str">
        <f>CHOOSE(MATCH(Y21,{0;11;80;111;161;191;241;281;341},1),"North","NorthEast","East","SouthEast","South","SouthWest","West","NorthWest","North")</f>
        <v>NorthWest</v>
      </c>
      <c r="AA21" s="4">
        <f>CHOOSE(MATCH(Z21,{"South";"SouthEast";"SouthWest";"North";"NorthEast";"East";"West";"NorthWest"},0),1,2,3,4,5,6,7,8)</f>
        <v>8</v>
      </c>
      <c r="AB21" s="2">
        <f t="shared" si="6"/>
        <v>1</v>
      </c>
      <c r="AC21">
        <v>1012.5</v>
      </c>
      <c r="AD21" t="s">
        <v>65</v>
      </c>
      <c r="AE21" s="2">
        <f t="shared" si="7"/>
        <v>1</v>
      </c>
      <c r="AF21" t="s">
        <v>66</v>
      </c>
      <c r="AG21" s="2">
        <f t="shared" si="8"/>
        <v>6</v>
      </c>
      <c r="AH21" s="2">
        <f t="shared" si="9"/>
        <v>1</v>
      </c>
      <c r="AI21" s="3">
        <v>3186.000000002095</v>
      </c>
      <c r="AJ21" s="2">
        <v>1</v>
      </c>
      <c r="AK21">
        <v>0</v>
      </c>
      <c r="AL21">
        <v>10</v>
      </c>
      <c r="AM21">
        <v>0</v>
      </c>
      <c r="AN21" s="2">
        <f>IF((2*G21+M21-O21+3*V21+2*AB21+2*AE21+2*AH21+3*AJ21)&gt;=7,1,0)</f>
        <v>1</v>
      </c>
    </row>
    <row r="22" spans="1:40" x14ac:dyDescent="0.25">
      <c r="A22" t="s">
        <v>27</v>
      </c>
      <c r="B22" s="1">
        <v>36696</v>
      </c>
      <c r="C22" s="6">
        <f t="shared" si="0"/>
        <v>2000</v>
      </c>
      <c r="D22">
        <v>73.5</v>
      </c>
      <c r="E22">
        <v>66.3</v>
      </c>
      <c r="F22">
        <v>70.099999999999994</v>
      </c>
      <c r="G22" s="2">
        <f t="shared" si="1"/>
        <v>1</v>
      </c>
      <c r="H22">
        <v>73.5</v>
      </c>
      <c r="I22">
        <v>66.3</v>
      </c>
      <c r="J22">
        <v>70.099999999999994</v>
      </c>
      <c r="K22">
        <v>50.6</v>
      </c>
      <c r="L22">
        <v>50.4</v>
      </c>
      <c r="M22" s="2">
        <f t="shared" si="2"/>
        <v>1</v>
      </c>
      <c r="N22">
        <v>0</v>
      </c>
      <c r="O22" s="2">
        <f t="shared" si="3"/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2">
        <f t="shared" si="4"/>
        <v>0</v>
      </c>
      <c r="W22">
        <v>23</v>
      </c>
      <c r="X22" s="2">
        <f t="shared" si="5"/>
        <v>1</v>
      </c>
      <c r="Y22">
        <v>331.6</v>
      </c>
      <c r="Z22" s="2" t="str">
        <f>CHOOSE(MATCH(Y22,{0;11;80;111;161;191;241;281;341},1),"North","NorthEast","East","SouthEast","South","SouthWest","West","NorthWest","North")</f>
        <v>NorthWest</v>
      </c>
      <c r="AA22" s="4">
        <f>CHOOSE(MATCH(Z22,{"South";"SouthEast";"SouthWest";"North";"NorthEast";"East";"West";"NorthWest"},0),1,2,3,4,5,6,7,8)</f>
        <v>8</v>
      </c>
      <c r="AB22" s="2">
        <f t="shared" si="6"/>
        <v>1</v>
      </c>
      <c r="AC22">
        <v>1017.8</v>
      </c>
      <c r="AD22" t="s">
        <v>67</v>
      </c>
      <c r="AE22" s="2">
        <f t="shared" si="7"/>
        <v>0</v>
      </c>
      <c r="AF22" t="s">
        <v>68</v>
      </c>
      <c r="AG22" s="2">
        <f t="shared" si="8"/>
        <v>6</v>
      </c>
      <c r="AH22" s="2">
        <f t="shared" si="9"/>
        <v>1</v>
      </c>
      <c r="AI22" s="3">
        <v>110.9999999951106</v>
      </c>
      <c r="AJ22" s="2">
        <v>0</v>
      </c>
      <c r="AK22">
        <v>0</v>
      </c>
      <c r="AL22">
        <v>18</v>
      </c>
      <c r="AM22">
        <v>0</v>
      </c>
      <c r="AN22" s="2">
        <f>IF((2*G22+M22-O22+3*V22+2*AB22+2*AE22+2*AH22+3*AJ22)&gt;=7,1,0)</f>
        <v>0</v>
      </c>
    </row>
    <row r="23" spans="1:40" x14ac:dyDescent="0.25">
      <c r="A23" t="s">
        <v>27</v>
      </c>
      <c r="B23" s="1">
        <v>36699</v>
      </c>
      <c r="C23" s="6">
        <f t="shared" si="0"/>
        <v>2000</v>
      </c>
      <c r="D23">
        <v>77.099999999999994</v>
      </c>
      <c r="E23">
        <v>60.9</v>
      </c>
      <c r="F23">
        <v>69.400000000000006</v>
      </c>
      <c r="G23" s="2">
        <f t="shared" si="1"/>
        <v>0</v>
      </c>
      <c r="H23">
        <v>77.099999999999994</v>
      </c>
      <c r="I23">
        <v>60.9</v>
      </c>
      <c r="J23">
        <v>69.400000000000006</v>
      </c>
      <c r="K23">
        <v>53</v>
      </c>
      <c r="L23">
        <v>56.6</v>
      </c>
      <c r="M23" s="2">
        <f t="shared" si="2"/>
        <v>1</v>
      </c>
      <c r="N23">
        <v>0</v>
      </c>
      <c r="O23" s="2">
        <f t="shared" si="3"/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s="2">
        <f t="shared" si="4"/>
        <v>0</v>
      </c>
      <c r="W23">
        <v>10.3</v>
      </c>
      <c r="X23" s="2">
        <f t="shared" si="5"/>
        <v>0</v>
      </c>
      <c r="Y23">
        <v>322.39999999999998</v>
      </c>
      <c r="Z23" s="2" t="str">
        <f>CHOOSE(MATCH(Y23,{0;11;80;111;161;191;241;281;341},1),"North","NorthEast","East","SouthEast","South","SouthWest","West","NorthWest","North")</f>
        <v>NorthWest</v>
      </c>
      <c r="AA23" s="4">
        <f>CHOOSE(MATCH(Z23,{"South";"SouthEast";"SouthWest";"North";"NorthEast";"East";"West";"NorthWest"},0),1,2,3,4,5,6,7,8)</f>
        <v>8</v>
      </c>
      <c r="AB23" s="2">
        <f t="shared" si="6"/>
        <v>1</v>
      </c>
      <c r="AC23">
        <v>1016.2</v>
      </c>
      <c r="AD23" t="s">
        <v>69</v>
      </c>
      <c r="AE23" s="2">
        <f t="shared" si="7"/>
        <v>1</v>
      </c>
      <c r="AF23" t="s">
        <v>70</v>
      </c>
      <c r="AG23" s="2">
        <f t="shared" si="8"/>
        <v>6</v>
      </c>
      <c r="AH23" s="2">
        <f t="shared" si="9"/>
        <v>1</v>
      </c>
      <c r="AI23" s="3">
        <v>960.00000000698492</v>
      </c>
      <c r="AJ23" s="2">
        <v>1</v>
      </c>
      <c r="AK23">
        <v>0.5</v>
      </c>
      <c r="AL23">
        <v>0</v>
      </c>
      <c r="AM23">
        <v>0</v>
      </c>
      <c r="AN23" s="2">
        <f>IF((2*G23+M23-O23+3*V23+2*AB23+2*AE23+2*AH23+3*AJ23)&gt;=7,1,0)</f>
        <v>1</v>
      </c>
    </row>
    <row r="24" spans="1:40" x14ac:dyDescent="0.25">
      <c r="A24" t="s">
        <v>27</v>
      </c>
      <c r="B24" s="1">
        <v>36700</v>
      </c>
      <c r="C24" s="6">
        <f t="shared" si="0"/>
        <v>2000</v>
      </c>
      <c r="D24">
        <v>82.5</v>
      </c>
      <c r="E24">
        <v>64.5</v>
      </c>
      <c r="F24">
        <v>74.2</v>
      </c>
      <c r="G24" s="2">
        <f t="shared" si="1"/>
        <v>1</v>
      </c>
      <c r="H24">
        <v>81.5</v>
      </c>
      <c r="I24">
        <v>64.5</v>
      </c>
      <c r="J24">
        <v>73.900000000000006</v>
      </c>
      <c r="K24">
        <v>48.7</v>
      </c>
      <c r="L24">
        <v>41.6</v>
      </c>
      <c r="M24" s="2">
        <f t="shared" si="2"/>
        <v>1</v>
      </c>
      <c r="N24">
        <v>0</v>
      </c>
      <c r="O24" s="2">
        <f t="shared" si="3"/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s="2">
        <f t="shared" si="4"/>
        <v>0</v>
      </c>
      <c r="W24">
        <v>8.1</v>
      </c>
      <c r="X24" s="2">
        <f t="shared" si="5"/>
        <v>0</v>
      </c>
      <c r="Y24">
        <v>169.9</v>
      </c>
      <c r="Z24" s="2" t="str">
        <f>CHOOSE(MATCH(Y24,{0;11;80;111;161;191;241;281;341},1),"North","NorthEast","East","SouthEast","South","SouthWest","West","NorthWest","North")</f>
        <v>South</v>
      </c>
      <c r="AA24" s="4">
        <f>CHOOSE(MATCH(Z24,{"South";"SouthEast";"SouthWest";"North";"NorthEast";"East";"West";"NorthWest"},0),1,2,3,4,5,6,7,8)</f>
        <v>1</v>
      </c>
      <c r="AB24" s="2">
        <f t="shared" si="6"/>
        <v>0</v>
      </c>
      <c r="AC24">
        <v>1014.5</v>
      </c>
      <c r="AD24" t="s">
        <v>71</v>
      </c>
      <c r="AE24" s="2">
        <f t="shared" si="7"/>
        <v>1</v>
      </c>
      <c r="AF24" t="s">
        <v>72</v>
      </c>
      <c r="AG24" s="2">
        <f t="shared" si="8"/>
        <v>6</v>
      </c>
      <c r="AH24" s="2">
        <f t="shared" si="9"/>
        <v>1</v>
      </c>
      <c r="AI24" s="3">
        <v>820.00000000116415</v>
      </c>
      <c r="AJ24" s="2">
        <v>1</v>
      </c>
      <c r="AK24">
        <v>0</v>
      </c>
      <c r="AL24">
        <v>3</v>
      </c>
      <c r="AM24">
        <v>0</v>
      </c>
      <c r="AN24" s="2">
        <f>IF((2*G24+M24-O24+3*V24+2*AB24+2*AE24+2*AH24+3*AJ24)&gt;=7,1,0)</f>
        <v>1</v>
      </c>
    </row>
    <row r="25" spans="1:40" x14ac:dyDescent="0.25">
      <c r="A25" t="s">
        <v>27</v>
      </c>
      <c r="B25" s="1">
        <v>36701</v>
      </c>
      <c r="C25" s="6">
        <f t="shared" si="0"/>
        <v>2000</v>
      </c>
      <c r="D25">
        <v>86.1</v>
      </c>
      <c r="E25">
        <v>68.099999999999994</v>
      </c>
      <c r="F25">
        <v>77.599999999999994</v>
      </c>
      <c r="G25" s="2">
        <f t="shared" si="1"/>
        <v>1</v>
      </c>
      <c r="H25">
        <v>83.5</v>
      </c>
      <c r="I25">
        <v>68.099999999999994</v>
      </c>
      <c r="J25">
        <v>77</v>
      </c>
      <c r="K25">
        <v>48.8</v>
      </c>
      <c r="L25">
        <v>37.4</v>
      </c>
      <c r="M25" s="2">
        <f t="shared" si="2"/>
        <v>1</v>
      </c>
      <c r="N25">
        <v>0</v>
      </c>
      <c r="O25" s="2">
        <f t="shared" si="3"/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s="2">
        <f t="shared" si="4"/>
        <v>0</v>
      </c>
      <c r="W25">
        <v>12.8</v>
      </c>
      <c r="X25" s="2">
        <f t="shared" si="5"/>
        <v>0</v>
      </c>
      <c r="Y25">
        <v>293.2</v>
      </c>
      <c r="Z25" s="2" t="str">
        <f>CHOOSE(MATCH(Y25,{0;11;80;111;161;191;241;281;341},1),"North","NorthEast","East","SouthEast","South","SouthWest","West","NorthWest","North")</f>
        <v>NorthWest</v>
      </c>
      <c r="AA25" s="4">
        <f>CHOOSE(MATCH(Z25,{"South";"SouthEast";"SouthWest";"North";"NorthEast";"East";"West";"NorthWest"},0),1,2,3,4,5,6,7,8)</f>
        <v>8</v>
      </c>
      <c r="AB25" s="2">
        <f t="shared" si="6"/>
        <v>1</v>
      </c>
      <c r="AC25">
        <v>1011.6</v>
      </c>
      <c r="AD25" t="s">
        <v>73</v>
      </c>
      <c r="AE25" s="2">
        <f t="shared" si="7"/>
        <v>1</v>
      </c>
      <c r="AF25" t="s">
        <v>74</v>
      </c>
      <c r="AG25" s="2">
        <f t="shared" si="8"/>
        <v>6</v>
      </c>
      <c r="AH25" s="2">
        <f t="shared" si="9"/>
        <v>1</v>
      </c>
      <c r="AI25" s="3">
        <v>1335.000000003492</v>
      </c>
      <c r="AJ25" s="2">
        <v>1</v>
      </c>
      <c r="AK25">
        <v>0</v>
      </c>
      <c r="AL25">
        <v>1000</v>
      </c>
      <c r="AM25">
        <v>0</v>
      </c>
      <c r="AN25" s="2">
        <f>IF((2*G25+M25-O25+3*V25+2*AB25+2*AE25+2*AH25+3*AJ25)&gt;=7,1,0)</f>
        <v>1</v>
      </c>
    </row>
    <row r="26" spans="1:40" x14ac:dyDescent="0.25">
      <c r="A26" t="s">
        <v>27</v>
      </c>
      <c r="B26" s="1">
        <v>36703</v>
      </c>
      <c r="C26" s="6">
        <f t="shared" si="0"/>
        <v>2000</v>
      </c>
      <c r="D26">
        <v>87.9</v>
      </c>
      <c r="E26">
        <v>73.5</v>
      </c>
      <c r="F26">
        <v>79.400000000000006</v>
      </c>
      <c r="G26" s="2">
        <f t="shared" si="1"/>
        <v>1</v>
      </c>
      <c r="H26">
        <v>85.2</v>
      </c>
      <c r="I26">
        <v>73.5</v>
      </c>
      <c r="J26">
        <v>79.3</v>
      </c>
      <c r="K26">
        <v>55.2</v>
      </c>
      <c r="L26">
        <v>46.1</v>
      </c>
      <c r="M26" s="2">
        <f t="shared" si="2"/>
        <v>1</v>
      </c>
      <c r="N26">
        <v>0</v>
      </c>
      <c r="O26" s="2">
        <f t="shared" si="3"/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s="2">
        <f t="shared" si="4"/>
        <v>0</v>
      </c>
      <c r="W26">
        <v>16.100000000000001</v>
      </c>
      <c r="X26" s="2">
        <f t="shared" si="5"/>
        <v>1</v>
      </c>
      <c r="Y26">
        <v>308.3</v>
      </c>
      <c r="Z26" s="2" t="str">
        <f>CHOOSE(MATCH(Y26,{0;11;80;111;161;191;241;281;341},1),"North","NorthEast","East","SouthEast","South","SouthWest","West","NorthWest","North")</f>
        <v>NorthWest</v>
      </c>
      <c r="AA26" s="4">
        <f>CHOOSE(MATCH(Z26,{"South";"SouthEast";"SouthWest";"North";"NorthEast";"East";"West";"NorthWest"},0),1,2,3,4,5,6,7,8)</f>
        <v>8</v>
      </c>
      <c r="AB26" s="2">
        <f t="shared" si="6"/>
        <v>1</v>
      </c>
      <c r="AC26">
        <v>1008.7</v>
      </c>
      <c r="AD26" t="s">
        <v>65</v>
      </c>
      <c r="AE26" s="2">
        <f t="shared" si="7"/>
        <v>1</v>
      </c>
      <c r="AF26" t="s">
        <v>75</v>
      </c>
      <c r="AG26" s="2">
        <f t="shared" si="8"/>
        <v>6</v>
      </c>
      <c r="AH26" s="2">
        <f t="shared" si="9"/>
        <v>1</v>
      </c>
      <c r="AI26" s="3">
        <v>1146.0000000055879</v>
      </c>
      <c r="AJ26" s="2">
        <v>1</v>
      </c>
      <c r="AK26">
        <v>0</v>
      </c>
      <c r="AL26">
        <v>3</v>
      </c>
      <c r="AM26">
        <v>0</v>
      </c>
      <c r="AN26" s="2">
        <f>IF((2*G26+M26-O26+3*V26+2*AB26+2*AE26+2*AH26+3*AJ26)&gt;=7,1,0)</f>
        <v>1</v>
      </c>
    </row>
    <row r="27" spans="1:40" x14ac:dyDescent="0.25">
      <c r="A27" t="s">
        <v>27</v>
      </c>
      <c r="B27" s="1">
        <v>36704</v>
      </c>
      <c r="C27" s="6">
        <f t="shared" si="0"/>
        <v>2000</v>
      </c>
      <c r="D27">
        <v>82.5</v>
      </c>
      <c r="E27">
        <v>68.099999999999994</v>
      </c>
      <c r="F27">
        <v>75.5</v>
      </c>
      <c r="G27" s="2">
        <f t="shared" si="1"/>
        <v>1</v>
      </c>
      <c r="H27">
        <v>83</v>
      </c>
      <c r="I27">
        <v>68.099999999999994</v>
      </c>
      <c r="J27">
        <v>75.599999999999994</v>
      </c>
      <c r="K27">
        <v>62</v>
      </c>
      <c r="L27">
        <v>63.8</v>
      </c>
      <c r="M27" s="2">
        <f t="shared" si="2"/>
        <v>1</v>
      </c>
      <c r="N27">
        <v>0</v>
      </c>
      <c r="O27" s="2">
        <f t="shared" si="3"/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s="2">
        <f t="shared" si="4"/>
        <v>0</v>
      </c>
      <c r="W27">
        <v>24.2</v>
      </c>
      <c r="X27" s="2">
        <f t="shared" si="5"/>
        <v>1</v>
      </c>
      <c r="Y27">
        <v>305.10000000000002</v>
      </c>
      <c r="Z27" s="2" t="str">
        <f>CHOOSE(MATCH(Y27,{0;11;80;111;161;191;241;281;341},1),"North","NorthEast","East","SouthEast","South","SouthWest","West","NorthWest","North")</f>
        <v>NorthWest</v>
      </c>
      <c r="AA27" s="4">
        <f>CHOOSE(MATCH(Z27,{"South";"SouthEast";"SouthWest";"North";"NorthEast";"East";"West";"NorthWest"},0),1,2,3,4,5,6,7,8)</f>
        <v>8</v>
      </c>
      <c r="AB27" s="2">
        <f t="shared" si="6"/>
        <v>1</v>
      </c>
      <c r="AC27">
        <v>1007.6</v>
      </c>
      <c r="AD27" t="s">
        <v>76</v>
      </c>
      <c r="AE27" s="2">
        <f t="shared" si="7"/>
        <v>1</v>
      </c>
      <c r="AF27" t="s">
        <v>77</v>
      </c>
      <c r="AG27" s="2">
        <f t="shared" si="8"/>
        <v>6</v>
      </c>
      <c r="AH27" s="2">
        <f t="shared" si="9"/>
        <v>1</v>
      </c>
      <c r="AI27" s="3">
        <v>310.99999999743892</v>
      </c>
      <c r="AJ27" s="2">
        <v>0</v>
      </c>
      <c r="AK27">
        <v>0</v>
      </c>
      <c r="AL27">
        <v>3</v>
      </c>
      <c r="AM27">
        <v>0</v>
      </c>
      <c r="AN27" s="2">
        <f>IF((2*G27+M27-O27+3*V27+2*AB27+2*AE27+2*AH27+3*AJ27)&gt;=7,1,0)</f>
        <v>1</v>
      </c>
    </row>
    <row r="28" spans="1:40" x14ac:dyDescent="0.25">
      <c r="A28" t="s">
        <v>27</v>
      </c>
      <c r="B28" s="1">
        <v>36706</v>
      </c>
      <c r="C28" s="6">
        <f t="shared" si="0"/>
        <v>2000</v>
      </c>
      <c r="D28">
        <v>78.900000000000006</v>
      </c>
      <c r="E28">
        <v>71.7</v>
      </c>
      <c r="F28">
        <v>74.900000000000006</v>
      </c>
      <c r="G28" s="2">
        <f t="shared" si="1"/>
        <v>1</v>
      </c>
      <c r="H28">
        <v>78.900000000000006</v>
      </c>
      <c r="I28">
        <v>71.7</v>
      </c>
      <c r="J28">
        <v>74.900000000000006</v>
      </c>
      <c r="K28">
        <v>53.8</v>
      </c>
      <c r="L28">
        <v>48.3</v>
      </c>
      <c r="M28" s="2">
        <f t="shared" si="2"/>
        <v>1</v>
      </c>
      <c r="N28">
        <v>0</v>
      </c>
      <c r="O28" s="2">
        <f t="shared" si="3"/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2">
        <f t="shared" si="4"/>
        <v>0</v>
      </c>
      <c r="W28">
        <v>20.8</v>
      </c>
      <c r="X28" s="2">
        <f t="shared" si="5"/>
        <v>1</v>
      </c>
      <c r="Y28">
        <v>307.2</v>
      </c>
      <c r="Z28" s="2" t="str">
        <f>CHOOSE(MATCH(Y28,{0;11;80;111;161;191;241;281;341},1),"North","NorthEast","East","SouthEast","South","SouthWest","West","NorthWest","North")</f>
        <v>NorthWest</v>
      </c>
      <c r="AA28" s="4">
        <f>CHOOSE(MATCH(Z28,{"South";"SouthEast";"SouthWest";"North";"NorthEast";"East";"West";"NorthWest"},0),1,2,3,4,5,6,7,8)</f>
        <v>8</v>
      </c>
      <c r="AB28" s="2">
        <f t="shared" si="6"/>
        <v>1</v>
      </c>
      <c r="AC28">
        <v>1010.5</v>
      </c>
      <c r="AD28" t="s">
        <v>78</v>
      </c>
      <c r="AE28" s="2">
        <f t="shared" si="7"/>
        <v>1</v>
      </c>
      <c r="AF28" t="s">
        <v>79</v>
      </c>
      <c r="AG28" s="2">
        <f t="shared" si="8"/>
        <v>6</v>
      </c>
      <c r="AH28" s="2">
        <f t="shared" si="9"/>
        <v>1</v>
      </c>
      <c r="AI28" s="3">
        <v>1216.0000000032601</v>
      </c>
      <c r="AJ28" s="2">
        <v>1</v>
      </c>
      <c r="AK28">
        <v>0</v>
      </c>
      <c r="AL28">
        <v>2</v>
      </c>
      <c r="AM28">
        <v>0</v>
      </c>
      <c r="AN28" s="2">
        <f>IF((2*G28+M28-O28+3*V28+2*AB28+2*AE28+2*AH28+3*AJ28)&gt;=7,1,0)</f>
        <v>1</v>
      </c>
    </row>
    <row r="29" spans="1:40" x14ac:dyDescent="0.25">
      <c r="A29" t="s">
        <v>27</v>
      </c>
      <c r="B29" s="1">
        <v>36706</v>
      </c>
      <c r="C29" s="6">
        <f t="shared" si="0"/>
        <v>2000</v>
      </c>
      <c r="D29">
        <v>78.900000000000006</v>
      </c>
      <c r="E29">
        <v>71.7</v>
      </c>
      <c r="F29">
        <v>74.900000000000006</v>
      </c>
      <c r="G29" s="2">
        <f t="shared" si="1"/>
        <v>1</v>
      </c>
      <c r="H29">
        <v>78.900000000000006</v>
      </c>
      <c r="I29">
        <v>71.7</v>
      </c>
      <c r="J29">
        <v>74.900000000000006</v>
      </c>
      <c r="K29">
        <v>53.8</v>
      </c>
      <c r="L29">
        <v>48.3</v>
      </c>
      <c r="M29" s="2">
        <f t="shared" si="2"/>
        <v>1</v>
      </c>
      <c r="N29">
        <v>0</v>
      </c>
      <c r="O29" s="2">
        <f t="shared" si="3"/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s="2">
        <f t="shared" si="4"/>
        <v>0</v>
      </c>
      <c r="W29">
        <v>20.8</v>
      </c>
      <c r="X29" s="2">
        <f t="shared" si="5"/>
        <v>1</v>
      </c>
      <c r="Y29">
        <v>307.2</v>
      </c>
      <c r="Z29" s="2" t="str">
        <f>CHOOSE(MATCH(Y29,{0;11;80;111;161;191;241;281;341},1),"North","NorthEast","East","SouthEast","South","SouthWest","West","NorthWest","North")</f>
        <v>NorthWest</v>
      </c>
      <c r="AA29" s="4">
        <f>CHOOSE(MATCH(Z29,{"South";"SouthEast";"SouthWest";"North";"NorthEast";"East";"West";"NorthWest"},0),1,2,3,4,5,6,7,8)</f>
        <v>8</v>
      </c>
      <c r="AB29" s="2">
        <f t="shared" si="6"/>
        <v>1</v>
      </c>
      <c r="AC29">
        <v>1010.5</v>
      </c>
      <c r="AD29" t="s">
        <v>80</v>
      </c>
      <c r="AE29" s="2">
        <f t="shared" si="7"/>
        <v>0</v>
      </c>
      <c r="AF29" t="s">
        <v>81</v>
      </c>
      <c r="AG29" s="2">
        <f t="shared" si="8"/>
        <v>6</v>
      </c>
      <c r="AH29" s="2">
        <f t="shared" si="9"/>
        <v>1</v>
      </c>
      <c r="AI29" s="3">
        <v>2530.9999999939459</v>
      </c>
      <c r="AJ29" s="2">
        <v>1</v>
      </c>
      <c r="AK29">
        <v>0</v>
      </c>
      <c r="AL29">
        <v>6</v>
      </c>
      <c r="AM29">
        <v>0</v>
      </c>
      <c r="AN29" s="2">
        <f>IF((2*G29+M29-O29+3*V29+2*AB29+2*AE29+2*AH29+3*AJ29)&gt;=7,1,0)</f>
        <v>1</v>
      </c>
    </row>
    <row r="30" spans="1:40" x14ac:dyDescent="0.25">
      <c r="A30" t="s">
        <v>27</v>
      </c>
      <c r="B30" s="1">
        <v>36707</v>
      </c>
      <c r="C30" s="6">
        <f t="shared" si="0"/>
        <v>2000</v>
      </c>
      <c r="D30">
        <v>78.900000000000006</v>
      </c>
      <c r="E30">
        <v>64.5</v>
      </c>
      <c r="F30">
        <v>73.3</v>
      </c>
      <c r="G30" s="2">
        <f t="shared" si="1"/>
        <v>1</v>
      </c>
      <c r="H30">
        <v>78.900000000000006</v>
      </c>
      <c r="I30">
        <v>64.5</v>
      </c>
      <c r="J30">
        <v>73.3</v>
      </c>
      <c r="K30">
        <v>56</v>
      </c>
      <c r="L30">
        <v>55.8</v>
      </c>
      <c r="M30" s="2">
        <f t="shared" si="2"/>
        <v>1</v>
      </c>
      <c r="N30">
        <v>0</v>
      </c>
      <c r="O30" s="2">
        <f t="shared" si="3"/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s="2">
        <f t="shared" si="4"/>
        <v>0</v>
      </c>
      <c r="W30">
        <v>12.8</v>
      </c>
      <c r="X30" s="2">
        <f t="shared" si="5"/>
        <v>0</v>
      </c>
      <c r="Y30">
        <v>334.7</v>
      </c>
      <c r="Z30" s="2" t="str">
        <f>CHOOSE(MATCH(Y30,{0;11;80;111;161;191;241;281;341},1),"North","NorthEast","East","SouthEast","South","SouthWest","West","NorthWest","North")</f>
        <v>NorthWest</v>
      </c>
      <c r="AA30" s="4">
        <f>CHOOSE(MATCH(Z30,{"South";"SouthEast";"SouthWest";"North";"NorthEast";"East";"West";"NorthWest"},0),1,2,3,4,5,6,7,8)</f>
        <v>8</v>
      </c>
      <c r="AB30" s="2">
        <f t="shared" si="6"/>
        <v>1</v>
      </c>
      <c r="AC30">
        <v>1010.9</v>
      </c>
      <c r="AD30" t="s">
        <v>49</v>
      </c>
      <c r="AE30" s="2">
        <f t="shared" si="7"/>
        <v>1</v>
      </c>
      <c r="AF30" t="s">
        <v>82</v>
      </c>
      <c r="AG30" s="2">
        <f t="shared" si="8"/>
        <v>6</v>
      </c>
      <c r="AH30" s="2">
        <f t="shared" si="9"/>
        <v>1</v>
      </c>
      <c r="AI30" s="3">
        <v>272.99999999930151</v>
      </c>
      <c r="AJ30" s="2">
        <v>0</v>
      </c>
      <c r="AK30">
        <v>2</v>
      </c>
      <c r="AL30">
        <v>0</v>
      </c>
      <c r="AM30">
        <v>0</v>
      </c>
      <c r="AN30" s="2">
        <f>IF((2*G30+M30-O30+3*V30+2*AB30+2*AE30+2*AH30+3*AJ30)&gt;=7,1,0)</f>
        <v>1</v>
      </c>
    </row>
    <row r="31" spans="1:40" x14ac:dyDescent="0.25">
      <c r="A31" t="s">
        <v>27</v>
      </c>
      <c r="B31" s="1">
        <v>36709</v>
      </c>
      <c r="C31" s="6">
        <f t="shared" si="0"/>
        <v>2000</v>
      </c>
      <c r="D31">
        <v>82.5</v>
      </c>
      <c r="E31">
        <v>69.900000000000006</v>
      </c>
      <c r="F31">
        <v>76.400000000000006</v>
      </c>
      <c r="G31" s="2">
        <f t="shared" si="1"/>
        <v>1</v>
      </c>
      <c r="H31">
        <v>81.3</v>
      </c>
      <c r="I31">
        <v>69.900000000000006</v>
      </c>
      <c r="J31">
        <v>76.3</v>
      </c>
      <c r="K31">
        <v>58.2</v>
      </c>
      <c r="L31">
        <v>54.1</v>
      </c>
      <c r="M31" s="2">
        <f t="shared" si="2"/>
        <v>1</v>
      </c>
      <c r="N31">
        <v>0</v>
      </c>
      <c r="O31" s="2">
        <f t="shared" si="3"/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s="2">
        <f t="shared" si="4"/>
        <v>0</v>
      </c>
      <c r="W31">
        <v>18.3</v>
      </c>
      <c r="X31" s="2">
        <f t="shared" si="5"/>
        <v>1</v>
      </c>
      <c r="Y31">
        <v>308.60000000000002</v>
      </c>
      <c r="Z31" s="2" t="str">
        <f>CHOOSE(MATCH(Y31,{0;11;80;111;161;191;241;281;341},1),"North","NorthEast","East","SouthEast","South","SouthWest","West","NorthWest","North")</f>
        <v>NorthWest</v>
      </c>
      <c r="AA31" s="4">
        <f>CHOOSE(MATCH(Z31,{"South";"SouthEast";"SouthWest";"North";"NorthEast";"East";"West";"NorthWest"},0),1,2,3,4,5,6,7,8)</f>
        <v>8</v>
      </c>
      <c r="AB31" s="2">
        <f t="shared" si="6"/>
        <v>1</v>
      </c>
      <c r="AC31">
        <v>1014.2</v>
      </c>
      <c r="AD31" t="s">
        <v>83</v>
      </c>
      <c r="AE31" s="2">
        <f t="shared" si="7"/>
        <v>1</v>
      </c>
      <c r="AF31" t="s">
        <v>84</v>
      </c>
      <c r="AG31" s="2">
        <f t="shared" si="8"/>
        <v>7</v>
      </c>
      <c r="AH31" s="2">
        <f t="shared" si="9"/>
        <v>1</v>
      </c>
      <c r="AI31" s="3">
        <v>1065.9999999962749</v>
      </c>
      <c r="AJ31" s="2">
        <v>1</v>
      </c>
      <c r="AK31">
        <v>0</v>
      </c>
      <c r="AL31">
        <v>2</v>
      </c>
      <c r="AM31">
        <v>0</v>
      </c>
      <c r="AN31" s="2">
        <f>IF((2*G31+M31-O31+3*V31+2*AB31+2*AE31+2*AH31+3*AJ31)&gt;=7,1,0)</f>
        <v>1</v>
      </c>
    </row>
    <row r="32" spans="1:40" x14ac:dyDescent="0.25">
      <c r="A32" t="s">
        <v>27</v>
      </c>
      <c r="B32" s="1">
        <v>36711</v>
      </c>
      <c r="C32" s="6">
        <f t="shared" si="0"/>
        <v>2000</v>
      </c>
      <c r="D32">
        <v>84.3</v>
      </c>
      <c r="E32">
        <v>69.900000000000006</v>
      </c>
      <c r="F32">
        <v>78.7</v>
      </c>
      <c r="G32" s="2">
        <f t="shared" si="1"/>
        <v>1</v>
      </c>
      <c r="H32">
        <v>84.1</v>
      </c>
      <c r="I32">
        <v>69.900000000000006</v>
      </c>
      <c r="J32">
        <v>78.900000000000006</v>
      </c>
      <c r="K32">
        <v>56.5</v>
      </c>
      <c r="L32">
        <v>46.8</v>
      </c>
      <c r="M32" s="2">
        <f t="shared" si="2"/>
        <v>1</v>
      </c>
      <c r="N32">
        <v>0</v>
      </c>
      <c r="O32" s="2">
        <f t="shared" si="3"/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s="2">
        <f t="shared" si="4"/>
        <v>0</v>
      </c>
      <c r="W32">
        <v>17.2</v>
      </c>
      <c r="X32" s="2">
        <f t="shared" si="5"/>
        <v>1</v>
      </c>
      <c r="Y32">
        <v>306.3</v>
      </c>
      <c r="Z32" s="2" t="str">
        <f>CHOOSE(MATCH(Y32,{0;11;80;111;161;191;241;281;341},1),"North","NorthEast","East","SouthEast","South","SouthWest","West","NorthWest","North")</f>
        <v>NorthWest</v>
      </c>
      <c r="AA32" s="4">
        <f>CHOOSE(MATCH(Z32,{"South";"SouthEast";"SouthWest";"North";"NorthEast";"East";"West";"NorthWest"},0),1,2,3,4,5,6,7,8)</f>
        <v>8</v>
      </c>
      <c r="AB32" s="2">
        <f t="shared" si="6"/>
        <v>1</v>
      </c>
      <c r="AC32">
        <v>1010.1</v>
      </c>
      <c r="AD32" t="s">
        <v>85</v>
      </c>
      <c r="AE32" s="2">
        <f t="shared" si="7"/>
        <v>0</v>
      </c>
      <c r="AF32" t="s">
        <v>86</v>
      </c>
      <c r="AG32" s="2">
        <f t="shared" si="8"/>
        <v>7</v>
      </c>
      <c r="AH32" s="2">
        <f t="shared" si="9"/>
        <v>1</v>
      </c>
      <c r="AI32" s="3">
        <v>13150.99999999395</v>
      </c>
      <c r="AJ32" s="2">
        <v>1</v>
      </c>
      <c r="AK32">
        <v>0</v>
      </c>
      <c r="AL32">
        <v>15000</v>
      </c>
      <c r="AM32">
        <v>0</v>
      </c>
      <c r="AN32" s="2">
        <f>IF((2*G32+M32-O32+3*V32+2*AB32+2*AE32+2*AH32+3*AJ32)&gt;=7,1,0)</f>
        <v>1</v>
      </c>
    </row>
    <row r="33" spans="1:40" x14ac:dyDescent="0.25">
      <c r="A33" t="s">
        <v>27</v>
      </c>
      <c r="B33" s="1">
        <v>36714</v>
      </c>
      <c r="C33" s="6">
        <f t="shared" si="0"/>
        <v>2000</v>
      </c>
      <c r="D33">
        <v>89.7</v>
      </c>
      <c r="E33">
        <v>75.3</v>
      </c>
      <c r="F33">
        <v>83.9</v>
      </c>
      <c r="G33" s="2">
        <f t="shared" si="1"/>
        <v>1</v>
      </c>
      <c r="H33">
        <v>89.6</v>
      </c>
      <c r="I33">
        <v>75.3</v>
      </c>
      <c r="J33">
        <v>84.2</v>
      </c>
      <c r="K33">
        <v>57.8</v>
      </c>
      <c r="L33">
        <v>41.9</v>
      </c>
      <c r="M33" s="2">
        <f t="shared" si="2"/>
        <v>1</v>
      </c>
      <c r="N33">
        <v>0</v>
      </c>
      <c r="O33" s="2">
        <f t="shared" si="3"/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s="2">
        <f t="shared" si="4"/>
        <v>0</v>
      </c>
      <c r="W33">
        <v>20.8</v>
      </c>
      <c r="X33" s="2">
        <f t="shared" si="5"/>
        <v>1</v>
      </c>
      <c r="Y33">
        <v>301.5</v>
      </c>
      <c r="Z33" s="2" t="str">
        <f>CHOOSE(MATCH(Y33,{0;11;80;111;161;191;241;281;341},1),"North","NorthEast","East","SouthEast","South","SouthWest","West","NorthWest","North")</f>
        <v>NorthWest</v>
      </c>
      <c r="AA33" s="4">
        <f>CHOOSE(MATCH(Z33,{"South";"SouthEast";"SouthWest";"North";"NorthEast";"East";"West";"NorthWest"},0),1,2,3,4,5,6,7,8)</f>
        <v>8</v>
      </c>
      <c r="AB33" s="2">
        <f t="shared" si="6"/>
        <v>1</v>
      </c>
      <c r="AC33">
        <v>1006.9</v>
      </c>
      <c r="AD33" t="s">
        <v>51</v>
      </c>
      <c r="AE33" s="2">
        <f t="shared" si="7"/>
        <v>1</v>
      </c>
      <c r="AF33" t="s">
        <v>87</v>
      </c>
      <c r="AG33" s="2">
        <f t="shared" si="8"/>
        <v>7</v>
      </c>
      <c r="AH33" s="2">
        <f t="shared" si="9"/>
        <v>1</v>
      </c>
      <c r="AI33" s="3">
        <v>226.0000000032596</v>
      </c>
      <c r="AJ33" s="2">
        <v>0</v>
      </c>
      <c r="AK33">
        <v>0</v>
      </c>
      <c r="AL33">
        <v>100</v>
      </c>
      <c r="AM33">
        <v>0</v>
      </c>
      <c r="AN33" s="2">
        <f>IF((2*G33+M33-O33+3*V33+2*AB33+2*AE33+2*AH33+3*AJ33)&gt;=7,1,0)</f>
        <v>1</v>
      </c>
    </row>
    <row r="34" spans="1:40" x14ac:dyDescent="0.25">
      <c r="A34" t="s">
        <v>27</v>
      </c>
      <c r="B34" s="1">
        <v>36714</v>
      </c>
      <c r="C34" s="6">
        <f t="shared" si="0"/>
        <v>2000</v>
      </c>
      <c r="D34">
        <v>89.7</v>
      </c>
      <c r="E34">
        <v>75.3</v>
      </c>
      <c r="F34">
        <v>83.9</v>
      </c>
      <c r="G34" s="2">
        <f t="shared" si="1"/>
        <v>1</v>
      </c>
      <c r="H34">
        <v>89.6</v>
      </c>
      <c r="I34">
        <v>75.3</v>
      </c>
      <c r="J34">
        <v>84.2</v>
      </c>
      <c r="K34">
        <v>57.8</v>
      </c>
      <c r="L34">
        <v>41.9</v>
      </c>
      <c r="M34" s="2">
        <f t="shared" si="2"/>
        <v>1</v>
      </c>
      <c r="N34">
        <v>0</v>
      </c>
      <c r="O34" s="2">
        <f t="shared" si="3"/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s="2">
        <f t="shared" si="4"/>
        <v>0</v>
      </c>
      <c r="W34">
        <v>20.8</v>
      </c>
      <c r="X34" s="2">
        <f t="shared" si="5"/>
        <v>1</v>
      </c>
      <c r="Y34">
        <v>301.5</v>
      </c>
      <c r="Z34" s="2" t="str">
        <f>CHOOSE(MATCH(Y34,{0;11;80;111;161;191;241;281;341},1),"North","NorthEast","East","SouthEast","South","SouthWest","West","NorthWest","North")</f>
        <v>NorthWest</v>
      </c>
      <c r="AA34" s="4">
        <f>CHOOSE(MATCH(Z34,{"South";"SouthEast";"SouthWest";"North";"NorthEast";"East";"West";"NorthWest"},0),1,2,3,4,5,6,7,8)</f>
        <v>8</v>
      </c>
      <c r="AB34" s="2">
        <f t="shared" si="6"/>
        <v>1</v>
      </c>
      <c r="AC34">
        <v>1006.9</v>
      </c>
      <c r="AD34" t="s">
        <v>88</v>
      </c>
      <c r="AE34" s="2">
        <f t="shared" si="7"/>
        <v>1</v>
      </c>
      <c r="AF34" t="s">
        <v>89</v>
      </c>
      <c r="AG34" s="2">
        <f t="shared" si="8"/>
        <v>7</v>
      </c>
      <c r="AH34" s="2">
        <f t="shared" si="9"/>
        <v>1</v>
      </c>
      <c r="AI34" s="3">
        <v>6931.0000000032596</v>
      </c>
      <c r="AJ34" s="2">
        <v>1</v>
      </c>
      <c r="AK34">
        <v>0</v>
      </c>
      <c r="AL34">
        <v>200</v>
      </c>
      <c r="AM34">
        <v>0</v>
      </c>
      <c r="AN34" s="2">
        <f>IF((2*G34+M34-O34+3*V34+2*AB34+2*AE34+2*AH34+3*AJ34)&gt;=7,1,0)</f>
        <v>1</v>
      </c>
    </row>
    <row r="35" spans="1:40" x14ac:dyDescent="0.25">
      <c r="A35" t="s">
        <v>27</v>
      </c>
      <c r="B35" s="1">
        <v>36716</v>
      </c>
      <c r="C35" s="6">
        <f t="shared" si="0"/>
        <v>2000</v>
      </c>
      <c r="D35">
        <v>100.5</v>
      </c>
      <c r="E35">
        <v>75.3</v>
      </c>
      <c r="F35">
        <v>87.3</v>
      </c>
      <c r="G35" s="2">
        <f t="shared" si="1"/>
        <v>1</v>
      </c>
      <c r="H35">
        <v>96.1</v>
      </c>
      <c r="I35">
        <v>75.3</v>
      </c>
      <c r="J35">
        <v>85.7</v>
      </c>
      <c r="K35">
        <v>47.6</v>
      </c>
      <c r="L35">
        <v>27.3</v>
      </c>
      <c r="M35" s="2">
        <f t="shared" si="2"/>
        <v>1</v>
      </c>
      <c r="N35">
        <v>0</v>
      </c>
      <c r="O35" s="2">
        <f t="shared" si="3"/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s="2">
        <f t="shared" si="4"/>
        <v>0</v>
      </c>
      <c r="W35">
        <v>10.3</v>
      </c>
      <c r="X35" s="2">
        <f t="shared" si="5"/>
        <v>0</v>
      </c>
      <c r="Y35">
        <v>150.4</v>
      </c>
      <c r="Z35" s="2" t="str">
        <f>CHOOSE(MATCH(Y35,{0;11;80;111;161;191;241;281;341},1),"North","NorthEast","East","SouthEast","South","SouthWest","West","NorthWest","North")</f>
        <v>SouthEast</v>
      </c>
      <c r="AA35" s="4">
        <f>CHOOSE(MATCH(Z35,{"South";"SouthEast";"SouthWest";"North";"NorthEast";"East";"West";"NorthWest"},0),1,2,3,4,5,6,7,8)</f>
        <v>2</v>
      </c>
      <c r="AB35" s="2">
        <f t="shared" si="6"/>
        <v>0</v>
      </c>
      <c r="AC35">
        <v>1004.6</v>
      </c>
      <c r="AD35" t="s">
        <v>90</v>
      </c>
      <c r="AE35" s="2">
        <f t="shared" si="7"/>
        <v>1</v>
      </c>
      <c r="AF35" t="s">
        <v>91</v>
      </c>
      <c r="AG35" s="2">
        <f t="shared" si="8"/>
        <v>7</v>
      </c>
      <c r="AH35" s="2">
        <f t="shared" si="9"/>
        <v>1</v>
      </c>
      <c r="AI35" s="3">
        <v>406.00000000325957</v>
      </c>
      <c r="AJ35" s="2">
        <v>1</v>
      </c>
      <c r="AK35">
        <v>0</v>
      </c>
      <c r="AL35">
        <v>10</v>
      </c>
      <c r="AM35">
        <v>0</v>
      </c>
      <c r="AN35" s="2">
        <f>IF((2*G35+M35-O35+3*V35+2*AB35+2*AE35+2*AH35+3*AJ35)&gt;=7,1,0)</f>
        <v>1</v>
      </c>
    </row>
    <row r="36" spans="1:40" x14ac:dyDescent="0.25">
      <c r="A36" t="s">
        <v>27</v>
      </c>
      <c r="B36" s="1">
        <v>36716</v>
      </c>
      <c r="C36" s="6">
        <f t="shared" si="0"/>
        <v>2000</v>
      </c>
      <c r="D36">
        <v>100.5</v>
      </c>
      <c r="E36">
        <v>75.3</v>
      </c>
      <c r="F36">
        <v>87.3</v>
      </c>
      <c r="G36" s="2">
        <f t="shared" si="1"/>
        <v>1</v>
      </c>
      <c r="H36">
        <v>96.1</v>
      </c>
      <c r="I36">
        <v>75.3</v>
      </c>
      <c r="J36">
        <v>85.7</v>
      </c>
      <c r="K36">
        <v>47.6</v>
      </c>
      <c r="L36">
        <v>27.3</v>
      </c>
      <c r="M36" s="2">
        <f t="shared" si="2"/>
        <v>1</v>
      </c>
      <c r="N36">
        <v>0</v>
      </c>
      <c r="O36" s="2">
        <f t="shared" si="3"/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s="2">
        <f t="shared" si="4"/>
        <v>0</v>
      </c>
      <c r="W36">
        <v>10.3</v>
      </c>
      <c r="X36" s="2">
        <f t="shared" si="5"/>
        <v>0</v>
      </c>
      <c r="Y36">
        <v>150.4</v>
      </c>
      <c r="Z36" s="2" t="str">
        <f>CHOOSE(MATCH(Y36,{0;11;80;111;161;191;241;281;341},1),"North","NorthEast","East","SouthEast","South","SouthWest","West","NorthWest","North")</f>
        <v>SouthEast</v>
      </c>
      <c r="AA36" s="4">
        <f>CHOOSE(MATCH(Z36,{"South";"SouthEast";"SouthWest";"North";"NorthEast";"East";"West";"NorthWest"},0),1,2,3,4,5,6,7,8)</f>
        <v>2</v>
      </c>
      <c r="AB36" s="2">
        <f t="shared" si="6"/>
        <v>0</v>
      </c>
      <c r="AC36">
        <v>1004.6</v>
      </c>
      <c r="AD36" t="s">
        <v>92</v>
      </c>
      <c r="AE36" s="2">
        <f t="shared" si="7"/>
        <v>1</v>
      </c>
      <c r="AF36" t="s">
        <v>93</v>
      </c>
      <c r="AG36" s="2">
        <f t="shared" si="8"/>
        <v>7</v>
      </c>
      <c r="AH36" s="2">
        <f t="shared" si="9"/>
        <v>1</v>
      </c>
      <c r="AI36" s="3">
        <v>585</v>
      </c>
      <c r="AJ36" s="2">
        <v>1</v>
      </c>
      <c r="AK36">
        <v>0</v>
      </c>
      <c r="AL36">
        <v>10</v>
      </c>
      <c r="AM36">
        <v>0</v>
      </c>
      <c r="AN36" s="2">
        <f>IF((2*G36+M36-O36+3*V36+2*AB36+2*AE36+2*AH36+3*AJ36)&gt;=7,1,0)</f>
        <v>1</v>
      </c>
    </row>
    <row r="37" spans="1:40" x14ac:dyDescent="0.25">
      <c r="A37" t="s">
        <v>27</v>
      </c>
      <c r="B37" s="1">
        <v>36719</v>
      </c>
      <c r="C37" s="6">
        <f t="shared" si="0"/>
        <v>2000</v>
      </c>
      <c r="D37">
        <v>95.1</v>
      </c>
      <c r="E37">
        <v>71.7</v>
      </c>
      <c r="F37">
        <v>82.4</v>
      </c>
      <c r="G37" s="2">
        <f t="shared" si="1"/>
        <v>1</v>
      </c>
      <c r="H37">
        <v>92.8</v>
      </c>
      <c r="I37">
        <v>71.7</v>
      </c>
      <c r="J37">
        <v>81.3</v>
      </c>
      <c r="K37">
        <v>52.6</v>
      </c>
      <c r="L37">
        <v>38.200000000000003</v>
      </c>
      <c r="M37" s="2">
        <f t="shared" si="2"/>
        <v>1</v>
      </c>
      <c r="N37">
        <v>0</v>
      </c>
      <c r="O37" s="2">
        <f t="shared" si="3"/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s="2">
        <f t="shared" si="4"/>
        <v>0</v>
      </c>
      <c r="W37">
        <v>9.1999999999999993</v>
      </c>
      <c r="X37" s="2">
        <f t="shared" si="5"/>
        <v>0</v>
      </c>
      <c r="Y37">
        <v>150</v>
      </c>
      <c r="Z37" s="2" t="str">
        <f>CHOOSE(MATCH(Y37,{0;11;80;111;161;191;241;281;341},1),"North","NorthEast","East","SouthEast","South","SouthWest","West","NorthWest","North")</f>
        <v>SouthEast</v>
      </c>
      <c r="AA37" s="4">
        <f>CHOOSE(MATCH(Z37,{"South";"SouthEast";"SouthWest";"North";"NorthEast";"East";"West";"NorthWest"},0),1,2,3,4,5,6,7,8)</f>
        <v>2</v>
      </c>
      <c r="AB37" s="2">
        <f t="shared" si="6"/>
        <v>0</v>
      </c>
      <c r="AC37">
        <v>1008.5</v>
      </c>
      <c r="AD37" t="s">
        <v>73</v>
      </c>
      <c r="AE37" s="2">
        <f t="shared" si="7"/>
        <v>1</v>
      </c>
      <c r="AF37" t="s">
        <v>94</v>
      </c>
      <c r="AG37" s="2">
        <f t="shared" si="8"/>
        <v>7</v>
      </c>
      <c r="AH37" s="2">
        <f t="shared" si="9"/>
        <v>1</v>
      </c>
      <c r="AI37" s="3">
        <v>1155.000000003492</v>
      </c>
      <c r="AJ37" s="2">
        <v>1</v>
      </c>
      <c r="AK37">
        <v>0</v>
      </c>
      <c r="AL37">
        <v>2</v>
      </c>
      <c r="AM37">
        <v>0</v>
      </c>
      <c r="AN37" s="2">
        <f>IF((2*G37+M37-O37+3*V37+2*AB37+2*AE37+2*AH37+3*AJ37)&gt;=7,1,0)</f>
        <v>1</v>
      </c>
    </row>
    <row r="38" spans="1:40" x14ac:dyDescent="0.25">
      <c r="A38" t="s">
        <v>27</v>
      </c>
      <c r="B38" s="1">
        <v>36721</v>
      </c>
      <c r="C38" s="6">
        <f t="shared" si="0"/>
        <v>2000</v>
      </c>
      <c r="D38">
        <v>80.7</v>
      </c>
      <c r="E38">
        <v>71.7</v>
      </c>
      <c r="F38">
        <v>78.099999999999994</v>
      </c>
      <c r="G38" s="2">
        <f t="shared" si="1"/>
        <v>1</v>
      </c>
      <c r="H38">
        <v>81.900000000000006</v>
      </c>
      <c r="I38">
        <v>71.7</v>
      </c>
      <c r="J38">
        <v>78.3</v>
      </c>
      <c r="K38">
        <v>58.6</v>
      </c>
      <c r="L38">
        <v>51.9</v>
      </c>
      <c r="M38" s="2">
        <f t="shared" si="2"/>
        <v>1</v>
      </c>
      <c r="N38">
        <v>0</v>
      </c>
      <c r="O38" s="2">
        <f t="shared" si="3"/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s="2">
        <f t="shared" si="4"/>
        <v>0</v>
      </c>
      <c r="W38">
        <v>24.2</v>
      </c>
      <c r="X38" s="2">
        <f t="shared" si="5"/>
        <v>1</v>
      </c>
      <c r="Y38">
        <v>322</v>
      </c>
      <c r="Z38" s="2" t="str">
        <f>CHOOSE(MATCH(Y38,{0;11;80;111;161;191;241;281;341},1),"North","NorthEast","East","SouthEast","South","SouthWest","West","NorthWest","North")</f>
        <v>NorthWest</v>
      </c>
      <c r="AA38" s="4">
        <f>CHOOSE(MATCH(Z38,{"South";"SouthEast";"SouthWest";"North";"NorthEast";"East";"West";"NorthWest"},0),1,2,3,4,5,6,7,8)</f>
        <v>8</v>
      </c>
      <c r="AB38" s="2">
        <f t="shared" si="6"/>
        <v>1</v>
      </c>
      <c r="AC38">
        <v>1006.9</v>
      </c>
      <c r="AD38" t="s">
        <v>95</v>
      </c>
      <c r="AE38" s="2">
        <f t="shared" si="7"/>
        <v>1</v>
      </c>
      <c r="AF38" t="s">
        <v>96</v>
      </c>
      <c r="AG38" s="2">
        <f t="shared" si="8"/>
        <v>7</v>
      </c>
      <c r="AH38" s="2">
        <f t="shared" si="9"/>
        <v>1</v>
      </c>
      <c r="AI38" s="3">
        <v>2246.0000000079158</v>
      </c>
      <c r="AJ38" s="2">
        <v>1</v>
      </c>
      <c r="AK38">
        <v>0</v>
      </c>
      <c r="AL38">
        <v>6</v>
      </c>
      <c r="AM38">
        <v>0</v>
      </c>
      <c r="AN38" s="2">
        <f>IF((2*G38+M38-O38+3*V38+2*AB38+2*AE38+2*AH38+3*AJ38)&gt;=7,1,0)</f>
        <v>1</v>
      </c>
    </row>
    <row r="39" spans="1:40" x14ac:dyDescent="0.25">
      <c r="A39" t="s">
        <v>27</v>
      </c>
      <c r="B39" s="1">
        <v>36721</v>
      </c>
      <c r="C39" s="6">
        <f t="shared" si="0"/>
        <v>2000</v>
      </c>
      <c r="D39">
        <v>80.7</v>
      </c>
      <c r="E39">
        <v>71.7</v>
      </c>
      <c r="F39">
        <v>78.099999999999994</v>
      </c>
      <c r="G39" s="2">
        <f t="shared" si="1"/>
        <v>1</v>
      </c>
      <c r="H39">
        <v>81.900000000000006</v>
      </c>
      <c r="I39">
        <v>71.7</v>
      </c>
      <c r="J39">
        <v>78.3</v>
      </c>
      <c r="K39">
        <v>58.6</v>
      </c>
      <c r="L39">
        <v>51.9</v>
      </c>
      <c r="M39" s="2">
        <f t="shared" si="2"/>
        <v>1</v>
      </c>
      <c r="N39">
        <v>0</v>
      </c>
      <c r="O39" s="2">
        <f t="shared" si="3"/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s="2">
        <f t="shared" si="4"/>
        <v>0</v>
      </c>
      <c r="W39">
        <v>24.2</v>
      </c>
      <c r="X39" s="2">
        <f t="shared" si="5"/>
        <v>1</v>
      </c>
      <c r="Y39">
        <v>322</v>
      </c>
      <c r="Z39" s="2" t="str">
        <f>CHOOSE(MATCH(Y39,{0;11;80;111;161;191;241;281;341},1),"North","NorthEast","East","SouthEast","South","SouthWest","West","NorthWest","North")</f>
        <v>NorthWest</v>
      </c>
      <c r="AA39" s="4">
        <f>CHOOSE(MATCH(Z39,{"South";"SouthEast";"SouthWest";"North";"NorthEast";"East";"West";"NorthWest"},0),1,2,3,4,5,6,7,8)</f>
        <v>8</v>
      </c>
      <c r="AB39" s="2">
        <f t="shared" si="6"/>
        <v>1</v>
      </c>
      <c r="AC39">
        <v>1006.9</v>
      </c>
      <c r="AD39" t="s">
        <v>97</v>
      </c>
      <c r="AE39" s="2">
        <f t="shared" si="7"/>
        <v>1</v>
      </c>
      <c r="AF39" t="s">
        <v>98</v>
      </c>
      <c r="AG39" s="2">
        <f t="shared" si="8"/>
        <v>7</v>
      </c>
      <c r="AH39" s="2">
        <f t="shared" si="9"/>
        <v>1</v>
      </c>
      <c r="AI39" s="3">
        <v>65.999999995110556</v>
      </c>
      <c r="AJ39" s="2">
        <v>0</v>
      </c>
      <c r="AK39">
        <v>0</v>
      </c>
      <c r="AL39">
        <v>1</v>
      </c>
      <c r="AM39">
        <v>0</v>
      </c>
      <c r="AN39" s="2">
        <f>IF((2*G39+M39-O39+3*V39+2*AB39+2*AE39+2*AH39+3*AJ39)&gt;=7,1,0)</f>
        <v>1</v>
      </c>
    </row>
    <row r="40" spans="1:40" x14ac:dyDescent="0.25">
      <c r="A40" t="s">
        <v>27</v>
      </c>
      <c r="B40" s="1">
        <v>36723</v>
      </c>
      <c r="C40" s="6">
        <f t="shared" si="0"/>
        <v>2000</v>
      </c>
      <c r="D40">
        <v>80.7</v>
      </c>
      <c r="E40">
        <v>68.099999999999994</v>
      </c>
      <c r="F40">
        <v>76.900000000000006</v>
      </c>
      <c r="G40" s="2">
        <f t="shared" si="1"/>
        <v>1</v>
      </c>
      <c r="H40">
        <v>84.1</v>
      </c>
      <c r="I40">
        <v>68.099999999999994</v>
      </c>
      <c r="J40">
        <v>77.900000000000006</v>
      </c>
      <c r="K40">
        <v>65.599999999999994</v>
      </c>
      <c r="L40">
        <v>68.599999999999994</v>
      </c>
      <c r="M40" s="2">
        <f t="shared" si="2"/>
        <v>0</v>
      </c>
      <c r="N40">
        <v>0</v>
      </c>
      <c r="O40" s="2">
        <f t="shared" si="3"/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s="2">
        <f t="shared" si="4"/>
        <v>0</v>
      </c>
      <c r="W40">
        <v>16.100000000000001</v>
      </c>
      <c r="X40" s="2">
        <f t="shared" si="5"/>
        <v>1</v>
      </c>
      <c r="Y40">
        <v>320.2</v>
      </c>
      <c r="Z40" s="2" t="str">
        <f>CHOOSE(MATCH(Y40,{0;11;80;111;161;191;241;281;341},1),"North","NorthEast","East","SouthEast","South","SouthWest","West","NorthWest","North")</f>
        <v>NorthWest</v>
      </c>
      <c r="AA40" s="4">
        <f>CHOOSE(MATCH(Z40,{"South";"SouthEast";"SouthWest";"North";"NorthEast";"East";"West";"NorthWest"},0),1,2,3,4,5,6,7,8)</f>
        <v>8</v>
      </c>
      <c r="AB40" s="2">
        <f t="shared" si="6"/>
        <v>1</v>
      </c>
      <c r="AC40">
        <v>1009.8</v>
      </c>
      <c r="AD40" t="s">
        <v>99</v>
      </c>
      <c r="AE40" s="2">
        <f t="shared" si="7"/>
        <v>1</v>
      </c>
      <c r="AF40" t="s">
        <v>100</v>
      </c>
      <c r="AG40" s="2">
        <f t="shared" si="8"/>
        <v>7</v>
      </c>
      <c r="AH40" s="2">
        <f t="shared" si="9"/>
        <v>1</v>
      </c>
      <c r="AI40" s="3">
        <v>6000.0000000069849</v>
      </c>
      <c r="AJ40" s="2">
        <v>1</v>
      </c>
      <c r="AK40">
        <v>0</v>
      </c>
      <c r="AL40">
        <v>30</v>
      </c>
      <c r="AM40">
        <v>0</v>
      </c>
      <c r="AN40" s="2">
        <f>IF((2*G40+M40-O40+3*V40+2*AB40+2*AE40+2*AH40+3*AJ40)&gt;=7,1,0)</f>
        <v>1</v>
      </c>
    </row>
    <row r="41" spans="1:40" x14ac:dyDescent="0.25">
      <c r="A41" t="s">
        <v>27</v>
      </c>
      <c r="B41" s="1">
        <v>36723</v>
      </c>
      <c r="C41" s="6">
        <f t="shared" si="0"/>
        <v>2000</v>
      </c>
      <c r="D41">
        <v>80.7</v>
      </c>
      <c r="E41">
        <v>68.099999999999994</v>
      </c>
      <c r="F41">
        <v>76.900000000000006</v>
      </c>
      <c r="G41" s="2">
        <f t="shared" si="1"/>
        <v>1</v>
      </c>
      <c r="H41">
        <v>84.1</v>
      </c>
      <c r="I41">
        <v>68.099999999999994</v>
      </c>
      <c r="J41">
        <v>77.900000000000006</v>
      </c>
      <c r="K41">
        <v>65.599999999999994</v>
      </c>
      <c r="L41">
        <v>68.599999999999994</v>
      </c>
      <c r="M41" s="2">
        <f t="shared" si="2"/>
        <v>0</v>
      </c>
      <c r="N41">
        <v>0</v>
      </c>
      <c r="O41" s="2">
        <f t="shared" si="3"/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s="2">
        <f t="shared" si="4"/>
        <v>0</v>
      </c>
      <c r="W41">
        <v>16.100000000000001</v>
      </c>
      <c r="X41" s="2">
        <f t="shared" si="5"/>
        <v>1</v>
      </c>
      <c r="Y41">
        <v>320.2</v>
      </c>
      <c r="Z41" s="2" t="str">
        <f>CHOOSE(MATCH(Y41,{0;11;80;111;161;191;241;281;341},1),"North","NorthEast","East","SouthEast","South","SouthWest","West","NorthWest","North")</f>
        <v>NorthWest</v>
      </c>
      <c r="AA41" s="4">
        <f>CHOOSE(MATCH(Z41,{"South";"SouthEast";"SouthWest";"North";"NorthEast";"East";"West";"NorthWest"},0),1,2,3,4,5,6,7,8)</f>
        <v>8</v>
      </c>
      <c r="AB41" s="2">
        <f t="shared" si="6"/>
        <v>1</v>
      </c>
      <c r="AC41">
        <v>1009.8</v>
      </c>
      <c r="AD41" t="s">
        <v>53</v>
      </c>
      <c r="AE41" s="2">
        <f t="shared" si="7"/>
        <v>0</v>
      </c>
      <c r="AF41" t="s">
        <v>101</v>
      </c>
      <c r="AG41" s="2">
        <f t="shared" si="8"/>
        <v>7</v>
      </c>
      <c r="AH41" s="2">
        <f t="shared" si="9"/>
        <v>1</v>
      </c>
      <c r="AI41" s="3">
        <v>330.99999999976723</v>
      </c>
      <c r="AJ41" s="2">
        <v>0</v>
      </c>
      <c r="AK41">
        <v>0</v>
      </c>
      <c r="AL41">
        <v>5</v>
      </c>
      <c r="AM41">
        <v>0</v>
      </c>
      <c r="AN41" s="2">
        <f>IF((2*G41+M41-O41+3*V41+2*AB41+2*AE41+2*AH41+3*AJ41)&gt;=7,1,0)</f>
        <v>0</v>
      </c>
    </row>
    <row r="42" spans="1:40" x14ac:dyDescent="0.25">
      <c r="A42" t="s">
        <v>27</v>
      </c>
      <c r="B42" s="1">
        <v>36724</v>
      </c>
      <c r="C42" s="6">
        <f t="shared" si="0"/>
        <v>2000</v>
      </c>
      <c r="D42">
        <v>82.5</v>
      </c>
      <c r="E42">
        <v>69.900000000000006</v>
      </c>
      <c r="F42">
        <v>75.8</v>
      </c>
      <c r="G42" s="2">
        <f t="shared" si="1"/>
        <v>1</v>
      </c>
      <c r="H42">
        <v>83.5</v>
      </c>
      <c r="I42">
        <v>69.900000000000006</v>
      </c>
      <c r="J42">
        <v>76</v>
      </c>
      <c r="K42">
        <v>64.900000000000006</v>
      </c>
      <c r="L42">
        <v>69.5</v>
      </c>
      <c r="M42" s="2">
        <f t="shared" si="2"/>
        <v>0</v>
      </c>
      <c r="N42">
        <v>0</v>
      </c>
      <c r="O42" s="2">
        <f t="shared" si="3"/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s="2">
        <f t="shared" si="4"/>
        <v>0</v>
      </c>
      <c r="W42">
        <v>23</v>
      </c>
      <c r="X42" s="2">
        <f t="shared" si="5"/>
        <v>1</v>
      </c>
      <c r="Y42">
        <v>309.3</v>
      </c>
      <c r="Z42" s="2" t="str">
        <f>CHOOSE(MATCH(Y42,{0;11;80;111;161;191;241;281;341},1),"North","NorthEast","East","SouthEast","South","SouthWest","West","NorthWest","North")</f>
        <v>NorthWest</v>
      </c>
      <c r="AA42" s="4">
        <f>CHOOSE(MATCH(Z42,{"South";"SouthEast";"SouthWest";"North";"NorthEast";"East";"West";"NorthWest"},0),1,2,3,4,5,6,7,8)</f>
        <v>8</v>
      </c>
      <c r="AB42" s="2">
        <f t="shared" si="6"/>
        <v>1</v>
      </c>
      <c r="AC42">
        <v>1012.4</v>
      </c>
      <c r="AD42" t="s">
        <v>102</v>
      </c>
      <c r="AE42" s="2">
        <f t="shared" si="7"/>
        <v>0</v>
      </c>
      <c r="AF42" t="s">
        <v>103</v>
      </c>
      <c r="AG42" s="2">
        <f t="shared" si="8"/>
        <v>7</v>
      </c>
      <c r="AH42" s="2">
        <f t="shared" si="9"/>
        <v>1</v>
      </c>
      <c r="AI42" s="3">
        <v>2940.9999999997672</v>
      </c>
      <c r="AJ42" s="2">
        <v>1</v>
      </c>
      <c r="AK42">
        <v>20</v>
      </c>
      <c r="AL42">
        <v>50</v>
      </c>
      <c r="AM42">
        <v>0</v>
      </c>
      <c r="AN42" s="2">
        <f>IF((2*G42+M42-O42+3*V42+2*AB42+2*AE42+2*AH42+3*AJ42)&gt;=7,1,0)</f>
        <v>1</v>
      </c>
    </row>
    <row r="43" spans="1:40" x14ac:dyDescent="0.25">
      <c r="A43" t="s">
        <v>27</v>
      </c>
      <c r="B43" s="1">
        <v>36726</v>
      </c>
      <c r="C43" s="6">
        <f t="shared" si="0"/>
        <v>2000</v>
      </c>
      <c r="D43">
        <v>82.5</v>
      </c>
      <c r="E43">
        <v>69.900000000000006</v>
      </c>
      <c r="F43">
        <v>77</v>
      </c>
      <c r="G43" s="2">
        <f t="shared" si="1"/>
        <v>1</v>
      </c>
      <c r="H43">
        <v>84.1</v>
      </c>
      <c r="I43">
        <v>69.900000000000006</v>
      </c>
      <c r="J43">
        <v>77.400000000000006</v>
      </c>
      <c r="K43">
        <v>62.5</v>
      </c>
      <c r="L43">
        <v>62.2</v>
      </c>
      <c r="M43" s="2">
        <f t="shared" si="2"/>
        <v>1</v>
      </c>
      <c r="N43">
        <v>0</v>
      </c>
      <c r="O43" s="2">
        <f t="shared" si="3"/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s="2">
        <f t="shared" si="4"/>
        <v>0</v>
      </c>
      <c r="W43">
        <v>13.9</v>
      </c>
      <c r="X43" s="2">
        <f t="shared" si="5"/>
        <v>0</v>
      </c>
      <c r="Y43">
        <v>310.89999999999998</v>
      </c>
      <c r="Z43" s="2" t="str">
        <f>CHOOSE(MATCH(Y43,{0;11;80;111;161;191;241;281;341},1),"North","NorthEast","East","SouthEast","South","SouthWest","West","NorthWest","North")</f>
        <v>NorthWest</v>
      </c>
      <c r="AA43" s="4">
        <f>CHOOSE(MATCH(Z43,{"South";"SouthEast";"SouthWest";"North";"NorthEast";"East";"West";"NorthWest"},0),1,2,3,4,5,6,7,8)</f>
        <v>8</v>
      </c>
      <c r="AB43" s="2">
        <f t="shared" si="6"/>
        <v>1</v>
      </c>
      <c r="AC43">
        <v>1006.9</v>
      </c>
      <c r="AD43" t="s">
        <v>28</v>
      </c>
      <c r="AE43" s="2">
        <f t="shared" si="7"/>
        <v>1</v>
      </c>
      <c r="AF43" t="s">
        <v>104</v>
      </c>
      <c r="AG43" s="2">
        <f t="shared" si="8"/>
        <v>7</v>
      </c>
      <c r="AH43" s="2">
        <f t="shared" si="9"/>
        <v>1</v>
      </c>
      <c r="AI43" s="3">
        <v>255.99999999627471</v>
      </c>
      <c r="AJ43" s="2">
        <v>0</v>
      </c>
      <c r="AK43">
        <v>0</v>
      </c>
      <c r="AL43">
        <v>1</v>
      </c>
      <c r="AM43">
        <v>0</v>
      </c>
      <c r="AN43" s="2">
        <f>IF((2*G43+M43-O43+3*V43+2*AB43+2*AE43+2*AH43+3*AJ43)&gt;=7,1,0)</f>
        <v>1</v>
      </c>
    </row>
    <row r="44" spans="1:40" x14ac:dyDescent="0.25">
      <c r="A44" t="s">
        <v>27</v>
      </c>
      <c r="B44" s="1">
        <v>36727</v>
      </c>
      <c r="C44" s="6">
        <f t="shared" si="0"/>
        <v>2000</v>
      </c>
      <c r="D44">
        <v>80.7</v>
      </c>
      <c r="E44">
        <v>71.7</v>
      </c>
      <c r="F44">
        <v>77</v>
      </c>
      <c r="G44" s="2">
        <f t="shared" si="1"/>
        <v>1</v>
      </c>
      <c r="H44">
        <v>82.4</v>
      </c>
      <c r="I44">
        <v>71.7</v>
      </c>
      <c r="J44">
        <v>77.3</v>
      </c>
      <c r="K44">
        <v>62.7</v>
      </c>
      <c r="L44">
        <v>61.9</v>
      </c>
      <c r="M44" s="2">
        <f t="shared" si="2"/>
        <v>1</v>
      </c>
      <c r="N44">
        <v>0</v>
      </c>
      <c r="O44" s="2">
        <f t="shared" si="3"/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2">
        <f t="shared" si="4"/>
        <v>0</v>
      </c>
      <c r="W44">
        <v>31.3</v>
      </c>
      <c r="X44" s="2">
        <f t="shared" si="5"/>
        <v>1</v>
      </c>
      <c r="Y44">
        <v>311.2</v>
      </c>
      <c r="Z44" s="2" t="str">
        <f>CHOOSE(MATCH(Y44,{0;11;80;111;161;191;241;281;341},1),"North","NorthEast","East","SouthEast","South","SouthWest","West","NorthWest","North")</f>
        <v>NorthWest</v>
      </c>
      <c r="AA44" s="4">
        <f>CHOOSE(MATCH(Z44,{"South";"SouthEast";"SouthWest";"North";"NorthEast";"East";"West";"NorthWest"},0),1,2,3,4,5,6,7,8)</f>
        <v>8</v>
      </c>
      <c r="AB44" s="2">
        <f t="shared" si="6"/>
        <v>1</v>
      </c>
      <c r="AC44">
        <v>1007.3</v>
      </c>
      <c r="AD44" t="s">
        <v>105</v>
      </c>
      <c r="AE44" s="2">
        <f t="shared" si="7"/>
        <v>0</v>
      </c>
      <c r="AF44" t="s">
        <v>106</v>
      </c>
      <c r="AG44" s="2">
        <f t="shared" si="8"/>
        <v>7</v>
      </c>
      <c r="AH44" s="2">
        <f t="shared" si="9"/>
        <v>1</v>
      </c>
      <c r="AI44" s="3">
        <v>320.99999999860302</v>
      </c>
      <c r="AJ44" s="2">
        <v>0</v>
      </c>
      <c r="AK44">
        <v>0</v>
      </c>
      <c r="AL44">
        <v>5</v>
      </c>
      <c r="AM44">
        <v>0</v>
      </c>
      <c r="AN44" s="2">
        <f>IF((2*G44+M44-O44+3*V44+2*AB44+2*AE44+2*AH44+3*AJ44)&gt;=7,1,0)</f>
        <v>0</v>
      </c>
    </row>
    <row r="45" spans="1:40" x14ac:dyDescent="0.25">
      <c r="A45" t="s">
        <v>27</v>
      </c>
      <c r="B45" s="1">
        <v>36732</v>
      </c>
      <c r="C45" s="6">
        <f t="shared" si="0"/>
        <v>2000</v>
      </c>
      <c r="D45">
        <v>82.5</v>
      </c>
      <c r="E45">
        <v>71.7</v>
      </c>
      <c r="F45">
        <v>78.7</v>
      </c>
      <c r="G45" s="2">
        <f t="shared" si="1"/>
        <v>1</v>
      </c>
      <c r="H45">
        <v>87.4</v>
      </c>
      <c r="I45">
        <v>71.7</v>
      </c>
      <c r="J45">
        <v>80</v>
      </c>
      <c r="K45">
        <v>63.6</v>
      </c>
      <c r="L45">
        <v>60.5</v>
      </c>
      <c r="M45" s="2">
        <f t="shared" si="2"/>
        <v>1</v>
      </c>
      <c r="N45">
        <v>0</v>
      </c>
      <c r="O45" s="2">
        <f t="shared" si="3"/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s="2">
        <f t="shared" si="4"/>
        <v>0</v>
      </c>
      <c r="W45">
        <v>15</v>
      </c>
      <c r="X45" s="2">
        <f t="shared" si="5"/>
        <v>0</v>
      </c>
      <c r="Y45">
        <v>336.7</v>
      </c>
      <c r="Z45" s="2" t="str">
        <f>CHOOSE(MATCH(Y45,{0;11;80;111;161;191;241;281;341},1),"North","NorthEast","East","SouthEast","South","SouthWest","West","NorthWest","North")</f>
        <v>NorthWest</v>
      </c>
      <c r="AA45" s="4">
        <f>CHOOSE(MATCH(Z45,{"South";"SouthEast";"SouthWest";"North";"NorthEast";"East";"West";"NorthWest"},0),1,2,3,4,5,6,7,8)</f>
        <v>8</v>
      </c>
      <c r="AB45" s="2">
        <f t="shared" si="6"/>
        <v>1</v>
      </c>
      <c r="AC45">
        <v>1010.7</v>
      </c>
      <c r="AD45" t="s">
        <v>39</v>
      </c>
      <c r="AE45" s="2">
        <f t="shared" si="7"/>
        <v>1</v>
      </c>
      <c r="AF45" t="s">
        <v>107</v>
      </c>
      <c r="AG45" s="2">
        <f t="shared" si="8"/>
        <v>7</v>
      </c>
      <c r="AH45" s="2">
        <f t="shared" si="9"/>
        <v>1</v>
      </c>
      <c r="AI45" s="3">
        <v>235.9999999939464</v>
      </c>
      <c r="AJ45" s="2">
        <v>0</v>
      </c>
      <c r="AK45">
        <v>0</v>
      </c>
      <c r="AL45">
        <v>4</v>
      </c>
      <c r="AM45">
        <v>0</v>
      </c>
      <c r="AN45" s="2">
        <f>IF((2*G45+M45-O45+3*V45+2*AB45+2*AE45+2*AH45+3*AJ45)&gt;=7,1,0)</f>
        <v>1</v>
      </c>
    </row>
    <row r="46" spans="1:40" x14ac:dyDescent="0.25">
      <c r="A46" t="s">
        <v>27</v>
      </c>
      <c r="B46" s="1">
        <v>36736</v>
      </c>
      <c r="C46" s="6">
        <f t="shared" si="0"/>
        <v>2000</v>
      </c>
      <c r="D46">
        <v>86.1</v>
      </c>
      <c r="E46">
        <v>69.900000000000006</v>
      </c>
      <c r="F46">
        <v>79</v>
      </c>
      <c r="G46" s="2">
        <f t="shared" si="1"/>
        <v>1</v>
      </c>
      <c r="H46">
        <v>91.1</v>
      </c>
      <c r="I46">
        <v>69.900000000000006</v>
      </c>
      <c r="J46">
        <v>80.8</v>
      </c>
      <c r="K46">
        <v>65.2</v>
      </c>
      <c r="L46">
        <v>63.4</v>
      </c>
      <c r="M46" s="2">
        <f t="shared" si="2"/>
        <v>1</v>
      </c>
      <c r="N46">
        <v>0</v>
      </c>
      <c r="O46" s="2">
        <f t="shared" si="3"/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s="2">
        <f t="shared" si="4"/>
        <v>0</v>
      </c>
      <c r="W46">
        <v>8.1</v>
      </c>
      <c r="X46" s="2">
        <f t="shared" si="5"/>
        <v>0</v>
      </c>
      <c r="Y46">
        <v>35.700000000000003</v>
      </c>
      <c r="Z46" s="2" t="str">
        <f>CHOOSE(MATCH(Y46,{0;11;80;111;161;191;241;281;341},1),"North","NorthEast","East","SouthEast","South","SouthWest","West","NorthWest","North")</f>
        <v>NorthEast</v>
      </c>
      <c r="AA46" s="4">
        <f>CHOOSE(MATCH(Z46,{"South";"SouthEast";"SouthWest";"North";"NorthEast";"East";"West";"NorthWest"},0),1,2,3,4,5,6,7,8)</f>
        <v>5</v>
      </c>
      <c r="AB46" s="2">
        <f t="shared" si="6"/>
        <v>1</v>
      </c>
      <c r="AC46">
        <v>1006.2</v>
      </c>
      <c r="AD46" t="s">
        <v>108</v>
      </c>
      <c r="AE46" s="2">
        <f t="shared" si="7"/>
        <v>1</v>
      </c>
      <c r="AF46" t="s">
        <v>109</v>
      </c>
      <c r="AG46" s="2">
        <f t="shared" si="8"/>
        <v>7</v>
      </c>
      <c r="AH46" s="2">
        <f t="shared" si="9"/>
        <v>1</v>
      </c>
      <c r="AI46" s="3">
        <v>306.00000000209548</v>
      </c>
      <c r="AJ46" s="2">
        <v>0</v>
      </c>
      <c r="AK46">
        <v>0</v>
      </c>
      <c r="AL46">
        <v>30</v>
      </c>
      <c r="AM46">
        <v>0</v>
      </c>
      <c r="AN46" s="2">
        <f>IF((2*G46+M46-O46+3*V46+2*AB46+2*AE46+2*AH46+3*AJ46)&gt;=7,1,0)</f>
        <v>1</v>
      </c>
    </row>
    <row r="47" spans="1:40" x14ac:dyDescent="0.25">
      <c r="A47" t="s">
        <v>27</v>
      </c>
      <c r="B47" s="1">
        <v>36739</v>
      </c>
      <c r="C47" s="6">
        <f t="shared" si="0"/>
        <v>2000</v>
      </c>
      <c r="D47">
        <v>80.7</v>
      </c>
      <c r="E47">
        <v>77.099999999999994</v>
      </c>
      <c r="F47">
        <v>78.5</v>
      </c>
      <c r="G47" s="2">
        <f t="shared" si="1"/>
        <v>1</v>
      </c>
      <c r="H47">
        <v>82.9</v>
      </c>
      <c r="I47">
        <v>77.099999999999994</v>
      </c>
      <c r="J47">
        <v>79</v>
      </c>
      <c r="K47">
        <v>65.8</v>
      </c>
      <c r="L47">
        <v>65.8</v>
      </c>
      <c r="M47" s="2">
        <f t="shared" si="2"/>
        <v>1</v>
      </c>
      <c r="N47">
        <v>0</v>
      </c>
      <c r="O47" s="2">
        <f t="shared" si="3"/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s="2">
        <f t="shared" si="4"/>
        <v>0</v>
      </c>
      <c r="W47">
        <v>20.8</v>
      </c>
      <c r="X47" s="2">
        <f t="shared" si="5"/>
        <v>1</v>
      </c>
      <c r="Y47">
        <v>328.7</v>
      </c>
      <c r="Z47" s="2" t="str">
        <f>CHOOSE(MATCH(Y47,{0;11;80;111;161;191;241;281;341},1),"North","NorthEast","East","SouthEast","South","SouthWest","West","NorthWest","North")</f>
        <v>NorthWest</v>
      </c>
      <c r="AA47" s="4">
        <f>CHOOSE(MATCH(Z47,{"South";"SouthEast";"SouthWest";"North";"NorthEast";"East";"West";"NorthWest"},0),1,2,3,4,5,6,7,8)</f>
        <v>8</v>
      </c>
      <c r="AB47" s="2">
        <f t="shared" si="6"/>
        <v>1</v>
      </c>
      <c r="AC47">
        <v>1014.1</v>
      </c>
      <c r="AD47" t="s">
        <v>110</v>
      </c>
      <c r="AE47" s="2">
        <f t="shared" si="7"/>
        <v>0</v>
      </c>
      <c r="AF47" t="s">
        <v>111</v>
      </c>
      <c r="AG47" s="2">
        <f t="shared" si="8"/>
        <v>8</v>
      </c>
      <c r="AH47" s="2">
        <f t="shared" si="9"/>
        <v>1</v>
      </c>
      <c r="AI47" s="3">
        <v>236.00000000442381</v>
      </c>
      <c r="AJ47" s="2">
        <v>0</v>
      </c>
      <c r="AK47">
        <v>0</v>
      </c>
      <c r="AL47">
        <v>1</v>
      </c>
      <c r="AM47">
        <v>0</v>
      </c>
      <c r="AN47" s="2">
        <f>IF((2*G47+M47-O47+3*V47+2*AB47+2*AE47+2*AH47+3*AJ47)&gt;=7,1,0)</f>
        <v>0</v>
      </c>
    </row>
    <row r="48" spans="1:40" x14ac:dyDescent="0.25">
      <c r="A48" t="s">
        <v>27</v>
      </c>
      <c r="B48" s="1">
        <v>36740</v>
      </c>
      <c r="C48" s="6">
        <f t="shared" si="0"/>
        <v>2000</v>
      </c>
      <c r="D48">
        <v>80.7</v>
      </c>
      <c r="E48">
        <v>75.3</v>
      </c>
      <c r="F48">
        <v>77.900000000000006</v>
      </c>
      <c r="G48" s="2">
        <f t="shared" si="1"/>
        <v>1</v>
      </c>
      <c r="H48">
        <v>81.5</v>
      </c>
      <c r="I48">
        <v>75.3</v>
      </c>
      <c r="J48">
        <v>78</v>
      </c>
      <c r="K48">
        <v>59.9</v>
      </c>
      <c r="L48">
        <v>54</v>
      </c>
      <c r="M48" s="2">
        <f t="shared" si="2"/>
        <v>1</v>
      </c>
      <c r="N48">
        <v>0</v>
      </c>
      <c r="O48" s="2">
        <f t="shared" si="3"/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s="2">
        <f t="shared" si="4"/>
        <v>0</v>
      </c>
      <c r="W48">
        <v>19.5</v>
      </c>
      <c r="X48" s="2">
        <f t="shared" si="5"/>
        <v>1</v>
      </c>
      <c r="Y48">
        <v>328.7</v>
      </c>
      <c r="Z48" s="2" t="str">
        <f>CHOOSE(MATCH(Y48,{0;11;80;111;161;191;241;281;341},1),"North","NorthEast","East","SouthEast","South","SouthWest","West","NorthWest","North")</f>
        <v>NorthWest</v>
      </c>
      <c r="AA48" s="4">
        <f>CHOOSE(MATCH(Z48,{"South";"SouthEast";"SouthWest";"North";"NorthEast";"East";"West";"NorthWest"},0),1,2,3,4,5,6,7,8)</f>
        <v>8</v>
      </c>
      <c r="AB48" s="2">
        <f t="shared" si="6"/>
        <v>1</v>
      </c>
      <c r="AC48">
        <v>1016.3</v>
      </c>
      <c r="AD48" t="s">
        <v>112</v>
      </c>
      <c r="AE48" s="2">
        <f t="shared" si="7"/>
        <v>1</v>
      </c>
      <c r="AF48" t="s">
        <v>113</v>
      </c>
      <c r="AG48" s="2">
        <f t="shared" si="8"/>
        <v>8</v>
      </c>
      <c r="AH48" s="2">
        <f t="shared" si="9"/>
        <v>1</v>
      </c>
      <c r="AI48" s="3">
        <v>104.9999999965075</v>
      </c>
      <c r="AJ48" s="2">
        <v>0</v>
      </c>
      <c r="AK48">
        <v>0</v>
      </c>
      <c r="AL48">
        <v>3</v>
      </c>
      <c r="AM48">
        <v>0</v>
      </c>
      <c r="AN48" s="2">
        <f>IF((2*G48+M48-O48+3*V48+2*AB48+2*AE48+2*AH48+3*AJ48)&gt;=7,1,0)</f>
        <v>1</v>
      </c>
    </row>
    <row r="49" spans="1:40" x14ac:dyDescent="0.25">
      <c r="A49" t="s">
        <v>27</v>
      </c>
      <c r="B49" s="1">
        <v>36745</v>
      </c>
      <c r="C49" s="6">
        <f t="shared" si="0"/>
        <v>2000</v>
      </c>
      <c r="D49">
        <v>82.5</v>
      </c>
      <c r="E49">
        <v>68.099999999999994</v>
      </c>
      <c r="F49">
        <v>76.599999999999994</v>
      </c>
      <c r="G49" s="2">
        <f t="shared" si="1"/>
        <v>1</v>
      </c>
      <c r="H49">
        <v>85.5</v>
      </c>
      <c r="I49">
        <v>68.099999999999994</v>
      </c>
      <c r="J49">
        <v>77.599999999999994</v>
      </c>
      <c r="K49">
        <v>64.7</v>
      </c>
      <c r="L49">
        <v>67.599999999999994</v>
      </c>
      <c r="M49" s="2">
        <f t="shared" si="2"/>
        <v>0</v>
      </c>
      <c r="N49">
        <v>0</v>
      </c>
      <c r="O49" s="2">
        <f t="shared" si="3"/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 s="2">
        <f t="shared" si="4"/>
        <v>0</v>
      </c>
      <c r="W49">
        <v>16.100000000000001</v>
      </c>
      <c r="X49" s="2">
        <f t="shared" si="5"/>
        <v>1</v>
      </c>
      <c r="Y49">
        <v>318.5</v>
      </c>
      <c r="Z49" s="2" t="str">
        <f>CHOOSE(MATCH(Y49,{0;11;80;111;161;191;241;281;341},1),"North","NorthEast","East","SouthEast","South","SouthWest","West","NorthWest","North")</f>
        <v>NorthWest</v>
      </c>
      <c r="AA49" s="4">
        <f>CHOOSE(MATCH(Z49,{"South";"SouthEast";"SouthWest";"North";"NorthEast";"East";"West";"NorthWest"},0),1,2,3,4,5,6,7,8)</f>
        <v>8</v>
      </c>
      <c r="AB49" s="2">
        <f t="shared" si="6"/>
        <v>1</v>
      </c>
      <c r="AC49">
        <v>1010.5</v>
      </c>
      <c r="AD49" t="s">
        <v>51</v>
      </c>
      <c r="AE49" s="2">
        <f t="shared" si="7"/>
        <v>1</v>
      </c>
      <c r="AF49" t="s">
        <v>114</v>
      </c>
      <c r="AG49" s="2">
        <f t="shared" si="8"/>
        <v>8</v>
      </c>
      <c r="AH49" s="2">
        <f t="shared" si="9"/>
        <v>1</v>
      </c>
      <c r="AI49" s="3">
        <v>670.99999999743886</v>
      </c>
      <c r="AJ49" s="2">
        <v>1</v>
      </c>
      <c r="AK49">
        <v>0</v>
      </c>
      <c r="AL49">
        <v>20</v>
      </c>
      <c r="AM49">
        <v>0</v>
      </c>
      <c r="AN49" s="2">
        <f>IF((2*G49+M49-O49+3*V49+2*AB49+2*AE49+2*AH49+3*AJ49)&gt;=7,1,0)</f>
        <v>1</v>
      </c>
    </row>
    <row r="50" spans="1:40" x14ac:dyDescent="0.25">
      <c r="A50" t="s">
        <v>27</v>
      </c>
      <c r="B50" s="1">
        <v>36748</v>
      </c>
      <c r="C50" s="6">
        <f t="shared" si="0"/>
        <v>2000</v>
      </c>
      <c r="D50">
        <v>82.5</v>
      </c>
      <c r="E50">
        <v>71.7</v>
      </c>
      <c r="F50">
        <v>78.3</v>
      </c>
      <c r="G50" s="2">
        <f t="shared" si="1"/>
        <v>1</v>
      </c>
      <c r="H50">
        <v>86.4</v>
      </c>
      <c r="I50">
        <v>71.7</v>
      </c>
      <c r="J50">
        <v>79.7</v>
      </c>
      <c r="K50">
        <v>67.400000000000006</v>
      </c>
      <c r="L50">
        <v>69.599999999999994</v>
      </c>
      <c r="M50" s="2">
        <f t="shared" si="2"/>
        <v>0</v>
      </c>
      <c r="N50">
        <v>0</v>
      </c>
      <c r="O50" s="2">
        <f t="shared" si="3"/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 s="2">
        <f t="shared" si="4"/>
        <v>0</v>
      </c>
      <c r="W50">
        <v>24.2</v>
      </c>
      <c r="X50" s="2">
        <f t="shared" si="5"/>
        <v>1</v>
      </c>
      <c r="Y50">
        <v>312.89999999999998</v>
      </c>
      <c r="Z50" s="2" t="str">
        <f>CHOOSE(MATCH(Y50,{0;11;80;111;161;191;241;281;341},1),"North","NorthEast","East","SouthEast","South","SouthWest","West","NorthWest","North")</f>
        <v>NorthWest</v>
      </c>
      <c r="AA50" s="4">
        <f>CHOOSE(MATCH(Z50,{"South";"SouthEast";"SouthWest";"North";"NorthEast";"East";"West";"NorthWest"},0),1,2,3,4,5,6,7,8)</f>
        <v>8</v>
      </c>
      <c r="AB50" s="2">
        <f t="shared" si="6"/>
        <v>1</v>
      </c>
      <c r="AC50">
        <v>1010.1</v>
      </c>
      <c r="AD50" t="s">
        <v>34</v>
      </c>
      <c r="AE50" s="2">
        <f t="shared" si="7"/>
        <v>1</v>
      </c>
      <c r="AF50" t="s">
        <v>115</v>
      </c>
      <c r="AG50" s="2">
        <f t="shared" si="8"/>
        <v>8</v>
      </c>
      <c r="AH50" s="2">
        <f t="shared" si="9"/>
        <v>1</v>
      </c>
      <c r="AI50" s="3">
        <v>2315.999999995111</v>
      </c>
      <c r="AJ50" s="2">
        <v>1</v>
      </c>
      <c r="AK50">
        <v>0</v>
      </c>
      <c r="AL50">
        <v>10</v>
      </c>
      <c r="AM50">
        <v>0</v>
      </c>
      <c r="AN50" s="2">
        <f>IF((2*G50+M50-O50+3*V50+2*AB50+2*AE50+2*AH50+3*AJ50)&gt;=7,1,0)</f>
        <v>1</v>
      </c>
    </row>
    <row r="51" spans="1:40" x14ac:dyDescent="0.25">
      <c r="A51" t="s">
        <v>27</v>
      </c>
      <c r="B51" s="1">
        <v>36749</v>
      </c>
      <c r="C51" s="6">
        <f t="shared" si="0"/>
        <v>2000</v>
      </c>
      <c r="D51">
        <v>80.7</v>
      </c>
      <c r="E51">
        <v>75.3</v>
      </c>
      <c r="F51">
        <v>78.2</v>
      </c>
      <c r="G51" s="2">
        <f t="shared" si="1"/>
        <v>1</v>
      </c>
      <c r="H51">
        <v>82.9</v>
      </c>
      <c r="I51">
        <v>75.3</v>
      </c>
      <c r="J51">
        <v>78.7</v>
      </c>
      <c r="K51">
        <v>66.099999999999994</v>
      </c>
      <c r="L51">
        <v>66.5</v>
      </c>
      <c r="M51" s="2">
        <f t="shared" si="2"/>
        <v>0</v>
      </c>
      <c r="N51">
        <v>0</v>
      </c>
      <c r="O51" s="2">
        <f t="shared" si="3"/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s="2">
        <f t="shared" si="4"/>
        <v>0</v>
      </c>
      <c r="W51">
        <v>23</v>
      </c>
      <c r="X51" s="2">
        <f t="shared" si="5"/>
        <v>1</v>
      </c>
      <c r="Y51">
        <v>313.89999999999998</v>
      </c>
      <c r="Z51" s="2" t="str">
        <f>CHOOSE(MATCH(Y51,{0;11;80;111;161;191;241;281;341},1),"North","NorthEast","East","SouthEast","South","SouthWest","West","NorthWest","North")</f>
        <v>NorthWest</v>
      </c>
      <c r="AA51" s="4">
        <f>CHOOSE(MATCH(Z51,{"South";"SouthEast";"SouthWest";"North";"NorthEast";"East";"West";"NorthWest"},0),1,2,3,4,5,6,7,8)</f>
        <v>8</v>
      </c>
      <c r="AB51" s="2">
        <f t="shared" si="6"/>
        <v>1</v>
      </c>
      <c r="AC51">
        <v>1008.7</v>
      </c>
      <c r="AD51" t="s">
        <v>116</v>
      </c>
      <c r="AE51" s="2">
        <f t="shared" si="7"/>
        <v>1</v>
      </c>
      <c r="AF51" t="s">
        <v>117</v>
      </c>
      <c r="AG51" s="2">
        <f t="shared" si="8"/>
        <v>8</v>
      </c>
      <c r="AH51" s="2">
        <f t="shared" si="9"/>
        <v>1</v>
      </c>
      <c r="AI51" s="3">
        <v>496.00000000325957</v>
      </c>
      <c r="AJ51" s="2">
        <v>1</v>
      </c>
      <c r="AK51">
        <v>0.5</v>
      </c>
      <c r="AL51">
        <v>0</v>
      </c>
      <c r="AM51">
        <v>0</v>
      </c>
      <c r="AN51" s="2">
        <f>IF((2*G51+M51-O51+3*V51+2*AB51+2*AE51+2*AH51+3*AJ51)&gt;=7,1,0)</f>
        <v>1</v>
      </c>
    </row>
    <row r="52" spans="1:40" x14ac:dyDescent="0.25">
      <c r="A52" t="s">
        <v>27</v>
      </c>
      <c r="B52" s="1">
        <v>36749</v>
      </c>
      <c r="C52" s="6">
        <f t="shared" si="0"/>
        <v>2000</v>
      </c>
      <c r="D52">
        <v>80.7</v>
      </c>
      <c r="E52">
        <v>75.3</v>
      </c>
      <c r="F52">
        <v>78.2</v>
      </c>
      <c r="G52" s="2">
        <f t="shared" si="1"/>
        <v>1</v>
      </c>
      <c r="H52">
        <v>82.9</v>
      </c>
      <c r="I52">
        <v>75.3</v>
      </c>
      <c r="J52">
        <v>78.7</v>
      </c>
      <c r="K52">
        <v>66.099999999999994</v>
      </c>
      <c r="L52">
        <v>66.5</v>
      </c>
      <c r="M52" s="2">
        <f t="shared" si="2"/>
        <v>0</v>
      </c>
      <c r="N52">
        <v>0</v>
      </c>
      <c r="O52" s="2">
        <f t="shared" si="3"/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s="2">
        <f t="shared" si="4"/>
        <v>0</v>
      </c>
      <c r="W52">
        <v>23</v>
      </c>
      <c r="X52" s="2">
        <f t="shared" si="5"/>
        <v>1</v>
      </c>
      <c r="Y52">
        <v>313.89999999999998</v>
      </c>
      <c r="Z52" s="2" t="str">
        <f>CHOOSE(MATCH(Y52,{0;11;80;111;161;191;241;281;341},1),"North","NorthEast","East","SouthEast","South","SouthWest","West","NorthWest","North")</f>
        <v>NorthWest</v>
      </c>
      <c r="AA52" s="4">
        <f>CHOOSE(MATCH(Z52,{"South";"SouthEast";"SouthWest";"North";"NorthEast";"East";"West";"NorthWest"},0),1,2,3,4,5,6,7,8)</f>
        <v>8</v>
      </c>
      <c r="AB52" s="2">
        <f t="shared" si="6"/>
        <v>1</v>
      </c>
      <c r="AC52">
        <v>1008.7</v>
      </c>
      <c r="AD52" t="s">
        <v>118</v>
      </c>
      <c r="AE52" s="2">
        <f t="shared" si="7"/>
        <v>0</v>
      </c>
      <c r="AF52" t="s">
        <v>119</v>
      </c>
      <c r="AG52" s="2">
        <f t="shared" si="8"/>
        <v>8</v>
      </c>
      <c r="AH52" s="2">
        <f t="shared" si="9"/>
        <v>1</v>
      </c>
      <c r="AI52" s="3">
        <v>405</v>
      </c>
      <c r="AJ52" s="2">
        <v>1</v>
      </c>
      <c r="AK52">
        <v>10</v>
      </c>
      <c r="AL52">
        <v>0</v>
      </c>
      <c r="AM52">
        <v>0</v>
      </c>
      <c r="AN52" s="2">
        <f>IF((2*G52+M52-O52+3*V52+2*AB52+2*AE52+2*AH52+3*AJ52)&gt;=7,1,0)</f>
        <v>1</v>
      </c>
    </row>
    <row r="53" spans="1:40" x14ac:dyDescent="0.25">
      <c r="A53" t="s">
        <v>27</v>
      </c>
      <c r="B53" s="1">
        <v>36751</v>
      </c>
      <c r="C53" s="6">
        <f t="shared" si="0"/>
        <v>2000</v>
      </c>
      <c r="D53">
        <v>84.3</v>
      </c>
      <c r="E53">
        <v>77.099999999999994</v>
      </c>
      <c r="F53">
        <v>80.400000000000006</v>
      </c>
      <c r="G53" s="2">
        <f t="shared" si="1"/>
        <v>1</v>
      </c>
      <c r="H53">
        <v>85.2</v>
      </c>
      <c r="I53">
        <v>77.099999999999994</v>
      </c>
      <c r="J53">
        <v>80.8</v>
      </c>
      <c r="K53">
        <v>62.5</v>
      </c>
      <c r="L53">
        <v>55</v>
      </c>
      <c r="M53" s="2">
        <f t="shared" si="2"/>
        <v>1</v>
      </c>
      <c r="N53">
        <v>0</v>
      </c>
      <c r="O53" s="2">
        <f t="shared" si="3"/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s="2">
        <f t="shared" si="4"/>
        <v>0</v>
      </c>
      <c r="W53">
        <v>21.9</v>
      </c>
      <c r="X53" s="2">
        <f t="shared" si="5"/>
        <v>1</v>
      </c>
      <c r="Y53">
        <v>306.89999999999998</v>
      </c>
      <c r="Z53" s="2" t="str">
        <f>CHOOSE(MATCH(Y53,{0;11;80;111;161;191;241;281;341},1),"North","NorthEast","East","SouthEast","South","SouthWest","West","NorthWest","North")</f>
        <v>NorthWest</v>
      </c>
      <c r="AA53" s="4">
        <f>CHOOSE(MATCH(Z53,{"South";"SouthEast";"SouthWest";"North";"NorthEast";"East";"West";"NorthWest"},0),1,2,3,4,5,6,7,8)</f>
        <v>8</v>
      </c>
      <c r="AB53" s="2">
        <f t="shared" si="6"/>
        <v>1</v>
      </c>
      <c r="AC53">
        <v>1012.1</v>
      </c>
      <c r="AD53" t="s">
        <v>120</v>
      </c>
      <c r="AE53" s="2">
        <f t="shared" si="7"/>
        <v>1</v>
      </c>
      <c r="AF53" t="s">
        <v>121</v>
      </c>
      <c r="AG53" s="2">
        <f t="shared" si="8"/>
        <v>8</v>
      </c>
      <c r="AH53" s="2">
        <f t="shared" si="9"/>
        <v>1</v>
      </c>
      <c r="AI53" s="3">
        <v>1881.000000002095</v>
      </c>
      <c r="AJ53" s="2">
        <v>1</v>
      </c>
      <c r="AK53">
        <v>0</v>
      </c>
      <c r="AL53">
        <v>2</v>
      </c>
      <c r="AM53">
        <v>0</v>
      </c>
      <c r="AN53" s="2">
        <f>IF((2*G53+M53-O53+3*V53+2*AB53+2*AE53+2*AH53+3*AJ53)&gt;=7,1,0)</f>
        <v>1</v>
      </c>
    </row>
    <row r="54" spans="1:40" x14ac:dyDescent="0.25">
      <c r="A54" t="s">
        <v>27</v>
      </c>
      <c r="B54" s="1">
        <v>36755</v>
      </c>
      <c r="C54" s="6">
        <f t="shared" si="0"/>
        <v>2000</v>
      </c>
      <c r="D54">
        <v>82.5</v>
      </c>
      <c r="E54">
        <v>71.7</v>
      </c>
      <c r="F54">
        <v>77.3</v>
      </c>
      <c r="G54" s="2">
        <f t="shared" si="1"/>
        <v>1</v>
      </c>
      <c r="H54">
        <v>85.5</v>
      </c>
      <c r="I54">
        <v>71.7</v>
      </c>
      <c r="J54">
        <v>78.400000000000006</v>
      </c>
      <c r="K54">
        <v>67.2</v>
      </c>
      <c r="L54">
        <v>71.3</v>
      </c>
      <c r="M54" s="2">
        <f t="shared" si="2"/>
        <v>0</v>
      </c>
      <c r="N54">
        <v>0</v>
      </c>
      <c r="O54" s="2">
        <f t="shared" si="3"/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s="2">
        <f t="shared" si="4"/>
        <v>0</v>
      </c>
      <c r="W54">
        <v>21.9</v>
      </c>
      <c r="X54" s="2">
        <f t="shared" si="5"/>
        <v>1</v>
      </c>
      <c r="Y54">
        <v>314</v>
      </c>
      <c r="Z54" s="2" t="str">
        <f>CHOOSE(MATCH(Y54,{0;11;80;111;161;191;241;281;341},1),"North","NorthEast","East","SouthEast","South","SouthWest","West","NorthWest","North")</f>
        <v>NorthWest</v>
      </c>
      <c r="AA54" s="4">
        <f>CHOOSE(MATCH(Z54,{"South";"SouthEast";"SouthWest";"North";"NorthEast";"East";"West";"NorthWest"},0),1,2,3,4,5,6,7,8)</f>
        <v>8</v>
      </c>
      <c r="AB54" s="2">
        <f t="shared" si="6"/>
        <v>1</v>
      </c>
      <c r="AC54">
        <v>1009.3</v>
      </c>
      <c r="AD54" t="s">
        <v>122</v>
      </c>
      <c r="AE54" s="2">
        <f t="shared" si="7"/>
        <v>1</v>
      </c>
      <c r="AF54" t="s">
        <v>123</v>
      </c>
      <c r="AG54" s="2">
        <f t="shared" si="8"/>
        <v>8</v>
      </c>
      <c r="AH54" s="2">
        <f t="shared" si="9"/>
        <v>1</v>
      </c>
      <c r="AI54" s="3">
        <v>270</v>
      </c>
      <c r="AJ54" s="2">
        <v>0</v>
      </c>
      <c r="AK54">
        <v>0</v>
      </c>
      <c r="AL54">
        <v>25</v>
      </c>
      <c r="AM54">
        <v>0</v>
      </c>
      <c r="AN54" s="2">
        <f>IF((2*G54+M54-O54+3*V54+2*AB54+2*AE54+2*AH54+3*AJ54)&gt;=7,1,0)</f>
        <v>1</v>
      </c>
    </row>
    <row r="55" spans="1:40" x14ac:dyDescent="0.25">
      <c r="A55" t="s">
        <v>27</v>
      </c>
      <c r="B55" s="1">
        <v>36758</v>
      </c>
      <c r="C55" s="6">
        <f t="shared" si="0"/>
        <v>2000</v>
      </c>
      <c r="D55">
        <v>82.5</v>
      </c>
      <c r="E55">
        <v>75.3</v>
      </c>
      <c r="F55">
        <v>79.599999999999994</v>
      </c>
      <c r="G55" s="2">
        <f t="shared" si="1"/>
        <v>1</v>
      </c>
      <c r="H55">
        <v>84.8</v>
      </c>
      <c r="I55">
        <v>75.3</v>
      </c>
      <c r="J55">
        <v>80.3</v>
      </c>
      <c r="K55">
        <v>62.9</v>
      </c>
      <c r="L55">
        <v>56.9</v>
      </c>
      <c r="M55" s="2">
        <f t="shared" si="2"/>
        <v>1</v>
      </c>
      <c r="N55">
        <v>0</v>
      </c>
      <c r="O55" s="2">
        <f t="shared" si="3"/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s="2">
        <f t="shared" si="4"/>
        <v>0</v>
      </c>
      <c r="W55">
        <v>21.9</v>
      </c>
      <c r="X55" s="2">
        <f t="shared" si="5"/>
        <v>1</v>
      </c>
      <c r="Y55">
        <v>305.10000000000002</v>
      </c>
      <c r="Z55" s="2" t="str">
        <f>CHOOSE(MATCH(Y55,{0;11;80;111;161;191;241;281;341},1),"North","NorthEast","East","SouthEast","South","SouthWest","West","NorthWest","North")</f>
        <v>NorthWest</v>
      </c>
      <c r="AA55" s="4">
        <f>CHOOSE(MATCH(Z55,{"South";"SouthEast";"SouthWest";"North";"NorthEast";"East";"West";"NorthWest"},0),1,2,3,4,5,6,7,8)</f>
        <v>8</v>
      </c>
      <c r="AB55" s="2">
        <f t="shared" si="6"/>
        <v>1</v>
      </c>
      <c r="AC55">
        <v>1011.4</v>
      </c>
      <c r="AD55" t="s">
        <v>124</v>
      </c>
      <c r="AE55" s="2">
        <f t="shared" si="7"/>
        <v>1</v>
      </c>
      <c r="AF55" t="s">
        <v>125</v>
      </c>
      <c r="AG55" s="2">
        <f t="shared" si="8"/>
        <v>8</v>
      </c>
      <c r="AH55" s="2">
        <f t="shared" si="9"/>
        <v>1</v>
      </c>
      <c r="AI55" s="3">
        <v>1246.0000000067521</v>
      </c>
      <c r="AJ55" s="2">
        <v>1</v>
      </c>
      <c r="AK55">
        <v>0</v>
      </c>
      <c r="AL55">
        <v>3</v>
      </c>
      <c r="AM55">
        <v>0</v>
      </c>
      <c r="AN55" s="2">
        <f>IF((2*G55+M55-O55+3*V55+2*AB55+2*AE55+2*AH55+3*AJ55)&gt;=7,1,0)</f>
        <v>1</v>
      </c>
    </row>
    <row r="56" spans="1:40" x14ac:dyDescent="0.25">
      <c r="A56" t="s">
        <v>27</v>
      </c>
      <c r="B56" s="1">
        <v>36759</v>
      </c>
      <c r="C56" s="6">
        <f t="shared" si="0"/>
        <v>2000</v>
      </c>
      <c r="D56">
        <v>82.5</v>
      </c>
      <c r="E56">
        <v>71.7</v>
      </c>
      <c r="F56">
        <v>78.099999999999994</v>
      </c>
      <c r="G56" s="2">
        <f t="shared" si="1"/>
        <v>1</v>
      </c>
      <c r="H56">
        <v>85.5</v>
      </c>
      <c r="I56">
        <v>71.7</v>
      </c>
      <c r="J56">
        <v>79</v>
      </c>
      <c r="K56">
        <v>62.5</v>
      </c>
      <c r="L56">
        <v>58.8</v>
      </c>
      <c r="M56" s="2">
        <f t="shared" si="2"/>
        <v>1</v>
      </c>
      <c r="N56">
        <v>0</v>
      </c>
      <c r="O56" s="2">
        <f t="shared" si="3"/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s="2">
        <f t="shared" si="4"/>
        <v>0</v>
      </c>
      <c r="W56">
        <v>21.9</v>
      </c>
      <c r="X56" s="2">
        <f t="shared" si="5"/>
        <v>1</v>
      </c>
      <c r="Y56">
        <v>310.60000000000002</v>
      </c>
      <c r="Z56" s="2" t="str">
        <f>CHOOSE(MATCH(Y56,{0;11;80;111;161;191;241;281;341},1),"North","NorthEast","East","SouthEast","South","SouthWest","West","NorthWest","North")</f>
        <v>NorthWest</v>
      </c>
      <c r="AA56" s="4">
        <f>CHOOSE(MATCH(Z56,{"South";"SouthEast";"SouthWest";"North";"NorthEast";"East";"West";"NorthWest"},0),1,2,3,4,5,6,7,8)</f>
        <v>8</v>
      </c>
      <c r="AB56" s="2">
        <f t="shared" si="6"/>
        <v>1</v>
      </c>
      <c r="AC56">
        <v>1009.6</v>
      </c>
      <c r="AD56" t="s">
        <v>126</v>
      </c>
      <c r="AE56" s="2">
        <f t="shared" si="7"/>
        <v>1</v>
      </c>
      <c r="AF56" t="s">
        <v>127</v>
      </c>
      <c r="AG56" s="2">
        <f t="shared" si="8"/>
        <v>8</v>
      </c>
      <c r="AH56" s="2">
        <f t="shared" si="9"/>
        <v>1</v>
      </c>
      <c r="AI56" s="3">
        <v>64.999999991850927</v>
      </c>
      <c r="AJ56" s="2">
        <v>0</v>
      </c>
      <c r="AK56">
        <v>0</v>
      </c>
      <c r="AL56">
        <v>0.1</v>
      </c>
      <c r="AM56">
        <v>0</v>
      </c>
      <c r="AN56" s="2">
        <f>IF((2*G56+M56-O56+3*V56+2*AB56+2*AE56+2*AH56+3*AJ56)&gt;=7,1,0)</f>
        <v>1</v>
      </c>
    </row>
    <row r="57" spans="1:40" x14ac:dyDescent="0.25">
      <c r="A57" t="s">
        <v>27</v>
      </c>
      <c r="B57" s="1">
        <v>36760</v>
      </c>
      <c r="C57" s="6">
        <f t="shared" si="0"/>
        <v>2000</v>
      </c>
      <c r="D57">
        <v>82.5</v>
      </c>
      <c r="E57">
        <v>71.7</v>
      </c>
      <c r="F57">
        <v>77.7</v>
      </c>
      <c r="G57" s="2">
        <f t="shared" si="1"/>
        <v>1</v>
      </c>
      <c r="H57">
        <v>85.5</v>
      </c>
      <c r="I57">
        <v>71.7</v>
      </c>
      <c r="J57">
        <v>78.8</v>
      </c>
      <c r="K57">
        <v>63.6</v>
      </c>
      <c r="L57">
        <v>62</v>
      </c>
      <c r="M57" s="2">
        <f t="shared" si="2"/>
        <v>1</v>
      </c>
      <c r="N57">
        <v>0</v>
      </c>
      <c r="O57" s="2">
        <f t="shared" si="3"/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s="2">
        <f t="shared" si="4"/>
        <v>0</v>
      </c>
      <c r="W57">
        <v>18.3</v>
      </c>
      <c r="X57" s="2">
        <f t="shared" si="5"/>
        <v>1</v>
      </c>
      <c r="Y57">
        <v>300.39999999999998</v>
      </c>
      <c r="Z57" s="2" t="str">
        <f>CHOOSE(MATCH(Y57,{0;11;80;111;161;191;241;281;341},1),"North","NorthEast","East","SouthEast","South","SouthWest","West","NorthWest","North")</f>
        <v>NorthWest</v>
      </c>
      <c r="AA57" s="4">
        <f>CHOOSE(MATCH(Z57,{"South";"SouthEast";"SouthWest";"North";"NorthEast";"East";"West";"NorthWest"},0),1,2,3,4,5,6,7,8)</f>
        <v>8</v>
      </c>
      <c r="AB57" s="2">
        <f t="shared" si="6"/>
        <v>1</v>
      </c>
      <c r="AC57">
        <v>1010</v>
      </c>
      <c r="AD57" t="s">
        <v>63</v>
      </c>
      <c r="AE57" s="2">
        <f t="shared" si="7"/>
        <v>0</v>
      </c>
      <c r="AF57" t="s">
        <v>128</v>
      </c>
      <c r="AG57" s="2">
        <f t="shared" si="8"/>
        <v>8</v>
      </c>
      <c r="AH57" s="2">
        <f t="shared" si="9"/>
        <v>1</v>
      </c>
      <c r="AI57" s="3">
        <v>3371.0000000079158</v>
      </c>
      <c r="AJ57" s="2">
        <v>1</v>
      </c>
      <c r="AK57">
        <v>0</v>
      </c>
      <c r="AL57">
        <v>20</v>
      </c>
      <c r="AM57">
        <v>0</v>
      </c>
      <c r="AN57" s="2">
        <f>IF((2*G57+M57-O57+3*V57+2*AB57+2*AE57+2*AH57+3*AJ57)&gt;=7,1,0)</f>
        <v>1</v>
      </c>
    </row>
    <row r="58" spans="1:40" x14ac:dyDescent="0.25">
      <c r="A58" t="s">
        <v>27</v>
      </c>
      <c r="B58" s="1">
        <v>36761</v>
      </c>
      <c r="C58" s="6">
        <f t="shared" si="0"/>
        <v>2000</v>
      </c>
      <c r="D58">
        <v>87.9</v>
      </c>
      <c r="E58">
        <v>73.5</v>
      </c>
      <c r="F58">
        <v>81.099999999999994</v>
      </c>
      <c r="G58" s="2">
        <f t="shared" si="1"/>
        <v>1</v>
      </c>
      <c r="H58">
        <v>87.9</v>
      </c>
      <c r="I58">
        <v>73.5</v>
      </c>
      <c r="J58">
        <v>82.1</v>
      </c>
      <c r="K58">
        <v>63.5</v>
      </c>
      <c r="L58">
        <v>55.6</v>
      </c>
      <c r="M58" s="2">
        <f t="shared" si="2"/>
        <v>1</v>
      </c>
      <c r="N58">
        <v>0</v>
      </c>
      <c r="O58" s="2">
        <f t="shared" si="3"/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s="2">
        <f t="shared" si="4"/>
        <v>0</v>
      </c>
      <c r="W58">
        <v>23</v>
      </c>
      <c r="X58" s="2">
        <f t="shared" si="5"/>
        <v>1</v>
      </c>
      <c r="Y58">
        <v>304.39999999999998</v>
      </c>
      <c r="Z58" s="2" t="str">
        <f>CHOOSE(MATCH(Y58,{0;11;80;111;161;191;241;281;341},1),"North","NorthEast","East","SouthEast","South","SouthWest","West","NorthWest","North")</f>
        <v>NorthWest</v>
      </c>
      <c r="AA58" s="4">
        <f>CHOOSE(MATCH(Z58,{"South";"SouthEast";"SouthWest";"North";"NorthEast";"East";"West";"NorthWest"},0),1,2,3,4,5,6,7,8)</f>
        <v>8</v>
      </c>
      <c r="AB58" s="2">
        <f t="shared" si="6"/>
        <v>1</v>
      </c>
      <c r="AC58">
        <v>1011.2</v>
      </c>
      <c r="AD58" t="s">
        <v>129</v>
      </c>
      <c r="AE58" s="2">
        <f t="shared" si="7"/>
        <v>1</v>
      </c>
      <c r="AF58" t="s">
        <v>130</v>
      </c>
      <c r="AG58" s="2">
        <f t="shared" si="8"/>
        <v>8</v>
      </c>
      <c r="AH58" s="2">
        <f t="shared" si="9"/>
        <v>1</v>
      </c>
      <c r="AI58" s="3">
        <v>55.000000001164153</v>
      </c>
      <c r="AJ58" s="2">
        <v>0</v>
      </c>
      <c r="AK58">
        <v>0</v>
      </c>
      <c r="AL58">
        <v>0.5</v>
      </c>
      <c r="AM58">
        <v>0</v>
      </c>
      <c r="AN58" s="2">
        <f>IF((2*G58+M58-O58+3*V58+2*AB58+2*AE58+2*AH58+3*AJ58)&gt;=7,1,0)</f>
        <v>1</v>
      </c>
    </row>
    <row r="59" spans="1:40" x14ac:dyDescent="0.25">
      <c r="A59" t="s">
        <v>27</v>
      </c>
      <c r="B59" s="1">
        <v>36762</v>
      </c>
      <c r="C59" s="6">
        <f t="shared" si="0"/>
        <v>2000</v>
      </c>
      <c r="D59">
        <v>87.9</v>
      </c>
      <c r="E59">
        <v>75.3</v>
      </c>
      <c r="F59">
        <v>83.5</v>
      </c>
      <c r="G59" s="2">
        <f t="shared" si="1"/>
        <v>1</v>
      </c>
      <c r="H59">
        <v>88.6</v>
      </c>
      <c r="I59">
        <v>75.3</v>
      </c>
      <c r="J59">
        <v>83.4</v>
      </c>
      <c r="K59">
        <v>59.4</v>
      </c>
      <c r="L59">
        <v>44.8</v>
      </c>
      <c r="M59" s="2">
        <f t="shared" si="2"/>
        <v>1</v>
      </c>
      <c r="N59">
        <v>0</v>
      </c>
      <c r="O59" s="2">
        <f t="shared" si="3"/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s="2">
        <f t="shared" si="4"/>
        <v>0</v>
      </c>
      <c r="W59">
        <v>17.2</v>
      </c>
      <c r="X59" s="2">
        <f t="shared" si="5"/>
        <v>1</v>
      </c>
      <c r="Y59">
        <v>297.2</v>
      </c>
      <c r="Z59" s="2" t="str">
        <f>CHOOSE(MATCH(Y59,{0;11;80;111;161;191;241;281;341},1),"North","NorthEast","East","SouthEast","South","SouthWest","West","NorthWest","North")</f>
        <v>NorthWest</v>
      </c>
      <c r="AA59" s="4">
        <f>CHOOSE(MATCH(Z59,{"South";"SouthEast";"SouthWest";"North";"NorthEast";"East";"West";"NorthWest"},0),1,2,3,4,5,6,7,8)</f>
        <v>8</v>
      </c>
      <c r="AB59" s="2">
        <f t="shared" si="6"/>
        <v>1</v>
      </c>
      <c r="AC59">
        <v>1011</v>
      </c>
      <c r="AD59" t="s">
        <v>131</v>
      </c>
      <c r="AE59" s="2">
        <f t="shared" si="7"/>
        <v>0</v>
      </c>
      <c r="AF59" t="s">
        <v>132</v>
      </c>
      <c r="AG59" s="2">
        <f t="shared" si="8"/>
        <v>8</v>
      </c>
      <c r="AH59" s="2">
        <f t="shared" si="9"/>
        <v>1</v>
      </c>
      <c r="AI59" s="3">
        <v>1980</v>
      </c>
      <c r="AJ59" s="2">
        <v>1</v>
      </c>
      <c r="AK59">
        <v>0</v>
      </c>
      <c r="AL59">
        <v>20</v>
      </c>
      <c r="AM59">
        <v>0</v>
      </c>
      <c r="AN59" s="2">
        <f>IF((2*G59+M59-O59+3*V59+2*AB59+2*AE59+2*AH59+3*AJ59)&gt;=7,1,0)</f>
        <v>1</v>
      </c>
    </row>
    <row r="60" spans="1:40" x14ac:dyDescent="0.25">
      <c r="A60" t="s">
        <v>27</v>
      </c>
      <c r="B60" s="1">
        <v>36763</v>
      </c>
      <c r="C60" s="6">
        <f t="shared" si="0"/>
        <v>2000</v>
      </c>
      <c r="D60">
        <v>84.3</v>
      </c>
      <c r="E60">
        <v>77.099999999999994</v>
      </c>
      <c r="F60">
        <v>82.4</v>
      </c>
      <c r="G60" s="2">
        <f t="shared" si="1"/>
        <v>1</v>
      </c>
      <c r="H60">
        <v>87.6</v>
      </c>
      <c r="I60">
        <v>77.099999999999994</v>
      </c>
      <c r="J60">
        <v>83.7</v>
      </c>
      <c r="K60">
        <v>63.6</v>
      </c>
      <c r="L60">
        <v>54.1</v>
      </c>
      <c r="M60" s="2">
        <f t="shared" si="2"/>
        <v>1</v>
      </c>
      <c r="N60">
        <v>0</v>
      </c>
      <c r="O60" s="2">
        <f t="shared" si="3"/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s="2">
        <f t="shared" si="4"/>
        <v>0</v>
      </c>
      <c r="W60">
        <v>18.3</v>
      </c>
      <c r="X60" s="2">
        <f t="shared" si="5"/>
        <v>1</v>
      </c>
      <c r="Y60">
        <v>312.3</v>
      </c>
      <c r="Z60" s="2" t="str">
        <f>CHOOSE(MATCH(Y60,{0;11;80;111;161;191;241;281;341},1),"North","NorthEast","East","SouthEast","South","SouthWest","West","NorthWest","North")</f>
        <v>NorthWest</v>
      </c>
      <c r="AA60" s="4">
        <f>CHOOSE(MATCH(Z60,{"South";"SouthEast";"SouthWest";"North";"NorthEast";"East";"West";"NorthWest"},0),1,2,3,4,5,6,7,8)</f>
        <v>8</v>
      </c>
      <c r="AB60" s="2">
        <f t="shared" si="6"/>
        <v>1</v>
      </c>
      <c r="AC60">
        <v>1008.4</v>
      </c>
      <c r="AD60" t="s">
        <v>133</v>
      </c>
      <c r="AE60" s="2">
        <f t="shared" si="7"/>
        <v>1</v>
      </c>
      <c r="AF60" t="s">
        <v>134</v>
      </c>
      <c r="AG60" s="2">
        <f t="shared" si="8"/>
        <v>8</v>
      </c>
      <c r="AH60" s="2">
        <f t="shared" si="9"/>
        <v>1</v>
      </c>
      <c r="AI60" s="3">
        <v>6880.9999999974389</v>
      </c>
      <c r="AJ60" s="2">
        <v>1</v>
      </c>
      <c r="AK60">
        <v>0</v>
      </c>
      <c r="AL60">
        <v>100</v>
      </c>
      <c r="AM60">
        <v>0</v>
      </c>
      <c r="AN60" s="2">
        <f>IF((2*G60+M60-O60+3*V60+2*AB60+2*AE60+2*AH60+3*AJ60)&gt;=7,1,0)</f>
        <v>1</v>
      </c>
    </row>
    <row r="61" spans="1:40" x14ac:dyDescent="0.25">
      <c r="A61" t="s">
        <v>27</v>
      </c>
      <c r="B61" s="1">
        <v>36763</v>
      </c>
      <c r="C61" s="6">
        <f t="shared" si="0"/>
        <v>2000</v>
      </c>
      <c r="D61">
        <v>84.3</v>
      </c>
      <c r="E61">
        <v>77.099999999999994</v>
      </c>
      <c r="F61">
        <v>82.4</v>
      </c>
      <c r="G61" s="2">
        <f t="shared" si="1"/>
        <v>1</v>
      </c>
      <c r="H61">
        <v>87.6</v>
      </c>
      <c r="I61">
        <v>77.099999999999994</v>
      </c>
      <c r="J61">
        <v>83.7</v>
      </c>
      <c r="K61">
        <v>63.6</v>
      </c>
      <c r="L61">
        <v>54.1</v>
      </c>
      <c r="M61" s="2">
        <f t="shared" si="2"/>
        <v>1</v>
      </c>
      <c r="N61">
        <v>0</v>
      </c>
      <c r="O61" s="2">
        <f t="shared" si="3"/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s="2">
        <f t="shared" si="4"/>
        <v>0</v>
      </c>
      <c r="W61">
        <v>18.3</v>
      </c>
      <c r="X61" s="2">
        <f t="shared" si="5"/>
        <v>1</v>
      </c>
      <c r="Y61">
        <v>312.3</v>
      </c>
      <c r="Z61" s="2" t="str">
        <f>CHOOSE(MATCH(Y61,{0;11;80;111;161;191;241;281;341},1),"North","NorthEast","East","SouthEast","South","SouthWest","West","NorthWest","North")</f>
        <v>NorthWest</v>
      </c>
      <c r="AA61" s="4">
        <f>CHOOSE(MATCH(Z61,{"South";"SouthEast";"SouthWest";"North";"NorthEast";"East";"West";"NorthWest"},0),1,2,3,4,5,6,7,8)</f>
        <v>8</v>
      </c>
      <c r="AB61" s="2">
        <f t="shared" si="6"/>
        <v>1</v>
      </c>
      <c r="AC61">
        <v>1008.4</v>
      </c>
      <c r="AD61" t="s">
        <v>135</v>
      </c>
      <c r="AE61" s="2">
        <f t="shared" si="7"/>
        <v>0</v>
      </c>
      <c r="AF61" t="s">
        <v>136</v>
      </c>
      <c r="AG61" s="2">
        <f t="shared" si="8"/>
        <v>8</v>
      </c>
      <c r="AH61" s="2">
        <f t="shared" si="9"/>
        <v>1</v>
      </c>
      <c r="AI61" s="3">
        <v>30.99999999627471</v>
      </c>
      <c r="AJ61" s="2">
        <v>0</v>
      </c>
      <c r="AK61">
        <v>0.1</v>
      </c>
      <c r="AL61">
        <v>0</v>
      </c>
      <c r="AM61">
        <v>0</v>
      </c>
      <c r="AN61" s="2">
        <f>IF((2*G61+M61-O61+3*V61+2*AB61+2*AE61+2*AH61+3*AJ61)&gt;=7,1,0)</f>
        <v>0</v>
      </c>
    </row>
    <row r="62" spans="1:40" x14ac:dyDescent="0.25">
      <c r="A62" t="s">
        <v>27</v>
      </c>
      <c r="B62" s="1">
        <v>36766</v>
      </c>
      <c r="C62" s="6">
        <f t="shared" si="0"/>
        <v>2000</v>
      </c>
      <c r="D62">
        <v>82.5</v>
      </c>
      <c r="E62">
        <v>66.3</v>
      </c>
      <c r="F62">
        <v>74.5</v>
      </c>
      <c r="G62" s="2">
        <f t="shared" si="1"/>
        <v>1</v>
      </c>
      <c r="H62">
        <v>81.5</v>
      </c>
      <c r="I62">
        <v>66.3</v>
      </c>
      <c r="J62">
        <v>74.3</v>
      </c>
      <c r="K62">
        <v>57.1</v>
      </c>
      <c r="L62">
        <v>57</v>
      </c>
      <c r="M62" s="2">
        <f t="shared" si="2"/>
        <v>1</v>
      </c>
      <c r="N62">
        <v>0</v>
      </c>
      <c r="O62" s="2">
        <f t="shared" si="3"/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s="2">
        <f t="shared" si="4"/>
        <v>0</v>
      </c>
      <c r="W62">
        <v>8.1</v>
      </c>
      <c r="X62" s="2">
        <f t="shared" si="5"/>
        <v>0</v>
      </c>
      <c r="Y62">
        <v>121.9</v>
      </c>
      <c r="Z62" s="2" t="str">
        <f>CHOOSE(MATCH(Y62,{0;11;80;111;161;191;241;281;341},1),"North","NorthEast","East","SouthEast","South","SouthWest","West","NorthWest","North")</f>
        <v>SouthEast</v>
      </c>
      <c r="AA62" s="4">
        <f>CHOOSE(MATCH(Z62,{"South";"SouthEast";"SouthWest";"North";"NorthEast";"East";"West";"NorthWest"},0),1,2,3,4,5,6,7,8)</f>
        <v>2</v>
      </c>
      <c r="AB62" s="2">
        <f t="shared" si="6"/>
        <v>0</v>
      </c>
      <c r="AC62">
        <v>1015.6</v>
      </c>
      <c r="AD62" t="s">
        <v>137</v>
      </c>
      <c r="AE62" s="2">
        <f t="shared" si="7"/>
        <v>1</v>
      </c>
      <c r="AF62" t="s">
        <v>138</v>
      </c>
      <c r="AG62" s="2">
        <f t="shared" si="8"/>
        <v>8</v>
      </c>
      <c r="AH62" s="2">
        <f t="shared" si="9"/>
        <v>1</v>
      </c>
      <c r="AI62" s="3">
        <v>188.9999999979045</v>
      </c>
      <c r="AJ62" s="2">
        <v>0</v>
      </c>
      <c r="AK62">
        <v>0</v>
      </c>
      <c r="AL62">
        <v>4</v>
      </c>
      <c r="AM62">
        <v>0</v>
      </c>
      <c r="AN62" s="2">
        <f>IF((2*G62+M62-O62+3*V62+2*AB62+2*AE62+2*AH62+3*AJ62)&gt;=7,1,0)</f>
        <v>0</v>
      </c>
    </row>
    <row r="63" spans="1:40" x14ac:dyDescent="0.25">
      <c r="A63" t="s">
        <v>27</v>
      </c>
      <c r="B63" s="1">
        <v>36768</v>
      </c>
      <c r="C63" s="6">
        <f t="shared" si="0"/>
        <v>2000</v>
      </c>
      <c r="D63">
        <v>80.7</v>
      </c>
      <c r="E63">
        <v>75.3</v>
      </c>
      <c r="F63">
        <v>77</v>
      </c>
      <c r="G63" s="2">
        <f t="shared" si="1"/>
        <v>1</v>
      </c>
      <c r="H63">
        <v>81.5</v>
      </c>
      <c r="I63">
        <v>75.3</v>
      </c>
      <c r="J63">
        <v>77</v>
      </c>
      <c r="K63">
        <v>60.1</v>
      </c>
      <c r="L63">
        <v>56.3</v>
      </c>
      <c r="M63" s="2">
        <f t="shared" si="2"/>
        <v>1</v>
      </c>
      <c r="N63">
        <v>0</v>
      </c>
      <c r="O63" s="2">
        <f t="shared" si="3"/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s="2">
        <f t="shared" si="4"/>
        <v>0</v>
      </c>
      <c r="W63">
        <v>17.2</v>
      </c>
      <c r="X63" s="2">
        <f t="shared" si="5"/>
        <v>1</v>
      </c>
      <c r="Y63">
        <v>314.5</v>
      </c>
      <c r="Z63" s="2" t="str">
        <f>CHOOSE(MATCH(Y63,{0;11;80;111;161;191;241;281;341},1),"North","NorthEast","East","SouthEast","South","SouthWest","West","NorthWest","North")</f>
        <v>NorthWest</v>
      </c>
      <c r="AA63" s="4">
        <f>CHOOSE(MATCH(Z63,{"South";"SouthEast";"SouthWest";"North";"NorthEast";"East";"West";"NorthWest"},0),1,2,3,4,5,6,7,8)</f>
        <v>8</v>
      </c>
      <c r="AB63" s="2">
        <f t="shared" si="6"/>
        <v>1</v>
      </c>
      <c r="AC63">
        <v>1012.6</v>
      </c>
      <c r="AD63" t="s">
        <v>139</v>
      </c>
      <c r="AE63" s="2">
        <f t="shared" si="7"/>
        <v>0</v>
      </c>
      <c r="AF63" t="s">
        <v>140</v>
      </c>
      <c r="AG63" s="2">
        <f t="shared" si="8"/>
        <v>8</v>
      </c>
      <c r="AH63" s="2">
        <f t="shared" si="9"/>
        <v>1</v>
      </c>
      <c r="AI63" s="3">
        <v>60.000000006984919</v>
      </c>
      <c r="AJ63" s="2">
        <v>0</v>
      </c>
      <c r="AK63">
        <v>0</v>
      </c>
      <c r="AL63">
        <v>0.1</v>
      </c>
      <c r="AM63">
        <v>0</v>
      </c>
      <c r="AN63" s="2">
        <f>IF((2*G63+M63-O63+3*V63+2*AB63+2*AE63+2*AH63+3*AJ63)&gt;=7,1,0)</f>
        <v>0</v>
      </c>
    </row>
    <row r="64" spans="1:40" x14ac:dyDescent="0.25">
      <c r="A64" t="s">
        <v>27</v>
      </c>
      <c r="B64" s="1">
        <v>36768</v>
      </c>
      <c r="C64" s="6">
        <f t="shared" si="0"/>
        <v>2000</v>
      </c>
      <c r="D64">
        <v>80.7</v>
      </c>
      <c r="E64">
        <v>75.3</v>
      </c>
      <c r="F64">
        <v>77</v>
      </c>
      <c r="G64" s="2">
        <f t="shared" si="1"/>
        <v>1</v>
      </c>
      <c r="H64">
        <v>81.5</v>
      </c>
      <c r="I64">
        <v>75.3</v>
      </c>
      <c r="J64">
        <v>77</v>
      </c>
      <c r="K64">
        <v>60.1</v>
      </c>
      <c r="L64">
        <v>56.3</v>
      </c>
      <c r="M64" s="2">
        <f t="shared" si="2"/>
        <v>1</v>
      </c>
      <c r="N64">
        <v>0</v>
      </c>
      <c r="O64" s="2">
        <f t="shared" si="3"/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s="2">
        <f t="shared" si="4"/>
        <v>0</v>
      </c>
      <c r="W64">
        <v>17.2</v>
      </c>
      <c r="X64" s="2">
        <f t="shared" si="5"/>
        <v>1</v>
      </c>
      <c r="Y64">
        <v>314.5</v>
      </c>
      <c r="Z64" s="2" t="str">
        <f>CHOOSE(MATCH(Y64,{0;11;80;111;161;191;241;281;341},1),"North","NorthEast","East","SouthEast","South","SouthWest","West","NorthWest","North")</f>
        <v>NorthWest</v>
      </c>
      <c r="AA64" s="4">
        <f>CHOOSE(MATCH(Z64,{"South";"SouthEast";"SouthWest";"North";"NorthEast";"East";"West";"NorthWest"},0),1,2,3,4,5,6,7,8)</f>
        <v>8</v>
      </c>
      <c r="AB64" s="2">
        <f t="shared" si="6"/>
        <v>1</v>
      </c>
      <c r="AC64">
        <v>1012.6</v>
      </c>
      <c r="AD64" t="s">
        <v>141</v>
      </c>
      <c r="AE64" s="2">
        <f t="shared" si="7"/>
        <v>0</v>
      </c>
      <c r="AF64" t="s">
        <v>142</v>
      </c>
      <c r="AG64" s="2">
        <f t="shared" si="8"/>
        <v>8</v>
      </c>
      <c r="AH64" s="2">
        <f t="shared" si="9"/>
        <v>1</v>
      </c>
      <c r="AI64" s="3">
        <v>851.00000000791624</v>
      </c>
      <c r="AJ64" s="2">
        <v>1</v>
      </c>
      <c r="AK64">
        <v>0</v>
      </c>
      <c r="AL64">
        <v>45</v>
      </c>
      <c r="AM64">
        <v>0</v>
      </c>
      <c r="AN64" s="2">
        <f>IF((2*G64+M64-O64+3*V64+2*AB64+2*AE64+2*AH64+3*AJ64)&gt;=7,1,0)</f>
        <v>1</v>
      </c>
    </row>
    <row r="65" spans="1:40" x14ac:dyDescent="0.25">
      <c r="A65" t="s">
        <v>27</v>
      </c>
      <c r="B65" s="1">
        <v>36768</v>
      </c>
      <c r="C65" s="6">
        <f t="shared" si="0"/>
        <v>2000</v>
      </c>
      <c r="D65">
        <v>80.7</v>
      </c>
      <c r="E65">
        <v>75.3</v>
      </c>
      <c r="F65">
        <v>77</v>
      </c>
      <c r="G65" s="2">
        <f t="shared" si="1"/>
        <v>1</v>
      </c>
      <c r="H65">
        <v>81.5</v>
      </c>
      <c r="I65">
        <v>75.3</v>
      </c>
      <c r="J65">
        <v>77</v>
      </c>
      <c r="K65">
        <v>60.1</v>
      </c>
      <c r="L65">
        <v>56.3</v>
      </c>
      <c r="M65" s="2">
        <f t="shared" si="2"/>
        <v>1</v>
      </c>
      <c r="N65">
        <v>0</v>
      </c>
      <c r="O65" s="2">
        <f t="shared" si="3"/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s="2">
        <f t="shared" si="4"/>
        <v>0</v>
      </c>
      <c r="W65">
        <v>17.2</v>
      </c>
      <c r="X65" s="2">
        <f t="shared" si="5"/>
        <v>1</v>
      </c>
      <c r="Y65">
        <v>314.5</v>
      </c>
      <c r="Z65" s="2" t="str">
        <f>CHOOSE(MATCH(Y65,{0;11;80;111;161;191;241;281;341},1),"North","NorthEast","East","SouthEast","South","SouthWest","West","NorthWest","North")</f>
        <v>NorthWest</v>
      </c>
      <c r="AA65" s="4">
        <f>CHOOSE(MATCH(Z65,{"South";"SouthEast";"SouthWest";"North";"NorthEast";"East";"West";"NorthWest"},0),1,2,3,4,5,6,7,8)</f>
        <v>8</v>
      </c>
      <c r="AB65" s="2">
        <f t="shared" si="6"/>
        <v>1</v>
      </c>
      <c r="AC65">
        <v>1012.6</v>
      </c>
      <c r="AD65" t="s">
        <v>143</v>
      </c>
      <c r="AE65" s="2">
        <f t="shared" si="7"/>
        <v>0</v>
      </c>
      <c r="AF65" t="s">
        <v>144</v>
      </c>
      <c r="AG65" s="2">
        <f t="shared" si="8"/>
        <v>8</v>
      </c>
      <c r="AH65" s="2">
        <f t="shared" si="9"/>
        <v>1</v>
      </c>
      <c r="AI65" s="3">
        <v>60.000000006984919</v>
      </c>
      <c r="AJ65" s="2">
        <v>0</v>
      </c>
      <c r="AK65">
        <v>0</v>
      </c>
      <c r="AL65">
        <v>0.5</v>
      </c>
      <c r="AM65">
        <v>0</v>
      </c>
      <c r="AN65" s="2">
        <f>IF((2*G65+M65-O65+3*V65+2*AB65+2*AE65+2*AH65+3*AJ65)&gt;=7,1,0)</f>
        <v>0</v>
      </c>
    </row>
    <row r="66" spans="1:40" x14ac:dyDescent="0.25">
      <c r="A66" t="s">
        <v>27</v>
      </c>
      <c r="B66" s="1">
        <v>36770</v>
      </c>
      <c r="C66" s="6">
        <f t="shared" si="0"/>
        <v>2000</v>
      </c>
      <c r="D66">
        <v>86.1</v>
      </c>
      <c r="E66">
        <v>68.099999999999994</v>
      </c>
      <c r="F66">
        <v>77</v>
      </c>
      <c r="G66" s="2">
        <f t="shared" si="1"/>
        <v>1</v>
      </c>
      <c r="H66">
        <v>87.6</v>
      </c>
      <c r="I66">
        <v>68.099999999999994</v>
      </c>
      <c r="J66">
        <v>77.3</v>
      </c>
      <c r="K66">
        <v>55.4</v>
      </c>
      <c r="L66">
        <v>48.7</v>
      </c>
      <c r="M66" s="2">
        <f t="shared" si="2"/>
        <v>1</v>
      </c>
      <c r="N66">
        <v>0</v>
      </c>
      <c r="O66" s="2">
        <f t="shared" si="3"/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s="2">
        <f t="shared" si="4"/>
        <v>0</v>
      </c>
      <c r="W66">
        <v>8.1</v>
      </c>
      <c r="X66" s="2">
        <f t="shared" si="5"/>
        <v>0</v>
      </c>
      <c r="Y66">
        <v>151.69999999999999</v>
      </c>
      <c r="Z66" s="2" t="str">
        <f>CHOOSE(MATCH(Y66,{0;11;80;111;161;191;241;281;341},1),"North","NorthEast","East","SouthEast","South","SouthWest","West","NorthWest","North")</f>
        <v>SouthEast</v>
      </c>
      <c r="AA66" s="4">
        <f>CHOOSE(MATCH(Z66,{"South";"SouthEast";"SouthWest";"North";"NorthEast";"East";"West";"NorthWest"},0),1,2,3,4,5,6,7,8)</f>
        <v>2</v>
      </c>
      <c r="AB66" s="2">
        <f t="shared" si="6"/>
        <v>0</v>
      </c>
      <c r="AC66">
        <v>1012.1</v>
      </c>
      <c r="AD66" t="s">
        <v>145</v>
      </c>
      <c r="AE66" s="2">
        <f t="shared" si="7"/>
        <v>1</v>
      </c>
      <c r="AF66" t="s">
        <v>146</v>
      </c>
      <c r="AG66" s="2">
        <f t="shared" si="8"/>
        <v>9</v>
      </c>
      <c r="AH66" s="2">
        <f t="shared" si="9"/>
        <v>0</v>
      </c>
      <c r="AI66" s="3">
        <v>415.00000000116421</v>
      </c>
      <c r="AJ66" s="2">
        <v>1</v>
      </c>
      <c r="AK66">
        <v>0</v>
      </c>
      <c r="AL66">
        <v>20</v>
      </c>
      <c r="AM66">
        <v>0</v>
      </c>
      <c r="AN66" s="2">
        <f>IF((2*G66+M66-O66+3*V66+2*AB66+2*AE66+2*AH66+3*AJ66)&gt;=7,1,0)</f>
        <v>1</v>
      </c>
    </row>
    <row r="67" spans="1:40" x14ac:dyDescent="0.25">
      <c r="A67" t="s">
        <v>27</v>
      </c>
      <c r="B67" s="1">
        <v>36771</v>
      </c>
      <c r="C67" s="6">
        <f t="shared" ref="C67:C130" si="10">YEAR(B67)</f>
        <v>2000</v>
      </c>
      <c r="D67">
        <v>84.3</v>
      </c>
      <c r="E67">
        <v>75.3</v>
      </c>
      <c r="F67">
        <v>80.400000000000006</v>
      </c>
      <c r="G67" s="2">
        <f t="shared" ref="G67:G130" si="11">IF(F67&lt;=70,0,1)</f>
        <v>1</v>
      </c>
      <c r="H67">
        <v>92.7</v>
      </c>
      <c r="I67">
        <v>75.3</v>
      </c>
      <c r="J67">
        <v>83.2</v>
      </c>
      <c r="K67">
        <v>65</v>
      </c>
      <c r="L67">
        <v>61.9</v>
      </c>
      <c r="M67" s="2">
        <f t="shared" ref="M67:M130" si="12">IF(L67&lt;=66,1,0)</f>
        <v>1</v>
      </c>
      <c r="N67">
        <v>0</v>
      </c>
      <c r="O67" s="2">
        <f t="shared" ref="O67:O130" si="13">IF(N67&lt;=0.01,1,0)</f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s="2">
        <f t="shared" ref="V67:V130" si="14">IF(U67&lt;=9,0,1)</f>
        <v>0</v>
      </c>
      <c r="W67">
        <v>13.9</v>
      </c>
      <c r="X67" s="2">
        <f t="shared" ref="X67:X130" si="15">IF(W67&gt;=16,1,0)</f>
        <v>0</v>
      </c>
      <c r="Y67">
        <v>298.5</v>
      </c>
      <c r="Z67" s="2" t="str">
        <f>CHOOSE(MATCH(Y67,{0;11;80;111;161;191;241;281;341},1),"North","NorthEast","East","SouthEast","South","SouthWest","West","NorthWest","North")</f>
        <v>NorthWest</v>
      </c>
      <c r="AA67" s="4">
        <f>CHOOSE(MATCH(Z67,{"South";"SouthEast";"SouthWest";"North";"NorthEast";"East";"West";"NorthWest"},0),1,2,3,4,5,6,7,8)</f>
        <v>8</v>
      </c>
      <c r="AB67" s="2">
        <f t="shared" ref="AB67:AB130" si="16">IF(OR(AA67=4,AA67=5,AA67=8),1,0)</f>
        <v>1</v>
      </c>
      <c r="AC67">
        <v>1008</v>
      </c>
      <c r="AD67" t="s">
        <v>147</v>
      </c>
      <c r="AE67" s="2">
        <f t="shared" ref="AE67:AE130" si="17">IF(TIMEVALUE(AD67)&lt;=TIME(12,30,0),0,1)</f>
        <v>0</v>
      </c>
      <c r="AF67" t="s">
        <v>148</v>
      </c>
      <c r="AG67" s="2">
        <f t="shared" ref="AG67:AG130" si="18">MONTH(AF67)</f>
        <v>9</v>
      </c>
      <c r="AH67" s="2">
        <f t="shared" ref="AH67:AH130" si="19">IF(OR(AG67=6,AG67=7,AG67=8),1,0)</f>
        <v>0</v>
      </c>
      <c r="AI67" s="3">
        <v>181.0000000032596</v>
      </c>
      <c r="AJ67" s="2">
        <v>0</v>
      </c>
      <c r="AK67">
        <v>0</v>
      </c>
      <c r="AL67">
        <v>3</v>
      </c>
      <c r="AM67">
        <v>0</v>
      </c>
      <c r="AN67" s="2">
        <f>IF((2*G67+M67-O67+3*V67+2*AB67+2*AE67+2*AH67+3*AJ67)&gt;=7,1,0)</f>
        <v>0</v>
      </c>
    </row>
    <row r="68" spans="1:40" x14ac:dyDescent="0.25">
      <c r="A68" t="s">
        <v>27</v>
      </c>
      <c r="B68" s="1">
        <v>36771</v>
      </c>
      <c r="C68" s="6">
        <f t="shared" si="10"/>
        <v>2000</v>
      </c>
      <c r="D68">
        <v>84.3</v>
      </c>
      <c r="E68">
        <v>75.3</v>
      </c>
      <c r="F68">
        <v>80.400000000000006</v>
      </c>
      <c r="G68" s="2">
        <f t="shared" si="11"/>
        <v>1</v>
      </c>
      <c r="H68">
        <v>92.7</v>
      </c>
      <c r="I68">
        <v>75.3</v>
      </c>
      <c r="J68">
        <v>83.2</v>
      </c>
      <c r="K68">
        <v>65</v>
      </c>
      <c r="L68">
        <v>61.9</v>
      </c>
      <c r="M68" s="2">
        <f t="shared" si="12"/>
        <v>1</v>
      </c>
      <c r="N68">
        <v>0</v>
      </c>
      <c r="O68" s="2">
        <f t="shared" si="13"/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s="2">
        <f t="shared" si="14"/>
        <v>0</v>
      </c>
      <c r="W68">
        <v>13.9</v>
      </c>
      <c r="X68" s="2">
        <f t="shared" si="15"/>
        <v>0</v>
      </c>
      <c r="Y68">
        <v>298.5</v>
      </c>
      <c r="Z68" s="2" t="str">
        <f>CHOOSE(MATCH(Y68,{0;11;80;111;161;191;241;281;341},1),"North","NorthEast","East","SouthEast","South","SouthWest","West","NorthWest","North")</f>
        <v>NorthWest</v>
      </c>
      <c r="AA68" s="4">
        <f>CHOOSE(MATCH(Z68,{"South";"SouthEast";"SouthWest";"North";"NorthEast";"East";"West";"NorthWest"},0),1,2,3,4,5,6,7,8)</f>
        <v>8</v>
      </c>
      <c r="AB68" s="2">
        <f t="shared" si="16"/>
        <v>1</v>
      </c>
      <c r="AC68">
        <v>1008</v>
      </c>
      <c r="AD68" t="s">
        <v>149</v>
      </c>
      <c r="AE68" s="2">
        <f t="shared" si="17"/>
        <v>0</v>
      </c>
      <c r="AF68" t="s">
        <v>150</v>
      </c>
      <c r="AG68" s="2">
        <f t="shared" si="18"/>
        <v>9</v>
      </c>
      <c r="AH68" s="2">
        <f t="shared" si="19"/>
        <v>0</v>
      </c>
      <c r="AI68" s="3">
        <v>135.99999999278231</v>
      </c>
      <c r="AJ68" s="2">
        <v>0</v>
      </c>
      <c r="AK68">
        <v>0</v>
      </c>
      <c r="AL68">
        <v>2</v>
      </c>
      <c r="AM68">
        <v>0</v>
      </c>
      <c r="AN68" s="2">
        <f>IF((2*G68+M68-O68+3*V68+2*AB68+2*AE68+2*AH68+3*AJ68)&gt;=7,1,0)</f>
        <v>0</v>
      </c>
    </row>
    <row r="69" spans="1:40" x14ac:dyDescent="0.25">
      <c r="A69" t="s">
        <v>27</v>
      </c>
      <c r="B69" s="1">
        <v>36772</v>
      </c>
      <c r="C69" s="6">
        <f t="shared" si="10"/>
        <v>2000</v>
      </c>
      <c r="D69">
        <v>82.5</v>
      </c>
      <c r="E69">
        <v>69.900000000000006</v>
      </c>
      <c r="F69">
        <v>77</v>
      </c>
      <c r="G69" s="2">
        <f t="shared" si="11"/>
        <v>1</v>
      </c>
      <c r="H69">
        <v>89.7</v>
      </c>
      <c r="I69">
        <v>69.900000000000006</v>
      </c>
      <c r="J69">
        <v>78.599999999999994</v>
      </c>
      <c r="K69">
        <v>65.8</v>
      </c>
      <c r="L69">
        <v>69.2</v>
      </c>
      <c r="M69" s="2">
        <f t="shared" si="12"/>
        <v>0</v>
      </c>
      <c r="N69">
        <v>0</v>
      </c>
      <c r="O69" s="2">
        <f t="shared" si="13"/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s="2">
        <f t="shared" si="14"/>
        <v>0</v>
      </c>
      <c r="W69">
        <v>12.8</v>
      </c>
      <c r="X69" s="2">
        <f t="shared" si="15"/>
        <v>0</v>
      </c>
      <c r="Y69">
        <v>212.5</v>
      </c>
      <c r="Z69" s="2" t="str">
        <f>CHOOSE(MATCH(Y69,{0;11;80;111;161;191;241;281;341},1),"North","NorthEast","East","SouthEast","South","SouthWest","West","NorthWest","North")</f>
        <v>SouthWest</v>
      </c>
      <c r="AA69" s="4">
        <f>CHOOSE(MATCH(Z69,{"South";"SouthEast";"SouthWest";"North";"NorthEast";"East";"West";"NorthWest"},0),1,2,3,4,5,6,7,8)</f>
        <v>3</v>
      </c>
      <c r="AB69" s="2">
        <f t="shared" si="16"/>
        <v>0</v>
      </c>
      <c r="AC69">
        <v>1007.5</v>
      </c>
      <c r="AD69" t="s">
        <v>112</v>
      </c>
      <c r="AE69" s="2">
        <f t="shared" si="17"/>
        <v>1</v>
      </c>
      <c r="AF69" t="s">
        <v>151</v>
      </c>
      <c r="AG69" s="2">
        <f t="shared" si="18"/>
        <v>9</v>
      </c>
      <c r="AH69" s="2">
        <f t="shared" si="19"/>
        <v>0</v>
      </c>
      <c r="AI69" s="3">
        <v>149.99999999650751</v>
      </c>
      <c r="AJ69" s="2">
        <v>0</v>
      </c>
      <c r="AK69">
        <v>1</v>
      </c>
      <c r="AL69">
        <v>0</v>
      </c>
      <c r="AM69">
        <v>0</v>
      </c>
      <c r="AN69" s="2">
        <f>IF((2*G69+M69-O69+3*V69+2*AB69+2*AE69+2*AH69+3*AJ69)&gt;=7,1,0)</f>
        <v>0</v>
      </c>
    </row>
    <row r="70" spans="1:40" x14ac:dyDescent="0.25">
      <c r="A70" t="s">
        <v>27</v>
      </c>
      <c r="B70" s="1">
        <v>36773</v>
      </c>
      <c r="C70" s="6">
        <f t="shared" si="10"/>
        <v>2000</v>
      </c>
      <c r="D70">
        <v>87.9</v>
      </c>
      <c r="E70">
        <v>71.7</v>
      </c>
      <c r="F70">
        <v>79.900000000000006</v>
      </c>
      <c r="G70" s="2">
        <f t="shared" si="11"/>
        <v>1</v>
      </c>
      <c r="H70">
        <v>88.6</v>
      </c>
      <c r="I70">
        <v>71.7</v>
      </c>
      <c r="J70">
        <v>80.400000000000006</v>
      </c>
      <c r="K70">
        <v>58.6</v>
      </c>
      <c r="L70">
        <v>49.9</v>
      </c>
      <c r="M70" s="2">
        <f t="shared" si="12"/>
        <v>1</v>
      </c>
      <c r="N70">
        <v>0</v>
      </c>
      <c r="O70" s="2">
        <f t="shared" si="13"/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s="2">
        <f t="shared" si="14"/>
        <v>0</v>
      </c>
      <c r="W70">
        <v>10.3</v>
      </c>
      <c r="X70" s="2">
        <f t="shared" si="15"/>
        <v>0</v>
      </c>
      <c r="Y70">
        <v>131</v>
      </c>
      <c r="Z70" s="2" t="str">
        <f>CHOOSE(MATCH(Y70,{0;11;80;111;161;191;241;281;341},1),"North","NorthEast","East","SouthEast","South","SouthWest","West","NorthWest","North")</f>
        <v>SouthEast</v>
      </c>
      <c r="AA70" s="4">
        <f>CHOOSE(MATCH(Z70,{"South";"SouthEast";"SouthWest";"North";"NorthEast";"East";"West";"NorthWest"},0),1,2,3,4,5,6,7,8)</f>
        <v>2</v>
      </c>
      <c r="AB70" s="2">
        <f t="shared" si="16"/>
        <v>0</v>
      </c>
      <c r="AC70">
        <v>1008.8</v>
      </c>
      <c r="AD70" t="s">
        <v>147</v>
      </c>
      <c r="AE70" s="2">
        <f t="shared" si="17"/>
        <v>0</v>
      </c>
      <c r="AF70" t="s">
        <v>152</v>
      </c>
      <c r="AG70" s="2">
        <f t="shared" si="18"/>
        <v>9</v>
      </c>
      <c r="AH70" s="2">
        <f t="shared" si="19"/>
        <v>0</v>
      </c>
      <c r="AI70" s="3">
        <v>15886.00000000326</v>
      </c>
      <c r="AJ70" s="2">
        <v>1</v>
      </c>
      <c r="AK70">
        <v>2000</v>
      </c>
      <c r="AL70">
        <v>2500</v>
      </c>
      <c r="AM70">
        <v>0</v>
      </c>
      <c r="AN70" s="2">
        <f>IF((2*G70+M70-O70+3*V70+2*AB70+2*AE70+2*AH70+3*AJ70)&gt;=7,1,0)</f>
        <v>0</v>
      </c>
    </row>
    <row r="71" spans="1:40" x14ac:dyDescent="0.25">
      <c r="A71" t="s">
        <v>27</v>
      </c>
      <c r="B71" s="1">
        <v>36775</v>
      </c>
      <c r="C71" s="6">
        <f t="shared" si="10"/>
        <v>2000</v>
      </c>
      <c r="D71">
        <v>82.5</v>
      </c>
      <c r="E71">
        <v>73.5</v>
      </c>
      <c r="F71">
        <v>77.7</v>
      </c>
      <c r="G71" s="2">
        <f t="shared" si="11"/>
        <v>1</v>
      </c>
      <c r="H71">
        <v>82.9</v>
      </c>
      <c r="I71">
        <v>73.5</v>
      </c>
      <c r="J71">
        <v>78</v>
      </c>
      <c r="K71">
        <v>59.9</v>
      </c>
      <c r="L71">
        <v>54.9</v>
      </c>
      <c r="M71" s="2">
        <f t="shared" si="12"/>
        <v>1</v>
      </c>
      <c r="N71">
        <v>0</v>
      </c>
      <c r="O71" s="2">
        <f t="shared" si="13"/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s="2">
        <f t="shared" si="14"/>
        <v>0</v>
      </c>
      <c r="W71">
        <v>28.9</v>
      </c>
      <c r="X71" s="2">
        <f t="shared" si="15"/>
        <v>1</v>
      </c>
      <c r="Y71">
        <v>301.5</v>
      </c>
      <c r="Z71" s="2" t="str">
        <f>CHOOSE(MATCH(Y71,{0;11;80;111;161;191;241;281;341},1),"North","NorthEast","East","SouthEast","South","SouthWest","West","NorthWest","North")</f>
        <v>NorthWest</v>
      </c>
      <c r="AA71" s="4">
        <f>CHOOSE(MATCH(Z71,{"South";"SouthEast";"SouthWest";"North";"NorthEast";"East";"West";"NorthWest"},0),1,2,3,4,5,6,7,8)</f>
        <v>8</v>
      </c>
      <c r="AB71" s="2">
        <f t="shared" si="16"/>
        <v>1</v>
      </c>
      <c r="AC71">
        <v>1009.1</v>
      </c>
      <c r="AD71" t="s">
        <v>153</v>
      </c>
      <c r="AE71" s="2">
        <f t="shared" si="17"/>
        <v>1</v>
      </c>
      <c r="AF71" t="s">
        <v>154</v>
      </c>
      <c r="AG71" s="2">
        <f t="shared" si="18"/>
        <v>9</v>
      </c>
      <c r="AH71" s="2">
        <f t="shared" si="19"/>
        <v>0</v>
      </c>
      <c r="AI71" s="3">
        <v>119.99999999301509</v>
      </c>
      <c r="AJ71" s="2">
        <v>0</v>
      </c>
      <c r="AK71">
        <v>0</v>
      </c>
      <c r="AL71">
        <v>1</v>
      </c>
      <c r="AM71">
        <v>0</v>
      </c>
      <c r="AN71" s="2">
        <f>IF((2*G71+M71-O71+3*V71+2*AB71+2*AE71+2*AH71+3*AJ71)&gt;=7,1,0)</f>
        <v>0</v>
      </c>
    </row>
    <row r="72" spans="1:40" x14ac:dyDescent="0.25">
      <c r="A72" t="s">
        <v>27</v>
      </c>
      <c r="B72" s="1">
        <v>36777</v>
      </c>
      <c r="C72" s="6">
        <f t="shared" si="10"/>
        <v>2000</v>
      </c>
      <c r="D72">
        <v>78.900000000000006</v>
      </c>
      <c r="E72">
        <v>64.5</v>
      </c>
      <c r="F72">
        <v>72</v>
      </c>
      <c r="G72" s="2">
        <f t="shared" si="11"/>
        <v>1</v>
      </c>
      <c r="H72">
        <v>78.900000000000006</v>
      </c>
      <c r="I72">
        <v>64.5</v>
      </c>
      <c r="J72">
        <v>72</v>
      </c>
      <c r="K72">
        <v>59.2</v>
      </c>
      <c r="L72">
        <v>64.599999999999994</v>
      </c>
      <c r="M72" s="2">
        <f t="shared" si="12"/>
        <v>1</v>
      </c>
      <c r="N72">
        <v>0</v>
      </c>
      <c r="O72" s="2">
        <f t="shared" si="13"/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s="2">
        <f t="shared" si="14"/>
        <v>0</v>
      </c>
      <c r="W72">
        <v>16.100000000000001</v>
      </c>
      <c r="X72" s="2">
        <f t="shared" si="15"/>
        <v>1</v>
      </c>
      <c r="Y72">
        <v>91</v>
      </c>
      <c r="Z72" s="2" t="str">
        <f>CHOOSE(MATCH(Y72,{0;11;80;111;161;191;241;281;341},1),"North","NorthEast","East","SouthEast","South","SouthWest","West","NorthWest","North")</f>
        <v>East</v>
      </c>
      <c r="AA72" s="4">
        <f>CHOOSE(MATCH(Z72,{"South";"SouthEast";"SouthWest";"North";"NorthEast";"East";"West";"NorthWest"},0),1,2,3,4,5,6,7,8)</f>
        <v>6</v>
      </c>
      <c r="AB72" s="2">
        <f t="shared" si="16"/>
        <v>0</v>
      </c>
      <c r="AC72">
        <v>1012.6</v>
      </c>
      <c r="AD72" t="s">
        <v>155</v>
      </c>
      <c r="AE72" s="2">
        <f t="shared" si="17"/>
        <v>1</v>
      </c>
      <c r="AF72" t="s">
        <v>156</v>
      </c>
      <c r="AG72" s="2">
        <f t="shared" si="18"/>
        <v>9</v>
      </c>
      <c r="AH72" s="2">
        <f t="shared" si="19"/>
        <v>0</v>
      </c>
      <c r="AI72" s="3">
        <v>1395.999999992782</v>
      </c>
      <c r="AJ72" s="2">
        <v>1</v>
      </c>
      <c r="AK72">
        <v>0</v>
      </c>
      <c r="AL72">
        <v>40</v>
      </c>
      <c r="AM72">
        <v>0</v>
      </c>
      <c r="AN72" s="2">
        <f>IF((2*G72+M72-O72+3*V72+2*AB72+2*AE72+2*AH72+3*AJ72)&gt;=7,1,0)</f>
        <v>1</v>
      </c>
    </row>
    <row r="73" spans="1:40" x14ac:dyDescent="0.25">
      <c r="A73" t="s">
        <v>27</v>
      </c>
      <c r="B73" s="1">
        <v>36784</v>
      </c>
      <c r="C73" s="6">
        <f t="shared" si="10"/>
        <v>2000</v>
      </c>
      <c r="D73">
        <v>80.7</v>
      </c>
      <c r="E73">
        <v>64.5</v>
      </c>
      <c r="F73">
        <v>73.2</v>
      </c>
      <c r="G73" s="2">
        <f t="shared" si="11"/>
        <v>1</v>
      </c>
      <c r="H73">
        <v>82.9</v>
      </c>
      <c r="I73">
        <v>64.5</v>
      </c>
      <c r="J73">
        <v>73.400000000000006</v>
      </c>
      <c r="K73">
        <v>59.2</v>
      </c>
      <c r="L73">
        <v>62</v>
      </c>
      <c r="M73" s="2">
        <f t="shared" si="12"/>
        <v>1</v>
      </c>
      <c r="N73">
        <v>0</v>
      </c>
      <c r="O73" s="2">
        <f t="shared" si="13"/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s="2">
        <f t="shared" si="14"/>
        <v>0</v>
      </c>
      <c r="W73">
        <v>12.8</v>
      </c>
      <c r="X73" s="2">
        <f t="shared" si="15"/>
        <v>0</v>
      </c>
      <c r="Y73">
        <v>301.39999999999998</v>
      </c>
      <c r="Z73" s="2" t="str">
        <f>CHOOSE(MATCH(Y73,{0;11;80;111;161;191;241;281;341},1),"North","NorthEast","East","SouthEast","South","SouthWest","West","NorthWest","North")</f>
        <v>NorthWest</v>
      </c>
      <c r="AA73" s="4">
        <f>CHOOSE(MATCH(Z73,{"South";"SouthEast";"SouthWest";"North";"NorthEast";"East";"West";"NorthWest"},0),1,2,3,4,5,6,7,8)</f>
        <v>8</v>
      </c>
      <c r="AB73" s="2">
        <f t="shared" si="16"/>
        <v>1</v>
      </c>
      <c r="AC73">
        <v>1012.7</v>
      </c>
      <c r="AD73" t="s">
        <v>99</v>
      </c>
      <c r="AE73" s="2">
        <f t="shared" si="17"/>
        <v>1</v>
      </c>
      <c r="AF73" t="s">
        <v>157</v>
      </c>
      <c r="AG73" s="2">
        <f t="shared" si="18"/>
        <v>9</v>
      </c>
      <c r="AH73" s="2">
        <f t="shared" si="19"/>
        <v>0</v>
      </c>
      <c r="AI73" s="3">
        <v>970.00000000814907</v>
      </c>
      <c r="AJ73" s="2">
        <v>1</v>
      </c>
      <c r="AK73">
        <v>0</v>
      </c>
      <c r="AL73">
        <v>5</v>
      </c>
      <c r="AM73">
        <v>0</v>
      </c>
      <c r="AN73" s="2">
        <f>IF((2*G73+M73-O73+3*V73+2*AB73+2*AE73+2*AH73+3*AJ73)&gt;=7,1,0)</f>
        <v>1</v>
      </c>
    </row>
    <row r="74" spans="1:40" x14ac:dyDescent="0.25">
      <c r="A74" t="s">
        <v>27</v>
      </c>
      <c r="B74" s="1">
        <v>36786</v>
      </c>
      <c r="C74" s="6">
        <f t="shared" si="10"/>
        <v>2000</v>
      </c>
      <c r="D74">
        <v>84.3</v>
      </c>
      <c r="E74">
        <v>66.3</v>
      </c>
      <c r="F74">
        <v>74.8</v>
      </c>
      <c r="G74" s="2">
        <f t="shared" si="11"/>
        <v>1</v>
      </c>
      <c r="H74">
        <v>83.6</v>
      </c>
      <c r="I74">
        <v>66.3</v>
      </c>
      <c r="J74">
        <v>74.8</v>
      </c>
      <c r="K74">
        <v>58.6</v>
      </c>
      <c r="L74">
        <v>59.2</v>
      </c>
      <c r="M74" s="2">
        <f t="shared" si="12"/>
        <v>1</v>
      </c>
      <c r="N74">
        <v>0</v>
      </c>
      <c r="O74" s="2">
        <f t="shared" si="13"/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s="2">
        <f t="shared" si="14"/>
        <v>0</v>
      </c>
      <c r="W74">
        <v>8.1</v>
      </c>
      <c r="X74" s="2">
        <f t="shared" si="15"/>
        <v>0</v>
      </c>
      <c r="Y74">
        <v>137.19999999999999</v>
      </c>
      <c r="Z74" s="2" t="str">
        <f>CHOOSE(MATCH(Y74,{0;11;80;111;161;191;241;281;341},1),"North","NorthEast","East","SouthEast","South","SouthWest","West","NorthWest","North")</f>
        <v>SouthEast</v>
      </c>
      <c r="AA74" s="4">
        <f>CHOOSE(MATCH(Z74,{"South";"SouthEast";"SouthWest";"North";"NorthEast";"East";"West";"NorthWest"},0),1,2,3,4,5,6,7,8)</f>
        <v>2</v>
      </c>
      <c r="AB74" s="2">
        <f t="shared" si="16"/>
        <v>0</v>
      </c>
      <c r="AC74">
        <v>1012.9</v>
      </c>
      <c r="AD74" t="s">
        <v>158</v>
      </c>
      <c r="AE74" s="2">
        <f t="shared" si="17"/>
        <v>1</v>
      </c>
      <c r="AF74" t="s">
        <v>159</v>
      </c>
      <c r="AG74" s="2">
        <f t="shared" si="18"/>
        <v>9</v>
      </c>
      <c r="AH74" s="2">
        <f t="shared" si="19"/>
        <v>0</v>
      </c>
      <c r="AI74" s="3">
        <v>1634.999999996508</v>
      </c>
      <c r="AJ74" s="2">
        <v>1</v>
      </c>
      <c r="AK74">
        <v>0</v>
      </c>
      <c r="AL74">
        <v>1</v>
      </c>
      <c r="AM74">
        <v>0</v>
      </c>
      <c r="AN74" s="2">
        <f>IF((2*G74+M74-O74+3*V74+2*AB74+2*AE74+2*AH74+3*AJ74)&gt;=7,1,0)</f>
        <v>1</v>
      </c>
    </row>
    <row r="75" spans="1:40" x14ac:dyDescent="0.25">
      <c r="A75" t="s">
        <v>27</v>
      </c>
      <c r="B75" s="1">
        <v>36786</v>
      </c>
      <c r="C75" s="6">
        <f t="shared" si="10"/>
        <v>2000</v>
      </c>
      <c r="D75">
        <v>84.3</v>
      </c>
      <c r="E75">
        <v>66.3</v>
      </c>
      <c r="F75">
        <v>74.8</v>
      </c>
      <c r="G75" s="2">
        <f t="shared" si="11"/>
        <v>1</v>
      </c>
      <c r="H75">
        <v>83.6</v>
      </c>
      <c r="I75">
        <v>66.3</v>
      </c>
      <c r="J75">
        <v>74.8</v>
      </c>
      <c r="K75">
        <v>58.6</v>
      </c>
      <c r="L75">
        <v>59.2</v>
      </c>
      <c r="M75" s="2">
        <f t="shared" si="12"/>
        <v>1</v>
      </c>
      <c r="N75">
        <v>0</v>
      </c>
      <c r="O75" s="2">
        <f t="shared" si="13"/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s="2">
        <f t="shared" si="14"/>
        <v>0</v>
      </c>
      <c r="W75">
        <v>8.1</v>
      </c>
      <c r="X75" s="2">
        <f t="shared" si="15"/>
        <v>0</v>
      </c>
      <c r="Y75">
        <v>137.19999999999999</v>
      </c>
      <c r="Z75" s="2" t="str">
        <f>CHOOSE(MATCH(Y75,{0;11;80;111;161;191;241;281;341},1),"North","NorthEast","East","SouthEast","South","SouthWest","West","NorthWest","North")</f>
        <v>SouthEast</v>
      </c>
      <c r="AA75" s="4">
        <f>CHOOSE(MATCH(Z75,{"South";"SouthEast";"SouthWest";"North";"NorthEast";"East";"West";"NorthWest"},0),1,2,3,4,5,6,7,8)</f>
        <v>2</v>
      </c>
      <c r="AB75" s="2">
        <f t="shared" si="16"/>
        <v>0</v>
      </c>
      <c r="AC75">
        <v>1012.9</v>
      </c>
      <c r="AD75" t="s">
        <v>160</v>
      </c>
      <c r="AE75" s="2">
        <f t="shared" si="17"/>
        <v>0</v>
      </c>
      <c r="AF75" t="s">
        <v>161</v>
      </c>
      <c r="AG75" s="2">
        <f t="shared" si="18"/>
        <v>9</v>
      </c>
      <c r="AH75" s="2">
        <f t="shared" si="19"/>
        <v>0</v>
      </c>
      <c r="AI75" s="3">
        <v>95.999999998603016</v>
      </c>
      <c r="AJ75" s="2">
        <v>0</v>
      </c>
      <c r="AK75">
        <v>0</v>
      </c>
      <c r="AL75">
        <v>1</v>
      </c>
      <c r="AM75">
        <v>0</v>
      </c>
      <c r="AN75" s="2">
        <f>IF((2*G75+M75-O75+3*V75+2*AB75+2*AE75+2*AH75+3*AJ75)&gt;=7,1,0)</f>
        <v>0</v>
      </c>
    </row>
    <row r="76" spans="1:40" x14ac:dyDescent="0.25">
      <c r="A76" t="s">
        <v>27</v>
      </c>
      <c r="B76" s="1">
        <v>36786</v>
      </c>
      <c r="C76" s="6">
        <f t="shared" si="10"/>
        <v>2000</v>
      </c>
      <c r="D76">
        <v>84.3</v>
      </c>
      <c r="E76">
        <v>66.3</v>
      </c>
      <c r="F76">
        <v>74.8</v>
      </c>
      <c r="G76" s="2">
        <f t="shared" si="11"/>
        <v>1</v>
      </c>
      <c r="H76">
        <v>83.6</v>
      </c>
      <c r="I76">
        <v>66.3</v>
      </c>
      <c r="J76">
        <v>74.8</v>
      </c>
      <c r="K76">
        <v>58.6</v>
      </c>
      <c r="L76">
        <v>59.2</v>
      </c>
      <c r="M76" s="2">
        <f t="shared" si="12"/>
        <v>1</v>
      </c>
      <c r="N76">
        <v>0</v>
      </c>
      <c r="O76" s="2">
        <f t="shared" si="13"/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s="2">
        <f t="shared" si="14"/>
        <v>0</v>
      </c>
      <c r="W76">
        <v>8.1</v>
      </c>
      <c r="X76" s="2">
        <f t="shared" si="15"/>
        <v>0</v>
      </c>
      <c r="Y76">
        <v>137.19999999999999</v>
      </c>
      <c r="Z76" s="2" t="str">
        <f>CHOOSE(MATCH(Y76,{0;11;80;111;161;191;241;281;341},1),"North","NorthEast","East","SouthEast","South","SouthWest","West","NorthWest","North")</f>
        <v>SouthEast</v>
      </c>
      <c r="AA76" s="4">
        <f>CHOOSE(MATCH(Z76,{"South";"SouthEast";"SouthWest";"North";"NorthEast";"East";"West";"NorthWest"},0),1,2,3,4,5,6,7,8)</f>
        <v>2</v>
      </c>
      <c r="AB76" s="2">
        <f t="shared" si="16"/>
        <v>0</v>
      </c>
      <c r="AC76">
        <v>1012.9</v>
      </c>
      <c r="AD76" t="s">
        <v>162</v>
      </c>
      <c r="AE76" s="2">
        <f t="shared" si="17"/>
        <v>1</v>
      </c>
      <c r="AF76" t="s">
        <v>163</v>
      </c>
      <c r="AG76" s="2">
        <f t="shared" si="18"/>
        <v>9</v>
      </c>
      <c r="AH76" s="2">
        <f t="shared" si="19"/>
        <v>0</v>
      </c>
      <c r="AI76" s="3">
        <v>155.99999999511061</v>
      </c>
      <c r="AJ76" s="2">
        <v>0</v>
      </c>
      <c r="AK76">
        <v>0</v>
      </c>
      <c r="AL76">
        <v>4</v>
      </c>
      <c r="AM76">
        <v>0</v>
      </c>
      <c r="AN76" s="2">
        <f>IF((2*G76+M76-O76+3*V76+2*AB76+2*AE76+2*AH76+3*AJ76)&gt;=7,1,0)</f>
        <v>0</v>
      </c>
    </row>
    <row r="77" spans="1:40" x14ac:dyDescent="0.25">
      <c r="A77" t="s">
        <v>27</v>
      </c>
      <c r="B77" s="1">
        <v>36790</v>
      </c>
      <c r="C77" s="6">
        <f t="shared" si="10"/>
        <v>2000</v>
      </c>
      <c r="D77">
        <v>86.1</v>
      </c>
      <c r="E77">
        <v>69.900000000000006</v>
      </c>
      <c r="F77">
        <v>77.599999999999994</v>
      </c>
      <c r="G77" s="2">
        <f t="shared" si="11"/>
        <v>1</v>
      </c>
      <c r="H77">
        <v>86.2</v>
      </c>
      <c r="I77">
        <v>69.900000000000006</v>
      </c>
      <c r="J77">
        <v>77.5</v>
      </c>
      <c r="K77">
        <v>58.6</v>
      </c>
      <c r="L77">
        <v>53.3</v>
      </c>
      <c r="M77" s="2">
        <f t="shared" si="12"/>
        <v>1</v>
      </c>
      <c r="N77">
        <v>0</v>
      </c>
      <c r="O77" s="2">
        <f t="shared" si="13"/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s="2">
        <f t="shared" si="14"/>
        <v>0</v>
      </c>
      <c r="W77">
        <v>10.3</v>
      </c>
      <c r="X77" s="2">
        <f t="shared" si="15"/>
        <v>0</v>
      </c>
      <c r="Y77">
        <v>208</v>
      </c>
      <c r="Z77" s="2" t="str">
        <f>CHOOSE(MATCH(Y77,{0;11;80;111;161;191;241;281;341},1),"North","NorthEast","East","SouthEast","South","SouthWest","West","NorthWest","North")</f>
        <v>SouthWest</v>
      </c>
      <c r="AA77" s="4">
        <f>CHOOSE(MATCH(Z77,{"South";"SouthEast";"SouthWest";"North";"NorthEast";"East";"West";"NorthWest"},0),1,2,3,4,5,6,7,8)</f>
        <v>3</v>
      </c>
      <c r="AB77" s="2">
        <f t="shared" si="16"/>
        <v>0</v>
      </c>
      <c r="AC77">
        <v>1013.8</v>
      </c>
      <c r="AD77" t="s">
        <v>47</v>
      </c>
      <c r="AE77" s="2">
        <f t="shared" si="17"/>
        <v>1</v>
      </c>
      <c r="AF77" t="s">
        <v>164</v>
      </c>
      <c r="AG77" s="2">
        <f t="shared" si="18"/>
        <v>9</v>
      </c>
      <c r="AH77" s="2">
        <f t="shared" si="19"/>
        <v>0</v>
      </c>
      <c r="AI77" s="3">
        <v>255.99999999627471</v>
      </c>
      <c r="AJ77" s="2">
        <v>0</v>
      </c>
      <c r="AK77">
        <v>0</v>
      </c>
      <c r="AL77">
        <v>0.5</v>
      </c>
      <c r="AM77">
        <v>0</v>
      </c>
      <c r="AN77" s="2">
        <f>IF((2*G77+M77-O77+3*V77+2*AB77+2*AE77+2*AH77+3*AJ77)&gt;=7,1,0)</f>
        <v>0</v>
      </c>
    </row>
    <row r="78" spans="1:40" x14ac:dyDescent="0.25">
      <c r="A78" t="s">
        <v>27</v>
      </c>
      <c r="B78" s="1">
        <v>36795</v>
      </c>
      <c r="C78" s="6">
        <f t="shared" si="10"/>
        <v>2000</v>
      </c>
      <c r="D78">
        <v>73.5</v>
      </c>
      <c r="E78">
        <v>68.099999999999994</v>
      </c>
      <c r="F78">
        <v>70.7</v>
      </c>
      <c r="G78" s="2">
        <f t="shared" si="11"/>
        <v>1</v>
      </c>
      <c r="H78">
        <v>73.5</v>
      </c>
      <c r="I78">
        <v>68.099999999999994</v>
      </c>
      <c r="J78">
        <v>70.7</v>
      </c>
      <c r="K78">
        <v>55.2</v>
      </c>
      <c r="L78">
        <v>58.1</v>
      </c>
      <c r="M78" s="2">
        <f t="shared" si="12"/>
        <v>1</v>
      </c>
      <c r="N78">
        <v>0</v>
      </c>
      <c r="O78" s="2">
        <f t="shared" si="13"/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s="2">
        <f t="shared" si="14"/>
        <v>0</v>
      </c>
      <c r="W78">
        <v>18.3</v>
      </c>
      <c r="X78" s="2">
        <f t="shared" si="15"/>
        <v>1</v>
      </c>
      <c r="Y78">
        <v>333.2</v>
      </c>
      <c r="Z78" s="2" t="str">
        <f>CHOOSE(MATCH(Y78,{0;11;80;111;161;191;241;281;341},1),"North","NorthEast","East","SouthEast","South","SouthWest","West","NorthWest","North")</f>
        <v>NorthWest</v>
      </c>
      <c r="AA78" s="4">
        <f>CHOOSE(MATCH(Z78,{"South";"SouthEast";"SouthWest";"North";"NorthEast";"East";"West";"NorthWest"},0),1,2,3,4,5,6,7,8)</f>
        <v>8</v>
      </c>
      <c r="AB78" s="2">
        <f t="shared" si="16"/>
        <v>1</v>
      </c>
      <c r="AC78">
        <v>1017.9</v>
      </c>
      <c r="AD78" t="s">
        <v>165</v>
      </c>
      <c r="AE78" s="2">
        <f t="shared" si="17"/>
        <v>0</v>
      </c>
      <c r="AF78" t="s">
        <v>166</v>
      </c>
      <c r="AG78" s="2">
        <f t="shared" si="18"/>
        <v>9</v>
      </c>
      <c r="AH78" s="2">
        <f t="shared" si="19"/>
        <v>0</v>
      </c>
      <c r="AI78" s="3">
        <v>3309.9999999976721</v>
      </c>
      <c r="AJ78" s="2">
        <v>1</v>
      </c>
      <c r="AK78">
        <v>0</v>
      </c>
      <c r="AL78">
        <v>200</v>
      </c>
      <c r="AM78">
        <v>0</v>
      </c>
      <c r="AN78" s="2">
        <f>IF((2*G78+M78-O78+3*V78+2*AB78+2*AE78+2*AH78+3*AJ78)&gt;=7,1,0)</f>
        <v>1</v>
      </c>
    </row>
    <row r="79" spans="1:40" x14ac:dyDescent="0.25">
      <c r="A79" t="s">
        <v>27</v>
      </c>
      <c r="B79" s="1">
        <v>36795</v>
      </c>
      <c r="C79" s="6">
        <f t="shared" si="10"/>
        <v>2000</v>
      </c>
      <c r="D79">
        <v>73.5</v>
      </c>
      <c r="E79">
        <v>68.099999999999994</v>
      </c>
      <c r="F79">
        <v>70.7</v>
      </c>
      <c r="G79" s="2">
        <f t="shared" si="11"/>
        <v>1</v>
      </c>
      <c r="H79">
        <v>73.5</v>
      </c>
      <c r="I79">
        <v>68.099999999999994</v>
      </c>
      <c r="J79">
        <v>70.7</v>
      </c>
      <c r="K79">
        <v>55.2</v>
      </c>
      <c r="L79">
        <v>58.1</v>
      </c>
      <c r="M79" s="2">
        <f t="shared" si="12"/>
        <v>1</v>
      </c>
      <c r="N79">
        <v>0</v>
      </c>
      <c r="O79" s="2">
        <f t="shared" si="13"/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s="2">
        <f t="shared" si="14"/>
        <v>0</v>
      </c>
      <c r="W79">
        <v>18.3</v>
      </c>
      <c r="X79" s="2">
        <f t="shared" si="15"/>
        <v>1</v>
      </c>
      <c r="Y79">
        <v>333.2</v>
      </c>
      <c r="Z79" s="2" t="str">
        <f>CHOOSE(MATCH(Y79,{0;11;80;111;161;191;241;281;341},1),"North","NorthEast","East","SouthEast","South","SouthWest","West","NorthWest","North")</f>
        <v>NorthWest</v>
      </c>
      <c r="AA79" s="4">
        <f>CHOOSE(MATCH(Z79,{"South";"SouthEast";"SouthWest";"North";"NorthEast";"East";"West";"NorthWest"},0),1,2,3,4,5,6,7,8)</f>
        <v>8</v>
      </c>
      <c r="AB79" s="2">
        <f t="shared" si="16"/>
        <v>1</v>
      </c>
      <c r="AC79">
        <v>1017.9</v>
      </c>
      <c r="AD79" t="s">
        <v>167</v>
      </c>
      <c r="AE79" s="2">
        <f t="shared" si="17"/>
        <v>1</v>
      </c>
      <c r="AF79" t="s">
        <v>168</v>
      </c>
      <c r="AG79" s="2">
        <f t="shared" si="18"/>
        <v>9</v>
      </c>
      <c r="AH79" s="2">
        <f t="shared" si="19"/>
        <v>0</v>
      </c>
      <c r="AI79" s="3">
        <v>110.9999999951106</v>
      </c>
      <c r="AJ79" s="2">
        <v>0</v>
      </c>
      <c r="AK79">
        <v>0</v>
      </c>
      <c r="AL79">
        <v>4</v>
      </c>
      <c r="AM79">
        <v>0</v>
      </c>
      <c r="AN79" s="2">
        <f>IF((2*G79+M79-O79+3*V79+2*AB79+2*AE79+2*AH79+3*AJ79)&gt;=7,1,0)</f>
        <v>0</v>
      </c>
    </row>
    <row r="80" spans="1:40" x14ac:dyDescent="0.25">
      <c r="A80" t="s">
        <v>27</v>
      </c>
      <c r="B80" s="1">
        <v>36795</v>
      </c>
      <c r="C80" s="6">
        <f t="shared" si="10"/>
        <v>2000</v>
      </c>
      <c r="D80">
        <v>73.5</v>
      </c>
      <c r="E80">
        <v>68.099999999999994</v>
      </c>
      <c r="F80">
        <v>70.7</v>
      </c>
      <c r="G80" s="2">
        <f t="shared" si="11"/>
        <v>1</v>
      </c>
      <c r="H80">
        <v>73.5</v>
      </c>
      <c r="I80">
        <v>68.099999999999994</v>
      </c>
      <c r="J80">
        <v>70.7</v>
      </c>
      <c r="K80">
        <v>55.2</v>
      </c>
      <c r="L80">
        <v>58.1</v>
      </c>
      <c r="M80" s="2">
        <f t="shared" si="12"/>
        <v>1</v>
      </c>
      <c r="N80">
        <v>0</v>
      </c>
      <c r="O80" s="2">
        <f t="shared" si="13"/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s="2">
        <f t="shared" si="14"/>
        <v>0</v>
      </c>
      <c r="W80">
        <v>18.3</v>
      </c>
      <c r="X80" s="2">
        <f t="shared" si="15"/>
        <v>1</v>
      </c>
      <c r="Y80">
        <v>333.2</v>
      </c>
      <c r="Z80" s="2" t="str">
        <f>CHOOSE(MATCH(Y80,{0;11;80;111;161;191;241;281;341},1),"North","NorthEast","East","SouthEast","South","SouthWest","West","NorthWest","North")</f>
        <v>NorthWest</v>
      </c>
      <c r="AA80" s="4">
        <f>CHOOSE(MATCH(Z80,{"South";"SouthEast";"SouthWest";"North";"NorthEast";"East";"West";"NorthWest"},0),1,2,3,4,5,6,7,8)</f>
        <v>8</v>
      </c>
      <c r="AB80" s="2">
        <f t="shared" si="16"/>
        <v>1</v>
      </c>
      <c r="AC80">
        <v>1017.9</v>
      </c>
      <c r="AD80" t="s">
        <v>169</v>
      </c>
      <c r="AE80" s="2">
        <f t="shared" si="17"/>
        <v>1</v>
      </c>
      <c r="AF80" t="s">
        <v>170</v>
      </c>
      <c r="AG80" s="2">
        <f t="shared" si="18"/>
        <v>9</v>
      </c>
      <c r="AH80" s="2">
        <f t="shared" si="19"/>
        <v>0</v>
      </c>
      <c r="AI80" s="3">
        <v>111.00000000558791</v>
      </c>
      <c r="AJ80" s="2">
        <v>0</v>
      </c>
      <c r="AK80">
        <v>0</v>
      </c>
      <c r="AL80">
        <v>1</v>
      </c>
      <c r="AM80">
        <v>0</v>
      </c>
      <c r="AN80" s="2">
        <f>IF((2*G80+M80-O80+3*V80+2*AB80+2*AE80+2*AH80+3*AJ80)&gt;=7,1,0)</f>
        <v>0</v>
      </c>
    </row>
    <row r="81" spans="1:40" x14ac:dyDescent="0.25">
      <c r="A81" t="s">
        <v>27</v>
      </c>
      <c r="B81" s="1">
        <v>36801</v>
      </c>
      <c r="C81" s="6">
        <f t="shared" si="10"/>
        <v>2000</v>
      </c>
      <c r="D81">
        <v>75.3</v>
      </c>
      <c r="E81">
        <v>60.9</v>
      </c>
      <c r="F81">
        <v>68.599999999999994</v>
      </c>
      <c r="G81" s="2">
        <f t="shared" si="11"/>
        <v>0</v>
      </c>
      <c r="H81">
        <v>75.3</v>
      </c>
      <c r="I81">
        <v>60.9</v>
      </c>
      <c r="J81">
        <v>68.599999999999994</v>
      </c>
      <c r="K81">
        <v>55</v>
      </c>
      <c r="L81">
        <v>63</v>
      </c>
      <c r="M81" s="2">
        <f t="shared" si="12"/>
        <v>1</v>
      </c>
      <c r="N81">
        <v>0</v>
      </c>
      <c r="O81" s="2">
        <f t="shared" si="13"/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s="2">
        <f t="shared" si="14"/>
        <v>0</v>
      </c>
      <c r="W81">
        <v>9.1999999999999993</v>
      </c>
      <c r="X81" s="2">
        <f t="shared" si="15"/>
        <v>0</v>
      </c>
      <c r="Y81">
        <v>216.6</v>
      </c>
      <c r="Z81" s="2" t="str">
        <f>CHOOSE(MATCH(Y81,{0;11;80;111;161;191;241;281;341},1),"North","NorthEast","East","SouthEast","South","SouthWest","West","NorthWest","North")</f>
        <v>SouthWest</v>
      </c>
      <c r="AA81" s="4">
        <f>CHOOSE(MATCH(Z81,{"South";"SouthEast";"SouthWest";"North";"NorthEast";"East";"West";"NorthWest"},0),1,2,3,4,5,6,7,8)</f>
        <v>3</v>
      </c>
      <c r="AB81" s="2">
        <f t="shared" si="16"/>
        <v>0</v>
      </c>
      <c r="AC81">
        <v>1016.8</v>
      </c>
      <c r="AD81" t="s">
        <v>171</v>
      </c>
      <c r="AE81" s="2">
        <f t="shared" si="17"/>
        <v>1</v>
      </c>
      <c r="AF81" t="s">
        <v>172</v>
      </c>
      <c r="AG81" s="2">
        <f t="shared" si="18"/>
        <v>10</v>
      </c>
      <c r="AH81" s="2">
        <f t="shared" si="19"/>
        <v>0</v>
      </c>
      <c r="AI81" s="3">
        <v>1656.000000002095</v>
      </c>
      <c r="AJ81" s="2">
        <v>1</v>
      </c>
      <c r="AK81">
        <v>0</v>
      </c>
      <c r="AL81">
        <v>5</v>
      </c>
      <c r="AM81">
        <v>0</v>
      </c>
      <c r="AN81" s="2">
        <f>IF((2*G81+M81-O81+3*V81+2*AB81+2*AE81+2*AH81+3*AJ81)&gt;=7,1,0)</f>
        <v>0</v>
      </c>
    </row>
    <row r="82" spans="1:40" x14ac:dyDescent="0.25">
      <c r="A82" t="s">
        <v>27</v>
      </c>
      <c r="B82" s="1">
        <v>36804</v>
      </c>
      <c r="C82" s="6">
        <f t="shared" si="10"/>
        <v>2000</v>
      </c>
      <c r="D82">
        <v>78.900000000000006</v>
      </c>
      <c r="E82">
        <v>66.3</v>
      </c>
      <c r="F82">
        <v>71.599999999999994</v>
      </c>
      <c r="G82" s="2">
        <f t="shared" si="11"/>
        <v>1</v>
      </c>
      <c r="H82">
        <v>78.900000000000006</v>
      </c>
      <c r="I82">
        <v>66.3</v>
      </c>
      <c r="J82">
        <v>71.599999999999994</v>
      </c>
      <c r="K82">
        <v>61.1</v>
      </c>
      <c r="L82">
        <v>69.900000000000006</v>
      </c>
      <c r="M82" s="2">
        <f t="shared" si="12"/>
        <v>0</v>
      </c>
      <c r="N82">
        <v>0</v>
      </c>
      <c r="O82" s="2">
        <f t="shared" si="13"/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s="2">
        <f t="shared" si="14"/>
        <v>0</v>
      </c>
      <c r="W82">
        <v>10.3</v>
      </c>
      <c r="X82" s="2">
        <f t="shared" si="15"/>
        <v>0</v>
      </c>
      <c r="Y82">
        <v>306.5</v>
      </c>
      <c r="Z82" s="2" t="str">
        <f>CHOOSE(MATCH(Y82,{0;11;80;111;161;191;241;281;341},1),"North","NorthEast","East","SouthEast","South","SouthWest","West","NorthWest","North")</f>
        <v>NorthWest</v>
      </c>
      <c r="AA82" s="4">
        <f>CHOOSE(MATCH(Z82,{"South";"SouthEast";"SouthWest";"North";"NorthEast";"East";"West";"NorthWest"},0),1,2,3,4,5,6,7,8)</f>
        <v>8</v>
      </c>
      <c r="AB82" s="2">
        <f t="shared" si="16"/>
        <v>1</v>
      </c>
      <c r="AC82">
        <v>1011.5</v>
      </c>
      <c r="AD82" t="s">
        <v>173</v>
      </c>
      <c r="AE82" s="2">
        <f t="shared" si="17"/>
        <v>0</v>
      </c>
      <c r="AF82" t="s">
        <v>174</v>
      </c>
      <c r="AG82" s="2">
        <f t="shared" si="18"/>
        <v>10</v>
      </c>
      <c r="AH82" s="2">
        <f t="shared" si="19"/>
        <v>0</v>
      </c>
      <c r="AI82" s="3">
        <v>470.99999999511061</v>
      </c>
      <c r="AJ82" s="2">
        <v>1</v>
      </c>
      <c r="AK82">
        <v>0</v>
      </c>
      <c r="AL82">
        <v>15</v>
      </c>
      <c r="AM82">
        <v>0</v>
      </c>
      <c r="AN82" s="2">
        <f>IF((2*G82+M82-O82+3*V82+2*AB82+2*AE82+2*AH82+3*AJ82)&gt;=7,1,0)</f>
        <v>0</v>
      </c>
    </row>
    <row r="83" spans="1:40" x14ac:dyDescent="0.25">
      <c r="A83" t="s">
        <v>27</v>
      </c>
      <c r="B83" s="1">
        <v>36807</v>
      </c>
      <c r="C83" s="6">
        <f t="shared" si="10"/>
        <v>2000</v>
      </c>
      <c r="D83">
        <v>78.900000000000006</v>
      </c>
      <c r="E83">
        <v>64.5</v>
      </c>
      <c r="F83">
        <v>71.2</v>
      </c>
      <c r="G83" s="2">
        <f t="shared" si="11"/>
        <v>1</v>
      </c>
      <c r="H83">
        <v>78.900000000000006</v>
      </c>
      <c r="I83">
        <v>64.5</v>
      </c>
      <c r="J83">
        <v>71.2</v>
      </c>
      <c r="K83">
        <v>61.1</v>
      </c>
      <c r="L83">
        <v>70.8</v>
      </c>
      <c r="M83" s="2">
        <f t="shared" si="12"/>
        <v>0</v>
      </c>
      <c r="N83">
        <v>0</v>
      </c>
      <c r="O83" s="2">
        <f t="shared" si="13"/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s="2">
        <f t="shared" si="14"/>
        <v>0</v>
      </c>
      <c r="W83">
        <v>12.8</v>
      </c>
      <c r="X83" s="2">
        <f t="shared" si="15"/>
        <v>0</v>
      </c>
      <c r="Y83">
        <v>127.7</v>
      </c>
      <c r="Z83" s="2" t="str">
        <f>CHOOSE(MATCH(Y83,{0;11;80;111;161;191;241;281;341},1),"North","NorthEast","East","SouthEast","South","SouthWest","West","NorthWest","North")</f>
        <v>SouthEast</v>
      </c>
      <c r="AA83" s="4">
        <f>CHOOSE(MATCH(Z83,{"South";"SouthEast";"SouthWest";"North";"NorthEast";"East";"West";"NorthWest"},0),1,2,3,4,5,6,7,8)</f>
        <v>2</v>
      </c>
      <c r="AB83" s="2">
        <f t="shared" si="16"/>
        <v>0</v>
      </c>
      <c r="AC83">
        <v>1012.3</v>
      </c>
      <c r="AD83" t="s">
        <v>175</v>
      </c>
      <c r="AE83" s="2">
        <f t="shared" si="17"/>
        <v>1</v>
      </c>
      <c r="AF83" t="s">
        <v>176</v>
      </c>
      <c r="AG83" s="2">
        <f t="shared" si="18"/>
        <v>10</v>
      </c>
      <c r="AH83" s="2">
        <f t="shared" si="19"/>
        <v>0</v>
      </c>
      <c r="AI83" s="3">
        <v>95.999999998603016</v>
      </c>
      <c r="AJ83" s="2">
        <v>0</v>
      </c>
      <c r="AK83">
        <v>0.5</v>
      </c>
      <c r="AL83">
        <v>0</v>
      </c>
      <c r="AM83">
        <v>0</v>
      </c>
      <c r="AN83" s="2">
        <f>IF((2*G83+M83-O83+3*V83+2*AB83+2*AE83+2*AH83+3*AJ83)&gt;=7,1,0)</f>
        <v>0</v>
      </c>
    </row>
    <row r="84" spans="1:40" x14ac:dyDescent="0.25">
      <c r="A84" t="s">
        <v>27</v>
      </c>
      <c r="B84" s="1">
        <v>36813</v>
      </c>
      <c r="C84" s="6">
        <f t="shared" si="10"/>
        <v>2000</v>
      </c>
      <c r="D84">
        <v>73.5</v>
      </c>
      <c r="E84">
        <v>69.900000000000006</v>
      </c>
      <c r="F84">
        <v>70.8</v>
      </c>
      <c r="G84" s="2">
        <f t="shared" si="11"/>
        <v>1</v>
      </c>
      <c r="H84">
        <v>73.5</v>
      </c>
      <c r="I84">
        <v>69.900000000000006</v>
      </c>
      <c r="J84">
        <v>70.8</v>
      </c>
      <c r="K84">
        <v>61.1</v>
      </c>
      <c r="L84">
        <v>71.5</v>
      </c>
      <c r="M84" s="2">
        <f t="shared" si="12"/>
        <v>0</v>
      </c>
      <c r="N84">
        <v>0</v>
      </c>
      <c r="O84" s="2">
        <f t="shared" si="13"/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s="2">
        <f t="shared" si="14"/>
        <v>0</v>
      </c>
      <c r="W84">
        <v>19.5</v>
      </c>
      <c r="X84" s="2">
        <f t="shared" si="15"/>
        <v>1</v>
      </c>
      <c r="Y84">
        <v>322.89999999999998</v>
      </c>
      <c r="Z84" s="2" t="str">
        <f>CHOOSE(MATCH(Y84,{0;11;80;111;161;191;241;281;341},1),"North","NorthEast","East","SouthEast","South","SouthWest","West","NorthWest","North")</f>
        <v>NorthWest</v>
      </c>
      <c r="AA84" s="4">
        <f>CHOOSE(MATCH(Z84,{"South";"SouthEast";"SouthWest";"North";"NorthEast";"East";"West";"NorthWest"},0),1,2,3,4,5,6,7,8)</f>
        <v>8</v>
      </c>
      <c r="AB84" s="2">
        <f t="shared" si="16"/>
        <v>1</v>
      </c>
      <c r="AC84">
        <v>1015.1</v>
      </c>
      <c r="AD84" t="s">
        <v>177</v>
      </c>
      <c r="AE84" s="2">
        <f t="shared" si="17"/>
        <v>1</v>
      </c>
      <c r="AF84" t="s">
        <v>178</v>
      </c>
      <c r="AG84" s="2">
        <f t="shared" si="18"/>
        <v>10</v>
      </c>
      <c r="AH84" s="2">
        <f t="shared" si="19"/>
        <v>0</v>
      </c>
      <c r="AI84" s="3">
        <v>105.9999999997672</v>
      </c>
      <c r="AJ84" s="2">
        <v>0</v>
      </c>
      <c r="AK84">
        <v>0</v>
      </c>
      <c r="AL84">
        <v>1</v>
      </c>
      <c r="AM84">
        <v>0</v>
      </c>
      <c r="AN84" s="2">
        <f>IF((2*G84+M84-O84+3*V84+2*AB84+2*AE84+2*AH84+3*AJ84)&gt;=7,1,0)</f>
        <v>0</v>
      </c>
    </row>
    <row r="85" spans="1:40" x14ac:dyDescent="0.25">
      <c r="A85" t="s">
        <v>27</v>
      </c>
      <c r="B85" s="1">
        <v>36815</v>
      </c>
      <c r="C85" s="6">
        <f t="shared" si="10"/>
        <v>2000</v>
      </c>
      <c r="D85">
        <v>71.7</v>
      </c>
      <c r="E85">
        <v>57.3</v>
      </c>
      <c r="F85">
        <v>65.7</v>
      </c>
      <c r="G85" s="2">
        <f t="shared" si="11"/>
        <v>0</v>
      </c>
      <c r="H85">
        <v>71.7</v>
      </c>
      <c r="I85">
        <v>57.3</v>
      </c>
      <c r="J85">
        <v>65.7</v>
      </c>
      <c r="K85">
        <v>54.6</v>
      </c>
      <c r="L85">
        <v>68.900000000000006</v>
      </c>
      <c r="M85" s="2">
        <f t="shared" si="12"/>
        <v>0</v>
      </c>
      <c r="N85">
        <v>0</v>
      </c>
      <c r="O85" s="2">
        <f t="shared" si="13"/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s="2">
        <f t="shared" si="14"/>
        <v>0</v>
      </c>
      <c r="W85">
        <v>9.1999999999999993</v>
      </c>
      <c r="X85" s="2">
        <f t="shared" si="15"/>
        <v>0</v>
      </c>
      <c r="Y85">
        <v>312</v>
      </c>
      <c r="Z85" s="2" t="str">
        <f>CHOOSE(MATCH(Y85,{0;11;80;111;161;191;241;281;341},1),"North","NorthEast","East","SouthEast","South","SouthWest","West","NorthWest","North")</f>
        <v>NorthWest</v>
      </c>
      <c r="AA85" s="4">
        <f>CHOOSE(MATCH(Z85,{"South";"SouthEast";"SouthWest";"North";"NorthEast";"East";"West";"NorthWest"},0),1,2,3,4,5,6,7,8)</f>
        <v>8</v>
      </c>
      <c r="AB85" s="2">
        <f t="shared" si="16"/>
        <v>1</v>
      </c>
      <c r="AC85">
        <v>1019.7</v>
      </c>
      <c r="AD85" t="s">
        <v>88</v>
      </c>
      <c r="AE85" s="2">
        <f t="shared" si="17"/>
        <v>1</v>
      </c>
      <c r="AF85" t="s">
        <v>179</v>
      </c>
      <c r="AG85" s="2">
        <f t="shared" si="18"/>
        <v>10</v>
      </c>
      <c r="AH85" s="2">
        <f t="shared" si="19"/>
        <v>0</v>
      </c>
      <c r="AI85" s="3">
        <v>46.000000003259629</v>
      </c>
      <c r="AJ85" s="2">
        <v>0</v>
      </c>
      <c r="AK85">
        <v>0</v>
      </c>
      <c r="AL85">
        <v>0</v>
      </c>
      <c r="AM85">
        <v>1</v>
      </c>
      <c r="AN85" s="2">
        <f>IF((2*G85+M85-O85+3*V85+2*AB85+2*AE85+2*AH85+3*AJ85)&gt;=7,1,0)</f>
        <v>0</v>
      </c>
    </row>
    <row r="86" spans="1:40" x14ac:dyDescent="0.25">
      <c r="A86" t="s">
        <v>27</v>
      </c>
      <c r="B86" s="1">
        <v>36815</v>
      </c>
      <c r="C86" s="6">
        <f t="shared" si="10"/>
        <v>2000</v>
      </c>
      <c r="D86">
        <v>71.7</v>
      </c>
      <c r="E86">
        <v>57.3</v>
      </c>
      <c r="F86">
        <v>65.7</v>
      </c>
      <c r="G86" s="2">
        <f t="shared" si="11"/>
        <v>0</v>
      </c>
      <c r="H86">
        <v>71.7</v>
      </c>
      <c r="I86">
        <v>57.3</v>
      </c>
      <c r="J86">
        <v>65.7</v>
      </c>
      <c r="K86">
        <v>54.6</v>
      </c>
      <c r="L86">
        <v>68.900000000000006</v>
      </c>
      <c r="M86" s="2">
        <f t="shared" si="12"/>
        <v>0</v>
      </c>
      <c r="N86">
        <v>0</v>
      </c>
      <c r="O86" s="2">
        <f t="shared" si="13"/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s="2">
        <f t="shared" si="14"/>
        <v>0</v>
      </c>
      <c r="W86">
        <v>9.1999999999999993</v>
      </c>
      <c r="X86" s="2">
        <f t="shared" si="15"/>
        <v>0</v>
      </c>
      <c r="Y86">
        <v>312</v>
      </c>
      <c r="Z86" s="2" t="str">
        <f>CHOOSE(MATCH(Y86,{0;11;80;111;161;191;241;281;341},1),"North","NorthEast","East","SouthEast","South","SouthWest","West","NorthWest","North")</f>
        <v>NorthWest</v>
      </c>
      <c r="AA86" s="4">
        <f>CHOOSE(MATCH(Z86,{"South";"SouthEast";"SouthWest";"North";"NorthEast";"East";"West";"NorthWest"},0),1,2,3,4,5,6,7,8)</f>
        <v>8</v>
      </c>
      <c r="AB86" s="2">
        <f t="shared" si="16"/>
        <v>1</v>
      </c>
      <c r="AC86">
        <v>1019.7</v>
      </c>
      <c r="AD86" t="s">
        <v>180</v>
      </c>
      <c r="AE86" s="2">
        <f t="shared" si="17"/>
        <v>1</v>
      </c>
      <c r="AF86" t="s">
        <v>181</v>
      </c>
      <c r="AG86" s="2">
        <f t="shared" si="18"/>
        <v>10</v>
      </c>
      <c r="AH86" s="2">
        <f t="shared" si="19"/>
        <v>0</v>
      </c>
      <c r="AI86" s="3">
        <v>235.9999999939464</v>
      </c>
      <c r="AJ86" s="2">
        <v>0</v>
      </c>
      <c r="AK86">
        <v>15</v>
      </c>
      <c r="AL86">
        <v>0</v>
      </c>
      <c r="AM86">
        <v>0</v>
      </c>
      <c r="AN86" s="2">
        <f>IF((2*G86+M86-O86+3*V86+2*AB86+2*AE86+2*AH86+3*AJ86)&gt;=7,1,0)</f>
        <v>0</v>
      </c>
    </row>
    <row r="87" spans="1:40" x14ac:dyDescent="0.25">
      <c r="A87" t="s">
        <v>27</v>
      </c>
      <c r="B87" s="1">
        <v>36821</v>
      </c>
      <c r="C87" s="6">
        <f t="shared" si="10"/>
        <v>2000</v>
      </c>
      <c r="D87">
        <v>64.5</v>
      </c>
      <c r="E87">
        <v>60.9</v>
      </c>
      <c r="F87">
        <v>62.2</v>
      </c>
      <c r="G87" s="2">
        <f t="shared" si="11"/>
        <v>0</v>
      </c>
      <c r="H87">
        <v>64.5</v>
      </c>
      <c r="I87">
        <v>60.9</v>
      </c>
      <c r="J87">
        <v>62.2</v>
      </c>
      <c r="K87">
        <v>46.3</v>
      </c>
      <c r="L87">
        <v>56.4</v>
      </c>
      <c r="M87" s="2">
        <f t="shared" si="12"/>
        <v>1</v>
      </c>
      <c r="N87">
        <v>4.0000000000000001E-3</v>
      </c>
      <c r="O87" s="2">
        <f t="shared" si="13"/>
        <v>1</v>
      </c>
      <c r="P87">
        <v>100</v>
      </c>
      <c r="Q87">
        <v>4.17</v>
      </c>
      <c r="R87" t="s">
        <v>182</v>
      </c>
      <c r="S87">
        <v>0</v>
      </c>
      <c r="T87">
        <v>0</v>
      </c>
      <c r="U87">
        <v>0</v>
      </c>
      <c r="V87" s="2">
        <f t="shared" si="14"/>
        <v>0</v>
      </c>
      <c r="W87">
        <v>25.3</v>
      </c>
      <c r="X87" s="2">
        <f t="shared" si="15"/>
        <v>1</v>
      </c>
      <c r="Y87">
        <v>351.4</v>
      </c>
      <c r="Z87" s="2" t="str">
        <f>CHOOSE(MATCH(Y87,{0;11;80;111;161;191;241;281;341},1),"North","NorthEast","East","SouthEast","South","SouthWest","West","NorthWest","North")</f>
        <v>North</v>
      </c>
      <c r="AA87" s="4">
        <f>CHOOSE(MATCH(Z87,{"South";"SouthEast";"SouthWest";"North";"NorthEast";"East";"West";"NorthWest"},0),1,2,3,4,5,6,7,8)</f>
        <v>4</v>
      </c>
      <c r="AB87" s="2">
        <f t="shared" si="16"/>
        <v>1</v>
      </c>
      <c r="AC87">
        <v>1023.9</v>
      </c>
      <c r="AD87" t="s">
        <v>183</v>
      </c>
      <c r="AE87" s="2">
        <f t="shared" si="17"/>
        <v>1</v>
      </c>
      <c r="AF87" t="s">
        <v>184</v>
      </c>
      <c r="AG87" s="2">
        <f t="shared" si="18"/>
        <v>10</v>
      </c>
      <c r="AH87" s="2">
        <f t="shared" si="19"/>
        <v>0</v>
      </c>
      <c r="AI87" s="3">
        <v>281.00000000442378</v>
      </c>
      <c r="AJ87" s="2">
        <v>0</v>
      </c>
      <c r="AK87">
        <v>10</v>
      </c>
      <c r="AL87">
        <v>0</v>
      </c>
      <c r="AM87">
        <v>0</v>
      </c>
      <c r="AN87" s="2">
        <f>IF((2*G87+M87-O87+3*V87+2*AB87+2*AE87+2*AH87+3*AJ87)&gt;=7,1,0)</f>
        <v>0</v>
      </c>
    </row>
    <row r="88" spans="1:40" x14ac:dyDescent="0.25">
      <c r="A88" t="s">
        <v>27</v>
      </c>
      <c r="B88" s="1">
        <v>36821</v>
      </c>
      <c r="C88" s="6">
        <f t="shared" si="10"/>
        <v>2000</v>
      </c>
      <c r="D88">
        <v>64.5</v>
      </c>
      <c r="E88">
        <v>60.9</v>
      </c>
      <c r="F88">
        <v>62.2</v>
      </c>
      <c r="G88" s="2">
        <f t="shared" si="11"/>
        <v>0</v>
      </c>
      <c r="H88">
        <v>64.5</v>
      </c>
      <c r="I88">
        <v>60.9</v>
      </c>
      <c r="J88">
        <v>62.2</v>
      </c>
      <c r="K88">
        <v>46.3</v>
      </c>
      <c r="L88">
        <v>56.4</v>
      </c>
      <c r="M88" s="2">
        <f t="shared" si="12"/>
        <v>1</v>
      </c>
      <c r="N88">
        <v>4.0000000000000001E-3</v>
      </c>
      <c r="O88" s="2">
        <f t="shared" si="13"/>
        <v>1</v>
      </c>
      <c r="P88">
        <v>100</v>
      </c>
      <c r="Q88">
        <v>4.17</v>
      </c>
      <c r="R88" t="s">
        <v>182</v>
      </c>
      <c r="S88">
        <v>0</v>
      </c>
      <c r="T88">
        <v>0</v>
      </c>
      <c r="U88">
        <v>0</v>
      </c>
      <c r="V88" s="2">
        <f t="shared" si="14"/>
        <v>0</v>
      </c>
      <c r="W88">
        <v>25.3</v>
      </c>
      <c r="X88" s="2">
        <f t="shared" si="15"/>
        <v>1</v>
      </c>
      <c r="Y88">
        <v>351.4</v>
      </c>
      <c r="Z88" s="2" t="str">
        <f>CHOOSE(MATCH(Y88,{0;11;80;111;161;191;241;281;341},1),"North","NorthEast","East","SouthEast","South","SouthWest","West","NorthWest","North")</f>
        <v>North</v>
      </c>
      <c r="AA88" s="4">
        <f>CHOOSE(MATCH(Z88,{"South";"SouthEast";"SouthWest";"North";"NorthEast";"East";"West";"NorthWest"},0),1,2,3,4,5,6,7,8)</f>
        <v>4</v>
      </c>
      <c r="AB88" s="2">
        <f t="shared" si="16"/>
        <v>1</v>
      </c>
      <c r="AC88">
        <v>1023.9</v>
      </c>
      <c r="AD88" t="s">
        <v>185</v>
      </c>
      <c r="AE88" s="2">
        <f t="shared" si="17"/>
        <v>1</v>
      </c>
      <c r="AF88" t="s">
        <v>186</v>
      </c>
      <c r="AG88" s="2">
        <f t="shared" si="18"/>
        <v>10</v>
      </c>
      <c r="AH88" s="2">
        <f t="shared" si="19"/>
        <v>0</v>
      </c>
      <c r="AI88" s="3">
        <v>215.9999999916181</v>
      </c>
      <c r="AJ88" s="2">
        <v>0</v>
      </c>
      <c r="AK88">
        <v>0</v>
      </c>
      <c r="AL88">
        <v>5</v>
      </c>
      <c r="AM88">
        <v>0</v>
      </c>
      <c r="AN88" s="2">
        <f>IF((2*G88+M88-O88+3*V88+2*AB88+2*AE88+2*AH88+3*AJ88)&gt;=7,1,0)</f>
        <v>0</v>
      </c>
    </row>
    <row r="89" spans="1:40" x14ac:dyDescent="0.25">
      <c r="A89" t="s">
        <v>27</v>
      </c>
      <c r="B89" s="1">
        <v>36823</v>
      </c>
      <c r="C89" s="6">
        <f t="shared" si="10"/>
        <v>2000</v>
      </c>
      <c r="D89">
        <v>60.9</v>
      </c>
      <c r="E89">
        <v>59.1</v>
      </c>
      <c r="F89">
        <v>60.7</v>
      </c>
      <c r="G89" s="2">
        <f t="shared" si="11"/>
        <v>0</v>
      </c>
      <c r="H89">
        <v>60.9</v>
      </c>
      <c r="I89">
        <v>59.1</v>
      </c>
      <c r="J89">
        <v>60.7</v>
      </c>
      <c r="K89">
        <v>45.8</v>
      </c>
      <c r="L89">
        <v>58.1</v>
      </c>
      <c r="M89" s="2">
        <f t="shared" si="12"/>
        <v>1</v>
      </c>
      <c r="N89">
        <v>8.0000000000000002E-3</v>
      </c>
      <c r="O89" s="2">
        <f t="shared" si="13"/>
        <v>1</v>
      </c>
      <c r="P89">
        <v>100</v>
      </c>
      <c r="Q89">
        <v>8.33</v>
      </c>
      <c r="R89" t="s">
        <v>182</v>
      </c>
      <c r="S89">
        <v>0</v>
      </c>
      <c r="T89">
        <v>0</v>
      </c>
      <c r="U89">
        <v>0</v>
      </c>
      <c r="V89" s="2">
        <f t="shared" si="14"/>
        <v>0</v>
      </c>
      <c r="W89">
        <v>28.9</v>
      </c>
      <c r="X89" s="2">
        <f t="shared" si="15"/>
        <v>1</v>
      </c>
      <c r="Y89">
        <v>346.7</v>
      </c>
      <c r="Z89" s="2" t="str">
        <f>CHOOSE(MATCH(Y89,{0;11;80;111;161;191;241;281;341},1),"North","NorthEast","East","SouthEast","South","SouthWest","West","NorthWest","North")</f>
        <v>North</v>
      </c>
      <c r="AA89" s="4">
        <f>CHOOSE(MATCH(Z89,{"South";"SouthEast";"SouthWest";"North";"NorthEast";"East";"West";"NorthWest"},0),1,2,3,4,5,6,7,8)</f>
        <v>4</v>
      </c>
      <c r="AB89" s="2">
        <f t="shared" si="16"/>
        <v>1</v>
      </c>
      <c r="AC89">
        <v>1019.2</v>
      </c>
      <c r="AD89" t="s">
        <v>187</v>
      </c>
      <c r="AE89" s="2">
        <f t="shared" si="17"/>
        <v>1</v>
      </c>
      <c r="AF89" t="s">
        <v>188</v>
      </c>
      <c r="AG89" s="2">
        <f t="shared" si="18"/>
        <v>10</v>
      </c>
      <c r="AH89" s="2">
        <f t="shared" si="19"/>
        <v>0</v>
      </c>
      <c r="AI89" s="3">
        <v>316.00000000325957</v>
      </c>
      <c r="AJ89" s="2">
        <v>0</v>
      </c>
      <c r="AK89">
        <v>0</v>
      </c>
      <c r="AL89">
        <v>0.5</v>
      </c>
      <c r="AM89">
        <v>0</v>
      </c>
      <c r="AN89" s="2">
        <f>IF((2*G89+M89-O89+3*V89+2*AB89+2*AE89+2*AH89+3*AJ89)&gt;=7,1,0)</f>
        <v>0</v>
      </c>
    </row>
    <row r="90" spans="1:40" x14ac:dyDescent="0.25">
      <c r="A90" t="s">
        <v>27</v>
      </c>
      <c r="B90" s="1">
        <v>36824</v>
      </c>
      <c r="C90" s="6">
        <f t="shared" si="10"/>
        <v>2000</v>
      </c>
      <c r="D90">
        <v>64.5</v>
      </c>
      <c r="E90">
        <v>60.9</v>
      </c>
      <c r="F90">
        <v>62.1</v>
      </c>
      <c r="G90" s="2">
        <f t="shared" si="11"/>
        <v>0</v>
      </c>
      <c r="H90">
        <v>64.5</v>
      </c>
      <c r="I90">
        <v>60.9</v>
      </c>
      <c r="J90">
        <v>62.1</v>
      </c>
      <c r="K90">
        <v>46.5</v>
      </c>
      <c r="L90">
        <v>56.8</v>
      </c>
      <c r="M90" s="2">
        <f t="shared" si="12"/>
        <v>1</v>
      </c>
      <c r="N90">
        <v>0</v>
      </c>
      <c r="O90" s="2">
        <f t="shared" si="13"/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s="2">
        <f t="shared" si="14"/>
        <v>0</v>
      </c>
      <c r="W90">
        <v>23</v>
      </c>
      <c r="X90" s="2">
        <f t="shared" si="15"/>
        <v>1</v>
      </c>
      <c r="Y90">
        <v>325.2</v>
      </c>
      <c r="Z90" s="2" t="str">
        <f>CHOOSE(MATCH(Y90,{0;11;80;111;161;191;241;281;341},1),"North","NorthEast","East","SouthEast","South","SouthWest","West","NorthWest","North")</f>
        <v>NorthWest</v>
      </c>
      <c r="AA90" s="4">
        <f>CHOOSE(MATCH(Z90,{"South";"SouthEast";"SouthWest";"North";"NorthEast";"East";"West";"NorthWest"},0),1,2,3,4,5,6,7,8)</f>
        <v>8</v>
      </c>
      <c r="AB90" s="2">
        <f t="shared" si="16"/>
        <v>1</v>
      </c>
      <c r="AC90">
        <v>1020.2</v>
      </c>
      <c r="AD90" t="s">
        <v>189</v>
      </c>
      <c r="AE90" s="2">
        <f t="shared" si="17"/>
        <v>1</v>
      </c>
      <c r="AF90" t="s">
        <v>190</v>
      </c>
      <c r="AG90" s="2">
        <f t="shared" si="18"/>
        <v>10</v>
      </c>
      <c r="AH90" s="2">
        <f t="shared" si="19"/>
        <v>0</v>
      </c>
      <c r="AI90" s="3">
        <v>50.999999998603023</v>
      </c>
      <c r="AJ90" s="2">
        <v>0</v>
      </c>
      <c r="AK90">
        <v>0</v>
      </c>
      <c r="AL90">
        <v>4</v>
      </c>
      <c r="AM90">
        <v>0</v>
      </c>
      <c r="AN90" s="2">
        <f>IF((2*G90+M90-O90+3*V90+2*AB90+2*AE90+2*AH90+3*AJ90)&gt;=7,1,0)</f>
        <v>0</v>
      </c>
    </row>
    <row r="91" spans="1:40" x14ac:dyDescent="0.25">
      <c r="A91" t="s">
        <v>27</v>
      </c>
      <c r="B91" s="1">
        <v>36827</v>
      </c>
      <c r="C91" s="6">
        <f t="shared" si="10"/>
        <v>2000</v>
      </c>
      <c r="D91">
        <v>77.099999999999994</v>
      </c>
      <c r="E91">
        <v>62.7</v>
      </c>
      <c r="F91">
        <v>69.3</v>
      </c>
      <c r="G91" s="2">
        <f t="shared" si="11"/>
        <v>0</v>
      </c>
      <c r="H91">
        <v>77.099999999999994</v>
      </c>
      <c r="I91">
        <v>62.7</v>
      </c>
      <c r="J91">
        <v>69.3</v>
      </c>
      <c r="K91">
        <v>58.9</v>
      </c>
      <c r="L91">
        <v>70.599999999999994</v>
      </c>
      <c r="M91" s="2">
        <f t="shared" si="12"/>
        <v>0</v>
      </c>
      <c r="N91">
        <v>0</v>
      </c>
      <c r="O91" s="2">
        <f t="shared" si="13"/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s="2">
        <f t="shared" si="14"/>
        <v>0</v>
      </c>
      <c r="W91">
        <v>11.4</v>
      </c>
      <c r="X91" s="2">
        <f t="shared" si="15"/>
        <v>0</v>
      </c>
      <c r="Y91">
        <v>121.6</v>
      </c>
      <c r="Z91" s="2" t="str">
        <f>CHOOSE(MATCH(Y91,{0;11;80;111;161;191;241;281;341},1),"North","NorthEast","East","SouthEast","South","SouthWest","West","NorthWest","North")</f>
        <v>SouthEast</v>
      </c>
      <c r="AA91" s="4">
        <f>CHOOSE(MATCH(Z91,{"South";"SouthEast";"SouthWest";"North";"NorthEast";"East";"West";"NorthWest"},0),1,2,3,4,5,6,7,8)</f>
        <v>2</v>
      </c>
      <c r="AB91" s="2">
        <f t="shared" si="16"/>
        <v>0</v>
      </c>
      <c r="AC91">
        <v>1018.1</v>
      </c>
      <c r="AD91" t="s">
        <v>191</v>
      </c>
      <c r="AE91" s="2">
        <f t="shared" si="17"/>
        <v>1</v>
      </c>
      <c r="AF91" t="s">
        <v>192</v>
      </c>
      <c r="AG91" s="2">
        <f t="shared" si="18"/>
        <v>10</v>
      </c>
      <c r="AH91" s="2">
        <f t="shared" si="19"/>
        <v>0</v>
      </c>
      <c r="AI91" s="3">
        <v>261.00000000209548</v>
      </c>
      <c r="AJ91" s="2">
        <v>0</v>
      </c>
      <c r="AK91">
        <v>0</v>
      </c>
      <c r="AL91">
        <v>5</v>
      </c>
      <c r="AM91">
        <v>0</v>
      </c>
      <c r="AN91" s="2">
        <f>IF((2*G91+M91-O91+3*V91+2*AB91+2*AE91+2*AH91+3*AJ91)&gt;=7,1,0)</f>
        <v>0</v>
      </c>
    </row>
    <row r="92" spans="1:40" x14ac:dyDescent="0.25">
      <c r="A92" t="s">
        <v>27</v>
      </c>
      <c r="B92" s="1">
        <v>36830</v>
      </c>
      <c r="C92" s="6">
        <f t="shared" si="10"/>
        <v>2000</v>
      </c>
      <c r="D92">
        <v>69.900000000000006</v>
      </c>
      <c r="E92">
        <v>55.5</v>
      </c>
      <c r="F92">
        <v>62</v>
      </c>
      <c r="G92" s="2">
        <f t="shared" si="11"/>
        <v>0</v>
      </c>
      <c r="H92">
        <v>69.900000000000006</v>
      </c>
      <c r="I92">
        <v>55.5</v>
      </c>
      <c r="J92">
        <v>62</v>
      </c>
      <c r="K92">
        <v>52.7</v>
      </c>
      <c r="L92">
        <v>72.3</v>
      </c>
      <c r="M92" s="2">
        <f t="shared" si="12"/>
        <v>0</v>
      </c>
      <c r="N92">
        <v>0</v>
      </c>
      <c r="O92" s="2">
        <f t="shared" si="13"/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s="2">
        <f t="shared" si="14"/>
        <v>0</v>
      </c>
      <c r="W92">
        <v>9.1999999999999993</v>
      </c>
      <c r="X92" s="2">
        <f t="shared" si="15"/>
        <v>0</v>
      </c>
      <c r="Y92">
        <v>141.80000000000001</v>
      </c>
      <c r="Z92" s="2" t="str">
        <f>CHOOSE(MATCH(Y92,{0;11;80;111;161;191;241;281;341},1),"North","NorthEast","East","SouthEast","South","SouthWest","West","NorthWest","North")</f>
        <v>SouthEast</v>
      </c>
      <c r="AA92" s="4">
        <f>CHOOSE(MATCH(Z92,{"South";"SouthEast";"SouthWest";"North";"NorthEast";"East";"West";"NorthWest"},0),1,2,3,4,5,6,7,8)</f>
        <v>2</v>
      </c>
      <c r="AB92" s="2">
        <f t="shared" si="16"/>
        <v>0</v>
      </c>
      <c r="AC92">
        <v>1020.5</v>
      </c>
      <c r="AD92" t="s">
        <v>193</v>
      </c>
      <c r="AE92" s="2">
        <f t="shared" si="17"/>
        <v>1</v>
      </c>
      <c r="AF92" t="s">
        <v>194</v>
      </c>
      <c r="AG92" s="2">
        <f t="shared" si="18"/>
        <v>10</v>
      </c>
      <c r="AH92" s="2">
        <f t="shared" si="19"/>
        <v>0</v>
      </c>
      <c r="AI92" s="3">
        <v>865.9999999939464</v>
      </c>
      <c r="AJ92" s="2">
        <v>1</v>
      </c>
      <c r="AK92">
        <v>0</v>
      </c>
      <c r="AL92">
        <v>10</v>
      </c>
      <c r="AM92">
        <v>0</v>
      </c>
      <c r="AN92" s="2">
        <f>IF((2*G92+M92-O92+3*V92+2*AB92+2*AE92+2*AH92+3*AJ92)&gt;=7,1,0)</f>
        <v>0</v>
      </c>
    </row>
    <row r="93" spans="1:40" x14ac:dyDescent="0.25">
      <c r="A93" t="s">
        <v>27</v>
      </c>
      <c r="B93" s="1">
        <v>36835</v>
      </c>
      <c r="C93" s="6">
        <f t="shared" si="10"/>
        <v>2000</v>
      </c>
      <c r="D93">
        <v>75.3</v>
      </c>
      <c r="E93">
        <v>60.9</v>
      </c>
      <c r="F93">
        <v>67.599999999999994</v>
      </c>
      <c r="G93" s="2">
        <f t="shared" si="11"/>
        <v>0</v>
      </c>
      <c r="H93">
        <v>75.3</v>
      </c>
      <c r="I93">
        <v>60.9</v>
      </c>
      <c r="J93">
        <v>67.599999999999994</v>
      </c>
      <c r="K93">
        <v>54.5</v>
      </c>
      <c r="L93">
        <v>63.5</v>
      </c>
      <c r="M93" s="2">
        <f t="shared" si="12"/>
        <v>1</v>
      </c>
      <c r="N93">
        <v>0</v>
      </c>
      <c r="O93" s="2">
        <f t="shared" si="13"/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s="2">
        <f t="shared" si="14"/>
        <v>0</v>
      </c>
      <c r="W93">
        <v>9.1999999999999993</v>
      </c>
      <c r="X93" s="2">
        <f t="shared" si="15"/>
        <v>0</v>
      </c>
      <c r="Y93">
        <v>155.1</v>
      </c>
      <c r="Z93" s="2" t="str">
        <f>CHOOSE(MATCH(Y93,{0;11;80;111;161;191;241;281;341},1),"North","NorthEast","East","SouthEast","South","SouthWest","West","NorthWest","North")</f>
        <v>SouthEast</v>
      </c>
      <c r="AA93" s="4">
        <f>CHOOSE(MATCH(Z93,{"South";"SouthEast";"SouthWest";"North";"NorthEast";"East";"West";"NorthWest"},0),1,2,3,4,5,6,7,8)</f>
        <v>2</v>
      </c>
      <c r="AB93" s="2">
        <f t="shared" si="16"/>
        <v>0</v>
      </c>
      <c r="AC93">
        <v>1019.9</v>
      </c>
      <c r="AD93" t="s">
        <v>195</v>
      </c>
      <c r="AE93" s="2">
        <f t="shared" si="17"/>
        <v>1</v>
      </c>
      <c r="AF93" t="s">
        <v>196</v>
      </c>
      <c r="AG93" s="2">
        <f t="shared" si="18"/>
        <v>11</v>
      </c>
      <c r="AH93" s="2">
        <f t="shared" si="19"/>
        <v>0</v>
      </c>
      <c r="AI93" s="3">
        <v>621.00000000209548</v>
      </c>
      <c r="AJ93" s="2">
        <v>1</v>
      </c>
      <c r="AK93">
        <v>0</v>
      </c>
      <c r="AL93">
        <v>25</v>
      </c>
      <c r="AM93">
        <v>0</v>
      </c>
      <c r="AN93" s="2">
        <f>IF((2*G93+M93-O93+3*V93+2*AB93+2*AE93+2*AH93+3*AJ93)&gt;=7,1,0)</f>
        <v>0</v>
      </c>
    </row>
    <row r="94" spans="1:40" x14ac:dyDescent="0.25">
      <c r="A94" t="s">
        <v>27</v>
      </c>
      <c r="B94" s="1">
        <v>36836</v>
      </c>
      <c r="C94" s="6">
        <f t="shared" si="10"/>
        <v>2000</v>
      </c>
      <c r="D94">
        <v>71.7</v>
      </c>
      <c r="E94">
        <v>60.9</v>
      </c>
      <c r="F94">
        <v>67.3</v>
      </c>
      <c r="G94" s="2">
        <f t="shared" si="11"/>
        <v>0</v>
      </c>
      <c r="H94">
        <v>71.7</v>
      </c>
      <c r="I94">
        <v>60.9</v>
      </c>
      <c r="J94">
        <v>67.3</v>
      </c>
      <c r="K94">
        <v>55.7</v>
      </c>
      <c r="L94">
        <v>68.2</v>
      </c>
      <c r="M94" s="2">
        <f t="shared" si="12"/>
        <v>0</v>
      </c>
      <c r="N94">
        <v>0</v>
      </c>
      <c r="O94" s="2">
        <f t="shared" si="13"/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s="2">
        <f t="shared" si="14"/>
        <v>0</v>
      </c>
      <c r="W94">
        <v>13.9</v>
      </c>
      <c r="X94" s="2">
        <f t="shared" si="15"/>
        <v>0</v>
      </c>
      <c r="Y94">
        <v>178.5</v>
      </c>
      <c r="Z94" s="2" t="str">
        <f>CHOOSE(MATCH(Y94,{0;11;80;111;161;191;241;281;341},1),"North","NorthEast","East","SouthEast","South","SouthWest","West","NorthWest","North")</f>
        <v>South</v>
      </c>
      <c r="AA94" s="4">
        <f>CHOOSE(MATCH(Z94,{"South";"SouthEast";"SouthWest";"North";"NorthEast";"East";"West";"NorthWest"},0),1,2,3,4,5,6,7,8)</f>
        <v>1</v>
      </c>
      <c r="AB94" s="2">
        <f t="shared" si="16"/>
        <v>0</v>
      </c>
      <c r="AC94">
        <v>1015.6</v>
      </c>
      <c r="AD94" t="s">
        <v>197</v>
      </c>
      <c r="AE94" s="2">
        <f t="shared" si="17"/>
        <v>1</v>
      </c>
      <c r="AF94" t="s">
        <v>198</v>
      </c>
      <c r="AG94" s="2">
        <f t="shared" si="18"/>
        <v>11</v>
      </c>
      <c r="AH94" s="2">
        <f t="shared" si="19"/>
        <v>0</v>
      </c>
      <c r="AI94" s="3">
        <v>135.99999999278231</v>
      </c>
      <c r="AJ94" s="2">
        <v>0</v>
      </c>
      <c r="AK94">
        <v>0</v>
      </c>
      <c r="AL94">
        <v>1</v>
      </c>
      <c r="AM94">
        <v>0</v>
      </c>
      <c r="AN94" s="2">
        <f>IF((2*G94+M94-O94+3*V94+2*AB94+2*AE94+2*AH94+3*AJ94)&gt;=7,1,0)</f>
        <v>0</v>
      </c>
    </row>
    <row r="95" spans="1:40" x14ac:dyDescent="0.25">
      <c r="A95" t="s">
        <v>27</v>
      </c>
      <c r="B95" s="1">
        <v>36837</v>
      </c>
      <c r="C95" s="6">
        <f t="shared" si="10"/>
        <v>2000</v>
      </c>
      <c r="D95">
        <v>77.099999999999994</v>
      </c>
      <c r="E95">
        <v>59.1</v>
      </c>
      <c r="F95">
        <v>66.900000000000006</v>
      </c>
      <c r="G95" s="2">
        <f t="shared" si="11"/>
        <v>0</v>
      </c>
      <c r="H95">
        <v>77.099999999999994</v>
      </c>
      <c r="I95">
        <v>59.1</v>
      </c>
      <c r="J95">
        <v>66.900000000000006</v>
      </c>
      <c r="K95">
        <v>49</v>
      </c>
      <c r="L95">
        <v>54.7</v>
      </c>
      <c r="M95" s="2">
        <f t="shared" si="12"/>
        <v>1</v>
      </c>
      <c r="N95">
        <v>0</v>
      </c>
      <c r="O95" s="2">
        <f t="shared" si="13"/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s="2">
        <f t="shared" si="14"/>
        <v>0</v>
      </c>
      <c r="W95">
        <v>13.9</v>
      </c>
      <c r="X95" s="2">
        <f t="shared" si="15"/>
        <v>0</v>
      </c>
      <c r="Y95">
        <v>155.1</v>
      </c>
      <c r="Z95" s="2" t="str">
        <f>CHOOSE(MATCH(Y95,{0;11;80;111;161;191;241;281;341},1),"North","NorthEast","East","SouthEast","South","SouthWest","West","NorthWest","North")</f>
        <v>SouthEast</v>
      </c>
      <c r="AA95" s="4">
        <f>CHOOSE(MATCH(Z95,{"South";"SouthEast";"SouthWest";"North";"NorthEast";"East";"West";"NorthWest"},0),1,2,3,4,5,6,7,8)</f>
        <v>2</v>
      </c>
      <c r="AB95" s="2">
        <f t="shared" si="16"/>
        <v>0</v>
      </c>
      <c r="AC95">
        <v>1014</v>
      </c>
      <c r="AD95" t="s">
        <v>173</v>
      </c>
      <c r="AE95" s="2">
        <f t="shared" si="17"/>
        <v>0</v>
      </c>
      <c r="AF95" t="s">
        <v>199</v>
      </c>
      <c r="AG95" s="2">
        <f t="shared" si="18"/>
        <v>11</v>
      </c>
      <c r="AH95" s="2">
        <f t="shared" si="19"/>
        <v>0</v>
      </c>
      <c r="AI95" s="3">
        <v>355.99999999743892</v>
      </c>
      <c r="AJ95" s="2">
        <v>0</v>
      </c>
      <c r="AK95">
        <v>0</v>
      </c>
      <c r="AL95">
        <v>10</v>
      </c>
      <c r="AM95">
        <v>0</v>
      </c>
      <c r="AN95" s="2">
        <f>IF((2*G95+M95-O95+3*V95+2*AB95+2*AE95+2*AH95+3*AJ95)&gt;=7,1,0)</f>
        <v>0</v>
      </c>
    </row>
    <row r="96" spans="1:40" x14ac:dyDescent="0.25">
      <c r="A96" t="s">
        <v>27</v>
      </c>
      <c r="B96" s="1">
        <v>36837</v>
      </c>
      <c r="C96" s="6">
        <f t="shared" si="10"/>
        <v>2000</v>
      </c>
      <c r="D96">
        <v>77.099999999999994</v>
      </c>
      <c r="E96">
        <v>59.1</v>
      </c>
      <c r="F96">
        <v>66.900000000000006</v>
      </c>
      <c r="G96" s="2">
        <f t="shared" si="11"/>
        <v>0</v>
      </c>
      <c r="H96">
        <v>77.099999999999994</v>
      </c>
      <c r="I96">
        <v>59.1</v>
      </c>
      <c r="J96">
        <v>66.900000000000006</v>
      </c>
      <c r="K96">
        <v>49</v>
      </c>
      <c r="L96">
        <v>54.7</v>
      </c>
      <c r="M96" s="2">
        <f t="shared" si="12"/>
        <v>1</v>
      </c>
      <c r="N96">
        <v>0</v>
      </c>
      <c r="O96" s="2">
        <f t="shared" si="13"/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s="2">
        <f t="shared" si="14"/>
        <v>0</v>
      </c>
      <c r="W96">
        <v>13.9</v>
      </c>
      <c r="X96" s="2">
        <f t="shared" si="15"/>
        <v>0</v>
      </c>
      <c r="Y96">
        <v>155.1</v>
      </c>
      <c r="Z96" s="2" t="str">
        <f>CHOOSE(MATCH(Y96,{0;11;80;111;161;191;241;281;341},1),"North","NorthEast","East","SouthEast","South","SouthWest","West","NorthWest","North")</f>
        <v>SouthEast</v>
      </c>
      <c r="AA96" s="4">
        <f>CHOOSE(MATCH(Z96,{"South";"SouthEast";"SouthWest";"North";"NorthEast";"East";"West";"NorthWest"},0),1,2,3,4,5,6,7,8)</f>
        <v>2</v>
      </c>
      <c r="AB96" s="2">
        <f t="shared" si="16"/>
        <v>0</v>
      </c>
      <c r="AC96">
        <v>1014</v>
      </c>
      <c r="AD96" t="s">
        <v>200</v>
      </c>
      <c r="AE96" s="2">
        <f t="shared" si="17"/>
        <v>1</v>
      </c>
      <c r="AF96" t="s">
        <v>201</v>
      </c>
      <c r="AG96" s="2">
        <f t="shared" si="18"/>
        <v>11</v>
      </c>
      <c r="AH96" s="2">
        <f t="shared" si="19"/>
        <v>0</v>
      </c>
      <c r="AI96" s="3">
        <v>41.000000007916242</v>
      </c>
      <c r="AJ96" s="2">
        <v>0</v>
      </c>
      <c r="AK96">
        <v>0.2</v>
      </c>
      <c r="AL96">
        <v>0</v>
      </c>
      <c r="AM96">
        <v>0</v>
      </c>
      <c r="AN96" s="2">
        <f>IF((2*G96+M96-O96+3*V96+2*AB96+2*AE96+2*AH96+3*AJ96)&gt;=7,1,0)</f>
        <v>0</v>
      </c>
    </row>
    <row r="97" spans="1:40" x14ac:dyDescent="0.25">
      <c r="A97" t="s">
        <v>27</v>
      </c>
      <c r="B97" s="1">
        <v>36837</v>
      </c>
      <c r="C97" s="6">
        <f t="shared" si="10"/>
        <v>2000</v>
      </c>
      <c r="D97">
        <v>77.099999999999994</v>
      </c>
      <c r="E97">
        <v>59.1</v>
      </c>
      <c r="F97">
        <v>66.900000000000006</v>
      </c>
      <c r="G97" s="2">
        <f t="shared" si="11"/>
        <v>0</v>
      </c>
      <c r="H97">
        <v>77.099999999999994</v>
      </c>
      <c r="I97">
        <v>59.1</v>
      </c>
      <c r="J97">
        <v>66.900000000000006</v>
      </c>
      <c r="K97">
        <v>49</v>
      </c>
      <c r="L97">
        <v>54.7</v>
      </c>
      <c r="M97" s="2">
        <f t="shared" si="12"/>
        <v>1</v>
      </c>
      <c r="N97">
        <v>0</v>
      </c>
      <c r="O97" s="2">
        <f t="shared" si="13"/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s="2">
        <f t="shared" si="14"/>
        <v>0</v>
      </c>
      <c r="W97">
        <v>13.9</v>
      </c>
      <c r="X97" s="2">
        <f t="shared" si="15"/>
        <v>0</v>
      </c>
      <c r="Y97">
        <v>155.1</v>
      </c>
      <c r="Z97" s="2" t="str">
        <f>CHOOSE(MATCH(Y97,{0;11;80;111;161;191;241;281;341},1),"North","NorthEast","East","SouthEast","South","SouthWest","West","NorthWest","North")</f>
        <v>SouthEast</v>
      </c>
      <c r="AA97" s="4">
        <f>CHOOSE(MATCH(Z97,{"South";"SouthEast";"SouthWest";"North";"NorthEast";"East";"West";"NorthWest"},0),1,2,3,4,5,6,7,8)</f>
        <v>2</v>
      </c>
      <c r="AB97" s="2">
        <f t="shared" si="16"/>
        <v>0</v>
      </c>
      <c r="AC97">
        <v>1014</v>
      </c>
      <c r="AD97" t="s">
        <v>34</v>
      </c>
      <c r="AE97" s="2">
        <f t="shared" si="17"/>
        <v>1</v>
      </c>
      <c r="AF97" t="s">
        <v>202</v>
      </c>
      <c r="AG97" s="2">
        <f t="shared" si="18"/>
        <v>11</v>
      </c>
      <c r="AH97" s="2">
        <f t="shared" si="19"/>
        <v>0</v>
      </c>
      <c r="AI97" s="3">
        <v>220.99999999743889</v>
      </c>
      <c r="AJ97" s="2">
        <v>0</v>
      </c>
      <c r="AK97">
        <v>0</v>
      </c>
      <c r="AL97">
        <v>1</v>
      </c>
      <c r="AM97">
        <v>0</v>
      </c>
      <c r="AN97" s="2">
        <f>IF((2*G97+M97-O97+3*V97+2*AB97+2*AE97+2*AH97+3*AJ97)&gt;=7,1,0)</f>
        <v>0</v>
      </c>
    </row>
    <row r="98" spans="1:40" x14ac:dyDescent="0.25">
      <c r="A98" t="s">
        <v>27</v>
      </c>
      <c r="B98" s="1">
        <v>36837</v>
      </c>
      <c r="C98" s="6">
        <f t="shared" si="10"/>
        <v>2000</v>
      </c>
      <c r="D98">
        <v>77.099999999999994</v>
      </c>
      <c r="E98">
        <v>59.1</v>
      </c>
      <c r="F98">
        <v>66.900000000000006</v>
      </c>
      <c r="G98" s="2">
        <f t="shared" si="11"/>
        <v>0</v>
      </c>
      <c r="H98">
        <v>77.099999999999994</v>
      </c>
      <c r="I98">
        <v>59.1</v>
      </c>
      <c r="J98">
        <v>66.900000000000006</v>
      </c>
      <c r="K98">
        <v>49</v>
      </c>
      <c r="L98">
        <v>54.7</v>
      </c>
      <c r="M98" s="2">
        <f t="shared" si="12"/>
        <v>1</v>
      </c>
      <c r="N98">
        <v>0</v>
      </c>
      <c r="O98" s="2">
        <f t="shared" si="13"/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s="2">
        <f t="shared" si="14"/>
        <v>0</v>
      </c>
      <c r="W98">
        <v>13.9</v>
      </c>
      <c r="X98" s="2">
        <f t="shared" si="15"/>
        <v>0</v>
      </c>
      <c r="Y98">
        <v>155.1</v>
      </c>
      <c r="Z98" s="2" t="str">
        <f>CHOOSE(MATCH(Y98,{0;11;80;111;161;191;241;281;341},1),"North","NorthEast","East","SouthEast","South","SouthWest","West","NorthWest","North")</f>
        <v>SouthEast</v>
      </c>
      <c r="AA98" s="4">
        <f>CHOOSE(MATCH(Z98,{"South";"SouthEast";"SouthWest";"North";"NorthEast";"East";"West";"NorthWest"},0),1,2,3,4,5,6,7,8)</f>
        <v>2</v>
      </c>
      <c r="AB98" s="2">
        <f t="shared" si="16"/>
        <v>0</v>
      </c>
      <c r="AC98">
        <v>1014</v>
      </c>
      <c r="AD98" t="s">
        <v>203</v>
      </c>
      <c r="AE98" s="2">
        <f t="shared" si="17"/>
        <v>1</v>
      </c>
      <c r="AF98" t="s">
        <v>204</v>
      </c>
      <c r="AG98" s="2">
        <f t="shared" si="18"/>
        <v>11</v>
      </c>
      <c r="AH98" s="2">
        <f t="shared" si="19"/>
        <v>0</v>
      </c>
      <c r="AI98" s="3">
        <v>50.999999998603023</v>
      </c>
      <c r="AJ98" s="2">
        <v>0</v>
      </c>
      <c r="AK98">
        <v>1</v>
      </c>
      <c r="AL98">
        <v>0</v>
      </c>
      <c r="AM98">
        <v>0</v>
      </c>
      <c r="AN98" s="2">
        <f>IF((2*G98+M98-O98+3*V98+2*AB98+2*AE98+2*AH98+3*AJ98)&gt;=7,1,0)</f>
        <v>0</v>
      </c>
    </row>
    <row r="99" spans="1:40" x14ac:dyDescent="0.25">
      <c r="A99" t="s">
        <v>27</v>
      </c>
      <c r="B99" s="1">
        <v>36840</v>
      </c>
      <c r="C99" s="6">
        <f t="shared" si="10"/>
        <v>2000</v>
      </c>
      <c r="D99">
        <v>77.099999999999994</v>
      </c>
      <c r="E99">
        <v>57.3</v>
      </c>
      <c r="F99">
        <v>66.599999999999994</v>
      </c>
      <c r="G99" s="2">
        <f t="shared" si="11"/>
        <v>0</v>
      </c>
      <c r="H99">
        <v>77.099999999999994</v>
      </c>
      <c r="I99">
        <v>57.3</v>
      </c>
      <c r="J99">
        <v>66.599999999999994</v>
      </c>
      <c r="K99">
        <v>39.6</v>
      </c>
      <c r="L99">
        <v>37.4</v>
      </c>
      <c r="M99" s="2">
        <f t="shared" si="12"/>
        <v>1</v>
      </c>
      <c r="N99">
        <v>0</v>
      </c>
      <c r="O99" s="2">
        <f t="shared" si="13"/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s="2">
        <f t="shared" si="14"/>
        <v>0</v>
      </c>
      <c r="W99">
        <v>9.1999999999999993</v>
      </c>
      <c r="X99" s="2">
        <f t="shared" si="15"/>
        <v>0</v>
      </c>
      <c r="Y99">
        <v>171.7</v>
      </c>
      <c r="Z99" s="2" t="str">
        <f>CHOOSE(MATCH(Y99,{0;11;80;111;161;191;241;281;341},1),"North","NorthEast","East","SouthEast","South","SouthWest","West","NorthWest","North")</f>
        <v>South</v>
      </c>
      <c r="AA99" s="4">
        <f>CHOOSE(MATCH(Z99,{"South";"SouthEast";"SouthWest";"North";"NorthEast";"East";"West";"NorthWest"},0),1,2,3,4,5,6,7,8)</f>
        <v>1</v>
      </c>
      <c r="AB99" s="2">
        <f t="shared" si="16"/>
        <v>0</v>
      </c>
      <c r="AC99">
        <v>1021.8</v>
      </c>
      <c r="AD99" t="s">
        <v>205</v>
      </c>
      <c r="AE99" s="2">
        <f t="shared" si="17"/>
        <v>1</v>
      </c>
      <c r="AF99" t="s">
        <v>206</v>
      </c>
      <c r="AG99" s="2">
        <f t="shared" si="18"/>
        <v>11</v>
      </c>
      <c r="AH99" s="2">
        <f t="shared" si="19"/>
        <v>0</v>
      </c>
      <c r="AI99" s="3">
        <v>281.00000000442378</v>
      </c>
      <c r="AJ99" s="2">
        <v>0</v>
      </c>
      <c r="AK99">
        <v>5</v>
      </c>
      <c r="AL99">
        <v>0</v>
      </c>
      <c r="AM99">
        <v>0</v>
      </c>
      <c r="AN99" s="2">
        <f>IF((2*G99+M99-O99+3*V99+2*AB99+2*AE99+2*AH99+3*AJ99)&gt;=7,1,0)</f>
        <v>0</v>
      </c>
    </row>
    <row r="100" spans="1:40" x14ac:dyDescent="0.25">
      <c r="A100" t="s">
        <v>27</v>
      </c>
      <c r="B100" s="1">
        <v>36840</v>
      </c>
      <c r="C100" s="6">
        <f t="shared" si="10"/>
        <v>2000</v>
      </c>
      <c r="D100">
        <v>77.099999999999994</v>
      </c>
      <c r="E100">
        <v>57.3</v>
      </c>
      <c r="F100">
        <v>66.599999999999994</v>
      </c>
      <c r="G100" s="2">
        <f t="shared" si="11"/>
        <v>0</v>
      </c>
      <c r="H100">
        <v>77.099999999999994</v>
      </c>
      <c r="I100">
        <v>57.3</v>
      </c>
      <c r="J100">
        <v>66.599999999999994</v>
      </c>
      <c r="K100">
        <v>39.6</v>
      </c>
      <c r="L100">
        <v>37.4</v>
      </c>
      <c r="M100" s="2">
        <f t="shared" si="12"/>
        <v>1</v>
      </c>
      <c r="N100">
        <v>0</v>
      </c>
      <c r="O100" s="2">
        <f t="shared" si="13"/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s="2">
        <f t="shared" si="14"/>
        <v>0</v>
      </c>
      <c r="W100">
        <v>9.1999999999999993</v>
      </c>
      <c r="X100" s="2">
        <f t="shared" si="15"/>
        <v>0</v>
      </c>
      <c r="Y100">
        <v>171.7</v>
      </c>
      <c r="Z100" s="2" t="str">
        <f>CHOOSE(MATCH(Y100,{0;11;80;111;161;191;241;281;341},1),"North","NorthEast","East","SouthEast","South","SouthWest","West","NorthWest","North")</f>
        <v>South</v>
      </c>
      <c r="AA100" s="4">
        <f>CHOOSE(MATCH(Z100,{"South";"SouthEast";"SouthWest";"North";"NorthEast";"East";"West";"NorthWest"},0),1,2,3,4,5,6,7,8)</f>
        <v>1</v>
      </c>
      <c r="AB100" s="2">
        <f t="shared" si="16"/>
        <v>0</v>
      </c>
      <c r="AC100">
        <v>1021.8</v>
      </c>
      <c r="AD100" t="s">
        <v>207</v>
      </c>
      <c r="AE100" s="2">
        <f t="shared" si="17"/>
        <v>1</v>
      </c>
      <c r="AF100" t="s">
        <v>208</v>
      </c>
      <c r="AG100" s="2">
        <f t="shared" si="18"/>
        <v>11</v>
      </c>
      <c r="AH100" s="2">
        <f t="shared" si="19"/>
        <v>0</v>
      </c>
      <c r="AI100" s="3">
        <v>1180.9999999939459</v>
      </c>
      <c r="AJ100" s="2">
        <v>1</v>
      </c>
      <c r="AK100">
        <v>0</v>
      </c>
      <c r="AL100">
        <v>12</v>
      </c>
      <c r="AM100">
        <v>0</v>
      </c>
      <c r="AN100" s="2">
        <f>IF((2*G100+M100-O100+3*V100+2*AB100+2*AE100+2*AH100+3*AJ100)&gt;=7,1,0)</f>
        <v>0</v>
      </c>
    </row>
    <row r="101" spans="1:40" x14ac:dyDescent="0.25">
      <c r="A101" t="s">
        <v>27</v>
      </c>
      <c r="B101" s="1">
        <v>36840</v>
      </c>
      <c r="C101" s="6">
        <f t="shared" si="10"/>
        <v>2000</v>
      </c>
      <c r="D101">
        <v>77.099999999999994</v>
      </c>
      <c r="E101">
        <v>57.3</v>
      </c>
      <c r="F101">
        <v>66.599999999999994</v>
      </c>
      <c r="G101" s="2">
        <f t="shared" si="11"/>
        <v>0</v>
      </c>
      <c r="H101">
        <v>77.099999999999994</v>
      </c>
      <c r="I101">
        <v>57.3</v>
      </c>
      <c r="J101">
        <v>66.599999999999994</v>
      </c>
      <c r="K101">
        <v>39.6</v>
      </c>
      <c r="L101">
        <v>37.4</v>
      </c>
      <c r="M101" s="2">
        <f t="shared" si="12"/>
        <v>1</v>
      </c>
      <c r="N101">
        <v>0</v>
      </c>
      <c r="O101" s="2">
        <f t="shared" si="13"/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s="2">
        <f t="shared" si="14"/>
        <v>0</v>
      </c>
      <c r="W101">
        <v>9.1999999999999993</v>
      </c>
      <c r="X101" s="2">
        <f t="shared" si="15"/>
        <v>0</v>
      </c>
      <c r="Y101">
        <v>171.7</v>
      </c>
      <c r="Z101" s="2" t="str">
        <f>CHOOSE(MATCH(Y101,{0;11;80;111;161;191;241;281;341},1),"North","NorthEast","East","SouthEast","South","SouthWest","West","NorthWest","North")</f>
        <v>South</v>
      </c>
      <c r="AA101" s="4">
        <f>CHOOSE(MATCH(Z101,{"South";"SouthEast";"SouthWest";"North";"NorthEast";"East";"West";"NorthWest"},0),1,2,3,4,5,6,7,8)</f>
        <v>1</v>
      </c>
      <c r="AB101" s="2">
        <f t="shared" si="16"/>
        <v>0</v>
      </c>
      <c r="AC101">
        <v>1021.8</v>
      </c>
      <c r="AD101" t="s">
        <v>209</v>
      </c>
      <c r="AE101" s="2">
        <f t="shared" si="17"/>
        <v>0</v>
      </c>
      <c r="AF101" t="s">
        <v>210</v>
      </c>
      <c r="AG101" s="2">
        <f t="shared" si="18"/>
        <v>11</v>
      </c>
      <c r="AH101" s="2">
        <f t="shared" si="19"/>
        <v>0</v>
      </c>
      <c r="AI101" s="3">
        <v>80.999999991618097</v>
      </c>
      <c r="AJ101" s="2">
        <v>0</v>
      </c>
      <c r="AK101">
        <v>0</v>
      </c>
      <c r="AL101">
        <v>2</v>
      </c>
      <c r="AM101">
        <v>0</v>
      </c>
      <c r="AN101" s="2">
        <f>IF((2*G101+M101-O101+3*V101+2*AB101+2*AE101+2*AH101+3*AJ101)&gt;=7,1,0)</f>
        <v>0</v>
      </c>
    </row>
    <row r="102" spans="1:40" x14ac:dyDescent="0.25">
      <c r="A102" t="s">
        <v>27</v>
      </c>
      <c r="B102" s="1">
        <v>36840</v>
      </c>
      <c r="C102" s="6">
        <f t="shared" si="10"/>
        <v>2000</v>
      </c>
      <c r="D102">
        <v>77.099999999999994</v>
      </c>
      <c r="E102">
        <v>57.3</v>
      </c>
      <c r="F102">
        <v>66.599999999999994</v>
      </c>
      <c r="G102" s="2">
        <f t="shared" si="11"/>
        <v>0</v>
      </c>
      <c r="H102">
        <v>77.099999999999994</v>
      </c>
      <c r="I102">
        <v>57.3</v>
      </c>
      <c r="J102">
        <v>66.599999999999994</v>
      </c>
      <c r="K102">
        <v>39.6</v>
      </c>
      <c r="L102">
        <v>37.4</v>
      </c>
      <c r="M102" s="2">
        <f t="shared" si="12"/>
        <v>1</v>
      </c>
      <c r="N102">
        <v>0</v>
      </c>
      <c r="O102" s="2">
        <f t="shared" si="13"/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s="2">
        <f t="shared" si="14"/>
        <v>0</v>
      </c>
      <c r="W102">
        <v>9.1999999999999993</v>
      </c>
      <c r="X102" s="2">
        <f t="shared" si="15"/>
        <v>0</v>
      </c>
      <c r="Y102">
        <v>171.7</v>
      </c>
      <c r="Z102" s="2" t="str">
        <f>CHOOSE(MATCH(Y102,{0;11;80;111;161;191;241;281;341},1),"North","NorthEast","East","SouthEast","South","SouthWest","West","NorthWest","North")</f>
        <v>South</v>
      </c>
      <c r="AA102" s="4">
        <f>CHOOSE(MATCH(Z102,{"South";"SouthEast";"SouthWest";"North";"NorthEast";"East";"West";"NorthWest"},0),1,2,3,4,5,6,7,8)</f>
        <v>1</v>
      </c>
      <c r="AB102" s="2">
        <f t="shared" si="16"/>
        <v>0</v>
      </c>
      <c r="AC102">
        <v>1021.8</v>
      </c>
      <c r="AD102" t="s">
        <v>211</v>
      </c>
      <c r="AE102" s="2">
        <f t="shared" si="17"/>
        <v>1</v>
      </c>
      <c r="AF102" t="s">
        <v>212</v>
      </c>
      <c r="AG102" s="2">
        <f t="shared" si="18"/>
        <v>11</v>
      </c>
      <c r="AH102" s="2">
        <f t="shared" si="19"/>
        <v>0</v>
      </c>
      <c r="AI102" s="3">
        <v>221.00000000791621</v>
      </c>
      <c r="AJ102" s="2">
        <v>0</v>
      </c>
      <c r="AK102">
        <v>0</v>
      </c>
      <c r="AL102">
        <v>3</v>
      </c>
      <c r="AM102">
        <v>0</v>
      </c>
      <c r="AN102" s="2">
        <f>IF((2*G102+M102-O102+3*V102+2*AB102+2*AE102+2*AH102+3*AJ102)&gt;=7,1,0)</f>
        <v>0</v>
      </c>
    </row>
    <row r="103" spans="1:40" x14ac:dyDescent="0.25">
      <c r="A103" t="s">
        <v>27</v>
      </c>
      <c r="B103" s="1">
        <v>36840</v>
      </c>
      <c r="C103" s="6">
        <f t="shared" si="10"/>
        <v>2000</v>
      </c>
      <c r="D103">
        <v>77.099999999999994</v>
      </c>
      <c r="E103">
        <v>57.3</v>
      </c>
      <c r="F103">
        <v>66.599999999999994</v>
      </c>
      <c r="G103" s="2">
        <f t="shared" si="11"/>
        <v>0</v>
      </c>
      <c r="H103">
        <v>77.099999999999994</v>
      </c>
      <c r="I103">
        <v>57.3</v>
      </c>
      <c r="J103">
        <v>66.599999999999994</v>
      </c>
      <c r="K103">
        <v>39.6</v>
      </c>
      <c r="L103">
        <v>37.4</v>
      </c>
      <c r="M103" s="2">
        <f t="shared" si="12"/>
        <v>1</v>
      </c>
      <c r="N103">
        <v>0</v>
      </c>
      <c r="O103" s="2">
        <f t="shared" si="13"/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s="2">
        <f t="shared" si="14"/>
        <v>0</v>
      </c>
      <c r="W103">
        <v>9.1999999999999993</v>
      </c>
      <c r="X103" s="2">
        <f t="shared" si="15"/>
        <v>0</v>
      </c>
      <c r="Y103">
        <v>171.7</v>
      </c>
      <c r="Z103" s="2" t="str">
        <f>CHOOSE(MATCH(Y103,{0;11;80;111;161;191;241;281;341},1),"North","NorthEast","East","SouthEast","South","SouthWest","West","NorthWest","North")</f>
        <v>South</v>
      </c>
      <c r="AA103" s="4">
        <f>CHOOSE(MATCH(Z103,{"South";"SouthEast";"SouthWest";"North";"NorthEast";"East";"West";"NorthWest"},0),1,2,3,4,5,6,7,8)</f>
        <v>1</v>
      </c>
      <c r="AB103" s="2">
        <f t="shared" si="16"/>
        <v>0</v>
      </c>
      <c r="AC103">
        <v>1021.8</v>
      </c>
      <c r="AD103" t="s">
        <v>213</v>
      </c>
      <c r="AE103" s="2">
        <f t="shared" si="17"/>
        <v>1</v>
      </c>
      <c r="AF103" t="s">
        <v>214</v>
      </c>
      <c r="AG103" s="2">
        <f t="shared" si="18"/>
        <v>11</v>
      </c>
      <c r="AH103" s="2">
        <f t="shared" si="19"/>
        <v>0</v>
      </c>
      <c r="AI103" s="3">
        <v>120.9999999962747</v>
      </c>
      <c r="AJ103" s="2">
        <v>0</v>
      </c>
      <c r="AK103">
        <v>0</v>
      </c>
      <c r="AL103">
        <v>2</v>
      </c>
      <c r="AM103">
        <v>0</v>
      </c>
      <c r="AN103" s="2">
        <f>IF((2*G103+M103-O103+3*V103+2*AB103+2*AE103+2*AH103+3*AJ103)&gt;=7,1,0)</f>
        <v>0</v>
      </c>
    </row>
    <row r="104" spans="1:40" x14ac:dyDescent="0.25">
      <c r="A104" t="s">
        <v>27</v>
      </c>
      <c r="B104" s="1">
        <v>36840</v>
      </c>
      <c r="C104" s="6">
        <f t="shared" si="10"/>
        <v>2000</v>
      </c>
      <c r="D104">
        <v>77.099999999999994</v>
      </c>
      <c r="E104">
        <v>57.3</v>
      </c>
      <c r="F104">
        <v>66.599999999999994</v>
      </c>
      <c r="G104" s="2">
        <f t="shared" si="11"/>
        <v>0</v>
      </c>
      <c r="H104">
        <v>77.099999999999994</v>
      </c>
      <c r="I104">
        <v>57.3</v>
      </c>
      <c r="J104">
        <v>66.599999999999994</v>
      </c>
      <c r="K104">
        <v>39.6</v>
      </c>
      <c r="L104">
        <v>37.4</v>
      </c>
      <c r="M104" s="2">
        <f t="shared" si="12"/>
        <v>1</v>
      </c>
      <c r="N104">
        <v>0</v>
      </c>
      <c r="O104" s="2">
        <f t="shared" si="13"/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s="2">
        <f t="shared" si="14"/>
        <v>0</v>
      </c>
      <c r="W104">
        <v>9.1999999999999993</v>
      </c>
      <c r="X104" s="2">
        <f t="shared" si="15"/>
        <v>0</v>
      </c>
      <c r="Y104">
        <v>171.7</v>
      </c>
      <c r="Z104" s="2" t="str">
        <f>CHOOSE(MATCH(Y104,{0;11;80;111;161;191;241;281;341},1),"North","NorthEast","East","SouthEast","South","SouthWest","West","NorthWest","North")</f>
        <v>South</v>
      </c>
      <c r="AA104" s="4">
        <f>CHOOSE(MATCH(Z104,{"South";"SouthEast";"SouthWest";"North";"NorthEast";"East";"West";"NorthWest"},0),1,2,3,4,5,6,7,8)</f>
        <v>1</v>
      </c>
      <c r="AB104" s="2">
        <f t="shared" si="16"/>
        <v>0</v>
      </c>
      <c r="AC104">
        <v>1021.8</v>
      </c>
      <c r="AD104" t="s">
        <v>215</v>
      </c>
      <c r="AE104" s="2">
        <f t="shared" si="17"/>
        <v>1</v>
      </c>
      <c r="AF104" t="s">
        <v>216</v>
      </c>
      <c r="AG104" s="2">
        <f t="shared" si="18"/>
        <v>11</v>
      </c>
      <c r="AH104" s="2">
        <f t="shared" si="19"/>
        <v>0</v>
      </c>
      <c r="AI104" s="3">
        <v>221.00000000791621</v>
      </c>
      <c r="AJ104" s="2">
        <v>0</v>
      </c>
      <c r="AK104">
        <v>0</v>
      </c>
      <c r="AL104">
        <v>4</v>
      </c>
      <c r="AM104">
        <v>0</v>
      </c>
      <c r="AN104" s="2">
        <f>IF((2*G104+M104-O104+3*V104+2*AB104+2*AE104+2*AH104+3*AJ104)&gt;=7,1,0)</f>
        <v>0</v>
      </c>
    </row>
    <row r="105" spans="1:40" x14ac:dyDescent="0.25">
      <c r="A105" t="s">
        <v>27</v>
      </c>
      <c r="B105" s="1">
        <v>36841</v>
      </c>
      <c r="C105" s="6">
        <f t="shared" si="10"/>
        <v>2000</v>
      </c>
      <c r="D105">
        <v>77.099999999999994</v>
      </c>
      <c r="E105">
        <v>59.1</v>
      </c>
      <c r="F105">
        <v>66.5</v>
      </c>
      <c r="G105" s="2">
        <f t="shared" si="11"/>
        <v>0</v>
      </c>
      <c r="H105">
        <v>77.099999999999994</v>
      </c>
      <c r="I105">
        <v>59.1</v>
      </c>
      <c r="J105">
        <v>66.5</v>
      </c>
      <c r="K105">
        <v>40.700000000000003</v>
      </c>
      <c r="L105">
        <v>41</v>
      </c>
      <c r="M105" s="2">
        <f t="shared" si="12"/>
        <v>1</v>
      </c>
      <c r="N105">
        <v>0</v>
      </c>
      <c r="O105" s="2">
        <f t="shared" si="13"/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s="2">
        <f t="shared" si="14"/>
        <v>0</v>
      </c>
      <c r="W105">
        <v>10.3</v>
      </c>
      <c r="X105" s="2">
        <f t="shared" si="15"/>
        <v>0</v>
      </c>
      <c r="Y105">
        <v>160.80000000000001</v>
      </c>
      <c r="Z105" s="2" t="str">
        <f>CHOOSE(MATCH(Y105,{0;11;80;111;161;191;241;281;341},1),"North","NorthEast","East","SouthEast","South","SouthWest","West","NorthWest","North")</f>
        <v>SouthEast</v>
      </c>
      <c r="AA105" s="4">
        <f>CHOOSE(MATCH(Z105,{"South";"SouthEast";"SouthWest";"North";"NorthEast";"East";"West";"NorthWest"},0),1,2,3,4,5,6,7,8)</f>
        <v>2</v>
      </c>
      <c r="AB105" s="2">
        <f t="shared" si="16"/>
        <v>0</v>
      </c>
      <c r="AC105">
        <v>1021.6</v>
      </c>
      <c r="AD105" t="s">
        <v>217</v>
      </c>
      <c r="AE105" s="2">
        <f t="shared" si="17"/>
        <v>0</v>
      </c>
      <c r="AF105" t="s">
        <v>218</v>
      </c>
      <c r="AG105" s="2">
        <f t="shared" si="18"/>
        <v>11</v>
      </c>
      <c r="AH105" s="2">
        <f t="shared" si="19"/>
        <v>0</v>
      </c>
      <c r="AI105" s="3">
        <v>857.99999999930151</v>
      </c>
      <c r="AJ105" s="2">
        <v>1</v>
      </c>
      <c r="AK105">
        <v>0</v>
      </c>
      <c r="AL105">
        <v>6</v>
      </c>
      <c r="AM105">
        <v>0</v>
      </c>
      <c r="AN105" s="2">
        <f>IF((2*G105+M105-O105+3*V105+2*AB105+2*AE105+2*AH105+3*AJ105)&gt;=7,1,0)</f>
        <v>0</v>
      </c>
    </row>
    <row r="106" spans="1:40" x14ac:dyDescent="0.25">
      <c r="A106" t="s">
        <v>27</v>
      </c>
      <c r="B106" s="1">
        <v>36841</v>
      </c>
      <c r="C106" s="6">
        <f t="shared" si="10"/>
        <v>2000</v>
      </c>
      <c r="D106">
        <v>77.099999999999994</v>
      </c>
      <c r="E106">
        <v>59.1</v>
      </c>
      <c r="F106">
        <v>66.5</v>
      </c>
      <c r="G106" s="2">
        <f t="shared" si="11"/>
        <v>0</v>
      </c>
      <c r="H106">
        <v>77.099999999999994</v>
      </c>
      <c r="I106">
        <v>59.1</v>
      </c>
      <c r="J106">
        <v>66.5</v>
      </c>
      <c r="K106">
        <v>40.700000000000003</v>
      </c>
      <c r="L106">
        <v>41</v>
      </c>
      <c r="M106" s="2">
        <f t="shared" si="12"/>
        <v>1</v>
      </c>
      <c r="N106">
        <v>0</v>
      </c>
      <c r="O106" s="2">
        <f t="shared" si="13"/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s="2">
        <f t="shared" si="14"/>
        <v>0</v>
      </c>
      <c r="W106">
        <v>10.3</v>
      </c>
      <c r="X106" s="2">
        <f t="shared" si="15"/>
        <v>0</v>
      </c>
      <c r="Y106">
        <v>160.80000000000001</v>
      </c>
      <c r="Z106" s="2" t="str">
        <f>CHOOSE(MATCH(Y106,{0;11;80;111;161;191;241;281;341},1),"North","NorthEast","East","SouthEast","South","SouthWest","West","NorthWest","North")</f>
        <v>SouthEast</v>
      </c>
      <c r="AA106" s="4">
        <f>CHOOSE(MATCH(Z106,{"South";"SouthEast";"SouthWest";"North";"NorthEast";"East";"West";"NorthWest"},0),1,2,3,4,5,6,7,8)</f>
        <v>2</v>
      </c>
      <c r="AB106" s="2">
        <f t="shared" si="16"/>
        <v>0</v>
      </c>
      <c r="AC106">
        <v>1021.6</v>
      </c>
      <c r="AD106" t="s">
        <v>219</v>
      </c>
      <c r="AE106" s="2">
        <f t="shared" si="17"/>
        <v>0</v>
      </c>
      <c r="AF106" t="s">
        <v>220</v>
      </c>
      <c r="AG106" s="2">
        <f t="shared" si="18"/>
        <v>11</v>
      </c>
      <c r="AH106" s="2">
        <f t="shared" si="19"/>
        <v>0</v>
      </c>
      <c r="AI106" s="3">
        <v>71.000000000931323</v>
      </c>
      <c r="AJ106" s="2">
        <v>0</v>
      </c>
      <c r="AK106">
        <v>0</v>
      </c>
      <c r="AL106">
        <v>0.5</v>
      </c>
      <c r="AM106">
        <v>0</v>
      </c>
      <c r="AN106" s="2">
        <f>IF((2*G106+M106-O106+3*V106+2*AB106+2*AE106+2*AH106+3*AJ106)&gt;=7,1,0)</f>
        <v>0</v>
      </c>
    </row>
    <row r="107" spans="1:40" x14ac:dyDescent="0.25">
      <c r="A107" t="s">
        <v>27</v>
      </c>
      <c r="B107" s="1">
        <v>36841</v>
      </c>
      <c r="C107" s="6">
        <f t="shared" si="10"/>
        <v>2000</v>
      </c>
      <c r="D107">
        <v>77.099999999999994</v>
      </c>
      <c r="E107">
        <v>59.1</v>
      </c>
      <c r="F107">
        <v>66.5</v>
      </c>
      <c r="G107" s="2">
        <f t="shared" si="11"/>
        <v>0</v>
      </c>
      <c r="H107">
        <v>77.099999999999994</v>
      </c>
      <c r="I107">
        <v>59.1</v>
      </c>
      <c r="J107">
        <v>66.5</v>
      </c>
      <c r="K107">
        <v>40.700000000000003</v>
      </c>
      <c r="L107">
        <v>41</v>
      </c>
      <c r="M107" s="2">
        <f t="shared" si="12"/>
        <v>1</v>
      </c>
      <c r="N107">
        <v>0</v>
      </c>
      <c r="O107" s="2">
        <f t="shared" si="13"/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s="2">
        <f t="shared" si="14"/>
        <v>0</v>
      </c>
      <c r="W107">
        <v>10.3</v>
      </c>
      <c r="X107" s="2">
        <f t="shared" si="15"/>
        <v>0</v>
      </c>
      <c r="Y107">
        <v>160.80000000000001</v>
      </c>
      <c r="Z107" s="2" t="str">
        <f>CHOOSE(MATCH(Y107,{0;11;80;111;161;191;241;281;341},1),"North","NorthEast","East","SouthEast","South","SouthWest","West","NorthWest","North")</f>
        <v>SouthEast</v>
      </c>
      <c r="AA107" s="4">
        <f>CHOOSE(MATCH(Z107,{"South";"SouthEast";"SouthWest";"North";"NorthEast";"East";"West";"NorthWest"},0),1,2,3,4,5,6,7,8)</f>
        <v>2</v>
      </c>
      <c r="AB107" s="2">
        <f t="shared" si="16"/>
        <v>0</v>
      </c>
      <c r="AC107">
        <v>1021.6</v>
      </c>
      <c r="AD107" t="s">
        <v>221</v>
      </c>
      <c r="AE107" s="2">
        <f t="shared" si="17"/>
        <v>0</v>
      </c>
      <c r="AF107" t="s">
        <v>222</v>
      </c>
      <c r="AG107" s="2">
        <f t="shared" si="18"/>
        <v>11</v>
      </c>
      <c r="AH107" s="2">
        <f t="shared" si="19"/>
        <v>0</v>
      </c>
      <c r="AI107" s="3">
        <v>330.99999999976723</v>
      </c>
      <c r="AJ107" s="2">
        <v>0</v>
      </c>
      <c r="AK107">
        <v>0</v>
      </c>
      <c r="AL107">
        <v>15</v>
      </c>
      <c r="AM107">
        <v>0</v>
      </c>
      <c r="AN107" s="2">
        <f>IF((2*G107+M107-O107+3*V107+2*AB107+2*AE107+2*AH107+3*AJ107)&gt;=7,1,0)</f>
        <v>0</v>
      </c>
    </row>
    <row r="108" spans="1:40" x14ac:dyDescent="0.25">
      <c r="A108" t="s">
        <v>27</v>
      </c>
      <c r="B108" s="1">
        <v>36842</v>
      </c>
      <c r="C108" s="6">
        <f t="shared" si="10"/>
        <v>2000</v>
      </c>
      <c r="D108">
        <v>69.900000000000006</v>
      </c>
      <c r="E108">
        <v>57.3</v>
      </c>
      <c r="F108">
        <v>64.400000000000006</v>
      </c>
      <c r="G108" s="2">
        <f t="shared" si="11"/>
        <v>0</v>
      </c>
      <c r="H108">
        <v>69.900000000000006</v>
      </c>
      <c r="I108">
        <v>57.3</v>
      </c>
      <c r="J108">
        <v>64.400000000000006</v>
      </c>
      <c r="K108">
        <v>56.5</v>
      </c>
      <c r="L108">
        <v>76.099999999999994</v>
      </c>
      <c r="M108" s="2">
        <f t="shared" si="12"/>
        <v>0</v>
      </c>
      <c r="N108">
        <v>0</v>
      </c>
      <c r="O108" s="2">
        <f t="shared" si="13"/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s="2">
        <f t="shared" si="14"/>
        <v>0</v>
      </c>
      <c r="W108">
        <v>11.4</v>
      </c>
      <c r="X108" s="2">
        <f t="shared" si="15"/>
        <v>0</v>
      </c>
      <c r="Y108">
        <v>297</v>
      </c>
      <c r="Z108" s="2" t="str">
        <f>CHOOSE(MATCH(Y108,{0;11;80;111;161;191;241;281;341},1),"North","NorthEast","East","SouthEast","South","SouthWest","West","NorthWest","North")</f>
        <v>NorthWest</v>
      </c>
      <c r="AA108" s="4">
        <f>CHOOSE(MATCH(Z108,{"South";"SouthEast";"SouthWest";"North";"NorthEast";"East";"West";"NorthWest"},0),1,2,3,4,5,6,7,8)</f>
        <v>8</v>
      </c>
      <c r="AB108" s="2">
        <f t="shared" si="16"/>
        <v>1</v>
      </c>
      <c r="AC108">
        <v>1021.6</v>
      </c>
      <c r="AD108" t="s">
        <v>223</v>
      </c>
      <c r="AE108" s="2">
        <f t="shared" si="17"/>
        <v>0</v>
      </c>
      <c r="AF108" t="s">
        <v>224</v>
      </c>
      <c r="AG108" s="2">
        <f t="shared" si="18"/>
        <v>11</v>
      </c>
      <c r="AH108" s="2">
        <f t="shared" si="19"/>
        <v>0</v>
      </c>
      <c r="AI108" s="3">
        <v>394.0000000060536</v>
      </c>
      <c r="AJ108" s="2">
        <v>1</v>
      </c>
      <c r="AK108">
        <v>2</v>
      </c>
      <c r="AL108">
        <v>0</v>
      </c>
      <c r="AM108">
        <v>0</v>
      </c>
      <c r="AN108" s="2">
        <f>IF((2*G108+M108-O108+3*V108+2*AB108+2*AE108+2*AH108+3*AJ108)&gt;=7,1,0)</f>
        <v>0</v>
      </c>
    </row>
    <row r="109" spans="1:40" x14ac:dyDescent="0.25">
      <c r="A109" t="s">
        <v>27</v>
      </c>
      <c r="B109" s="1">
        <v>36844</v>
      </c>
      <c r="C109" s="6">
        <f t="shared" si="10"/>
        <v>2000</v>
      </c>
      <c r="D109">
        <v>68.099999999999994</v>
      </c>
      <c r="E109">
        <v>53.7</v>
      </c>
      <c r="F109">
        <v>61.2</v>
      </c>
      <c r="G109" s="2">
        <f t="shared" si="11"/>
        <v>0</v>
      </c>
      <c r="H109">
        <v>68.099999999999994</v>
      </c>
      <c r="I109">
        <v>53.7</v>
      </c>
      <c r="J109">
        <v>61.2</v>
      </c>
      <c r="K109">
        <v>51.4</v>
      </c>
      <c r="L109">
        <v>70.900000000000006</v>
      </c>
      <c r="M109" s="2">
        <f t="shared" si="12"/>
        <v>0</v>
      </c>
      <c r="N109">
        <v>0</v>
      </c>
      <c r="O109" s="2">
        <f t="shared" si="13"/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s="2">
        <f t="shared" si="14"/>
        <v>0</v>
      </c>
      <c r="W109">
        <v>9.1999999999999993</v>
      </c>
      <c r="X109" s="2">
        <f t="shared" si="15"/>
        <v>0</v>
      </c>
      <c r="Y109">
        <v>330.5</v>
      </c>
      <c r="Z109" s="2" t="str">
        <f>CHOOSE(MATCH(Y109,{0;11;80;111;161;191;241;281;341},1),"North","NorthEast","East","SouthEast","South","SouthWest","West","NorthWest","North")</f>
        <v>NorthWest</v>
      </c>
      <c r="AA109" s="4">
        <f>CHOOSE(MATCH(Z109,{"South";"SouthEast";"SouthWest";"North";"NorthEast";"East";"West";"NorthWest"},0),1,2,3,4,5,6,7,8)</f>
        <v>8</v>
      </c>
      <c r="AB109" s="2">
        <f t="shared" si="16"/>
        <v>1</v>
      </c>
      <c r="AC109">
        <v>1019.2</v>
      </c>
      <c r="AD109" t="s">
        <v>183</v>
      </c>
      <c r="AE109" s="2">
        <f t="shared" si="17"/>
        <v>1</v>
      </c>
      <c r="AF109" t="s">
        <v>225</v>
      </c>
      <c r="AG109" s="2">
        <f t="shared" si="18"/>
        <v>11</v>
      </c>
      <c r="AH109" s="2">
        <f t="shared" si="19"/>
        <v>0</v>
      </c>
      <c r="AI109" s="3">
        <v>60.999999999767169</v>
      </c>
      <c r="AJ109" s="2">
        <v>0</v>
      </c>
      <c r="AK109">
        <v>0</v>
      </c>
      <c r="AL109">
        <v>1.5</v>
      </c>
      <c r="AM109">
        <v>0</v>
      </c>
      <c r="AN109" s="2">
        <f>IF((2*G109+M109-O109+3*V109+2*AB109+2*AE109+2*AH109+3*AJ109)&gt;=7,1,0)</f>
        <v>0</v>
      </c>
    </row>
    <row r="110" spans="1:40" x14ac:dyDescent="0.25">
      <c r="A110" t="s">
        <v>27</v>
      </c>
      <c r="B110" s="1">
        <v>36846</v>
      </c>
      <c r="C110" s="6">
        <f t="shared" si="10"/>
        <v>2000</v>
      </c>
      <c r="D110">
        <v>68.099999999999994</v>
      </c>
      <c r="E110">
        <v>53.7</v>
      </c>
      <c r="F110">
        <v>59.9</v>
      </c>
      <c r="G110" s="2">
        <f t="shared" si="11"/>
        <v>0</v>
      </c>
      <c r="H110">
        <v>68.099999999999994</v>
      </c>
      <c r="I110">
        <v>53.7</v>
      </c>
      <c r="J110">
        <v>59.9</v>
      </c>
      <c r="K110">
        <v>55</v>
      </c>
      <c r="L110">
        <v>84.5</v>
      </c>
      <c r="M110" s="2">
        <f t="shared" si="12"/>
        <v>0</v>
      </c>
      <c r="N110">
        <v>0</v>
      </c>
      <c r="O110" s="2">
        <f t="shared" si="13"/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s="2">
        <f t="shared" si="14"/>
        <v>0</v>
      </c>
      <c r="W110">
        <v>6.9</v>
      </c>
      <c r="X110" s="2">
        <f t="shared" si="15"/>
        <v>0</v>
      </c>
      <c r="Y110">
        <v>179.8</v>
      </c>
      <c r="Z110" s="2" t="str">
        <f>CHOOSE(MATCH(Y110,{0;11;80;111;161;191;241;281;341},1),"North","NorthEast","East","SouthEast","South","SouthWest","West","NorthWest","North")</f>
        <v>South</v>
      </c>
      <c r="AA110" s="4">
        <f>CHOOSE(MATCH(Z110,{"South";"SouthEast";"SouthWest";"North";"NorthEast";"East";"West";"NorthWest"},0),1,2,3,4,5,6,7,8)</f>
        <v>1</v>
      </c>
      <c r="AB110" s="2">
        <f t="shared" si="16"/>
        <v>0</v>
      </c>
      <c r="AC110">
        <v>1019.7</v>
      </c>
      <c r="AD110" t="s">
        <v>185</v>
      </c>
      <c r="AE110" s="2">
        <f t="shared" si="17"/>
        <v>1</v>
      </c>
      <c r="AF110" t="s">
        <v>226</v>
      </c>
      <c r="AG110" s="2">
        <f t="shared" si="18"/>
        <v>11</v>
      </c>
      <c r="AH110" s="2">
        <f t="shared" si="19"/>
        <v>0</v>
      </c>
      <c r="AI110" s="3">
        <v>1900.9999999939459</v>
      </c>
      <c r="AJ110" s="2">
        <v>1</v>
      </c>
      <c r="AK110">
        <v>0</v>
      </c>
      <c r="AL110">
        <v>3</v>
      </c>
      <c r="AM110">
        <v>0</v>
      </c>
      <c r="AN110" s="2">
        <f>IF((2*G110+M110-O110+3*V110+2*AB110+2*AE110+2*AH110+3*AJ110)&gt;=7,1,0)</f>
        <v>0</v>
      </c>
    </row>
    <row r="111" spans="1:40" x14ac:dyDescent="0.25">
      <c r="A111" t="s">
        <v>27</v>
      </c>
      <c r="B111" s="1">
        <v>36846</v>
      </c>
      <c r="C111" s="6">
        <f t="shared" si="10"/>
        <v>2000</v>
      </c>
      <c r="D111">
        <v>68.099999999999994</v>
      </c>
      <c r="E111">
        <v>53.7</v>
      </c>
      <c r="F111">
        <v>59.9</v>
      </c>
      <c r="G111" s="2">
        <f t="shared" si="11"/>
        <v>0</v>
      </c>
      <c r="H111">
        <v>68.099999999999994</v>
      </c>
      <c r="I111">
        <v>53.7</v>
      </c>
      <c r="J111">
        <v>59.9</v>
      </c>
      <c r="K111">
        <v>55</v>
      </c>
      <c r="L111">
        <v>84.5</v>
      </c>
      <c r="M111" s="2">
        <f t="shared" si="12"/>
        <v>0</v>
      </c>
      <c r="N111">
        <v>0</v>
      </c>
      <c r="O111" s="2">
        <f t="shared" si="13"/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s="2">
        <f t="shared" si="14"/>
        <v>0</v>
      </c>
      <c r="W111">
        <v>6.9</v>
      </c>
      <c r="X111" s="2">
        <f t="shared" si="15"/>
        <v>0</v>
      </c>
      <c r="Y111">
        <v>179.8</v>
      </c>
      <c r="Z111" s="2" t="str">
        <f>CHOOSE(MATCH(Y111,{0;11;80;111;161;191;241;281;341},1),"North","NorthEast","East","SouthEast","South","SouthWest","West","NorthWest","North")</f>
        <v>South</v>
      </c>
      <c r="AA111" s="4">
        <f>CHOOSE(MATCH(Z111,{"South";"SouthEast";"SouthWest";"North";"NorthEast";"East";"West";"NorthWest"},0),1,2,3,4,5,6,7,8)</f>
        <v>1</v>
      </c>
      <c r="AB111" s="2">
        <f t="shared" si="16"/>
        <v>0</v>
      </c>
      <c r="AC111">
        <v>1019.7</v>
      </c>
      <c r="AD111" t="s">
        <v>227</v>
      </c>
      <c r="AE111" s="2">
        <f t="shared" si="17"/>
        <v>1</v>
      </c>
      <c r="AF111" t="s">
        <v>228</v>
      </c>
      <c r="AG111" s="2">
        <f t="shared" si="18"/>
        <v>11</v>
      </c>
      <c r="AH111" s="2">
        <f t="shared" si="19"/>
        <v>0</v>
      </c>
      <c r="AI111" s="3">
        <v>56.000000004423782</v>
      </c>
      <c r="AJ111" s="2">
        <v>0</v>
      </c>
      <c r="AK111">
        <v>0</v>
      </c>
      <c r="AL111">
        <v>0.3</v>
      </c>
      <c r="AM111">
        <v>0</v>
      </c>
      <c r="AN111" s="2">
        <f>IF((2*G111+M111-O111+3*V111+2*AB111+2*AE111+2*AH111+3*AJ111)&gt;=7,1,0)</f>
        <v>0</v>
      </c>
    </row>
    <row r="112" spans="1:40" x14ac:dyDescent="0.25">
      <c r="A112" t="s">
        <v>27</v>
      </c>
      <c r="B112" s="1">
        <v>36848</v>
      </c>
      <c r="C112" s="6">
        <f t="shared" si="10"/>
        <v>2000</v>
      </c>
      <c r="D112">
        <v>64.5</v>
      </c>
      <c r="E112">
        <v>53.7</v>
      </c>
      <c r="F112">
        <v>55.9</v>
      </c>
      <c r="G112" s="2">
        <f t="shared" si="11"/>
        <v>0</v>
      </c>
      <c r="H112">
        <v>64.5</v>
      </c>
      <c r="I112">
        <v>53.7</v>
      </c>
      <c r="J112">
        <v>55.9</v>
      </c>
      <c r="K112">
        <v>50.5</v>
      </c>
      <c r="L112">
        <v>82.3</v>
      </c>
      <c r="M112" s="2">
        <f t="shared" si="12"/>
        <v>0</v>
      </c>
      <c r="N112">
        <v>0</v>
      </c>
      <c r="O112" s="2">
        <f t="shared" si="13"/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s="2">
        <f t="shared" si="14"/>
        <v>0</v>
      </c>
      <c r="W112">
        <v>8.1</v>
      </c>
      <c r="X112" s="2">
        <f t="shared" si="15"/>
        <v>0</v>
      </c>
      <c r="Y112">
        <v>175.3</v>
      </c>
      <c r="Z112" s="2" t="str">
        <f>CHOOSE(MATCH(Y112,{0;11;80;111;161;191;241;281;341},1),"North","NorthEast","East","SouthEast","South","SouthWest","West","NorthWest","North")</f>
        <v>South</v>
      </c>
      <c r="AA112" s="4">
        <f>CHOOSE(MATCH(Z112,{"South";"SouthEast";"SouthWest";"North";"NorthEast";"East";"West";"NorthWest"},0),1,2,3,4,5,6,7,8)</f>
        <v>1</v>
      </c>
      <c r="AB112" s="2">
        <f t="shared" si="16"/>
        <v>0</v>
      </c>
      <c r="AC112">
        <v>1018</v>
      </c>
      <c r="AD112" t="s">
        <v>229</v>
      </c>
      <c r="AE112" s="2">
        <f t="shared" si="17"/>
        <v>1</v>
      </c>
      <c r="AF112" t="s">
        <v>230</v>
      </c>
      <c r="AG112" s="2">
        <f t="shared" si="18"/>
        <v>11</v>
      </c>
      <c r="AH112" s="2">
        <f t="shared" si="19"/>
        <v>0</v>
      </c>
      <c r="AI112" s="3">
        <v>159.99999999767169</v>
      </c>
      <c r="AJ112" s="2">
        <v>0</v>
      </c>
      <c r="AK112">
        <v>0</v>
      </c>
      <c r="AL112">
        <v>3</v>
      </c>
      <c r="AM112">
        <v>0</v>
      </c>
      <c r="AN112" s="2">
        <f>IF((2*G112+M112-O112+3*V112+2*AB112+2*AE112+2*AH112+3*AJ112)&gt;=7,1,0)</f>
        <v>0</v>
      </c>
    </row>
    <row r="113" spans="1:40" x14ac:dyDescent="0.25">
      <c r="A113" t="s">
        <v>27</v>
      </c>
      <c r="B113" s="1">
        <v>36848</v>
      </c>
      <c r="C113" s="6">
        <f t="shared" si="10"/>
        <v>2000</v>
      </c>
      <c r="D113">
        <v>64.5</v>
      </c>
      <c r="E113">
        <v>53.7</v>
      </c>
      <c r="F113">
        <v>55.9</v>
      </c>
      <c r="G113" s="2">
        <f t="shared" si="11"/>
        <v>0</v>
      </c>
      <c r="H113">
        <v>64.5</v>
      </c>
      <c r="I113">
        <v>53.7</v>
      </c>
      <c r="J113">
        <v>55.9</v>
      </c>
      <c r="K113">
        <v>50.5</v>
      </c>
      <c r="L113">
        <v>82.3</v>
      </c>
      <c r="M113" s="2">
        <f t="shared" si="12"/>
        <v>0</v>
      </c>
      <c r="N113">
        <v>0</v>
      </c>
      <c r="O113" s="2">
        <f t="shared" si="13"/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s="2">
        <f t="shared" si="14"/>
        <v>0</v>
      </c>
      <c r="W113">
        <v>8.1</v>
      </c>
      <c r="X113" s="2">
        <f t="shared" si="15"/>
        <v>0</v>
      </c>
      <c r="Y113">
        <v>175.3</v>
      </c>
      <c r="Z113" s="2" t="str">
        <f>CHOOSE(MATCH(Y113,{0;11;80;111;161;191;241;281;341},1),"North","NorthEast","East","SouthEast","South","SouthWest","West","NorthWest","North")</f>
        <v>South</v>
      </c>
      <c r="AA113" s="4">
        <f>CHOOSE(MATCH(Z113,{"South";"SouthEast";"SouthWest";"North";"NorthEast";"East";"West";"NorthWest"},0),1,2,3,4,5,6,7,8)</f>
        <v>1</v>
      </c>
      <c r="AB113" s="2">
        <f t="shared" si="16"/>
        <v>0</v>
      </c>
      <c r="AC113">
        <v>1018</v>
      </c>
      <c r="AD113" t="s">
        <v>231</v>
      </c>
      <c r="AE113" s="2">
        <f t="shared" si="17"/>
        <v>1</v>
      </c>
      <c r="AF113" t="s">
        <v>232</v>
      </c>
      <c r="AG113" s="2">
        <f t="shared" si="18"/>
        <v>11</v>
      </c>
      <c r="AH113" s="2">
        <f t="shared" si="19"/>
        <v>0</v>
      </c>
      <c r="AI113" s="3">
        <v>110.9999999951106</v>
      </c>
      <c r="AJ113" s="2">
        <v>0</v>
      </c>
      <c r="AK113">
        <v>0</v>
      </c>
      <c r="AL113">
        <v>2</v>
      </c>
      <c r="AM113">
        <v>0</v>
      </c>
      <c r="AN113" s="2">
        <f>IF((2*G113+M113-O113+3*V113+2*AB113+2*AE113+2*AH113+3*AJ113)&gt;=7,1,0)</f>
        <v>0</v>
      </c>
    </row>
    <row r="114" spans="1:40" x14ac:dyDescent="0.25">
      <c r="A114" t="s">
        <v>27</v>
      </c>
      <c r="B114" s="1">
        <v>36849</v>
      </c>
      <c r="C114" s="6">
        <f t="shared" si="10"/>
        <v>2000</v>
      </c>
      <c r="D114">
        <v>73.5</v>
      </c>
      <c r="E114">
        <v>57.3</v>
      </c>
      <c r="F114">
        <v>65</v>
      </c>
      <c r="G114" s="2">
        <f t="shared" si="11"/>
        <v>0</v>
      </c>
      <c r="H114">
        <v>73.5</v>
      </c>
      <c r="I114">
        <v>57.3</v>
      </c>
      <c r="J114">
        <v>65</v>
      </c>
      <c r="K114">
        <v>55</v>
      </c>
      <c r="L114">
        <v>71.2</v>
      </c>
      <c r="M114" s="2">
        <f t="shared" si="12"/>
        <v>0</v>
      </c>
      <c r="N114">
        <v>0</v>
      </c>
      <c r="O114" s="2">
        <f t="shared" si="13"/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s="2">
        <f t="shared" si="14"/>
        <v>0</v>
      </c>
      <c r="W114">
        <v>13.9</v>
      </c>
      <c r="X114" s="2">
        <f t="shared" si="15"/>
        <v>0</v>
      </c>
      <c r="Y114">
        <v>150.1</v>
      </c>
      <c r="Z114" s="2" t="str">
        <f>CHOOSE(MATCH(Y114,{0;11;80;111;161;191;241;281;341},1),"North","NorthEast","East","SouthEast","South","SouthWest","West","NorthWest","North")</f>
        <v>SouthEast</v>
      </c>
      <c r="AA114" s="4">
        <f>CHOOSE(MATCH(Z114,{"South";"SouthEast";"SouthWest";"North";"NorthEast";"East";"West";"NorthWest"},0),1,2,3,4,5,6,7,8)</f>
        <v>2</v>
      </c>
      <c r="AB114" s="2">
        <f t="shared" si="16"/>
        <v>0</v>
      </c>
      <c r="AC114">
        <v>1017.6</v>
      </c>
      <c r="AD114" t="s">
        <v>233</v>
      </c>
      <c r="AE114" s="2">
        <f t="shared" si="17"/>
        <v>1</v>
      </c>
      <c r="AF114" t="s">
        <v>234</v>
      </c>
      <c r="AG114" s="2">
        <f t="shared" si="18"/>
        <v>11</v>
      </c>
      <c r="AH114" s="2">
        <f t="shared" si="19"/>
        <v>0</v>
      </c>
      <c r="AI114" s="3">
        <v>176.00000000791621</v>
      </c>
      <c r="AJ114" s="2">
        <v>0</v>
      </c>
      <c r="AK114">
        <v>10</v>
      </c>
      <c r="AL114">
        <v>0</v>
      </c>
      <c r="AM114">
        <v>0</v>
      </c>
      <c r="AN114" s="2">
        <f>IF((2*G114+M114-O114+3*V114+2*AB114+2*AE114+2*AH114+3*AJ114)&gt;=7,1,0)</f>
        <v>0</v>
      </c>
    </row>
    <row r="115" spans="1:40" x14ac:dyDescent="0.25">
      <c r="A115" t="s">
        <v>27</v>
      </c>
      <c r="B115" s="1">
        <v>36850</v>
      </c>
      <c r="C115" s="6">
        <f t="shared" si="10"/>
        <v>2000</v>
      </c>
      <c r="D115">
        <v>77.099999999999994</v>
      </c>
      <c r="E115">
        <v>64.5</v>
      </c>
      <c r="F115">
        <v>69.099999999999994</v>
      </c>
      <c r="G115" s="2">
        <f t="shared" si="11"/>
        <v>0</v>
      </c>
      <c r="H115">
        <v>77.099999999999994</v>
      </c>
      <c r="I115">
        <v>64.5</v>
      </c>
      <c r="J115">
        <v>69.099999999999994</v>
      </c>
      <c r="K115">
        <v>52.8</v>
      </c>
      <c r="L115">
        <v>57.5</v>
      </c>
      <c r="M115" s="2">
        <f t="shared" si="12"/>
        <v>1</v>
      </c>
      <c r="N115">
        <v>0</v>
      </c>
      <c r="O115" s="2">
        <f t="shared" si="13"/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s="2">
        <f t="shared" si="14"/>
        <v>0</v>
      </c>
      <c r="W115">
        <v>17.2</v>
      </c>
      <c r="X115" s="2">
        <f t="shared" si="15"/>
        <v>1</v>
      </c>
      <c r="Y115">
        <v>190.8</v>
      </c>
      <c r="Z115" s="2" t="str">
        <f>CHOOSE(MATCH(Y115,{0;11;80;111;161;191;241;281;341},1),"North","NorthEast","East","SouthEast","South","SouthWest","West","NorthWest","North")</f>
        <v>South</v>
      </c>
      <c r="AA115" s="4">
        <f>CHOOSE(MATCH(Z115,{"South";"SouthEast";"SouthWest";"North";"NorthEast";"East";"West";"NorthWest"},0),1,2,3,4,5,6,7,8)</f>
        <v>1</v>
      </c>
      <c r="AB115" s="2">
        <f t="shared" si="16"/>
        <v>0</v>
      </c>
      <c r="AC115">
        <v>1017.9</v>
      </c>
      <c r="AD115" t="s">
        <v>235</v>
      </c>
      <c r="AE115" s="2">
        <f t="shared" si="17"/>
        <v>1</v>
      </c>
      <c r="AF115" t="s">
        <v>236</v>
      </c>
      <c r="AG115" s="2">
        <f t="shared" si="18"/>
        <v>11</v>
      </c>
      <c r="AH115" s="2">
        <f t="shared" si="19"/>
        <v>0</v>
      </c>
      <c r="AI115" s="3">
        <v>415.00000000116421</v>
      </c>
      <c r="AJ115" s="2">
        <v>1</v>
      </c>
      <c r="AK115">
        <v>0</v>
      </c>
      <c r="AL115">
        <v>2</v>
      </c>
      <c r="AM115">
        <v>0</v>
      </c>
      <c r="AN115" s="2">
        <f>IF((2*G115+M115-O115+3*V115+2*AB115+2*AE115+2*AH115+3*AJ115)&gt;=7,1,0)</f>
        <v>0</v>
      </c>
    </row>
    <row r="116" spans="1:40" x14ac:dyDescent="0.25">
      <c r="A116" t="s">
        <v>27</v>
      </c>
      <c r="B116" s="1">
        <v>36850</v>
      </c>
      <c r="C116" s="6">
        <f t="shared" si="10"/>
        <v>2000</v>
      </c>
      <c r="D116">
        <v>77.099999999999994</v>
      </c>
      <c r="E116">
        <v>64.5</v>
      </c>
      <c r="F116">
        <v>69.099999999999994</v>
      </c>
      <c r="G116" s="2">
        <f t="shared" si="11"/>
        <v>0</v>
      </c>
      <c r="H116">
        <v>77.099999999999994</v>
      </c>
      <c r="I116">
        <v>64.5</v>
      </c>
      <c r="J116">
        <v>69.099999999999994</v>
      </c>
      <c r="K116">
        <v>52.8</v>
      </c>
      <c r="L116">
        <v>57.5</v>
      </c>
      <c r="M116" s="2">
        <f t="shared" si="12"/>
        <v>1</v>
      </c>
      <c r="N116">
        <v>0</v>
      </c>
      <c r="O116" s="2">
        <f t="shared" si="13"/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s="2">
        <f t="shared" si="14"/>
        <v>0</v>
      </c>
      <c r="W116">
        <v>17.2</v>
      </c>
      <c r="X116" s="2">
        <f t="shared" si="15"/>
        <v>1</v>
      </c>
      <c r="Y116">
        <v>190.8</v>
      </c>
      <c r="Z116" s="2" t="str">
        <f>CHOOSE(MATCH(Y116,{0;11;80;111;161;191;241;281;341},1),"North","NorthEast","East","SouthEast","South","SouthWest","West","NorthWest","North")</f>
        <v>South</v>
      </c>
      <c r="AA116" s="4">
        <f>CHOOSE(MATCH(Z116,{"South";"SouthEast";"SouthWest";"North";"NorthEast";"East";"West";"NorthWest"},0),1,2,3,4,5,6,7,8)</f>
        <v>1</v>
      </c>
      <c r="AB116" s="2">
        <f t="shared" si="16"/>
        <v>0</v>
      </c>
      <c r="AC116">
        <v>1017.9</v>
      </c>
      <c r="AD116" t="s">
        <v>237</v>
      </c>
      <c r="AE116" s="2">
        <f t="shared" si="17"/>
        <v>1</v>
      </c>
      <c r="AF116" t="s">
        <v>238</v>
      </c>
      <c r="AG116" s="2">
        <f t="shared" si="18"/>
        <v>11</v>
      </c>
      <c r="AH116" s="2">
        <f t="shared" si="19"/>
        <v>0</v>
      </c>
      <c r="AI116" s="3">
        <v>85.999999997438863</v>
      </c>
      <c r="AJ116" s="2">
        <v>0</v>
      </c>
      <c r="AK116">
        <v>2</v>
      </c>
      <c r="AL116">
        <v>0</v>
      </c>
      <c r="AM116">
        <v>0</v>
      </c>
      <c r="AN116" s="2">
        <f>IF((2*G116+M116-O116+3*V116+2*AB116+2*AE116+2*AH116+3*AJ116)&gt;=7,1,0)</f>
        <v>0</v>
      </c>
    </row>
    <row r="117" spans="1:40" x14ac:dyDescent="0.25">
      <c r="A117" t="s">
        <v>27</v>
      </c>
      <c r="B117" s="1">
        <v>36850</v>
      </c>
      <c r="C117" s="6">
        <f t="shared" si="10"/>
        <v>2000</v>
      </c>
      <c r="D117">
        <v>77.099999999999994</v>
      </c>
      <c r="E117">
        <v>64.5</v>
      </c>
      <c r="F117">
        <v>69.099999999999994</v>
      </c>
      <c r="G117" s="2">
        <f t="shared" si="11"/>
        <v>0</v>
      </c>
      <c r="H117">
        <v>77.099999999999994</v>
      </c>
      <c r="I117">
        <v>64.5</v>
      </c>
      <c r="J117">
        <v>69.099999999999994</v>
      </c>
      <c r="K117">
        <v>52.8</v>
      </c>
      <c r="L117">
        <v>57.5</v>
      </c>
      <c r="M117" s="2">
        <f t="shared" si="12"/>
        <v>1</v>
      </c>
      <c r="N117">
        <v>0</v>
      </c>
      <c r="O117" s="2">
        <f t="shared" si="13"/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s="2">
        <f t="shared" si="14"/>
        <v>0</v>
      </c>
      <c r="W117">
        <v>17.2</v>
      </c>
      <c r="X117" s="2">
        <f t="shared" si="15"/>
        <v>1</v>
      </c>
      <c r="Y117">
        <v>190.8</v>
      </c>
      <c r="Z117" s="2" t="str">
        <f>CHOOSE(MATCH(Y117,{0;11;80;111;161;191;241;281;341},1),"North","NorthEast","East","SouthEast","South","SouthWest","West","NorthWest","North")</f>
        <v>South</v>
      </c>
      <c r="AA117" s="4">
        <f>CHOOSE(MATCH(Z117,{"South";"SouthEast";"SouthWest";"North";"NorthEast";"East";"West";"NorthWest"},0),1,2,3,4,5,6,7,8)</f>
        <v>1</v>
      </c>
      <c r="AB117" s="2">
        <f t="shared" si="16"/>
        <v>0</v>
      </c>
      <c r="AC117">
        <v>1017.9</v>
      </c>
      <c r="AD117" t="s">
        <v>187</v>
      </c>
      <c r="AE117" s="2">
        <f t="shared" si="17"/>
        <v>1</v>
      </c>
      <c r="AF117" t="s">
        <v>239</v>
      </c>
      <c r="AG117" s="2">
        <f t="shared" si="18"/>
        <v>11</v>
      </c>
      <c r="AH117" s="2">
        <f t="shared" si="19"/>
        <v>0</v>
      </c>
      <c r="AI117" s="3">
        <v>55.999999993946403</v>
      </c>
      <c r="AJ117" s="2">
        <v>0</v>
      </c>
      <c r="AK117">
        <v>0.5</v>
      </c>
      <c r="AL117">
        <v>0</v>
      </c>
      <c r="AM117">
        <v>0</v>
      </c>
      <c r="AN117" s="2">
        <f>IF((2*G117+M117-O117+3*V117+2*AB117+2*AE117+2*AH117+3*AJ117)&gt;=7,1,0)</f>
        <v>0</v>
      </c>
    </row>
    <row r="118" spans="1:40" x14ac:dyDescent="0.25">
      <c r="A118" t="s">
        <v>27</v>
      </c>
      <c r="B118" s="1">
        <v>36853</v>
      </c>
      <c r="C118" s="6">
        <f t="shared" si="10"/>
        <v>2000</v>
      </c>
      <c r="D118">
        <v>66.3</v>
      </c>
      <c r="E118">
        <v>55.5</v>
      </c>
      <c r="F118">
        <v>61.5</v>
      </c>
      <c r="G118" s="2">
        <f t="shared" si="11"/>
        <v>0</v>
      </c>
      <c r="H118">
        <v>66.3</v>
      </c>
      <c r="I118">
        <v>55.5</v>
      </c>
      <c r="J118">
        <v>61.5</v>
      </c>
      <c r="K118">
        <v>53.9</v>
      </c>
      <c r="L118">
        <v>76.900000000000006</v>
      </c>
      <c r="M118" s="2">
        <f t="shared" si="12"/>
        <v>0</v>
      </c>
      <c r="N118">
        <v>7.9000000000000001E-2</v>
      </c>
      <c r="O118" s="2">
        <f t="shared" si="13"/>
        <v>0</v>
      </c>
      <c r="P118">
        <v>100</v>
      </c>
      <c r="Q118">
        <v>4.17</v>
      </c>
      <c r="R118" t="s">
        <v>182</v>
      </c>
      <c r="S118">
        <v>0</v>
      </c>
      <c r="T118">
        <v>0</v>
      </c>
      <c r="U118">
        <v>0</v>
      </c>
      <c r="V118" s="2">
        <f t="shared" si="14"/>
        <v>0</v>
      </c>
      <c r="W118">
        <v>10.3</v>
      </c>
      <c r="X118" s="2">
        <f t="shared" si="15"/>
        <v>0</v>
      </c>
      <c r="Y118">
        <v>310.39999999999998</v>
      </c>
      <c r="Z118" s="2" t="str">
        <f>CHOOSE(MATCH(Y118,{0;11;80;111;161;191;241;281;341},1),"North","NorthEast","East","SouthEast","South","SouthWest","West","NorthWest","North")</f>
        <v>NorthWest</v>
      </c>
      <c r="AA118" s="4">
        <f>CHOOSE(MATCH(Z118,{"South";"SouthEast";"SouthWest";"North";"NorthEast";"East";"West";"NorthWest"},0),1,2,3,4,5,6,7,8)</f>
        <v>8</v>
      </c>
      <c r="AB118" s="2">
        <f t="shared" si="16"/>
        <v>1</v>
      </c>
      <c r="AC118">
        <v>1017.6</v>
      </c>
      <c r="AD118" t="s">
        <v>162</v>
      </c>
      <c r="AE118" s="2">
        <f t="shared" si="17"/>
        <v>1</v>
      </c>
      <c r="AF118" t="s">
        <v>240</v>
      </c>
      <c r="AG118" s="2">
        <f t="shared" si="18"/>
        <v>11</v>
      </c>
      <c r="AH118" s="2">
        <f t="shared" si="19"/>
        <v>0</v>
      </c>
      <c r="AI118" s="3">
        <v>180.99999999278231</v>
      </c>
      <c r="AJ118" s="2">
        <v>0</v>
      </c>
      <c r="AK118">
        <v>0</v>
      </c>
      <c r="AL118">
        <v>2</v>
      </c>
      <c r="AM118">
        <v>0</v>
      </c>
      <c r="AN118" s="2">
        <f>IF((2*G118+M118-O118+3*V118+2*AB118+2*AE118+2*AH118+3*AJ118)&gt;=7,1,0)</f>
        <v>0</v>
      </c>
    </row>
    <row r="119" spans="1:40" x14ac:dyDescent="0.25">
      <c r="A119" t="s">
        <v>27</v>
      </c>
      <c r="B119" s="1">
        <v>36863</v>
      </c>
      <c r="C119" s="6">
        <f t="shared" si="10"/>
        <v>2000</v>
      </c>
      <c r="D119">
        <v>64.5</v>
      </c>
      <c r="E119">
        <v>51.9</v>
      </c>
      <c r="F119">
        <v>57.3</v>
      </c>
      <c r="G119" s="2">
        <f t="shared" si="11"/>
        <v>0</v>
      </c>
      <c r="H119">
        <v>64.5</v>
      </c>
      <c r="I119">
        <v>51.9</v>
      </c>
      <c r="J119">
        <v>57.3</v>
      </c>
      <c r="K119">
        <v>50.9</v>
      </c>
      <c r="L119">
        <v>79.5</v>
      </c>
      <c r="M119" s="2">
        <f t="shared" si="12"/>
        <v>0</v>
      </c>
      <c r="N119">
        <v>0</v>
      </c>
      <c r="O119" s="2">
        <f t="shared" si="13"/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s="2">
        <f t="shared" si="14"/>
        <v>0</v>
      </c>
      <c r="W119">
        <v>8.1</v>
      </c>
      <c r="X119" s="2">
        <f t="shared" si="15"/>
        <v>0</v>
      </c>
      <c r="Y119">
        <v>173.9</v>
      </c>
      <c r="Z119" s="2" t="str">
        <f>CHOOSE(MATCH(Y119,{0;11;80;111;161;191;241;281;341},1),"North","NorthEast","East","SouthEast","South","SouthWest","West","NorthWest","North")</f>
        <v>South</v>
      </c>
      <c r="AA119" s="4">
        <f>CHOOSE(MATCH(Z119,{"South";"SouthEast";"SouthWest";"North";"NorthEast";"East";"West";"NorthWest"},0),1,2,3,4,5,6,7,8)</f>
        <v>1</v>
      </c>
      <c r="AB119" s="2">
        <f t="shared" si="16"/>
        <v>0</v>
      </c>
      <c r="AC119">
        <v>1023.1</v>
      </c>
      <c r="AD119" t="s">
        <v>241</v>
      </c>
      <c r="AE119" s="2">
        <f t="shared" si="17"/>
        <v>1</v>
      </c>
      <c r="AF119" t="s">
        <v>242</v>
      </c>
      <c r="AG119" s="2">
        <f t="shared" si="18"/>
        <v>12</v>
      </c>
      <c r="AH119" s="2">
        <f t="shared" si="19"/>
        <v>0</v>
      </c>
      <c r="AI119" s="3">
        <v>214.99999999883579</v>
      </c>
      <c r="AJ119" s="2">
        <v>0</v>
      </c>
      <c r="AK119">
        <v>0</v>
      </c>
      <c r="AL119">
        <v>4</v>
      </c>
      <c r="AM119">
        <v>0</v>
      </c>
      <c r="AN119" s="2">
        <f>IF((2*G119+M119-O119+3*V119+2*AB119+2*AE119+2*AH119+3*AJ119)&gt;=7,1,0)</f>
        <v>0</v>
      </c>
    </row>
    <row r="120" spans="1:40" x14ac:dyDescent="0.25">
      <c r="A120" t="s">
        <v>27</v>
      </c>
      <c r="B120" s="1">
        <v>36871</v>
      </c>
      <c r="C120" s="6">
        <f t="shared" si="10"/>
        <v>2000</v>
      </c>
      <c r="D120">
        <v>64.5</v>
      </c>
      <c r="E120">
        <v>50.1</v>
      </c>
      <c r="F120">
        <v>60.5</v>
      </c>
      <c r="G120" s="2">
        <f t="shared" si="11"/>
        <v>0</v>
      </c>
      <c r="H120">
        <v>64.5</v>
      </c>
      <c r="I120">
        <v>50.1</v>
      </c>
      <c r="J120">
        <v>60.5</v>
      </c>
      <c r="K120">
        <v>51.5</v>
      </c>
      <c r="L120">
        <v>72.2</v>
      </c>
      <c r="M120" s="2">
        <f t="shared" si="12"/>
        <v>0</v>
      </c>
      <c r="N120">
        <v>0</v>
      </c>
      <c r="O120" s="2">
        <f t="shared" si="13"/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s="2">
        <f t="shared" si="14"/>
        <v>0</v>
      </c>
      <c r="W120">
        <v>17.2</v>
      </c>
      <c r="X120" s="2">
        <f t="shared" si="15"/>
        <v>1</v>
      </c>
      <c r="Y120">
        <v>326.2</v>
      </c>
      <c r="Z120" s="2" t="str">
        <f>CHOOSE(MATCH(Y120,{0;11;80;111;161;191;241;281;341},1),"North","NorthEast","East","SouthEast","South","SouthWest","West","NorthWest","North")</f>
        <v>NorthWest</v>
      </c>
      <c r="AA120" s="4">
        <f>CHOOSE(MATCH(Z120,{"South";"SouthEast";"SouthWest";"North";"NorthEast";"East";"West";"NorthWest"},0),1,2,3,4,5,6,7,8)</f>
        <v>8</v>
      </c>
      <c r="AB120" s="2">
        <f t="shared" si="16"/>
        <v>1</v>
      </c>
      <c r="AC120">
        <v>1020.8</v>
      </c>
      <c r="AD120" t="s">
        <v>243</v>
      </c>
      <c r="AE120" s="2">
        <f t="shared" si="17"/>
        <v>1</v>
      </c>
      <c r="AF120" t="s">
        <v>244</v>
      </c>
      <c r="AG120" s="2">
        <f t="shared" si="18"/>
        <v>12</v>
      </c>
      <c r="AH120" s="2">
        <f t="shared" si="19"/>
        <v>0</v>
      </c>
      <c r="AI120" s="3">
        <v>71.000000000931323</v>
      </c>
      <c r="AJ120" s="2">
        <v>0</v>
      </c>
      <c r="AK120">
        <v>0</v>
      </c>
      <c r="AL120">
        <v>1</v>
      </c>
      <c r="AM120">
        <v>0</v>
      </c>
      <c r="AN120" s="2">
        <f>IF((2*G120+M120-O120+3*V120+2*AB120+2*AE120+2*AH120+3*AJ120)&gt;=7,1,0)</f>
        <v>0</v>
      </c>
    </row>
    <row r="121" spans="1:40" x14ac:dyDescent="0.25">
      <c r="A121" t="s">
        <v>27</v>
      </c>
      <c r="B121" s="1">
        <v>36876</v>
      </c>
      <c r="C121" s="6">
        <f t="shared" si="10"/>
        <v>2000</v>
      </c>
      <c r="D121">
        <v>71.7</v>
      </c>
      <c r="E121">
        <v>57.3</v>
      </c>
      <c r="F121">
        <v>62.8</v>
      </c>
      <c r="G121" s="2">
        <f t="shared" si="11"/>
        <v>0</v>
      </c>
      <c r="H121">
        <v>71.7</v>
      </c>
      <c r="I121">
        <v>57.3</v>
      </c>
      <c r="J121">
        <v>62.8</v>
      </c>
      <c r="K121">
        <v>52.7</v>
      </c>
      <c r="L121">
        <v>70.2</v>
      </c>
      <c r="M121" s="2">
        <f t="shared" si="12"/>
        <v>0</v>
      </c>
      <c r="N121">
        <v>0</v>
      </c>
      <c r="O121" s="2">
        <f t="shared" si="13"/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s="2">
        <f t="shared" si="14"/>
        <v>0</v>
      </c>
      <c r="W121">
        <v>10.3</v>
      </c>
      <c r="X121" s="2">
        <f t="shared" si="15"/>
        <v>0</v>
      </c>
      <c r="Y121">
        <v>196.2</v>
      </c>
      <c r="Z121" s="2" t="str">
        <f>CHOOSE(MATCH(Y121,{0;11;80;111;161;191;241;281;341},1),"North","NorthEast","East","SouthEast","South","SouthWest","West","NorthWest","North")</f>
        <v>SouthWest</v>
      </c>
      <c r="AA121" s="4">
        <f>CHOOSE(MATCH(Z121,{"South";"SouthEast";"SouthWest";"North";"NorthEast";"East";"West";"NorthWest"},0),1,2,3,4,5,6,7,8)</f>
        <v>3</v>
      </c>
      <c r="AB121" s="2">
        <f t="shared" si="16"/>
        <v>0</v>
      </c>
      <c r="AC121">
        <v>1013.9</v>
      </c>
      <c r="AD121" t="s">
        <v>195</v>
      </c>
      <c r="AE121" s="2">
        <f t="shared" si="17"/>
        <v>1</v>
      </c>
      <c r="AF121" t="s">
        <v>245</v>
      </c>
      <c r="AG121" s="2">
        <f t="shared" si="18"/>
        <v>12</v>
      </c>
      <c r="AH121" s="2">
        <f t="shared" si="19"/>
        <v>0</v>
      </c>
      <c r="AI121" s="3">
        <v>86.000000007916242</v>
      </c>
      <c r="AJ121" s="2">
        <v>0</v>
      </c>
      <c r="AK121">
        <v>2</v>
      </c>
      <c r="AL121">
        <v>0</v>
      </c>
      <c r="AM121">
        <v>0</v>
      </c>
      <c r="AN121" s="2">
        <f>IF((2*G121+M121-O121+3*V121+2*AB121+2*AE121+2*AH121+3*AJ121)&gt;=7,1,0)</f>
        <v>0</v>
      </c>
    </row>
    <row r="122" spans="1:40" x14ac:dyDescent="0.25">
      <c r="A122" t="s">
        <v>27</v>
      </c>
      <c r="B122" s="1">
        <v>36878</v>
      </c>
      <c r="C122" s="6">
        <f t="shared" si="10"/>
        <v>2000</v>
      </c>
      <c r="D122">
        <v>66.3</v>
      </c>
      <c r="E122">
        <v>50.1</v>
      </c>
      <c r="F122">
        <v>57.9</v>
      </c>
      <c r="G122" s="2">
        <f t="shared" si="11"/>
        <v>0</v>
      </c>
      <c r="H122">
        <v>66.3</v>
      </c>
      <c r="I122">
        <v>50.1</v>
      </c>
      <c r="J122">
        <v>57.9</v>
      </c>
      <c r="K122">
        <v>46</v>
      </c>
      <c r="L122">
        <v>66.099999999999994</v>
      </c>
      <c r="M122" s="2">
        <f t="shared" si="12"/>
        <v>0</v>
      </c>
      <c r="N122">
        <v>0.161</v>
      </c>
      <c r="O122" s="2">
        <f t="shared" si="13"/>
        <v>0</v>
      </c>
      <c r="P122">
        <v>100</v>
      </c>
      <c r="Q122">
        <v>4.17</v>
      </c>
      <c r="R122" t="s">
        <v>182</v>
      </c>
      <c r="S122">
        <v>0</v>
      </c>
      <c r="T122">
        <v>0</v>
      </c>
      <c r="U122">
        <v>0</v>
      </c>
      <c r="V122" s="2">
        <f t="shared" si="14"/>
        <v>0</v>
      </c>
      <c r="W122">
        <v>13.9</v>
      </c>
      <c r="X122" s="2">
        <f t="shared" si="15"/>
        <v>0</v>
      </c>
      <c r="Y122">
        <v>244.3</v>
      </c>
      <c r="Z122" s="2" t="str">
        <f>CHOOSE(MATCH(Y122,{0;11;80;111;161;191;241;281;341},1),"North","NorthEast","East","SouthEast","South","SouthWest","West","NorthWest","North")</f>
        <v>West</v>
      </c>
      <c r="AA122" s="4">
        <f>CHOOSE(MATCH(Z122,{"South";"SouthEast";"SouthWest";"North";"NorthEast";"East";"West";"NorthWest"},0),1,2,3,4,5,6,7,8)</f>
        <v>7</v>
      </c>
      <c r="AB122" s="2">
        <f t="shared" si="16"/>
        <v>0</v>
      </c>
      <c r="AC122">
        <v>1018.6</v>
      </c>
      <c r="AD122" t="s">
        <v>246</v>
      </c>
      <c r="AE122" s="2">
        <f t="shared" si="17"/>
        <v>1</v>
      </c>
      <c r="AF122" t="s">
        <v>247</v>
      </c>
      <c r="AG122" s="2">
        <f t="shared" si="18"/>
        <v>12</v>
      </c>
      <c r="AH122" s="2">
        <f t="shared" si="19"/>
        <v>0</v>
      </c>
      <c r="AI122" s="3">
        <v>85.000000004656613</v>
      </c>
      <c r="AJ122" s="2">
        <v>0</v>
      </c>
      <c r="AK122">
        <v>0</v>
      </c>
      <c r="AL122">
        <v>8</v>
      </c>
      <c r="AM122">
        <v>0</v>
      </c>
      <c r="AN122" s="2">
        <f>IF((2*G122+M122-O122+3*V122+2*AB122+2*AE122+2*AH122+3*AJ122)&gt;=7,1,0)</f>
        <v>0</v>
      </c>
    </row>
    <row r="123" spans="1:40" x14ac:dyDescent="0.25">
      <c r="A123" t="s">
        <v>27</v>
      </c>
      <c r="B123" s="1">
        <v>36881</v>
      </c>
      <c r="C123" s="6">
        <f t="shared" si="10"/>
        <v>2000</v>
      </c>
      <c r="D123">
        <v>53.7</v>
      </c>
      <c r="E123">
        <v>46.5</v>
      </c>
      <c r="F123">
        <v>51.7</v>
      </c>
      <c r="G123" s="2">
        <f t="shared" si="11"/>
        <v>0</v>
      </c>
      <c r="H123">
        <v>53.7</v>
      </c>
      <c r="I123">
        <v>43.6</v>
      </c>
      <c r="J123">
        <v>51.4</v>
      </c>
      <c r="K123">
        <v>36.700000000000003</v>
      </c>
      <c r="L123">
        <v>57.2</v>
      </c>
      <c r="M123" s="2">
        <f t="shared" si="12"/>
        <v>1</v>
      </c>
      <c r="N123">
        <v>0.107</v>
      </c>
      <c r="O123" s="2">
        <f t="shared" si="13"/>
        <v>0</v>
      </c>
      <c r="P123">
        <v>100</v>
      </c>
      <c r="Q123">
        <v>8.33</v>
      </c>
      <c r="R123" t="s">
        <v>182</v>
      </c>
      <c r="S123">
        <v>0</v>
      </c>
      <c r="T123">
        <v>0</v>
      </c>
      <c r="U123">
        <v>0</v>
      </c>
      <c r="V123" s="2">
        <f t="shared" si="14"/>
        <v>0</v>
      </c>
      <c r="W123">
        <v>12.8</v>
      </c>
      <c r="X123" s="2">
        <f t="shared" si="15"/>
        <v>0</v>
      </c>
      <c r="Y123">
        <v>30.6</v>
      </c>
      <c r="Z123" s="2" t="str">
        <f>CHOOSE(MATCH(Y123,{0;11;80;111;161;191;241;281;341},1),"North","NorthEast","East","SouthEast","South","SouthWest","West","NorthWest","North")</f>
        <v>NorthEast</v>
      </c>
      <c r="AA123" s="4">
        <f>CHOOSE(MATCH(Z123,{"South";"SouthEast";"SouthWest";"North";"NorthEast";"East";"West";"NorthWest"},0),1,2,3,4,5,6,7,8)</f>
        <v>5</v>
      </c>
      <c r="AB123" s="2">
        <f t="shared" si="16"/>
        <v>1</v>
      </c>
      <c r="AC123">
        <v>1021.4</v>
      </c>
      <c r="AD123" t="s">
        <v>248</v>
      </c>
      <c r="AE123" s="2">
        <f t="shared" si="17"/>
        <v>1</v>
      </c>
      <c r="AF123" t="s">
        <v>249</v>
      </c>
      <c r="AG123" s="2">
        <f t="shared" si="18"/>
        <v>12</v>
      </c>
      <c r="AH123" s="2">
        <f t="shared" si="19"/>
        <v>0</v>
      </c>
      <c r="AI123" s="3">
        <v>116.00000000093129</v>
      </c>
      <c r="AJ123" s="2">
        <v>0</v>
      </c>
      <c r="AK123">
        <v>2</v>
      </c>
      <c r="AL123">
        <v>0</v>
      </c>
      <c r="AM123">
        <v>0</v>
      </c>
      <c r="AN123" s="2">
        <f>IF((2*G123+M123-O123+3*V123+2*AB123+2*AE123+2*AH123+3*AJ123)&gt;=7,1,0)</f>
        <v>0</v>
      </c>
    </row>
    <row r="124" spans="1:40" x14ac:dyDescent="0.25">
      <c r="A124" t="s">
        <v>27</v>
      </c>
      <c r="B124" s="1">
        <v>36888</v>
      </c>
      <c r="C124" s="6">
        <f t="shared" si="10"/>
        <v>2000</v>
      </c>
      <c r="D124">
        <v>66.3</v>
      </c>
      <c r="E124">
        <v>62.7</v>
      </c>
      <c r="F124">
        <v>63.6</v>
      </c>
      <c r="G124" s="2">
        <f t="shared" si="11"/>
        <v>0</v>
      </c>
      <c r="H124">
        <v>66.3</v>
      </c>
      <c r="I124">
        <v>62.7</v>
      </c>
      <c r="J124">
        <v>63.6</v>
      </c>
      <c r="K124">
        <v>49.5</v>
      </c>
      <c r="L124">
        <v>60.1</v>
      </c>
      <c r="M124" s="2">
        <f t="shared" si="12"/>
        <v>1</v>
      </c>
      <c r="N124">
        <v>0</v>
      </c>
      <c r="O124" s="2">
        <f t="shared" si="13"/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s="2">
        <f t="shared" si="14"/>
        <v>0</v>
      </c>
      <c r="W124">
        <v>23</v>
      </c>
      <c r="X124" s="2">
        <f t="shared" si="15"/>
        <v>1</v>
      </c>
      <c r="Y124">
        <v>173</v>
      </c>
      <c r="Z124" s="2" t="str">
        <f>CHOOSE(MATCH(Y124,{0;11;80;111;161;191;241;281;341},1),"North","NorthEast","East","SouthEast","South","SouthWest","West","NorthWest","North")</f>
        <v>South</v>
      </c>
      <c r="AA124" s="4">
        <f>CHOOSE(MATCH(Z124,{"South";"SouthEast";"SouthWest";"North";"NorthEast";"East";"West";"NorthWest"},0),1,2,3,4,5,6,7,8)</f>
        <v>1</v>
      </c>
      <c r="AB124" s="2">
        <f t="shared" si="16"/>
        <v>0</v>
      </c>
      <c r="AC124">
        <v>1011.5</v>
      </c>
      <c r="AD124" t="s">
        <v>47</v>
      </c>
      <c r="AE124" s="2">
        <f t="shared" si="17"/>
        <v>1</v>
      </c>
      <c r="AF124" t="s">
        <v>250</v>
      </c>
      <c r="AG124" s="2">
        <f t="shared" si="18"/>
        <v>12</v>
      </c>
      <c r="AH124" s="2">
        <f t="shared" si="19"/>
        <v>0</v>
      </c>
      <c r="AI124" s="3">
        <v>210.99999999627471</v>
      </c>
      <c r="AJ124" s="2">
        <v>0</v>
      </c>
      <c r="AK124">
        <v>3</v>
      </c>
      <c r="AL124">
        <v>0</v>
      </c>
      <c r="AM124">
        <v>0</v>
      </c>
      <c r="AN124" s="2">
        <f>IF((2*G124+M124-O124+3*V124+2*AB124+2*AE124+2*AH124+3*AJ124)&gt;=7,1,0)</f>
        <v>0</v>
      </c>
    </row>
    <row r="125" spans="1:40" x14ac:dyDescent="0.25">
      <c r="A125" t="s">
        <v>27</v>
      </c>
      <c r="B125" s="1">
        <v>36903</v>
      </c>
      <c r="C125" s="6">
        <f t="shared" si="10"/>
        <v>2001</v>
      </c>
      <c r="D125">
        <v>62.7</v>
      </c>
      <c r="E125">
        <v>46.5</v>
      </c>
      <c r="F125">
        <v>54.8</v>
      </c>
      <c r="G125" s="2">
        <f t="shared" si="11"/>
        <v>0</v>
      </c>
      <c r="H125">
        <v>62.7</v>
      </c>
      <c r="I125">
        <v>43</v>
      </c>
      <c r="J125">
        <v>53.9</v>
      </c>
      <c r="K125">
        <v>45</v>
      </c>
      <c r="L125">
        <v>70.7</v>
      </c>
      <c r="M125" s="2">
        <f t="shared" si="12"/>
        <v>0</v>
      </c>
      <c r="N125">
        <v>0</v>
      </c>
      <c r="O125" s="2">
        <f t="shared" si="13"/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s="2">
        <f t="shared" si="14"/>
        <v>0</v>
      </c>
      <c r="W125">
        <v>13.9</v>
      </c>
      <c r="X125" s="2">
        <f t="shared" si="15"/>
        <v>0</v>
      </c>
      <c r="Y125">
        <v>251.9</v>
      </c>
      <c r="Z125" s="2" t="str">
        <f>CHOOSE(MATCH(Y125,{0;11;80;111;161;191;241;281;341},1),"North","NorthEast","East","SouthEast","South","SouthWest","West","NorthWest","North")</f>
        <v>West</v>
      </c>
      <c r="AA125" s="4">
        <f>CHOOSE(MATCH(Z125,{"South";"SouthEast";"SouthWest";"North";"NorthEast";"East";"West";"NorthWest"},0),1,2,3,4,5,6,7,8)</f>
        <v>7</v>
      </c>
      <c r="AB125" s="2">
        <f t="shared" si="16"/>
        <v>0</v>
      </c>
      <c r="AC125">
        <v>1020.1</v>
      </c>
      <c r="AD125" t="s">
        <v>251</v>
      </c>
      <c r="AE125" s="2">
        <f t="shared" si="17"/>
        <v>1</v>
      </c>
      <c r="AF125" t="s">
        <v>252</v>
      </c>
      <c r="AG125" s="2">
        <f t="shared" si="18"/>
        <v>1</v>
      </c>
      <c r="AH125" s="2">
        <f t="shared" si="19"/>
        <v>0</v>
      </c>
      <c r="AI125" s="3">
        <v>180</v>
      </c>
      <c r="AJ125" s="2">
        <v>0</v>
      </c>
      <c r="AK125">
        <v>0</v>
      </c>
      <c r="AL125">
        <v>5</v>
      </c>
      <c r="AM125">
        <v>0</v>
      </c>
      <c r="AN125" s="2">
        <f>IF((2*G125+M125-O125+3*V125+2*AB125+2*AE125+2*AH125+3*AJ125)&gt;=7,1,0)</f>
        <v>0</v>
      </c>
    </row>
    <row r="126" spans="1:40" x14ac:dyDescent="0.25">
      <c r="A126" t="s">
        <v>27</v>
      </c>
      <c r="B126" s="1">
        <v>36911</v>
      </c>
      <c r="C126" s="6">
        <f t="shared" si="10"/>
        <v>2001</v>
      </c>
      <c r="D126">
        <v>55.5</v>
      </c>
      <c r="E126">
        <v>48.3</v>
      </c>
      <c r="F126">
        <v>53.1</v>
      </c>
      <c r="G126" s="2">
        <f t="shared" si="11"/>
        <v>0</v>
      </c>
      <c r="H126">
        <v>55.5</v>
      </c>
      <c r="I126">
        <v>46.4</v>
      </c>
      <c r="J126">
        <v>53</v>
      </c>
      <c r="K126">
        <v>38</v>
      </c>
      <c r="L126">
        <v>57</v>
      </c>
      <c r="M126" s="2">
        <f t="shared" si="12"/>
        <v>1</v>
      </c>
      <c r="N126">
        <v>0</v>
      </c>
      <c r="O126" s="2">
        <f t="shared" si="13"/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s="2">
        <f t="shared" si="14"/>
        <v>0</v>
      </c>
      <c r="W126">
        <v>17.2</v>
      </c>
      <c r="X126" s="2">
        <f t="shared" si="15"/>
        <v>1</v>
      </c>
      <c r="Y126">
        <v>341.9</v>
      </c>
      <c r="Z126" s="2" t="str">
        <f>CHOOSE(MATCH(Y126,{0;11;80;111;161;191;241;281;341},1),"North","NorthEast","East","SouthEast","South","SouthWest","West","NorthWest","North")</f>
        <v>North</v>
      </c>
      <c r="AA126" s="4">
        <f>CHOOSE(MATCH(Z126,{"South";"SouthEast";"SouthWest";"North";"NorthEast";"East";"West";"NorthWest"},0),1,2,3,4,5,6,7,8)</f>
        <v>4</v>
      </c>
      <c r="AB126" s="2">
        <f t="shared" si="16"/>
        <v>1</v>
      </c>
      <c r="AC126">
        <v>1023.1</v>
      </c>
      <c r="AD126" t="s">
        <v>191</v>
      </c>
      <c r="AE126" s="2">
        <f t="shared" si="17"/>
        <v>1</v>
      </c>
      <c r="AF126" t="s">
        <v>253</v>
      </c>
      <c r="AG126" s="2">
        <f t="shared" si="18"/>
        <v>1</v>
      </c>
      <c r="AH126" s="2">
        <f t="shared" si="19"/>
        <v>0</v>
      </c>
      <c r="AI126" s="3">
        <v>81.000000002095476</v>
      </c>
      <c r="AJ126" s="2">
        <v>0</v>
      </c>
      <c r="AK126">
        <v>0</v>
      </c>
      <c r="AL126">
        <v>0.5</v>
      </c>
      <c r="AM126">
        <v>0</v>
      </c>
      <c r="AN126" s="2">
        <f>IF((2*G126+M126-O126+3*V126+2*AB126+2*AE126+2*AH126+3*AJ126)&gt;=7,1,0)</f>
        <v>0</v>
      </c>
    </row>
    <row r="127" spans="1:40" x14ac:dyDescent="0.25">
      <c r="A127" t="s">
        <v>27</v>
      </c>
      <c r="B127" s="1">
        <v>36915</v>
      </c>
      <c r="C127" s="6">
        <f t="shared" si="10"/>
        <v>2001</v>
      </c>
      <c r="D127">
        <v>60.9</v>
      </c>
      <c r="E127">
        <v>46.5</v>
      </c>
      <c r="F127">
        <v>54.3</v>
      </c>
      <c r="G127" s="2">
        <f t="shared" si="11"/>
        <v>0</v>
      </c>
      <c r="H127">
        <v>60.9</v>
      </c>
      <c r="I127">
        <v>43</v>
      </c>
      <c r="J127">
        <v>54</v>
      </c>
      <c r="K127">
        <v>47</v>
      </c>
      <c r="L127">
        <v>76.599999999999994</v>
      </c>
      <c r="M127" s="2">
        <f t="shared" si="12"/>
        <v>0</v>
      </c>
      <c r="N127">
        <v>0.11799999999999999</v>
      </c>
      <c r="O127" s="2">
        <f t="shared" si="13"/>
        <v>0</v>
      </c>
      <c r="P127">
        <v>100</v>
      </c>
      <c r="Q127">
        <v>4.17</v>
      </c>
      <c r="R127" t="s">
        <v>182</v>
      </c>
      <c r="S127">
        <v>0</v>
      </c>
      <c r="T127">
        <v>0</v>
      </c>
      <c r="U127">
        <v>0</v>
      </c>
      <c r="V127" s="2">
        <f t="shared" si="14"/>
        <v>0</v>
      </c>
      <c r="W127">
        <v>11.4</v>
      </c>
      <c r="X127" s="2">
        <f t="shared" si="15"/>
        <v>0</v>
      </c>
      <c r="Y127">
        <v>260.2</v>
      </c>
      <c r="Z127" s="2" t="str">
        <f>CHOOSE(MATCH(Y127,{0;11;80;111;161;191;241;281;341},1),"North","NorthEast","East","SouthEast","South","SouthWest","West","NorthWest","North")</f>
        <v>West</v>
      </c>
      <c r="AA127" s="4">
        <f>CHOOSE(MATCH(Z127,{"South";"SouthEast";"SouthWest";"North";"NorthEast";"East";"West";"NorthWest"},0),1,2,3,4,5,6,7,8)</f>
        <v>7</v>
      </c>
      <c r="AB127" s="2">
        <f t="shared" si="16"/>
        <v>0</v>
      </c>
      <c r="AC127">
        <v>1021.7</v>
      </c>
      <c r="AD127" t="s">
        <v>76</v>
      </c>
      <c r="AE127" s="2">
        <f t="shared" si="17"/>
        <v>1</v>
      </c>
      <c r="AF127" t="s">
        <v>254</v>
      </c>
      <c r="AG127" s="2">
        <f t="shared" si="18"/>
        <v>1</v>
      </c>
      <c r="AH127" s="2">
        <f t="shared" si="19"/>
        <v>0</v>
      </c>
      <c r="AI127" s="3">
        <v>90.99999999278225</v>
      </c>
      <c r="AJ127" s="2">
        <v>0</v>
      </c>
      <c r="AK127">
        <v>0</v>
      </c>
      <c r="AL127">
        <v>0.5</v>
      </c>
      <c r="AM127">
        <v>0</v>
      </c>
      <c r="AN127" s="2">
        <f>IF((2*G127+M127-O127+3*V127+2*AB127+2*AE127+2*AH127+3*AJ127)&gt;=7,1,0)</f>
        <v>0</v>
      </c>
    </row>
    <row r="128" spans="1:40" x14ac:dyDescent="0.25">
      <c r="A128" t="s">
        <v>27</v>
      </c>
      <c r="B128" s="1">
        <v>36915</v>
      </c>
      <c r="C128" s="6">
        <f t="shared" si="10"/>
        <v>2001</v>
      </c>
      <c r="D128">
        <v>60.9</v>
      </c>
      <c r="E128">
        <v>46.5</v>
      </c>
      <c r="F128">
        <v>54.3</v>
      </c>
      <c r="G128" s="2">
        <f t="shared" si="11"/>
        <v>0</v>
      </c>
      <c r="H128">
        <v>60.9</v>
      </c>
      <c r="I128">
        <v>43</v>
      </c>
      <c r="J128">
        <v>54</v>
      </c>
      <c r="K128">
        <v>47</v>
      </c>
      <c r="L128">
        <v>76.599999999999994</v>
      </c>
      <c r="M128" s="2">
        <f t="shared" si="12"/>
        <v>0</v>
      </c>
      <c r="N128">
        <v>0.11799999999999999</v>
      </c>
      <c r="O128" s="2">
        <f t="shared" si="13"/>
        <v>0</v>
      </c>
      <c r="P128">
        <v>100</v>
      </c>
      <c r="Q128">
        <v>4.17</v>
      </c>
      <c r="R128" t="s">
        <v>182</v>
      </c>
      <c r="S128">
        <v>0</v>
      </c>
      <c r="T128">
        <v>0</v>
      </c>
      <c r="U128">
        <v>0</v>
      </c>
      <c r="V128" s="2">
        <f t="shared" si="14"/>
        <v>0</v>
      </c>
      <c r="W128">
        <v>11.4</v>
      </c>
      <c r="X128" s="2">
        <f t="shared" si="15"/>
        <v>0</v>
      </c>
      <c r="Y128">
        <v>260.2</v>
      </c>
      <c r="Z128" s="2" t="str">
        <f>CHOOSE(MATCH(Y128,{0;11;80;111;161;191;241;281;341},1),"North","NorthEast","East","SouthEast","South","SouthWest","West","NorthWest","North")</f>
        <v>West</v>
      </c>
      <c r="AA128" s="4">
        <f>CHOOSE(MATCH(Z128,{"South";"SouthEast";"SouthWest";"North";"NorthEast";"East";"West";"NorthWest"},0),1,2,3,4,5,6,7,8)</f>
        <v>7</v>
      </c>
      <c r="AB128" s="2">
        <f t="shared" si="16"/>
        <v>0</v>
      </c>
      <c r="AC128">
        <v>1021.7</v>
      </c>
      <c r="AD128" t="s">
        <v>112</v>
      </c>
      <c r="AE128" s="2">
        <f t="shared" si="17"/>
        <v>1</v>
      </c>
      <c r="AF128" t="s">
        <v>255</v>
      </c>
      <c r="AG128" s="2">
        <f t="shared" si="18"/>
        <v>1</v>
      </c>
      <c r="AH128" s="2">
        <f t="shared" si="19"/>
        <v>0</v>
      </c>
      <c r="AI128" s="3">
        <v>130.00000000465661</v>
      </c>
      <c r="AJ128" s="2">
        <v>0</v>
      </c>
      <c r="AK128">
        <v>1</v>
      </c>
      <c r="AL128">
        <v>0</v>
      </c>
      <c r="AM128">
        <v>0</v>
      </c>
      <c r="AN128" s="2">
        <f>IF((2*G128+M128-O128+3*V128+2*AB128+2*AE128+2*AH128+3*AJ128)&gt;=7,1,0)</f>
        <v>0</v>
      </c>
    </row>
    <row r="129" spans="1:40" x14ac:dyDescent="0.25">
      <c r="A129" t="s">
        <v>27</v>
      </c>
      <c r="B129" s="1">
        <v>36929</v>
      </c>
      <c r="C129" s="6">
        <f t="shared" si="10"/>
        <v>2001</v>
      </c>
      <c r="D129">
        <v>60.9</v>
      </c>
      <c r="E129">
        <v>48.3</v>
      </c>
      <c r="F129">
        <v>54.4</v>
      </c>
      <c r="G129" s="2">
        <f t="shared" si="11"/>
        <v>0</v>
      </c>
      <c r="H129">
        <v>60.9</v>
      </c>
      <c r="I129">
        <v>46.4</v>
      </c>
      <c r="J129">
        <v>54.1</v>
      </c>
      <c r="K129">
        <v>48.8</v>
      </c>
      <c r="L129">
        <v>82</v>
      </c>
      <c r="M129" s="2">
        <f t="shared" si="12"/>
        <v>0</v>
      </c>
      <c r="N129">
        <v>0</v>
      </c>
      <c r="O129" s="2">
        <f t="shared" si="13"/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s="2">
        <f t="shared" si="14"/>
        <v>0</v>
      </c>
      <c r="W129">
        <v>9.1999999999999993</v>
      </c>
      <c r="X129" s="2">
        <f t="shared" si="15"/>
        <v>0</v>
      </c>
      <c r="Y129">
        <v>277</v>
      </c>
      <c r="Z129" s="2" t="str">
        <f>CHOOSE(MATCH(Y129,{0;11;80;111;161;191;241;281;341},1),"North","NorthEast","East","SouthEast","South","SouthWest","West","NorthWest","North")</f>
        <v>West</v>
      </c>
      <c r="AA129" s="4">
        <f>CHOOSE(MATCH(Z129,{"South";"SouthEast";"SouthWest";"North";"NorthEast";"East";"West";"NorthWest"},0),1,2,3,4,5,6,7,8)</f>
        <v>7</v>
      </c>
      <c r="AB129" s="2">
        <f t="shared" si="16"/>
        <v>0</v>
      </c>
      <c r="AC129">
        <v>1023.7</v>
      </c>
      <c r="AD129" t="s">
        <v>256</v>
      </c>
      <c r="AE129" s="2">
        <f t="shared" si="17"/>
        <v>1</v>
      </c>
      <c r="AF129" t="s">
        <v>257</v>
      </c>
      <c r="AG129" s="2">
        <f t="shared" si="18"/>
        <v>2</v>
      </c>
      <c r="AH129" s="2">
        <f t="shared" si="19"/>
        <v>0</v>
      </c>
      <c r="AI129" s="3">
        <v>55.999999993946403</v>
      </c>
      <c r="AJ129" s="2">
        <v>0</v>
      </c>
      <c r="AK129">
        <v>0</v>
      </c>
      <c r="AL129">
        <v>2</v>
      </c>
      <c r="AM129">
        <v>0</v>
      </c>
      <c r="AN129" s="2">
        <f>IF((2*G129+M129-O129+3*V129+2*AB129+2*AE129+2*AH129+3*AJ129)&gt;=7,1,0)</f>
        <v>0</v>
      </c>
    </row>
    <row r="130" spans="1:40" x14ac:dyDescent="0.25">
      <c r="A130" t="s">
        <v>27</v>
      </c>
      <c r="B130" s="1">
        <v>36929</v>
      </c>
      <c r="C130" s="6">
        <f t="shared" si="10"/>
        <v>2001</v>
      </c>
      <c r="D130">
        <v>60.9</v>
      </c>
      <c r="E130">
        <v>48.3</v>
      </c>
      <c r="F130">
        <v>54.4</v>
      </c>
      <c r="G130" s="2">
        <f t="shared" si="11"/>
        <v>0</v>
      </c>
      <c r="H130">
        <v>60.9</v>
      </c>
      <c r="I130">
        <v>46.4</v>
      </c>
      <c r="J130">
        <v>54.1</v>
      </c>
      <c r="K130">
        <v>48.8</v>
      </c>
      <c r="L130">
        <v>82</v>
      </c>
      <c r="M130" s="2">
        <f t="shared" si="12"/>
        <v>0</v>
      </c>
      <c r="N130">
        <v>0</v>
      </c>
      <c r="O130" s="2">
        <f t="shared" si="13"/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s="2">
        <f t="shared" si="14"/>
        <v>0</v>
      </c>
      <c r="W130">
        <v>9.1999999999999993</v>
      </c>
      <c r="X130" s="2">
        <f t="shared" si="15"/>
        <v>0</v>
      </c>
      <c r="Y130">
        <v>277</v>
      </c>
      <c r="Z130" s="2" t="str">
        <f>CHOOSE(MATCH(Y130,{0;11;80;111;161;191;241;281;341},1),"North","NorthEast","East","SouthEast","South","SouthWest","West","NorthWest","North")</f>
        <v>West</v>
      </c>
      <c r="AA130" s="4">
        <f>CHOOSE(MATCH(Z130,{"South";"SouthEast";"SouthWest";"North";"NorthEast";"East";"West";"NorthWest"},0),1,2,3,4,5,6,7,8)</f>
        <v>7</v>
      </c>
      <c r="AB130" s="2">
        <f t="shared" si="16"/>
        <v>0</v>
      </c>
      <c r="AC130">
        <v>1023.7</v>
      </c>
      <c r="AD130" t="s">
        <v>258</v>
      </c>
      <c r="AE130" s="2">
        <f t="shared" si="17"/>
        <v>1</v>
      </c>
      <c r="AF130" t="s">
        <v>259</v>
      </c>
      <c r="AG130" s="2">
        <f t="shared" si="18"/>
        <v>2</v>
      </c>
      <c r="AH130" s="2">
        <f t="shared" si="19"/>
        <v>0</v>
      </c>
      <c r="AI130" s="3">
        <v>116.00000000093129</v>
      </c>
      <c r="AJ130" s="2">
        <v>0</v>
      </c>
      <c r="AK130">
        <v>0</v>
      </c>
      <c r="AL130">
        <v>1</v>
      </c>
      <c r="AM130">
        <v>0</v>
      </c>
      <c r="AN130" s="2">
        <f>IF((2*G130+M130-O130+3*V130+2*AB130+2*AE130+2*AH130+3*AJ130)&gt;=7,1,0)</f>
        <v>0</v>
      </c>
    </row>
    <row r="131" spans="1:40" x14ac:dyDescent="0.25">
      <c r="A131" t="s">
        <v>27</v>
      </c>
      <c r="B131" s="1">
        <v>36947</v>
      </c>
      <c r="C131" s="6">
        <f t="shared" ref="C131:C194" si="20">YEAR(B131)</f>
        <v>2001</v>
      </c>
      <c r="D131">
        <v>73.5</v>
      </c>
      <c r="E131">
        <v>57.3</v>
      </c>
      <c r="F131">
        <v>63.8</v>
      </c>
      <c r="G131" s="2">
        <f t="shared" ref="G131:G194" si="21">IF(F131&lt;=70,0,1)</f>
        <v>0</v>
      </c>
      <c r="H131">
        <v>73.5</v>
      </c>
      <c r="I131">
        <v>57.3</v>
      </c>
      <c r="J131">
        <v>63.8</v>
      </c>
      <c r="K131">
        <v>36.6</v>
      </c>
      <c r="L131">
        <v>38.200000000000003</v>
      </c>
      <c r="M131" s="2">
        <f t="shared" ref="M131:M194" si="22">IF(L131&lt;=66,1,0)</f>
        <v>1</v>
      </c>
      <c r="N131">
        <v>0</v>
      </c>
      <c r="O131" s="2">
        <f t="shared" ref="O131:O194" si="23">IF(N131&lt;=0.01,1,0)</f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s="2">
        <f t="shared" ref="V131:V194" si="24">IF(U131&lt;=9,0,1)</f>
        <v>0</v>
      </c>
      <c r="W131">
        <v>21.9</v>
      </c>
      <c r="X131" s="2">
        <f t="shared" ref="X131:X194" si="25">IF(W131&gt;=16,1,0)</f>
        <v>1</v>
      </c>
      <c r="Y131">
        <v>186.8</v>
      </c>
      <c r="Z131" s="2" t="str">
        <f>CHOOSE(MATCH(Y131,{0;11;80;111;161;191;241;281;341},1),"North","NorthEast","East","SouthEast","South","SouthWest","West","NorthWest","North")</f>
        <v>South</v>
      </c>
      <c r="AA131" s="4">
        <f>CHOOSE(MATCH(Z131,{"South";"SouthEast";"SouthWest";"North";"NorthEast";"East";"West";"NorthWest"},0),1,2,3,4,5,6,7,8)</f>
        <v>1</v>
      </c>
      <c r="AB131" s="2">
        <f t="shared" ref="AB131:AB194" si="26">IF(OR(AA131=4,AA131=5,AA131=8),1,0)</f>
        <v>0</v>
      </c>
      <c r="AC131">
        <v>1010.7</v>
      </c>
      <c r="AD131" t="s">
        <v>211</v>
      </c>
      <c r="AE131" s="2">
        <f t="shared" ref="AE131:AE194" si="27">IF(TIMEVALUE(AD131)&lt;=TIME(12,30,0),0,1)</f>
        <v>1</v>
      </c>
      <c r="AF131" t="s">
        <v>260</v>
      </c>
      <c r="AG131" s="2">
        <f t="shared" ref="AG131:AG194" si="28">MONTH(AF131)</f>
        <v>2</v>
      </c>
      <c r="AH131" s="2">
        <f t="shared" ref="AH131:AH194" si="29">IF(OR(AG131=6,AG131=7,AG131=8),1,0)</f>
        <v>0</v>
      </c>
      <c r="AI131" s="3">
        <v>146.00000000442381</v>
      </c>
      <c r="AJ131" s="2">
        <v>0</v>
      </c>
      <c r="AK131">
        <v>0</v>
      </c>
      <c r="AL131">
        <v>2</v>
      </c>
      <c r="AM131">
        <v>0</v>
      </c>
      <c r="AN131" s="2">
        <f>IF((2*G131+M131-O131+3*V131+2*AB131+2*AE131+2*AH131+3*AJ131)&gt;=7,1,0)</f>
        <v>0</v>
      </c>
    </row>
    <row r="132" spans="1:40" x14ac:dyDescent="0.25">
      <c r="A132" t="s">
        <v>27</v>
      </c>
      <c r="B132" s="1">
        <v>36948</v>
      </c>
      <c r="C132" s="6">
        <f t="shared" si="20"/>
        <v>2001</v>
      </c>
      <c r="D132">
        <v>69.900000000000006</v>
      </c>
      <c r="E132">
        <v>57.3</v>
      </c>
      <c r="F132">
        <v>64.900000000000006</v>
      </c>
      <c r="G132" s="2">
        <f t="shared" si="21"/>
        <v>0</v>
      </c>
      <c r="H132">
        <v>69.900000000000006</v>
      </c>
      <c r="I132">
        <v>57.3</v>
      </c>
      <c r="J132">
        <v>64.900000000000006</v>
      </c>
      <c r="K132">
        <v>42.6</v>
      </c>
      <c r="L132">
        <v>46.2</v>
      </c>
      <c r="M132" s="2">
        <f t="shared" si="22"/>
        <v>1</v>
      </c>
      <c r="N132">
        <v>0</v>
      </c>
      <c r="O132" s="2">
        <f t="shared" si="23"/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s="2">
        <f t="shared" si="24"/>
        <v>0</v>
      </c>
      <c r="W132">
        <v>34.4</v>
      </c>
      <c r="X132" s="2">
        <f t="shared" si="25"/>
        <v>1</v>
      </c>
      <c r="Y132">
        <v>190.1</v>
      </c>
      <c r="Z132" s="2" t="str">
        <f>CHOOSE(MATCH(Y132,{0;11;80;111;161;191;241;281;341},1),"North","NorthEast","East","SouthEast","South","SouthWest","West","NorthWest","North")</f>
        <v>South</v>
      </c>
      <c r="AA132" s="4">
        <f>CHOOSE(MATCH(Z132,{"South";"SouthEast";"SouthWest";"North";"NorthEast";"East";"West";"NorthWest"},0),1,2,3,4,5,6,7,8)</f>
        <v>1</v>
      </c>
      <c r="AB132" s="2">
        <f t="shared" si="26"/>
        <v>0</v>
      </c>
      <c r="AC132">
        <v>1005.3</v>
      </c>
      <c r="AD132" t="s">
        <v>261</v>
      </c>
      <c r="AE132" s="2">
        <f t="shared" si="27"/>
        <v>1</v>
      </c>
      <c r="AF132" t="s">
        <v>262</v>
      </c>
      <c r="AG132" s="2">
        <f t="shared" si="28"/>
        <v>2</v>
      </c>
      <c r="AH132" s="2">
        <f t="shared" si="29"/>
        <v>0</v>
      </c>
      <c r="AI132" s="3">
        <v>36.000000002095483</v>
      </c>
      <c r="AJ132" s="2">
        <v>0</v>
      </c>
      <c r="AK132">
        <v>0</v>
      </c>
      <c r="AL132">
        <v>50</v>
      </c>
      <c r="AM132">
        <v>0</v>
      </c>
      <c r="AN132" s="2">
        <f>IF((2*G132+M132-O132+3*V132+2*AB132+2*AE132+2*AH132+3*AJ132)&gt;=7,1,0)</f>
        <v>0</v>
      </c>
    </row>
    <row r="133" spans="1:40" x14ac:dyDescent="0.25">
      <c r="A133" t="s">
        <v>27</v>
      </c>
      <c r="B133" s="1">
        <v>36949</v>
      </c>
      <c r="C133" s="6">
        <f t="shared" si="20"/>
        <v>2001</v>
      </c>
      <c r="D133">
        <v>60.9</v>
      </c>
      <c r="E133">
        <v>50.1</v>
      </c>
      <c r="F133">
        <v>55.7</v>
      </c>
      <c r="G133" s="2">
        <f t="shared" si="21"/>
        <v>0</v>
      </c>
      <c r="H133">
        <v>60.9</v>
      </c>
      <c r="I133">
        <v>50.1</v>
      </c>
      <c r="J133">
        <v>55.7</v>
      </c>
      <c r="K133">
        <v>46.4</v>
      </c>
      <c r="L133">
        <v>72.2</v>
      </c>
      <c r="M133" s="2">
        <f t="shared" si="22"/>
        <v>0</v>
      </c>
      <c r="N133">
        <v>0</v>
      </c>
      <c r="O133" s="2">
        <f t="shared" si="23"/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s="2">
        <f t="shared" si="24"/>
        <v>0</v>
      </c>
      <c r="W133">
        <v>16.100000000000001</v>
      </c>
      <c r="X133" s="2">
        <f t="shared" si="25"/>
        <v>1</v>
      </c>
      <c r="Y133">
        <v>308.3</v>
      </c>
      <c r="Z133" s="2" t="str">
        <f>CHOOSE(MATCH(Y133,{0;11;80;111;161;191;241;281;341},1),"North","NorthEast","East","SouthEast","South","SouthWest","West","NorthWest","North")</f>
        <v>NorthWest</v>
      </c>
      <c r="AA133" s="4">
        <f>CHOOSE(MATCH(Z133,{"South";"SouthEast";"SouthWest";"North";"NorthEast";"East";"West";"NorthWest"},0),1,2,3,4,5,6,7,8)</f>
        <v>8</v>
      </c>
      <c r="AB133" s="2">
        <f t="shared" si="26"/>
        <v>1</v>
      </c>
      <c r="AC133">
        <v>1009.3</v>
      </c>
      <c r="AD133" t="s">
        <v>263</v>
      </c>
      <c r="AE133" s="2">
        <f t="shared" si="27"/>
        <v>1</v>
      </c>
      <c r="AF133" t="s">
        <v>264</v>
      </c>
      <c r="AG133" s="2">
        <f t="shared" si="28"/>
        <v>2</v>
      </c>
      <c r="AH133" s="2">
        <f t="shared" si="29"/>
        <v>0</v>
      </c>
      <c r="AI133" s="3">
        <v>806.00000000791624</v>
      </c>
      <c r="AJ133" s="2">
        <v>1</v>
      </c>
      <c r="AK133">
        <v>0</v>
      </c>
      <c r="AL133">
        <v>30</v>
      </c>
      <c r="AM133">
        <v>0</v>
      </c>
      <c r="AN133" s="2">
        <f>IF((2*G133+M133-O133+3*V133+2*AB133+2*AE133+2*AH133+3*AJ133)&gt;=7,1,0)</f>
        <v>0</v>
      </c>
    </row>
    <row r="134" spans="1:40" x14ac:dyDescent="0.25">
      <c r="A134" t="s">
        <v>27</v>
      </c>
      <c r="B134" s="1">
        <v>36949</v>
      </c>
      <c r="C134" s="6">
        <f t="shared" si="20"/>
        <v>2001</v>
      </c>
      <c r="D134">
        <v>60.9</v>
      </c>
      <c r="E134">
        <v>50.1</v>
      </c>
      <c r="F134">
        <v>55.7</v>
      </c>
      <c r="G134" s="2">
        <f t="shared" si="21"/>
        <v>0</v>
      </c>
      <c r="H134">
        <v>60.9</v>
      </c>
      <c r="I134">
        <v>50.1</v>
      </c>
      <c r="J134">
        <v>55.7</v>
      </c>
      <c r="K134">
        <v>46.4</v>
      </c>
      <c r="L134">
        <v>72.2</v>
      </c>
      <c r="M134" s="2">
        <f t="shared" si="22"/>
        <v>0</v>
      </c>
      <c r="N134">
        <v>0</v>
      </c>
      <c r="O134" s="2">
        <f t="shared" si="23"/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s="2">
        <f t="shared" si="24"/>
        <v>0</v>
      </c>
      <c r="W134">
        <v>16.100000000000001</v>
      </c>
      <c r="X134" s="2">
        <f t="shared" si="25"/>
        <v>1</v>
      </c>
      <c r="Y134">
        <v>308.3</v>
      </c>
      <c r="Z134" s="2" t="str">
        <f>CHOOSE(MATCH(Y134,{0;11;80;111;161;191;241;281;341},1),"North","NorthEast","East","SouthEast","South","SouthWest","West","NorthWest","North")</f>
        <v>NorthWest</v>
      </c>
      <c r="AA134" s="4">
        <f>CHOOSE(MATCH(Z134,{"South";"SouthEast";"SouthWest";"North";"NorthEast";"East";"West";"NorthWest"},0),1,2,3,4,5,6,7,8)</f>
        <v>8</v>
      </c>
      <c r="AB134" s="2">
        <f t="shared" si="26"/>
        <v>1</v>
      </c>
      <c r="AC134">
        <v>1009.3</v>
      </c>
      <c r="AD134" t="s">
        <v>88</v>
      </c>
      <c r="AE134" s="2">
        <f t="shared" si="27"/>
        <v>1</v>
      </c>
      <c r="AF134" t="s">
        <v>265</v>
      </c>
      <c r="AG134" s="2">
        <f t="shared" si="28"/>
        <v>2</v>
      </c>
      <c r="AH134" s="2">
        <f t="shared" si="29"/>
        <v>0</v>
      </c>
      <c r="AI134" s="3">
        <v>361.00000000325957</v>
      </c>
      <c r="AJ134" s="2">
        <v>1</v>
      </c>
      <c r="AK134">
        <v>0</v>
      </c>
      <c r="AL134">
        <v>2</v>
      </c>
      <c r="AM134">
        <v>0</v>
      </c>
      <c r="AN134" s="2">
        <f>IF((2*G134+M134-O134+3*V134+2*AB134+2*AE134+2*AH134+3*AJ134)&gt;=7,1,0)</f>
        <v>0</v>
      </c>
    </row>
    <row r="135" spans="1:40" x14ac:dyDescent="0.25">
      <c r="A135" t="s">
        <v>27</v>
      </c>
      <c r="B135" s="1">
        <v>36955</v>
      </c>
      <c r="C135" s="6">
        <f t="shared" si="20"/>
        <v>2001</v>
      </c>
      <c r="D135">
        <v>78.900000000000006</v>
      </c>
      <c r="E135">
        <v>59.1</v>
      </c>
      <c r="F135">
        <v>65.2</v>
      </c>
      <c r="G135" s="2">
        <f t="shared" si="21"/>
        <v>0</v>
      </c>
      <c r="H135">
        <v>78.900000000000006</v>
      </c>
      <c r="I135">
        <v>59.1</v>
      </c>
      <c r="J135">
        <v>65.2</v>
      </c>
      <c r="K135">
        <v>42.8</v>
      </c>
      <c r="L135">
        <v>45.7</v>
      </c>
      <c r="M135" s="2">
        <f t="shared" si="22"/>
        <v>1</v>
      </c>
      <c r="N135">
        <v>0</v>
      </c>
      <c r="O135" s="2">
        <f t="shared" si="23"/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s="2">
        <f t="shared" si="24"/>
        <v>0</v>
      </c>
      <c r="W135">
        <v>19.5</v>
      </c>
      <c r="X135" s="2">
        <f t="shared" si="25"/>
        <v>1</v>
      </c>
      <c r="Y135">
        <v>167.8</v>
      </c>
      <c r="Z135" s="2" t="str">
        <f>CHOOSE(MATCH(Y135,{0;11;80;111;161;191;241;281;341},1),"North","NorthEast","East","SouthEast","South","SouthWest","West","NorthWest","North")</f>
        <v>South</v>
      </c>
      <c r="AA135" s="4">
        <f>CHOOSE(MATCH(Z135,{"South";"SouthEast";"SouthWest";"North";"NorthEast";"East";"West";"NorthWest"},0),1,2,3,4,5,6,7,8)</f>
        <v>1</v>
      </c>
      <c r="AB135" s="2">
        <f t="shared" si="26"/>
        <v>0</v>
      </c>
      <c r="AC135">
        <v>1019</v>
      </c>
      <c r="AD135" t="s">
        <v>266</v>
      </c>
      <c r="AE135" s="2">
        <f t="shared" si="27"/>
        <v>1</v>
      </c>
      <c r="AF135" t="s">
        <v>267</v>
      </c>
      <c r="AG135" s="2">
        <f t="shared" si="28"/>
        <v>3</v>
      </c>
      <c r="AH135" s="2">
        <f t="shared" si="29"/>
        <v>0</v>
      </c>
      <c r="AI135" s="3">
        <v>100.0000000011642</v>
      </c>
      <c r="AJ135" s="2">
        <v>0</v>
      </c>
      <c r="AK135">
        <v>0</v>
      </c>
      <c r="AL135">
        <v>7</v>
      </c>
      <c r="AM135">
        <v>0</v>
      </c>
      <c r="AN135" s="2">
        <f>IF((2*G135+M135-O135+3*V135+2*AB135+2*AE135+2*AH135+3*AJ135)&gt;=7,1,0)</f>
        <v>0</v>
      </c>
    </row>
    <row r="136" spans="1:40" x14ac:dyDescent="0.25">
      <c r="A136" t="s">
        <v>27</v>
      </c>
      <c r="B136" s="1">
        <v>36956</v>
      </c>
      <c r="C136" s="6">
        <f t="shared" si="20"/>
        <v>2001</v>
      </c>
      <c r="D136">
        <v>73.5</v>
      </c>
      <c r="E136">
        <v>55.5</v>
      </c>
      <c r="F136">
        <v>63.6</v>
      </c>
      <c r="G136" s="2">
        <f t="shared" si="21"/>
        <v>0</v>
      </c>
      <c r="H136">
        <v>73.5</v>
      </c>
      <c r="I136">
        <v>55.5</v>
      </c>
      <c r="J136">
        <v>63.6</v>
      </c>
      <c r="K136">
        <v>43.4</v>
      </c>
      <c r="L136">
        <v>49.1</v>
      </c>
      <c r="M136" s="2">
        <f t="shared" si="22"/>
        <v>1</v>
      </c>
      <c r="N136">
        <v>0</v>
      </c>
      <c r="O136" s="2">
        <f t="shared" si="23"/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s="2">
        <f t="shared" si="24"/>
        <v>0</v>
      </c>
      <c r="W136">
        <v>9.1999999999999993</v>
      </c>
      <c r="X136" s="2">
        <f t="shared" si="25"/>
        <v>0</v>
      </c>
      <c r="Y136">
        <v>149.69999999999999</v>
      </c>
      <c r="Z136" s="2" t="str">
        <f>CHOOSE(MATCH(Y136,{0;11;80;111;161;191;241;281;341},1),"North","NorthEast","East","SouthEast","South","SouthWest","West","NorthWest","North")</f>
        <v>SouthEast</v>
      </c>
      <c r="AA136" s="4">
        <f>CHOOSE(MATCH(Z136,{"South";"SouthEast";"SouthWest";"North";"NorthEast";"East";"West";"NorthWest"},0),1,2,3,4,5,6,7,8)</f>
        <v>2</v>
      </c>
      <c r="AB136" s="2">
        <f t="shared" si="26"/>
        <v>0</v>
      </c>
      <c r="AC136">
        <v>1015.9</v>
      </c>
      <c r="AD136" t="s">
        <v>268</v>
      </c>
      <c r="AE136" s="2">
        <f t="shared" si="27"/>
        <v>1</v>
      </c>
      <c r="AF136" t="s">
        <v>269</v>
      </c>
      <c r="AG136" s="2">
        <f t="shared" si="28"/>
        <v>3</v>
      </c>
      <c r="AH136" s="2">
        <f t="shared" si="29"/>
        <v>0</v>
      </c>
      <c r="AI136" s="3">
        <v>34.999999998835847</v>
      </c>
      <c r="AJ136" s="2">
        <v>0</v>
      </c>
      <c r="AK136">
        <v>0</v>
      </c>
      <c r="AL136">
        <v>1</v>
      </c>
      <c r="AM136">
        <v>0</v>
      </c>
      <c r="AN136" s="2">
        <f>IF((2*G136+M136-O136+3*V136+2*AB136+2*AE136+2*AH136+3*AJ136)&gt;=7,1,0)</f>
        <v>0</v>
      </c>
    </row>
    <row r="137" spans="1:40" x14ac:dyDescent="0.25">
      <c r="A137" t="s">
        <v>27</v>
      </c>
      <c r="B137" s="1">
        <v>36965</v>
      </c>
      <c r="C137" s="6">
        <f t="shared" si="20"/>
        <v>2001</v>
      </c>
      <c r="D137">
        <v>62.7</v>
      </c>
      <c r="E137">
        <v>53.7</v>
      </c>
      <c r="F137">
        <v>57.8</v>
      </c>
      <c r="G137" s="2">
        <f t="shared" si="21"/>
        <v>0</v>
      </c>
      <c r="H137">
        <v>62.7</v>
      </c>
      <c r="I137">
        <v>53.7</v>
      </c>
      <c r="J137">
        <v>57.8</v>
      </c>
      <c r="K137">
        <v>47.5</v>
      </c>
      <c r="L137">
        <v>68.8</v>
      </c>
      <c r="M137" s="2">
        <f t="shared" si="22"/>
        <v>0</v>
      </c>
      <c r="N137">
        <v>0</v>
      </c>
      <c r="O137" s="2">
        <f t="shared" si="23"/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s="2">
        <f t="shared" si="24"/>
        <v>0</v>
      </c>
      <c r="W137">
        <v>17.2</v>
      </c>
      <c r="X137" s="2">
        <f t="shared" si="25"/>
        <v>1</v>
      </c>
      <c r="Y137">
        <v>292.39999999999998</v>
      </c>
      <c r="Z137" s="2" t="str">
        <f>CHOOSE(MATCH(Y137,{0;11;80;111;161;191;241;281;341},1),"North","NorthEast","East","SouthEast","South","SouthWest","West","NorthWest","North")</f>
        <v>NorthWest</v>
      </c>
      <c r="AA137" s="4">
        <f>CHOOSE(MATCH(Z137,{"South";"SouthEast";"SouthWest";"North";"NorthEast";"East";"West";"NorthWest"},0),1,2,3,4,5,6,7,8)</f>
        <v>8</v>
      </c>
      <c r="AB137" s="2">
        <f t="shared" si="26"/>
        <v>1</v>
      </c>
      <c r="AC137">
        <v>1013.7</v>
      </c>
      <c r="AD137" t="s">
        <v>173</v>
      </c>
      <c r="AE137" s="2">
        <f t="shared" si="27"/>
        <v>0</v>
      </c>
      <c r="AF137" t="s">
        <v>270</v>
      </c>
      <c r="AG137" s="2">
        <f t="shared" si="28"/>
        <v>3</v>
      </c>
      <c r="AH137" s="2">
        <f t="shared" si="29"/>
        <v>0</v>
      </c>
      <c r="AI137" s="3">
        <v>105.9999999997672</v>
      </c>
      <c r="AJ137" s="2">
        <v>0</v>
      </c>
      <c r="AK137">
        <v>0</v>
      </c>
      <c r="AL137">
        <v>2</v>
      </c>
      <c r="AM137">
        <v>0</v>
      </c>
      <c r="AN137" s="2">
        <f>IF((2*G137+M137-O137+3*V137+2*AB137+2*AE137+2*AH137+3*AJ137)&gt;=7,1,0)</f>
        <v>0</v>
      </c>
    </row>
    <row r="138" spans="1:40" x14ac:dyDescent="0.25">
      <c r="A138" t="s">
        <v>27</v>
      </c>
      <c r="B138" s="1">
        <v>36966</v>
      </c>
      <c r="C138" s="6">
        <f t="shared" si="20"/>
        <v>2001</v>
      </c>
      <c r="D138">
        <v>62.7</v>
      </c>
      <c r="E138">
        <v>48.3</v>
      </c>
      <c r="F138">
        <v>56</v>
      </c>
      <c r="G138" s="2">
        <f t="shared" si="21"/>
        <v>0</v>
      </c>
      <c r="H138">
        <v>62.7</v>
      </c>
      <c r="I138">
        <v>45.2</v>
      </c>
      <c r="J138">
        <v>55.5</v>
      </c>
      <c r="K138">
        <v>50.1</v>
      </c>
      <c r="L138">
        <v>81</v>
      </c>
      <c r="M138" s="2">
        <f t="shared" si="22"/>
        <v>0</v>
      </c>
      <c r="N138">
        <v>0</v>
      </c>
      <c r="O138" s="2">
        <f t="shared" si="23"/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s="2">
        <f t="shared" si="24"/>
        <v>0</v>
      </c>
      <c r="W138">
        <v>9.1999999999999993</v>
      </c>
      <c r="X138" s="2">
        <f t="shared" si="25"/>
        <v>0</v>
      </c>
      <c r="Y138">
        <v>88.2</v>
      </c>
      <c r="Z138" s="2" t="str">
        <f>CHOOSE(MATCH(Y138,{0;11;80;111;161;191;241;281;341},1),"North","NorthEast","East","SouthEast","South","SouthWest","West","NorthWest","North")</f>
        <v>East</v>
      </c>
      <c r="AA138" s="4">
        <f>CHOOSE(MATCH(Z138,{"South";"SouthEast";"SouthWest";"North";"NorthEast";"East";"West";"NorthWest"},0),1,2,3,4,5,6,7,8)</f>
        <v>6</v>
      </c>
      <c r="AB138" s="2">
        <f t="shared" si="26"/>
        <v>0</v>
      </c>
      <c r="AC138">
        <v>1019.1</v>
      </c>
      <c r="AD138" t="s">
        <v>133</v>
      </c>
      <c r="AE138" s="2">
        <f t="shared" si="27"/>
        <v>1</v>
      </c>
      <c r="AF138" t="s">
        <v>271</v>
      </c>
      <c r="AG138" s="2">
        <f t="shared" si="28"/>
        <v>3</v>
      </c>
      <c r="AH138" s="2">
        <f t="shared" si="29"/>
        <v>0</v>
      </c>
      <c r="AI138" s="3">
        <v>360.99999999278231</v>
      </c>
      <c r="AJ138" s="2">
        <v>1</v>
      </c>
      <c r="AK138">
        <v>10</v>
      </c>
      <c r="AL138">
        <v>0</v>
      </c>
      <c r="AM138">
        <v>0</v>
      </c>
      <c r="AN138" s="2">
        <f>IF((2*G138+M138-O138+3*V138+2*AB138+2*AE138+2*AH138+3*AJ138)&gt;=7,1,0)</f>
        <v>0</v>
      </c>
    </row>
    <row r="139" spans="1:40" x14ac:dyDescent="0.25">
      <c r="A139" t="s">
        <v>27</v>
      </c>
      <c r="B139" s="1">
        <v>36966</v>
      </c>
      <c r="C139" s="6">
        <f t="shared" si="20"/>
        <v>2001</v>
      </c>
      <c r="D139">
        <v>62.7</v>
      </c>
      <c r="E139">
        <v>48.3</v>
      </c>
      <c r="F139">
        <v>56</v>
      </c>
      <c r="G139" s="2">
        <f t="shared" si="21"/>
        <v>0</v>
      </c>
      <c r="H139">
        <v>62.7</v>
      </c>
      <c r="I139">
        <v>45.2</v>
      </c>
      <c r="J139">
        <v>55.5</v>
      </c>
      <c r="K139">
        <v>50.1</v>
      </c>
      <c r="L139">
        <v>81</v>
      </c>
      <c r="M139" s="2">
        <f t="shared" si="22"/>
        <v>0</v>
      </c>
      <c r="N139">
        <v>0</v>
      </c>
      <c r="O139" s="2">
        <f t="shared" si="23"/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s="2">
        <f t="shared" si="24"/>
        <v>0</v>
      </c>
      <c r="W139">
        <v>9.1999999999999993</v>
      </c>
      <c r="X139" s="2">
        <f t="shared" si="25"/>
        <v>0</v>
      </c>
      <c r="Y139">
        <v>88.2</v>
      </c>
      <c r="Z139" s="2" t="str">
        <f>CHOOSE(MATCH(Y139,{0;11;80;111;161;191;241;281;341},1),"North","NorthEast","East","SouthEast","South","SouthWest","West","NorthWest","North")</f>
        <v>East</v>
      </c>
      <c r="AA139" s="4">
        <f>CHOOSE(MATCH(Z139,{"South";"SouthEast";"SouthWest";"North";"NorthEast";"East";"West";"NorthWest"},0),1,2,3,4,5,6,7,8)</f>
        <v>6</v>
      </c>
      <c r="AB139" s="2">
        <f t="shared" si="26"/>
        <v>0</v>
      </c>
      <c r="AC139">
        <v>1019.1</v>
      </c>
      <c r="AD139" t="s">
        <v>88</v>
      </c>
      <c r="AE139" s="2">
        <f t="shared" si="27"/>
        <v>1</v>
      </c>
      <c r="AF139" t="s">
        <v>272</v>
      </c>
      <c r="AG139" s="2">
        <f t="shared" si="28"/>
        <v>3</v>
      </c>
      <c r="AH139" s="2">
        <f t="shared" si="29"/>
        <v>0</v>
      </c>
      <c r="AI139" s="3">
        <v>1470.9999999962749</v>
      </c>
      <c r="AJ139" s="2">
        <v>1</v>
      </c>
      <c r="AK139">
        <v>0</v>
      </c>
      <c r="AL139">
        <v>20</v>
      </c>
      <c r="AM139">
        <v>0</v>
      </c>
      <c r="AN139" s="2">
        <f>IF((2*G139+M139-O139+3*V139+2*AB139+2*AE139+2*AH139+3*AJ139)&gt;=7,1,0)</f>
        <v>0</v>
      </c>
    </row>
    <row r="140" spans="1:40" x14ac:dyDescent="0.25">
      <c r="A140" t="s">
        <v>27</v>
      </c>
      <c r="B140" s="1">
        <v>36967</v>
      </c>
      <c r="C140" s="6">
        <f t="shared" si="20"/>
        <v>2001</v>
      </c>
      <c r="D140">
        <v>64.5</v>
      </c>
      <c r="E140">
        <v>48.3</v>
      </c>
      <c r="F140">
        <v>56.4</v>
      </c>
      <c r="G140" s="2">
        <f t="shared" si="21"/>
        <v>0</v>
      </c>
      <c r="H140">
        <v>64.5</v>
      </c>
      <c r="I140">
        <v>48.3</v>
      </c>
      <c r="J140">
        <v>56.4</v>
      </c>
      <c r="K140">
        <v>46.9</v>
      </c>
      <c r="L140">
        <v>71</v>
      </c>
      <c r="M140" s="2">
        <f t="shared" si="22"/>
        <v>0</v>
      </c>
      <c r="N140">
        <v>0</v>
      </c>
      <c r="O140" s="2">
        <f t="shared" si="23"/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s="2">
        <f t="shared" si="24"/>
        <v>0</v>
      </c>
      <c r="W140">
        <v>8.1</v>
      </c>
      <c r="X140" s="2">
        <f t="shared" si="25"/>
        <v>0</v>
      </c>
      <c r="Y140">
        <v>84.8</v>
      </c>
      <c r="Z140" s="2" t="str">
        <f>CHOOSE(MATCH(Y140,{0;11;80;111;161;191;241;281;341},1),"North","NorthEast","East","SouthEast","South","SouthWest","West","NorthWest","North")</f>
        <v>East</v>
      </c>
      <c r="AA140" s="4">
        <f>CHOOSE(MATCH(Z140,{"South";"SouthEast";"SouthWest";"North";"NorthEast";"East";"West";"NorthWest"},0),1,2,3,4,5,6,7,8)</f>
        <v>6</v>
      </c>
      <c r="AB140" s="2">
        <f t="shared" si="26"/>
        <v>0</v>
      </c>
      <c r="AC140">
        <v>1018.1</v>
      </c>
      <c r="AD140" t="s">
        <v>90</v>
      </c>
      <c r="AE140" s="2">
        <f t="shared" si="27"/>
        <v>1</v>
      </c>
      <c r="AF140" t="s">
        <v>273</v>
      </c>
      <c r="AG140" s="2">
        <f t="shared" si="28"/>
        <v>3</v>
      </c>
      <c r="AH140" s="2">
        <f t="shared" si="29"/>
        <v>0</v>
      </c>
      <c r="AI140" s="3">
        <v>60.999999999767169</v>
      </c>
      <c r="AJ140" s="2">
        <v>0</v>
      </c>
      <c r="AK140">
        <v>0.5</v>
      </c>
      <c r="AL140">
        <v>0</v>
      </c>
      <c r="AM140">
        <v>0</v>
      </c>
      <c r="AN140" s="2">
        <f>IF((2*G140+M140-O140+3*V140+2*AB140+2*AE140+2*AH140+3*AJ140)&gt;=7,1,0)</f>
        <v>0</v>
      </c>
    </row>
    <row r="141" spans="1:40" x14ac:dyDescent="0.25">
      <c r="A141" t="s">
        <v>27</v>
      </c>
      <c r="B141" s="1">
        <v>36969</v>
      </c>
      <c r="C141" s="6">
        <f t="shared" si="20"/>
        <v>2001</v>
      </c>
      <c r="D141">
        <v>75.3</v>
      </c>
      <c r="E141">
        <v>59.1</v>
      </c>
      <c r="F141">
        <v>68.5</v>
      </c>
      <c r="G141" s="2">
        <f t="shared" si="21"/>
        <v>0</v>
      </c>
      <c r="H141">
        <v>75.3</v>
      </c>
      <c r="I141">
        <v>59.1</v>
      </c>
      <c r="J141">
        <v>68.5</v>
      </c>
      <c r="K141">
        <v>40.200000000000003</v>
      </c>
      <c r="L141">
        <v>37</v>
      </c>
      <c r="M141" s="2">
        <f t="shared" si="22"/>
        <v>1</v>
      </c>
      <c r="N141">
        <v>0</v>
      </c>
      <c r="O141" s="2">
        <f t="shared" si="23"/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s="2">
        <f t="shared" si="24"/>
        <v>0</v>
      </c>
      <c r="W141">
        <v>26.4</v>
      </c>
      <c r="X141" s="2">
        <f t="shared" si="25"/>
        <v>1</v>
      </c>
      <c r="Y141">
        <v>178.1</v>
      </c>
      <c r="Z141" s="2" t="str">
        <f>CHOOSE(MATCH(Y141,{0;11;80;111;161;191;241;281;341},1),"North","NorthEast","East","SouthEast","South","SouthWest","West","NorthWest","North")</f>
        <v>South</v>
      </c>
      <c r="AA141" s="4">
        <f>CHOOSE(MATCH(Z141,{"South";"SouthEast";"SouthWest";"North";"NorthEast";"East";"West";"NorthWest"},0),1,2,3,4,5,6,7,8)</f>
        <v>1</v>
      </c>
      <c r="AB141" s="2">
        <f t="shared" si="26"/>
        <v>0</v>
      </c>
      <c r="AC141">
        <v>1014.9</v>
      </c>
      <c r="AD141" t="s">
        <v>274</v>
      </c>
      <c r="AE141" s="2">
        <f t="shared" si="27"/>
        <v>1</v>
      </c>
      <c r="AF141" t="s">
        <v>275</v>
      </c>
      <c r="AG141" s="2">
        <f t="shared" si="28"/>
        <v>3</v>
      </c>
      <c r="AH141" s="2">
        <f t="shared" si="29"/>
        <v>0</v>
      </c>
      <c r="AI141" s="3">
        <v>150.9999999997672</v>
      </c>
      <c r="AJ141" s="2">
        <v>0</v>
      </c>
      <c r="AK141">
        <v>5</v>
      </c>
      <c r="AL141">
        <v>0</v>
      </c>
      <c r="AM141">
        <v>0</v>
      </c>
      <c r="AN141" s="2">
        <f>IF((2*G141+M141-O141+3*V141+2*AB141+2*AE141+2*AH141+3*AJ141)&gt;=7,1,0)</f>
        <v>0</v>
      </c>
    </row>
    <row r="142" spans="1:40" x14ac:dyDescent="0.25">
      <c r="A142" t="s">
        <v>27</v>
      </c>
      <c r="B142" s="1">
        <v>36970</v>
      </c>
      <c r="C142" s="6">
        <f t="shared" si="20"/>
        <v>2001</v>
      </c>
      <c r="D142">
        <v>77.099999999999994</v>
      </c>
      <c r="E142">
        <v>57.3</v>
      </c>
      <c r="F142">
        <v>66.5</v>
      </c>
      <c r="G142" s="2">
        <f t="shared" si="21"/>
        <v>0</v>
      </c>
      <c r="H142">
        <v>77.099999999999994</v>
      </c>
      <c r="I142">
        <v>57.3</v>
      </c>
      <c r="J142">
        <v>66.5</v>
      </c>
      <c r="K142">
        <v>41.7</v>
      </c>
      <c r="L142">
        <v>49.1</v>
      </c>
      <c r="M142" s="2">
        <f t="shared" si="22"/>
        <v>1</v>
      </c>
      <c r="N142">
        <v>0</v>
      </c>
      <c r="O142" s="2">
        <f t="shared" si="23"/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s="2">
        <f t="shared" si="24"/>
        <v>0</v>
      </c>
      <c r="W142">
        <v>23</v>
      </c>
      <c r="X142" s="2">
        <f t="shared" si="25"/>
        <v>1</v>
      </c>
      <c r="Y142">
        <v>168.7</v>
      </c>
      <c r="Z142" s="2" t="str">
        <f>CHOOSE(MATCH(Y142,{0;11;80;111;161;191;241;281;341},1),"North","NorthEast","East","SouthEast","South","SouthWest","West","NorthWest","North")</f>
        <v>South</v>
      </c>
      <c r="AA142" s="4">
        <f>CHOOSE(MATCH(Z142,{"South";"SouthEast";"SouthWest";"North";"NorthEast";"East";"West";"NorthWest"},0),1,2,3,4,5,6,7,8)</f>
        <v>1</v>
      </c>
      <c r="AB142" s="2">
        <f t="shared" si="26"/>
        <v>0</v>
      </c>
      <c r="AC142">
        <v>1013.6</v>
      </c>
      <c r="AD142" t="s">
        <v>276</v>
      </c>
      <c r="AE142" s="2">
        <f t="shared" si="27"/>
        <v>1</v>
      </c>
      <c r="AF142" t="s">
        <v>277</v>
      </c>
      <c r="AG142" s="2">
        <f t="shared" si="28"/>
        <v>3</v>
      </c>
      <c r="AH142" s="2">
        <f t="shared" si="29"/>
        <v>0</v>
      </c>
      <c r="AI142" s="3">
        <v>169.99999999883579</v>
      </c>
      <c r="AJ142" s="2">
        <v>0</v>
      </c>
      <c r="AK142">
        <v>1</v>
      </c>
      <c r="AL142">
        <v>0</v>
      </c>
      <c r="AM142">
        <v>0</v>
      </c>
      <c r="AN142" s="2">
        <f>IF((2*G142+M142-O142+3*V142+2*AB142+2*AE142+2*AH142+3*AJ142)&gt;=7,1,0)</f>
        <v>0</v>
      </c>
    </row>
    <row r="143" spans="1:40" x14ac:dyDescent="0.25">
      <c r="A143" t="s">
        <v>27</v>
      </c>
      <c r="B143" s="1">
        <v>36971</v>
      </c>
      <c r="C143" s="6">
        <f t="shared" si="20"/>
        <v>2001</v>
      </c>
      <c r="D143">
        <v>69.900000000000006</v>
      </c>
      <c r="E143">
        <v>51.9</v>
      </c>
      <c r="F143">
        <v>61.4</v>
      </c>
      <c r="G143" s="2">
        <f t="shared" si="21"/>
        <v>0</v>
      </c>
      <c r="H143">
        <v>69.900000000000006</v>
      </c>
      <c r="I143">
        <v>51.9</v>
      </c>
      <c r="J143">
        <v>61.4</v>
      </c>
      <c r="K143">
        <v>47.4</v>
      </c>
      <c r="L143">
        <v>61.9</v>
      </c>
      <c r="M143" s="2">
        <f t="shared" si="22"/>
        <v>1</v>
      </c>
      <c r="N143">
        <v>0</v>
      </c>
      <c r="O143" s="2">
        <f t="shared" si="23"/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s="2">
        <f t="shared" si="24"/>
        <v>0</v>
      </c>
      <c r="W143">
        <v>13.9</v>
      </c>
      <c r="X143" s="2">
        <f t="shared" si="25"/>
        <v>0</v>
      </c>
      <c r="Y143">
        <v>279.8</v>
      </c>
      <c r="Z143" s="2" t="str">
        <f>CHOOSE(MATCH(Y143,{0;11;80;111;161;191;241;281;341},1),"North","NorthEast","East","SouthEast","South","SouthWest","West","NorthWest","North")</f>
        <v>West</v>
      </c>
      <c r="AA143" s="4">
        <f>CHOOSE(MATCH(Z143,{"South";"SouthEast";"SouthWest";"North";"NorthEast";"East";"West";"NorthWest"},0),1,2,3,4,5,6,7,8)</f>
        <v>7</v>
      </c>
      <c r="AB143" s="2">
        <f t="shared" si="26"/>
        <v>0</v>
      </c>
      <c r="AC143">
        <v>1013</v>
      </c>
      <c r="AD143" t="s">
        <v>278</v>
      </c>
      <c r="AE143" s="2">
        <f t="shared" si="27"/>
        <v>1</v>
      </c>
      <c r="AF143" t="s">
        <v>279</v>
      </c>
      <c r="AG143" s="2">
        <f t="shared" si="28"/>
        <v>3</v>
      </c>
      <c r="AH143" s="2">
        <f t="shared" si="29"/>
        <v>0</v>
      </c>
      <c r="AI143" s="3">
        <v>1841.000000007916</v>
      </c>
      <c r="AJ143" s="2">
        <v>1</v>
      </c>
      <c r="AK143">
        <v>0</v>
      </c>
      <c r="AL143">
        <v>200</v>
      </c>
      <c r="AM143">
        <v>0</v>
      </c>
      <c r="AN143" s="2">
        <f>IF((2*G143+M143-O143+3*V143+2*AB143+2*AE143+2*AH143+3*AJ143)&gt;=7,1,0)</f>
        <v>0</v>
      </c>
    </row>
    <row r="144" spans="1:40" x14ac:dyDescent="0.25">
      <c r="A144" t="s">
        <v>27</v>
      </c>
      <c r="B144" s="1">
        <v>36971</v>
      </c>
      <c r="C144" s="6">
        <f t="shared" si="20"/>
        <v>2001</v>
      </c>
      <c r="D144">
        <v>69.900000000000006</v>
      </c>
      <c r="E144">
        <v>51.9</v>
      </c>
      <c r="F144">
        <v>61.4</v>
      </c>
      <c r="G144" s="2">
        <f t="shared" si="21"/>
        <v>0</v>
      </c>
      <c r="H144">
        <v>69.900000000000006</v>
      </c>
      <c r="I144">
        <v>51.9</v>
      </c>
      <c r="J144">
        <v>61.4</v>
      </c>
      <c r="K144">
        <v>47.4</v>
      </c>
      <c r="L144">
        <v>61.9</v>
      </c>
      <c r="M144" s="2">
        <f t="shared" si="22"/>
        <v>1</v>
      </c>
      <c r="N144">
        <v>0</v>
      </c>
      <c r="O144" s="2">
        <f t="shared" si="23"/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s="2">
        <f t="shared" si="24"/>
        <v>0</v>
      </c>
      <c r="W144">
        <v>13.9</v>
      </c>
      <c r="X144" s="2">
        <f t="shared" si="25"/>
        <v>0</v>
      </c>
      <c r="Y144">
        <v>279.8</v>
      </c>
      <c r="Z144" s="2" t="str">
        <f>CHOOSE(MATCH(Y144,{0;11;80;111;161;191;241;281;341},1),"North","NorthEast","East","SouthEast","South","SouthWest","West","NorthWest","North")</f>
        <v>West</v>
      </c>
      <c r="AA144" s="4">
        <f>CHOOSE(MATCH(Z144,{"South";"SouthEast";"SouthWest";"North";"NorthEast";"East";"West";"NorthWest"},0),1,2,3,4,5,6,7,8)</f>
        <v>7</v>
      </c>
      <c r="AB144" s="2">
        <f t="shared" si="26"/>
        <v>0</v>
      </c>
      <c r="AC144">
        <v>1013</v>
      </c>
      <c r="AD144" t="s">
        <v>162</v>
      </c>
      <c r="AE144" s="2">
        <f t="shared" si="27"/>
        <v>1</v>
      </c>
      <c r="AF144" t="s">
        <v>280</v>
      </c>
      <c r="AG144" s="2">
        <f t="shared" si="28"/>
        <v>3</v>
      </c>
      <c r="AH144" s="2">
        <f t="shared" si="29"/>
        <v>0</v>
      </c>
      <c r="AI144" s="3">
        <v>320.99999999860302</v>
      </c>
      <c r="AJ144" s="2">
        <v>0</v>
      </c>
      <c r="AK144">
        <v>0</v>
      </c>
      <c r="AL144">
        <v>3</v>
      </c>
      <c r="AM144">
        <v>0</v>
      </c>
      <c r="AN144" s="2">
        <f>IF((2*G144+M144-O144+3*V144+2*AB144+2*AE144+2*AH144+3*AJ144)&gt;=7,1,0)</f>
        <v>0</v>
      </c>
    </row>
    <row r="145" spans="1:40" x14ac:dyDescent="0.25">
      <c r="A145" t="s">
        <v>27</v>
      </c>
      <c r="B145" s="1">
        <v>36972</v>
      </c>
      <c r="C145" s="6">
        <f t="shared" si="20"/>
        <v>2001</v>
      </c>
      <c r="D145">
        <v>71.7</v>
      </c>
      <c r="E145">
        <v>55.5</v>
      </c>
      <c r="F145">
        <v>64.599999999999994</v>
      </c>
      <c r="G145" s="2">
        <f t="shared" si="21"/>
        <v>0</v>
      </c>
      <c r="H145">
        <v>71.7</v>
      </c>
      <c r="I145">
        <v>55.5</v>
      </c>
      <c r="J145">
        <v>64.599999999999994</v>
      </c>
      <c r="K145">
        <v>49.4</v>
      </c>
      <c r="L145">
        <v>59.2</v>
      </c>
      <c r="M145" s="2">
        <f t="shared" si="22"/>
        <v>1</v>
      </c>
      <c r="N145">
        <v>0</v>
      </c>
      <c r="O145" s="2">
        <f t="shared" si="23"/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s="2">
        <f t="shared" si="24"/>
        <v>0</v>
      </c>
      <c r="W145">
        <v>9.1999999999999993</v>
      </c>
      <c r="X145" s="2">
        <f t="shared" si="25"/>
        <v>0</v>
      </c>
      <c r="Y145">
        <v>218.3</v>
      </c>
      <c r="Z145" s="2" t="str">
        <f>CHOOSE(MATCH(Y145,{0;11;80;111;161;191;241;281;341},1),"North","NorthEast","East","SouthEast","South","SouthWest","West","NorthWest","North")</f>
        <v>SouthWest</v>
      </c>
      <c r="AA145" s="4">
        <f>CHOOSE(MATCH(Z145,{"South";"SouthEast";"SouthWest";"North";"NorthEast";"East";"West";"NorthWest"},0),1,2,3,4,5,6,7,8)</f>
        <v>3</v>
      </c>
      <c r="AB145" s="2">
        <f t="shared" si="26"/>
        <v>0</v>
      </c>
      <c r="AC145">
        <v>1008.8</v>
      </c>
      <c r="AD145" t="s">
        <v>37</v>
      </c>
      <c r="AE145" s="2">
        <f t="shared" si="27"/>
        <v>1</v>
      </c>
      <c r="AF145" t="s">
        <v>281</v>
      </c>
      <c r="AG145" s="2">
        <f t="shared" si="28"/>
        <v>3</v>
      </c>
      <c r="AH145" s="2">
        <f t="shared" si="29"/>
        <v>0</v>
      </c>
      <c r="AI145" s="3">
        <v>311.00000000791619</v>
      </c>
      <c r="AJ145" s="2">
        <v>0</v>
      </c>
      <c r="AK145">
        <v>0</v>
      </c>
      <c r="AL145">
        <v>2.5</v>
      </c>
      <c r="AM145">
        <v>0</v>
      </c>
      <c r="AN145" s="2">
        <f>IF((2*G145+M145-O145+3*V145+2*AB145+2*AE145+2*AH145+3*AJ145)&gt;=7,1,0)</f>
        <v>0</v>
      </c>
    </row>
    <row r="146" spans="1:40" x14ac:dyDescent="0.25">
      <c r="A146" t="s">
        <v>27</v>
      </c>
      <c r="B146" s="1">
        <v>36973</v>
      </c>
      <c r="C146" s="6">
        <f t="shared" si="20"/>
        <v>2001</v>
      </c>
      <c r="D146">
        <v>73.5</v>
      </c>
      <c r="E146">
        <v>57.3</v>
      </c>
      <c r="F146">
        <v>66.900000000000006</v>
      </c>
      <c r="G146" s="2">
        <f t="shared" si="21"/>
        <v>0</v>
      </c>
      <c r="H146">
        <v>73.5</v>
      </c>
      <c r="I146">
        <v>57.3</v>
      </c>
      <c r="J146">
        <v>66.900000000000006</v>
      </c>
      <c r="K146">
        <v>50.3</v>
      </c>
      <c r="L146">
        <v>56.7</v>
      </c>
      <c r="M146" s="2">
        <f t="shared" si="22"/>
        <v>1</v>
      </c>
      <c r="N146">
        <v>0</v>
      </c>
      <c r="O146" s="2">
        <f t="shared" si="23"/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s="2">
        <f t="shared" si="24"/>
        <v>0</v>
      </c>
      <c r="W146">
        <v>17.2</v>
      </c>
      <c r="X146" s="2">
        <f t="shared" si="25"/>
        <v>1</v>
      </c>
      <c r="Y146">
        <v>288.8</v>
      </c>
      <c r="Z146" s="2" t="str">
        <f>CHOOSE(MATCH(Y146,{0;11;80;111;161;191;241;281;341},1),"North","NorthEast","East","SouthEast","South","SouthWest","West","NorthWest","North")</f>
        <v>NorthWest</v>
      </c>
      <c r="AA146" s="4">
        <f>CHOOSE(MATCH(Z146,{"South";"SouthEast";"SouthWest";"North";"NorthEast";"East";"West";"NorthWest"},0),1,2,3,4,5,6,7,8)</f>
        <v>8</v>
      </c>
      <c r="AB146" s="2">
        <f t="shared" si="26"/>
        <v>1</v>
      </c>
      <c r="AC146">
        <v>1007.1</v>
      </c>
      <c r="AD146" t="s">
        <v>49</v>
      </c>
      <c r="AE146" s="2">
        <f t="shared" si="27"/>
        <v>1</v>
      </c>
      <c r="AF146" t="s">
        <v>282</v>
      </c>
      <c r="AG146" s="2">
        <f t="shared" si="28"/>
        <v>3</v>
      </c>
      <c r="AH146" s="2">
        <f t="shared" si="29"/>
        <v>0</v>
      </c>
      <c r="AI146" s="3">
        <v>146.00000000442381</v>
      </c>
      <c r="AJ146" s="2">
        <v>0</v>
      </c>
      <c r="AK146">
        <v>0</v>
      </c>
      <c r="AL146">
        <v>2.5</v>
      </c>
      <c r="AM146">
        <v>0</v>
      </c>
      <c r="AN146" s="2">
        <f>IF((2*G146+M146-O146+3*V146+2*AB146+2*AE146+2*AH146+3*AJ146)&gt;=7,1,0)</f>
        <v>0</v>
      </c>
    </row>
    <row r="147" spans="1:40" x14ac:dyDescent="0.25">
      <c r="A147" t="s">
        <v>27</v>
      </c>
      <c r="B147" s="1">
        <v>36973</v>
      </c>
      <c r="C147" s="6">
        <f t="shared" si="20"/>
        <v>2001</v>
      </c>
      <c r="D147">
        <v>73.5</v>
      </c>
      <c r="E147">
        <v>57.3</v>
      </c>
      <c r="F147">
        <v>66.900000000000006</v>
      </c>
      <c r="G147" s="2">
        <f t="shared" si="21"/>
        <v>0</v>
      </c>
      <c r="H147">
        <v>73.5</v>
      </c>
      <c r="I147">
        <v>57.3</v>
      </c>
      <c r="J147">
        <v>66.900000000000006</v>
      </c>
      <c r="K147">
        <v>50.3</v>
      </c>
      <c r="L147">
        <v>56.7</v>
      </c>
      <c r="M147" s="2">
        <f t="shared" si="22"/>
        <v>1</v>
      </c>
      <c r="N147">
        <v>0</v>
      </c>
      <c r="O147" s="2">
        <f t="shared" si="23"/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s="2">
        <f t="shared" si="24"/>
        <v>0</v>
      </c>
      <c r="W147">
        <v>17.2</v>
      </c>
      <c r="X147" s="2">
        <f t="shared" si="25"/>
        <v>1</v>
      </c>
      <c r="Y147">
        <v>288.8</v>
      </c>
      <c r="Z147" s="2" t="str">
        <f>CHOOSE(MATCH(Y147,{0;11;80;111;161;191;241;281;341},1),"North","NorthEast","East","SouthEast","South","SouthWest","West","NorthWest","North")</f>
        <v>NorthWest</v>
      </c>
      <c r="AA147" s="4">
        <f>CHOOSE(MATCH(Z147,{"South";"SouthEast";"SouthWest";"North";"NorthEast";"East";"West";"NorthWest"},0),1,2,3,4,5,6,7,8)</f>
        <v>8</v>
      </c>
      <c r="AB147" s="2">
        <f t="shared" si="26"/>
        <v>1</v>
      </c>
      <c r="AC147">
        <v>1007.1</v>
      </c>
      <c r="AD147" t="s">
        <v>283</v>
      </c>
      <c r="AE147" s="2">
        <f t="shared" si="27"/>
        <v>0</v>
      </c>
      <c r="AF147" t="s">
        <v>284</v>
      </c>
      <c r="AG147" s="2">
        <f t="shared" si="28"/>
        <v>3</v>
      </c>
      <c r="AH147" s="2">
        <f t="shared" si="29"/>
        <v>0</v>
      </c>
      <c r="AI147" s="3">
        <v>2525.999999998603</v>
      </c>
      <c r="AJ147" s="2">
        <v>1</v>
      </c>
      <c r="AK147">
        <v>20</v>
      </c>
      <c r="AL147">
        <v>0</v>
      </c>
      <c r="AM147">
        <v>0</v>
      </c>
      <c r="AN147" s="2">
        <f>IF((2*G147+M147-O147+3*V147+2*AB147+2*AE147+2*AH147+3*AJ147)&gt;=7,1,0)</f>
        <v>0</v>
      </c>
    </row>
    <row r="148" spans="1:40" x14ac:dyDescent="0.25">
      <c r="A148" t="s">
        <v>27</v>
      </c>
      <c r="B148" s="1">
        <v>36975</v>
      </c>
      <c r="C148" s="6">
        <f t="shared" si="20"/>
        <v>2001</v>
      </c>
      <c r="D148">
        <v>75.3</v>
      </c>
      <c r="E148">
        <v>55.5</v>
      </c>
      <c r="F148">
        <v>66</v>
      </c>
      <c r="G148" s="2">
        <f t="shared" si="21"/>
        <v>0</v>
      </c>
      <c r="H148">
        <v>75.3</v>
      </c>
      <c r="I148">
        <v>55.5</v>
      </c>
      <c r="J148">
        <v>66</v>
      </c>
      <c r="K148">
        <v>47.7</v>
      </c>
      <c r="L148">
        <v>52.3</v>
      </c>
      <c r="M148" s="2">
        <f t="shared" si="22"/>
        <v>1</v>
      </c>
      <c r="N148">
        <v>2.87</v>
      </c>
      <c r="O148" s="2">
        <f t="shared" si="23"/>
        <v>0</v>
      </c>
      <c r="P148">
        <v>100</v>
      </c>
      <c r="Q148">
        <v>4.17</v>
      </c>
      <c r="R148" t="s">
        <v>182</v>
      </c>
      <c r="S148">
        <v>0</v>
      </c>
      <c r="T148">
        <v>0</v>
      </c>
      <c r="U148">
        <v>0</v>
      </c>
      <c r="V148" s="2">
        <f t="shared" si="24"/>
        <v>0</v>
      </c>
      <c r="W148">
        <v>9.1999999999999993</v>
      </c>
      <c r="X148" s="2">
        <f t="shared" si="25"/>
        <v>0</v>
      </c>
      <c r="Y148">
        <v>126.1</v>
      </c>
      <c r="Z148" s="2" t="str">
        <f>CHOOSE(MATCH(Y148,{0;11;80;111;161;191;241;281;341},1),"North","NorthEast","East","SouthEast","South","SouthWest","West","NorthWest","North")</f>
        <v>SouthEast</v>
      </c>
      <c r="AA148" s="4">
        <f>CHOOSE(MATCH(Z148,{"South";"SouthEast";"SouthWest";"North";"NorthEast";"East";"West";"NorthWest"},0),1,2,3,4,5,6,7,8)</f>
        <v>2</v>
      </c>
      <c r="AB148" s="2">
        <f t="shared" si="26"/>
        <v>0</v>
      </c>
      <c r="AC148">
        <v>1011.7</v>
      </c>
      <c r="AD148" t="s">
        <v>285</v>
      </c>
      <c r="AE148" s="2">
        <f t="shared" si="27"/>
        <v>1</v>
      </c>
      <c r="AF148" t="s">
        <v>286</v>
      </c>
      <c r="AG148" s="2">
        <f t="shared" si="28"/>
        <v>3</v>
      </c>
      <c r="AH148" s="2">
        <f t="shared" si="29"/>
        <v>0</v>
      </c>
      <c r="AI148" s="3">
        <v>200.99999999511061</v>
      </c>
      <c r="AJ148" s="2">
        <v>0</v>
      </c>
      <c r="AK148">
        <v>0</v>
      </c>
      <c r="AL148">
        <v>5</v>
      </c>
      <c r="AM148">
        <v>0</v>
      </c>
      <c r="AN148" s="2">
        <f>IF((2*G148+M148-O148+3*V148+2*AB148+2*AE148+2*AH148+3*AJ148)&gt;=7,1,0)</f>
        <v>0</v>
      </c>
    </row>
    <row r="149" spans="1:40" x14ac:dyDescent="0.25">
      <c r="A149" t="s">
        <v>27</v>
      </c>
      <c r="B149" s="1">
        <v>36976</v>
      </c>
      <c r="C149" s="6">
        <f t="shared" si="20"/>
        <v>2001</v>
      </c>
      <c r="D149">
        <v>93.3</v>
      </c>
      <c r="E149">
        <v>68.099999999999994</v>
      </c>
      <c r="F149">
        <v>79.099999999999994</v>
      </c>
      <c r="G149" s="2">
        <f t="shared" si="21"/>
        <v>1</v>
      </c>
      <c r="H149">
        <v>89.1</v>
      </c>
      <c r="I149">
        <v>68.099999999999994</v>
      </c>
      <c r="J149">
        <v>77.8</v>
      </c>
      <c r="K149">
        <v>36.9</v>
      </c>
      <c r="L149">
        <v>22.5</v>
      </c>
      <c r="M149" s="2">
        <f t="shared" si="22"/>
        <v>1</v>
      </c>
      <c r="N149">
        <v>0</v>
      </c>
      <c r="O149" s="2">
        <f t="shared" si="23"/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s="2">
        <f t="shared" si="24"/>
        <v>0</v>
      </c>
      <c r="W149">
        <v>17.2</v>
      </c>
      <c r="X149" s="2">
        <f t="shared" si="25"/>
        <v>1</v>
      </c>
      <c r="Y149">
        <v>184</v>
      </c>
      <c r="Z149" s="2" t="str">
        <f>CHOOSE(MATCH(Y149,{0;11;80;111;161;191;241;281;341},1),"North","NorthEast","East","SouthEast","South","SouthWest","West","NorthWest","North")</f>
        <v>South</v>
      </c>
      <c r="AA149" s="4">
        <f>CHOOSE(MATCH(Z149,{"South";"SouthEast";"SouthWest";"North";"NorthEast";"East";"West";"NorthWest"},0),1,2,3,4,5,6,7,8)</f>
        <v>1</v>
      </c>
      <c r="AB149" s="2">
        <f t="shared" si="26"/>
        <v>0</v>
      </c>
      <c r="AC149">
        <v>1010.5</v>
      </c>
      <c r="AD149" t="s">
        <v>287</v>
      </c>
      <c r="AE149" s="2">
        <f t="shared" si="27"/>
        <v>1</v>
      </c>
      <c r="AF149" t="s">
        <v>288</v>
      </c>
      <c r="AG149" s="2">
        <f t="shared" si="28"/>
        <v>3</v>
      </c>
      <c r="AH149" s="2">
        <f t="shared" si="29"/>
        <v>0</v>
      </c>
      <c r="AI149" s="3">
        <v>135</v>
      </c>
      <c r="AJ149" s="2">
        <v>0</v>
      </c>
      <c r="AK149">
        <v>0</v>
      </c>
      <c r="AL149">
        <v>1.9</v>
      </c>
      <c r="AM149">
        <v>0</v>
      </c>
      <c r="AN149" s="2">
        <f>IF((2*G149+M149-O149+3*V149+2*AB149+2*AE149+2*AH149+3*AJ149)&gt;=7,1,0)</f>
        <v>0</v>
      </c>
    </row>
    <row r="150" spans="1:40" x14ac:dyDescent="0.25">
      <c r="A150" t="s">
        <v>27</v>
      </c>
      <c r="B150" s="1">
        <v>36977</v>
      </c>
      <c r="C150" s="6">
        <f t="shared" si="20"/>
        <v>2001</v>
      </c>
      <c r="D150">
        <v>89.7</v>
      </c>
      <c r="E150">
        <v>71.7</v>
      </c>
      <c r="F150">
        <v>79.900000000000006</v>
      </c>
      <c r="G150" s="2">
        <f t="shared" si="21"/>
        <v>1</v>
      </c>
      <c r="H150">
        <v>85.7</v>
      </c>
      <c r="I150">
        <v>71.7</v>
      </c>
      <c r="J150">
        <v>78.400000000000006</v>
      </c>
      <c r="K150">
        <v>32.6</v>
      </c>
      <c r="L150">
        <v>18.399999999999999</v>
      </c>
      <c r="M150" s="2">
        <f t="shared" si="22"/>
        <v>1</v>
      </c>
      <c r="N150">
        <v>0</v>
      </c>
      <c r="O150" s="2">
        <f t="shared" si="23"/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s="2">
        <f t="shared" si="24"/>
        <v>0</v>
      </c>
      <c r="W150">
        <v>25.3</v>
      </c>
      <c r="X150" s="2">
        <f t="shared" si="25"/>
        <v>1</v>
      </c>
      <c r="Y150">
        <v>185.3</v>
      </c>
      <c r="Z150" s="2" t="str">
        <f>CHOOSE(MATCH(Y150,{0;11;80;111;161;191;241;281;341},1),"North","NorthEast","East","SouthEast","South","SouthWest","West","NorthWest","North")</f>
        <v>South</v>
      </c>
      <c r="AA150" s="4">
        <f>CHOOSE(MATCH(Z150,{"South";"SouthEast";"SouthWest";"North";"NorthEast";"East";"West";"NorthWest"},0),1,2,3,4,5,6,7,8)</f>
        <v>1</v>
      </c>
      <c r="AB150" s="2">
        <f t="shared" si="26"/>
        <v>0</v>
      </c>
      <c r="AC150">
        <v>1010.7</v>
      </c>
      <c r="AD150" t="s">
        <v>289</v>
      </c>
      <c r="AE150" s="2">
        <f t="shared" si="27"/>
        <v>1</v>
      </c>
      <c r="AF150" t="s">
        <v>290</v>
      </c>
      <c r="AG150" s="2">
        <f t="shared" si="28"/>
        <v>3</v>
      </c>
      <c r="AH150" s="2">
        <f t="shared" si="29"/>
        <v>0</v>
      </c>
      <c r="AI150" s="3">
        <v>509.99999999650748</v>
      </c>
      <c r="AJ150" s="2">
        <v>1</v>
      </c>
      <c r="AK150">
        <v>0</v>
      </c>
      <c r="AL150">
        <v>15</v>
      </c>
      <c r="AM150">
        <v>0</v>
      </c>
      <c r="AN150" s="2">
        <f>IF((2*G150+M150-O150+3*V150+2*AB150+2*AE150+2*AH150+3*AJ150)&gt;=7,1,0)</f>
        <v>1</v>
      </c>
    </row>
    <row r="151" spans="1:40" x14ac:dyDescent="0.25">
      <c r="A151" t="s">
        <v>27</v>
      </c>
      <c r="B151" s="1">
        <v>36977</v>
      </c>
      <c r="C151" s="6">
        <f t="shared" si="20"/>
        <v>2001</v>
      </c>
      <c r="D151">
        <v>89.7</v>
      </c>
      <c r="E151">
        <v>71.7</v>
      </c>
      <c r="F151">
        <v>79.900000000000006</v>
      </c>
      <c r="G151" s="2">
        <f t="shared" si="21"/>
        <v>1</v>
      </c>
      <c r="H151">
        <v>85.7</v>
      </c>
      <c r="I151">
        <v>71.7</v>
      </c>
      <c r="J151">
        <v>78.400000000000006</v>
      </c>
      <c r="K151">
        <v>32.6</v>
      </c>
      <c r="L151">
        <v>18.399999999999999</v>
      </c>
      <c r="M151" s="2">
        <f t="shared" si="22"/>
        <v>1</v>
      </c>
      <c r="N151">
        <v>0</v>
      </c>
      <c r="O151" s="2">
        <f t="shared" si="23"/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s="2">
        <f t="shared" si="24"/>
        <v>0</v>
      </c>
      <c r="W151">
        <v>25.3</v>
      </c>
      <c r="X151" s="2">
        <f t="shared" si="25"/>
        <v>1</v>
      </c>
      <c r="Y151">
        <v>185.3</v>
      </c>
      <c r="Z151" s="2" t="str">
        <f>CHOOSE(MATCH(Y151,{0;11;80;111;161;191;241;281;341},1),"North","NorthEast","East","SouthEast","South","SouthWest","West","NorthWest","North")</f>
        <v>South</v>
      </c>
      <c r="AA151" s="4">
        <f>CHOOSE(MATCH(Z151,{"South";"SouthEast";"SouthWest";"North";"NorthEast";"East";"West";"NorthWest"},0),1,2,3,4,5,6,7,8)</f>
        <v>1</v>
      </c>
      <c r="AB151" s="2">
        <f t="shared" si="26"/>
        <v>0</v>
      </c>
      <c r="AC151">
        <v>1010.7</v>
      </c>
      <c r="AD151" t="s">
        <v>291</v>
      </c>
      <c r="AE151" s="2">
        <f t="shared" si="27"/>
        <v>1</v>
      </c>
      <c r="AF151" t="s">
        <v>292</v>
      </c>
      <c r="AG151" s="2">
        <f t="shared" si="28"/>
        <v>3</v>
      </c>
      <c r="AH151" s="2">
        <f t="shared" si="29"/>
        <v>0</v>
      </c>
      <c r="AI151" s="3">
        <v>275.99999999860302</v>
      </c>
      <c r="AJ151" s="2">
        <v>0</v>
      </c>
      <c r="AK151">
        <v>0</v>
      </c>
      <c r="AL151">
        <v>2</v>
      </c>
      <c r="AM151">
        <v>0</v>
      </c>
      <c r="AN151" s="2">
        <f>IF((2*G151+M151-O151+3*V151+2*AB151+2*AE151+2*AH151+3*AJ151)&gt;=7,1,0)</f>
        <v>0</v>
      </c>
    </row>
    <row r="152" spans="1:40" x14ac:dyDescent="0.25">
      <c r="A152" t="s">
        <v>27</v>
      </c>
      <c r="B152" s="1">
        <v>36977</v>
      </c>
      <c r="C152" s="6">
        <f t="shared" si="20"/>
        <v>2001</v>
      </c>
      <c r="D152">
        <v>89.7</v>
      </c>
      <c r="E152">
        <v>71.7</v>
      </c>
      <c r="F152">
        <v>79.900000000000006</v>
      </c>
      <c r="G152" s="2">
        <f t="shared" si="21"/>
        <v>1</v>
      </c>
      <c r="H152">
        <v>85.7</v>
      </c>
      <c r="I152">
        <v>71.7</v>
      </c>
      <c r="J152">
        <v>78.400000000000006</v>
      </c>
      <c r="K152">
        <v>32.6</v>
      </c>
      <c r="L152">
        <v>18.399999999999999</v>
      </c>
      <c r="M152" s="2">
        <f t="shared" si="22"/>
        <v>1</v>
      </c>
      <c r="N152">
        <v>0</v>
      </c>
      <c r="O152" s="2">
        <f t="shared" si="23"/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s="2">
        <f t="shared" si="24"/>
        <v>0</v>
      </c>
      <c r="W152">
        <v>25.3</v>
      </c>
      <c r="X152" s="2">
        <f t="shared" si="25"/>
        <v>1</v>
      </c>
      <c r="Y152">
        <v>185.3</v>
      </c>
      <c r="Z152" s="2" t="str">
        <f>CHOOSE(MATCH(Y152,{0;11;80;111;161;191;241;281;341},1),"North","NorthEast","East","SouthEast","South","SouthWest","West","NorthWest","North")</f>
        <v>South</v>
      </c>
      <c r="AA152" s="4">
        <f>CHOOSE(MATCH(Z152,{"South";"SouthEast";"SouthWest";"North";"NorthEast";"East";"West";"NorthWest"},0),1,2,3,4,5,6,7,8)</f>
        <v>1</v>
      </c>
      <c r="AB152" s="2">
        <f t="shared" si="26"/>
        <v>0</v>
      </c>
      <c r="AC152">
        <v>1010.7</v>
      </c>
      <c r="AD152" t="s">
        <v>229</v>
      </c>
      <c r="AE152" s="2">
        <f t="shared" si="27"/>
        <v>1</v>
      </c>
      <c r="AF152" t="s">
        <v>293</v>
      </c>
      <c r="AG152" s="2">
        <f t="shared" si="28"/>
        <v>3</v>
      </c>
      <c r="AH152" s="2">
        <f t="shared" si="29"/>
        <v>0</v>
      </c>
      <c r="AI152" s="3">
        <v>184.99999999534339</v>
      </c>
      <c r="AJ152" s="2">
        <v>0</v>
      </c>
      <c r="AK152">
        <v>0</v>
      </c>
      <c r="AL152">
        <v>2</v>
      </c>
      <c r="AM152">
        <v>0</v>
      </c>
      <c r="AN152" s="2">
        <f>IF((2*G152+M152-O152+3*V152+2*AB152+2*AE152+2*AH152+3*AJ152)&gt;=7,1,0)</f>
        <v>0</v>
      </c>
    </row>
    <row r="153" spans="1:40" x14ac:dyDescent="0.25">
      <c r="A153" t="s">
        <v>27</v>
      </c>
      <c r="B153" s="1">
        <v>36977</v>
      </c>
      <c r="C153" s="6">
        <f t="shared" si="20"/>
        <v>2001</v>
      </c>
      <c r="D153">
        <v>89.7</v>
      </c>
      <c r="E153">
        <v>71.7</v>
      </c>
      <c r="F153">
        <v>79.900000000000006</v>
      </c>
      <c r="G153" s="2">
        <f t="shared" si="21"/>
        <v>1</v>
      </c>
      <c r="H153">
        <v>85.7</v>
      </c>
      <c r="I153">
        <v>71.7</v>
      </c>
      <c r="J153">
        <v>78.400000000000006</v>
      </c>
      <c r="K153">
        <v>32.6</v>
      </c>
      <c r="L153">
        <v>18.399999999999999</v>
      </c>
      <c r="M153" s="2">
        <f t="shared" si="22"/>
        <v>1</v>
      </c>
      <c r="N153">
        <v>0</v>
      </c>
      <c r="O153" s="2">
        <f t="shared" si="23"/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s="2">
        <f t="shared" si="24"/>
        <v>0</v>
      </c>
      <c r="W153">
        <v>25.3</v>
      </c>
      <c r="X153" s="2">
        <f t="shared" si="25"/>
        <v>1</v>
      </c>
      <c r="Y153">
        <v>185.3</v>
      </c>
      <c r="Z153" s="2" t="str">
        <f>CHOOSE(MATCH(Y153,{0;11;80;111;161;191;241;281;341},1),"North","NorthEast","East","SouthEast","South","SouthWest","West","NorthWest","North")</f>
        <v>South</v>
      </c>
      <c r="AA153" s="4">
        <f>CHOOSE(MATCH(Z153,{"South";"SouthEast";"SouthWest";"North";"NorthEast";"East";"West";"NorthWest"},0),1,2,3,4,5,6,7,8)</f>
        <v>1</v>
      </c>
      <c r="AB153" s="2">
        <f t="shared" si="26"/>
        <v>0</v>
      </c>
      <c r="AC153">
        <v>1010.7</v>
      </c>
      <c r="AD153" t="s">
        <v>294</v>
      </c>
      <c r="AE153" s="2">
        <f t="shared" si="27"/>
        <v>1</v>
      </c>
      <c r="AF153" t="s">
        <v>295</v>
      </c>
      <c r="AG153" s="2">
        <f t="shared" si="28"/>
        <v>3</v>
      </c>
      <c r="AH153" s="2">
        <f t="shared" si="29"/>
        <v>0</v>
      </c>
      <c r="AI153" s="3">
        <v>213.000000002794</v>
      </c>
      <c r="AJ153" s="2">
        <v>0</v>
      </c>
      <c r="AK153">
        <v>0</v>
      </c>
      <c r="AL153">
        <v>3</v>
      </c>
      <c r="AM153">
        <v>0</v>
      </c>
      <c r="AN153" s="2">
        <f>IF((2*G153+M153-O153+3*V153+2*AB153+2*AE153+2*AH153+3*AJ153)&gt;=7,1,0)</f>
        <v>0</v>
      </c>
    </row>
    <row r="154" spans="1:40" x14ac:dyDescent="0.25">
      <c r="A154" t="s">
        <v>27</v>
      </c>
      <c r="B154" s="1">
        <v>36977</v>
      </c>
      <c r="C154" s="6">
        <f t="shared" si="20"/>
        <v>2001</v>
      </c>
      <c r="D154">
        <v>89.7</v>
      </c>
      <c r="E154">
        <v>71.7</v>
      </c>
      <c r="F154">
        <v>79.900000000000006</v>
      </c>
      <c r="G154" s="2">
        <f t="shared" si="21"/>
        <v>1</v>
      </c>
      <c r="H154">
        <v>85.7</v>
      </c>
      <c r="I154">
        <v>71.7</v>
      </c>
      <c r="J154">
        <v>78.400000000000006</v>
      </c>
      <c r="K154">
        <v>32.6</v>
      </c>
      <c r="L154">
        <v>18.399999999999999</v>
      </c>
      <c r="M154" s="2">
        <f t="shared" si="22"/>
        <v>1</v>
      </c>
      <c r="N154">
        <v>0</v>
      </c>
      <c r="O154" s="2">
        <f t="shared" si="23"/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 s="2">
        <f t="shared" si="24"/>
        <v>0</v>
      </c>
      <c r="W154">
        <v>25.3</v>
      </c>
      <c r="X154" s="2">
        <f t="shared" si="25"/>
        <v>1</v>
      </c>
      <c r="Y154">
        <v>185.3</v>
      </c>
      <c r="Z154" s="2" t="str">
        <f>CHOOSE(MATCH(Y154,{0;11;80;111;161;191;241;281;341},1),"North","NorthEast","East","SouthEast","South","SouthWest","West","NorthWest","North")</f>
        <v>South</v>
      </c>
      <c r="AA154" s="4">
        <f>CHOOSE(MATCH(Z154,{"South";"SouthEast";"SouthWest";"North";"NorthEast";"East";"West";"NorthWest"},0),1,2,3,4,5,6,7,8)</f>
        <v>1</v>
      </c>
      <c r="AB154" s="2">
        <f t="shared" si="26"/>
        <v>0</v>
      </c>
      <c r="AC154">
        <v>1010.7</v>
      </c>
      <c r="AD154" t="s">
        <v>296</v>
      </c>
      <c r="AE154" s="2">
        <f t="shared" si="27"/>
        <v>1</v>
      </c>
      <c r="AF154" t="s">
        <v>297</v>
      </c>
      <c r="AG154" s="2">
        <f t="shared" si="28"/>
        <v>3</v>
      </c>
      <c r="AH154" s="2">
        <f t="shared" si="29"/>
        <v>0</v>
      </c>
      <c r="AI154" s="3">
        <v>75.00000000349246</v>
      </c>
      <c r="AJ154" s="2">
        <v>0</v>
      </c>
      <c r="AK154">
        <v>0</v>
      </c>
      <c r="AL154">
        <v>1</v>
      </c>
      <c r="AM154">
        <v>0</v>
      </c>
      <c r="AN154" s="2">
        <f>IF((2*G154+M154-O154+3*V154+2*AB154+2*AE154+2*AH154+3*AJ154)&gt;=7,1,0)</f>
        <v>0</v>
      </c>
    </row>
    <row r="155" spans="1:40" x14ac:dyDescent="0.25">
      <c r="A155" t="s">
        <v>27</v>
      </c>
      <c r="B155" s="1">
        <v>36978</v>
      </c>
      <c r="C155" s="6">
        <f t="shared" si="20"/>
        <v>2001</v>
      </c>
      <c r="D155">
        <v>77.099999999999994</v>
      </c>
      <c r="E155">
        <v>59.1</v>
      </c>
      <c r="F155">
        <v>69.2</v>
      </c>
      <c r="G155" s="2">
        <f t="shared" si="21"/>
        <v>0</v>
      </c>
      <c r="H155">
        <v>77.099999999999994</v>
      </c>
      <c r="I155">
        <v>59.1</v>
      </c>
      <c r="J155">
        <v>69.2</v>
      </c>
      <c r="K155">
        <v>46.9</v>
      </c>
      <c r="L155">
        <v>51</v>
      </c>
      <c r="M155" s="2">
        <f t="shared" si="22"/>
        <v>1</v>
      </c>
      <c r="N155">
        <v>0</v>
      </c>
      <c r="O155" s="2">
        <f t="shared" si="23"/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s="2">
        <f t="shared" si="24"/>
        <v>0</v>
      </c>
      <c r="W155">
        <v>20.8</v>
      </c>
      <c r="X155" s="2">
        <f t="shared" si="25"/>
        <v>1</v>
      </c>
      <c r="Y155">
        <v>259.2</v>
      </c>
      <c r="Z155" s="2" t="str">
        <f>CHOOSE(MATCH(Y155,{0;11;80;111;161;191;241;281;341},1),"North","NorthEast","East","SouthEast","South","SouthWest","West","NorthWest","North")</f>
        <v>West</v>
      </c>
      <c r="AA155" s="4">
        <f>CHOOSE(MATCH(Z155,{"South";"SouthEast";"SouthWest";"North";"NorthEast";"East";"West";"NorthWest"},0),1,2,3,4,5,6,7,8)</f>
        <v>7</v>
      </c>
      <c r="AB155" s="2">
        <f t="shared" si="26"/>
        <v>0</v>
      </c>
      <c r="AC155">
        <v>1010.2</v>
      </c>
      <c r="AD155" t="s">
        <v>298</v>
      </c>
      <c r="AE155" s="2">
        <f t="shared" si="27"/>
        <v>1</v>
      </c>
      <c r="AF155" t="s">
        <v>299</v>
      </c>
      <c r="AG155" s="2">
        <f t="shared" si="28"/>
        <v>3</v>
      </c>
      <c r="AH155" s="2">
        <f t="shared" si="29"/>
        <v>0</v>
      </c>
      <c r="AI155" s="3">
        <v>59.99999999650754</v>
      </c>
      <c r="AJ155" s="2">
        <v>0</v>
      </c>
      <c r="AK155">
        <v>0</v>
      </c>
      <c r="AL155">
        <v>0.1</v>
      </c>
      <c r="AM155">
        <v>0</v>
      </c>
      <c r="AN155" s="2">
        <f>IF((2*G155+M155-O155+3*V155+2*AB155+2*AE155+2*AH155+3*AJ155)&gt;=7,1,0)</f>
        <v>0</v>
      </c>
    </row>
    <row r="156" spans="1:40" x14ac:dyDescent="0.25">
      <c r="A156" t="s">
        <v>27</v>
      </c>
      <c r="B156" s="1">
        <v>36985</v>
      </c>
      <c r="C156" s="6">
        <f t="shared" si="20"/>
        <v>2001</v>
      </c>
      <c r="D156">
        <v>59.1</v>
      </c>
      <c r="E156">
        <v>53.7</v>
      </c>
      <c r="F156">
        <v>56.9</v>
      </c>
      <c r="G156" s="2">
        <f t="shared" si="21"/>
        <v>0</v>
      </c>
      <c r="H156">
        <v>59.1</v>
      </c>
      <c r="I156">
        <v>53.7</v>
      </c>
      <c r="J156">
        <v>56.9</v>
      </c>
      <c r="K156">
        <v>41</v>
      </c>
      <c r="L156">
        <v>55.5</v>
      </c>
      <c r="M156" s="2">
        <f t="shared" si="22"/>
        <v>1</v>
      </c>
      <c r="N156">
        <v>0</v>
      </c>
      <c r="O156" s="2">
        <f t="shared" si="23"/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s="2">
        <f t="shared" si="24"/>
        <v>0</v>
      </c>
      <c r="W156">
        <v>21.9</v>
      </c>
      <c r="X156" s="2">
        <f t="shared" si="25"/>
        <v>1</v>
      </c>
      <c r="Y156">
        <v>325.3</v>
      </c>
      <c r="Z156" s="2" t="str">
        <f>CHOOSE(MATCH(Y156,{0;11;80;111;161;191;241;281;341},1),"North","NorthEast","East","SouthEast","South","SouthWest","West","NorthWest","North")</f>
        <v>NorthWest</v>
      </c>
      <c r="AA156" s="4">
        <f>CHOOSE(MATCH(Z156,{"South";"SouthEast";"SouthWest";"North";"NorthEast";"East";"West";"NorthWest"},0),1,2,3,4,5,6,7,8)</f>
        <v>8</v>
      </c>
      <c r="AB156" s="2">
        <f t="shared" si="26"/>
        <v>1</v>
      </c>
      <c r="AC156">
        <v>1016.6</v>
      </c>
      <c r="AD156" t="s">
        <v>120</v>
      </c>
      <c r="AE156" s="2">
        <f t="shared" si="27"/>
        <v>1</v>
      </c>
      <c r="AF156" t="s">
        <v>300</v>
      </c>
      <c r="AG156" s="2">
        <f t="shared" si="28"/>
        <v>4</v>
      </c>
      <c r="AH156" s="2">
        <f t="shared" si="29"/>
        <v>0</v>
      </c>
      <c r="AI156" s="3">
        <v>240.9999999997672</v>
      </c>
      <c r="AJ156" s="2">
        <v>0</v>
      </c>
      <c r="AK156">
        <v>0</v>
      </c>
      <c r="AL156">
        <v>1</v>
      </c>
      <c r="AM156">
        <v>0</v>
      </c>
      <c r="AN156" s="2">
        <f>IF((2*G156+M156-O156+3*V156+2*AB156+2*AE156+2*AH156+3*AJ156)&gt;=7,1,0)</f>
        <v>0</v>
      </c>
    </row>
    <row r="157" spans="1:40" x14ac:dyDescent="0.25">
      <c r="A157" t="s">
        <v>27</v>
      </c>
      <c r="B157" s="1">
        <v>36991</v>
      </c>
      <c r="C157" s="6">
        <f t="shared" si="20"/>
        <v>2001</v>
      </c>
      <c r="D157">
        <v>64.5</v>
      </c>
      <c r="E157">
        <v>50.1</v>
      </c>
      <c r="F157">
        <v>57.1</v>
      </c>
      <c r="G157" s="2">
        <f t="shared" si="21"/>
        <v>0</v>
      </c>
      <c r="H157">
        <v>64.5</v>
      </c>
      <c r="I157">
        <v>50.1</v>
      </c>
      <c r="J157">
        <v>57.1</v>
      </c>
      <c r="K157">
        <v>47.8</v>
      </c>
      <c r="L157">
        <v>72.099999999999994</v>
      </c>
      <c r="M157" s="2">
        <f t="shared" si="22"/>
        <v>0</v>
      </c>
      <c r="N157">
        <v>0.46899999999999997</v>
      </c>
      <c r="O157" s="2">
        <f t="shared" si="23"/>
        <v>0</v>
      </c>
      <c r="P157">
        <v>100</v>
      </c>
      <c r="Q157">
        <v>4.17</v>
      </c>
      <c r="R157" t="s">
        <v>182</v>
      </c>
      <c r="S157">
        <v>0</v>
      </c>
      <c r="T157">
        <v>0</v>
      </c>
      <c r="U157">
        <v>0</v>
      </c>
      <c r="V157" s="2">
        <f t="shared" si="24"/>
        <v>0</v>
      </c>
      <c r="W157">
        <v>20.8</v>
      </c>
      <c r="X157" s="2">
        <f t="shared" si="25"/>
        <v>1</v>
      </c>
      <c r="Y157">
        <v>285</v>
      </c>
      <c r="Z157" s="2" t="str">
        <f>CHOOSE(MATCH(Y157,{0;11;80;111;161;191;241;281;341},1),"North","NorthEast","East","SouthEast","South","SouthWest","West","NorthWest","North")</f>
        <v>NorthWest</v>
      </c>
      <c r="AA157" s="4">
        <f>CHOOSE(MATCH(Z157,{"South";"SouthEast";"SouthWest";"North";"NorthEast";"East";"West";"NorthWest"},0),1,2,3,4,5,6,7,8)</f>
        <v>8</v>
      </c>
      <c r="AB157" s="2">
        <f t="shared" si="26"/>
        <v>1</v>
      </c>
      <c r="AC157">
        <v>1009.6</v>
      </c>
      <c r="AD157" t="s">
        <v>30</v>
      </c>
      <c r="AE157" s="2">
        <f t="shared" si="27"/>
        <v>1</v>
      </c>
      <c r="AF157" t="s">
        <v>301</v>
      </c>
      <c r="AG157" s="2">
        <f t="shared" si="28"/>
        <v>4</v>
      </c>
      <c r="AH157" s="2">
        <f t="shared" si="29"/>
        <v>0</v>
      </c>
      <c r="AI157" s="3">
        <v>405.99999999278231</v>
      </c>
      <c r="AJ157" s="2">
        <v>1</v>
      </c>
      <c r="AK157">
        <v>0</v>
      </c>
      <c r="AL157">
        <v>1</v>
      </c>
      <c r="AM157">
        <v>0</v>
      </c>
      <c r="AN157" s="2">
        <f>IF((2*G157+M157-O157+3*V157+2*AB157+2*AE157+2*AH157+3*AJ157)&gt;=7,1,0)</f>
        <v>1</v>
      </c>
    </row>
    <row r="158" spans="1:40" x14ac:dyDescent="0.25">
      <c r="A158" t="s">
        <v>27</v>
      </c>
      <c r="B158" s="1">
        <v>36998</v>
      </c>
      <c r="C158" s="6">
        <f t="shared" si="20"/>
        <v>2001</v>
      </c>
      <c r="D158">
        <v>75.3</v>
      </c>
      <c r="E158">
        <v>51.9</v>
      </c>
      <c r="F158">
        <v>61.1</v>
      </c>
      <c r="G158" s="2">
        <f t="shared" si="21"/>
        <v>0</v>
      </c>
      <c r="H158">
        <v>75.3</v>
      </c>
      <c r="I158">
        <v>51.9</v>
      </c>
      <c r="J158">
        <v>61.1</v>
      </c>
      <c r="K158">
        <v>49.9</v>
      </c>
      <c r="L158">
        <v>69.7</v>
      </c>
      <c r="M158" s="2">
        <f t="shared" si="22"/>
        <v>0</v>
      </c>
      <c r="N158">
        <v>0</v>
      </c>
      <c r="O158" s="2">
        <f t="shared" si="23"/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s="2">
        <f t="shared" si="24"/>
        <v>0</v>
      </c>
      <c r="W158">
        <v>11.4</v>
      </c>
      <c r="X158" s="2">
        <f t="shared" si="25"/>
        <v>0</v>
      </c>
      <c r="Y158">
        <v>81.099999999999994</v>
      </c>
      <c r="Z158" s="2" t="str">
        <f>CHOOSE(MATCH(Y158,{0;11;80;111;161;191;241;281;341},1),"North","NorthEast","East","SouthEast","South","SouthWest","West","NorthWest","North")</f>
        <v>East</v>
      </c>
      <c r="AA158" s="4">
        <f>CHOOSE(MATCH(Z158,{"South";"SouthEast";"SouthWest";"North";"NorthEast";"East";"West";"NorthWest"},0),1,2,3,4,5,6,7,8)</f>
        <v>6</v>
      </c>
      <c r="AB158" s="2">
        <f t="shared" si="26"/>
        <v>0</v>
      </c>
      <c r="AC158">
        <v>1012.1</v>
      </c>
      <c r="AD158" t="s">
        <v>302</v>
      </c>
      <c r="AE158" s="2">
        <f t="shared" si="27"/>
        <v>1</v>
      </c>
      <c r="AF158" t="s">
        <v>303</v>
      </c>
      <c r="AG158" s="2">
        <f t="shared" si="28"/>
        <v>4</v>
      </c>
      <c r="AH158" s="2">
        <f t="shared" si="29"/>
        <v>0</v>
      </c>
      <c r="AI158" s="3">
        <v>60.999999999767169</v>
      </c>
      <c r="AJ158" s="2">
        <v>0</v>
      </c>
      <c r="AK158">
        <v>5</v>
      </c>
      <c r="AL158">
        <v>0</v>
      </c>
      <c r="AM158">
        <v>0</v>
      </c>
      <c r="AN158" s="2">
        <f>IF((2*G158+M158-O158+3*V158+2*AB158+2*AE158+2*AH158+3*AJ158)&gt;=7,1,0)</f>
        <v>0</v>
      </c>
    </row>
    <row r="159" spans="1:40" x14ac:dyDescent="0.25">
      <c r="A159" t="s">
        <v>27</v>
      </c>
      <c r="B159" s="1">
        <v>36999</v>
      </c>
      <c r="C159" s="6">
        <f t="shared" si="20"/>
        <v>2001</v>
      </c>
      <c r="D159">
        <v>73.5</v>
      </c>
      <c r="E159">
        <v>66.3</v>
      </c>
      <c r="F159">
        <v>69.5</v>
      </c>
      <c r="G159" s="2">
        <f t="shared" si="21"/>
        <v>0</v>
      </c>
      <c r="H159">
        <v>73.5</v>
      </c>
      <c r="I159">
        <v>66.3</v>
      </c>
      <c r="J159">
        <v>69.5</v>
      </c>
      <c r="K159">
        <v>49.1</v>
      </c>
      <c r="L159">
        <v>49.8</v>
      </c>
      <c r="M159" s="2">
        <f t="shared" si="22"/>
        <v>1</v>
      </c>
      <c r="N159">
        <v>0</v>
      </c>
      <c r="O159" s="2">
        <f t="shared" si="23"/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s="2">
        <f t="shared" si="24"/>
        <v>0</v>
      </c>
      <c r="W159">
        <v>33.299999999999997</v>
      </c>
      <c r="X159" s="2">
        <f t="shared" si="25"/>
        <v>1</v>
      </c>
      <c r="Y159">
        <v>281.5</v>
      </c>
      <c r="Z159" s="2" t="str">
        <f>CHOOSE(MATCH(Y159,{0;11;80;111;161;191;241;281;341},1),"North","NorthEast","East","SouthEast","South","SouthWest","West","NorthWest","North")</f>
        <v>NorthWest</v>
      </c>
      <c r="AA159" s="4">
        <f>CHOOSE(MATCH(Z159,{"South";"SouthEast";"SouthWest";"North";"NorthEast";"East";"West";"NorthWest"},0),1,2,3,4,5,6,7,8)</f>
        <v>8</v>
      </c>
      <c r="AB159" s="2">
        <f t="shared" si="26"/>
        <v>1</v>
      </c>
      <c r="AC159">
        <v>1007.9</v>
      </c>
      <c r="AD159" t="s">
        <v>90</v>
      </c>
      <c r="AE159" s="2">
        <f t="shared" si="27"/>
        <v>1</v>
      </c>
      <c r="AF159" t="s">
        <v>304</v>
      </c>
      <c r="AG159" s="2">
        <f t="shared" si="28"/>
        <v>4</v>
      </c>
      <c r="AH159" s="2">
        <f t="shared" si="29"/>
        <v>0</v>
      </c>
      <c r="AI159" s="3">
        <v>330.99999999976723</v>
      </c>
      <c r="AJ159" s="2">
        <v>0</v>
      </c>
      <c r="AK159">
        <v>0</v>
      </c>
      <c r="AL159">
        <v>2</v>
      </c>
      <c r="AM159">
        <v>0</v>
      </c>
      <c r="AN159" s="2">
        <f>IF((2*G159+M159-O159+3*V159+2*AB159+2*AE159+2*AH159+3*AJ159)&gt;=7,1,0)</f>
        <v>0</v>
      </c>
    </row>
    <row r="160" spans="1:40" x14ac:dyDescent="0.25">
      <c r="A160" t="s">
        <v>27</v>
      </c>
      <c r="B160" s="1">
        <v>37001</v>
      </c>
      <c r="C160" s="6">
        <f t="shared" si="20"/>
        <v>2001</v>
      </c>
      <c r="D160">
        <v>84.3</v>
      </c>
      <c r="E160">
        <v>60.9</v>
      </c>
      <c r="F160">
        <v>72.2</v>
      </c>
      <c r="G160" s="2">
        <f t="shared" si="21"/>
        <v>1</v>
      </c>
      <c r="H160">
        <v>82.1</v>
      </c>
      <c r="I160">
        <v>60.9</v>
      </c>
      <c r="J160">
        <v>71.8</v>
      </c>
      <c r="K160">
        <v>43.1</v>
      </c>
      <c r="L160">
        <v>35.799999999999997</v>
      </c>
      <c r="M160" s="2">
        <f t="shared" si="22"/>
        <v>1</v>
      </c>
      <c r="N160">
        <v>0</v>
      </c>
      <c r="O160" s="2">
        <f t="shared" si="23"/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s="2">
        <f t="shared" si="24"/>
        <v>0</v>
      </c>
      <c r="W160">
        <v>20.8</v>
      </c>
      <c r="X160" s="2">
        <f t="shared" si="25"/>
        <v>1</v>
      </c>
      <c r="Y160">
        <v>180.6</v>
      </c>
      <c r="Z160" s="2" t="str">
        <f>CHOOSE(MATCH(Y160,{0;11;80;111;161;191;241;281;341},1),"North","NorthEast","East","SouthEast","South","SouthWest","West","NorthWest","North")</f>
        <v>South</v>
      </c>
      <c r="AA160" s="4">
        <f>CHOOSE(MATCH(Z160,{"South";"SouthEast";"SouthWest";"North";"NorthEast";"East";"West";"NorthWest"},0),1,2,3,4,5,6,7,8)</f>
        <v>1</v>
      </c>
      <c r="AB160" s="2">
        <f t="shared" si="26"/>
        <v>0</v>
      </c>
      <c r="AC160">
        <v>1011.4</v>
      </c>
      <c r="AD160" t="s">
        <v>305</v>
      </c>
      <c r="AE160" s="2">
        <f t="shared" si="27"/>
        <v>1</v>
      </c>
      <c r="AF160" t="s">
        <v>306</v>
      </c>
      <c r="AG160" s="2">
        <f t="shared" si="28"/>
        <v>4</v>
      </c>
      <c r="AH160" s="2">
        <f t="shared" si="29"/>
        <v>0</v>
      </c>
      <c r="AI160" s="3">
        <v>130.00000000465661</v>
      </c>
      <c r="AJ160" s="2">
        <v>0</v>
      </c>
      <c r="AK160">
        <v>0</v>
      </c>
      <c r="AL160">
        <v>3</v>
      </c>
      <c r="AM160">
        <v>0</v>
      </c>
      <c r="AN160" s="2">
        <f>IF((2*G160+M160-O160+3*V160+2*AB160+2*AE160+2*AH160+3*AJ160)&gt;=7,1,0)</f>
        <v>0</v>
      </c>
    </row>
    <row r="161" spans="1:40" x14ac:dyDescent="0.25">
      <c r="A161" t="s">
        <v>27</v>
      </c>
      <c r="B161" s="1">
        <v>37008</v>
      </c>
      <c r="C161" s="6">
        <f t="shared" si="20"/>
        <v>2001</v>
      </c>
      <c r="D161">
        <v>68.099999999999994</v>
      </c>
      <c r="E161">
        <v>53.7</v>
      </c>
      <c r="F161">
        <v>61.3</v>
      </c>
      <c r="G161" s="2">
        <f t="shared" si="21"/>
        <v>0</v>
      </c>
      <c r="H161">
        <v>68.099999999999994</v>
      </c>
      <c r="I161">
        <v>53.7</v>
      </c>
      <c r="J161">
        <v>61.3</v>
      </c>
      <c r="K161">
        <v>53.4</v>
      </c>
      <c r="L161">
        <v>75.900000000000006</v>
      </c>
      <c r="M161" s="2">
        <f t="shared" si="22"/>
        <v>0</v>
      </c>
      <c r="N161">
        <v>0</v>
      </c>
      <c r="O161" s="2">
        <f t="shared" si="23"/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s="2">
        <f t="shared" si="24"/>
        <v>0</v>
      </c>
      <c r="W161">
        <v>9.1999999999999993</v>
      </c>
      <c r="X161" s="2">
        <f t="shared" si="25"/>
        <v>0</v>
      </c>
      <c r="Y161">
        <v>88.3</v>
      </c>
      <c r="Z161" s="2" t="str">
        <f>CHOOSE(MATCH(Y161,{0;11;80;111;161;191;241;281;341},1),"North","NorthEast","East","SouthEast","South","SouthWest","West","NorthWest","North")</f>
        <v>East</v>
      </c>
      <c r="AA161" s="4">
        <f>CHOOSE(MATCH(Z161,{"South";"SouthEast";"SouthWest";"North";"NorthEast";"East";"West";"NorthWest"},0),1,2,3,4,5,6,7,8)</f>
        <v>6</v>
      </c>
      <c r="AB161" s="2">
        <f t="shared" si="26"/>
        <v>0</v>
      </c>
      <c r="AC161">
        <v>1015.2</v>
      </c>
      <c r="AD161" t="s">
        <v>307</v>
      </c>
      <c r="AE161" s="2">
        <f t="shared" si="27"/>
        <v>1</v>
      </c>
      <c r="AF161" t="s">
        <v>308</v>
      </c>
      <c r="AG161" s="2">
        <f t="shared" si="28"/>
        <v>4</v>
      </c>
      <c r="AH161" s="2">
        <f t="shared" si="29"/>
        <v>0</v>
      </c>
      <c r="AI161" s="3">
        <v>56.000000004423782</v>
      </c>
      <c r="AJ161" s="2">
        <v>0</v>
      </c>
      <c r="AK161">
        <v>0</v>
      </c>
      <c r="AL161">
        <v>2</v>
      </c>
      <c r="AM161">
        <v>0</v>
      </c>
      <c r="AN161" s="2">
        <f>IF((2*G161+M161-O161+3*V161+2*AB161+2*AE161+2*AH161+3*AJ161)&gt;=7,1,0)</f>
        <v>0</v>
      </c>
    </row>
    <row r="162" spans="1:40" x14ac:dyDescent="0.25">
      <c r="A162" t="s">
        <v>27</v>
      </c>
      <c r="B162" s="1">
        <v>37011</v>
      </c>
      <c r="C162" s="6">
        <f t="shared" si="20"/>
        <v>2001</v>
      </c>
      <c r="D162">
        <v>68.099999999999994</v>
      </c>
      <c r="E162">
        <v>60.9</v>
      </c>
      <c r="F162">
        <v>64</v>
      </c>
      <c r="G162" s="2">
        <f t="shared" si="21"/>
        <v>0</v>
      </c>
      <c r="H162">
        <v>68.099999999999994</v>
      </c>
      <c r="I162">
        <v>60.9</v>
      </c>
      <c r="J162">
        <v>64</v>
      </c>
      <c r="K162">
        <v>57.4</v>
      </c>
      <c r="L162">
        <v>79.3</v>
      </c>
      <c r="M162" s="2">
        <f t="shared" si="22"/>
        <v>0</v>
      </c>
      <c r="N162">
        <v>0</v>
      </c>
      <c r="O162" s="2">
        <f t="shared" si="23"/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s="2">
        <f t="shared" si="24"/>
        <v>0</v>
      </c>
      <c r="W162">
        <v>18.3</v>
      </c>
      <c r="X162" s="2">
        <f t="shared" si="25"/>
        <v>1</v>
      </c>
      <c r="Y162">
        <v>320.60000000000002</v>
      </c>
      <c r="Z162" s="2" t="str">
        <f>CHOOSE(MATCH(Y162,{0;11;80;111;161;191;241;281;341},1),"North","NorthEast","East","SouthEast","South","SouthWest","West","NorthWest","North")</f>
        <v>NorthWest</v>
      </c>
      <c r="AA162" s="4">
        <f>CHOOSE(MATCH(Z162,{"South";"SouthEast";"SouthWest";"North";"NorthEast";"East";"West";"NorthWest"},0),1,2,3,4,5,6,7,8)</f>
        <v>8</v>
      </c>
      <c r="AB162" s="2">
        <f t="shared" si="26"/>
        <v>1</v>
      </c>
      <c r="AC162">
        <v>1008.3</v>
      </c>
      <c r="AD162" t="s">
        <v>309</v>
      </c>
      <c r="AE162" s="2">
        <f t="shared" si="27"/>
        <v>1</v>
      </c>
      <c r="AF162" t="s">
        <v>310</v>
      </c>
      <c r="AG162" s="2">
        <f t="shared" si="28"/>
        <v>4</v>
      </c>
      <c r="AH162" s="2">
        <f t="shared" si="29"/>
        <v>0</v>
      </c>
      <c r="AI162" s="3">
        <v>4500</v>
      </c>
      <c r="AJ162" s="2">
        <v>1</v>
      </c>
      <c r="AK162">
        <v>0</v>
      </c>
      <c r="AL162">
        <v>21</v>
      </c>
      <c r="AM162">
        <v>0</v>
      </c>
      <c r="AN162" s="2">
        <f>IF((2*G162+M162-O162+3*V162+2*AB162+2*AE162+2*AH162+3*AJ162)&gt;=7,1,0)</f>
        <v>0</v>
      </c>
    </row>
    <row r="163" spans="1:40" x14ac:dyDescent="0.25">
      <c r="A163" t="s">
        <v>27</v>
      </c>
      <c r="B163" s="1">
        <v>37017</v>
      </c>
      <c r="C163" s="6">
        <f t="shared" si="20"/>
        <v>2001</v>
      </c>
      <c r="D163">
        <v>69.900000000000006</v>
      </c>
      <c r="E163">
        <v>60.9</v>
      </c>
      <c r="F163">
        <v>67.099999999999994</v>
      </c>
      <c r="G163" s="2">
        <f t="shared" si="21"/>
        <v>0</v>
      </c>
      <c r="H163">
        <v>69.900000000000006</v>
      </c>
      <c r="I163">
        <v>60.9</v>
      </c>
      <c r="J163">
        <v>67.099999999999994</v>
      </c>
      <c r="K163">
        <v>52.7</v>
      </c>
      <c r="L163">
        <v>61</v>
      </c>
      <c r="M163" s="2">
        <f t="shared" si="22"/>
        <v>1</v>
      </c>
      <c r="N163">
        <v>0</v>
      </c>
      <c r="O163" s="2">
        <f t="shared" si="23"/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s="2">
        <f t="shared" si="24"/>
        <v>0</v>
      </c>
      <c r="W163">
        <v>24.2</v>
      </c>
      <c r="X163" s="2">
        <f t="shared" si="25"/>
        <v>1</v>
      </c>
      <c r="Y163">
        <v>277.5</v>
      </c>
      <c r="Z163" s="2" t="str">
        <f>CHOOSE(MATCH(Y163,{0;11;80;111;161;191;241;281;341},1),"North","NorthEast","East","SouthEast","South","SouthWest","West","NorthWest","North")</f>
        <v>West</v>
      </c>
      <c r="AA163" s="4">
        <f>CHOOSE(MATCH(Z163,{"South";"SouthEast";"SouthWest";"North";"NorthEast";"East";"West";"NorthWest"},0),1,2,3,4,5,6,7,8)</f>
        <v>7</v>
      </c>
      <c r="AB163" s="2">
        <f t="shared" si="26"/>
        <v>0</v>
      </c>
      <c r="AC163">
        <v>1006</v>
      </c>
      <c r="AD163" t="s">
        <v>311</v>
      </c>
      <c r="AE163" s="2">
        <f t="shared" si="27"/>
        <v>1</v>
      </c>
      <c r="AF163" t="s">
        <v>312</v>
      </c>
      <c r="AG163" s="2">
        <f t="shared" si="28"/>
        <v>5</v>
      </c>
      <c r="AH163" s="2">
        <f t="shared" si="29"/>
        <v>0</v>
      </c>
      <c r="AI163" s="3">
        <v>180</v>
      </c>
      <c r="AJ163" s="2">
        <v>0</v>
      </c>
      <c r="AK163">
        <v>0</v>
      </c>
      <c r="AL163">
        <v>0.2</v>
      </c>
      <c r="AM163">
        <v>0</v>
      </c>
      <c r="AN163" s="2">
        <f>IF((2*G163+M163-O163+3*V163+2*AB163+2*AE163+2*AH163+3*AJ163)&gt;=7,1,0)</f>
        <v>0</v>
      </c>
    </row>
    <row r="164" spans="1:40" x14ac:dyDescent="0.25">
      <c r="A164" t="s">
        <v>27</v>
      </c>
      <c r="B164" s="1">
        <v>37017</v>
      </c>
      <c r="C164" s="6">
        <f t="shared" si="20"/>
        <v>2001</v>
      </c>
      <c r="D164">
        <v>69.900000000000006</v>
      </c>
      <c r="E164">
        <v>60.9</v>
      </c>
      <c r="F164">
        <v>67.099999999999994</v>
      </c>
      <c r="G164" s="2">
        <f t="shared" si="21"/>
        <v>0</v>
      </c>
      <c r="H164">
        <v>69.900000000000006</v>
      </c>
      <c r="I164">
        <v>60.9</v>
      </c>
      <c r="J164">
        <v>67.099999999999994</v>
      </c>
      <c r="K164">
        <v>52.7</v>
      </c>
      <c r="L164">
        <v>61</v>
      </c>
      <c r="M164" s="2">
        <f t="shared" si="22"/>
        <v>1</v>
      </c>
      <c r="N164">
        <v>0</v>
      </c>
      <c r="O164" s="2">
        <f t="shared" si="23"/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s="2">
        <f t="shared" si="24"/>
        <v>0</v>
      </c>
      <c r="W164">
        <v>24.2</v>
      </c>
      <c r="X164" s="2">
        <f t="shared" si="25"/>
        <v>1</v>
      </c>
      <c r="Y164">
        <v>277.5</v>
      </c>
      <c r="Z164" s="2" t="str">
        <f>CHOOSE(MATCH(Y164,{0;11;80;111;161;191;241;281;341},1),"North","NorthEast","East","SouthEast","South","SouthWest","West","NorthWest","North")</f>
        <v>West</v>
      </c>
      <c r="AA164" s="4">
        <f>CHOOSE(MATCH(Z164,{"South";"SouthEast";"SouthWest";"North";"NorthEast";"East";"West";"NorthWest"},0),1,2,3,4,5,6,7,8)</f>
        <v>7</v>
      </c>
      <c r="AB164" s="2">
        <f t="shared" si="26"/>
        <v>0</v>
      </c>
      <c r="AC164">
        <v>1006</v>
      </c>
      <c r="AD164" t="s">
        <v>313</v>
      </c>
      <c r="AE164" s="2">
        <f t="shared" si="27"/>
        <v>1</v>
      </c>
      <c r="AF164" t="s">
        <v>314</v>
      </c>
      <c r="AG164" s="2">
        <f t="shared" si="28"/>
        <v>5</v>
      </c>
      <c r="AH164" s="2">
        <f t="shared" si="29"/>
        <v>0</v>
      </c>
      <c r="AI164" s="3">
        <v>207.9999999969732</v>
      </c>
      <c r="AJ164" s="2">
        <v>0</v>
      </c>
      <c r="AK164">
        <v>0</v>
      </c>
      <c r="AL164">
        <v>0.1</v>
      </c>
      <c r="AM164">
        <v>0</v>
      </c>
      <c r="AN164" s="2">
        <f>IF((2*G164+M164-O164+3*V164+2*AB164+2*AE164+2*AH164+3*AJ164)&gt;=7,1,0)</f>
        <v>0</v>
      </c>
    </row>
    <row r="165" spans="1:40" x14ac:dyDescent="0.25">
      <c r="A165" t="s">
        <v>27</v>
      </c>
      <c r="B165" s="1">
        <v>37021</v>
      </c>
      <c r="C165" s="6">
        <f t="shared" si="20"/>
        <v>2001</v>
      </c>
      <c r="D165">
        <v>68.099999999999994</v>
      </c>
      <c r="E165">
        <v>60.9</v>
      </c>
      <c r="F165">
        <v>65</v>
      </c>
      <c r="G165" s="2">
        <f t="shared" si="21"/>
        <v>0</v>
      </c>
      <c r="H165">
        <v>68.099999999999994</v>
      </c>
      <c r="I165">
        <v>60.9</v>
      </c>
      <c r="J165">
        <v>65</v>
      </c>
      <c r="K165">
        <v>54.6</v>
      </c>
      <c r="L165">
        <v>69.5</v>
      </c>
      <c r="M165" s="2">
        <f t="shared" si="22"/>
        <v>0</v>
      </c>
      <c r="N165">
        <v>0</v>
      </c>
      <c r="O165" s="2">
        <f t="shared" si="23"/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s="2">
        <f t="shared" si="24"/>
        <v>0</v>
      </c>
      <c r="W165">
        <v>13.9</v>
      </c>
      <c r="X165" s="2">
        <f t="shared" si="25"/>
        <v>0</v>
      </c>
      <c r="Y165">
        <v>325.39999999999998</v>
      </c>
      <c r="Z165" s="2" t="str">
        <f>CHOOSE(MATCH(Y165,{0;11;80;111;161;191;241;281;341},1),"North","NorthEast","East","SouthEast","South","SouthWest","West","NorthWest","North")</f>
        <v>NorthWest</v>
      </c>
      <c r="AA165" s="4">
        <f>CHOOSE(MATCH(Z165,{"South";"SouthEast";"SouthWest";"North";"NorthEast";"East";"West";"NorthWest"},0),1,2,3,4,5,6,7,8)</f>
        <v>8</v>
      </c>
      <c r="AB165" s="2">
        <f t="shared" si="26"/>
        <v>1</v>
      </c>
      <c r="AC165">
        <v>1011.4</v>
      </c>
      <c r="AD165" t="s">
        <v>227</v>
      </c>
      <c r="AE165" s="2">
        <f t="shared" si="27"/>
        <v>1</v>
      </c>
      <c r="AF165" t="s">
        <v>315</v>
      </c>
      <c r="AG165" s="2">
        <f t="shared" si="28"/>
        <v>5</v>
      </c>
      <c r="AH165" s="2">
        <f t="shared" si="29"/>
        <v>0</v>
      </c>
      <c r="AI165" s="3">
        <v>76.000000006752089</v>
      </c>
      <c r="AJ165" s="2">
        <v>0</v>
      </c>
      <c r="AK165">
        <v>0</v>
      </c>
      <c r="AL165">
        <v>0.2</v>
      </c>
      <c r="AM165">
        <v>0</v>
      </c>
      <c r="AN165" s="2">
        <f>IF((2*G165+M165-O165+3*V165+2*AB165+2*AE165+2*AH165+3*AJ165)&gt;=7,1,0)</f>
        <v>0</v>
      </c>
    </row>
    <row r="166" spans="1:40" x14ac:dyDescent="0.25">
      <c r="A166" t="s">
        <v>27</v>
      </c>
      <c r="B166" s="1">
        <v>37044</v>
      </c>
      <c r="C166" s="6">
        <f t="shared" si="20"/>
        <v>2001</v>
      </c>
      <c r="D166">
        <v>80.7</v>
      </c>
      <c r="E166">
        <v>69.900000000000006</v>
      </c>
      <c r="F166">
        <v>76.2</v>
      </c>
      <c r="G166" s="2">
        <f t="shared" si="21"/>
        <v>1</v>
      </c>
      <c r="H166">
        <v>81.5</v>
      </c>
      <c r="I166">
        <v>69.900000000000006</v>
      </c>
      <c r="J166">
        <v>76.2</v>
      </c>
      <c r="K166">
        <v>53.7</v>
      </c>
      <c r="L166">
        <v>46.1</v>
      </c>
      <c r="M166" s="2">
        <f t="shared" si="22"/>
        <v>1</v>
      </c>
      <c r="N166">
        <v>0</v>
      </c>
      <c r="O166" s="2">
        <f t="shared" si="23"/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s="2">
        <f t="shared" si="24"/>
        <v>0</v>
      </c>
      <c r="W166">
        <v>12.8</v>
      </c>
      <c r="X166" s="2">
        <f t="shared" si="25"/>
        <v>0</v>
      </c>
      <c r="Y166">
        <v>349.3</v>
      </c>
      <c r="Z166" s="2" t="str">
        <f>CHOOSE(MATCH(Y166,{0;11;80;111;161;191;241;281;341},1),"North","NorthEast","East","SouthEast","South","SouthWest","West","NorthWest","North")</f>
        <v>North</v>
      </c>
      <c r="AA166" s="4">
        <f>CHOOSE(MATCH(Z166,{"South";"SouthEast";"SouthWest";"North";"NorthEast";"East";"West";"NorthWest"},0),1,2,3,4,5,6,7,8)</f>
        <v>4</v>
      </c>
      <c r="AB166" s="2">
        <f t="shared" si="26"/>
        <v>1</v>
      </c>
      <c r="AC166">
        <v>1011.6</v>
      </c>
      <c r="AD166" t="s">
        <v>229</v>
      </c>
      <c r="AE166" s="2">
        <f t="shared" si="27"/>
        <v>1</v>
      </c>
      <c r="AF166" t="s">
        <v>316</v>
      </c>
      <c r="AG166" s="2">
        <f t="shared" si="28"/>
        <v>6</v>
      </c>
      <c r="AH166" s="2">
        <f t="shared" si="29"/>
        <v>1</v>
      </c>
      <c r="AI166" s="3">
        <v>4109.9999999965084</v>
      </c>
      <c r="AJ166" s="2">
        <v>1</v>
      </c>
      <c r="AK166">
        <v>0</v>
      </c>
      <c r="AL166">
        <v>5</v>
      </c>
      <c r="AM166">
        <v>0</v>
      </c>
      <c r="AN166" s="2">
        <f>IF((2*G166+M166-O166+3*V166+2*AB166+2*AE166+2*AH166+3*AJ166)&gt;=7,1,0)</f>
        <v>1</v>
      </c>
    </row>
    <row r="167" spans="1:40" x14ac:dyDescent="0.25">
      <c r="A167" t="s">
        <v>27</v>
      </c>
      <c r="B167" s="1">
        <v>37054</v>
      </c>
      <c r="C167" s="6">
        <f t="shared" si="20"/>
        <v>2001</v>
      </c>
      <c r="D167">
        <v>82.5</v>
      </c>
      <c r="E167">
        <v>64.5</v>
      </c>
      <c r="F167">
        <v>74.599999999999994</v>
      </c>
      <c r="G167" s="2">
        <f t="shared" si="21"/>
        <v>1</v>
      </c>
      <c r="H167">
        <v>81.5</v>
      </c>
      <c r="I167">
        <v>64.5</v>
      </c>
      <c r="J167">
        <v>74.3</v>
      </c>
      <c r="K167">
        <v>48.5</v>
      </c>
      <c r="L167">
        <v>40.4</v>
      </c>
      <c r="M167" s="2">
        <f t="shared" si="22"/>
        <v>1</v>
      </c>
      <c r="N167">
        <v>0</v>
      </c>
      <c r="O167" s="2">
        <f t="shared" si="23"/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s="2">
        <f t="shared" si="24"/>
        <v>0</v>
      </c>
      <c r="W167">
        <v>9.1999999999999993</v>
      </c>
      <c r="X167" s="2">
        <f t="shared" si="25"/>
        <v>0</v>
      </c>
      <c r="Y167">
        <v>150.19999999999999</v>
      </c>
      <c r="Z167" s="2" t="str">
        <f>CHOOSE(MATCH(Y167,{0;11;80;111;161;191;241;281;341},1),"North","NorthEast","East","SouthEast","South","SouthWest","West","NorthWest","North")</f>
        <v>SouthEast</v>
      </c>
      <c r="AA167" s="4">
        <f>CHOOSE(MATCH(Z167,{"South";"SouthEast";"SouthWest";"North";"NorthEast";"East";"West";"NorthWest"},0),1,2,3,4,5,6,7,8)</f>
        <v>2</v>
      </c>
      <c r="AB167" s="2">
        <f t="shared" si="26"/>
        <v>0</v>
      </c>
      <c r="AC167">
        <v>1010.4</v>
      </c>
      <c r="AD167" t="s">
        <v>317</v>
      </c>
      <c r="AE167" s="2">
        <f t="shared" si="27"/>
        <v>1</v>
      </c>
      <c r="AF167" t="s">
        <v>318</v>
      </c>
      <c r="AG167" s="2">
        <f t="shared" si="28"/>
        <v>6</v>
      </c>
      <c r="AH167" s="2">
        <f t="shared" si="29"/>
        <v>1</v>
      </c>
      <c r="AI167" s="3">
        <v>195.9999999997672</v>
      </c>
      <c r="AJ167" s="2">
        <v>0</v>
      </c>
      <c r="AK167">
        <v>0</v>
      </c>
      <c r="AL167">
        <v>16</v>
      </c>
      <c r="AM167">
        <v>0</v>
      </c>
      <c r="AN167" s="2">
        <f>IF((2*G167+M167-O167+3*V167+2*AB167+2*AE167+2*AH167+3*AJ167)&gt;=7,1,0)</f>
        <v>0</v>
      </c>
    </row>
    <row r="168" spans="1:40" x14ac:dyDescent="0.25">
      <c r="A168" t="s">
        <v>27</v>
      </c>
      <c r="B168" s="1">
        <v>37055</v>
      </c>
      <c r="C168" s="6">
        <f t="shared" si="20"/>
        <v>2001</v>
      </c>
      <c r="D168">
        <v>82.5</v>
      </c>
      <c r="E168">
        <v>68.099999999999994</v>
      </c>
      <c r="F168">
        <v>75.099999999999994</v>
      </c>
      <c r="G168" s="2">
        <f t="shared" si="21"/>
        <v>1</v>
      </c>
      <c r="H168">
        <v>81.5</v>
      </c>
      <c r="I168">
        <v>68.099999999999994</v>
      </c>
      <c r="J168">
        <v>75.099999999999994</v>
      </c>
      <c r="K168">
        <v>57.1</v>
      </c>
      <c r="L168">
        <v>55.3</v>
      </c>
      <c r="M168" s="2">
        <f t="shared" si="22"/>
        <v>1</v>
      </c>
      <c r="N168">
        <v>0</v>
      </c>
      <c r="O168" s="2">
        <f t="shared" si="23"/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s="2">
        <f t="shared" si="24"/>
        <v>0</v>
      </c>
      <c r="W168">
        <v>16.100000000000001</v>
      </c>
      <c r="X168" s="2">
        <f t="shared" si="25"/>
        <v>1</v>
      </c>
      <c r="Y168">
        <v>321.7</v>
      </c>
      <c r="Z168" s="2" t="str">
        <f>CHOOSE(MATCH(Y168,{0;11;80;111;161;191;241;281;341},1),"North","NorthEast","East","SouthEast","South","SouthWest","West","NorthWest","North")</f>
        <v>NorthWest</v>
      </c>
      <c r="AA168" s="4">
        <f>CHOOSE(MATCH(Z168,{"South";"SouthEast";"SouthWest";"North";"NorthEast";"East";"West";"NorthWest"},0),1,2,3,4,5,6,7,8)</f>
        <v>8</v>
      </c>
      <c r="AB168" s="2">
        <f t="shared" si="26"/>
        <v>1</v>
      </c>
      <c r="AC168">
        <v>1009.5</v>
      </c>
      <c r="AD168" t="s">
        <v>37</v>
      </c>
      <c r="AE168" s="2">
        <f t="shared" si="27"/>
        <v>1</v>
      </c>
      <c r="AF168" t="s">
        <v>319</v>
      </c>
      <c r="AG168" s="2">
        <f t="shared" si="28"/>
        <v>6</v>
      </c>
      <c r="AH168" s="2">
        <f t="shared" si="29"/>
        <v>1</v>
      </c>
      <c r="AI168" s="3">
        <v>386.00000000093132</v>
      </c>
      <c r="AJ168" s="2">
        <v>1</v>
      </c>
      <c r="AK168">
        <v>0</v>
      </c>
      <c r="AL168">
        <v>0.6</v>
      </c>
      <c r="AM168">
        <v>0</v>
      </c>
      <c r="AN168" s="2">
        <f>IF((2*G168+M168-O168+3*V168+2*AB168+2*AE168+2*AH168+3*AJ168)&gt;=7,1,0)</f>
        <v>1</v>
      </c>
    </row>
    <row r="169" spans="1:40" x14ac:dyDescent="0.25">
      <c r="A169" t="s">
        <v>27</v>
      </c>
      <c r="B169" s="1">
        <v>37055</v>
      </c>
      <c r="C169" s="6">
        <f t="shared" si="20"/>
        <v>2001</v>
      </c>
      <c r="D169">
        <v>82.5</v>
      </c>
      <c r="E169">
        <v>68.099999999999994</v>
      </c>
      <c r="F169">
        <v>75.099999999999994</v>
      </c>
      <c r="G169" s="2">
        <f t="shared" si="21"/>
        <v>1</v>
      </c>
      <c r="H169">
        <v>81.5</v>
      </c>
      <c r="I169">
        <v>68.099999999999994</v>
      </c>
      <c r="J169">
        <v>75.099999999999994</v>
      </c>
      <c r="K169">
        <v>57.1</v>
      </c>
      <c r="L169">
        <v>55.3</v>
      </c>
      <c r="M169" s="2">
        <f t="shared" si="22"/>
        <v>1</v>
      </c>
      <c r="N169">
        <v>0</v>
      </c>
      <c r="O169" s="2">
        <f t="shared" si="23"/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s="2">
        <f t="shared" si="24"/>
        <v>0</v>
      </c>
      <c r="W169">
        <v>16.100000000000001</v>
      </c>
      <c r="X169" s="2">
        <f t="shared" si="25"/>
        <v>1</v>
      </c>
      <c r="Y169">
        <v>321.7</v>
      </c>
      <c r="Z169" s="2" t="str">
        <f>CHOOSE(MATCH(Y169,{0;11;80;111;161;191;241;281;341},1),"North","NorthEast","East","SouthEast","South","SouthWest","West","NorthWest","North")</f>
        <v>NorthWest</v>
      </c>
      <c r="AA169" s="4">
        <f>CHOOSE(MATCH(Z169,{"South";"SouthEast";"SouthWest";"North";"NorthEast";"East";"West";"NorthWest"},0),1,2,3,4,5,6,7,8)</f>
        <v>8</v>
      </c>
      <c r="AB169" s="2">
        <f t="shared" si="26"/>
        <v>1</v>
      </c>
      <c r="AC169">
        <v>1009.5</v>
      </c>
      <c r="AD169" t="s">
        <v>320</v>
      </c>
      <c r="AE169" s="2">
        <f t="shared" si="27"/>
        <v>0</v>
      </c>
      <c r="AF169" t="s">
        <v>321</v>
      </c>
      <c r="AG169" s="2">
        <f t="shared" si="28"/>
        <v>6</v>
      </c>
      <c r="AH169" s="2">
        <f t="shared" si="29"/>
        <v>1</v>
      </c>
      <c r="AI169" s="3">
        <v>425.00000000232831</v>
      </c>
      <c r="AJ169" s="2">
        <v>1</v>
      </c>
      <c r="AK169">
        <v>0</v>
      </c>
      <c r="AL169">
        <v>30</v>
      </c>
      <c r="AM169">
        <v>0</v>
      </c>
      <c r="AN169" s="2">
        <f>IF((2*G169+M169-O169+3*V169+2*AB169+2*AE169+2*AH169+3*AJ169)&gt;=7,1,0)</f>
        <v>1</v>
      </c>
    </row>
    <row r="170" spans="1:40" x14ac:dyDescent="0.25">
      <c r="A170" t="s">
        <v>27</v>
      </c>
      <c r="B170" s="1">
        <v>37062</v>
      </c>
      <c r="C170" s="6">
        <f t="shared" si="20"/>
        <v>2001</v>
      </c>
      <c r="D170">
        <v>78.900000000000006</v>
      </c>
      <c r="E170">
        <v>64.5</v>
      </c>
      <c r="F170">
        <v>72.2</v>
      </c>
      <c r="G170" s="2">
        <f t="shared" si="21"/>
        <v>1</v>
      </c>
      <c r="H170">
        <v>78.900000000000006</v>
      </c>
      <c r="I170">
        <v>64.5</v>
      </c>
      <c r="J170">
        <v>72.2</v>
      </c>
      <c r="K170">
        <v>56.9</v>
      </c>
      <c r="L170">
        <v>59.8</v>
      </c>
      <c r="M170" s="2">
        <f t="shared" si="22"/>
        <v>1</v>
      </c>
      <c r="N170">
        <v>0</v>
      </c>
      <c r="O170" s="2">
        <f t="shared" si="23"/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s="2">
        <f t="shared" si="24"/>
        <v>0</v>
      </c>
      <c r="W170">
        <v>17.2</v>
      </c>
      <c r="X170" s="2">
        <f t="shared" si="25"/>
        <v>1</v>
      </c>
      <c r="Y170">
        <v>292.10000000000002</v>
      </c>
      <c r="Z170" s="2" t="str">
        <f>CHOOSE(MATCH(Y170,{0;11;80;111;161;191;241;281;341},1),"North","NorthEast","East","SouthEast","South","SouthWest","West","NorthWest","North")</f>
        <v>NorthWest</v>
      </c>
      <c r="AA170" s="4">
        <f>CHOOSE(MATCH(Z170,{"South";"SouthEast";"SouthWest";"North";"NorthEast";"East";"West";"NorthWest"},0),1,2,3,4,5,6,7,8)</f>
        <v>8</v>
      </c>
      <c r="AB170" s="2">
        <f t="shared" si="26"/>
        <v>1</v>
      </c>
      <c r="AC170">
        <v>1010</v>
      </c>
      <c r="AD170" t="s">
        <v>47</v>
      </c>
      <c r="AE170" s="2">
        <f t="shared" si="27"/>
        <v>1</v>
      </c>
      <c r="AF170" t="s">
        <v>322</v>
      </c>
      <c r="AG170" s="2">
        <f t="shared" si="28"/>
        <v>6</v>
      </c>
      <c r="AH170" s="2">
        <f t="shared" si="29"/>
        <v>1</v>
      </c>
      <c r="AI170" s="3">
        <v>255.99999999627471</v>
      </c>
      <c r="AJ170" s="2">
        <v>0</v>
      </c>
      <c r="AK170">
        <v>0</v>
      </c>
      <c r="AL170">
        <v>2</v>
      </c>
      <c r="AM170">
        <v>0</v>
      </c>
      <c r="AN170" s="2">
        <f>IF((2*G170+M170-O170+3*V170+2*AB170+2*AE170+2*AH170+3*AJ170)&gt;=7,1,0)</f>
        <v>1</v>
      </c>
    </row>
    <row r="171" spans="1:40" x14ac:dyDescent="0.25">
      <c r="A171" t="s">
        <v>27</v>
      </c>
      <c r="B171" s="1">
        <v>37063</v>
      </c>
      <c r="C171" s="6">
        <f t="shared" si="20"/>
        <v>2001</v>
      </c>
      <c r="D171">
        <v>77.099999999999994</v>
      </c>
      <c r="E171">
        <v>62.7</v>
      </c>
      <c r="F171">
        <v>70.8</v>
      </c>
      <c r="G171" s="2">
        <f t="shared" si="21"/>
        <v>1</v>
      </c>
      <c r="H171">
        <v>77.099999999999994</v>
      </c>
      <c r="I171">
        <v>62.7</v>
      </c>
      <c r="J171">
        <v>70.8</v>
      </c>
      <c r="K171">
        <v>55.2</v>
      </c>
      <c r="L171">
        <v>58.6</v>
      </c>
      <c r="M171" s="2">
        <f t="shared" si="22"/>
        <v>1</v>
      </c>
      <c r="N171">
        <v>0</v>
      </c>
      <c r="O171" s="2">
        <f t="shared" si="23"/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s="2">
        <f t="shared" si="24"/>
        <v>0</v>
      </c>
      <c r="W171">
        <v>21.9</v>
      </c>
      <c r="X171" s="2">
        <f t="shared" si="25"/>
        <v>1</v>
      </c>
      <c r="Y171">
        <v>287.10000000000002</v>
      </c>
      <c r="Z171" s="2" t="str">
        <f>CHOOSE(MATCH(Y171,{0;11;80;111;161;191;241;281;341},1),"North","NorthEast","East","SouthEast","South","SouthWest","West","NorthWest","North")</f>
        <v>NorthWest</v>
      </c>
      <c r="AA171" s="4">
        <f>CHOOSE(MATCH(Z171,{"South";"SouthEast";"SouthWest";"North";"NorthEast";"East";"West";"NorthWest"},0),1,2,3,4,5,6,7,8)</f>
        <v>8</v>
      </c>
      <c r="AB171" s="2">
        <f t="shared" si="26"/>
        <v>1</v>
      </c>
      <c r="AC171">
        <v>1011.3</v>
      </c>
      <c r="AD171" t="s">
        <v>323</v>
      </c>
      <c r="AE171" s="2">
        <f t="shared" si="27"/>
        <v>0</v>
      </c>
      <c r="AF171" t="s">
        <v>324</v>
      </c>
      <c r="AG171" s="2">
        <f t="shared" si="28"/>
        <v>6</v>
      </c>
      <c r="AH171" s="2">
        <f t="shared" si="29"/>
        <v>1</v>
      </c>
      <c r="AI171" s="3">
        <v>222.00000000069849</v>
      </c>
      <c r="AJ171" s="2">
        <v>0</v>
      </c>
      <c r="AK171">
        <v>0</v>
      </c>
      <c r="AL171">
        <v>1</v>
      </c>
      <c r="AM171">
        <v>0</v>
      </c>
      <c r="AN171" s="2">
        <f>IF((2*G171+M171-O171+3*V171+2*AB171+2*AE171+2*AH171+3*AJ171)&gt;=7,1,0)</f>
        <v>0</v>
      </c>
    </row>
    <row r="172" spans="1:40" x14ac:dyDescent="0.25">
      <c r="A172" t="s">
        <v>27</v>
      </c>
      <c r="B172" s="1">
        <v>37064</v>
      </c>
      <c r="C172" s="6">
        <f t="shared" si="20"/>
        <v>2001</v>
      </c>
      <c r="D172">
        <v>77.099999999999994</v>
      </c>
      <c r="E172">
        <v>66.3</v>
      </c>
      <c r="F172">
        <v>72.8</v>
      </c>
      <c r="G172" s="2">
        <f t="shared" si="21"/>
        <v>1</v>
      </c>
      <c r="H172">
        <v>77.099999999999994</v>
      </c>
      <c r="I172">
        <v>66.3</v>
      </c>
      <c r="J172">
        <v>72.8</v>
      </c>
      <c r="K172">
        <v>59.1</v>
      </c>
      <c r="L172">
        <v>62.7</v>
      </c>
      <c r="M172" s="2">
        <f t="shared" si="22"/>
        <v>1</v>
      </c>
      <c r="N172">
        <v>0</v>
      </c>
      <c r="O172" s="2">
        <f t="shared" si="23"/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s="2">
        <f t="shared" si="24"/>
        <v>0</v>
      </c>
      <c r="W172">
        <v>23</v>
      </c>
      <c r="X172" s="2">
        <f t="shared" si="25"/>
        <v>1</v>
      </c>
      <c r="Y172">
        <v>313.3</v>
      </c>
      <c r="Z172" s="2" t="str">
        <f>CHOOSE(MATCH(Y172,{0;11;80;111;161;191;241;281;341},1),"North","NorthEast","East","SouthEast","South","SouthWest","West","NorthWest","North")</f>
        <v>NorthWest</v>
      </c>
      <c r="AA172" s="4">
        <f>CHOOSE(MATCH(Z172,{"South";"SouthEast";"SouthWest";"North";"NorthEast";"East";"West";"NorthWest"},0),1,2,3,4,5,6,7,8)</f>
        <v>8</v>
      </c>
      <c r="AB172" s="2">
        <f t="shared" si="26"/>
        <v>1</v>
      </c>
      <c r="AC172">
        <v>1013.6</v>
      </c>
      <c r="AD172" t="s">
        <v>325</v>
      </c>
      <c r="AE172" s="2">
        <f t="shared" si="27"/>
        <v>0</v>
      </c>
      <c r="AF172" t="s">
        <v>326</v>
      </c>
      <c r="AG172" s="2">
        <f t="shared" si="28"/>
        <v>6</v>
      </c>
      <c r="AH172" s="2">
        <f t="shared" si="29"/>
        <v>1</v>
      </c>
      <c r="AI172" s="3">
        <v>240.9999999997672</v>
      </c>
      <c r="AJ172" s="2">
        <v>0</v>
      </c>
      <c r="AK172">
        <v>0</v>
      </c>
      <c r="AL172">
        <v>0.5</v>
      </c>
      <c r="AM172">
        <v>0</v>
      </c>
      <c r="AN172" s="2">
        <f>IF((2*G172+M172-O172+3*V172+2*AB172+2*AE172+2*AH172+3*AJ172)&gt;=7,1,0)</f>
        <v>0</v>
      </c>
    </row>
    <row r="173" spans="1:40" x14ac:dyDescent="0.25">
      <c r="A173" t="s">
        <v>27</v>
      </c>
      <c r="B173" s="1">
        <v>37072</v>
      </c>
      <c r="C173" s="6">
        <f t="shared" si="20"/>
        <v>2001</v>
      </c>
      <c r="D173">
        <v>84.3</v>
      </c>
      <c r="E173">
        <v>69.900000000000006</v>
      </c>
      <c r="F173">
        <v>78.5</v>
      </c>
      <c r="G173" s="2">
        <f t="shared" si="21"/>
        <v>1</v>
      </c>
      <c r="H173">
        <v>83.6</v>
      </c>
      <c r="I173">
        <v>69.900000000000006</v>
      </c>
      <c r="J173">
        <v>78.400000000000006</v>
      </c>
      <c r="K173">
        <v>55.7</v>
      </c>
      <c r="L173">
        <v>45.9</v>
      </c>
      <c r="M173" s="2">
        <f t="shared" si="22"/>
        <v>1</v>
      </c>
      <c r="N173">
        <v>0</v>
      </c>
      <c r="O173" s="2">
        <f t="shared" si="23"/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s="2">
        <f t="shared" si="24"/>
        <v>0</v>
      </c>
      <c r="W173">
        <v>23</v>
      </c>
      <c r="X173" s="2">
        <f t="shared" si="25"/>
        <v>1</v>
      </c>
      <c r="Y173">
        <v>303.60000000000002</v>
      </c>
      <c r="Z173" s="2" t="str">
        <f>CHOOSE(MATCH(Y173,{0;11;80;111;161;191;241;281;341},1),"North","NorthEast","East","SouthEast","South","SouthWest","West","NorthWest","North")</f>
        <v>NorthWest</v>
      </c>
      <c r="AA173" s="4">
        <f>CHOOSE(MATCH(Z173,{"South";"SouthEast";"SouthWest";"North";"NorthEast";"East";"West";"NorthWest"},0),1,2,3,4,5,6,7,8)</f>
        <v>8</v>
      </c>
      <c r="AB173" s="2">
        <f t="shared" si="26"/>
        <v>1</v>
      </c>
      <c r="AC173">
        <v>1011.8</v>
      </c>
      <c r="AD173" t="s">
        <v>327</v>
      </c>
      <c r="AE173" s="2">
        <f t="shared" si="27"/>
        <v>0</v>
      </c>
      <c r="AF173" t="s">
        <v>328</v>
      </c>
      <c r="AG173" s="2">
        <f t="shared" si="28"/>
        <v>6</v>
      </c>
      <c r="AH173" s="2">
        <f t="shared" si="29"/>
        <v>1</v>
      </c>
      <c r="AI173" s="3">
        <v>585</v>
      </c>
      <c r="AJ173" s="2">
        <v>1</v>
      </c>
      <c r="AK173">
        <v>3</v>
      </c>
      <c r="AL173">
        <v>3</v>
      </c>
      <c r="AM173">
        <v>0</v>
      </c>
      <c r="AN173" s="2">
        <f>IF((2*G173+M173-O173+3*V173+2*AB173+2*AE173+2*AH173+3*AJ173)&gt;=7,1,0)</f>
        <v>1</v>
      </c>
    </row>
    <row r="174" spans="1:40" x14ac:dyDescent="0.25">
      <c r="A174" t="s">
        <v>27</v>
      </c>
      <c r="B174" s="1">
        <v>37072</v>
      </c>
      <c r="C174" s="6">
        <f t="shared" si="20"/>
        <v>2001</v>
      </c>
      <c r="D174">
        <v>84.3</v>
      </c>
      <c r="E174">
        <v>69.900000000000006</v>
      </c>
      <c r="F174">
        <v>78.5</v>
      </c>
      <c r="G174" s="2">
        <f t="shared" si="21"/>
        <v>1</v>
      </c>
      <c r="H174">
        <v>83.6</v>
      </c>
      <c r="I174">
        <v>69.900000000000006</v>
      </c>
      <c r="J174">
        <v>78.400000000000006</v>
      </c>
      <c r="K174">
        <v>55.7</v>
      </c>
      <c r="L174">
        <v>45.9</v>
      </c>
      <c r="M174" s="2">
        <f t="shared" si="22"/>
        <v>1</v>
      </c>
      <c r="N174">
        <v>0</v>
      </c>
      <c r="O174" s="2">
        <f t="shared" si="23"/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s="2">
        <f t="shared" si="24"/>
        <v>0</v>
      </c>
      <c r="W174">
        <v>23</v>
      </c>
      <c r="X174" s="2">
        <f t="shared" si="25"/>
        <v>1</v>
      </c>
      <c r="Y174">
        <v>303.60000000000002</v>
      </c>
      <c r="Z174" s="2" t="str">
        <f>CHOOSE(MATCH(Y174,{0;11;80;111;161;191;241;281;341},1),"North","NorthEast","East","SouthEast","South","SouthWest","West","NorthWest","North")</f>
        <v>NorthWest</v>
      </c>
      <c r="AA174" s="4">
        <f>CHOOSE(MATCH(Z174,{"South";"SouthEast";"SouthWest";"North";"NorthEast";"East";"West";"NorthWest"},0),1,2,3,4,5,6,7,8)</f>
        <v>8</v>
      </c>
      <c r="AB174" s="2">
        <f t="shared" si="26"/>
        <v>1</v>
      </c>
      <c r="AC174">
        <v>1011.8</v>
      </c>
      <c r="AD174" t="s">
        <v>76</v>
      </c>
      <c r="AE174" s="2">
        <f t="shared" si="27"/>
        <v>1</v>
      </c>
      <c r="AF174" t="s">
        <v>329</v>
      </c>
      <c r="AG174" s="2">
        <f t="shared" si="28"/>
        <v>6</v>
      </c>
      <c r="AH174" s="2">
        <f t="shared" si="29"/>
        <v>1</v>
      </c>
      <c r="AI174" s="3">
        <v>375.99999999976723</v>
      </c>
      <c r="AJ174" s="2">
        <v>1</v>
      </c>
      <c r="AK174">
        <v>0</v>
      </c>
      <c r="AL174">
        <v>1</v>
      </c>
      <c r="AM174">
        <v>0</v>
      </c>
      <c r="AN174" s="2">
        <f>IF((2*G174+M174-O174+3*V174+2*AB174+2*AE174+2*AH174+3*AJ174)&gt;=7,1,0)</f>
        <v>1</v>
      </c>
    </row>
    <row r="175" spans="1:40" x14ac:dyDescent="0.25">
      <c r="A175" t="s">
        <v>27</v>
      </c>
      <c r="B175" s="1">
        <v>37080</v>
      </c>
      <c r="C175" s="6">
        <f t="shared" si="20"/>
        <v>2001</v>
      </c>
      <c r="D175">
        <v>86.1</v>
      </c>
      <c r="E175">
        <v>77.099999999999994</v>
      </c>
      <c r="F175">
        <v>80.400000000000006</v>
      </c>
      <c r="G175" s="2">
        <f t="shared" si="21"/>
        <v>1</v>
      </c>
      <c r="H175">
        <v>85.2</v>
      </c>
      <c r="I175">
        <v>77.099999999999994</v>
      </c>
      <c r="J175">
        <v>80.7</v>
      </c>
      <c r="K175">
        <v>61.3</v>
      </c>
      <c r="L175">
        <v>53</v>
      </c>
      <c r="M175" s="2">
        <f t="shared" si="22"/>
        <v>1</v>
      </c>
      <c r="N175">
        <v>0</v>
      </c>
      <c r="O175" s="2">
        <f t="shared" si="23"/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s="2">
        <f t="shared" si="24"/>
        <v>0</v>
      </c>
      <c r="W175">
        <v>23</v>
      </c>
      <c r="X175" s="2">
        <f t="shared" si="25"/>
        <v>1</v>
      </c>
      <c r="Y175">
        <v>309.39999999999998</v>
      </c>
      <c r="Z175" s="2" t="str">
        <f>CHOOSE(MATCH(Y175,{0;11;80;111;161;191;241;281;341},1),"North","NorthEast","East","SouthEast","South","SouthWest","West","NorthWest","North")</f>
        <v>NorthWest</v>
      </c>
      <c r="AA175" s="4">
        <f>CHOOSE(MATCH(Z175,{"South";"SouthEast";"SouthWest";"North";"NorthEast";"East";"West";"NorthWest"},0),1,2,3,4,5,6,7,8)</f>
        <v>8</v>
      </c>
      <c r="AB175" s="2">
        <f t="shared" si="26"/>
        <v>1</v>
      </c>
      <c r="AC175">
        <v>1012</v>
      </c>
      <c r="AD175" t="s">
        <v>330</v>
      </c>
      <c r="AE175" s="2">
        <f t="shared" si="27"/>
        <v>1</v>
      </c>
      <c r="AF175" t="s">
        <v>331</v>
      </c>
      <c r="AG175" s="2">
        <f t="shared" si="28"/>
        <v>7</v>
      </c>
      <c r="AH175" s="2">
        <f t="shared" si="29"/>
        <v>1</v>
      </c>
      <c r="AI175" s="3">
        <v>1856.000000004424</v>
      </c>
      <c r="AJ175" s="2">
        <v>1</v>
      </c>
      <c r="AK175">
        <v>0</v>
      </c>
      <c r="AL175">
        <v>5</v>
      </c>
      <c r="AM175">
        <v>0</v>
      </c>
      <c r="AN175" s="2">
        <f>IF((2*G175+M175-O175+3*V175+2*AB175+2*AE175+2*AH175+3*AJ175)&gt;=7,1,0)</f>
        <v>1</v>
      </c>
    </row>
    <row r="176" spans="1:40" x14ac:dyDescent="0.25">
      <c r="A176" t="s">
        <v>27</v>
      </c>
      <c r="B176" s="1">
        <v>37080</v>
      </c>
      <c r="C176" s="6">
        <f t="shared" si="20"/>
        <v>2001</v>
      </c>
      <c r="D176">
        <v>86.1</v>
      </c>
      <c r="E176">
        <v>77.099999999999994</v>
      </c>
      <c r="F176">
        <v>80.400000000000006</v>
      </c>
      <c r="G176" s="2">
        <f t="shared" si="21"/>
        <v>1</v>
      </c>
      <c r="H176">
        <v>85.2</v>
      </c>
      <c r="I176">
        <v>77.099999999999994</v>
      </c>
      <c r="J176">
        <v>80.7</v>
      </c>
      <c r="K176">
        <v>61.3</v>
      </c>
      <c r="L176">
        <v>53</v>
      </c>
      <c r="M176" s="2">
        <f t="shared" si="22"/>
        <v>1</v>
      </c>
      <c r="N176">
        <v>0</v>
      </c>
      <c r="O176" s="2">
        <f t="shared" si="23"/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s="2">
        <f t="shared" si="24"/>
        <v>0</v>
      </c>
      <c r="W176">
        <v>23</v>
      </c>
      <c r="X176" s="2">
        <f t="shared" si="25"/>
        <v>1</v>
      </c>
      <c r="Y176">
        <v>309.39999999999998</v>
      </c>
      <c r="Z176" s="2" t="str">
        <f>CHOOSE(MATCH(Y176,{0;11;80;111;161;191;241;281;341},1),"North","NorthEast","East","SouthEast","South","SouthWest","West","NorthWest","North")</f>
        <v>NorthWest</v>
      </c>
      <c r="AA176" s="4">
        <f>CHOOSE(MATCH(Z176,{"South";"SouthEast";"SouthWest";"North";"NorthEast";"East";"West";"NorthWest"},0),1,2,3,4,5,6,7,8)</f>
        <v>8</v>
      </c>
      <c r="AB176" s="2">
        <f t="shared" si="26"/>
        <v>1</v>
      </c>
      <c r="AC176">
        <v>1012</v>
      </c>
      <c r="AD176" t="s">
        <v>332</v>
      </c>
      <c r="AE176" s="2">
        <f t="shared" si="27"/>
        <v>1</v>
      </c>
      <c r="AF176" t="s">
        <v>333</v>
      </c>
      <c r="AG176" s="2">
        <f t="shared" si="28"/>
        <v>7</v>
      </c>
      <c r="AH176" s="2">
        <f t="shared" si="29"/>
        <v>1</v>
      </c>
      <c r="AI176" s="3">
        <v>155.00000000232831</v>
      </c>
      <c r="AJ176" s="2">
        <v>0</v>
      </c>
      <c r="AK176">
        <v>0</v>
      </c>
      <c r="AL176">
        <v>0.1</v>
      </c>
      <c r="AM176">
        <v>0</v>
      </c>
      <c r="AN176" s="2">
        <f>IF((2*G176+M176-O176+3*V176+2*AB176+2*AE176+2*AH176+3*AJ176)&gt;=7,1,0)</f>
        <v>1</v>
      </c>
    </row>
    <row r="177" spans="1:40" x14ac:dyDescent="0.25">
      <c r="A177" t="s">
        <v>27</v>
      </c>
      <c r="B177" s="1">
        <v>37082</v>
      </c>
      <c r="C177" s="6">
        <f t="shared" si="20"/>
        <v>2001</v>
      </c>
      <c r="D177">
        <v>87.9</v>
      </c>
      <c r="E177">
        <v>73.5</v>
      </c>
      <c r="F177">
        <v>81</v>
      </c>
      <c r="G177" s="2">
        <f t="shared" si="21"/>
        <v>1</v>
      </c>
      <c r="H177">
        <v>88.6</v>
      </c>
      <c r="I177">
        <v>73.5</v>
      </c>
      <c r="J177">
        <v>82.1</v>
      </c>
      <c r="K177">
        <v>63.8</v>
      </c>
      <c r="L177">
        <v>56.7</v>
      </c>
      <c r="M177" s="2">
        <f t="shared" si="22"/>
        <v>1</v>
      </c>
      <c r="N177">
        <v>0</v>
      </c>
      <c r="O177" s="2">
        <f t="shared" si="23"/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s="2">
        <f t="shared" si="24"/>
        <v>0</v>
      </c>
      <c r="W177">
        <v>19.5</v>
      </c>
      <c r="X177" s="2">
        <f t="shared" si="25"/>
        <v>1</v>
      </c>
      <c r="Y177">
        <v>301.2</v>
      </c>
      <c r="Z177" s="2" t="str">
        <f>CHOOSE(MATCH(Y177,{0;11;80;111;161;191;241;281;341},1),"North","NorthEast","East","SouthEast","South","SouthWest","West","NorthWest","North")</f>
        <v>NorthWest</v>
      </c>
      <c r="AA177" s="4">
        <f>CHOOSE(MATCH(Z177,{"South";"SouthEast";"SouthWest";"North";"NorthEast";"East";"West";"NorthWest"},0),1,2,3,4,5,6,7,8)</f>
        <v>8</v>
      </c>
      <c r="AB177" s="2">
        <f t="shared" si="26"/>
        <v>1</v>
      </c>
      <c r="AC177">
        <v>1009.7</v>
      </c>
      <c r="AD177" t="s">
        <v>334</v>
      </c>
      <c r="AE177" s="2">
        <f t="shared" si="27"/>
        <v>0</v>
      </c>
      <c r="AF177" t="s">
        <v>335</v>
      </c>
      <c r="AG177" s="2">
        <f t="shared" si="28"/>
        <v>7</v>
      </c>
      <c r="AH177" s="2">
        <f t="shared" si="29"/>
        <v>1</v>
      </c>
      <c r="AI177" s="3">
        <v>1641.0000000055879</v>
      </c>
      <c r="AJ177" s="2">
        <v>1</v>
      </c>
      <c r="AK177">
        <v>0</v>
      </c>
      <c r="AL177">
        <v>10</v>
      </c>
      <c r="AM177">
        <v>0</v>
      </c>
      <c r="AN177" s="2">
        <f>IF((2*G177+M177-O177+3*V177+2*AB177+2*AE177+2*AH177+3*AJ177)&gt;=7,1,0)</f>
        <v>1</v>
      </c>
    </row>
    <row r="178" spans="1:40" x14ac:dyDescent="0.25">
      <c r="A178" t="s">
        <v>27</v>
      </c>
      <c r="B178" s="1">
        <v>37083</v>
      </c>
      <c r="C178" s="6">
        <f t="shared" si="20"/>
        <v>2001</v>
      </c>
      <c r="D178">
        <v>89.7</v>
      </c>
      <c r="E178">
        <v>78.900000000000006</v>
      </c>
      <c r="F178">
        <v>83.9</v>
      </c>
      <c r="G178" s="2">
        <f t="shared" si="21"/>
        <v>1</v>
      </c>
      <c r="H178">
        <v>89</v>
      </c>
      <c r="I178">
        <v>78.900000000000006</v>
      </c>
      <c r="J178">
        <v>84.5</v>
      </c>
      <c r="K178">
        <v>62</v>
      </c>
      <c r="L178">
        <v>48.4</v>
      </c>
      <c r="M178" s="2">
        <f t="shared" si="22"/>
        <v>1</v>
      </c>
      <c r="N178">
        <v>0</v>
      </c>
      <c r="O178" s="2">
        <f t="shared" si="23"/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s="2">
        <f t="shared" si="24"/>
        <v>0</v>
      </c>
      <c r="W178">
        <v>21.9</v>
      </c>
      <c r="X178" s="2">
        <f t="shared" si="25"/>
        <v>1</v>
      </c>
      <c r="Y178">
        <v>306</v>
      </c>
      <c r="Z178" s="2" t="str">
        <f>CHOOSE(MATCH(Y178,{0;11;80;111;161;191;241;281;341},1),"North","NorthEast","East","SouthEast","South","SouthWest","West","NorthWest","North")</f>
        <v>NorthWest</v>
      </c>
      <c r="AA178" s="4">
        <f>CHOOSE(MATCH(Z178,{"South";"SouthEast";"SouthWest";"North";"NorthEast";"East";"West";"NorthWest"},0),1,2,3,4,5,6,7,8)</f>
        <v>8</v>
      </c>
      <c r="AB178" s="2">
        <f t="shared" si="26"/>
        <v>1</v>
      </c>
      <c r="AC178">
        <v>1009.3</v>
      </c>
      <c r="AD178" t="s">
        <v>274</v>
      </c>
      <c r="AE178" s="2">
        <f t="shared" si="27"/>
        <v>1</v>
      </c>
      <c r="AF178" t="s">
        <v>336</v>
      </c>
      <c r="AG178" s="2">
        <f t="shared" si="28"/>
        <v>7</v>
      </c>
      <c r="AH178" s="2">
        <f t="shared" si="29"/>
        <v>1</v>
      </c>
      <c r="AI178" s="3">
        <v>3150.9999999927818</v>
      </c>
      <c r="AJ178" s="2">
        <v>1</v>
      </c>
      <c r="AK178">
        <v>0</v>
      </c>
      <c r="AL178">
        <v>20</v>
      </c>
      <c r="AM178">
        <v>0</v>
      </c>
      <c r="AN178" s="2">
        <f>IF((2*G178+M178-O178+3*V178+2*AB178+2*AE178+2*AH178+3*AJ178)&gt;=7,1,0)</f>
        <v>1</v>
      </c>
    </row>
    <row r="179" spans="1:40" x14ac:dyDescent="0.25">
      <c r="A179" t="s">
        <v>27</v>
      </c>
      <c r="B179" s="1">
        <v>37091</v>
      </c>
      <c r="C179" s="6">
        <f t="shared" si="20"/>
        <v>2001</v>
      </c>
      <c r="D179">
        <v>87.9</v>
      </c>
      <c r="E179">
        <v>78.900000000000006</v>
      </c>
      <c r="F179">
        <v>83.6</v>
      </c>
      <c r="G179" s="2">
        <f t="shared" si="21"/>
        <v>1</v>
      </c>
      <c r="H179">
        <v>89.5</v>
      </c>
      <c r="I179">
        <v>78.900000000000006</v>
      </c>
      <c r="J179">
        <v>84.9</v>
      </c>
      <c r="K179">
        <v>65</v>
      </c>
      <c r="L179">
        <v>54.3</v>
      </c>
      <c r="M179" s="2">
        <f t="shared" si="22"/>
        <v>1</v>
      </c>
      <c r="N179">
        <v>0</v>
      </c>
      <c r="O179" s="2">
        <f t="shared" si="23"/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s="2">
        <f t="shared" si="24"/>
        <v>0</v>
      </c>
      <c r="W179">
        <v>20.8</v>
      </c>
      <c r="X179" s="2">
        <f t="shared" si="25"/>
        <v>1</v>
      </c>
      <c r="Y179">
        <v>302.5</v>
      </c>
      <c r="Z179" s="2" t="str">
        <f>CHOOSE(MATCH(Y179,{0;11;80;111;161;191;241;281;341},1),"North","NorthEast","East","SouthEast","South","SouthWest","West","NorthWest","North")</f>
        <v>NorthWest</v>
      </c>
      <c r="AA179" s="4">
        <f>CHOOSE(MATCH(Z179,{"South";"SouthEast";"SouthWest";"North";"NorthEast";"East";"West";"NorthWest"},0),1,2,3,4,5,6,7,8)</f>
        <v>8</v>
      </c>
      <c r="AB179" s="2">
        <f t="shared" si="26"/>
        <v>1</v>
      </c>
      <c r="AC179">
        <v>1005.5</v>
      </c>
      <c r="AD179" t="s">
        <v>337</v>
      </c>
      <c r="AE179" s="2">
        <f t="shared" si="27"/>
        <v>0</v>
      </c>
      <c r="AF179" t="s">
        <v>338</v>
      </c>
      <c r="AG179" s="2">
        <f t="shared" si="28"/>
        <v>7</v>
      </c>
      <c r="AH179" s="2">
        <f t="shared" si="29"/>
        <v>1</v>
      </c>
      <c r="AI179" s="3">
        <v>120.0000000034925</v>
      </c>
      <c r="AJ179" s="2">
        <v>0</v>
      </c>
      <c r="AK179">
        <v>0</v>
      </c>
      <c r="AL179">
        <v>0.1</v>
      </c>
      <c r="AM179">
        <v>0</v>
      </c>
      <c r="AN179" s="2">
        <f>IF((2*G179+M179-O179+3*V179+2*AB179+2*AE179+2*AH179+3*AJ179)&gt;=7,1,0)</f>
        <v>0</v>
      </c>
    </row>
    <row r="180" spans="1:40" x14ac:dyDescent="0.25">
      <c r="A180" t="s">
        <v>27</v>
      </c>
      <c r="B180" s="1">
        <v>37093</v>
      </c>
      <c r="C180" s="6">
        <f t="shared" si="20"/>
        <v>2001</v>
      </c>
      <c r="D180">
        <v>91.5</v>
      </c>
      <c r="E180">
        <v>73.5</v>
      </c>
      <c r="F180">
        <v>81.8</v>
      </c>
      <c r="G180" s="2">
        <f t="shared" si="21"/>
        <v>1</v>
      </c>
      <c r="H180">
        <v>90.2</v>
      </c>
      <c r="I180">
        <v>73.5</v>
      </c>
      <c r="J180">
        <v>82.1</v>
      </c>
      <c r="K180">
        <v>57.1</v>
      </c>
      <c r="L180">
        <v>44.3</v>
      </c>
      <c r="M180" s="2">
        <f t="shared" si="22"/>
        <v>1</v>
      </c>
      <c r="N180">
        <v>0</v>
      </c>
      <c r="O180" s="2">
        <f t="shared" si="23"/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s="2">
        <f t="shared" si="24"/>
        <v>0</v>
      </c>
      <c r="W180">
        <v>21.9</v>
      </c>
      <c r="X180" s="2">
        <f t="shared" si="25"/>
        <v>1</v>
      </c>
      <c r="Y180">
        <v>308.89999999999998</v>
      </c>
      <c r="Z180" s="2" t="str">
        <f>CHOOSE(MATCH(Y180,{0;11;80;111;161;191;241;281;341},1),"North","NorthEast","East","SouthEast","South","SouthWest","West","NorthWest","North")</f>
        <v>NorthWest</v>
      </c>
      <c r="AA180" s="4">
        <f>CHOOSE(MATCH(Z180,{"South";"SouthEast";"SouthWest";"North";"NorthEast";"East";"West";"NorthWest"},0),1,2,3,4,5,6,7,8)</f>
        <v>8</v>
      </c>
      <c r="AB180" s="2">
        <f t="shared" si="26"/>
        <v>1</v>
      </c>
      <c r="AC180">
        <v>1006.6</v>
      </c>
      <c r="AD180" t="s">
        <v>339</v>
      </c>
      <c r="AE180" s="2">
        <f t="shared" si="27"/>
        <v>0</v>
      </c>
      <c r="AF180" t="s">
        <v>340</v>
      </c>
      <c r="AG180" s="2">
        <f t="shared" si="28"/>
        <v>7</v>
      </c>
      <c r="AH180" s="2">
        <f t="shared" si="29"/>
        <v>1</v>
      </c>
      <c r="AI180" s="3">
        <v>399.99999999417918</v>
      </c>
      <c r="AJ180" s="2">
        <v>1</v>
      </c>
      <c r="AK180">
        <v>0</v>
      </c>
      <c r="AL180">
        <v>20</v>
      </c>
      <c r="AM180">
        <v>0</v>
      </c>
      <c r="AN180" s="2">
        <f>IF((2*G180+M180-O180+3*V180+2*AB180+2*AE180+2*AH180+3*AJ180)&gt;=7,1,0)</f>
        <v>1</v>
      </c>
    </row>
    <row r="181" spans="1:40" x14ac:dyDescent="0.25">
      <c r="A181" t="s">
        <v>27</v>
      </c>
      <c r="B181" s="1">
        <v>37097</v>
      </c>
      <c r="C181" s="6">
        <f t="shared" si="20"/>
        <v>2001</v>
      </c>
      <c r="D181">
        <v>84.3</v>
      </c>
      <c r="E181">
        <v>68.099999999999994</v>
      </c>
      <c r="F181">
        <v>78.400000000000006</v>
      </c>
      <c r="G181" s="2">
        <f t="shared" si="21"/>
        <v>1</v>
      </c>
      <c r="H181">
        <v>87.6</v>
      </c>
      <c r="I181">
        <v>68.099999999999994</v>
      </c>
      <c r="J181">
        <v>79.7</v>
      </c>
      <c r="K181">
        <v>65.7</v>
      </c>
      <c r="L181">
        <v>66.900000000000006</v>
      </c>
      <c r="M181" s="2">
        <f t="shared" si="22"/>
        <v>0</v>
      </c>
      <c r="N181">
        <v>0</v>
      </c>
      <c r="O181" s="2">
        <f t="shared" si="23"/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s="2">
        <f t="shared" si="24"/>
        <v>0</v>
      </c>
      <c r="W181">
        <v>16.100000000000001</v>
      </c>
      <c r="X181" s="2">
        <f t="shared" si="25"/>
        <v>1</v>
      </c>
      <c r="Y181">
        <v>318.3</v>
      </c>
      <c r="Z181" s="2" t="str">
        <f>CHOOSE(MATCH(Y181,{0;11;80;111;161;191;241;281;341},1),"North","NorthEast","East","SouthEast","South","SouthWest","West","NorthWest","North")</f>
        <v>NorthWest</v>
      </c>
      <c r="AA181" s="4">
        <f>CHOOSE(MATCH(Z181,{"South";"SouthEast";"SouthWest";"North";"NorthEast";"East";"West";"NorthWest"},0),1,2,3,4,5,6,7,8)</f>
        <v>8</v>
      </c>
      <c r="AB181" s="2">
        <f t="shared" si="26"/>
        <v>1</v>
      </c>
      <c r="AC181">
        <v>1010</v>
      </c>
      <c r="AD181" t="s">
        <v>149</v>
      </c>
      <c r="AE181" s="2">
        <f t="shared" si="27"/>
        <v>0</v>
      </c>
      <c r="AF181" t="s">
        <v>341</v>
      </c>
      <c r="AG181" s="2">
        <f t="shared" si="28"/>
        <v>7</v>
      </c>
      <c r="AH181" s="2">
        <f t="shared" si="29"/>
        <v>1</v>
      </c>
      <c r="AI181" s="3">
        <v>165.99999999627471</v>
      </c>
      <c r="AJ181" s="2">
        <v>0</v>
      </c>
      <c r="AK181">
        <v>0</v>
      </c>
      <c r="AL181">
        <v>2</v>
      </c>
      <c r="AM181">
        <v>0</v>
      </c>
      <c r="AN181" s="2">
        <f>IF((2*G181+M181-O181+3*V181+2*AB181+2*AE181+2*AH181+3*AJ181)&gt;=7,1,0)</f>
        <v>0</v>
      </c>
    </row>
    <row r="182" spans="1:40" x14ac:dyDescent="0.25">
      <c r="A182" t="s">
        <v>27</v>
      </c>
      <c r="B182" s="1">
        <v>37097</v>
      </c>
      <c r="C182" s="6">
        <f t="shared" si="20"/>
        <v>2001</v>
      </c>
      <c r="D182">
        <v>84.3</v>
      </c>
      <c r="E182">
        <v>68.099999999999994</v>
      </c>
      <c r="F182">
        <v>78.400000000000006</v>
      </c>
      <c r="G182" s="2">
        <f t="shared" si="21"/>
        <v>1</v>
      </c>
      <c r="H182">
        <v>87.6</v>
      </c>
      <c r="I182">
        <v>68.099999999999994</v>
      </c>
      <c r="J182">
        <v>79.7</v>
      </c>
      <c r="K182">
        <v>65.7</v>
      </c>
      <c r="L182">
        <v>66.900000000000006</v>
      </c>
      <c r="M182" s="2">
        <f t="shared" si="22"/>
        <v>0</v>
      </c>
      <c r="N182">
        <v>0</v>
      </c>
      <c r="O182" s="2">
        <f t="shared" si="23"/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s="2">
        <f t="shared" si="24"/>
        <v>0</v>
      </c>
      <c r="W182">
        <v>16.100000000000001</v>
      </c>
      <c r="X182" s="2">
        <f t="shared" si="25"/>
        <v>1</v>
      </c>
      <c r="Y182">
        <v>318.3</v>
      </c>
      <c r="Z182" s="2" t="str">
        <f>CHOOSE(MATCH(Y182,{0;11;80;111;161;191;241;281;341},1),"North","NorthEast","East","SouthEast","South","SouthWest","West","NorthWest","North")</f>
        <v>NorthWest</v>
      </c>
      <c r="AA182" s="4">
        <f>CHOOSE(MATCH(Z182,{"South";"SouthEast";"SouthWest";"North";"NorthEast";"East";"West";"NorthWest"},0),1,2,3,4,5,6,7,8)</f>
        <v>8</v>
      </c>
      <c r="AB182" s="2">
        <f t="shared" si="26"/>
        <v>1</v>
      </c>
      <c r="AC182">
        <v>1010</v>
      </c>
      <c r="AD182" t="s">
        <v>342</v>
      </c>
      <c r="AE182" s="2">
        <f t="shared" si="27"/>
        <v>1</v>
      </c>
      <c r="AF182" t="s">
        <v>343</v>
      </c>
      <c r="AG182" s="2">
        <f t="shared" si="28"/>
        <v>7</v>
      </c>
      <c r="AH182" s="2">
        <f t="shared" si="29"/>
        <v>1</v>
      </c>
      <c r="AI182" s="3">
        <v>280.00000000116421</v>
      </c>
      <c r="AJ182" s="2">
        <v>0</v>
      </c>
      <c r="AK182">
        <v>0</v>
      </c>
      <c r="AL182">
        <v>0.5</v>
      </c>
      <c r="AM182">
        <v>0</v>
      </c>
      <c r="AN182" s="2">
        <f>IF((2*G182+M182-O182+3*V182+2*AB182+2*AE182+2*AH182+3*AJ182)&gt;=7,1,0)</f>
        <v>1</v>
      </c>
    </row>
    <row r="183" spans="1:40" x14ac:dyDescent="0.25">
      <c r="A183" t="s">
        <v>27</v>
      </c>
      <c r="B183" s="1">
        <v>37097</v>
      </c>
      <c r="C183" s="6">
        <f t="shared" si="20"/>
        <v>2001</v>
      </c>
      <c r="D183">
        <v>84.3</v>
      </c>
      <c r="E183">
        <v>68.099999999999994</v>
      </c>
      <c r="F183">
        <v>78.400000000000006</v>
      </c>
      <c r="G183" s="2">
        <f t="shared" si="21"/>
        <v>1</v>
      </c>
      <c r="H183">
        <v>87.6</v>
      </c>
      <c r="I183">
        <v>68.099999999999994</v>
      </c>
      <c r="J183">
        <v>79.7</v>
      </c>
      <c r="K183">
        <v>65.7</v>
      </c>
      <c r="L183">
        <v>66.900000000000006</v>
      </c>
      <c r="M183" s="2">
        <f t="shared" si="22"/>
        <v>0</v>
      </c>
      <c r="N183">
        <v>0</v>
      </c>
      <c r="O183" s="2">
        <f t="shared" si="23"/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s="2">
        <f t="shared" si="24"/>
        <v>0</v>
      </c>
      <c r="W183">
        <v>16.100000000000001</v>
      </c>
      <c r="X183" s="2">
        <f t="shared" si="25"/>
        <v>1</v>
      </c>
      <c r="Y183">
        <v>318.3</v>
      </c>
      <c r="Z183" s="2" t="str">
        <f>CHOOSE(MATCH(Y183,{0;11;80;111;161;191;241;281;341},1),"North","NorthEast","East","SouthEast","South","SouthWest","West","NorthWest","North")</f>
        <v>NorthWest</v>
      </c>
      <c r="AA183" s="4">
        <f>CHOOSE(MATCH(Z183,{"South";"SouthEast";"SouthWest";"North";"NorthEast";"East";"West";"NorthWest"},0),1,2,3,4,5,6,7,8)</f>
        <v>8</v>
      </c>
      <c r="AB183" s="2">
        <f t="shared" si="26"/>
        <v>1</v>
      </c>
      <c r="AC183">
        <v>1010</v>
      </c>
      <c r="AD183" t="s">
        <v>344</v>
      </c>
      <c r="AE183" s="2">
        <f t="shared" si="27"/>
        <v>1</v>
      </c>
      <c r="AF183" t="s">
        <v>345</v>
      </c>
      <c r="AG183" s="2">
        <f t="shared" si="28"/>
        <v>7</v>
      </c>
      <c r="AH183" s="2">
        <f t="shared" si="29"/>
        <v>1</v>
      </c>
      <c r="AI183" s="3">
        <v>239.00000000372529</v>
      </c>
      <c r="AJ183" s="2">
        <v>0</v>
      </c>
      <c r="AK183">
        <v>0</v>
      </c>
      <c r="AL183">
        <v>0.5</v>
      </c>
      <c r="AM183">
        <v>0</v>
      </c>
      <c r="AN183" s="2">
        <f>IF((2*G183+M183-O183+3*V183+2*AB183+2*AE183+2*AH183+3*AJ183)&gt;=7,1,0)</f>
        <v>1</v>
      </c>
    </row>
    <row r="184" spans="1:40" x14ac:dyDescent="0.25">
      <c r="A184" t="s">
        <v>27</v>
      </c>
      <c r="B184" s="1">
        <v>37098</v>
      </c>
      <c r="C184" s="6">
        <f t="shared" si="20"/>
        <v>2001</v>
      </c>
      <c r="D184">
        <v>87.9</v>
      </c>
      <c r="E184">
        <v>73.5</v>
      </c>
      <c r="F184">
        <v>82.7</v>
      </c>
      <c r="G184" s="2">
        <f t="shared" si="21"/>
        <v>1</v>
      </c>
      <c r="H184">
        <v>90.8</v>
      </c>
      <c r="I184">
        <v>73.5</v>
      </c>
      <c r="J184">
        <v>84.1</v>
      </c>
      <c r="K184">
        <v>63.9</v>
      </c>
      <c r="L184">
        <v>53.8</v>
      </c>
      <c r="M184" s="2">
        <f t="shared" si="22"/>
        <v>1</v>
      </c>
      <c r="N184">
        <v>0</v>
      </c>
      <c r="O184" s="2">
        <f t="shared" si="23"/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s="2">
        <f t="shared" si="24"/>
        <v>0</v>
      </c>
      <c r="W184">
        <v>18.3</v>
      </c>
      <c r="X184" s="2">
        <f t="shared" si="25"/>
        <v>1</v>
      </c>
      <c r="Y184">
        <v>307</v>
      </c>
      <c r="Z184" s="2" t="str">
        <f>CHOOSE(MATCH(Y184,{0;11;80;111;161;191;241;281;341},1),"North","NorthEast","East","SouthEast","South","SouthWest","West","NorthWest","North")</f>
        <v>NorthWest</v>
      </c>
      <c r="AA184" s="4">
        <f>CHOOSE(MATCH(Z184,{"South";"SouthEast";"SouthWest";"North";"NorthEast";"East";"West";"NorthWest"},0),1,2,3,4,5,6,7,8)</f>
        <v>8</v>
      </c>
      <c r="AB184" s="2">
        <f t="shared" si="26"/>
        <v>1</v>
      </c>
      <c r="AC184">
        <v>1009.8</v>
      </c>
      <c r="AD184" t="s">
        <v>346</v>
      </c>
      <c r="AE184" s="2">
        <f t="shared" si="27"/>
        <v>1</v>
      </c>
      <c r="AF184" t="s">
        <v>347</v>
      </c>
      <c r="AG184" s="2">
        <f t="shared" si="28"/>
        <v>7</v>
      </c>
      <c r="AH184" s="2">
        <f t="shared" si="29"/>
        <v>1</v>
      </c>
      <c r="AI184" s="3">
        <v>1859.999999996508</v>
      </c>
      <c r="AJ184" s="2">
        <v>1</v>
      </c>
      <c r="AK184">
        <v>0</v>
      </c>
      <c r="AL184">
        <v>13</v>
      </c>
      <c r="AM184">
        <v>0</v>
      </c>
      <c r="AN184" s="2">
        <f>IF((2*G184+M184-O184+3*V184+2*AB184+2*AE184+2*AH184+3*AJ184)&gt;=7,1,0)</f>
        <v>1</v>
      </c>
    </row>
    <row r="185" spans="1:40" x14ac:dyDescent="0.25">
      <c r="A185" t="s">
        <v>27</v>
      </c>
      <c r="B185" s="1">
        <v>37098</v>
      </c>
      <c r="C185" s="6">
        <f t="shared" si="20"/>
        <v>2001</v>
      </c>
      <c r="D185">
        <v>87.9</v>
      </c>
      <c r="E185">
        <v>73.5</v>
      </c>
      <c r="F185">
        <v>82.7</v>
      </c>
      <c r="G185" s="2">
        <f t="shared" si="21"/>
        <v>1</v>
      </c>
      <c r="H185">
        <v>90.8</v>
      </c>
      <c r="I185">
        <v>73.5</v>
      </c>
      <c r="J185">
        <v>84.1</v>
      </c>
      <c r="K185">
        <v>63.9</v>
      </c>
      <c r="L185">
        <v>53.8</v>
      </c>
      <c r="M185" s="2">
        <f t="shared" si="22"/>
        <v>1</v>
      </c>
      <c r="N185">
        <v>0</v>
      </c>
      <c r="O185" s="2">
        <f t="shared" si="23"/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s="2">
        <f t="shared" si="24"/>
        <v>0</v>
      </c>
      <c r="W185">
        <v>18.3</v>
      </c>
      <c r="X185" s="2">
        <f t="shared" si="25"/>
        <v>1</v>
      </c>
      <c r="Y185">
        <v>307</v>
      </c>
      <c r="Z185" s="2" t="str">
        <f>CHOOSE(MATCH(Y185,{0;11;80;111;161;191;241;281;341},1),"North","NorthEast","East","SouthEast","South","SouthWest","West","NorthWest","North")</f>
        <v>NorthWest</v>
      </c>
      <c r="AA185" s="4">
        <f>CHOOSE(MATCH(Z185,{"South";"SouthEast";"SouthWest";"North";"NorthEast";"East";"West";"NorthWest"},0),1,2,3,4,5,6,7,8)</f>
        <v>8</v>
      </c>
      <c r="AB185" s="2">
        <f t="shared" si="26"/>
        <v>1</v>
      </c>
      <c r="AC185">
        <v>1009.8</v>
      </c>
      <c r="AD185" t="s">
        <v>348</v>
      </c>
      <c r="AE185" s="2">
        <f t="shared" si="27"/>
        <v>1</v>
      </c>
      <c r="AF185" t="s">
        <v>349</v>
      </c>
      <c r="AG185" s="2">
        <f t="shared" si="28"/>
        <v>7</v>
      </c>
      <c r="AH185" s="2">
        <f t="shared" si="29"/>
        <v>1</v>
      </c>
      <c r="AI185" s="3">
        <v>320.99999999860302</v>
      </c>
      <c r="AJ185" s="2">
        <v>0</v>
      </c>
      <c r="AK185">
        <v>0</v>
      </c>
      <c r="AL185">
        <v>20</v>
      </c>
      <c r="AM185">
        <v>0</v>
      </c>
      <c r="AN185" s="2">
        <f>IF((2*G185+M185-O185+3*V185+2*AB185+2*AE185+2*AH185+3*AJ185)&gt;=7,1,0)</f>
        <v>1</v>
      </c>
    </row>
    <row r="186" spans="1:40" x14ac:dyDescent="0.25">
      <c r="A186" t="s">
        <v>27</v>
      </c>
      <c r="B186" s="1">
        <v>37098</v>
      </c>
      <c r="C186" s="6">
        <f t="shared" si="20"/>
        <v>2001</v>
      </c>
      <c r="D186">
        <v>87.9</v>
      </c>
      <c r="E186">
        <v>73.5</v>
      </c>
      <c r="F186">
        <v>82.7</v>
      </c>
      <c r="G186" s="2">
        <f t="shared" si="21"/>
        <v>1</v>
      </c>
      <c r="H186">
        <v>90.8</v>
      </c>
      <c r="I186">
        <v>73.5</v>
      </c>
      <c r="J186">
        <v>84.1</v>
      </c>
      <c r="K186">
        <v>63.9</v>
      </c>
      <c r="L186">
        <v>53.8</v>
      </c>
      <c r="M186" s="2">
        <f t="shared" si="22"/>
        <v>1</v>
      </c>
      <c r="N186">
        <v>0</v>
      </c>
      <c r="O186" s="2">
        <f t="shared" si="23"/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s="2">
        <f t="shared" si="24"/>
        <v>0</v>
      </c>
      <c r="W186">
        <v>18.3</v>
      </c>
      <c r="X186" s="2">
        <f t="shared" si="25"/>
        <v>1</v>
      </c>
      <c r="Y186">
        <v>307</v>
      </c>
      <c r="Z186" s="2" t="str">
        <f>CHOOSE(MATCH(Y186,{0;11;80;111;161;191;241;281;341},1),"North","NorthEast","East","SouthEast","South","SouthWest","West","NorthWest","North")</f>
        <v>NorthWest</v>
      </c>
      <c r="AA186" s="4">
        <f>CHOOSE(MATCH(Z186,{"South";"SouthEast";"SouthWest";"North";"NorthEast";"East";"West";"NorthWest"},0),1,2,3,4,5,6,7,8)</f>
        <v>8</v>
      </c>
      <c r="AB186" s="2">
        <f t="shared" si="26"/>
        <v>1</v>
      </c>
      <c r="AC186">
        <v>1009.8</v>
      </c>
      <c r="AD186" t="s">
        <v>350</v>
      </c>
      <c r="AE186" s="2">
        <f t="shared" si="27"/>
        <v>0</v>
      </c>
      <c r="AF186" t="s">
        <v>351</v>
      </c>
      <c r="AG186" s="2">
        <f t="shared" si="28"/>
        <v>7</v>
      </c>
      <c r="AH186" s="2">
        <f t="shared" si="29"/>
        <v>1</v>
      </c>
      <c r="AI186" s="3">
        <v>111.00000000558791</v>
      </c>
      <c r="AJ186" s="2">
        <v>0</v>
      </c>
      <c r="AK186">
        <v>0</v>
      </c>
      <c r="AL186">
        <v>2</v>
      </c>
      <c r="AM186">
        <v>0</v>
      </c>
      <c r="AN186" s="2">
        <f>IF((2*G186+M186-O186+3*V186+2*AB186+2*AE186+2*AH186+3*AJ186)&gt;=7,1,0)</f>
        <v>0</v>
      </c>
    </row>
    <row r="187" spans="1:40" x14ac:dyDescent="0.25">
      <c r="A187" t="s">
        <v>27</v>
      </c>
      <c r="B187" s="1">
        <v>37101</v>
      </c>
      <c r="C187" s="6">
        <f t="shared" si="20"/>
        <v>2001</v>
      </c>
      <c r="D187">
        <v>89.7</v>
      </c>
      <c r="E187">
        <v>80.7</v>
      </c>
      <c r="F187">
        <v>85.1</v>
      </c>
      <c r="G187" s="2">
        <f t="shared" si="21"/>
        <v>1</v>
      </c>
      <c r="H187">
        <v>92.4</v>
      </c>
      <c r="I187">
        <v>82.4</v>
      </c>
      <c r="J187">
        <v>87</v>
      </c>
      <c r="K187">
        <v>65</v>
      </c>
      <c r="L187">
        <v>51.2</v>
      </c>
      <c r="M187" s="2">
        <f t="shared" si="22"/>
        <v>1</v>
      </c>
      <c r="N187">
        <v>0</v>
      </c>
      <c r="O187" s="2">
        <f t="shared" si="23"/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s="2">
        <f t="shared" si="24"/>
        <v>0</v>
      </c>
      <c r="W187">
        <v>19.5</v>
      </c>
      <c r="X187" s="2">
        <f t="shared" si="25"/>
        <v>1</v>
      </c>
      <c r="Y187">
        <v>309</v>
      </c>
      <c r="Z187" s="2" t="str">
        <f>CHOOSE(MATCH(Y187,{0;11;80;111;161;191;241;281;341},1),"North","NorthEast","East","SouthEast","South","SouthWest","West","NorthWest","North")</f>
        <v>NorthWest</v>
      </c>
      <c r="AA187" s="4">
        <f>CHOOSE(MATCH(Z187,{"South";"SouthEast";"SouthWest";"North";"NorthEast";"East";"West";"NorthWest"},0),1,2,3,4,5,6,7,8)</f>
        <v>8</v>
      </c>
      <c r="AB187" s="2">
        <f t="shared" si="26"/>
        <v>1</v>
      </c>
      <c r="AC187">
        <v>1009.9</v>
      </c>
      <c r="AD187" t="s">
        <v>320</v>
      </c>
      <c r="AE187" s="2">
        <f t="shared" si="27"/>
        <v>0</v>
      </c>
      <c r="AF187" t="s">
        <v>352</v>
      </c>
      <c r="AG187" s="2">
        <f t="shared" si="28"/>
        <v>7</v>
      </c>
      <c r="AH187" s="2">
        <f t="shared" si="29"/>
        <v>1</v>
      </c>
      <c r="AI187" s="3">
        <v>180</v>
      </c>
      <c r="AJ187" s="2">
        <v>0</v>
      </c>
      <c r="AK187">
        <v>0</v>
      </c>
      <c r="AL187">
        <v>0.1</v>
      </c>
      <c r="AM187">
        <v>0</v>
      </c>
      <c r="AN187" s="2">
        <f>IF((2*G187+M187-O187+3*V187+2*AB187+2*AE187+2*AH187+3*AJ187)&gt;=7,1,0)</f>
        <v>0</v>
      </c>
    </row>
    <row r="188" spans="1:40" x14ac:dyDescent="0.25">
      <c r="A188" t="s">
        <v>27</v>
      </c>
      <c r="B188" s="1">
        <v>37101</v>
      </c>
      <c r="C188" s="6">
        <f t="shared" si="20"/>
        <v>2001</v>
      </c>
      <c r="D188">
        <v>89.7</v>
      </c>
      <c r="E188">
        <v>80.7</v>
      </c>
      <c r="F188">
        <v>85.1</v>
      </c>
      <c r="G188" s="2">
        <f t="shared" si="21"/>
        <v>1</v>
      </c>
      <c r="H188">
        <v>92.4</v>
      </c>
      <c r="I188">
        <v>82.4</v>
      </c>
      <c r="J188">
        <v>87</v>
      </c>
      <c r="K188">
        <v>65</v>
      </c>
      <c r="L188">
        <v>51.2</v>
      </c>
      <c r="M188" s="2">
        <f t="shared" si="22"/>
        <v>1</v>
      </c>
      <c r="N188">
        <v>0</v>
      </c>
      <c r="O188" s="2">
        <f t="shared" si="23"/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s="2">
        <f t="shared" si="24"/>
        <v>0</v>
      </c>
      <c r="W188">
        <v>19.5</v>
      </c>
      <c r="X188" s="2">
        <f t="shared" si="25"/>
        <v>1</v>
      </c>
      <c r="Y188">
        <v>309</v>
      </c>
      <c r="Z188" s="2" t="str">
        <f>CHOOSE(MATCH(Y188,{0;11;80;111;161;191;241;281;341},1),"North","NorthEast","East","SouthEast","South","SouthWest","West","NorthWest","North")</f>
        <v>NorthWest</v>
      </c>
      <c r="AA188" s="4">
        <f>CHOOSE(MATCH(Z188,{"South";"SouthEast";"SouthWest";"North";"NorthEast";"East";"West";"NorthWest"},0),1,2,3,4,5,6,7,8)</f>
        <v>8</v>
      </c>
      <c r="AB188" s="2">
        <f t="shared" si="26"/>
        <v>1</v>
      </c>
      <c r="AC188">
        <v>1009.9</v>
      </c>
      <c r="AD188" t="s">
        <v>353</v>
      </c>
      <c r="AE188" s="2">
        <f t="shared" si="27"/>
        <v>1</v>
      </c>
      <c r="AF188" t="s">
        <v>354</v>
      </c>
      <c r="AG188" s="2">
        <f t="shared" si="28"/>
        <v>7</v>
      </c>
      <c r="AH188" s="2">
        <f t="shared" si="29"/>
        <v>1</v>
      </c>
      <c r="AI188" s="3">
        <v>300.99999999627471</v>
      </c>
      <c r="AJ188" s="2">
        <v>0</v>
      </c>
      <c r="AK188">
        <v>20</v>
      </c>
      <c r="AL188">
        <v>0</v>
      </c>
      <c r="AM188">
        <v>0</v>
      </c>
      <c r="AN188" s="2">
        <f>IF((2*G188+M188-O188+3*V188+2*AB188+2*AE188+2*AH188+3*AJ188)&gt;=7,1,0)</f>
        <v>1</v>
      </c>
    </row>
    <row r="189" spans="1:40" x14ac:dyDescent="0.25">
      <c r="A189" t="s">
        <v>27</v>
      </c>
      <c r="B189" s="1">
        <v>37103</v>
      </c>
      <c r="C189" s="6">
        <f t="shared" si="20"/>
        <v>2001</v>
      </c>
      <c r="D189">
        <v>86.1</v>
      </c>
      <c r="E189">
        <v>80.7</v>
      </c>
      <c r="F189">
        <v>83.3</v>
      </c>
      <c r="G189" s="2">
        <f t="shared" si="21"/>
        <v>1</v>
      </c>
      <c r="H189">
        <v>89.8</v>
      </c>
      <c r="I189">
        <v>83.4</v>
      </c>
      <c r="J189">
        <v>85.8</v>
      </c>
      <c r="K189">
        <v>66.3</v>
      </c>
      <c r="L189">
        <v>57</v>
      </c>
      <c r="M189" s="2">
        <f t="shared" si="22"/>
        <v>1</v>
      </c>
      <c r="N189">
        <v>0</v>
      </c>
      <c r="O189" s="2">
        <f t="shared" si="23"/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s="2">
        <f t="shared" si="24"/>
        <v>0</v>
      </c>
      <c r="W189">
        <v>23</v>
      </c>
      <c r="X189" s="2">
        <f t="shared" si="25"/>
        <v>1</v>
      </c>
      <c r="Y189">
        <v>299.39999999999998</v>
      </c>
      <c r="Z189" s="2" t="str">
        <f>CHOOSE(MATCH(Y189,{0;11;80;111;161;191;241;281;341},1),"North","NorthEast","East","SouthEast","South","SouthWest","West","NorthWest","North")</f>
        <v>NorthWest</v>
      </c>
      <c r="AA189" s="4">
        <f>CHOOSE(MATCH(Z189,{"South";"SouthEast";"SouthWest";"North";"NorthEast";"East";"West";"NorthWest"},0),1,2,3,4,5,6,7,8)</f>
        <v>8</v>
      </c>
      <c r="AB189" s="2">
        <f t="shared" si="26"/>
        <v>1</v>
      </c>
      <c r="AC189">
        <v>1009.4</v>
      </c>
      <c r="AD189" t="s">
        <v>355</v>
      </c>
      <c r="AE189" s="2">
        <f t="shared" si="27"/>
        <v>1</v>
      </c>
      <c r="AF189" t="s">
        <v>356</v>
      </c>
      <c r="AG189" s="2">
        <f t="shared" si="28"/>
        <v>7</v>
      </c>
      <c r="AH189" s="2">
        <f t="shared" si="29"/>
        <v>1</v>
      </c>
      <c r="AI189" s="3">
        <v>171.0000000020955</v>
      </c>
      <c r="AJ189" s="2">
        <v>0</v>
      </c>
      <c r="AK189">
        <v>0.1</v>
      </c>
      <c r="AL189">
        <v>0</v>
      </c>
      <c r="AM189">
        <v>0</v>
      </c>
      <c r="AN189" s="2">
        <f>IF((2*G189+M189-O189+3*V189+2*AB189+2*AE189+2*AH189+3*AJ189)&gt;=7,1,0)</f>
        <v>1</v>
      </c>
    </row>
    <row r="190" spans="1:40" x14ac:dyDescent="0.25">
      <c r="A190" t="s">
        <v>27</v>
      </c>
      <c r="B190" s="1">
        <v>37103</v>
      </c>
      <c r="C190" s="6">
        <f t="shared" si="20"/>
        <v>2001</v>
      </c>
      <c r="D190">
        <v>86.1</v>
      </c>
      <c r="E190">
        <v>80.7</v>
      </c>
      <c r="F190">
        <v>83.3</v>
      </c>
      <c r="G190" s="2">
        <f t="shared" si="21"/>
        <v>1</v>
      </c>
      <c r="H190">
        <v>89.8</v>
      </c>
      <c r="I190">
        <v>83.4</v>
      </c>
      <c r="J190">
        <v>85.8</v>
      </c>
      <c r="K190">
        <v>66.3</v>
      </c>
      <c r="L190">
        <v>57</v>
      </c>
      <c r="M190" s="2">
        <f t="shared" si="22"/>
        <v>1</v>
      </c>
      <c r="N190">
        <v>0</v>
      </c>
      <c r="O190" s="2">
        <f t="shared" si="23"/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s="2">
        <f t="shared" si="24"/>
        <v>0</v>
      </c>
      <c r="W190">
        <v>23</v>
      </c>
      <c r="X190" s="2">
        <f t="shared" si="25"/>
        <v>1</v>
      </c>
      <c r="Y190">
        <v>299.39999999999998</v>
      </c>
      <c r="Z190" s="2" t="str">
        <f>CHOOSE(MATCH(Y190,{0;11;80;111;161;191;241;281;341},1),"North","NorthEast","East","SouthEast","South","SouthWest","West","NorthWest","North")</f>
        <v>NorthWest</v>
      </c>
      <c r="AA190" s="4">
        <f>CHOOSE(MATCH(Z190,{"South";"SouthEast";"SouthWest";"North";"NorthEast";"East";"West";"NorthWest"},0),1,2,3,4,5,6,7,8)</f>
        <v>8</v>
      </c>
      <c r="AB190" s="2">
        <f t="shared" si="26"/>
        <v>1</v>
      </c>
      <c r="AC190">
        <v>1009.4</v>
      </c>
      <c r="AD190" t="s">
        <v>357</v>
      </c>
      <c r="AE190" s="2">
        <f t="shared" si="27"/>
        <v>1</v>
      </c>
      <c r="AF190" t="s">
        <v>358</v>
      </c>
      <c r="AG190" s="2">
        <f t="shared" si="28"/>
        <v>7</v>
      </c>
      <c r="AH190" s="2">
        <f t="shared" si="29"/>
        <v>1</v>
      </c>
      <c r="AI190" s="3">
        <v>339.99999999767169</v>
      </c>
      <c r="AJ190" s="2">
        <v>0</v>
      </c>
      <c r="AK190">
        <v>0</v>
      </c>
      <c r="AL190">
        <v>2</v>
      </c>
      <c r="AM190">
        <v>0</v>
      </c>
      <c r="AN190" s="2">
        <f>IF((2*G190+M190-O190+3*V190+2*AB190+2*AE190+2*AH190+3*AJ190)&gt;=7,1,0)</f>
        <v>1</v>
      </c>
    </row>
    <row r="191" spans="1:40" x14ac:dyDescent="0.25">
      <c r="A191" t="s">
        <v>27</v>
      </c>
      <c r="B191" s="1">
        <v>37104</v>
      </c>
      <c r="C191" s="6">
        <f t="shared" si="20"/>
        <v>2001</v>
      </c>
      <c r="D191">
        <v>80.7</v>
      </c>
      <c r="E191">
        <v>78.900000000000006</v>
      </c>
      <c r="F191">
        <v>80.599999999999994</v>
      </c>
      <c r="G191" s="2">
        <f t="shared" si="21"/>
        <v>1</v>
      </c>
      <c r="H191">
        <v>84.7</v>
      </c>
      <c r="I191">
        <v>78.900000000000006</v>
      </c>
      <c r="J191">
        <v>83.2</v>
      </c>
      <c r="K191">
        <v>68.400000000000006</v>
      </c>
      <c r="L191">
        <v>66.8</v>
      </c>
      <c r="M191" s="2">
        <f t="shared" si="22"/>
        <v>0</v>
      </c>
      <c r="N191">
        <v>0</v>
      </c>
      <c r="O191" s="2">
        <f t="shared" si="23"/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s="2">
        <f t="shared" si="24"/>
        <v>0</v>
      </c>
      <c r="W191">
        <v>17.2</v>
      </c>
      <c r="X191" s="2">
        <f t="shared" si="25"/>
        <v>1</v>
      </c>
      <c r="Y191">
        <v>300.5</v>
      </c>
      <c r="Z191" s="2" t="str">
        <f>CHOOSE(MATCH(Y191,{0;11;80;111;161;191;241;281;341},1),"North","NorthEast","East","SouthEast","South","SouthWest","West","NorthWest","North")</f>
        <v>NorthWest</v>
      </c>
      <c r="AA191" s="4">
        <f>CHOOSE(MATCH(Z191,{"South";"SouthEast";"SouthWest";"North";"NorthEast";"East";"West";"NorthWest"},0),1,2,3,4,5,6,7,8)</f>
        <v>8</v>
      </c>
      <c r="AB191" s="2">
        <f t="shared" si="26"/>
        <v>1</v>
      </c>
      <c r="AC191">
        <v>1008.5</v>
      </c>
      <c r="AD191" t="s">
        <v>359</v>
      </c>
      <c r="AE191" s="2">
        <f t="shared" si="27"/>
        <v>1</v>
      </c>
      <c r="AF191" t="s">
        <v>360</v>
      </c>
      <c r="AG191" s="2">
        <f t="shared" si="28"/>
        <v>8</v>
      </c>
      <c r="AH191" s="2">
        <f t="shared" si="29"/>
        <v>1</v>
      </c>
      <c r="AI191" s="3">
        <v>330.99999999976723</v>
      </c>
      <c r="AJ191" s="2">
        <v>0</v>
      </c>
      <c r="AK191">
        <v>0</v>
      </c>
      <c r="AL191">
        <v>0.1</v>
      </c>
      <c r="AM191">
        <v>0</v>
      </c>
      <c r="AN191" s="2">
        <f>IF((2*G191+M191-O191+3*V191+2*AB191+2*AE191+2*AH191+3*AJ191)&gt;=7,1,0)</f>
        <v>1</v>
      </c>
    </row>
    <row r="192" spans="1:40" x14ac:dyDescent="0.25">
      <c r="A192" t="s">
        <v>27</v>
      </c>
      <c r="B192" s="1">
        <v>37105</v>
      </c>
      <c r="C192" s="6">
        <f t="shared" si="20"/>
        <v>2001</v>
      </c>
      <c r="D192">
        <v>84.3</v>
      </c>
      <c r="E192">
        <v>78.900000000000006</v>
      </c>
      <c r="F192">
        <v>81.8</v>
      </c>
      <c r="G192" s="2">
        <f t="shared" si="21"/>
        <v>1</v>
      </c>
      <c r="H192">
        <v>89.8</v>
      </c>
      <c r="I192">
        <v>78.900000000000006</v>
      </c>
      <c r="J192">
        <v>84.7</v>
      </c>
      <c r="K192">
        <v>68.7</v>
      </c>
      <c r="L192">
        <v>64.7</v>
      </c>
      <c r="M192" s="2">
        <f t="shared" si="22"/>
        <v>1</v>
      </c>
      <c r="N192">
        <v>0</v>
      </c>
      <c r="O192" s="2">
        <f t="shared" si="23"/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s="2">
        <f t="shared" si="24"/>
        <v>0</v>
      </c>
      <c r="W192">
        <v>19.5</v>
      </c>
      <c r="X192" s="2">
        <f t="shared" si="25"/>
        <v>1</v>
      </c>
      <c r="Y192">
        <v>304.39999999999998</v>
      </c>
      <c r="Z192" s="2" t="str">
        <f>CHOOSE(MATCH(Y192,{0;11;80;111;161;191;241;281;341},1),"North","NorthEast","East","SouthEast","South","SouthWest","West","NorthWest","North")</f>
        <v>NorthWest</v>
      </c>
      <c r="AA192" s="4">
        <f>CHOOSE(MATCH(Z192,{"South";"SouthEast";"SouthWest";"North";"NorthEast";"East";"West";"NorthWest"},0),1,2,3,4,5,6,7,8)</f>
        <v>8</v>
      </c>
      <c r="AB192" s="2">
        <f t="shared" si="26"/>
        <v>1</v>
      </c>
      <c r="AC192">
        <v>1008.5</v>
      </c>
      <c r="AD192" t="s">
        <v>361</v>
      </c>
      <c r="AE192" s="2">
        <f t="shared" si="27"/>
        <v>1</v>
      </c>
      <c r="AF192" t="s">
        <v>362</v>
      </c>
      <c r="AG192" s="2">
        <f t="shared" si="28"/>
        <v>8</v>
      </c>
      <c r="AH192" s="2">
        <f t="shared" si="29"/>
        <v>1</v>
      </c>
      <c r="AI192" s="3">
        <v>870.99999999976717</v>
      </c>
      <c r="AJ192" s="2">
        <v>1</v>
      </c>
      <c r="AK192">
        <v>0</v>
      </c>
      <c r="AL192">
        <v>1</v>
      </c>
      <c r="AM192">
        <v>0</v>
      </c>
      <c r="AN192" s="2">
        <f>IF((2*G192+M192-O192+3*V192+2*AB192+2*AE192+2*AH192+3*AJ192)&gt;=7,1,0)</f>
        <v>1</v>
      </c>
    </row>
    <row r="193" spans="1:40" x14ac:dyDescent="0.25">
      <c r="A193" t="s">
        <v>27</v>
      </c>
      <c r="B193" s="1">
        <v>37106</v>
      </c>
      <c r="C193" s="6">
        <f t="shared" si="20"/>
        <v>2001</v>
      </c>
      <c r="D193">
        <v>84.3</v>
      </c>
      <c r="E193">
        <v>77.099999999999994</v>
      </c>
      <c r="F193">
        <v>80.900000000000006</v>
      </c>
      <c r="G193" s="2">
        <f t="shared" si="21"/>
        <v>1</v>
      </c>
      <c r="H193">
        <v>88.6</v>
      </c>
      <c r="I193">
        <v>77.099999999999994</v>
      </c>
      <c r="J193">
        <v>83.2</v>
      </c>
      <c r="K193">
        <v>68.400000000000006</v>
      </c>
      <c r="L193">
        <v>66.099999999999994</v>
      </c>
      <c r="M193" s="2">
        <f t="shared" si="22"/>
        <v>0</v>
      </c>
      <c r="N193">
        <v>0</v>
      </c>
      <c r="O193" s="2">
        <f t="shared" si="23"/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s="2">
        <f t="shared" si="24"/>
        <v>0</v>
      </c>
      <c r="W193">
        <v>23</v>
      </c>
      <c r="X193" s="2">
        <f t="shared" si="25"/>
        <v>1</v>
      </c>
      <c r="Y193">
        <v>310.39999999999998</v>
      </c>
      <c r="Z193" s="2" t="str">
        <f>CHOOSE(MATCH(Y193,{0;11;80;111;161;191;241;281;341},1),"North","NorthEast","East","SouthEast","South","SouthWest","West","NorthWest","North")</f>
        <v>NorthWest</v>
      </c>
      <c r="AA193" s="4">
        <f>CHOOSE(MATCH(Z193,{"South";"SouthEast";"SouthWest";"North";"NorthEast";"East";"West";"NorthWest"},0),1,2,3,4,5,6,7,8)</f>
        <v>8</v>
      </c>
      <c r="AB193" s="2">
        <f t="shared" si="26"/>
        <v>1</v>
      </c>
      <c r="AC193">
        <v>1010.5</v>
      </c>
      <c r="AD193" t="s">
        <v>116</v>
      </c>
      <c r="AE193" s="2">
        <f t="shared" si="27"/>
        <v>1</v>
      </c>
      <c r="AF193" t="s">
        <v>363</v>
      </c>
      <c r="AG193" s="2">
        <f t="shared" si="28"/>
        <v>8</v>
      </c>
      <c r="AH193" s="2">
        <f t="shared" si="29"/>
        <v>1</v>
      </c>
      <c r="AI193" s="3">
        <v>105.9999999997672</v>
      </c>
      <c r="AJ193" s="2">
        <v>0</v>
      </c>
      <c r="AK193">
        <v>1</v>
      </c>
      <c r="AL193">
        <v>0</v>
      </c>
      <c r="AM193">
        <v>0</v>
      </c>
      <c r="AN193" s="2">
        <f>IF((2*G193+M193-O193+3*V193+2*AB193+2*AE193+2*AH193+3*AJ193)&gt;=7,1,0)</f>
        <v>1</v>
      </c>
    </row>
    <row r="194" spans="1:40" x14ac:dyDescent="0.25">
      <c r="A194" t="s">
        <v>27</v>
      </c>
      <c r="B194" s="1">
        <v>37116</v>
      </c>
      <c r="C194" s="6">
        <f t="shared" si="20"/>
        <v>2001</v>
      </c>
      <c r="D194">
        <v>82.5</v>
      </c>
      <c r="E194">
        <v>71.7</v>
      </c>
      <c r="F194">
        <v>77.900000000000006</v>
      </c>
      <c r="G194" s="2">
        <f t="shared" si="21"/>
        <v>1</v>
      </c>
      <c r="H194">
        <v>87.4</v>
      </c>
      <c r="I194">
        <v>71.7</v>
      </c>
      <c r="J194">
        <v>78.8</v>
      </c>
      <c r="K194">
        <v>65.2</v>
      </c>
      <c r="L194">
        <v>65.3</v>
      </c>
      <c r="M194" s="2">
        <f t="shared" si="22"/>
        <v>1</v>
      </c>
      <c r="N194">
        <v>0</v>
      </c>
      <c r="O194" s="2">
        <f t="shared" si="23"/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s="2">
        <f t="shared" si="24"/>
        <v>0</v>
      </c>
      <c r="W194">
        <v>18.3</v>
      </c>
      <c r="X194" s="2">
        <f t="shared" si="25"/>
        <v>1</v>
      </c>
      <c r="Y194">
        <v>312.60000000000002</v>
      </c>
      <c r="Z194" s="2" t="str">
        <f>CHOOSE(MATCH(Y194,{0;11;80;111;161;191;241;281;341},1),"North","NorthEast","East","SouthEast","South","SouthWest","West","NorthWest","North")</f>
        <v>NorthWest</v>
      </c>
      <c r="AA194" s="4">
        <f>CHOOSE(MATCH(Z194,{"South";"SouthEast";"SouthWest";"North";"NorthEast";"East";"West";"NorthWest"},0),1,2,3,4,5,6,7,8)</f>
        <v>8</v>
      </c>
      <c r="AB194" s="2">
        <f t="shared" si="26"/>
        <v>1</v>
      </c>
      <c r="AC194">
        <v>1007.2</v>
      </c>
      <c r="AD194" t="s">
        <v>364</v>
      </c>
      <c r="AE194" s="2">
        <f t="shared" si="27"/>
        <v>1</v>
      </c>
      <c r="AF194" t="s">
        <v>365</v>
      </c>
      <c r="AG194" s="2">
        <f t="shared" si="28"/>
        <v>8</v>
      </c>
      <c r="AH194" s="2">
        <f t="shared" si="29"/>
        <v>1</v>
      </c>
      <c r="AI194" s="3">
        <v>153.0000000062864</v>
      </c>
      <c r="AJ194" s="2">
        <v>0</v>
      </c>
      <c r="AK194">
        <v>0</v>
      </c>
      <c r="AL194">
        <v>5</v>
      </c>
      <c r="AM194">
        <v>0</v>
      </c>
      <c r="AN194" s="2">
        <f>IF((2*G194+M194-O194+3*V194+2*AB194+2*AE194+2*AH194+3*AJ194)&gt;=7,1,0)</f>
        <v>1</v>
      </c>
    </row>
    <row r="195" spans="1:40" x14ac:dyDescent="0.25">
      <c r="A195" t="s">
        <v>27</v>
      </c>
      <c r="B195" s="1">
        <v>37117</v>
      </c>
      <c r="C195" s="6">
        <f t="shared" ref="C195:C258" si="30">YEAR(B195)</f>
        <v>2001</v>
      </c>
      <c r="D195">
        <v>82.5</v>
      </c>
      <c r="E195">
        <v>77.099999999999994</v>
      </c>
      <c r="F195">
        <v>79</v>
      </c>
      <c r="G195" s="2">
        <f t="shared" ref="G195:G258" si="31">IF(F195&lt;=70,0,1)</f>
        <v>1</v>
      </c>
      <c r="H195">
        <v>85.5</v>
      </c>
      <c r="I195">
        <v>77.099999999999994</v>
      </c>
      <c r="J195">
        <v>79.900000000000006</v>
      </c>
      <c r="K195">
        <v>66.400000000000006</v>
      </c>
      <c r="L195">
        <v>65.599999999999994</v>
      </c>
      <c r="M195" s="2">
        <f t="shared" ref="M195:M258" si="32">IF(L195&lt;=66,1,0)</f>
        <v>1</v>
      </c>
      <c r="N195">
        <v>0</v>
      </c>
      <c r="O195" s="2">
        <f t="shared" ref="O195:O258" si="33">IF(N195&lt;=0.01,1,0)</f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s="2">
        <f t="shared" ref="V195:V258" si="34">IF(U195&lt;=9,0,1)</f>
        <v>0</v>
      </c>
      <c r="W195">
        <v>17.2</v>
      </c>
      <c r="X195" s="2">
        <f t="shared" ref="X195:X258" si="35">IF(W195&gt;=16,1,0)</f>
        <v>1</v>
      </c>
      <c r="Y195">
        <v>300.2</v>
      </c>
      <c r="Z195" s="2" t="str">
        <f>CHOOSE(MATCH(Y195,{0;11;80;111;161;191;241;281;341},1),"North","NorthEast","East","SouthEast","South","SouthWest","West","NorthWest","North")</f>
        <v>NorthWest</v>
      </c>
      <c r="AA195" s="4">
        <f>CHOOSE(MATCH(Z195,{"South";"SouthEast";"SouthWest";"North";"NorthEast";"East";"West";"NorthWest"},0),1,2,3,4,5,6,7,8)</f>
        <v>8</v>
      </c>
      <c r="AB195" s="2">
        <f t="shared" ref="AB195:AB258" si="36">IF(OR(AA195=4,AA195=5,AA195=8),1,0)</f>
        <v>1</v>
      </c>
      <c r="AC195">
        <v>1012</v>
      </c>
      <c r="AD195" t="s">
        <v>69</v>
      </c>
      <c r="AE195" s="2">
        <f t="shared" ref="AE195:AE258" si="37">IF(TIMEVALUE(AD195)&lt;=TIME(12,30,0),0,1)</f>
        <v>1</v>
      </c>
      <c r="AF195" t="s">
        <v>366</v>
      </c>
      <c r="AG195" s="2">
        <f t="shared" ref="AG195:AG258" si="38">MONTH(AF195)</f>
        <v>8</v>
      </c>
      <c r="AH195" s="2">
        <f t="shared" ref="AH195:AH258" si="39">IF(OR(AG195=6,AG195=7,AG195=8),1,0)</f>
        <v>1</v>
      </c>
      <c r="AI195" s="3">
        <v>90</v>
      </c>
      <c r="AJ195" s="2">
        <v>0</v>
      </c>
      <c r="AK195">
        <v>0</v>
      </c>
      <c r="AL195">
        <v>0.1</v>
      </c>
      <c r="AM195">
        <v>0</v>
      </c>
      <c r="AN195" s="2">
        <f>IF((2*G195+M195-O195+3*V195+2*AB195+2*AE195+2*AH195+3*AJ195)&gt;=7,1,0)</f>
        <v>1</v>
      </c>
    </row>
    <row r="196" spans="1:40" x14ac:dyDescent="0.25">
      <c r="A196" t="s">
        <v>27</v>
      </c>
      <c r="B196" s="1">
        <v>37118</v>
      </c>
      <c r="C196" s="6">
        <f t="shared" si="30"/>
        <v>2001</v>
      </c>
      <c r="D196">
        <v>82.5</v>
      </c>
      <c r="E196">
        <v>73.5</v>
      </c>
      <c r="F196">
        <v>79.400000000000006</v>
      </c>
      <c r="G196" s="2">
        <f t="shared" si="31"/>
        <v>1</v>
      </c>
      <c r="H196">
        <v>86.4</v>
      </c>
      <c r="I196">
        <v>73.5</v>
      </c>
      <c r="J196">
        <v>80.7</v>
      </c>
      <c r="K196">
        <v>66.8</v>
      </c>
      <c r="L196">
        <v>65.8</v>
      </c>
      <c r="M196" s="2">
        <f t="shared" si="32"/>
        <v>1</v>
      </c>
      <c r="N196">
        <v>0</v>
      </c>
      <c r="O196" s="2">
        <f t="shared" si="33"/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s="2">
        <f t="shared" si="34"/>
        <v>0</v>
      </c>
      <c r="W196">
        <v>18.3</v>
      </c>
      <c r="X196" s="2">
        <f t="shared" si="35"/>
        <v>1</v>
      </c>
      <c r="Y196">
        <v>296.8</v>
      </c>
      <c r="Z196" s="2" t="str">
        <f>CHOOSE(MATCH(Y196,{0;11;80;111;161;191;241;281;341},1),"North","NorthEast","East","SouthEast","South","SouthWest","West","NorthWest","North")</f>
        <v>NorthWest</v>
      </c>
      <c r="AA196" s="4">
        <f>CHOOSE(MATCH(Z196,{"South";"SouthEast";"SouthWest";"North";"NorthEast";"East";"West";"NorthWest"},0),1,2,3,4,5,6,7,8)</f>
        <v>8</v>
      </c>
      <c r="AB196" s="2">
        <f t="shared" si="36"/>
        <v>1</v>
      </c>
      <c r="AC196">
        <v>1014.2</v>
      </c>
      <c r="AD196" t="s">
        <v>367</v>
      </c>
      <c r="AE196" s="2">
        <f t="shared" si="37"/>
        <v>1</v>
      </c>
      <c r="AF196" t="s">
        <v>368</v>
      </c>
      <c r="AG196" s="2">
        <f t="shared" si="38"/>
        <v>8</v>
      </c>
      <c r="AH196" s="2">
        <f t="shared" si="39"/>
        <v>1</v>
      </c>
      <c r="AI196" s="3">
        <v>179.00000000721769</v>
      </c>
      <c r="AJ196" s="2">
        <v>0</v>
      </c>
      <c r="AK196">
        <v>0.1</v>
      </c>
      <c r="AL196">
        <v>0</v>
      </c>
      <c r="AM196">
        <v>0</v>
      </c>
      <c r="AN196" s="2">
        <f>IF((2*G196+M196-O196+3*V196+2*AB196+2*AE196+2*AH196+3*AJ196)&gt;=7,1,0)</f>
        <v>1</v>
      </c>
    </row>
    <row r="197" spans="1:40" x14ac:dyDescent="0.25">
      <c r="A197" t="s">
        <v>27</v>
      </c>
      <c r="B197" s="1">
        <v>37121</v>
      </c>
      <c r="C197" s="6">
        <f t="shared" si="30"/>
        <v>2001</v>
      </c>
      <c r="D197">
        <v>84.3</v>
      </c>
      <c r="E197">
        <v>77.099999999999994</v>
      </c>
      <c r="F197">
        <v>80.599999999999994</v>
      </c>
      <c r="G197" s="2">
        <f t="shared" si="31"/>
        <v>1</v>
      </c>
      <c r="H197">
        <v>85.8</v>
      </c>
      <c r="I197">
        <v>77.099999999999994</v>
      </c>
      <c r="J197">
        <v>81.400000000000006</v>
      </c>
      <c r="K197">
        <v>63.9</v>
      </c>
      <c r="L197">
        <v>57.3</v>
      </c>
      <c r="M197" s="2">
        <f t="shared" si="32"/>
        <v>1</v>
      </c>
      <c r="N197">
        <v>0</v>
      </c>
      <c r="O197" s="2">
        <f t="shared" si="33"/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s="2">
        <f t="shared" si="34"/>
        <v>0</v>
      </c>
      <c r="W197">
        <v>24.2</v>
      </c>
      <c r="X197" s="2">
        <f t="shared" si="35"/>
        <v>1</v>
      </c>
      <c r="Y197">
        <v>291.7</v>
      </c>
      <c r="Z197" s="2" t="str">
        <f>CHOOSE(MATCH(Y197,{0;11;80;111;161;191;241;281;341},1),"North","NorthEast","East","SouthEast","South","SouthWest","West","NorthWest","North")</f>
        <v>NorthWest</v>
      </c>
      <c r="AA197" s="4">
        <f>CHOOSE(MATCH(Z197,{"South";"SouthEast";"SouthWest";"North";"NorthEast";"East";"West";"NorthWest"},0),1,2,3,4,5,6,7,8)</f>
        <v>8</v>
      </c>
      <c r="AB197" s="2">
        <f t="shared" si="36"/>
        <v>1</v>
      </c>
      <c r="AC197">
        <v>1010.2</v>
      </c>
      <c r="AD197" t="s">
        <v>369</v>
      </c>
      <c r="AE197" s="2">
        <f t="shared" si="37"/>
        <v>0</v>
      </c>
      <c r="AF197" t="s">
        <v>370</v>
      </c>
      <c r="AG197" s="2">
        <f t="shared" si="38"/>
        <v>8</v>
      </c>
      <c r="AH197" s="2">
        <f t="shared" si="39"/>
        <v>1</v>
      </c>
      <c r="AI197" s="3">
        <v>521.00000000093132</v>
      </c>
      <c r="AJ197" s="2">
        <v>1</v>
      </c>
      <c r="AK197">
        <v>0</v>
      </c>
      <c r="AL197">
        <v>9</v>
      </c>
      <c r="AM197">
        <v>0</v>
      </c>
      <c r="AN197" s="2">
        <f>IF((2*G197+M197-O197+3*V197+2*AB197+2*AE197+2*AH197+3*AJ197)&gt;=7,1,0)</f>
        <v>1</v>
      </c>
    </row>
    <row r="198" spans="1:40" x14ac:dyDescent="0.25">
      <c r="A198" t="s">
        <v>27</v>
      </c>
      <c r="B198" s="1">
        <v>37122</v>
      </c>
      <c r="C198" s="6">
        <f t="shared" si="30"/>
        <v>2001</v>
      </c>
      <c r="D198">
        <v>86.1</v>
      </c>
      <c r="E198">
        <v>73.5</v>
      </c>
      <c r="F198">
        <v>80.099999999999994</v>
      </c>
      <c r="G198" s="2">
        <f t="shared" si="31"/>
        <v>1</v>
      </c>
      <c r="H198">
        <v>86.6</v>
      </c>
      <c r="I198">
        <v>73.5</v>
      </c>
      <c r="J198">
        <v>80.5</v>
      </c>
      <c r="K198">
        <v>60</v>
      </c>
      <c r="L198">
        <v>50.7</v>
      </c>
      <c r="M198" s="2">
        <f t="shared" si="32"/>
        <v>1</v>
      </c>
      <c r="N198">
        <v>0</v>
      </c>
      <c r="O198" s="2">
        <f t="shared" si="33"/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s="2">
        <f t="shared" si="34"/>
        <v>0</v>
      </c>
      <c r="W198">
        <v>17.2</v>
      </c>
      <c r="X198" s="2">
        <f t="shared" si="35"/>
        <v>1</v>
      </c>
      <c r="Y198">
        <v>291.7</v>
      </c>
      <c r="Z198" s="2" t="str">
        <f>CHOOSE(MATCH(Y198,{0;11;80;111;161;191;241;281;341},1),"North","NorthEast","East","SouthEast","South","SouthWest","West","NorthWest","North")</f>
        <v>NorthWest</v>
      </c>
      <c r="AA198" s="4">
        <f>CHOOSE(MATCH(Z198,{"South";"SouthEast";"SouthWest";"North";"NorthEast";"East";"West";"NorthWest"},0),1,2,3,4,5,6,7,8)</f>
        <v>8</v>
      </c>
      <c r="AB198" s="2">
        <f t="shared" si="36"/>
        <v>1</v>
      </c>
      <c r="AC198">
        <v>1010.1</v>
      </c>
      <c r="AD198" t="s">
        <v>371</v>
      </c>
      <c r="AE198" s="2">
        <f t="shared" si="37"/>
        <v>1</v>
      </c>
      <c r="AF198" t="s">
        <v>372</v>
      </c>
      <c r="AG198" s="2">
        <f t="shared" si="38"/>
        <v>8</v>
      </c>
      <c r="AH198" s="2">
        <f t="shared" si="39"/>
        <v>1</v>
      </c>
      <c r="AI198" s="3">
        <v>180</v>
      </c>
      <c r="AJ198" s="2">
        <v>0</v>
      </c>
      <c r="AK198">
        <v>0.1</v>
      </c>
      <c r="AL198">
        <v>0</v>
      </c>
      <c r="AM198">
        <v>0</v>
      </c>
      <c r="AN198" s="2">
        <f>IF((2*G198+M198-O198+3*V198+2*AB198+2*AE198+2*AH198+3*AJ198)&gt;=7,1,0)</f>
        <v>1</v>
      </c>
    </row>
    <row r="199" spans="1:40" x14ac:dyDescent="0.25">
      <c r="A199" t="s">
        <v>27</v>
      </c>
      <c r="B199" s="1">
        <v>37122</v>
      </c>
      <c r="C199" s="6">
        <f t="shared" si="30"/>
        <v>2001</v>
      </c>
      <c r="D199">
        <v>86.1</v>
      </c>
      <c r="E199">
        <v>73.5</v>
      </c>
      <c r="F199">
        <v>80.099999999999994</v>
      </c>
      <c r="G199" s="2">
        <f t="shared" si="31"/>
        <v>1</v>
      </c>
      <c r="H199">
        <v>86.6</v>
      </c>
      <c r="I199">
        <v>73.5</v>
      </c>
      <c r="J199">
        <v>80.5</v>
      </c>
      <c r="K199">
        <v>60</v>
      </c>
      <c r="L199">
        <v>50.7</v>
      </c>
      <c r="M199" s="2">
        <f t="shared" si="32"/>
        <v>1</v>
      </c>
      <c r="N199">
        <v>0</v>
      </c>
      <c r="O199" s="2">
        <f t="shared" si="33"/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s="2">
        <f t="shared" si="34"/>
        <v>0</v>
      </c>
      <c r="W199">
        <v>17.2</v>
      </c>
      <c r="X199" s="2">
        <f t="shared" si="35"/>
        <v>1</v>
      </c>
      <c r="Y199">
        <v>291.7</v>
      </c>
      <c r="Z199" s="2" t="str">
        <f>CHOOSE(MATCH(Y199,{0;11;80;111;161;191;241;281;341},1),"North","NorthEast","East","SouthEast","South","SouthWest","West","NorthWest","North")</f>
        <v>NorthWest</v>
      </c>
      <c r="AA199" s="4">
        <f>CHOOSE(MATCH(Z199,{"South";"SouthEast";"SouthWest";"North";"NorthEast";"East";"West";"NorthWest"},0),1,2,3,4,5,6,7,8)</f>
        <v>8</v>
      </c>
      <c r="AB199" s="2">
        <f t="shared" si="36"/>
        <v>1</v>
      </c>
      <c r="AC199">
        <v>1010.1</v>
      </c>
      <c r="AD199" t="s">
        <v>289</v>
      </c>
      <c r="AE199" s="2">
        <f t="shared" si="37"/>
        <v>1</v>
      </c>
      <c r="AF199" t="s">
        <v>373</v>
      </c>
      <c r="AG199" s="2">
        <f t="shared" si="38"/>
        <v>8</v>
      </c>
      <c r="AH199" s="2">
        <f t="shared" si="39"/>
        <v>1</v>
      </c>
      <c r="AI199" s="3">
        <v>100.0000000011642</v>
      </c>
      <c r="AJ199" s="2">
        <v>0</v>
      </c>
      <c r="AK199">
        <v>0</v>
      </c>
      <c r="AL199">
        <v>0.5</v>
      </c>
      <c r="AM199">
        <v>0</v>
      </c>
      <c r="AN199" s="2">
        <f>IF((2*G199+M199-O199+3*V199+2*AB199+2*AE199+2*AH199+3*AJ199)&gt;=7,1,0)</f>
        <v>1</v>
      </c>
    </row>
    <row r="200" spans="1:40" x14ac:dyDescent="0.25">
      <c r="A200" t="s">
        <v>27</v>
      </c>
      <c r="B200" s="1">
        <v>37123</v>
      </c>
      <c r="C200" s="6">
        <f t="shared" si="30"/>
        <v>2001</v>
      </c>
      <c r="D200">
        <v>82.5</v>
      </c>
      <c r="E200">
        <v>69.900000000000006</v>
      </c>
      <c r="F200">
        <v>77.5</v>
      </c>
      <c r="G200" s="2">
        <f t="shared" si="31"/>
        <v>1</v>
      </c>
      <c r="H200">
        <v>87.4</v>
      </c>
      <c r="I200">
        <v>69.900000000000006</v>
      </c>
      <c r="J200">
        <v>79.3</v>
      </c>
      <c r="K200">
        <v>64.7</v>
      </c>
      <c r="L200">
        <v>65.599999999999994</v>
      </c>
      <c r="M200" s="2">
        <f t="shared" si="32"/>
        <v>1</v>
      </c>
      <c r="N200">
        <v>0</v>
      </c>
      <c r="O200" s="2">
        <f t="shared" si="33"/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s="2">
        <f t="shared" si="34"/>
        <v>0</v>
      </c>
      <c r="W200">
        <v>17.2</v>
      </c>
      <c r="X200" s="2">
        <f t="shared" si="35"/>
        <v>1</v>
      </c>
      <c r="Y200">
        <v>276</v>
      </c>
      <c r="Z200" s="2" t="str">
        <f>CHOOSE(MATCH(Y200,{0;11;80;111;161;191;241;281;341},1),"North","NorthEast","East","SouthEast","South","SouthWest","West","NorthWest","North")</f>
        <v>West</v>
      </c>
      <c r="AA200" s="4">
        <f>CHOOSE(MATCH(Z200,{"South";"SouthEast";"SouthWest";"North";"NorthEast";"East";"West";"NorthWest"},0),1,2,3,4,5,6,7,8)</f>
        <v>7</v>
      </c>
      <c r="AB200" s="2">
        <f t="shared" si="36"/>
        <v>0</v>
      </c>
      <c r="AC200">
        <v>1010.6</v>
      </c>
      <c r="AD200" t="s">
        <v>374</v>
      </c>
      <c r="AE200" s="2">
        <f t="shared" si="37"/>
        <v>0</v>
      </c>
      <c r="AF200" t="s">
        <v>375</v>
      </c>
      <c r="AG200" s="2">
        <f t="shared" si="38"/>
        <v>8</v>
      </c>
      <c r="AH200" s="2">
        <f t="shared" si="39"/>
        <v>1</v>
      </c>
      <c r="AI200" s="3">
        <v>200.00000000232831</v>
      </c>
      <c r="AJ200" s="2">
        <v>0</v>
      </c>
      <c r="AK200">
        <v>0</v>
      </c>
      <c r="AL200">
        <v>2</v>
      </c>
      <c r="AM200">
        <v>0</v>
      </c>
      <c r="AN200" s="2">
        <f>IF((2*G200+M200-O200+3*V200+2*AB200+2*AE200+2*AH200+3*AJ200)&gt;=7,1,0)</f>
        <v>0</v>
      </c>
    </row>
    <row r="201" spans="1:40" x14ac:dyDescent="0.25">
      <c r="A201" t="s">
        <v>27</v>
      </c>
      <c r="B201" s="1">
        <v>37125</v>
      </c>
      <c r="C201" s="6">
        <f t="shared" si="30"/>
        <v>2001</v>
      </c>
      <c r="D201">
        <v>89.7</v>
      </c>
      <c r="E201">
        <v>71.7</v>
      </c>
      <c r="F201">
        <v>80.3</v>
      </c>
      <c r="G201" s="2">
        <f t="shared" si="31"/>
        <v>1</v>
      </c>
      <c r="H201">
        <v>90.8</v>
      </c>
      <c r="I201">
        <v>71.7</v>
      </c>
      <c r="J201">
        <v>80.3</v>
      </c>
      <c r="K201">
        <v>55.2</v>
      </c>
      <c r="L201">
        <v>43.9</v>
      </c>
      <c r="M201" s="2">
        <f t="shared" si="32"/>
        <v>1</v>
      </c>
      <c r="N201">
        <v>0</v>
      </c>
      <c r="O201" s="2">
        <f t="shared" si="33"/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s="2">
        <f t="shared" si="34"/>
        <v>0</v>
      </c>
      <c r="W201">
        <v>10.3</v>
      </c>
      <c r="X201" s="2">
        <f t="shared" si="35"/>
        <v>0</v>
      </c>
      <c r="Y201">
        <v>141.19999999999999</v>
      </c>
      <c r="Z201" s="2" t="str">
        <f>CHOOSE(MATCH(Y201,{0;11;80;111;161;191;241;281;341},1),"North","NorthEast","East","SouthEast","South","SouthWest","West","NorthWest","North")</f>
        <v>SouthEast</v>
      </c>
      <c r="AA201" s="4">
        <f>CHOOSE(MATCH(Z201,{"South";"SouthEast";"SouthWest";"North";"NorthEast";"East";"West";"NorthWest"},0),1,2,3,4,5,6,7,8)</f>
        <v>2</v>
      </c>
      <c r="AB201" s="2">
        <f t="shared" si="36"/>
        <v>0</v>
      </c>
      <c r="AC201">
        <v>1012</v>
      </c>
      <c r="AD201" t="s">
        <v>246</v>
      </c>
      <c r="AE201" s="2">
        <f t="shared" si="37"/>
        <v>1</v>
      </c>
      <c r="AF201" t="s">
        <v>376</v>
      </c>
      <c r="AG201" s="2">
        <f t="shared" si="38"/>
        <v>8</v>
      </c>
      <c r="AH201" s="2">
        <f t="shared" si="39"/>
        <v>1</v>
      </c>
      <c r="AI201" s="3">
        <v>130.00000000465661</v>
      </c>
      <c r="AJ201" s="2">
        <v>0</v>
      </c>
      <c r="AK201">
        <v>5</v>
      </c>
      <c r="AL201">
        <v>0</v>
      </c>
      <c r="AM201">
        <v>0</v>
      </c>
      <c r="AN201" s="2">
        <f>IF((2*G201+M201-O201+3*V201+2*AB201+2*AE201+2*AH201+3*AJ201)&gt;=7,1,0)</f>
        <v>0</v>
      </c>
    </row>
    <row r="202" spans="1:40" x14ac:dyDescent="0.25">
      <c r="A202" t="s">
        <v>27</v>
      </c>
      <c r="B202" s="1">
        <v>37126</v>
      </c>
      <c r="C202" s="6">
        <f t="shared" si="30"/>
        <v>2001</v>
      </c>
      <c r="D202">
        <v>86.1</v>
      </c>
      <c r="E202">
        <v>71.7</v>
      </c>
      <c r="F202">
        <v>78.8</v>
      </c>
      <c r="G202" s="2">
        <f t="shared" si="31"/>
        <v>1</v>
      </c>
      <c r="H202">
        <v>91.1</v>
      </c>
      <c r="I202">
        <v>71.7</v>
      </c>
      <c r="J202">
        <v>80.599999999999994</v>
      </c>
      <c r="K202">
        <v>61.4</v>
      </c>
      <c r="L202">
        <v>56.5</v>
      </c>
      <c r="M202" s="2">
        <f t="shared" si="32"/>
        <v>1</v>
      </c>
      <c r="N202">
        <v>0</v>
      </c>
      <c r="O202" s="2">
        <f t="shared" si="33"/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s="2">
        <f t="shared" si="34"/>
        <v>0</v>
      </c>
      <c r="W202">
        <v>8.1</v>
      </c>
      <c r="X202" s="2">
        <f t="shared" si="35"/>
        <v>0</v>
      </c>
      <c r="Y202">
        <v>247</v>
      </c>
      <c r="Z202" s="2" t="str">
        <f>CHOOSE(MATCH(Y202,{0;11;80;111;161;191;241;281;341},1),"North","NorthEast","East","SouthEast","South","SouthWest","West","NorthWest","North")</f>
        <v>West</v>
      </c>
      <c r="AA202" s="4">
        <f>CHOOSE(MATCH(Z202,{"South";"SouthEast";"SouthWest";"North";"NorthEast";"East";"West";"NorthWest"},0),1,2,3,4,5,6,7,8)</f>
        <v>7</v>
      </c>
      <c r="AB202" s="2">
        <f t="shared" si="36"/>
        <v>0</v>
      </c>
      <c r="AC202">
        <v>1010.1</v>
      </c>
      <c r="AD202" t="s">
        <v>133</v>
      </c>
      <c r="AE202" s="2">
        <f t="shared" si="37"/>
        <v>1</v>
      </c>
      <c r="AF202" t="s">
        <v>377</v>
      </c>
      <c r="AG202" s="2">
        <f t="shared" si="38"/>
        <v>8</v>
      </c>
      <c r="AH202" s="2">
        <f t="shared" si="39"/>
        <v>1</v>
      </c>
      <c r="AI202" s="3">
        <v>521.00000000093132</v>
      </c>
      <c r="AJ202" s="2">
        <v>1</v>
      </c>
      <c r="AK202">
        <v>0</v>
      </c>
      <c r="AL202">
        <v>0.2</v>
      </c>
      <c r="AM202">
        <v>0</v>
      </c>
      <c r="AN202" s="2">
        <f>IF((2*G202+M202-O202+3*V202+2*AB202+2*AE202+2*AH202+3*AJ202)&gt;=7,1,0)</f>
        <v>1</v>
      </c>
    </row>
    <row r="203" spans="1:40" x14ac:dyDescent="0.25">
      <c r="A203" t="s">
        <v>27</v>
      </c>
      <c r="B203" s="1">
        <v>37126</v>
      </c>
      <c r="C203" s="6">
        <f t="shared" si="30"/>
        <v>2001</v>
      </c>
      <c r="D203">
        <v>86.1</v>
      </c>
      <c r="E203">
        <v>71.7</v>
      </c>
      <c r="F203">
        <v>78.8</v>
      </c>
      <c r="G203" s="2">
        <f t="shared" si="31"/>
        <v>1</v>
      </c>
      <c r="H203">
        <v>91.1</v>
      </c>
      <c r="I203">
        <v>71.7</v>
      </c>
      <c r="J203">
        <v>80.599999999999994</v>
      </c>
      <c r="K203">
        <v>61.4</v>
      </c>
      <c r="L203">
        <v>56.5</v>
      </c>
      <c r="M203" s="2">
        <f t="shared" si="32"/>
        <v>1</v>
      </c>
      <c r="N203">
        <v>0</v>
      </c>
      <c r="O203" s="2">
        <f t="shared" si="33"/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s="2">
        <f t="shared" si="34"/>
        <v>0</v>
      </c>
      <c r="W203">
        <v>8.1</v>
      </c>
      <c r="X203" s="2">
        <f t="shared" si="35"/>
        <v>0</v>
      </c>
      <c r="Y203">
        <v>247</v>
      </c>
      <c r="Z203" s="2" t="str">
        <f>CHOOSE(MATCH(Y203,{0;11;80;111;161;191;241;281;341},1),"North","NorthEast","East","SouthEast","South","SouthWest","West","NorthWest","North")</f>
        <v>West</v>
      </c>
      <c r="AA203" s="4">
        <f>CHOOSE(MATCH(Z203,{"South";"SouthEast";"SouthWest";"North";"NorthEast";"East";"West";"NorthWest"},0),1,2,3,4,5,6,7,8)</f>
        <v>7</v>
      </c>
      <c r="AB203" s="2">
        <f t="shared" si="36"/>
        <v>0</v>
      </c>
      <c r="AC203">
        <v>1010.1</v>
      </c>
      <c r="AD203" t="s">
        <v>378</v>
      </c>
      <c r="AE203" s="2">
        <f t="shared" si="37"/>
        <v>0</v>
      </c>
      <c r="AF203" t="s">
        <v>379</v>
      </c>
      <c r="AG203" s="2">
        <f t="shared" si="38"/>
        <v>8</v>
      </c>
      <c r="AH203" s="2">
        <f t="shared" si="39"/>
        <v>1</v>
      </c>
      <c r="AI203" s="3">
        <v>132.00000000069849</v>
      </c>
      <c r="AJ203" s="2">
        <v>0</v>
      </c>
      <c r="AK203">
        <v>0</v>
      </c>
      <c r="AL203">
        <v>3</v>
      </c>
      <c r="AM203">
        <v>0</v>
      </c>
      <c r="AN203" s="2">
        <f>IF((2*G203+M203-O203+3*V203+2*AB203+2*AE203+2*AH203+3*AJ203)&gt;=7,1,0)</f>
        <v>0</v>
      </c>
    </row>
    <row r="204" spans="1:40" x14ac:dyDescent="0.25">
      <c r="A204" t="s">
        <v>27</v>
      </c>
      <c r="B204" s="1">
        <v>37127</v>
      </c>
      <c r="C204" s="6">
        <f t="shared" si="30"/>
        <v>2001</v>
      </c>
      <c r="D204">
        <v>84.3</v>
      </c>
      <c r="E204">
        <v>71.7</v>
      </c>
      <c r="F204">
        <v>78.599999999999994</v>
      </c>
      <c r="G204" s="2">
        <f t="shared" si="31"/>
        <v>1</v>
      </c>
      <c r="H204">
        <v>89.8</v>
      </c>
      <c r="I204">
        <v>71.7</v>
      </c>
      <c r="J204">
        <v>80.5</v>
      </c>
      <c r="K204">
        <v>69.3</v>
      </c>
      <c r="L204">
        <v>73.7</v>
      </c>
      <c r="M204" s="2">
        <f t="shared" si="32"/>
        <v>0</v>
      </c>
      <c r="N204">
        <v>0</v>
      </c>
      <c r="O204" s="2">
        <f t="shared" si="33"/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s="2">
        <f t="shared" si="34"/>
        <v>0</v>
      </c>
      <c r="W204">
        <v>15</v>
      </c>
      <c r="X204" s="2">
        <f t="shared" si="35"/>
        <v>0</v>
      </c>
      <c r="Y204">
        <v>298</v>
      </c>
      <c r="Z204" s="2" t="str">
        <f>CHOOSE(MATCH(Y204,{0;11;80;111;161;191;241;281;341},1),"North","NorthEast","East","SouthEast","South","SouthWest","West","NorthWest","North")</f>
        <v>NorthWest</v>
      </c>
      <c r="AA204" s="4">
        <f>CHOOSE(MATCH(Z204,{"South";"SouthEast";"SouthWest";"North";"NorthEast";"East";"West";"NorthWest"},0),1,2,3,4,5,6,7,8)</f>
        <v>8</v>
      </c>
      <c r="AB204" s="2">
        <f t="shared" si="36"/>
        <v>1</v>
      </c>
      <c r="AC204">
        <v>1010.3</v>
      </c>
      <c r="AD204" t="s">
        <v>380</v>
      </c>
      <c r="AE204" s="2">
        <f t="shared" si="37"/>
        <v>0</v>
      </c>
      <c r="AF204" t="s">
        <v>381</v>
      </c>
      <c r="AG204" s="2">
        <f t="shared" si="38"/>
        <v>8</v>
      </c>
      <c r="AH204" s="2">
        <f t="shared" si="39"/>
        <v>1</v>
      </c>
      <c r="AI204" s="3">
        <v>701.00000000093132</v>
      </c>
      <c r="AJ204" s="2">
        <v>1</v>
      </c>
      <c r="AK204">
        <v>0.5</v>
      </c>
      <c r="AL204">
        <v>0</v>
      </c>
      <c r="AM204">
        <v>0</v>
      </c>
      <c r="AN204" s="2">
        <f>IF((2*G204+M204-O204+3*V204+2*AB204+2*AE204+2*AH204+3*AJ204)&gt;=7,1,0)</f>
        <v>1</v>
      </c>
    </row>
    <row r="205" spans="1:40" x14ac:dyDescent="0.25">
      <c r="A205" t="s">
        <v>27</v>
      </c>
      <c r="B205" s="1">
        <v>37130</v>
      </c>
      <c r="C205" s="6">
        <f t="shared" si="30"/>
        <v>2001</v>
      </c>
      <c r="D205">
        <v>82.5</v>
      </c>
      <c r="E205">
        <v>77.099999999999994</v>
      </c>
      <c r="F205">
        <v>80.2</v>
      </c>
      <c r="G205" s="2">
        <f t="shared" si="31"/>
        <v>1</v>
      </c>
      <c r="H205">
        <v>84.8</v>
      </c>
      <c r="I205">
        <v>77.099999999999994</v>
      </c>
      <c r="J205">
        <v>81.099999999999994</v>
      </c>
      <c r="K205">
        <v>63.8</v>
      </c>
      <c r="L205">
        <v>57.5</v>
      </c>
      <c r="M205" s="2">
        <f t="shared" si="32"/>
        <v>1</v>
      </c>
      <c r="N205">
        <v>0</v>
      </c>
      <c r="O205" s="2">
        <f t="shared" si="33"/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s="2">
        <f t="shared" si="34"/>
        <v>0</v>
      </c>
      <c r="W205">
        <v>21.9</v>
      </c>
      <c r="X205" s="2">
        <f t="shared" si="35"/>
        <v>1</v>
      </c>
      <c r="Y205">
        <v>292.7</v>
      </c>
      <c r="Z205" s="2" t="str">
        <f>CHOOSE(MATCH(Y205,{0;11;80;111;161;191;241;281;341},1),"North","NorthEast","East","SouthEast","South","SouthWest","West","NorthWest","North")</f>
        <v>NorthWest</v>
      </c>
      <c r="AA205" s="4">
        <f>CHOOSE(MATCH(Z205,{"South";"SouthEast";"SouthWest";"North";"NorthEast";"East";"West";"NorthWest"},0),1,2,3,4,5,6,7,8)</f>
        <v>8</v>
      </c>
      <c r="AB205" s="2">
        <f t="shared" si="36"/>
        <v>1</v>
      </c>
      <c r="AC205">
        <v>1009</v>
      </c>
      <c r="AD205" t="s">
        <v>153</v>
      </c>
      <c r="AE205" s="2">
        <f t="shared" si="37"/>
        <v>1</v>
      </c>
      <c r="AF205" t="s">
        <v>382</v>
      </c>
      <c r="AG205" s="2">
        <f t="shared" si="38"/>
        <v>8</v>
      </c>
      <c r="AH205" s="2">
        <f t="shared" si="39"/>
        <v>1</v>
      </c>
      <c r="AI205" s="3">
        <v>304.99999999883579</v>
      </c>
      <c r="AJ205" s="2">
        <v>0</v>
      </c>
      <c r="AK205">
        <v>0</v>
      </c>
      <c r="AL205">
        <v>20</v>
      </c>
      <c r="AM205">
        <v>0</v>
      </c>
      <c r="AN205" s="2">
        <f>IF((2*G205+M205-O205+3*V205+2*AB205+2*AE205+2*AH205+3*AJ205)&gt;=7,1,0)</f>
        <v>1</v>
      </c>
    </row>
    <row r="206" spans="1:40" x14ac:dyDescent="0.25">
      <c r="A206" t="s">
        <v>27</v>
      </c>
      <c r="B206" s="1">
        <v>37130</v>
      </c>
      <c r="C206" s="6">
        <f t="shared" si="30"/>
        <v>2001</v>
      </c>
      <c r="D206">
        <v>82.5</v>
      </c>
      <c r="E206">
        <v>77.099999999999994</v>
      </c>
      <c r="F206">
        <v>80.2</v>
      </c>
      <c r="G206" s="2">
        <f t="shared" si="31"/>
        <v>1</v>
      </c>
      <c r="H206">
        <v>84.8</v>
      </c>
      <c r="I206">
        <v>77.099999999999994</v>
      </c>
      <c r="J206">
        <v>81.099999999999994</v>
      </c>
      <c r="K206">
        <v>63.8</v>
      </c>
      <c r="L206">
        <v>57.5</v>
      </c>
      <c r="M206" s="2">
        <f t="shared" si="32"/>
        <v>1</v>
      </c>
      <c r="N206">
        <v>0</v>
      </c>
      <c r="O206" s="2">
        <f t="shared" si="33"/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s="2">
        <f t="shared" si="34"/>
        <v>0</v>
      </c>
      <c r="W206">
        <v>21.9</v>
      </c>
      <c r="X206" s="2">
        <f t="shared" si="35"/>
        <v>1</v>
      </c>
      <c r="Y206">
        <v>292.7</v>
      </c>
      <c r="Z206" s="2" t="str">
        <f>CHOOSE(MATCH(Y206,{0;11;80;111;161;191;241;281;341},1),"North","NorthEast","East","SouthEast","South","SouthWest","West","NorthWest","North")</f>
        <v>NorthWest</v>
      </c>
      <c r="AA206" s="4">
        <f>CHOOSE(MATCH(Z206,{"South";"SouthEast";"SouthWest";"North";"NorthEast";"East";"West";"NorthWest"},0),1,2,3,4,5,6,7,8)</f>
        <v>8</v>
      </c>
      <c r="AB206" s="2">
        <f t="shared" si="36"/>
        <v>1</v>
      </c>
      <c r="AC206">
        <v>1009</v>
      </c>
      <c r="AD206" t="s">
        <v>248</v>
      </c>
      <c r="AE206" s="2">
        <f t="shared" si="37"/>
        <v>1</v>
      </c>
      <c r="AF206" t="s">
        <v>383</v>
      </c>
      <c r="AG206" s="2">
        <f t="shared" si="38"/>
        <v>8</v>
      </c>
      <c r="AH206" s="2">
        <f t="shared" si="39"/>
        <v>1</v>
      </c>
      <c r="AI206" s="3">
        <v>1055.999999995111</v>
      </c>
      <c r="AJ206" s="2">
        <v>1</v>
      </c>
      <c r="AK206">
        <v>20</v>
      </c>
      <c r="AL206">
        <v>0</v>
      </c>
      <c r="AM206">
        <v>0</v>
      </c>
      <c r="AN206" s="2">
        <f>IF((2*G206+M206-O206+3*V206+2*AB206+2*AE206+2*AH206+3*AJ206)&gt;=7,1,0)</f>
        <v>1</v>
      </c>
    </row>
    <row r="207" spans="1:40" x14ac:dyDescent="0.25">
      <c r="A207" t="s">
        <v>27</v>
      </c>
      <c r="B207" s="1">
        <v>37132</v>
      </c>
      <c r="C207" s="6">
        <f t="shared" si="30"/>
        <v>2001</v>
      </c>
      <c r="D207">
        <v>84.3</v>
      </c>
      <c r="E207">
        <v>73.5</v>
      </c>
      <c r="F207">
        <v>79.8</v>
      </c>
      <c r="G207" s="2">
        <f t="shared" si="31"/>
        <v>1</v>
      </c>
      <c r="H207">
        <v>89.8</v>
      </c>
      <c r="I207">
        <v>73.5</v>
      </c>
      <c r="J207">
        <v>81.099999999999994</v>
      </c>
      <c r="K207">
        <v>65.900000000000006</v>
      </c>
      <c r="L207">
        <v>62.9</v>
      </c>
      <c r="M207" s="2">
        <f t="shared" si="32"/>
        <v>1</v>
      </c>
      <c r="N207">
        <v>0</v>
      </c>
      <c r="O207" s="2">
        <f t="shared" si="33"/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s="2">
        <f t="shared" si="34"/>
        <v>0</v>
      </c>
      <c r="W207">
        <v>16.100000000000001</v>
      </c>
      <c r="X207" s="2">
        <f t="shared" si="35"/>
        <v>1</v>
      </c>
      <c r="Y207">
        <v>295.60000000000002</v>
      </c>
      <c r="Z207" s="2" t="str">
        <f>CHOOSE(MATCH(Y207,{0;11;80;111;161;191;241;281;341},1),"North","NorthEast","East","SouthEast","South","SouthWest","West","NorthWest","North")</f>
        <v>NorthWest</v>
      </c>
      <c r="AA207" s="4">
        <f>CHOOSE(MATCH(Z207,{"South";"SouthEast";"SouthWest";"North";"NorthEast";"East";"West";"NorthWest"},0),1,2,3,4,5,6,7,8)</f>
        <v>8</v>
      </c>
      <c r="AB207" s="2">
        <f t="shared" si="36"/>
        <v>1</v>
      </c>
      <c r="AC207">
        <v>1008.2</v>
      </c>
      <c r="AD207" t="s">
        <v>384</v>
      </c>
      <c r="AE207" s="2">
        <f t="shared" si="37"/>
        <v>1</v>
      </c>
      <c r="AF207" t="s">
        <v>385</v>
      </c>
      <c r="AG207" s="2">
        <f t="shared" si="38"/>
        <v>8</v>
      </c>
      <c r="AH207" s="2">
        <f t="shared" si="39"/>
        <v>1</v>
      </c>
      <c r="AI207" s="3">
        <v>3131.0000000009309</v>
      </c>
      <c r="AJ207" s="2">
        <v>1</v>
      </c>
      <c r="AK207">
        <v>0</v>
      </c>
      <c r="AL207">
        <v>4</v>
      </c>
      <c r="AM207">
        <v>0</v>
      </c>
      <c r="AN207" s="2">
        <f>IF((2*G207+M207-O207+3*V207+2*AB207+2*AE207+2*AH207+3*AJ207)&gt;=7,1,0)</f>
        <v>1</v>
      </c>
    </row>
    <row r="208" spans="1:40" x14ac:dyDescent="0.25">
      <c r="A208" t="s">
        <v>27</v>
      </c>
      <c r="B208" s="1">
        <v>37133</v>
      </c>
      <c r="C208" s="6">
        <f t="shared" si="30"/>
        <v>2001</v>
      </c>
      <c r="D208">
        <v>86.1</v>
      </c>
      <c r="E208">
        <v>71.7</v>
      </c>
      <c r="F208">
        <v>78.3</v>
      </c>
      <c r="G208" s="2">
        <f t="shared" si="31"/>
        <v>1</v>
      </c>
      <c r="H208">
        <v>91.1</v>
      </c>
      <c r="I208">
        <v>71.7</v>
      </c>
      <c r="J208">
        <v>80.5</v>
      </c>
      <c r="K208">
        <v>64.2</v>
      </c>
      <c r="L208">
        <v>64</v>
      </c>
      <c r="M208" s="2">
        <f t="shared" si="32"/>
        <v>1</v>
      </c>
      <c r="N208">
        <v>0</v>
      </c>
      <c r="O208" s="2">
        <f t="shared" si="33"/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s="2">
        <f t="shared" si="34"/>
        <v>0</v>
      </c>
      <c r="W208">
        <v>18.3</v>
      </c>
      <c r="X208" s="2">
        <f t="shared" si="35"/>
        <v>1</v>
      </c>
      <c r="Y208">
        <v>284.89999999999998</v>
      </c>
      <c r="Z208" s="2" t="str">
        <f>CHOOSE(MATCH(Y208,{0;11;80;111;161;191;241;281;341},1),"North","NorthEast","East","SouthEast","South","SouthWest","West","NorthWest","North")</f>
        <v>NorthWest</v>
      </c>
      <c r="AA208" s="4">
        <f>CHOOSE(MATCH(Z208,{"South";"SouthEast";"SouthWest";"North";"NorthEast";"East";"West";"NorthWest"},0),1,2,3,4,5,6,7,8)</f>
        <v>8</v>
      </c>
      <c r="AB208" s="2">
        <f t="shared" si="36"/>
        <v>1</v>
      </c>
      <c r="AC208">
        <v>1007.2</v>
      </c>
      <c r="AD208" t="s">
        <v>386</v>
      </c>
      <c r="AE208" s="2">
        <f t="shared" si="37"/>
        <v>0</v>
      </c>
      <c r="AF208" t="s">
        <v>387</v>
      </c>
      <c r="AG208" s="2">
        <f t="shared" si="38"/>
        <v>8</v>
      </c>
      <c r="AH208" s="2">
        <f t="shared" si="39"/>
        <v>1</v>
      </c>
      <c r="AI208" s="3">
        <v>830.99999999511056</v>
      </c>
      <c r="AJ208" s="2">
        <v>1</v>
      </c>
      <c r="AK208">
        <v>10</v>
      </c>
      <c r="AL208">
        <v>0</v>
      </c>
      <c r="AM208">
        <v>0</v>
      </c>
      <c r="AN208" s="2">
        <f>IF((2*G208+M208-O208+3*V208+2*AB208+2*AE208+2*AH208+3*AJ208)&gt;=7,1,0)</f>
        <v>1</v>
      </c>
    </row>
    <row r="209" spans="1:40" x14ac:dyDescent="0.25">
      <c r="A209" t="s">
        <v>27</v>
      </c>
      <c r="B209" s="1">
        <v>37137</v>
      </c>
      <c r="C209" s="6">
        <f t="shared" si="30"/>
        <v>2001</v>
      </c>
      <c r="D209">
        <v>86.1</v>
      </c>
      <c r="E209">
        <v>75.3</v>
      </c>
      <c r="F209">
        <v>80.8</v>
      </c>
      <c r="G209" s="2">
        <f t="shared" si="31"/>
        <v>1</v>
      </c>
      <c r="H209">
        <v>90.8</v>
      </c>
      <c r="I209">
        <v>75.3</v>
      </c>
      <c r="J209">
        <v>82.3</v>
      </c>
      <c r="K209">
        <v>62.6</v>
      </c>
      <c r="L209">
        <v>54.2</v>
      </c>
      <c r="M209" s="2">
        <f t="shared" si="32"/>
        <v>1</v>
      </c>
      <c r="N209">
        <v>0</v>
      </c>
      <c r="O209" s="2">
        <f t="shared" si="33"/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s="2">
        <f t="shared" si="34"/>
        <v>0</v>
      </c>
      <c r="W209">
        <v>13.9</v>
      </c>
      <c r="X209" s="2">
        <f t="shared" si="35"/>
        <v>0</v>
      </c>
      <c r="Y209">
        <v>294.10000000000002</v>
      </c>
      <c r="Z209" s="2" t="str">
        <f>CHOOSE(MATCH(Y209,{0;11;80;111;161;191;241;281;341},1),"North","NorthEast","East","SouthEast","South","SouthWest","West","NorthWest","North")</f>
        <v>NorthWest</v>
      </c>
      <c r="AA209" s="4">
        <f>CHOOSE(MATCH(Z209,{"South";"SouthEast";"SouthWest";"North";"NorthEast";"East";"West";"NorthWest"},0),1,2,3,4,5,6,7,8)</f>
        <v>8</v>
      </c>
      <c r="AB209" s="2">
        <f t="shared" si="36"/>
        <v>1</v>
      </c>
      <c r="AC209">
        <v>1012.5</v>
      </c>
      <c r="AD209" t="s">
        <v>278</v>
      </c>
      <c r="AE209" s="2">
        <f t="shared" si="37"/>
        <v>1</v>
      </c>
      <c r="AF209" t="s">
        <v>388</v>
      </c>
      <c r="AG209" s="2">
        <f t="shared" si="38"/>
        <v>9</v>
      </c>
      <c r="AH209" s="2">
        <f t="shared" si="39"/>
        <v>0</v>
      </c>
      <c r="AI209" s="3">
        <v>381.00000000558788</v>
      </c>
      <c r="AJ209" s="2">
        <v>1</v>
      </c>
      <c r="AK209">
        <v>0</v>
      </c>
      <c r="AL209">
        <v>1.5</v>
      </c>
      <c r="AM209">
        <v>0</v>
      </c>
      <c r="AN209" s="2">
        <f>IF((2*G209+M209-O209+3*V209+2*AB209+2*AE209+2*AH209+3*AJ209)&gt;=7,1,0)</f>
        <v>1</v>
      </c>
    </row>
    <row r="210" spans="1:40" x14ac:dyDescent="0.25">
      <c r="A210" t="s">
        <v>27</v>
      </c>
      <c r="B210" s="1">
        <v>37138</v>
      </c>
      <c r="C210" s="6">
        <f t="shared" si="30"/>
        <v>2001</v>
      </c>
      <c r="D210">
        <v>84.3</v>
      </c>
      <c r="E210">
        <v>73.5</v>
      </c>
      <c r="F210">
        <v>79.099999999999994</v>
      </c>
      <c r="G210" s="2">
        <f t="shared" si="31"/>
        <v>1</v>
      </c>
      <c r="H210">
        <v>91.1</v>
      </c>
      <c r="I210">
        <v>73.5</v>
      </c>
      <c r="J210">
        <v>81.3</v>
      </c>
      <c r="K210">
        <v>65.3</v>
      </c>
      <c r="L210">
        <v>63.7</v>
      </c>
      <c r="M210" s="2">
        <f t="shared" si="32"/>
        <v>1</v>
      </c>
      <c r="N210">
        <v>0</v>
      </c>
      <c r="O210" s="2">
        <f t="shared" si="33"/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s="2">
        <f t="shared" si="34"/>
        <v>0</v>
      </c>
      <c r="W210">
        <v>19.5</v>
      </c>
      <c r="X210" s="2">
        <f t="shared" si="35"/>
        <v>1</v>
      </c>
      <c r="Y210">
        <v>299.89999999999998</v>
      </c>
      <c r="Z210" s="2" t="str">
        <f>CHOOSE(MATCH(Y210,{0;11;80;111;161;191;241;281;341},1),"North","NorthEast","East","SouthEast","South","SouthWest","West","NorthWest","North")</f>
        <v>NorthWest</v>
      </c>
      <c r="AA210" s="4">
        <f>CHOOSE(MATCH(Z210,{"South";"SouthEast";"SouthWest";"North";"NorthEast";"East";"West";"NorthWest"},0),1,2,3,4,5,6,7,8)</f>
        <v>8</v>
      </c>
      <c r="AB210" s="2">
        <f t="shared" si="36"/>
        <v>1</v>
      </c>
      <c r="AC210">
        <v>1013.5</v>
      </c>
      <c r="AD210" t="s">
        <v>389</v>
      </c>
      <c r="AE210" s="2">
        <f t="shared" si="37"/>
        <v>1</v>
      </c>
      <c r="AF210" t="s">
        <v>390</v>
      </c>
      <c r="AG210" s="2">
        <f t="shared" si="38"/>
        <v>9</v>
      </c>
      <c r="AH210" s="2">
        <f t="shared" si="39"/>
        <v>0</v>
      </c>
      <c r="AI210" s="3">
        <v>105.00000000698491</v>
      </c>
      <c r="AJ210" s="2">
        <v>0</v>
      </c>
      <c r="AK210">
        <v>0</v>
      </c>
      <c r="AL210">
        <v>1</v>
      </c>
      <c r="AM210">
        <v>0</v>
      </c>
      <c r="AN210" s="2">
        <f>IF((2*G210+M210-O210+3*V210+2*AB210+2*AE210+2*AH210+3*AJ210)&gt;=7,1,0)</f>
        <v>0</v>
      </c>
    </row>
    <row r="211" spans="1:40" x14ac:dyDescent="0.25">
      <c r="A211" t="s">
        <v>27</v>
      </c>
      <c r="B211" s="1">
        <v>37140</v>
      </c>
      <c r="C211" s="6">
        <f t="shared" si="30"/>
        <v>2001</v>
      </c>
      <c r="D211">
        <v>86.1</v>
      </c>
      <c r="E211">
        <v>73.5</v>
      </c>
      <c r="F211">
        <v>79.5</v>
      </c>
      <c r="G211" s="2">
        <f t="shared" si="31"/>
        <v>1</v>
      </c>
      <c r="H211">
        <v>89.6</v>
      </c>
      <c r="I211">
        <v>73.5</v>
      </c>
      <c r="J211">
        <v>80.400000000000006</v>
      </c>
      <c r="K211">
        <v>64.2</v>
      </c>
      <c r="L211">
        <v>60.2</v>
      </c>
      <c r="M211" s="2">
        <f t="shared" si="32"/>
        <v>1</v>
      </c>
      <c r="N211">
        <v>0</v>
      </c>
      <c r="O211" s="2">
        <f t="shared" si="33"/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s="2">
        <f t="shared" si="34"/>
        <v>0</v>
      </c>
      <c r="W211">
        <v>28.9</v>
      </c>
      <c r="X211" s="2">
        <f t="shared" si="35"/>
        <v>1</v>
      </c>
      <c r="Y211">
        <v>269.39999999999998</v>
      </c>
      <c r="Z211" s="2" t="str">
        <f>CHOOSE(MATCH(Y211,{0;11;80;111;161;191;241;281;341},1),"North","NorthEast","East","SouthEast","South","SouthWest","West","NorthWest","North")</f>
        <v>West</v>
      </c>
      <c r="AA211" s="4">
        <f>CHOOSE(MATCH(Z211,{"South";"SouthEast";"SouthWest";"North";"NorthEast";"East";"West";"NorthWest"},0),1,2,3,4,5,6,7,8)</f>
        <v>7</v>
      </c>
      <c r="AB211" s="2">
        <f t="shared" si="36"/>
        <v>0</v>
      </c>
      <c r="AC211">
        <v>1005.6</v>
      </c>
      <c r="AD211" t="s">
        <v>129</v>
      </c>
      <c r="AE211" s="2">
        <f t="shared" si="37"/>
        <v>1</v>
      </c>
      <c r="AF211" t="s">
        <v>391</v>
      </c>
      <c r="AG211" s="2">
        <f t="shared" si="38"/>
        <v>9</v>
      </c>
      <c r="AH211" s="2">
        <f t="shared" si="39"/>
        <v>0</v>
      </c>
      <c r="AI211" s="3">
        <v>240.00000000698489</v>
      </c>
      <c r="AJ211" s="2">
        <v>0</v>
      </c>
      <c r="AK211">
        <v>0</v>
      </c>
      <c r="AL211">
        <v>20</v>
      </c>
      <c r="AM211">
        <v>0</v>
      </c>
      <c r="AN211" s="2">
        <f>IF((2*G211+M211-O211+3*V211+2*AB211+2*AE211+2*AH211+3*AJ211)&gt;=7,1,0)</f>
        <v>0</v>
      </c>
    </row>
    <row r="212" spans="1:40" x14ac:dyDescent="0.25">
      <c r="A212" t="s">
        <v>27</v>
      </c>
      <c r="B212" s="1">
        <v>37141</v>
      </c>
      <c r="C212" s="6">
        <f t="shared" si="30"/>
        <v>2001</v>
      </c>
      <c r="D212">
        <v>82.5</v>
      </c>
      <c r="E212">
        <v>73.5</v>
      </c>
      <c r="F212">
        <v>77.5</v>
      </c>
      <c r="G212" s="2">
        <f t="shared" si="31"/>
        <v>1</v>
      </c>
      <c r="H212">
        <v>81.8</v>
      </c>
      <c r="I212">
        <v>73.5</v>
      </c>
      <c r="J212">
        <v>77.2</v>
      </c>
      <c r="K212">
        <v>53.4</v>
      </c>
      <c r="L212">
        <v>43.8</v>
      </c>
      <c r="M212" s="2">
        <f t="shared" si="32"/>
        <v>1</v>
      </c>
      <c r="N212">
        <v>0</v>
      </c>
      <c r="O212" s="2">
        <f t="shared" si="33"/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s="2">
        <f t="shared" si="34"/>
        <v>0</v>
      </c>
      <c r="W212">
        <v>25.3</v>
      </c>
      <c r="X212" s="2">
        <f t="shared" si="35"/>
        <v>1</v>
      </c>
      <c r="Y212">
        <v>277.5</v>
      </c>
      <c r="Z212" s="2" t="str">
        <f>CHOOSE(MATCH(Y212,{0;11;80;111;161;191;241;281;341},1),"North","NorthEast","East","SouthEast","South","SouthWest","West","NorthWest","North")</f>
        <v>West</v>
      </c>
      <c r="AA212" s="4">
        <f>CHOOSE(MATCH(Z212,{"South";"SouthEast";"SouthWest";"North";"NorthEast";"East";"West";"NorthWest"},0),1,2,3,4,5,6,7,8)</f>
        <v>7</v>
      </c>
      <c r="AB212" s="2">
        <f t="shared" si="36"/>
        <v>0</v>
      </c>
      <c r="AC212">
        <v>1008.4</v>
      </c>
      <c r="AD212" t="s">
        <v>233</v>
      </c>
      <c r="AE212" s="2">
        <f t="shared" si="37"/>
        <v>1</v>
      </c>
      <c r="AF212" t="s">
        <v>392</v>
      </c>
      <c r="AG212" s="2">
        <f t="shared" si="38"/>
        <v>9</v>
      </c>
      <c r="AH212" s="2">
        <f t="shared" si="39"/>
        <v>0</v>
      </c>
      <c r="AI212" s="3">
        <v>240.9999999997672</v>
      </c>
      <c r="AJ212" s="2">
        <v>0</v>
      </c>
      <c r="AK212">
        <v>0</v>
      </c>
      <c r="AL212">
        <v>4</v>
      </c>
      <c r="AM212">
        <v>0</v>
      </c>
      <c r="AN212" s="2">
        <f>IF((2*G212+M212-O212+3*V212+2*AB212+2*AE212+2*AH212+3*AJ212)&gt;=7,1,0)</f>
        <v>0</v>
      </c>
    </row>
    <row r="213" spans="1:40" x14ac:dyDescent="0.25">
      <c r="A213" t="s">
        <v>27</v>
      </c>
      <c r="B213" s="1">
        <v>37143</v>
      </c>
      <c r="C213" s="6">
        <f t="shared" si="30"/>
        <v>2001</v>
      </c>
      <c r="D213">
        <v>80.7</v>
      </c>
      <c r="E213">
        <v>66.3</v>
      </c>
      <c r="F213">
        <v>73.900000000000006</v>
      </c>
      <c r="G213" s="2">
        <f t="shared" si="31"/>
        <v>1</v>
      </c>
      <c r="H213">
        <v>82.4</v>
      </c>
      <c r="I213">
        <v>66.3</v>
      </c>
      <c r="J213">
        <v>74.099999999999994</v>
      </c>
      <c r="K213">
        <v>60.6</v>
      </c>
      <c r="L213">
        <v>63.5</v>
      </c>
      <c r="M213" s="2">
        <f t="shared" si="32"/>
        <v>1</v>
      </c>
      <c r="N213">
        <v>0</v>
      </c>
      <c r="O213" s="2">
        <f t="shared" si="33"/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 s="2">
        <f t="shared" si="34"/>
        <v>0</v>
      </c>
      <c r="W213">
        <v>10.3</v>
      </c>
      <c r="X213" s="2">
        <f t="shared" si="35"/>
        <v>0</v>
      </c>
      <c r="Y213">
        <v>113.1</v>
      </c>
      <c r="Z213" s="2" t="str">
        <f>CHOOSE(MATCH(Y213,{0;11;80;111;161;191;241;281;341},1),"North","NorthEast","East","SouthEast","South","SouthWest","West","NorthWest","North")</f>
        <v>SouthEast</v>
      </c>
      <c r="AA213" s="4">
        <f>CHOOSE(MATCH(Z213,{"South";"SouthEast";"SouthWest";"North";"NorthEast";"East";"West";"NorthWest"},0),1,2,3,4,5,6,7,8)</f>
        <v>2</v>
      </c>
      <c r="AB213" s="2">
        <f t="shared" si="36"/>
        <v>0</v>
      </c>
      <c r="AC213">
        <v>1012.9</v>
      </c>
      <c r="AD213" t="s">
        <v>51</v>
      </c>
      <c r="AE213" s="2">
        <f t="shared" si="37"/>
        <v>1</v>
      </c>
      <c r="AF213" t="s">
        <v>393</v>
      </c>
      <c r="AG213" s="2">
        <f t="shared" si="38"/>
        <v>9</v>
      </c>
      <c r="AH213" s="2">
        <f t="shared" si="39"/>
        <v>0</v>
      </c>
      <c r="AI213" s="3">
        <v>936.00000000209548</v>
      </c>
      <c r="AJ213" s="2">
        <v>1</v>
      </c>
      <c r="AK213">
        <v>0</v>
      </c>
      <c r="AL213">
        <v>3</v>
      </c>
      <c r="AM213">
        <v>0</v>
      </c>
      <c r="AN213" s="2">
        <f>IF((2*G213+M213-O213+3*V213+2*AB213+2*AE213+2*AH213+3*AJ213)&gt;=7,1,0)</f>
        <v>1</v>
      </c>
    </row>
    <row r="214" spans="1:40" x14ac:dyDescent="0.25">
      <c r="A214" t="s">
        <v>27</v>
      </c>
      <c r="B214" s="1">
        <v>37145</v>
      </c>
      <c r="C214" s="6">
        <f t="shared" si="30"/>
        <v>2001</v>
      </c>
      <c r="D214">
        <v>87.9</v>
      </c>
      <c r="E214">
        <v>69.900000000000006</v>
      </c>
      <c r="F214">
        <v>78</v>
      </c>
      <c r="G214" s="2">
        <f t="shared" si="31"/>
        <v>1</v>
      </c>
      <c r="H214">
        <v>88.6</v>
      </c>
      <c r="I214">
        <v>69.900000000000006</v>
      </c>
      <c r="J214">
        <v>78.3</v>
      </c>
      <c r="K214">
        <v>61.5</v>
      </c>
      <c r="L214">
        <v>58.3</v>
      </c>
      <c r="M214" s="2">
        <f t="shared" si="32"/>
        <v>1</v>
      </c>
      <c r="N214">
        <v>0</v>
      </c>
      <c r="O214" s="2">
        <f t="shared" si="33"/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 s="2">
        <f t="shared" si="34"/>
        <v>0</v>
      </c>
      <c r="W214">
        <v>11.4</v>
      </c>
      <c r="X214" s="2">
        <f t="shared" si="35"/>
        <v>0</v>
      </c>
      <c r="Y214">
        <v>131.80000000000001</v>
      </c>
      <c r="Z214" s="2" t="str">
        <f>CHOOSE(MATCH(Y214,{0;11;80;111;161;191;241;281;341},1),"North","NorthEast","East","SouthEast","South","SouthWest","West","NorthWest","North")</f>
        <v>SouthEast</v>
      </c>
      <c r="AA214" s="4">
        <f>CHOOSE(MATCH(Z214,{"South";"SouthEast";"SouthWest";"North";"NorthEast";"East";"West";"NorthWest"},0),1,2,3,4,5,6,7,8)</f>
        <v>2</v>
      </c>
      <c r="AB214" s="2">
        <f t="shared" si="36"/>
        <v>0</v>
      </c>
      <c r="AC214">
        <v>1010.3</v>
      </c>
      <c r="AD214" t="s">
        <v>131</v>
      </c>
      <c r="AE214" s="2">
        <f t="shared" si="37"/>
        <v>0</v>
      </c>
      <c r="AF214" t="s">
        <v>394</v>
      </c>
      <c r="AG214" s="2">
        <f t="shared" si="38"/>
        <v>9</v>
      </c>
      <c r="AH214" s="2">
        <f t="shared" si="39"/>
        <v>0</v>
      </c>
      <c r="AI214" s="3">
        <v>280.00000000116421</v>
      </c>
      <c r="AJ214" s="2">
        <v>0</v>
      </c>
      <c r="AK214">
        <v>0</v>
      </c>
      <c r="AL214">
        <v>10</v>
      </c>
      <c r="AM214">
        <v>0</v>
      </c>
      <c r="AN214" s="2">
        <f>IF((2*G214+M214-O214+3*V214+2*AB214+2*AE214+2*AH214+3*AJ214)&gt;=7,1,0)</f>
        <v>0</v>
      </c>
    </row>
    <row r="215" spans="1:40" x14ac:dyDescent="0.25">
      <c r="A215" t="s">
        <v>27</v>
      </c>
      <c r="B215" s="1">
        <v>37145</v>
      </c>
      <c r="C215" s="6">
        <f t="shared" si="30"/>
        <v>2001</v>
      </c>
      <c r="D215">
        <v>87.9</v>
      </c>
      <c r="E215">
        <v>69.900000000000006</v>
      </c>
      <c r="F215">
        <v>78</v>
      </c>
      <c r="G215" s="2">
        <f t="shared" si="31"/>
        <v>1</v>
      </c>
      <c r="H215">
        <v>88.6</v>
      </c>
      <c r="I215">
        <v>69.900000000000006</v>
      </c>
      <c r="J215">
        <v>78.3</v>
      </c>
      <c r="K215">
        <v>61.5</v>
      </c>
      <c r="L215">
        <v>58.3</v>
      </c>
      <c r="M215" s="2">
        <f t="shared" si="32"/>
        <v>1</v>
      </c>
      <c r="N215">
        <v>0</v>
      </c>
      <c r="O215" s="2">
        <f t="shared" si="33"/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s="2">
        <f t="shared" si="34"/>
        <v>0</v>
      </c>
      <c r="W215">
        <v>11.4</v>
      </c>
      <c r="X215" s="2">
        <f t="shared" si="35"/>
        <v>0</v>
      </c>
      <c r="Y215">
        <v>131.80000000000001</v>
      </c>
      <c r="Z215" s="2" t="str">
        <f>CHOOSE(MATCH(Y215,{0;11;80;111;161;191;241;281;341},1),"North","NorthEast","East","SouthEast","South","SouthWest","West","NorthWest","North")</f>
        <v>SouthEast</v>
      </c>
      <c r="AA215" s="4">
        <f>CHOOSE(MATCH(Z215,{"South";"SouthEast";"SouthWest";"North";"NorthEast";"East";"West";"NorthWest"},0),1,2,3,4,5,6,7,8)</f>
        <v>2</v>
      </c>
      <c r="AB215" s="2">
        <f t="shared" si="36"/>
        <v>0</v>
      </c>
      <c r="AC215">
        <v>1010.3</v>
      </c>
      <c r="AD215" t="s">
        <v>395</v>
      </c>
      <c r="AE215" s="2">
        <f t="shared" si="37"/>
        <v>1</v>
      </c>
      <c r="AF215" t="s">
        <v>396</v>
      </c>
      <c r="AG215" s="2">
        <f t="shared" si="38"/>
        <v>9</v>
      </c>
      <c r="AH215" s="2">
        <f t="shared" si="39"/>
        <v>0</v>
      </c>
      <c r="AI215" s="3">
        <v>169.99999999883579</v>
      </c>
      <c r="AJ215" s="2">
        <v>0</v>
      </c>
      <c r="AK215">
        <v>0</v>
      </c>
      <c r="AL215">
        <v>10</v>
      </c>
      <c r="AM215">
        <v>0</v>
      </c>
      <c r="AN215" s="2">
        <f>IF((2*G215+M215-O215+3*V215+2*AB215+2*AE215+2*AH215+3*AJ215)&gt;=7,1,0)</f>
        <v>0</v>
      </c>
    </row>
    <row r="216" spans="1:40" x14ac:dyDescent="0.25">
      <c r="A216" t="s">
        <v>27</v>
      </c>
      <c r="B216" s="1">
        <v>37145</v>
      </c>
      <c r="C216" s="6">
        <f t="shared" si="30"/>
        <v>2001</v>
      </c>
      <c r="D216">
        <v>87.9</v>
      </c>
      <c r="E216">
        <v>69.900000000000006</v>
      </c>
      <c r="F216">
        <v>78</v>
      </c>
      <c r="G216" s="2">
        <f t="shared" si="31"/>
        <v>1</v>
      </c>
      <c r="H216">
        <v>88.6</v>
      </c>
      <c r="I216">
        <v>69.900000000000006</v>
      </c>
      <c r="J216">
        <v>78.3</v>
      </c>
      <c r="K216">
        <v>61.5</v>
      </c>
      <c r="L216">
        <v>58.3</v>
      </c>
      <c r="M216" s="2">
        <f t="shared" si="32"/>
        <v>1</v>
      </c>
      <c r="N216">
        <v>0</v>
      </c>
      <c r="O216" s="2">
        <f t="shared" si="33"/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s="2">
        <f t="shared" si="34"/>
        <v>0</v>
      </c>
      <c r="W216">
        <v>11.4</v>
      </c>
      <c r="X216" s="2">
        <f t="shared" si="35"/>
        <v>0</v>
      </c>
      <c r="Y216">
        <v>131.80000000000001</v>
      </c>
      <c r="Z216" s="2" t="str">
        <f>CHOOSE(MATCH(Y216,{0;11;80;111;161;191;241;281;341},1),"North","NorthEast","East","SouthEast","South","SouthWest","West","NorthWest","North")</f>
        <v>SouthEast</v>
      </c>
      <c r="AA216" s="4">
        <f>CHOOSE(MATCH(Z216,{"South";"SouthEast";"SouthWest";"North";"NorthEast";"East";"West";"NorthWest"},0),1,2,3,4,5,6,7,8)</f>
        <v>2</v>
      </c>
      <c r="AB216" s="2">
        <f t="shared" si="36"/>
        <v>0</v>
      </c>
      <c r="AC216">
        <v>1010.3</v>
      </c>
      <c r="AD216" t="s">
        <v>397</v>
      </c>
      <c r="AE216" s="2">
        <f t="shared" si="37"/>
        <v>1</v>
      </c>
      <c r="AF216" t="s">
        <v>398</v>
      </c>
      <c r="AG216" s="2">
        <f t="shared" si="38"/>
        <v>9</v>
      </c>
      <c r="AH216" s="2">
        <f t="shared" si="39"/>
        <v>0</v>
      </c>
      <c r="AI216" s="3">
        <v>200.00000000232831</v>
      </c>
      <c r="AJ216" s="2">
        <v>0</v>
      </c>
      <c r="AK216">
        <v>0</v>
      </c>
      <c r="AL216">
        <v>5</v>
      </c>
      <c r="AM216">
        <v>0</v>
      </c>
      <c r="AN216" s="2">
        <f>IF((2*G216+M216-O216+3*V216+2*AB216+2*AE216+2*AH216+3*AJ216)&gt;=7,1,0)</f>
        <v>0</v>
      </c>
    </row>
    <row r="217" spans="1:40" x14ac:dyDescent="0.25">
      <c r="A217" t="s">
        <v>27</v>
      </c>
      <c r="B217" s="1">
        <v>37146</v>
      </c>
      <c r="C217" s="6">
        <f t="shared" si="30"/>
        <v>2001</v>
      </c>
      <c r="D217">
        <v>78.900000000000006</v>
      </c>
      <c r="E217">
        <v>73.5</v>
      </c>
      <c r="F217">
        <v>76.2</v>
      </c>
      <c r="G217" s="2">
        <f t="shared" si="31"/>
        <v>1</v>
      </c>
      <c r="H217">
        <v>78.900000000000006</v>
      </c>
      <c r="I217">
        <v>73.5</v>
      </c>
      <c r="J217">
        <v>76.2</v>
      </c>
      <c r="K217">
        <v>59.6</v>
      </c>
      <c r="L217">
        <v>57.4</v>
      </c>
      <c r="M217" s="2">
        <f t="shared" si="32"/>
        <v>1</v>
      </c>
      <c r="N217">
        <v>0</v>
      </c>
      <c r="O217" s="2">
        <f t="shared" si="33"/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 s="2">
        <f t="shared" si="34"/>
        <v>0</v>
      </c>
      <c r="W217">
        <v>19.5</v>
      </c>
      <c r="X217" s="2">
        <f t="shared" si="35"/>
        <v>1</v>
      </c>
      <c r="Y217">
        <v>301.3</v>
      </c>
      <c r="Z217" s="2" t="str">
        <f>CHOOSE(MATCH(Y217,{0;11;80;111;161;191;241;281;341},1),"North","NorthEast","East","SouthEast","South","SouthWest","West","NorthWest","North")</f>
        <v>NorthWest</v>
      </c>
      <c r="AA217" s="4">
        <f>CHOOSE(MATCH(Z217,{"South";"SouthEast";"SouthWest";"North";"NorthEast";"East";"West";"NorthWest"},0),1,2,3,4,5,6,7,8)</f>
        <v>8</v>
      </c>
      <c r="AB217" s="2">
        <f t="shared" si="36"/>
        <v>1</v>
      </c>
      <c r="AC217">
        <v>1012.2</v>
      </c>
      <c r="AD217" t="s">
        <v>185</v>
      </c>
      <c r="AE217" s="2">
        <f t="shared" si="37"/>
        <v>1</v>
      </c>
      <c r="AF217" t="s">
        <v>399</v>
      </c>
      <c r="AG217" s="2">
        <f t="shared" si="38"/>
        <v>9</v>
      </c>
      <c r="AH217" s="2">
        <f t="shared" si="39"/>
        <v>0</v>
      </c>
      <c r="AI217" s="3">
        <v>260.9999999916181</v>
      </c>
      <c r="AJ217" s="2">
        <v>0</v>
      </c>
      <c r="AK217">
        <v>0</v>
      </c>
      <c r="AL217">
        <v>20</v>
      </c>
      <c r="AM217">
        <v>0</v>
      </c>
      <c r="AN217" s="2">
        <f>IF((2*G217+M217-O217+3*V217+2*AB217+2*AE217+2*AH217+3*AJ217)&gt;=7,1,0)</f>
        <v>0</v>
      </c>
    </row>
    <row r="218" spans="1:40" x14ac:dyDescent="0.25">
      <c r="A218" t="s">
        <v>27</v>
      </c>
      <c r="B218" s="1">
        <v>37148</v>
      </c>
      <c r="C218" s="6">
        <f t="shared" si="30"/>
        <v>2001</v>
      </c>
      <c r="D218">
        <v>77.099999999999994</v>
      </c>
      <c r="E218">
        <v>69.900000000000006</v>
      </c>
      <c r="F218">
        <v>74.400000000000006</v>
      </c>
      <c r="G218" s="2">
        <f t="shared" si="31"/>
        <v>1</v>
      </c>
      <c r="H218">
        <v>77.099999999999994</v>
      </c>
      <c r="I218">
        <v>69.900000000000006</v>
      </c>
      <c r="J218">
        <v>74.400000000000006</v>
      </c>
      <c r="K218">
        <v>55.7</v>
      </c>
      <c r="L218">
        <v>52.4</v>
      </c>
      <c r="M218" s="2">
        <f t="shared" si="32"/>
        <v>1</v>
      </c>
      <c r="N218">
        <v>0</v>
      </c>
      <c r="O218" s="2">
        <f t="shared" si="33"/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s="2">
        <f t="shared" si="34"/>
        <v>0</v>
      </c>
      <c r="W218">
        <v>15</v>
      </c>
      <c r="X218" s="2">
        <f t="shared" si="35"/>
        <v>0</v>
      </c>
      <c r="Y218">
        <v>298.10000000000002</v>
      </c>
      <c r="Z218" s="2" t="str">
        <f>CHOOSE(MATCH(Y218,{0;11;80;111;161;191;241;281;341},1),"North","NorthEast","East","SouthEast","South","SouthWest","West","NorthWest","North")</f>
        <v>NorthWest</v>
      </c>
      <c r="AA218" s="4">
        <f>CHOOSE(MATCH(Z218,{"South";"SouthEast";"SouthWest";"North";"NorthEast";"East";"West";"NorthWest"},0),1,2,3,4,5,6,7,8)</f>
        <v>8</v>
      </c>
      <c r="AB218" s="2">
        <f t="shared" si="36"/>
        <v>1</v>
      </c>
      <c r="AC218">
        <v>1012.5</v>
      </c>
      <c r="AD218" t="s">
        <v>400</v>
      </c>
      <c r="AE218" s="2">
        <f t="shared" si="37"/>
        <v>1</v>
      </c>
      <c r="AF218" t="s">
        <v>401</v>
      </c>
      <c r="AG218" s="2">
        <f t="shared" si="38"/>
        <v>9</v>
      </c>
      <c r="AH218" s="2">
        <f t="shared" si="39"/>
        <v>0</v>
      </c>
      <c r="AI218" s="3">
        <v>1035</v>
      </c>
      <c r="AJ218" s="2">
        <v>1</v>
      </c>
      <c r="AK218">
        <v>30</v>
      </c>
      <c r="AL218">
        <v>0</v>
      </c>
      <c r="AM218">
        <v>0</v>
      </c>
      <c r="AN218" s="2">
        <f>IF((2*G218+M218-O218+3*V218+2*AB218+2*AE218+2*AH218+3*AJ218)&gt;=7,1,0)</f>
        <v>1</v>
      </c>
    </row>
    <row r="219" spans="1:40" x14ac:dyDescent="0.25">
      <c r="A219" t="s">
        <v>27</v>
      </c>
      <c r="B219" s="1">
        <v>37153</v>
      </c>
      <c r="C219" s="6">
        <f t="shared" si="30"/>
        <v>2001</v>
      </c>
      <c r="D219">
        <v>80.7</v>
      </c>
      <c r="E219">
        <v>71.7</v>
      </c>
      <c r="F219">
        <v>77.5</v>
      </c>
      <c r="G219" s="2">
        <f t="shared" si="31"/>
        <v>1</v>
      </c>
      <c r="H219">
        <v>85.5</v>
      </c>
      <c r="I219">
        <v>71.7</v>
      </c>
      <c r="J219">
        <v>78.7</v>
      </c>
      <c r="K219">
        <v>63.2</v>
      </c>
      <c r="L219">
        <v>62.4</v>
      </c>
      <c r="M219" s="2">
        <f t="shared" si="32"/>
        <v>1</v>
      </c>
      <c r="N219">
        <v>0</v>
      </c>
      <c r="O219" s="2">
        <f t="shared" si="33"/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s="2">
        <f t="shared" si="34"/>
        <v>0</v>
      </c>
      <c r="W219">
        <v>10.3</v>
      </c>
      <c r="X219" s="2">
        <f t="shared" si="35"/>
        <v>0</v>
      </c>
      <c r="Y219">
        <v>115.7</v>
      </c>
      <c r="Z219" s="2" t="str">
        <f>CHOOSE(MATCH(Y219,{0;11;80;111;161;191;241;281;341},1),"North","NorthEast","East","SouthEast","South","SouthWest","West","NorthWest","North")</f>
        <v>SouthEast</v>
      </c>
      <c r="AA219" s="4">
        <f>CHOOSE(MATCH(Z219,{"South";"SouthEast";"SouthWest";"North";"NorthEast";"East";"West";"NorthWest"},0),1,2,3,4,5,6,7,8)</f>
        <v>2</v>
      </c>
      <c r="AB219" s="2">
        <f t="shared" si="36"/>
        <v>0</v>
      </c>
      <c r="AC219">
        <v>1014.2</v>
      </c>
      <c r="AD219" t="s">
        <v>108</v>
      </c>
      <c r="AE219" s="2">
        <f t="shared" si="37"/>
        <v>1</v>
      </c>
      <c r="AF219" t="s">
        <v>402</v>
      </c>
      <c r="AG219" s="2">
        <f t="shared" si="38"/>
        <v>9</v>
      </c>
      <c r="AH219" s="2">
        <f t="shared" si="39"/>
        <v>0</v>
      </c>
      <c r="AI219" s="3">
        <v>140.99999999860299</v>
      </c>
      <c r="AJ219" s="2">
        <v>0</v>
      </c>
      <c r="AK219">
        <v>0</v>
      </c>
      <c r="AL219">
        <v>2</v>
      </c>
      <c r="AM219">
        <v>0</v>
      </c>
      <c r="AN219" s="2">
        <f>IF((2*G219+M219-O219+3*V219+2*AB219+2*AE219+2*AH219+3*AJ219)&gt;=7,1,0)</f>
        <v>0</v>
      </c>
    </row>
    <row r="220" spans="1:40" x14ac:dyDescent="0.25">
      <c r="A220" t="s">
        <v>27</v>
      </c>
      <c r="B220" s="1">
        <v>37159</v>
      </c>
      <c r="C220" s="6">
        <f t="shared" si="30"/>
        <v>2001</v>
      </c>
      <c r="D220">
        <v>93.3</v>
      </c>
      <c r="E220">
        <v>71.7</v>
      </c>
      <c r="F220">
        <v>83.2</v>
      </c>
      <c r="G220" s="2">
        <f t="shared" si="31"/>
        <v>1</v>
      </c>
      <c r="H220">
        <v>92.7</v>
      </c>
      <c r="I220">
        <v>71.7</v>
      </c>
      <c r="J220">
        <v>81.900000000000006</v>
      </c>
      <c r="K220">
        <v>52.6</v>
      </c>
      <c r="L220">
        <v>36.700000000000003</v>
      </c>
      <c r="M220" s="2">
        <f t="shared" si="32"/>
        <v>1</v>
      </c>
      <c r="N220">
        <v>0</v>
      </c>
      <c r="O220" s="2">
        <f t="shared" si="33"/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 s="2">
        <f t="shared" si="34"/>
        <v>0</v>
      </c>
      <c r="W220">
        <v>15</v>
      </c>
      <c r="X220" s="2">
        <f t="shared" si="35"/>
        <v>0</v>
      </c>
      <c r="Y220">
        <v>181.6</v>
      </c>
      <c r="Z220" s="2" t="str">
        <f>CHOOSE(MATCH(Y220,{0;11;80;111;161;191;241;281;341},1),"North","NorthEast","East","SouthEast","South","SouthWest","West","NorthWest","North")</f>
        <v>South</v>
      </c>
      <c r="AA220" s="4">
        <f>CHOOSE(MATCH(Z220,{"South";"SouthEast";"SouthWest";"North";"NorthEast";"East";"West";"NorthWest"},0),1,2,3,4,5,6,7,8)</f>
        <v>1</v>
      </c>
      <c r="AB220" s="2">
        <f t="shared" si="36"/>
        <v>0</v>
      </c>
      <c r="AC220">
        <v>1012.6</v>
      </c>
      <c r="AD220" t="s">
        <v>403</v>
      </c>
      <c r="AE220" s="2">
        <f t="shared" si="37"/>
        <v>1</v>
      </c>
      <c r="AF220" t="s">
        <v>404</v>
      </c>
      <c r="AG220" s="2">
        <f t="shared" si="38"/>
        <v>9</v>
      </c>
      <c r="AH220" s="2">
        <f t="shared" si="39"/>
        <v>0</v>
      </c>
      <c r="AI220" s="3">
        <v>1230.0000000069849</v>
      </c>
      <c r="AJ220" s="2">
        <v>1</v>
      </c>
      <c r="AK220">
        <v>50</v>
      </c>
      <c r="AL220">
        <v>0</v>
      </c>
      <c r="AM220">
        <v>0</v>
      </c>
      <c r="AN220" s="2">
        <f>IF((2*G220+M220-O220+3*V220+2*AB220+2*AE220+2*AH220+3*AJ220)&gt;=7,1,0)</f>
        <v>1</v>
      </c>
    </row>
    <row r="221" spans="1:40" x14ac:dyDescent="0.25">
      <c r="A221" t="s">
        <v>27</v>
      </c>
      <c r="B221" s="1">
        <v>37159</v>
      </c>
      <c r="C221" s="6">
        <f t="shared" si="30"/>
        <v>2001</v>
      </c>
      <c r="D221">
        <v>93.3</v>
      </c>
      <c r="E221">
        <v>71.7</v>
      </c>
      <c r="F221">
        <v>83.2</v>
      </c>
      <c r="G221" s="2">
        <f t="shared" si="31"/>
        <v>1</v>
      </c>
      <c r="H221">
        <v>92.7</v>
      </c>
      <c r="I221">
        <v>71.7</v>
      </c>
      <c r="J221">
        <v>81.900000000000006</v>
      </c>
      <c r="K221">
        <v>52.6</v>
      </c>
      <c r="L221">
        <v>36.700000000000003</v>
      </c>
      <c r="M221" s="2">
        <f t="shared" si="32"/>
        <v>1</v>
      </c>
      <c r="N221">
        <v>0</v>
      </c>
      <c r="O221" s="2">
        <f t="shared" si="33"/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s="2">
        <f t="shared" si="34"/>
        <v>0</v>
      </c>
      <c r="W221">
        <v>15</v>
      </c>
      <c r="X221" s="2">
        <f t="shared" si="35"/>
        <v>0</v>
      </c>
      <c r="Y221">
        <v>181.6</v>
      </c>
      <c r="Z221" s="2" t="str">
        <f>CHOOSE(MATCH(Y221,{0;11;80;111;161;191;241;281;341},1),"North","NorthEast","East","SouthEast","South","SouthWest","West","NorthWest","North")</f>
        <v>South</v>
      </c>
      <c r="AA221" s="4">
        <f>CHOOSE(MATCH(Z221,{"South";"SouthEast";"SouthWest";"North";"NorthEast";"East";"West";"NorthWest"},0),1,2,3,4,5,6,7,8)</f>
        <v>1</v>
      </c>
      <c r="AB221" s="2">
        <f t="shared" si="36"/>
        <v>0</v>
      </c>
      <c r="AC221">
        <v>1012.6</v>
      </c>
      <c r="AD221" t="s">
        <v>158</v>
      </c>
      <c r="AE221" s="2">
        <f t="shared" si="37"/>
        <v>1</v>
      </c>
      <c r="AF221" t="s">
        <v>405</v>
      </c>
      <c r="AG221" s="2">
        <f t="shared" si="38"/>
        <v>9</v>
      </c>
      <c r="AH221" s="2">
        <f t="shared" si="39"/>
        <v>0</v>
      </c>
      <c r="AI221" s="3">
        <v>135</v>
      </c>
      <c r="AJ221" s="2">
        <v>0</v>
      </c>
      <c r="AK221">
        <v>0</v>
      </c>
      <c r="AL221">
        <v>3</v>
      </c>
      <c r="AM221">
        <v>0</v>
      </c>
      <c r="AN221" s="2">
        <f>IF((2*G221+M221-O221+3*V221+2*AB221+2*AE221+2*AH221+3*AJ221)&gt;=7,1,0)</f>
        <v>0</v>
      </c>
    </row>
    <row r="222" spans="1:40" x14ac:dyDescent="0.25">
      <c r="A222" t="s">
        <v>27</v>
      </c>
      <c r="B222" s="1">
        <v>37161</v>
      </c>
      <c r="C222" s="6">
        <f t="shared" si="30"/>
        <v>2001</v>
      </c>
      <c r="D222">
        <v>80.7</v>
      </c>
      <c r="E222">
        <v>73.5</v>
      </c>
      <c r="F222">
        <v>77.099999999999994</v>
      </c>
      <c r="G222" s="2">
        <f t="shared" si="31"/>
        <v>1</v>
      </c>
      <c r="H222">
        <v>81.5</v>
      </c>
      <c r="I222">
        <v>73.5</v>
      </c>
      <c r="J222">
        <v>77.099999999999994</v>
      </c>
      <c r="K222">
        <v>57.5</v>
      </c>
      <c r="L222">
        <v>51.1</v>
      </c>
      <c r="M222" s="2">
        <f t="shared" si="32"/>
        <v>1</v>
      </c>
      <c r="N222">
        <v>0</v>
      </c>
      <c r="O222" s="2">
        <f t="shared" si="33"/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s="2">
        <f t="shared" si="34"/>
        <v>0</v>
      </c>
      <c r="W222">
        <v>23</v>
      </c>
      <c r="X222" s="2">
        <f t="shared" si="35"/>
        <v>1</v>
      </c>
      <c r="Y222">
        <v>283</v>
      </c>
      <c r="Z222" s="2" t="str">
        <f>CHOOSE(MATCH(Y222,{0;11;80;111;161;191;241;281;341},1),"North","NorthEast","East","SouthEast","South","SouthWest","West","NorthWest","North")</f>
        <v>NorthWest</v>
      </c>
      <c r="AA222" s="4">
        <f>CHOOSE(MATCH(Z222,{"South";"SouthEast";"SouthWest";"North";"NorthEast";"East";"West";"NorthWest"},0),1,2,3,4,5,6,7,8)</f>
        <v>8</v>
      </c>
      <c r="AB222" s="2">
        <f t="shared" si="36"/>
        <v>1</v>
      </c>
      <c r="AC222">
        <v>1011.4</v>
      </c>
      <c r="AD222" t="s">
        <v>406</v>
      </c>
      <c r="AE222" s="2">
        <f t="shared" si="37"/>
        <v>0</v>
      </c>
      <c r="AF222" t="s">
        <v>407</v>
      </c>
      <c r="AG222" s="2">
        <f t="shared" si="38"/>
        <v>9</v>
      </c>
      <c r="AH222" s="2">
        <f t="shared" si="39"/>
        <v>0</v>
      </c>
      <c r="AI222" s="3">
        <v>506.00000000442378</v>
      </c>
      <c r="AJ222" s="2">
        <v>1</v>
      </c>
      <c r="AK222">
        <v>50</v>
      </c>
      <c r="AL222">
        <v>0</v>
      </c>
      <c r="AM222">
        <v>0</v>
      </c>
      <c r="AN222" s="2">
        <f>IF((2*G222+M222-O222+3*V222+2*AB222+2*AE222+2*AH222+3*AJ222)&gt;=7,1,0)</f>
        <v>1</v>
      </c>
    </row>
    <row r="223" spans="1:40" x14ac:dyDescent="0.25">
      <c r="A223" t="s">
        <v>27</v>
      </c>
      <c r="B223" s="1">
        <v>37163</v>
      </c>
      <c r="C223" s="6">
        <f t="shared" si="30"/>
        <v>2001</v>
      </c>
      <c r="D223">
        <v>75.3</v>
      </c>
      <c r="E223">
        <v>62.7</v>
      </c>
      <c r="F223">
        <v>70.400000000000006</v>
      </c>
      <c r="G223" s="2">
        <f t="shared" si="31"/>
        <v>1</v>
      </c>
      <c r="H223">
        <v>75.3</v>
      </c>
      <c r="I223">
        <v>62.7</v>
      </c>
      <c r="J223">
        <v>70.400000000000006</v>
      </c>
      <c r="K223">
        <v>57.4</v>
      </c>
      <c r="L223">
        <v>64.3</v>
      </c>
      <c r="M223" s="2">
        <f t="shared" si="32"/>
        <v>1</v>
      </c>
      <c r="N223">
        <v>0</v>
      </c>
      <c r="O223" s="2">
        <f t="shared" si="33"/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 s="2">
        <f t="shared" si="34"/>
        <v>0</v>
      </c>
      <c r="W223">
        <v>15</v>
      </c>
      <c r="X223" s="2">
        <f t="shared" si="35"/>
        <v>0</v>
      </c>
      <c r="Y223">
        <v>311.7</v>
      </c>
      <c r="Z223" s="2" t="str">
        <f>CHOOSE(MATCH(Y223,{0;11;80;111;161;191;241;281;341},1),"North","NorthEast","East","SouthEast","South","SouthWest","West","NorthWest","North")</f>
        <v>NorthWest</v>
      </c>
      <c r="AA223" s="4">
        <f>CHOOSE(MATCH(Z223,{"South";"SouthEast";"SouthWest";"North";"NorthEast";"East";"West";"NorthWest"},0),1,2,3,4,5,6,7,8)</f>
        <v>8</v>
      </c>
      <c r="AB223" s="2">
        <f t="shared" si="36"/>
        <v>1</v>
      </c>
      <c r="AC223">
        <v>1017.1</v>
      </c>
      <c r="AD223" t="s">
        <v>408</v>
      </c>
      <c r="AE223" s="2">
        <f t="shared" si="37"/>
        <v>1</v>
      </c>
      <c r="AF223" t="s">
        <v>409</v>
      </c>
      <c r="AG223" s="2">
        <f t="shared" si="38"/>
        <v>9</v>
      </c>
      <c r="AH223" s="2">
        <f t="shared" si="39"/>
        <v>0</v>
      </c>
      <c r="AI223" s="3">
        <v>31.999999999534339</v>
      </c>
      <c r="AJ223" s="2">
        <v>0</v>
      </c>
      <c r="AK223">
        <v>0</v>
      </c>
      <c r="AL223">
        <v>1</v>
      </c>
      <c r="AM223">
        <v>0</v>
      </c>
      <c r="AN223" s="2">
        <f>IF((2*G223+M223-O223+3*V223+2*AB223+2*AE223+2*AH223+3*AJ223)&gt;=7,1,0)</f>
        <v>0</v>
      </c>
    </row>
    <row r="224" spans="1:40" x14ac:dyDescent="0.25">
      <c r="A224" t="s">
        <v>27</v>
      </c>
      <c r="B224" s="1">
        <v>37163</v>
      </c>
      <c r="C224" s="6">
        <f t="shared" si="30"/>
        <v>2001</v>
      </c>
      <c r="D224">
        <v>75.3</v>
      </c>
      <c r="E224">
        <v>62.7</v>
      </c>
      <c r="F224">
        <v>70.400000000000006</v>
      </c>
      <c r="G224" s="2">
        <f t="shared" si="31"/>
        <v>1</v>
      </c>
      <c r="H224">
        <v>75.3</v>
      </c>
      <c r="I224">
        <v>62.7</v>
      </c>
      <c r="J224">
        <v>70.400000000000006</v>
      </c>
      <c r="K224">
        <v>57.4</v>
      </c>
      <c r="L224">
        <v>64.3</v>
      </c>
      <c r="M224" s="2">
        <f t="shared" si="32"/>
        <v>1</v>
      </c>
      <c r="N224">
        <v>0</v>
      </c>
      <c r="O224" s="2">
        <f t="shared" si="33"/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 s="2">
        <f t="shared" si="34"/>
        <v>0</v>
      </c>
      <c r="W224">
        <v>15</v>
      </c>
      <c r="X224" s="2">
        <f t="shared" si="35"/>
        <v>0</v>
      </c>
      <c r="Y224">
        <v>311.7</v>
      </c>
      <c r="Z224" s="2" t="str">
        <f>CHOOSE(MATCH(Y224,{0;11;80;111;161;191;241;281;341},1),"North","NorthEast","East","SouthEast","South","SouthWest","West","NorthWest","North")</f>
        <v>NorthWest</v>
      </c>
      <c r="AA224" s="4">
        <f>CHOOSE(MATCH(Z224,{"South";"SouthEast";"SouthWest";"North";"NorthEast";"East";"West";"NorthWest"},0),1,2,3,4,5,6,7,8)</f>
        <v>8</v>
      </c>
      <c r="AB224" s="2">
        <f t="shared" si="36"/>
        <v>1</v>
      </c>
      <c r="AC224">
        <v>1017.1</v>
      </c>
      <c r="AD224" t="s">
        <v>410</v>
      </c>
      <c r="AE224" s="2">
        <f t="shared" si="37"/>
        <v>1</v>
      </c>
      <c r="AF224" t="s">
        <v>411</v>
      </c>
      <c r="AG224" s="2">
        <f t="shared" si="38"/>
        <v>9</v>
      </c>
      <c r="AH224" s="2">
        <f t="shared" si="39"/>
        <v>0</v>
      </c>
      <c r="AI224" s="3">
        <v>91.000000003259629</v>
      </c>
      <c r="AJ224" s="2">
        <v>0</v>
      </c>
      <c r="AK224">
        <v>0</v>
      </c>
      <c r="AL224">
        <v>1</v>
      </c>
      <c r="AM224">
        <v>0</v>
      </c>
      <c r="AN224" s="2">
        <f>IF((2*G224+M224-O224+3*V224+2*AB224+2*AE224+2*AH224+3*AJ224)&gt;=7,1,0)</f>
        <v>0</v>
      </c>
    </row>
    <row r="225" spans="1:40" x14ac:dyDescent="0.25">
      <c r="A225" t="s">
        <v>27</v>
      </c>
      <c r="B225" s="1">
        <v>37164</v>
      </c>
      <c r="C225" s="6">
        <f t="shared" si="30"/>
        <v>2001</v>
      </c>
      <c r="D225">
        <v>77.099999999999994</v>
      </c>
      <c r="E225">
        <v>68.099999999999994</v>
      </c>
      <c r="F225">
        <v>72.900000000000006</v>
      </c>
      <c r="G225" s="2">
        <f t="shared" si="31"/>
        <v>1</v>
      </c>
      <c r="H225">
        <v>77.099999999999994</v>
      </c>
      <c r="I225">
        <v>68.099999999999994</v>
      </c>
      <c r="J225">
        <v>72.900000000000006</v>
      </c>
      <c r="K225">
        <v>57</v>
      </c>
      <c r="L225">
        <v>57.7</v>
      </c>
      <c r="M225" s="2">
        <f t="shared" si="32"/>
        <v>1</v>
      </c>
      <c r="N225">
        <v>0</v>
      </c>
      <c r="O225" s="2">
        <f t="shared" si="33"/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 s="2">
        <f t="shared" si="34"/>
        <v>0</v>
      </c>
      <c r="W225">
        <v>13.9</v>
      </c>
      <c r="X225" s="2">
        <f t="shared" si="35"/>
        <v>0</v>
      </c>
      <c r="Y225">
        <v>309.10000000000002</v>
      </c>
      <c r="Z225" s="2" t="str">
        <f>CHOOSE(MATCH(Y225,{0;11;80;111;161;191;241;281;341},1),"North","NorthEast","East","SouthEast","South","SouthWest","West","NorthWest","North")</f>
        <v>NorthWest</v>
      </c>
      <c r="AA225" s="4">
        <f>CHOOSE(MATCH(Z225,{"South";"SouthEast";"SouthWest";"North";"NorthEast";"East";"West";"NorthWest"},0),1,2,3,4,5,6,7,8)</f>
        <v>8</v>
      </c>
      <c r="AB225" s="2">
        <f t="shared" si="36"/>
        <v>1</v>
      </c>
      <c r="AC225">
        <v>1018.1</v>
      </c>
      <c r="AD225" t="s">
        <v>412</v>
      </c>
      <c r="AE225" s="2">
        <f t="shared" si="37"/>
        <v>0</v>
      </c>
      <c r="AF225" t="s">
        <v>413</v>
      </c>
      <c r="AG225" s="2">
        <f t="shared" si="38"/>
        <v>9</v>
      </c>
      <c r="AH225" s="2">
        <f t="shared" si="39"/>
        <v>0</v>
      </c>
      <c r="AI225" s="3">
        <v>117.00000000419099</v>
      </c>
      <c r="AJ225" s="2">
        <v>0</v>
      </c>
      <c r="AK225">
        <v>5</v>
      </c>
      <c r="AL225">
        <v>0</v>
      </c>
      <c r="AM225">
        <v>0</v>
      </c>
      <c r="AN225" s="2">
        <f>IF((2*G225+M225-O225+3*V225+2*AB225+2*AE225+2*AH225+3*AJ225)&gt;=7,1,0)</f>
        <v>0</v>
      </c>
    </row>
    <row r="226" spans="1:40" x14ac:dyDescent="0.25">
      <c r="A226" t="s">
        <v>27</v>
      </c>
      <c r="B226" s="1">
        <v>37166</v>
      </c>
      <c r="C226" s="6">
        <f t="shared" si="30"/>
        <v>2001</v>
      </c>
      <c r="D226">
        <v>77.099999999999994</v>
      </c>
      <c r="E226">
        <v>66.3</v>
      </c>
      <c r="F226">
        <v>72.3</v>
      </c>
      <c r="G226" s="2">
        <f t="shared" si="31"/>
        <v>1</v>
      </c>
      <c r="H226">
        <v>77.099999999999994</v>
      </c>
      <c r="I226">
        <v>66.3</v>
      </c>
      <c r="J226">
        <v>72.3</v>
      </c>
      <c r="K226">
        <v>59.2</v>
      </c>
      <c r="L226">
        <v>64.3</v>
      </c>
      <c r="M226" s="2">
        <f t="shared" si="32"/>
        <v>1</v>
      </c>
      <c r="N226">
        <v>0</v>
      </c>
      <c r="O226" s="2">
        <f t="shared" si="33"/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 s="2">
        <f t="shared" si="34"/>
        <v>0</v>
      </c>
      <c r="W226">
        <v>15</v>
      </c>
      <c r="X226" s="2">
        <f t="shared" si="35"/>
        <v>0</v>
      </c>
      <c r="Y226">
        <v>306.39999999999998</v>
      </c>
      <c r="Z226" s="2" t="str">
        <f>CHOOSE(MATCH(Y226,{0;11;80;111;161;191;241;281;341},1),"North","NorthEast","East","SouthEast","South","SouthWest","West","NorthWest","North")</f>
        <v>NorthWest</v>
      </c>
      <c r="AA226" s="4">
        <f>CHOOSE(MATCH(Z226,{"South";"SouthEast";"SouthWest";"North";"NorthEast";"East";"West";"NorthWest"},0),1,2,3,4,5,6,7,8)</f>
        <v>8</v>
      </c>
      <c r="AB226" s="2">
        <f t="shared" si="36"/>
        <v>1</v>
      </c>
      <c r="AC226">
        <v>1018.6</v>
      </c>
      <c r="AD226" t="s">
        <v>414</v>
      </c>
      <c r="AE226" s="2">
        <f t="shared" si="37"/>
        <v>1</v>
      </c>
      <c r="AF226" t="s">
        <v>415</v>
      </c>
      <c r="AG226" s="2">
        <f t="shared" si="38"/>
        <v>10</v>
      </c>
      <c r="AH226" s="2">
        <f t="shared" si="39"/>
        <v>0</v>
      </c>
      <c r="AI226" s="3">
        <v>431.00000000093132</v>
      </c>
      <c r="AJ226" s="2">
        <v>1</v>
      </c>
      <c r="AK226">
        <v>1</v>
      </c>
      <c r="AL226">
        <v>0</v>
      </c>
      <c r="AM226">
        <v>0</v>
      </c>
      <c r="AN226" s="2">
        <f>IF((2*G226+M226-O226+3*V226+2*AB226+2*AE226+2*AH226+3*AJ226)&gt;=7,1,0)</f>
        <v>1</v>
      </c>
    </row>
    <row r="227" spans="1:40" x14ac:dyDescent="0.25">
      <c r="A227" t="s">
        <v>27</v>
      </c>
      <c r="B227" s="1">
        <v>37166</v>
      </c>
      <c r="C227" s="6">
        <f t="shared" si="30"/>
        <v>2001</v>
      </c>
      <c r="D227">
        <v>77.099999999999994</v>
      </c>
      <c r="E227">
        <v>66.3</v>
      </c>
      <c r="F227">
        <v>72.3</v>
      </c>
      <c r="G227" s="2">
        <f t="shared" si="31"/>
        <v>1</v>
      </c>
      <c r="H227">
        <v>77.099999999999994</v>
      </c>
      <c r="I227">
        <v>66.3</v>
      </c>
      <c r="J227">
        <v>72.3</v>
      </c>
      <c r="K227">
        <v>59.2</v>
      </c>
      <c r="L227">
        <v>64.3</v>
      </c>
      <c r="M227" s="2">
        <f t="shared" si="32"/>
        <v>1</v>
      </c>
      <c r="N227">
        <v>0</v>
      </c>
      <c r="O227" s="2">
        <f t="shared" si="33"/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s="2">
        <f t="shared" si="34"/>
        <v>0</v>
      </c>
      <c r="W227">
        <v>15</v>
      </c>
      <c r="X227" s="2">
        <f t="shared" si="35"/>
        <v>0</v>
      </c>
      <c r="Y227">
        <v>306.39999999999998</v>
      </c>
      <c r="Z227" s="2" t="str">
        <f>CHOOSE(MATCH(Y227,{0;11;80;111;161;191;241;281;341},1),"North","NorthEast","East","SouthEast","South","SouthWest","West","NorthWest","North")</f>
        <v>NorthWest</v>
      </c>
      <c r="AA227" s="4">
        <f>CHOOSE(MATCH(Z227,{"South";"SouthEast";"SouthWest";"North";"NorthEast";"East";"West";"NorthWest"},0),1,2,3,4,5,6,7,8)</f>
        <v>8</v>
      </c>
      <c r="AB227" s="2">
        <f t="shared" si="36"/>
        <v>1</v>
      </c>
      <c r="AC227">
        <v>1018.6</v>
      </c>
      <c r="AD227" t="s">
        <v>105</v>
      </c>
      <c r="AE227" s="2">
        <f t="shared" si="37"/>
        <v>0</v>
      </c>
      <c r="AF227" t="s">
        <v>416</v>
      </c>
      <c r="AG227" s="2">
        <f t="shared" si="38"/>
        <v>10</v>
      </c>
      <c r="AH227" s="2">
        <f t="shared" si="39"/>
        <v>0</v>
      </c>
      <c r="AI227" s="3">
        <v>100.9999999939464</v>
      </c>
      <c r="AJ227" s="2">
        <v>0</v>
      </c>
      <c r="AK227">
        <v>3</v>
      </c>
      <c r="AL227">
        <v>0</v>
      </c>
      <c r="AM227">
        <v>0</v>
      </c>
      <c r="AN227" s="2">
        <f>IF((2*G227+M227-O227+3*V227+2*AB227+2*AE227+2*AH227+3*AJ227)&gt;=7,1,0)</f>
        <v>0</v>
      </c>
    </row>
    <row r="228" spans="1:40" x14ac:dyDescent="0.25">
      <c r="A228" t="s">
        <v>27</v>
      </c>
      <c r="B228" s="1">
        <v>37167</v>
      </c>
      <c r="C228" s="6">
        <f t="shared" si="30"/>
        <v>2001</v>
      </c>
      <c r="D228">
        <v>77.099999999999994</v>
      </c>
      <c r="E228">
        <v>68.099999999999994</v>
      </c>
      <c r="F228">
        <v>72.2</v>
      </c>
      <c r="G228" s="2">
        <f t="shared" si="31"/>
        <v>1</v>
      </c>
      <c r="H228">
        <v>77.099999999999994</v>
      </c>
      <c r="I228">
        <v>68.099999999999994</v>
      </c>
      <c r="J228">
        <v>72.2</v>
      </c>
      <c r="K228">
        <v>60.6</v>
      </c>
      <c r="L228">
        <v>67.400000000000006</v>
      </c>
      <c r="M228" s="2">
        <f t="shared" si="32"/>
        <v>0</v>
      </c>
      <c r="N228">
        <v>0</v>
      </c>
      <c r="O228" s="2">
        <f t="shared" si="33"/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 s="2">
        <f t="shared" si="34"/>
        <v>0</v>
      </c>
      <c r="W228">
        <v>11.4</v>
      </c>
      <c r="X228" s="2">
        <f t="shared" si="35"/>
        <v>0</v>
      </c>
      <c r="Y228">
        <v>303.60000000000002</v>
      </c>
      <c r="Z228" s="2" t="str">
        <f>CHOOSE(MATCH(Y228,{0;11;80;111;161;191;241;281;341},1),"North","NorthEast","East","SouthEast","South","SouthWest","West","NorthWest","North")</f>
        <v>NorthWest</v>
      </c>
      <c r="AA228" s="4">
        <f>CHOOSE(MATCH(Z228,{"South";"SouthEast";"SouthWest";"North";"NorthEast";"East";"West";"NorthWest"},0),1,2,3,4,5,6,7,8)</f>
        <v>8</v>
      </c>
      <c r="AB228" s="2">
        <f t="shared" si="36"/>
        <v>1</v>
      </c>
      <c r="AC228">
        <v>1017.5</v>
      </c>
      <c r="AD228" t="s">
        <v>417</v>
      </c>
      <c r="AE228" s="2">
        <f t="shared" si="37"/>
        <v>1</v>
      </c>
      <c r="AF228" t="s">
        <v>418</v>
      </c>
      <c r="AG228" s="2">
        <f t="shared" si="38"/>
        <v>10</v>
      </c>
      <c r="AH228" s="2">
        <f t="shared" si="39"/>
        <v>0</v>
      </c>
      <c r="AI228" s="3">
        <v>65.999999995110556</v>
      </c>
      <c r="AJ228" s="2">
        <v>0</v>
      </c>
      <c r="AK228">
        <v>0.5</v>
      </c>
      <c r="AL228">
        <v>0</v>
      </c>
      <c r="AM228">
        <v>0</v>
      </c>
      <c r="AN228" s="2">
        <f>IF((2*G228+M228-O228+3*V228+2*AB228+2*AE228+2*AH228+3*AJ228)&gt;=7,1,0)</f>
        <v>0</v>
      </c>
    </row>
    <row r="229" spans="1:40" x14ac:dyDescent="0.25">
      <c r="A229" t="s">
        <v>27</v>
      </c>
      <c r="B229" s="1">
        <v>37170</v>
      </c>
      <c r="C229" s="6">
        <f t="shared" si="30"/>
        <v>2001</v>
      </c>
      <c r="D229">
        <v>78.900000000000006</v>
      </c>
      <c r="E229">
        <v>66.3</v>
      </c>
      <c r="F229">
        <v>73.3</v>
      </c>
      <c r="G229" s="2">
        <f t="shared" si="31"/>
        <v>1</v>
      </c>
      <c r="H229">
        <v>78.900000000000006</v>
      </c>
      <c r="I229">
        <v>66.3</v>
      </c>
      <c r="J229">
        <v>73.3</v>
      </c>
      <c r="K229">
        <v>64.900000000000006</v>
      </c>
      <c r="L229">
        <v>75.599999999999994</v>
      </c>
      <c r="M229" s="2">
        <f t="shared" si="32"/>
        <v>0</v>
      </c>
      <c r="N229">
        <v>0</v>
      </c>
      <c r="O229" s="2">
        <f t="shared" si="33"/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s="2">
        <f t="shared" si="34"/>
        <v>0</v>
      </c>
      <c r="W229">
        <v>17.2</v>
      </c>
      <c r="X229" s="2">
        <f t="shared" si="35"/>
        <v>1</v>
      </c>
      <c r="Y229">
        <v>286.39999999999998</v>
      </c>
      <c r="Z229" s="2" t="str">
        <f>CHOOSE(MATCH(Y229,{0;11;80;111;161;191;241;281;341},1),"North","NorthEast","East","SouthEast","South","SouthWest","West","NorthWest","North")</f>
        <v>NorthWest</v>
      </c>
      <c r="AA229" s="4">
        <f>CHOOSE(MATCH(Z229,{"South";"SouthEast";"SouthWest";"North";"NorthEast";"East";"West";"NorthWest"},0),1,2,3,4,5,6,7,8)</f>
        <v>8</v>
      </c>
      <c r="AB229" s="2">
        <f t="shared" si="36"/>
        <v>1</v>
      </c>
      <c r="AC229">
        <v>1014</v>
      </c>
      <c r="AD229" t="s">
        <v>419</v>
      </c>
      <c r="AE229" s="2">
        <f t="shared" si="37"/>
        <v>1</v>
      </c>
      <c r="AF229" t="s">
        <v>420</v>
      </c>
      <c r="AG229" s="2">
        <f t="shared" si="38"/>
        <v>10</v>
      </c>
      <c r="AH229" s="2">
        <f t="shared" si="39"/>
        <v>0</v>
      </c>
      <c r="AI229" s="3">
        <v>64.999999991850927</v>
      </c>
      <c r="AJ229" s="2">
        <v>0</v>
      </c>
      <c r="AK229">
        <v>0</v>
      </c>
      <c r="AL229">
        <v>2</v>
      </c>
      <c r="AM229">
        <v>0</v>
      </c>
      <c r="AN229" s="2">
        <f>IF((2*G229+M229-O229+3*V229+2*AB229+2*AE229+2*AH229+3*AJ229)&gt;=7,1,0)</f>
        <v>0</v>
      </c>
    </row>
    <row r="230" spans="1:40" x14ac:dyDescent="0.25">
      <c r="A230" t="s">
        <v>27</v>
      </c>
      <c r="B230" s="1">
        <v>37171</v>
      </c>
      <c r="C230" s="6">
        <f t="shared" si="30"/>
        <v>2001</v>
      </c>
      <c r="D230">
        <v>78.900000000000006</v>
      </c>
      <c r="E230">
        <v>66.3</v>
      </c>
      <c r="F230">
        <v>72.599999999999994</v>
      </c>
      <c r="G230" s="2">
        <f t="shared" si="31"/>
        <v>1</v>
      </c>
      <c r="H230">
        <v>78.900000000000006</v>
      </c>
      <c r="I230">
        <v>66.3</v>
      </c>
      <c r="J230">
        <v>72.599999999999994</v>
      </c>
      <c r="K230">
        <v>66.2</v>
      </c>
      <c r="L230">
        <v>80.599999999999994</v>
      </c>
      <c r="M230" s="2">
        <f t="shared" si="32"/>
        <v>0</v>
      </c>
      <c r="N230">
        <v>0</v>
      </c>
      <c r="O230" s="2">
        <f t="shared" si="33"/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 s="2">
        <f t="shared" si="34"/>
        <v>0</v>
      </c>
      <c r="W230">
        <v>11.4</v>
      </c>
      <c r="X230" s="2">
        <f t="shared" si="35"/>
        <v>0</v>
      </c>
      <c r="Y230">
        <v>292.60000000000002</v>
      </c>
      <c r="Z230" s="2" t="str">
        <f>CHOOSE(MATCH(Y230,{0;11;80;111;161;191;241;281;341},1),"North","NorthEast","East","SouthEast","South","SouthWest","West","NorthWest","North")</f>
        <v>NorthWest</v>
      </c>
      <c r="AA230" s="4">
        <f>CHOOSE(MATCH(Z230,{"South";"SouthEast";"SouthWest";"North";"NorthEast";"East";"West";"NorthWest"},0),1,2,3,4,5,6,7,8)</f>
        <v>8</v>
      </c>
      <c r="AB230" s="2">
        <f t="shared" si="36"/>
        <v>1</v>
      </c>
      <c r="AC230">
        <v>1014.3</v>
      </c>
      <c r="AD230" t="s">
        <v>215</v>
      </c>
      <c r="AE230" s="2">
        <f t="shared" si="37"/>
        <v>1</v>
      </c>
      <c r="AF230" t="s">
        <v>421</v>
      </c>
      <c r="AG230" s="2">
        <f t="shared" si="38"/>
        <v>10</v>
      </c>
      <c r="AH230" s="2">
        <f t="shared" si="39"/>
        <v>0</v>
      </c>
      <c r="AI230" s="3">
        <v>146.00000000442381</v>
      </c>
      <c r="AJ230" s="2">
        <v>0</v>
      </c>
      <c r="AK230">
        <v>0</v>
      </c>
      <c r="AL230">
        <v>1</v>
      </c>
      <c r="AM230">
        <v>0</v>
      </c>
      <c r="AN230" s="2">
        <f>IF((2*G230+M230-O230+3*V230+2*AB230+2*AE230+2*AH230+3*AJ230)&gt;=7,1,0)</f>
        <v>0</v>
      </c>
    </row>
    <row r="231" spans="1:40" x14ac:dyDescent="0.25">
      <c r="A231" t="s">
        <v>27</v>
      </c>
      <c r="B231" s="1">
        <v>37171</v>
      </c>
      <c r="C231" s="6">
        <f t="shared" si="30"/>
        <v>2001</v>
      </c>
      <c r="D231">
        <v>78.900000000000006</v>
      </c>
      <c r="E231">
        <v>66.3</v>
      </c>
      <c r="F231">
        <v>72.599999999999994</v>
      </c>
      <c r="G231" s="2">
        <f t="shared" si="31"/>
        <v>1</v>
      </c>
      <c r="H231">
        <v>78.900000000000006</v>
      </c>
      <c r="I231">
        <v>66.3</v>
      </c>
      <c r="J231">
        <v>72.599999999999994</v>
      </c>
      <c r="K231">
        <v>66.2</v>
      </c>
      <c r="L231">
        <v>80.599999999999994</v>
      </c>
      <c r="M231" s="2">
        <f t="shared" si="32"/>
        <v>0</v>
      </c>
      <c r="N231">
        <v>0</v>
      </c>
      <c r="O231" s="2">
        <f t="shared" si="33"/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 s="2">
        <f t="shared" si="34"/>
        <v>0</v>
      </c>
      <c r="W231">
        <v>11.4</v>
      </c>
      <c r="X231" s="2">
        <f t="shared" si="35"/>
        <v>0</v>
      </c>
      <c r="Y231">
        <v>292.60000000000002</v>
      </c>
      <c r="Z231" s="2" t="str">
        <f>CHOOSE(MATCH(Y231,{0;11;80;111;161;191;241;281;341},1),"North","NorthEast","East","SouthEast","South","SouthWest","West","NorthWest","North")</f>
        <v>NorthWest</v>
      </c>
      <c r="AA231" s="4">
        <f>CHOOSE(MATCH(Z231,{"South";"SouthEast";"SouthWest";"North";"NorthEast";"East";"West";"NorthWest"},0),1,2,3,4,5,6,7,8)</f>
        <v>8</v>
      </c>
      <c r="AB231" s="2">
        <f t="shared" si="36"/>
        <v>1</v>
      </c>
      <c r="AC231">
        <v>1014.3</v>
      </c>
      <c r="AD231" t="s">
        <v>59</v>
      </c>
      <c r="AE231" s="2">
        <f t="shared" si="37"/>
        <v>0</v>
      </c>
      <c r="AF231" t="s">
        <v>422</v>
      </c>
      <c r="AG231" s="2">
        <f t="shared" si="38"/>
        <v>10</v>
      </c>
      <c r="AH231" s="2">
        <f t="shared" si="39"/>
        <v>0</v>
      </c>
      <c r="AI231" s="3">
        <v>169.99999999883579</v>
      </c>
      <c r="AJ231" s="2">
        <v>0</v>
      </c>
      <c r="AK231">
        <v>0</v>
      </c>
      <c r="AL231">
        <v>3</v>
      </c>
      <c r="AM231">
        <v>0</v>
      </c>
      <c r="AN231" s="2">
        <f>IF((2*G231+M231-O231+3*V231+2*AB231+2*AE231+2*AH231+3*AJ231)&gt;=7,1,0)</f>
        <v>0</v>
      </c>
    </row>
    <row r="232" spans="1:40" x14ac:dyDescent="0.25">
      <c r="A232" t="s">
        <v>27</v>
      </c>
      <c r="B232" s="1">
        <v>37173</v>
      </c>
      <c r="C232" s="6">
        <f t="shared" si="30"/>
        <v>2001</v>
      </c>
      <c r="D232">
        <v>77.099999999999994</v>
      </c>
      <c r="E232">
        <v>71.7</v>
      </c>
      <c r="F232">
        <v>73.7</v>
      </c>
      <c r="G232" s="2">
        <f t="shared" si="31"/>
        <v>1</v>
      </c>
      <c r="H232">
        <v>77.099999999999994</v>
      </c>
      <c r="I232">
        <v>71.7</v>
      </c>
      <c r="J232">
        <v>73.7</v>
      </c>
      <c r="K232">
        <v>59.7</v>
      </c>
      <c r="L232">
        <v>61.8</v>
      </c>
      <c r="M232" s="2">
        <f t="shared" si="32"/>
        <v>1</v>
      </c>
      <c r="N232">
        <v>0</v>
      </c>
      <c r="O232" s="2">
        <f t="shared" si="33"/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s="2">
        <f t="shared" si="34"/>
        <v>0</v>
      </c>
      <c r="W232">
        <v>18.3</v>
      </c>
      <c r="X232" s="2">
        <f t="shared" si="35"/>
        <v>1</v>
      </c>
      <c r="Y232">
        <v>306</v>
      </c>
      <c r="Z232" s="2" t="str">
        <f>CHOOSE(MATCH(Y232,{0;11;80;111;161;191;241;281;341},1),"North","NorthEast","East","SouthEast","South","SouthWest","West","NorthWest","North")</f>
        <v>NorthWest</v>
      </c>
      <c r="AA232" s="4">
        <f>CHOOSE(MATCH(Z232,{"South";"SouthEast";"SouthWest";"North";"NorthEast";"East";"West";"NorthWest"},0),1,2,3,4,5,6,7,8)</f>
        <v>8</v>
      </c>
      <c r="AB232" s="2">
        <f t="shared" si="36"/>
        <v>1</v>
      </c>
      <c r="AC232">
        <v>1016.5</v>
      </c>
      <c r="AD232" t="s">
        <v>423</v>
      </c>
      <c r="AE232" s="2">
        <f t="shared" si="37"/>
        <v>0</v>
      </c>
      <c r="AF232" t="s">
        <v>424</v>
      </c>
      <c r="AG232" s="2">
        <f t="shared" si="38"/>
        <v>10</v>
      </c>
      <c r="AH232" s="2">
        <f t="shared" si="39"/>
        <v>0</v>
      </c>
      <c r="AI232" s="3">
        <v>354.00000000139698</v>
      </c>
      <c r="AJ232" s="2">
        <v>0</v>
      </c>
      <c r="AK232">
        <v>0</v>
      </c>
      <c r="AL232">
        <v>5</v>
      </c>
      <c r="AM232">
        <v>0</v>
      </c>
      <c r="AN232" s="2">
        <f>IF((2*G232+M232-O232+3*V232+2*AB232+2*AE232+2*AH232+3*AJ232)&gt;=7,1,0)</f>
        <v>0</v>
      </c>
    </row>
    <row r="233" spans="1:40" x14ac:dyDescent="0.25">
      <c r="A233" t="s">
        <v>27</v>
      </c>
      <c r="B233" s="1">
        <v>37173</v>
      </c>
      <c r="C233" s="6">
        <f t="shared" si="30"/>
        <v>2001</v>
      </c>
      <c r="D233">
        <v>77.099999999999994</v>
      </c>
      <c r="E233">
        <v>71.7</v>
      </c>
      <c r="F233">
        <v>73.7</v>
      </c>
      <c r="G233" s="2">
        <f t="shared" si="31"/>
        <v>1</v>
      </c>
      <c r="H233">
        <v>77.099999999999994</v>
      </c>
      <c r="I233">
        <v>71.7</v>
      </c>
      <c r="J233">
        <v>73.7</v>
      </c>
      <c r="K233">
        <v>59.7</v>
      </c>
      <c r="L233">
        <v>61.8</v>
      </c>
      <c r="M233" s="2">
        <f t="shared" si="32"/>
        <v>1</v>
      </c>
      <c r="N233">
        <v>0</v>
      </c>
      <c r="O233" s="2">
        <f t="shared" si="33"/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s="2">
        <f t="shared" si="34"/>
        <v>0</v>
      </c>
      <c r="W233">
        <v>18.3</v>
      </c>
      <c r="X233" s="2">
        <f t="shared" si="35"/>
        <v>1</v>
      </c>
      <c r="Y233">
        <v>306</v>
      </c>
      <c r="Z233" s="2" t="str">
        <f>CHOOSE(MATCH(Y233,{0;11;80;111;161;191;241;281;341},1),"North","NorthEast","East","SouthEast","South","SouthWest","West","NorthWest","North")</f>
        <v>NorthWest</v>
      </c>
      <c r="AA233" s="4">
        <f>CHOOSE(MATCH(Z233,{"South";"SouthEast";"SouthWest";"North";"NorthEast";"East";"West";"NorthWest"},0),1,2,3,4,5,6,7,8)</f>
        <v>8</v>
      </c>
      <c r="AB233" s="2">
        <f t="shared" si="36"/>
        <v>1</v>
      </c>
      <c r="AC233">
        <v>1016.5</v>
      </c>
      <c r="AD233" t="s">
        <v>59</v>
      </c>
      <c r="AE233" s="2">
        <f t="shared" si="37"/>
        <v>0</v>
      </c>
      <c r="AF233" t="s">
        <v>425</v>
      </c>
      <c r="AG233" s="2">
        <f t="shared" si="38"/>
        <v>10</v>
      </c>
      <c r="AH233" s="2">
        <f t="shared" si="39"/>
        <v>0</v>
      </c>
      <c r="AI233" s="3">
        <v>109.9999999918509</v>
      </c>
      <c r="AJ233" s="2">
        <v>0</v>
      </c>
      <c r="AK233">
        <v>0</v>
      </c>
      <c r="AL233">
        <v>1</v>
      </c>
      <c r="AM233">
        <v>0</v>
      </c>
      <c r="AN233" s="2">
        <f>IF((2*G233+M233-O233+3*V233+2*AB233+2*AE233+2*AH233+3*AJ233)&gt;=7,1,0)</f>
        <v>0</v>
      </c>
    </row>
    <row r="234" spans="1:40" x14ac:dyDescent="0.25">
      <c r="A234" t="s">
        <v>27</v>
      </c>
      <c r="B234" s="1">
        <v>37174</v>
      </c>
      <c r="C234" s="6">
        <f t="shared" si="30"/>
        <v>2001</v>
      </c>
      <c r="D234">
        <v>77.099999999999994</v>
      </c>
      <c r="E234">
        <v>71.7</v>
      </c>
      <c r="F234">
        <v>73.900000000000006</v>
      </c>
      <c r="G234" s="2">
        <f t="shared" si="31"/>
        <v>1</v>
      </c>
      <c r="H234">
        <v>77.099999999999994</v>
      </c>
      <c r="I234">
        <v>71.7</v>
      </c>
      <c r="J234">
        <v>73.900000000000006</v>
      </c>
      <c r="K234">
        <v>62.6</v>
      </c>
      <c r="L234">
        <v>68.099999999999994</v>
      </c>
      <c r="M234" s="2">
        <f t="shared" si="32"/>
        <v>0</v>
      </c>
      <c r="N234">
        <v>0</v>
      </c>
      <c r="O234" s="2">
        <f t="shared" si="33"/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 s="2">
        <f t="shared" si="34"/>
        <v>0</v>
      </c>
      <c r="W234">
        <v>16.100000000000001</v>
      </c>
      <c r="X234" s="2">
        <f t="shared" si="35"/>
        <v>1</v>
      </c>
      <c r="Y234">
        <v>287.3</v>
      </c>
      <c r="Z234" s="2" t="str">
        <f>CHOOSE(MATCH(Y234,{0;11;80;111;161;191;241;281;341},1),"North","NorthEast","East","SouthEast","South","SouthWest","West","NorthWest","North")</f>
        <v>NorthWest</v>
      </c>
      <c r="AA234" s="4">
        <f>CHOOSE(MATCH(Z234,{"South";"SouthEast";"SouthWest";"North";"NorthEast";"East";"West";"NorthWest"},0),1,2,3,4,5,6,7,8)</f>
        <v>8</v>
      </c>
      <c r="AB234" s="2">
        <f t="shared" si="36"/>
        <v>1</v>
      </c>
      <c r="AC234">
        <v>1018.5</v>
      </c>
      <c r="AD234" t="s">
        <v>97</v>
      </c>
      <c r="AE234" s="2">
        <f t="shared" si="37"/>
        <v>1</v>
      </c>
      <c r="AF234" t="s">
        <v>426</v>
      </c>
      <c r="AG234" s="2">
        <f t="shared" si="38"/>
        <v>10</v>
      </c>
      <c r="AH234" s="2">
        <f t="shared" si="39"/>
        <v>0</v>
      </c>
      <c r="AI234" s="3">
        <v>640.9999999939464</v>
      </c>
      <c r="AJ234" s="2">
        <v>1</v>
      </c>
      <c r="AK234">
        <v>0</v>
      </c>
      <c r="AL234">
        <v>4</v>
      </c>
      <c r="AM234">
        <v>0</v>
      </c>
      <c r="AN234" s="2">
        <f>IF((2*G234+M234-O234+3*V234+2*AB234+2*AE234+2*AH234+3*AJ234)&gt;=7,1,0)</f>
        <v>1</v>
      </c>
    </row>
    <row r="235" spans="1:40" x14ac:dyDescent="0.25">
      <c r="A235" t="s">
        <v>27</v>
      </c>
      <c r="B235" s="1">
        <v>37175</v>
      </c>
      <c r="C235" s="6">
        <f t="shared" si="30"/>
        <v>2001</v>
      </c>
      <c r="D235">
        <v>77.099999999999994</v>
      </c>
      <c r="E235">
        <v>71.7</v>
      </c>
      <c r="F235">
        <v>74</v>
      </c>
      <c r="G235" s="2">
        <f t="shared" si="31"/>
        <v>1</v>
      </c>
      <c r="H235">
        <v>77.099999999999994</v>
      </c>
      <c r="I235">
        <v>71.7</v>
      </c>
      <c r="J235">
        <v>74</v>
      </c>
      <c r="K235">
        <v>63.2</v>
      </c>
      <c r="L235">
        <v>68.900000000000006</v>
      </c>
      <c r="M235" s="2">
        <f t="shared" si="32"/>
        <v>0</v>
      </c>
      <c r="N235">
        <v>0</v>
      </c>
      <c r="O235" s="2">
        <f t="shared" si="33"/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s="2">
        <f t="shared" si="34"/>
        <v>0</v>
      </c>
      <c r="W235">
        <v>17.2</v>
      </c>
      <c r="X235" s="2">
        <f t="shared" si="35"/>
        <v>1</v>
      </c>
      <c r="Y235">
        <v>300.3</v>
      </c>
      <c r="Z235" s="2" t="str">
        <f>CHOOSE(MATCH(Y235,{0;11;80;111;161;191;241;281;341},1),"North","NorthEast","East","SouthEast","South","SouthWest","West","NorthWest","North")</f>
        <v>NorthWest</v>
      </c>
      <c r="AA235" s="4">
        <f>CHOOSE(MATCH(Z235,{"South";"SouthEast";"SouthWest";"North";"NorthEast";"East";"West";"NorthWest"},0),1,2,3,4,5,6,7,8)</f>
        <v>8</v>
      </c>
      <c r="AB235" s="2">
        <f t="shared" si="36"/>
        <v>1</v>
      </c>
      <c r="AC235">
        <v>1018.1</v>
      </c>
      <c r="AD235" t="s">
        <v>427</v>
      </c>
      <c r="AE235" s="2">
        <f t="shared" si="37"/>
        <v>1</v>
      </c>
      <c r="AF235" t="s">
        <v>428</v>
      </c>
      <c r="AG235" s="2">
        <f t="shared" si="38"/>
        <v>10</v>
      </c>
      <c r="AH235" s="2">
        <f t="shared" si="39"/>
        <v>0</v>
      </c>
      <c r="AI235" s="3">
        <v>239.99999999650751</v>
      </c>
      <c r="AJ235" s="2">
        <v>0</v>
      </c>
      <c r="AK235">
        <v>0</v>
      </c>
      <c r="AL235">
        <v>5</v>
      </c>
      <c r="AM235">
        <v>0</v>
      </c>
      <c r="AN235" s="2">
        <f>IF((2*G235+M235-O235+3*V235+2*AB235+2*AE235+2*AH235+3*AJ235)&gt;=7,1,0)</f>
        <v>0</v>
      </c>
    </row>
    <row r="236" spans="1:40" x14ac:dyDescent="0.25">
      <c r="A236" t="s">
        <v>27</v>
      </c>
      <c r="B236" s="1">
        <v>37176</v>
      </c>
      <c r="C236" s="6">
        <f t="shared" si="30"/>
        <v>2001</v>
      </c>
      <c r="D236">
        <v>78.900000000000006</v>
      </c>
      <c r="E236">
        <v>73.5</v>
      </c>
      <c r="F236">
        <v>75.2</v>
      </c>
      <c r="G236" s="2">
        <f t="shared" si="31"/>
        <v>1</v>
      </c>
      <c r="H236">
        <v>78.900000000000006</v>
      </c>
      <c r="I236">
        <v>73.5</v>
      </c>
      <c r="J236">
        <v>75.2</v>
      </c>
      <c r="K236">
        <v>61.6</v>
      </c>
      <c r="L236">
        <v>63</v>
      </c>
      <c r="M236" s="2">
        <f t="shared" si="32"/>
        <v>1</v>
      </c>
      <c r="N236">
        <v>0</v>
      </c>
      <c r="O236" s="2">
        <f t="shared" si="33"/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 s="2">
        <f t="shared" si="34"/>
        <v>0</v>
      </c>
      <c r="W236">
        <v>20.8</v>
      </c>
      <c r="X236" s="2">
        <f t="shared" si="35"/>
        <v>1</v>
      </c>
      <c r="Y236">
        <v>301.39999999999998</v>
      </c>
      <c r="Z236" s="2" t="str">
        <f>CHOOSE(MATCH(Y236,{0;11;80;111;161;191;241;281;341},1),"North","NorthEast","East","SouthEast","South","SouthWest","West","NorthWest","North")</f>
        <v>NorthWest</v>
      </c>
      <c r="AA236" s="4">
        <f>CHOOSE(MATCH(Z236,{"South";"SouthEast";"SouthWest";"North";"NorthEast";"East";"West";"NorthWest"},0),1,2,3,4,5,6,7,8)</f>
        <v>8</v>
      </c>
      <c r="AB236" s="2">
        <f t="shared" si="36"/>
        <v>1</v>
      </c>
      <c r="AC236">
        <v>1015.8</v>
      </c>
      <c r="AD236" t="s">
        <v>429</v>
      </c>
      <c r="AE236" s="2">
        <f t="shared" si="37"/>
        <v>1</v>
      </c>
      <c r="AF236" t="s">
        <v>430</v>
      </c>
      <c r="AG236" s="2">
        <f t="shared" si="38"/>
        <v>10</v>
      </c>
      <c r="AH236" s="2">
        <f t="shared" si="39"/>
        <v>0</v>
      </c>
      <c r="AI236" s="3">
        <v>1755</v>
      </c>
      <c r="AJ236" s="2">
        <v>1</v>
      </c>
      <c r="AK236">
        <v>0</v>
      </c>
      <c r="AL236">
        <v>10</v>
      </c>
      <c r="AM236">
        <v>0</v>
      </c>
      <c r="AN236" s="2">
        <f>IF((2*G236+M236-O236+3*V236+2*AB236+2*AE236+2*AH236+3*AJ236)&gt;=7,1,0)</f>
        <v>1</v>
      </c>
    </row>
    <row r="237" spans="1:40" x14ac:dyDescent="0.25">
      <c r="A237" t="s">
        <v>27</v>
      </c>
      <c r="B237" s="1">
        <v>37176</v>
      </c>
      <c r="C237" s="6">
        <f t="shared" si="30"/>
        <v>2001</v>
      </c>
      <c r="D237">
        <v>78.900000000000006</v>
      </c>
      <c r="E237">
        <v>73.5</v>
      </c>
      <c r="F237">
        <v>75.2</v>
      </c>
      <c r="G237" s="2">
        <f t="shared" si="31"/>
        <v>1</v>
      </c>
      <c r="H237">
        <v>78.900000000000006</v>
      </c>
      <c r="I237">
        <v>73.5</v>
      </c>
      <c r="J237">
        <v>75.2</v>
      </c>
      <c r="K237">
        <v>61.6</v>
      </c>
      <c r="L237">
        <v>63</v>
      </c>
      <c r="M237" s="2">
        <f t="shared" si="32"/>
        <v>1</v>
      </c>
      <c r="N237">
        <v>0</v>
      </c>
      <c r="O237" s="2">
        <f t="shared" si="33"/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s="2">
        <f t="shared" si="34"/>
        <v>0</v>
      </c>
      <c r="W237">
        <v>20.8</v>
      </c>
      <c r="X237" s="2">
        <f t="shared" si="35"/>
        <v>1</v>
      </c>
      <c r="Y237">
        <v>301.39999999999998</v>
      </c>
      <c r="Z237" s="2" t="str">
        <f>CHOOSE(MATCH(Y237,{0;11;80;111;161;191;241;281;341},1),"North","NorthEast","East","SouthEast","South","SouthWest","West","NorthWest","North")</f>
        <v>NorthWest</v>
      </c>
      <c r="AA237" s="4">
        <f>CHOOSE(MATCH(Z237,{"South";"SouthEast";"SouthWest";"North";"NorthEast";"East";"West";"NorthWest"},0),1,2,3,4,5,6,7,8)</f>
        <v>8</v>
      </c>
      <c r="AB237" s="2">
        <f t="shared" si="36"/>
        <v>1</v>
      </c>
      <c r="AC237">
        <v>1015.8</v>
      </c>
      <c r="AD237" t="s">
        <v>431</v>
      </c>
      <c r="AE237" s="2">
        <f t="shared" si="37"/>
        <v>0</v>
      </c>
      <c r="AF237" t="s">
        <v>432</v>
      </c>
      <c r="AG237" s="2">
        <f t="shared" si="38"/>
        <v>10</v>
      </c>
      <c r="AH237" s="2">
        <f t="shared" si="39"/>
        <v>0</v>
      </c>
      <c r="AI237" s="3">
        <v>7575.9999999997672</v>
      </c>
      <c r="AJ237" s="2">
        <v>1</v>
      </c>
      <c r="AK237">
        <v>0</v>
      </c>
      <c r="AL237">
        <v>9000</v>
      </c>
      <c r="AM237">
        <v>0</v>
      </c>
      <c r="AN237" s="2">
        <f>IF((2*G237+M237-O237+3*V237+2*AB237+2*AE237+2*AH237+3*AJ237)&gt;=7,1,0)</f>
        <v>1</v>
      </c>
    </row>
    <row r="238" spans="1:40" x14ac:dyDescent="0.25">
      <c r="A238" t="s">
        <v>27</v>
      </c>
      <c r="B238" s="1">
        <v>37176</v>
      </c>
      <c r="C238" s="6">
        <f t="shared" si="30"/>
        <v>2001</v>
      </c>
      <c r="D238">
        <v>78.900000000000006</v>
      </c>
      <c r="E238">
        <v>73.5</v>
      </c>
      <c r="F238">
        <v>75.2</v>
      </c>
      <c r="G238" s="2">
        <f t="shared" si="31"/>
        <v>1</v>
      </c>
      <c r="H238">
        <v>78.900000000000006</v>
      </c>
      <c r="I238">
        <v>73.5</v>
      </c>
      <c r="J238">
        <v>75.2</v>
      </c>
      <c r="K238">
        <v>61.6</v>
      </c>
      <c r="L238">
        <v>63</v>
      </c>
      <c r="M238" s="2">
        <f t="shared" si="32"/>
        <v>1</v>
      </c>
      <c r="N238">
        <v>0</v>
      </c>
      <c r="O238" s="2">
        <f t="shared" si="33"/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s="2">
        <f t="shared" si="34"/>
        <v>0</v>
      </c>
      <c r="W238">
        <v>20.8</v>
      </c>
      <c r="X238" s="2">
        <f t="shared" si="35"/>
        <v>1</v>
      </c>
      <c r="Y238">
        <v>301.39999999999998</v>
      </c>
      <c r="Z238" s="2" t="str">
        <f>CHOOSE(MATCH(Y238,{0;11;80;111;161;191;241;281;341},1),"North","NorthEast","East","SouthEast","South","SouthWest","West","NorthWest","North")</f>
        <v>NorthWest</v>
      </c>
      <c r="AA238" s="4">
        <f>CHOOSE(MATCH(Z238,{"South";"SouthEast";"SouthWest";"North";"NorthEast";"East";"West";"NorthWest"},0),1,2,3,4,5,6,7,8)</f>
        <v>8</v>
      </c>
      <c r="AB238" s="2">
        <f t="shared" si="36"/>
        <v>1</v>
      </c>
      <c r="AC238">
        <v>1015.8</v>
      </c>
      <c r="AD238" t="s">
        <v>258</v>
      </c>
      <c r="AE238" s="2">
        <f t="shared" si="37"/>
        <v>1</v>
      </c>
      <c r="AF238" t="s">
        <v>433</v>
      </c>
      <c r="AG238" s="2">
        <f t="shared" si="38"/>
        <v>10</v>
      </c>
      <c r="AH238" s="2">
        <f t="shared" si="39"/>
        <v>0</v>
      </c>
      <c r="AI238" s="3">
        <v>240.9999999997672</v>
      </c>
      <c r="AJ238" s="2">
        <v>0</v>
      </c>
      <c r="AK238">
        <v>10</v>
      </c>
      <c r="AL238">
        <v>0</v>
      </c>
      <c r="AM238">
        <v>0</v>
      </c>
      <c r="AN238" s="2">
        <f>IF((2*G238+M238-O238+3*V238+2*AB238+2*AE238+2*AH238+3*AJ238)&gt;=7,1,0)</f>
        <v>0</v>
      </c>
    </row>
    <row r="239" spans="1:40" x14ac:dyDescent="0.25">
      <c r="A239" t="s">
        <v>27</v>
      </c>
      <c r="B239" s="1">
        <v>37177</v>
      </c>
      <c r="C239" s="6">
        <f t="shared" si="30"/>
        <v>2001</v>
      </c>
      <c r="D239">
        <v>75.3</v>
      </c>
      <c r="E239">
        <v>69.900000000000006</v>
      </c>
      <c r="F239">
        <v>72.599999999999994</v>
      </c>
      <c r="G239" s="2">
        <f t="shared" si="31"/>
        <v>1</v>
      </c>
      <c r="H239">
        <v>75.3</v>
      </c>
      <c r="I239">
        <v>69.900000000000006</v>
      </c>
      <c r="J239">
        <v>72.599999999999994</v>
      </c>
      <c r="K239">
        <v>61.4</v>
      </c>
      <c r="L239">
        <v>68.099999999999994</v>
      </c>
      <c r="M239" s="2">
        <f t="shared" si="32"/>
        <v>0</v>
      </c>
      <c r="N239">
        <v>0</v>
      </c>
      <c r="O239" s="2">
        <f t="shared" si="33"/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 s="2">
        <f t="shared" si="34"/>
        <v>0</v>
      </c>
      <c r="W239">
        <v>20.8</v>
      </c>
      <c r="X239" s="2">
        <f t="shared" si="35"/>
        <v>1</v>
      </c>
      <c r="Y239">
        <v>312.39999999999998</v>
      </c>
      <c r="Z239" s="2" t="str">
        <f>CHOOSE(MATCH(Y239,{0;11;80;111;161;191;241;281;341},1),"North","NorthEast","East","SouthEast","South","SouthWest","West","NorthWest","North")</f>
        <v>NorthWest</v>
      </c>
      <c r="AA239" s="4">
        <f>CHOOSE(MATCH(Z239,{"South";"SouthEast";"SouthWest";"North";"NorthEast";"East";"West";"NorthWest"},0),1,2,3,4,5,6,7,8)</f>
        <v>8</v>
      </c>
      <c r="AB239" s="2">
        <f t="shared" si="36"/>
        <v>1</v>
      </c>
      <c r="AC239">
        <v>1015.2</v>
      </c>
      <c r="AD239" t="s">
        <v>215</v>
      </c>
      <c r="AE239" s="2">
        <f t="shared" si="37"/>
        <v>1</v>
      </c>
      <c r="AF239" t="s">
        <v>434</v>
      </c>
      <c r="AG239" s="2">
        <f t="shared" si="38"/>
        <v>10</v>
      </c>
      <c r="AH239" s="2">
        <f t="shared" si="39"/>
        <v>0</v>
      </c>
      <c r="AI239" s="3">
        <v>4560.9999999997672</v>
      </c>
      <c r="AJ239" s="2">
        <v>1</v>
      </c>
      <c r="AK239">
        <v>0</v>
      </c>
      <c r="AL239">
        <v>100</v>
      </c>
      <c r="AM239">
        <v>0</v>
      </c>
      <c r="AN239" s="2">
        <f>IF((2*G239+M239-O239+3*V239+2*AB239+2*AE239+2*AH239+3*AJ239)&gt;=7,1,0)</f>
        <v>1</v>
      </c>
    </row>
    <row r="240" spans="1:40" x14ac:dyDescent="0.25">
      <c r="A240" t="s">
        <v>27</v>
      </c>
      <c r="B240" s="1">
        <v>37177</v>
      </c>
      <c r="C240" s="6">
        <f t="shared" si="30"/>
        <v>2001</v>
      </c>
      <c r="D240">
        <v>75.3</v>
      </c>
      <c r="E240">
        <v>69.900000000000006</v>
      </c>
      <c r="F240">
        <v>72.599999999999994</v>
      </c>
      <c r="G240" s="2">
        <f t="shared" si="31"/>
        <v>1</v>
      </c>
      <c r="H240">
        <v>75.3</v>
      </c>
      <c r="I240">
        <v>69.900000000000006</v>
      </c>
      <c r="J240">
        <v>72.599999999999994</v>
      </c>
      <c r="K240">
        <v>61.4</v>
      </c>
      <c r="L240">
        <v>68.099999999999994</v>
      </c>
      <c r="M240" s="2">
        <f t="shared" si="32"/>
        <v>0</v>
      </c>
      <c r="N240">
        <v>0</v>
      </c>
      <c r="O240" s="2">
        <f t="shared" si="33"/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s="2">
        <f t="shared" si="34"/>
        <v>0</v>
      </c>
      <c r="W240">
        <v>20.8</v>
      </c>
      <c r="X240" s="2">
        <f t="shared" si="35"/>
        <v>1</v>
      </c>
      <c r="Y240">
        <v>312.39999999999998</v>
      </c>
      <c r="Z240" s="2" t="str">
        <f>CHOOSE(MATCH(Y240,{0;11;80;111;161;191;241;281;341},1),"North","NorthEast","East","SouthEast","South","SouthWest","West","NorthWest","North")</f>
        <v>NorthWest</v>
      </c>
      <c r="AA240" s="4">
        <f>CHOOSE(MATCH(Z240,{"South";"SouthEast";"SouthWest";"North";"NorthEast";"East";"West";"NorthWest"},0),1,2,3,4,5,6,7,8)</f>
        <v>8</v>
      </c>
      <c r="AB240" s="2">
        <f t="shared" si="36"/>
        <v>1</v>
      </c>
      <c r="AC240">
        <v>1015.2</v>
      </c>
      <c r="AD240" t="s">
        <v>435</v>
      </c>
      <c r="AE240" s="2">
        <f t="shared" si="37"/>
        <v>1</v>
      </c>
      <c r="AF240" t="s">
        <v>436</v>
      </c>
      <c r="AG240" s="2">
        <f t="shared" si="38"/>
        <v>10</v>
      </c>
      <c r="AH240" s="2">
        <f t="shared" si="39"/>
        <v>0</v>
      </c>
      <c r="AI240" s="3">
        <v>2341.0000000032601</v>
      </c>
      <c r="AJ240" s="2">
        <v>1</v>
      </c>
      <c r="AK240">
        <v>0</v>
      </c>
      <c r="AL240">
        <v>500</v>
      </c>
      <c r="AM240">
        <v>0</v>
      </c>
      <c r="AN240" s="2">
        <f>IF((2*G240+M240-O240+3*V240+2*AB240+2*AE240+2*AH240+3*AJ240)&gt;=7,1,0)</f>
        <v>1</v>
      </c>
    </row>
    <row r="241" spans="1:40" x14ac:dyDescent="0.25">
      <c r="A241" t="s">
        <v>27</v>
      </c>
      <c r="B241" s="1">
        <v>37177</v>
      </c>
      <c r="C241" s="6">
        <f t="shared" si="30"/>
        <v>2001</v>
      </c>
      <c r="D241">
        <v>75.3</v>
      </c>
      <c r="E241">
        <v>69.900000000000006</v>
      </c>
      <c r="F241">
        <v>72.599999999999994</v>
      </c>
      <c r="G241" s="2">
        <f t="shared" si="31"/>
        <v>1</v>
      </c>
      <c r="H241">
        <v>75.3</v>
      </c>
      <c r="I241">
        <v>69.900000000000006</v>
      </c>
      <c r="J241">
        <v>72.599999999999994</v>
      </c>
      <c r="K241">
        <v>61.4</v>
      </c>
      <c r="L241">
        <v>68.099999999999994</v>
      </c>
      <c r="M241" s="2">
        <f t="shared" si="32"/>
        <v>0</v>
      </c>
      <c r="N241">
        <v>0</v>
      </c>
      <c r="O241" s="2">
        <f t="shared" si="33"/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s="2">
        <f t="shared" si="34"/>
        <v>0</v>
      </c>
      <c r="W241">
        <v>20.8</v>
      </c>
      <c r="X241" s="2">
        <f t="shared" si="35"/>
        <v>1</v>
      </c>
      <c r="Y241">
        <v>312.39999999999998</v>
      </c>
      <c r="Z241" s="2" t="str">
        <f>CHOOSE(MATCH(Y241,{0;11;80;111;161;191;241;281;341},1),"North","NorthEast","East","SouthEast","South","SouthWest","West","NorthWest","North")</f>
        <v>NorthWest</v>
      </c>
      <c r="AA241" s="4">
        <f>CHOOSE(MATCH(Z241,{"South";"SouthEast";"SouthWest";"North";"NorthEast";"East";"West";"NorthWest"},0),1,2,3,4,5,6,7,8)</f>
        <v>8</v>
      </c>
      <c r="AB241" s="2">
        <f t="shared" si="36"/>
        <v>1</v>
      </c>
      <c r="AC241">
        <v>1015.2</v>
      </c>
      <c r="AD241" t="s">
        <v>437</v>
      </c>
      <c r="AE241" s="2">
        <f t="shared" si="37"/>
        <v>0</v>
      </c>
      <c r="AF241" t="s">
        <v>438</v>
      </c>
      <c r="AG241" s="2">
        <f t="shared" si="38"/>
        <v>10</v>
      </c>
      <c r="AH241" s="2">
        <f t="shared" si="39"/>
        <v>0</v>
      </c>
      <c r="AI241" s="3">
        <v>256.00000000675209</v>
      </c>
      <c r="AJ241" s="2">
        <v>0</v>
      </c>
      <c r="AK241">
        <v>0</v>
      </c>
      <c r="AL241">
        <v>1</v>
      </c>
      <c r="AM241">
        <v>0</v>
      </c>
      <c r="AN241" s="2">
        <f>IF((2*G241+M241-O241+3*V241+2*AB241+2*AE241+2*AH241+3*AJ241)&gt;=7,1,0)</f>
        <v>0</v>
      </c>
    </row>
    <row r="242" spans="1:40" x14ac:dyDescent="0.25">
      <c r="A242" t="s">
        <v>27</v>
      </c>
      <c r="B242" s="1">
        <v>37178</v>
      </c>
      <c r="C242" s="6">
        <f t="shared" si="30"/>
        <v>2001</v>
      </c>
      <c r="D242">
        <v>73.5</v>
      </c>
      <c r="E242">
        <v>69.900000000000006</v>
      </c>
      <c r="F242">
        <v>70.8</v>
      </c>
      <c r="G242" s="2">
        <f t="shared" si="31"/>
        <v>1</v>
      </c>
      <c r="H242">
        <v>73.5</v>
      </c>
      <c r="I242">
        <v>69.900000000000006</v>
      </c>
      <c r="J242">
        <v>70.8</v>
      </c>
      <c r="K242">
        <v>57.8</v>
      </c>
      <c r="L242">
        <v>63.6</v>
      </c>
      <c r="M242" s="2">
        <f t="shared" si="32"/>
        <v>1</v>
      </c>
      <c r="N242">
        <v>0</v>
      </c>
      <c r="O242" s="2">
        <f t="shared" si="33"/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s="2">
        <f t="shared" si="34"/>
        <v>0</v>
      </c>
      <c r="W242">
        <v>18.3</v>
      </c>
      <c r="X242" s="2">
        <f t="shared" si="35"/>
        <v>1</v>
      </c>
      <c r="Y242">
        <v>314.89999999999998</v>
      </c>
      <c r="Z242" s="2" t="str">
        <f>CHOOSE(MATCH(Y242,{0;11;80;111;161;191;241;281;341},1),"North","NorthEast","East","SouthEast","South","SouthWest","West","NorthWest","North")</f>
        <v>NorthWest</v>
      </c>
      <c r="AA242" s="4">
        <f>CHOOSE(MATCH(Z242,{"South";"SouthEast";"SouthWest";"North";"NorthEast";"East";"West";"NorthWest"},0),1,2,3,4,5,6,7,8)</f>
        <v>8</v>
      </c>
      <c r="AB242" s="2">
        <f t="shared" si="36"/>
        <v>1</v>
      </c>
      <c r="AC242">
        <v>1014.9</v>
      </c>
      <c r="AD242" t="s">
        <v>439</v>
      </c>
      <c r="AE242" s="2">
        <f t="shared" si="37"/>
        <v>1</v>
      </c>
      <c r="AF242" t="s">
        <v>440</v>
      </c>
      <c r="AG242" s="2">
        <f t="shared" si="38"/>
        <v>10</v>
      </c>
      <c r="AH242" s="2">
        <f t="shared" si="39"/>
        <v>0</v>
      </c>
      <c r="AI242" s="3">
        <v>195.9999999997672</v>
      </c>
      <c r="AJ242" s="2">
        <v>0</v>
      </c>
      <c r="AK242">
        <v>0</v>
      </c>
      <c r="AL242">
        <v>2</v>
      </c>
      <c r="AM242">
        <v>0</v>
      </c>
      <c r="AN242" s="2">
        <f>IF((2*G242+M242-O242+3*V242+2*AB242+2*AE242+2*AH242+3*AJ242)&gt;=7,1,0)</f>
        <v>0</v>
      </c>
    </row>
    <row r="243" spans="1:40" x14ac:dyDescent="0.25">
      <c r="A243" t="s">
        <v>27</v>
      </c>
      <c r="B243" s="1">
        <v>37178</v>
      </c>
      <c r="C243" s="6">
        <f t="shared" si="30"/>
        <v>2001</v>
      </c>
      <c r="D243">
        <v>73.5</v>
      </c>
      <c r="E243">
        <v>69.900000000000006</v>
      </c>
      <c r="F243">
        <v>70.8</v>
      </c>
      <c r="G243" s="2">
        <f t="shared" si="31"/>
        <v>1</v>
      </c>
      <c r="H243">
        <v>73.5</v>
      </c>
      <c r="I243">
        <v>69.900000000000006</v>
      </c>
      <c r="J243">
        <v>70.8</v>
      </c>
      <c r="K243">
        <v>57.8</v>
      </c>
      <c r="L243">
        <v>63.6</v>
      </c>
      <c r="M243" s="2">
        <f t="shared" si="32"/>
        <v>1</v>
      </c>
      <c r="N243">
        <v>0</v>
      </c>
      <c r="O243" s="2">
        <f t="shared" si="33"/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 s="2">
        <f t="shared" si="34"/>
        <v>0</v>
      </c>
      <c r="W243">
        <v>18.3</v>
      </c>
      <c r="X243" s="2">
        <f t="shared" si="35"/>
        <v>1</v>
      </c>
      <c r="Y243">
        <v>314.89999999999998</v>
      </c>
      <c r="Z243" s="2" t="str">
        <f>CHOOSE(MATCH(Y243,{0;11;80;111;161;191;241;281;341},1),"North","NorthEast","East","SouthEast","South","SouthWest","West","NorthWest","North")</f>
        <v>NorthWest</v>
      </c>
      <c r="AA243" s="4">
        <f>CHOOSE(MATCH(Z243,{"South";"SouthEast";"SouthWest";"North";"NorthEast";"East";"West";"NorthWest"},0),1,2,3,4,5,6,7,8)</f>
        <v>8</v>
      </c>
      <c r="AB243" s="2">
        <f t="shared" si="36"/>
        <v>1</v>
      </c>
      <c r="AC243">
        <v>1014.9</v>
      </c>
      <c r="AD243" t="s">
        <v>441</v>
      </c>
      <c r="AE243" s="2">
        <f t="shared" si="37"/>
        <v>0</v>
      </c>
      <c r="AF243" t="s">
        <v>442</v>
      </c>
      <c r="AG243" s="2">
        <f t="shared" si="38"/>
        <v>10</v>
      </c>
      <c r="AH243" s="2">
        <f t="shared" si="39"/>
        <v>0</v>
      </c>
      <c r="AI243" s="3">
        <v>239.99999999650751</v>
      </c>
      <c r="AJ243" s="2">
        <v>0</v>
      </c>
      <c r="AK243">
        <v>0</v>
      </c>
      <c r="AL243">
        <v>1</v>
      </c>
      <c r="AM243">
        <v>0</v>
      </c>
      <c r="AN243" s="2">
        <f>IF((2*G243+M243-O243+3*V243+2*AB243+2*AE243+2*AH243+3*AJ243)&gt;=7,1,0)</f>
        <v>0</v>
      </c>
    </row>
    <row r="244" spans="1:40" x14ac:dyDescent="0.25">
      <c r="A244" t="s">
        <v>27</v>
      </c>
      <c r="B244" s="1">
        <v>37179</v>
      </c>
      <c r="C244" s="6">
        <f t="shared" si="30"/>
        <v>2001</v>
      </c>
      <c r="D244">
        <v>73.5</v>
      </c>
      <c r="E244">
        <v>68.099999999999994</v>
      </c>
      <c r="F244">
        <v>70.400000000000006</v>
      </c>
      <c r="G244" s="2">
        <f t="shared" si="31"/>
        <v>1</v>
      </c>
      <c r="H244">
        <v>73.5</v>
      </c>
      <c r="I244">
        <v>68.099999999999994</v>
      </c>
      <c r="J244">
        <v>70.400000000000006</v>
      </c>
      <c r="K244">
        <v>55.8</v>
      </c>
      <c r="L244">
        <v>60.1</v>
      </c>
      <c r="M244" s="2">
        <f t="shared" si="32"/>
        <v>1</v>
      </c>
      <c r="N244">
        <v>0</v>
      </c>
      <c r="O244" s="2">
        <f t="shared" si="33"/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s="2">
        <f t="shared" si="34"/>
        <v>0</v>
      </c>
      <c r="W244">
        <v>19.5</v>
      </c>
      <c r="X244" s="2">
        <f t="shared" si="35"/>
        <v>1</v>
      </c>
      <c r="Y244">
        <v>302.8</v>
      </c>
      <c r="Z244" s="2" t="str">
        <f>CHOOSE(MATCH(Y244,{0;11;80;111;161;191;241;281;341},1),"North","NorthEast","East","SouthEast","South","SouthWest","West","NorthWest","North")</f>
        <v>NorthWest</v>
      </c>
      <c r="AA244" s="4">
        <f>CHOOSE(MATCH(Z244,{"South";"SouthEast";"SouthWest";"North";"NorthEast";"East";"West";"NorthWest"},0),1,2,3,4,5,6,7,8)</f>
        <v>8</v>
      </c>
      <c r="AB244" s="2">
        <f t="shared" si="36"/>
        <v>1</v>
      </c>
      <c r="AC244">
        <v>1015.5</v>
      </c>
      <c r="AD244" t="s">
        <v>443</v>
      </c>
      <c r="AE244" s="2">
        <f t="shared" si="37"/>
        <v>1</v>
      </c>
      <c r="AF244" t="s">
        <v>444</v>
      </c>
      <c r="AG244" s="2">
        <f t="shared" si="38"/>
        <v>10</v>
      </c>
      <c r="AH244" s="2">
        <f t="shared" si="39"/>
        <v>0</v>
      </c>
      <c r="AI244" s="3">
        <v>1093.0000000004659</v>
      </c>
      <c r="AJ244" s="2">
        <v>1</v>
      </c>
      <c r="AK244">
        <v>0</v>
      </c>
      <c r="AL244">
        <v>3</v>
      </c>
      <c r="AM244">
        <v>0</v>
      </c>
      <c r="AN244" s="2">
        <f>IF((2*G244+M244-O244+3*V244+2*AB244+2*AE244+2*AH244+3*AJ244)&gt;=7,1,0)</f>
        <v>1</v>
      </c>
    </row>
    <row r="245" spans="1:40" x14ac:dyDescent="0.25">
      <c r="A245" t="s">
        <v>27</v>
      </c>
      <c r="B245" s="1">
        <v>37181</v>
      </c>
      <c r="C245" s="6">
        <f t="shared" si="30"/>
        <v>2001</v>
      </c>
      <c r="D245">
        <v>73.5</v>
      </c>
      <c r="E245">
        <v>68.099999999999994</v>
      </c>
      <c r="F245">
        <v>70.3</v>
      </c>
      <c r="G245" s="2">
        <f t="shared" si="31"/>
        <v>1</v>
      </c>
      <c r="H245">
        <v>73.5</v>
      </c>
      <c r="I245">
        <v>68.099999999999994</v>
      </c>
      <c r="J245">
        <v>70.3</v>
      </c>
      <c r="K245">
        <v>56.4</v>
      </c>
      <c r="L245">
        <v>61.4</v>
      </c>
      <c r="M245" s="2">
        <f t="shared" si="32"/>
        <v>1</v>
      </c>
      <c r="N245">
        <v>0</v>
      </c>
      <c r="O245" s="2">
        <f t="shared" si="33"/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 s="2">
        <f t="shared" si="34"/>
        <v>0</v>
      </c>
      <c r="W245">
        <v>19.5</v>
      </c>
      <c r="X245" s="2">
        <f t="shared" si="35"/>
        <v>1</v>
      </c>
      <c r="Y245">
        <v>311.2</v>
      </c>
      <c r="Z245" s="2" t="str">
        <f>CHOOSE(MATCH(Y245,{0;11;80;111;161;191;241;281;341},1),"North","NorthEast","East","SouthEast","South","SouthWest","West","NorthWest","North")</f>
        <v>NorthWest</v>
      </c>
      <c r="AA245" s="4">
        <f>CHOOSE(MATCH(Z245,{"South";"SouthEast";"SouthWest";"North";"NorthEast";"East";"West";"NorthWest"},0),1,2,3,4,5,6,7,8)</f>
        <v>8</v>
      </c>
      <c r="AB245" s="2">
        <f t="shared" si="36"/>
        <v>1</v>
      </c>
      <c r="AC245">
        <v>1018</v>
      </c>
      <c r="AD245" t="s">
        <v>445</v>
      </c>
      <c r="AE245" s="2">
        <f t="shared" si="37"/>
        <v>0</v>
      </c>
      <c r="AF245" t="s">
        <v>446</v>
      </c>
      <c r="AG245" s="2">
        <f t="shared" si="38"/>
        <v>10</v>
      </c>
      <c r="AH245" s="2">
        <f t="shared" si="39"/>
        <v>0</v>
      </c>
      <c r="AI245" s="3">
        <v>439.99999999883579</v>
      </c>
      <c r="AJ245" s="2">
        <v>1</v>
      </c>
      <c r="AK245">
        <v>0</v>
      </c>
      <c r="AL245">
        <v>5</v>
      </c>
      <c r="AM245">
        <v>0</v>
      </c>
      <c r="AN245" s="2">
        <f>IF((2*G245+M245-O245+3*V245+2*AB245+2*AE245+2*AH245+3*AJ245)&gt;=7,1,0)</f>
        <v>1</v>
      </c>
    </row>
    <row r="246" spans="1:40" x14ac:dyDescent="0.25">
      <c r="A246" t="s">
        <v>27</v>
      </c>
      <c r="B246" s="1">
        <v>37185</v>
      </c>
      <c r="C246" s="6">
        <f t="shared" si="30"/>
        <v>2001</v>
      </c>
      <c r="D246">
        <v>73.5</v>
      </c>
      <c r="E246">
        <v>62.7</v>
      </c>
      <c r="F246">
        <v>67</v>
      </c>
      <c r="G246" s="2">
        <f t="shared" si="31"/>
        <v>0</v>
      </c>
      <c r="H246">
        <v>73.5</v>
      </c>
      <c r="I246">
        <v>62.7</v>
      </c>
      <c r="J246">
        <v>67</v>
      </c>
      <c r="K246">
        <v>54.1</v>
      </c>
      <c r="L246">
        <v>63.7</v>
      </c>
      <c r="M246" s="2">
        <f t="shared" si="32"/>
        <v>1</v>
      </c>
      <c r="N246">
        <v>0</v>
      </c>
      <c r="O246" s="2">
        <f t="shared" si="33"/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 s="2">
        <f t="shared" si="34"/>
        <v>0</v>
      </c>
      <c r="W246">
        <v>10.3</v>
      </c>
      <c r="X246" s="2">
        <f t="shared" si="35"/>
        <v>0</v>
      </c>
      <c r="Y246">
        <v>270.3</v>
      </c>
      <c r="Z246" s="2" t="str">
        <f>CHOOSE(MATCH(Y246,{0;11;80;111;161;191;241;281;341},1),"North","NorthEast","East","SouthEast","South","SouthWest","West","NorthWest","North")</f>
        <v>West</v>
      </c>
      <c r="AA246" s="4">
        <f>CHOOSE(MATCH(Z246,{"South";"SouthEast";"SouthWest";"North";"NorthEast";"East";"West";"NorthWest"},0),1,2,3,4,5,6,7,8)</f>
        <v>7</v>
      </c>
      <c r="AB246" s="2">
        <f t="shared" si="36"/>
        <v>0</v>
      </c>
      <c r="AC246">
        <v>1017.9</v>
      </c>
      <c r="AD246" t="s">
        <v>99</v>
      </c>
      <c r="AE246" s="2">
        <f t="shared" si="37"/>
        <v>1</v>
      </c>
      <c r="AF246" t="s">
        <v>447</v>
      </c>
      <c r="AG246" s="2">
        <f t="shared" si="38"/>
        <v>10</v>
      </c>
      <c r="AH246" s="2">
        <f t="shared" si="39"/>
        <v>0</v>
      </c>
      <c r="AI246" s="3">
        <v>445.00000000465661</v>
      </c>
      <c r="AJ246" s="2">
        <v>1</v>
      </c>
      <c r="AK246">
        <v>1.5</v>
      </c>
      <c r="AL246">
        <v>0</v>
      </c>
      <c r="AM246">
        <v>0</v>
      </c>
      <c r="AN246" s="2">
        <f>IF((2*G246+M246-O246+3*V246+2*AB246+2*AE246+2*AH246+3*AJ246)&gt;=7,1,0)</f>
        <v>0</v>
      </c>
    </row>
    <row r="247" spans="1:40" x14ac:dyDescent="0.25">
      <c r="A247" t="s">
        <v>27</v>
      </c>
      <c r="B247" s="1">
        <v>37186</v>
      </c>
      <c r="C247" s="6">
        <f t="shared" si="30"/>
        <v>2001</v>
      </c>
      <c r="D247">
        <v>82.5</v>
      </c>
      <c r="E247">
        <v>60.9</v>
      </c>
      <c r="F247">
        <v>70</v>
      </c>
      <c r="G247" s="2">
        <f t="shared" si="31"/>
        <v>0</v>
      </c>
      <c r="H247">
        <v>83</v>
      </c>
      <c r="I247">
        <v>60.9</v>
      </c>
      <c r="J247">
        <v>70</v>
      </c>
      <c r="K247">
        <v>57.1</v>
      </c>
      <c r="L247">
        <v>65</v>
      </c>
      <c r="M247" s="2">
        <f t="shared" si="32"/>
        <v>1</v>
      </c>
      <c r="N247">
        <v>0</v>
      </c>
      <c r="O247" s="2">
        <f t="shared" si="33"/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 s="2">
        <f t="shared" si="34"/>
        <v>0</v>
      </c>
      <c r="W247">
        <v>17.2</v>
      </c>
      <c r="X247" s="2">
        <f t="shared" si="35"/>
        <v>1</v>
      </c>
      <c r="Y247">
        <v>207.8</v>
      </c>
      <c r="Z247" s="2" t="str">
        <f>CHOOSE(MATCH(Y247,{0;11;80;111;161;191;241;281;341},1),"North","NorthEast","East","SouthEast","South","SouthWest","West","NorthWest","North")</f>
        <v>SouthWest</v>
      </c>
      <c r="AA247" s="4">
        <f>CHOOSE(MATCH(Z247,{"South";"SouthEast";"SouthWest";"North";"NorthEast";"East";"West";"NorthWest"},0),1,2,3,4,5,6,7,8)</f>
        <v>3</v>
      </c>
      <c r="AB247" s="2">
        <f t="shared" si="36"/>
        <v>0</v>
      </c>
      <c r="AC247">
        <v>1015.6</v>
      </c>
      <c r="AD247" t="s">
        <v>302</v>
      </c>
      <c r="AE247" s="2">
        <f t="shared" si="37"/>
        <v>1</v>
      </c>
      <c r="AF247" t="s">
        <v>448</v>
      </c>
      <c r="AG247" s="2">
        <f t="shared" si="38"/>
        <v>10</v>
      </c>
      <c r="AH247" s="2">
        <f t="shared" si="39"/>
        <v>0</v>
      </c>
      <c r="AI247" s="3">
        <v>195.9999999997672</v>
      </c>
      <c r="AJ247" s="2">
        <v>0</v>
      </c>
      <c r="AK247">
        <v>0</v>
      </c>
      <c r="AL247">
        <v>1</v>
      </c>
      <c r="AM247">
        <v>0</v>
      </c>
      <c r="AN247" s="2">
        <f>IF((2*G247+M247-O247+3*V247+2*AB247+2*AE247+2*AH247+3*AJ247)&gt;=7,1,0)</f>
        <v>0</v>
      </c>
    </row>
    <row r="248" spans="1:40" x14ac:dyDescent="0.25">
      <c r="A248" t="s">
        <v>27</v>
      </c>
      <c r="B248" s="1">
        <v>37187</v>
      </c>
      <c r="C248" s="6">
        <f t="shared" si="30"/>
        <v>2001</v>
      </c>
      <c r="D248">
        <v>77.099999999999994</v>
      </c>
      <c r="E248">
        <v>64.5</v>
      </c>
      <c r="F248">
        <v>72.099999999999994</v>
      </c>
      <c r="G248" s="2">
        <f t="shared" si="31"/>
        <v>1</v>
      </c>
      <c r="H248">
        <v>77.099999999999994</v>
      </c>
      <c r="I248">
        <v>64.5</v>
      </c>
      <c r="J248">
        <v>72.099999999999994</v>
      </c>
      <c r="K248">
        <v>60.8</v>
      </c>
      <c r="L248">
        <v>68.3</v>
      </c>
      <c r="M248" s="2">
        <f t="shared" si="32"/>
        <v>0</v>
      </c>
      <c r="N248">
        <v>0</v>
      </c>
      <c r="O248" s="2">
        <f t="shared" si="33"/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 s="2">
        <f t="shared" si="34"/>
        <v>0</v>
      </c>
      <c r="W248">
        <v>19.5</v>
      </c>
      <c r="X248" s="2">
        <f t="shared" si="35"/>
        <v>1</v>
      </c>
      <c r="Y248">
        <v>277</v>
      </c>
      <c r="Z248" s="2" t="str">
        <f>CHOOSE(MATCH(Y248,{0;11;80;111;161;191;241;281;341},1),"North","NorthEast","East","SouthEast","South","SouthWest","West","NorthWest","North")</f>
        <v>West</v>
      </c>
      <c r="AA248" s="4">
        <f>CHOOSE(MATCH(Z248,{"South";"SouthEast";"SouthWest";"North";"NorthEast";"East";"West";"NorthWest"},0),1,2,3,4,5,6,7,8)</f>
        <v>7</v>
      </c>
      <c r="AB248" s="2">
        <f t="shared" si="36"/>
        <v>0</v>
      </c>
      <c r="AC248">
        <v>1014.2</v>
      </c>
      <c r="AD248" t="s">
        <v>449</v>
      </c>
      <c r="AE248" s="2">
        <f t="shared" si="37"/>
        <v>1</v>
      </c>
      <c r="AF248" t="s">
        <v>450</v>
      </c>
      <c r="AG248" s="2">
        <f t="shared" si="38"/>
        <v>10</v>
      </c>
      <c r="AH248" s="2">
        <f t="shared" si="39"/>
        <v>0</v>
      </c>
      <c r="AI248" s="3">
        <v>75.99999999627471</v>
      </c>
      <c r="AJ248" s="2">
        <v>0</v>
      </c>
      <c r="AK248">
        <v>30</v>
      </c>
      <c r="AL248">
        <v>0</v>
      </c>
      <c r="AM248">
        <v>0</v>
      </c>
      <c r="AN248" s="2">
        <f>IF((2*G248+M248-O248+3*V248+2*AB248+2*AE248+2*AH248+3*AJ248)&gt;=7,1,0)</f>
        <v>0</v>
      </c>
    </row>
    <row r="249" spans="1:40" x14ac:dyDescent="0.25">
      <c r="A249" t="s">
        <v>27</v>
      </c>
      <c r="B249" s="1">
        <v>37187</v>
      </c>
      <c r="C249" s="6">
        <f t="shared" si="30"/>
        <v>2001</v>
      </c>
      <c r="D249">
        <v>77.099999999999994</v>
      </c>
      <c r="E249">
        <v>64.5</v>
      </c>
      <c r="F249">
        <v>72.099999999999994</v>
      </c>
      <c r="G249" s="2">
        <f t="shared" si="31"/>
        <v>1</v>
      </c>
      <c r="H249">
        <v>77.099999999999994</v>
      </c>
      <c r="I249">
        <v>64.5</v>
      </c>
      <c r="J249">
        <v>72.099999999999994</v>
      </c>
      <c r="K249">
        <v>60.8</v>
      </c>
      <c r="L249">
        <v>68.3</v>
      </c>
      <c r="M249" s="2">
        <f t="shared" si="32"/>
        <v>0</v>
      </c>
      <c r="N249">
        <v>0</v>
      </c>
      <c r="O249" s="2">
        <f t="shared" si="33"/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 s="2">
        <f t="shared" si="34"/>
        <v>0</v>
      </c>
      <c r="W249">
        <v>19.5</v>
      </c>
      <c r="X249" s="2">
        <f t="shared" si="35"/>
        <v>1</v>
      </c>
      <c r="Y249">
        <v>277</v>
      </c>
      <c r="Z249" s="2" t="str">
        <f>CHOOSE(MATCH(Y249,{0;11;80;111;161;191;241;281;341},1),"North","NorthEast","East","SouthEast","South","SouthWest","West","NorthWest","North")</f>
        <v>West</v>
      </c>
      <c r="AA249" s="4">
        <f>CHOOSE(MATCH(Z249,{"South";"SouthEast";"SouthWest";"North";"NorthEast";"East";"West";"NorthWest"},0),1,2,3,4,5,6,7,8)</f>
        <v>7</v>
      </c>
      <c r="AB249" s="2">
        <f t="shared" si="36"/>
        <v>0</v>
      </c>
      <c r="AC249">
        <v>1014.2</v>
      </c>
      <c r="AD249" t="s">
        <v>231</v>
      </c>
      <c r="AE249" s="2">
        <f t="shared" si="37"/>
        <v>1</v>
      </c>
      <c r="AF249" t="s">
        <v>451</v>
      </c>
      <c r="AG249" s="2">
        <f t="shared" si="38"/>
        <v>10</v>
      </c>
      <c r="AH249" s="2">
        <f t="shared" si="39"/>
        <v>0</v>
      </c>
      <c r="AI249" s="3">
        <v>206.00000000093129</v>
      </c>
      <c r="AJ249" s="2">
        <v>0</v>
      </c>
      <c r="AK249">
        <v>0</v>
      </c>
      <c r="AL249">
        <v>2</v>
      </c>
      <c r="AM249">
        <v>0</v>
      </c>
      <c r="AN249" s="2">
        <f>IF((2*G249+M249-O249+3*V249+2*AB249+2*AE249+2*AH249+3*AJ249)&gt;=7,1,0)</f>
        <v>0</v>
      </c>
    </row>
    <row r="250" spans="1:40" x14ac:dyDescent="0.25">
      <c r="A250" t="s">
        <v>27</v>
      </c>
      <c r="B250" s="1">
        <v>37188</v>
      </c>
      <c r="C250" s="6">
        <f t="shared" si="30"/>
        <v>2001</v>
      </c>
      <c r="D250">
        <v>73.5</v>
      </c>
      <c r="E250">
        <v>62.7</v>
      </c>
      <c r="F250">
        <v>68.900000000000006</v>
      </c>
      <c r="G250" s="2">
        <f t="shared" si="31"/>
        <v>0</v>
      </c>
      <c r="H250">
        <v>73.5</v>
      </c>
      <c r="I250">
        <v>62.7</v>
      </c>
      <c r="J250">
        <v>68.900000000000006</v>
      </c>
      <c r="K250">
        <v>57.3</v>
      </c>
      <c r="L250">
        <v>68.8</v>
      </c>
      <c r="M250" s="2">
        <f t="shared" si="32"/>
        <v>0</v>
      </c>
      <c r="N250">
        <v>0</v>
      </c>
      <c r="O250" s="2">
        <f t="shared" si="33"/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s="2">
        <f t="shared" si="34"/>
        <v>0</v>
      </c>
      <c r="W250">
        <v>12.8</v>
      </c>
      <c r="X250" s="2">
        <f t="shared" si="35"/>
        <v>0</v>
      </c>
      <c r="Y250">
        <v>316.8</v>
      </c>
      <c r="Z250" s="2" t="str">
        <f>CHOOSE(MATCH(Y250,{0;11;80;111;161;191;241;281;341},1),"North","NorthEast","East","SouthEast","South","SouthWest","West","NorthWest","North")</f>
        <v>NorthWest</v>
      </c>
      <c r="AA250" s="4">
        <f>CHOOSE(MATCH(Z250,{"South";"SouthEast";"SouthWest";"North";"NorthEast";"East";"West";"NorthWest"},0),1,2,3,4,5,6,7,8)</f>
        <v>8</v>
      </c>
      <c r="AB250" s="2">
        <f t="shared" si="36"/>
        <v>1</v>
      </c>
      <c r="AC250">
        <v>1017.3</v>
      </c>
      <c r="AD250" t="s">
        <v>97</v>
      </c>
      <c r="AE250" s="2">
        <f t="shared" si="37"/>
        <v>1</v>
      </c>
      <c r="AF250" t="s">
        <v>452</v>
      </c>
      <c r="AG250" s="2">
        <f t="shared" si="38"/>
        <v>10</v>
      </c>
      <c r="AH250" s="2">
        <f t="shared" si="39"/>
        <v>0</v>
      </c>
      <c r="AI250" s="3">
        <v>455.99999999860302</v>
      </c>
      <c r="AJ250" s="2">
        <v>1</v>
      </c>
      <c r="AK250">
        <v>3</v>
      </c>
      <c r="AL250">
        <v>0</v>
      </c>
      <c r="AM250">
        <v>0</v>
      </c>
      <c r="AN250" s="2">
        <f>IF((2*G250+M250-O250+3*V250+2*AB250+2*AE250+2*AH250+3*AJ250)&gt;=7,1,0)</f>
        <v>0</v>
      </c>
    </row>
    <row r="251" spans="1:40" x14ac:dyDescent="0.25">
      <c r="A251" t="s">
        <v>27</v>
      </c>
      <c r="B251" s="1">
        <v>37188</v>
      </c>
      <c r="C251" s="6">
        <f t="shared" si="30"/>
        <v>2001</v>
      </c>
      <c r="D251">
        <v>73.5</v>
      </c>
      <c r="E251">
        <v>62.7</v>
      </c>
      <c r="F251">
        <v>68.900000000000006</v>
      </c>
      <c r="G251" s="2">
        <f t="shared" si="31"/>
        <v>0</v>
      </c>
      <c r="H251">
        <v>73.5</v>
      </c>
      <c r="I251">
        <v>62.7</v>
      </c>
      <c r="J251">
        <v>68.900000000000006</v>
      </c>
      <c r="K251">
        <v>57.3</v>
      </c>
      <c r="L251">
        <v>68.8</v>
      </c>
      <c r="M251" s="2">
        <f t="shared" si="32"/>
        <v>0</v>
      </c>
      <c r="N251">
        <v>0</v>
      </c>
      <c r="O251" s="2">
        <f t="shared" si="33"/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s="2">
        <f t="shared" si="34"/>
        <v>0</v>
      </c>
      <c r="W251">
        <v>12.8</v>
      </c>
      <c r="X251" s="2">
        <f t="shared" si="35"/>
        <v>0</v>
      </c>
      <c r="Y251">
        <v>316.8</v>
      </c>
      <c r="Z251" s="2" t="str">
        <f>CHOOSE(MATCH(Y251,{0;11;80;111;161;191;241;281;341},1),"North","NorthEast","East","SouthEast","South","SouthWest","West","NorthWest","North")</f>
        <v>NorthWest</v>
      </c>
      <c r="AA251" s="4">
        <f>CHOOSE(MATCH(Z251,{"South";"SouthEast";"SouthWest";"North";"NorthEast";"East";"West";"NorthWest"},0),1,2,3,4,5,6,7,8)</f>
        <v>8</v>
      </c>
      <c r="AB251" s="2">
        <f t="shared" si="36"/>
        <v>1</v>
      </c>
      <c r="AC251">
        <v>1017.3</v>
      </c>
      <c r="AD251" t="s">
        <v>453</v>
      </c>
      <c r="AE251" s="2">
        <f t="shared" si="37"/>
        <v>1</v>
      </c>
      <c r="AF251" t="s">
        <v>454</v>
      </c>
      <c r="AG251" s="2">
        <f t="shared" si="38"/>
        <v>10</v>
      </c>
      <c r="AH251" s="2">
        <f t="shared" si="39"/>
        <v>0</v>
      </c>
      <c r="AI251" s="3">
        <v>230.99999999860299</v>
      </c>
      <c r="AJ251" s="2">
        <v>0</v>
      </c>
      <c r="AK251">
        <v>0</v>
      </c>
      <c r="AL251">
        <v>15</v>
      </c>
      <c r="AM251">
        <v>0</v>
      </c>
      <c r="AN251" s="2">
        <f>IF((2*G251+M251-O251+3*V251+2*AB251+2*AE251+2*AH251+3*AJ251)&gt;=7,1,0)</f>
        <v>0</v>
      </c>
    </row>
    <row r="252" spans="1:40" x14ac:dyDescent="0.25">
      <c r="A252" t="s">
        <v>27</v>
      </c>
      <c r="B252" s="1">
        <v>37192</v>
      </c>
      <c r="C252" s="6">
        <f t="shared" si="30"/>
        <v>2001</v>
      </c>
      <c r="D252">
        <v>66.3</v>
      </c>
      <c r="E252">
        <v>60.9</v>
      </c>
      <c r="F252">
        <v>63.8</v>
      </c>
      <c r="G252" s="2">
        <f t="shared" si="31"/>
        <v>0</v>
      </c>
      <c r="H252">
        <v>66.3</v>
      </c>
      <c r="I252">
        <v>60.9</v>
      </c>
      <c r="J252">
        <v>63.8</v>
      </c>
      <c r="K252">
        <v>46.2</v>
      </c>
      <c r="L252">
        <v>53</v>
      </c>
      <c r="M252" s="2">
        <f t="shared" si="32"/>
        <v>1</v>
      </c>
      <c r="N252">
        <v>8.0000000000000002E-3</v>
      </c>
      <c r="O252" s="2">
        <f t="shared" si="33"/>
        <v>1</v>
      </c>
      <c r="P252">
        <v>100</v>
      </c>
      <c r="Q252">
        <v>8.33</v>
      </c>
      <c r="R252" t="s">
        <v>182</v>
      </c>
      <c r="S252">
        <v>0</v>
      </c>
      <c r="T252">
        <v>0</v>
      </c>
      <c r="U252">
        <v>0</v>
      </c>
      <c r="V252" s="2">
        <f t="shared" si="34"/>
        <v>0</v>
      </c>
      <c r="W252">
        <v>24.2</v>
      </c>
      <c r="X252" s="2">
        <f t="shared" si="35"/>
        <v>1</v>
      </c>
      <c r="Y252">
        <v>328.1</v>
      </c>
      <c r="Z252" s="2" t="str">
        <f>CHOOSE(MATCH(Y252,{0;11;80;111;161;191;241;281;341},1),"North","NorthEast","East","SouthEast","South","SouthWest","West","NorthWest","North")</f>
        <v>NorthWest</v>
      </c>
      <c r="AA252" s="4">
        <f>CHOOSE(MATCH(Z252,{"South";"SouthEast";"SouthWest";"North";"NorthEast";"East";"West";"NorthWest"},0),1,2,3,4,5,6,7,8)</f>
        <v>8</v>
      </c>
      <c r="AB252" s="2">
        <f t="shared" si="36"/>
        <v>1</v>
      </c>
      <c r="AC252">
        <v>1022</v>
      </c>
      <c r="AD252" t="s">
        <v>189</v>
      </c>
      <c r="AE252" s="2">
        <f t="shared" si="37"/>
        <v>1</v>
      </c>
      <c r="AF252" t="s">
        <v>455</v>
      </c>
      <c r="AG252" s="2">
        <f t="shared" si="38"/>
        <v>10</v>
      </c>
      <c r="AH252" s="2">
        <f t="shared" si="39"/>
        <v>0</v>
      </c>
      <c r="AI252" s="3">
        <v>130.99999999743889</v>
      </c>
      <c r="AJ252" s="2">
        <v>0</v>
      </c>
      <c r="AK252">
        <v>0</v>
      </c>
      <c r="AL252">
        <v>3</v>
      </c>
      <c r="AM252">
        <v>0</v>
      </c>
      <c r="AN252" s="2">
        <f>IF((2*G252+M252-O252+3*V252+2*AB252+2*AE252+2*AH252+3*AJ252)&gt;=7,1,0)</f>
        <v>0</v>
      </c>
    </row>
    <row r="253" spans="1:40" x14ac:dyDescent="0.25">
      <c r="A253" t="s">
        <v>27</v>
      </c>
      <c r="B253" s="1">
        <v>37192</v>
      </c>
      <c r="C253" s="6">
        <f t="shared" si="30"/>
        <v>2001</v>
      </c>
      <c r="D253">
        <v>66.3</v>
      </c>
      <c r="E253">
        <v>60.9</v>
      </c>
      <c r="F253">
        <v>63.8</v>
      </c>
      <c r="G253" s="2">
        <f t="shared" si="31"/>
        <v>0</v>
      </c>
      <c r="H253">
        <v>66.3</v>
      </c>
      <c r="I253">
        <v>60.9</v>
      </c>
      <c r="J253">
        <v>63.8</v>
      </c>
      <c r="K253">
        <v>46.2</v>
      </c>
      <c r="L253">
        <v>53</v>
      </c>
      <c r="M253" s="2">
        <f t="shared" si="32"/>
        <v>1</v>
      </c>
      <c r="N253">
        <v>8.0000000000000002E-3</v>
      </c>
      <c r="O253" s="2">
        <f t="shared" si="33"/>
        <v>1</v>
      </c>
      <c r="P253">
        <v>100</v>
      </c>
      <c r="Q253">
        <v>8.33</v>
      </c>
      <c r="R253" t="s">
        <v>182</v>
      </c>
      <c r="S253">
        <v>0</v>
      </c>
      <c r="T253">
        <v>0</v>
      </c>
      <c r="U253">
        <v>0</v>
      </c>
      <c r="V253" s="2">
        <f t="shared" si="34"/>
        <v>0</v>
      </c>
      <c r="W253">
        <v>24.2</v>
      </c>
      <c r="X253" s="2">
        <f t="shared" si="35"/>
        <v>1</v>
      </c>
      <c r="Y253">
        <v>328.1</v>
      </c>
      <c r="Z253" s="2" t="str">
        <f>CHOOSE(MATCH(Y253,{0;11;80;111;161;191;241;281;341},1),"North","NorthEast","East","SouthEast","South","SouthWest","West","NorthWest","North")</f>
        <v>NorthWest</v>
      </c>
      <c r="AA253" s="4">
        <f>CHOOSE(MATCH(Z253,{"South";"SouthEast";"SouthWest";"North";"NorthEast";"East";"West";"NorthWest"},0),1,2,3,4,5,6,7,8)</f>
        <v>8</v>
      </c>
      <c r="AB253" s="2">
        <f t="shared" si="36"/>
        <v>1</v>
      </c>
      <c r="AC253">
        <v>1022</v>
      </c>
      <c r="AD253" t="s">
        <v>215</v>
      </c>
      <c r="AE253" s="2">
        <f t="shared" si="37"/>
        <v>1</v>
      </c>
      <c r="AF253" t="s">
        <v>456</v>
      </c>
      <c r="AG253" s="2">
        <f t="shared" si="38"/>
        <v>10</v>
      </c>
      <c r="AH253" s="2">
        <f t="shared" si="39"/>
        <v>0</v>
      </c>
      <c r="AI253" s="3">
        <v>41.000000007916242</v>
      </c>
      <c r="AJ253" s="2">
        <v>0</v>
      </c>
      <c r="AK253">
        <v>1</v>
      </c>
      <c r="AL253">
        <v>0</v>
      </c>
      <c r="AM253">
        <v>0</v>
      </c>
      <c r="AN253" s="2">
        <f>IF((2*G253+M253-O253+3*V253+2*AB253+2*AE253+2*AH253+3*AJ253)&gt;=7,1,0)</f>
        <v>0</v>
      </c>
    </row>
    <row r="254" spans="1:40" x14ac:dyDescent="0.25">
      <c r="A254" t="s">
        <v>27</v>
      </c>
      <c r="B254" s="1">
        <v>37193</v>
      </c>
      <c r="C254" s="6">
        <f t="shared" si="30"/>
        <v>2001</v>
      </c>
      <c r="D254">
        <v>64.5</v>
      </c>
      <c r="E254">
        <v>60.9</v>
      </c>
      <c r="F254">
        <v>63.2</v>
      </c>
      <c r="G254" s="2">
        <f t="shared" si="31"/>
        <v>0</v>
      </c>
      <c r="H254">
        <v>64.5</v>
      </c>
      <c r="I254">
        <v>60.9</v>
      </c>
      <c r="J254">
        <v>63.2</v>
      </c>
      <c r="K254">
        <v>45.2</v>
      </c>
      <c r="L254">
        <v>52.1</v>
      </c>
      <c r="M254" s="2">
        <f t="shared" si="32"/>
        <v>1</v>
      </c>
      <c r="N254">
        <v>0</v>
      </c>
      <c r="O254" s="2">
        <f t="shared" si="33"/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 s="2">
        <f t="shared" si="34"/>
        <v>0</v>
      </c>
      <c r="W254">
        <v>23</v>
      </c>
      <c r="X254" s="2">
        <f t="shared" si="35"/>
        <v>1</v>
      </c>
      <c r="Y254">
        <v>326.5</v>
      </c>
      <c r="Z254" s="2" t="str">
        <f>CHOOSE(MATCH(Y254,{0;11;80;111;161;191;241;281;341},1),"North","NorthEast","East","SouthEast","South","SouthWest","West","NorthWest","North")</f>
        <v>NorthWest</v>
      </c>
      <c r="AA254" s="4">
        <f>CHOOSE(MATCH(Z254,{"South";"SouthEast";"SouthWest";"North";"NorthEast";"East";"West";"NorthWest"},0),1,2,3,4,5,6,7,8)</f>
        <v>8</v>
      </c>
      <c r="AB254" s="2">
        <f t="shared" si="36"/>
        <v>1</v>
      </c>
      <c r="AC254">
        <v>1022.3</v>
      </c>
      <c r="AD254" t="s">
        <v>258</v>
      </c>
      <c r="AE254" s="2">
        <f t="shared" si="37"/>
        <v>1</v>
      </c>
      <c r="AF254" t="s">
        <v>457</v>
      </c>
      <c r="AG254" s="2">
        <f t="shared" si="38"/>
        <v>10</v>
      </c>
      <c r="AH254" s="2">
        <f t="shared" si="39"/>
        <v>0</v>
      </c>
      <c r="AI254" s="3">
        <v>220.99999999743889</v>
      </c>
      <c r="AJ254" s="2">
        <v>0</v>
      </c>
      <c r="AK254">
        <v>0</v>
      </c>
      <c r="AL254">
        <v>5</v>
      </c>
      <c r="AM254">
        <v>0</v>
      </c>
      <c r="AN254" s="2">
        <f>IF((2*G254+M254-O254+3*V254+2*AB254+2*AE254+2*AH254+3*AJ254)&gt;=7,1,0)</f>
        <v>0</v>
      </c>
    </row>
    <row r="255" spans="1:40" x14ac:dyDescent="0.25">
      <c r="A255" t="s">
        <v>27</v>
      </c>
      <c r="B255" s="1">
        <v>37193</v>
      </c>
      <c r="C255" s="6">
        <f t="shared" si="30"/>
        <v>2001</v>
      </c>
      <c r="D255">
        <v>64.5</v>
      </c>
      <c r="E255">
        <v>60.9</v>
      </c>
      <c r="F255">
        <v>63.2</v>
      </c>
      <c r="G255" s="2">
        <f t="shared" si="31"/>
        <v>0</v>
      </c>
      <c r="H255">
        <v>64.5</v>
      </c>
      <c r="I255">
        <v>60.9</v>
      </c>
      <c r="J255">
        <v>63.2</v>
      </c>
      <c r="K255">
        <v>45.2</v>
      </c>
      <c r="L255">
        <v>52.1</v>
      </c>
      <c r="M255" s="2">
        <f t="shared" si="32"/>
        <v>1</v>
      </c>
      <c r="N255">
        <v>0</v>
      </c>
      <c r="O255" s="2">
        <f t="shared" si="33"/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s="2">
        <f t="shared" si="34"/>
        <v>0</v>
      </c>
      <c r="W255">
        <v>23</v>
      </c>
      <c r="X255" s="2">
        <f t="shared" si="35"/>
        <v>1</v>
      </c>
      <c r="Y255">
        <v>326.5</v>
      </c>
      <c r="Z255" s="2" t="str">
        <f>CHOOSE(MATCH(Y255,{0;11;80;111;161;191;241;281;341},1),"North","NorthEast","East","SouthEast","South","SouthWest","West","NorthWest","North")</f>
        <v>NorthWest</v>
      </c>
      <c r="AA255" s="4">
        <f>CHOOSE(MATCH(Z255,{"South";"SouthEast";"SouthWest";"North";"NorthEast";"East";"West";"NorthWest"},0),1,2,3,4,5,6,7,8)</f>
        <v>8</v>
      </c>
      <c r="AB255" s="2">
        <f t="shared" si="36"/>
        <v>1</v>
      </c>
      <c r="AC255">
        <v>1022.3</v>
      </c>
      <c r="AD255" t="s">
        <v>427</v>
      </c>
      <c r="AE255" s="2">
        <f t="shared" si="37"/>
        <v>1</v>
      </c>
      <c r="AF255" t="s">
        <v>458</v>
      </c>
      <c r="AG255" s="2">
        <f t="shared" si="38"/>
        <v>10</v>
      </c>
      <c r="AH255" s="2">
        <f t="shared" si="39"/>
        <v>0</v>
      </c>
      <c r="AI255" s="3">
        <v>360</v>
      </c>
      <c r="AJ255" s="2">
        <v>0</v>
      </c>
      <c r="AK255">
        <v>0</v>
      </c>
      <c r="AL255">
        <v>10</v>
      </c>
      <c r="AM255">
        <v>0</v>
      </c>
      <c r="AN255" s="2">
        <f>IF((2*G255+M255-O255+3*V255+2*AB255+2*AE255+2*AH255+3*AJ255)&gt;=7,1,0)</f>
        <v>0</v>
      </c>
    </row>
    <row r="256" spans="1:40" x14ac:dyDescent="0.25">
      <c r="A256" t="s">
        <v>27</v>
      </c>
      <c r="B256" s="1">
        <v>37195</v>
      </c>
      <c r="C256" s="6">
        <f t="shared" si="30"/>
        <v>2001</v>
      </c>
      <c r="D256">
        <v>71.7</v>
      </c>
      <c r="E256">
        <v>57.3</v>
      </c>
      <c r="F256">
        <v>64.599999999999994</v>
      </c>
      <c r="G256" s="2">
        <f t="shared" si="31"/>
        <v>0</v>
      </c>
      <c r="H256">
        <v>71.7</v>
      </c>
      <c r="I256">
        <v>57.3</v>
      </c>
      <c r="J256">
        <v>64.599999999999994</v>
      </c>
      <c r="K256">
        <v>51.6</v>
      </c>
      <c r="L256">
        <v>63</v>
      </c>
      <c r="M256" s="2">
        <f t="shared" si="32"/>
        <v>1</v>
      </c>
      <c r="N256">
        <v>0</v>
      </c>
      <c r="O256" s="2">
        <f t="shared" si="33"/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 s="2">
        <f t="shared" si="34"/>
        <v>0</v>
      </c>
      <c r="W256">
        <v>12.8</v>
      </c>
      <c r="X256" s="2">
        <f t="shared" si="35"/>
        <v>0</v>
      </c>
      <c r="Y256">
        <v>285.2</v>
      </c>
      <c r="Z256" s="2" t="str">
        <f>CHOOSE(MATCH(Y256,{0;11;80;111;161;191;241;281;341},1),"North","NorthEast","East","SouthEast","South","SouthWest","West","NorthWest","North")</f>
        <v>NorthWest</v>
      </c>
      <c r="AA256" s="4">
        <f>CHOOSE(MATCH(Z256,{"South";"SouthEast";"SouthWest";"North";"NorthEast";"East";"West";"NorthWest"},0),1,2,3,4,5,6,7,8)</f>
        <v>8</v>
      </c>
      <c r="AB256" s="2">
        <f t="shared" si="36"/>
        <v>1</v>
      </c>
      <c r="AC256">
        <v>1023</v>
      </c>
      <c r="AD256" t="s">
        <v>459</v>
      </c>
      <c r="AE256" s="2">
        <f t="shared" si="37"/>
        <v>0</v>
      </c>
      <c r="AF256" t="s">
        <v>460</v>
      </c>
      <c r="AG256" s="2">
        <f t="shared" si="38"/>
        <v>10</v>
      </c>
      <c r="AH256" s="2">
        <f t="shared" si="39"/>
        <v>0</v>
      </c>
      <c r="AI256" s="3">
        <v>66.000000005587935</v>
      </c>
      <c r="AJ256" s="2">
        <v>0</v>
      </c>
      <c r="AK256">
        <v>0.1</v>
      </c>
      <c r="AL256">
        <v>0</v>
      </c>
      <c r="AM256">
        <v>0</v>
      </c>
      <c r="AN256" s="2">
        <f>IF((2*G256+M256-O256+3*V256+2*AB256+2*AE256+2*AH256+3*AJ256)&gt;=7,1,0)</f>
        <v>0</v>
      </c>
    </row>
    <row r="257" spans="1:40" x14ac:dyDescent="0.25">
      <c r="A257" t="s">
        <v>27</v>
      </c>
      <c r="B257" s="1">
        <v>37196</v>
      </c>
      <c r="C257" s="6">
        <f t="shared" si="30"/>
        <v>2001</v>
      </c>
      <c r="D257">
        <v>69.900000000000006</v>
      </c>
      <c r="E257">
        <v>59.1</v>
      </c>
      <c r="F257">
        <v>64.400000000000006</v>
      </c>
      <c r="G257" s="2">
        <f t="shared" si="31"/>
        <v>0</v>
      </c>
      <c r="H257">
        <v>69.900000000000006</v>
      </c>
      <c r="I257">
        <v>59.1</v>
      </c>
      <c r="J257">
        <v>64.400000000000006</v>
      </c>
      <c r="K257">
        <v>53.2</v>
      </c>
      <c r="L257">
        <v>67.5</v>
      </c>
      <c r="M257" s="2">
        <f t="shared" si="32"/>
        <v>0</v>
      </c>
      <c r="N257">
        <v>0</v>
      </c>
      <c r="O257" s="2">
        <f t="shared" si="33"/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 s="2">
        <f t="shared" si="34"/>
        <v>0</v>
      </c>
      <c r="W257">
        <v>10.3</v>
      </c>
      <c r="X257" s="2">
        <f t="shared" si="35"/>
        <v>0</v>
      </c>
      <c r="Y257">
        <v>206.9</v>
      </c>
      <c r="Z257" s="2" t="str">
        <f>CHOOSE(MATCH(Y257,{0;11;80;111;161;191;241;281;341},1),"North","NorthEast","East","SouthEast","South","SouthWest","West","NorthWest","North")</f>
        <v>SouthWest</v>
      </c>
      <c r="AA257" s="4">
        <f>CHOOSE(MATCH(Z257,{"South";"SouthEast";"SouthWest";"North";"NorthEast";"East";"West";"NorthWest"},0),1,2,3,4,5,6,7,8)</f>
        <v>3</v>
      </c>
      <c r="AB257" s="2">
        <f t="shared" si="36"/>
        <v>0</v>
      </c>
      <c r="AC257">
        <v>1020.4</v>
      </c>
      <c r="AD257" t="s">
        <v>461</v>
      </c>
      <c r="AE257" s="2">
        <f t="shared" si="37"/>
        <v>1</v>
      </c>
      <c r="AF257" t="s">
        <v>462</v>
      </c>
      <c r="AG257" s="2">
        <f t="shared" si="38"/>
        <v>11</v>
      </c>
      <c r="AH257" s="2">
        <f t="shared" si="39"/>
        <v>0</v>
      </c>
      <c r="AI257" s="3">
        <v>204.99999999767169</v>
      </c>
      <c r="AJ257" s="2">
        <v>0</v>
      </c>
      <c r="AK257">
        <v>0</v>
      </c>
      <c r="AL257">
        <v>0.5</v>
      </c>
      <c r="AM257">
        <v>0</v>
      </c>
      <c r="AN257" s="2">
        <f>IF((2*G257+M257-O257+3*V257+2*AB257+2*AE257+2*AH257+3*AJ257)&gt;=7,1,0)</f>
        <v>0</v>
      </c>
    </row>
    <row r="258" spans="1:40" x14ac:dyDescent="0.25">
      <c r="A258" t="s">
        <v>27</v>
      </c>
      <c r="B258" s="1">
        <v>37206</v>
      </c>
      <c r="C258" s="6">
        <f t="shared" si="30"/>
        <v>2001</v>
      </c>
      <c r="D258">
        <v>73.5</v>
      </c>
      <c r="E258">
        <v>59.1</v>
      </c>
      <c r="F258">
        <v>65</v>
      </c>
      <c r="G258" s="2">
        <f t="shared" si="31"/>
        <v>0</v>
      </c>
      <c r="H258">
        <v>73.5</v>
      </c>
      <c r="I258">
        <v>59.1</v>
      </c>
      <c r="J258">
        <v>65</v>
      </c>
      <c r="K258">
        <v>56</v>
      </c>
      <c r="L258">
        <v>74</v>
      </c>
      <c r="M258" s="2">
        <f t="shared" si="32"/>
        <v>0</v>
      </c>
      <c r="N258">
        <v>0</v>
      </c>
      <c r="O258" s="2">
        <f t="shared" si="33"/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s="2">
        <f t="shared" si="34"/>
        <v>0</v>
      </c>
      <c r="W258">
        <v>8.1</v>
      </c>
      <c r="X258" s="2">
        <f t="shared" si="35"/>
        <v>0</v>
      </c>
      <c r="Y258">
        <v>161.80000000000001</v>
      </c>
      <c r="Z258" s="2" t="str">
        <f>CHOOSE(MATCH(Y258,{0;11;80;111;161;191;241;281;341},1),"North","NorthEast","East","SouthEast","South","SouthWest","West","NorthWest","North")</f>
        <v>South</v>
      </c>
      <c r="AA258" s="4">
        <f>CHOOSE(MATCH(Z258,{"South";"SouthEast";"SouthWest";"North";"NorthEast";"East";"West";"NorthWest"},0),1,2,3,4,5,6,7,8)</f>
        <v>1</v>
      </c>
      <c r="AB258" s="2">
        <f t="shared" si="36"/>
        <v>0</v>
      </c>
      <c r="AC258">
        <v>1024.2</v>
      </c>
      <c r="AD258" t="s">
        <v>463</v>
      </c>
      <c r="AE258" s="2">
        <f t="shared" si="37"/>
        <v>0</v>
      </c>
      <c r="AF258" t="s">
        <v>464</v>
      </c>
      <c r="AG258" s="2">
        <f t="shared" si="38"/>
        <v>11</v>
      </c>
      <c r="AH258" s="2">
        <f t="shared" si="39"/>
        <v>0</v>
      </c>
      <c r="AI258" s="3">
        <v>330.00000000698492</v>
      </c>
      <c r="AJ258" s="2">
        <v>0</v>
      </c>
      <c r="AK258">
        <v>0</v>
      </c>
      <c r="AL258">
        <v>10</v>
      </c>
      <c r="AM258">
        <v>0</v>
      </c>
      <c r="AN258" s="2">
        <f>IF((2*G258+M258-O258+3*V258+2*AB258+2*AE258+2*AH258+3*AJ258)&gt;=7,1,0)</f>
        <v>0</v>
      </c>
    </row>
    <row r="259" spans="1:40" x14ac:dyDescent="0.25">
      <c r="A259" t="s">
        <v>27</v>
      </c>
      <c r="B259" s="1">
        <v>37206</v>
      </c>
      <c r="C259" s="6">
        <f t="shared" ref="C259:C322" si="40">YEAR(B259)</f>
        <v>2001</v>
      </c>
      <c r="D259">
        <v>73.5</v>
      </c>
      <c r="E259">
        <v>59.1</v>
      </c>
      <c r="F259">
        <v>65</v>
      </c>
      <c r="G259" s="2">
        <f t="shared" ref="G259:G322" si="41">IF(F259&lt;=70,0,1)</f>
        <v>0</v>
      </c>
      <c r="H259">
        <v>73.5</v>
      </c>
      <c r="I259">
        <v>59.1</v>
      </c>
      <c r="J259">
        <v>65</v>
      </c>
      <c r="K259">
        <v>56</v>
      </c>
      <c r="L259">
        <v>74</v>
      </c>
      <c r="M259" s="2">
        <f t="shared" ref="M259:M322" si="42">IF(L259&lt;=66,1,0)</f>
        <v>0</v>
      </c>
      <c r="N259">
        <v>0</v>
      </c>
      <c r="O259" s="2">
        <f t="shared" ref="O259:O322" si="43">IF(N259&lt;=0.01,1,0)</f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 s="2">
        <f t="shared" ref="V259:V322" si="44">IF(U259&lt;=9,0,1)</f>
        <v>0</v>
      </c>
      <c r="W259">
        <v>8.1</v>
      </c>
      <c r="X259" s="2">
        <f t="shared" ref="X259:X322" si="45">IF(W259&gt;=16,1,0)</f>
        <v>0</v>
      </c>
      <c r="Y259">
        <v>161.80000000000001</v>
      </c>
      <c r="Z259" s="2" t="str">
        <f>CHOOSE(MATCH(Y259,{0;11;80;111;161;191;241;281;341},1),"North","NorthEast","East","SouthEast","South","SouthWest","West","NorthWest","North")</f>
        <v>South</v>
      </c>
      <c r="AA259" s="4">
        <f>CHOOSE(MATCH(Z259,{"South";"SouthEast";"SouthWest";"North";"NorthEast";"East";"West";"NorthWest"},0),1,2,3,4,5,6,7,8)</f>
        <v>1</v>
      </c>
      <c r="AB259" s="2">
        <f t="shared" ref="AB259:AB322" si="46">IF(OR(AA259=4,AA259=5,AA259=8),1,0)</f>
        <v>0</v>
      </c>
      <c r="AC259">
        <v>1024.2</v>
      </c>
      <c r="AD259" t="s">
        <v>465</v>
      </c>
      <c r="AE259" s="2">
        <f t="shared" ref="AE259:AE322" si="47">IF(TIMEVALUE(AD259)&lt;=TIME(12,30,0),0,1)</f>
        <v>1</v>
      </c>
      <c r="AF259" t="s">
        <v>466</v>
      </c>
      <c r="AG259" s="2">
        <f t="shared" ref="AG259:AG322" si="48">MONTH(AF259)</f>
        <v>11</v>
      </c>
      <c r="AH259" s="2">
        <f t="shared" ref="AH259:AH322" si="49">IF(OR(AG259=6,AG259=7,AG259=8),1,0)</f>
        <v>0</v>
      </c>
      <c r="AI259" s="3">
        <v>95.000000005820766</v>
      </c>
      <c r="AJ259" s="2">
        <v>0</v>
      </c>
      <c r="AK259">
        <v>0</v>
      </c>
      <c r="AL259">
        <v>1</v>
      </c>
      <c r="AM259">
        <v>0</v>
      </c>
      <c r="AN259" s="2">
        <f>IF((2*G259+M259-O259+3*V259+2*AB259+2*AE259+2*AH259+3*AJ259)&gt;=7,1,0)</f>
        <v>0</v>
      </c>
    </row>
    <row r="260" spans="1:40" x14ac:dyDescent="0.25">
      <c r="A260" t="s">
        <v>27</v>
      </c>
      <c r="B260" s="1">
        <v>37207</v>
      </c>
      <c r="C260" s="6">
        <f t="shared" si="40"/>
        <v>2001</v>
      </c>
      <c r="D260">
        <v>71.7</v>
      </c>
      <c r="E260">
        <v>57.3</v>
      </c>
      <c r="F260">
        <v>63.5</v>
      </c>
      <c r="G260" s="2">
        <f t="shared" si="41"/>
        <v>0</v>
      </c>
      <c r="H260">
        <v>71.7</v>
      </c>
      <c r="I260">
        <v>57.3</v>
      </c>
      <c r="J260">
        <v>63.5</v>
      </c>
      <c r="K260">
        <v>53.8</v>
      </c>
      <c r="L260">
        <v>72.7</v>
      </c>
      <c r="M260" s="2">
        <f t="shared" si="42"/>
        <v>0</v>
      </c>
      <c r="N260">
        <v>0</v>
      </c>
      <c r="O260" s="2">
        <f t="shared" si="43"/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s="2">
        <f t="shared" si="44"/>
        <v>0</v>
      </c>
      <c r="W260">
        <v>9.1999999999999993</v>
      </c>
      <c r="X260" s="2">
        <f t="shared" si="45"/>
        <v>0</v>
      </c>
      <c r="Y260">
        <v>155.30000000000001</v>
      </c>
      <c r="Z260" s="2" t="str">
        <f>CHOOSE(MATCH(Y260,{0;11;80;111;161;191;241;281;341},1),"North","NorthEast","East","SouthEast","South","SouthWest","West","NorthWest","North")</f>
        <v>SouthEast</v>
      </c>
      <c r="AA260" s="4">
        <f>CHOOSE(MATCH(Z260,{"South";"SouthEast";"SouthWest";"North";"NorthEast";"East";"West";"NorthWest"},0),1,2,3,4,5,6,7,8)</f>
        <v>2</v>
      </c>
      <c r="AB260" s="2">
        <f t="shared" si="46"/>
        <v>0</v>
      </c>
      <c r="AC260">
        <v>1021.4</v>
      </c>
      <c r="AD260" t="s">
        <v>147</v>
      </c>
      <c r="AE260" s="2">
        <f t="shared" si="47"/>
        <v>0</v>
      </c>
      <c r="AF260" t="s">
        <v>467</v>
      </c>
      <c r="AG260" s="2">
        <f t="shared" si="48"/>
        <v>11</v>
      </c>
      <c r="AH260" s="2">
        <f t="shared" si="49"/>
        <v>0</v>
      </c>
      <c r="AI260" s="3">
        <v>136.0000000032596</v>
      </c>
      <c r="AJ260" s="2">
        <v>0</v>
      </c>
      <c r="AK260">
        <v>0</v>
      </c>
      <c r="AL260">
        <v>0.3</v>
      </c>
      <c r="AM260">
        <v>0</v>
      </c>
      <c r="AN260" s="2">
        <f>IF((2*G260+M260-O260+3*V260+2*AB260+2*AE260+2*AH260+3*AJ260)&gt;=7,1,0)</f>
        <v>0</v>
      </c>
    </row>
    <row r="261" spans="1:40" x14ac:dyDescent="0.25">
      <c r="A261" t="s">
        <v>27</v>
      </c>
      <c r="B261" s="1">
        <v>37212</v>
      </c>
      <c r="C261" s="6">
        <f t="shared" si="40"/>
        <v>2001</v>
      </c>
      <c r="D261">
        <v>66.3</v>
      </c>
      <c r="E261">
        <v>55.5</v>
      </c>
      <c r="F261">
        <v>61.1</v>
      </c>
      <c r="G261" s="2">
        <f t="shared" si="41"/>
        <v>0</v>
      </c>
      <c r="H261">
        <v>66.3</v>
      </c>
      <c r="I261">
        <v>55.5</v>
      </c>
      <c r="J261">
        <v>61.1</v>
      </c>
      <c r="K261">
        <v>46.1</v>
      </c>
      <c r="L261">
        <v>58.4</v>
      </c>
      <c r="M261" s="2">
        <f t="shared" si="42"/>
        <v>1</v>
      </c>
      <c r="N261">
        <v>0</v>
      </c>
      <c r="O261" s="2">
        <f t="shared" si="43"/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 s="2">
        <f t="shared" si="44"/>
        <v>0</v>
      </c>
      <c r="W261">
        <v>24.2</v>
      </c>
      <c r="X261" s="2">
        <f t="shared" si="45"/>
        <v>1</v>
      </c>
      <c r="Y261">
        <v>344.5</v>
      </c>
      <c r="Z261" s="2" t="str">
        <f>CHOOSE(MATCH(Y261,{0;11;80;111;161;191;241;281;341},1),"North","NorthEast","East","SouthEast","South","SouthWest","West","NorthWest","North")</f>
        <v>North</v>
      </c>
      <c r="AA261" s="4">
        <f>CHOOSE(MATCH(Z261,{"South";"SouthEast";"SouthWest";"North";"NorthEast";"East";"West";"NorthWest"},0),1,2,3,4,5,6,7,8)</f>
        <v>4</v>
      </c>
      <c r="AB261" s="2">
        <f t="shared" si="46"/>
        <v>1</v>
      </c>
      <c r="AC261">
        <v>1023.3</v>
      </c>
      <c r="AD261" t="s">
        <v>135</v>
      </c>
      <c r="AE261" s="2">
        <f t="shared" si="47"/>
        <v>0</v>
      </c>
      <c r="AF261" t="s">
        <v>468</v>
      </c>
      <c r="AG261" s="2">
        <f t="shared" si="48"/>
        <v>11</v>
      </c>
      <c r="AH261" s="2">
        <f t="shared" si="49"/>
        <v>0</v>
      </c>
      <c r="AI261" s="3">
        <v>75.99999999627471</v>
      </c>
      <c r="AJ261" s="2">
        <v>0</v>
      </c>
      <c r="AK261">
        <v>0</v>
      </c>
      <c r="AL261">
        <v>0.5</v>
      </c>
      <c r="AM261">
        <v>0</v>
      </c>
      <c r="AN261" s="2">
        <f>IF((2*G261+M261-O261+3*V261+2*AB261+2*AE261+2*AH261+3*AJ261)&gt;=7,1,0)</f>
        <v>0</v>
      </c>
    </row>
    <row r="262" spans="1:40" x14ac:dyDescent="0.25">
      <c r="A262" t="s">
        <v>27</v>
      </c>
      <c r="B262" s="1">
        <v>37213</v>
      </c>
      <c r="C262" s="6">
        <f t="shared" si="40"/>
        <v>2001</v>
      </c>
      <c r="D262">
        <v>59.1</v>
      </c>
      <c r="E262">
        <v>51.9</v>
      </c>
      <c r="F262">
        <v>54.5</v>
      </c>
      <c r="G262" s="2">
        <f t="shared" si="41"/>
        <v>0</v>
      </c>
      <c r="H262">
        <v>59.1</v>
      </c>
      <c r="I262">
        <v>51.9</v>
      </c>
      <c r="J262">
        <v>54.5</v>
      </c>
      <c r="K262">
        <v>37.9</v>
      </c>
      <c r="L262">
        <v>53.8</v>
      </c>
      <c r="M262" s="2">
        <f t="shared" si="42"/>
        <v>1</v>
      </c>
      <c r="N262">
        <v>0</v>
      </c>
      <c r="O262" s="2">
        <f t="shared" si="43"/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s="2">
        <f t="shared" si="44"/>
        <v>0</v>
      </c>
      <c r="W262">
        <v>21.9</v>
      </c>
      <c r="X262" s="2">
        <f t="shared" si="45"/>
        <v>1</v>
      </c>
      <c r="Y262">
        <v>325</v>
      </c>
      <c r="Z262" s="2" t="str">
        <f>CHOOSE(MATCH(Y262,{0;11;80;111;161;191;241;281;341},1),"North","NorthEast","East","SouthEast","South","SouthWest","West","NorthWest","North")</f>
        <v>NorthWest</v>
      </c>
      <c r="AA262" s="4">
        <f>CHOOSE(MATCH(Z262,{"South";"SouthEast";"SouthWest";"North";"NorthEast";"East";"West";"NorthWest"},0),1,2,3,4,5,6,7,8)</f>
        <v>8</v>
      </c>
      <c r="AB262" s="2">
        <f t="shared" si="46"/>
        <v>1</v>
      </c>
      <c r="AC262">
        <v>1025.4000000000001</v>
      </c>
      <c r="AD262" t="s">
        <v>469</v>
      </c>
      <c r="AE262" s="2">
        <f t="shared" si="47"/>
        <v>0</v>
      </c>
      <c r="AF262" t="s">
        <v>470</v>
      </c>
      <c r="AG262" s="2">
        <f t="shared" si="48"/>
        <v>11</v>
      </c>
      <c r="AH262" s="2">
        <f t="shared" si="49"/>
        <v>0</v>
      </c>
      <c r="AI262" s="3">
        <v>156.00000000558791</v>
      </c>
      <c r="AJ262" s="2">
        <v>0</v>
      </c>
      <c r="AK262">
        <v>0.1</v>
      </c>
      <c r="AL262">
        <v>0</v>
      </c>
      <c r="AM262">
        <v>0</v>
      </c>
      <c r="AN262" s="2">
        <f>IF((2*G262+M262-O262+3*V262+2*AB262+2*AE262+2*AH262+3*AJ262)&gt;=7,1,0)</f>
        <v>0</v>
      </c>
    </row>
    <row r="263" spans="1:40" x14ac:dyDescent="0.25">
      <c r="A263" t="s">
        <v>27</v>
      </c>
      <c r="B263" s="1">
        <v>37214</v>
      </c>
      <c r="C263" s="6">
        <f t="shared" si="40"/>
        <v>2001</v>
      </c>
      <c r="D263">
        <v>71.7</v>
      </c>
      <c r="E263">
        <v>48.3</v>
      </c>
      <c r="F263">
        <v>58.9</v>
      </c>
      <c r="G263" s="2">
        <f t="shared" si="41"/>
        <v>0</v>
      </c>
      <c r="H263">
        <v>71.7</v>
      </c>
      <c r="I263">
        <v>43.5</v>
      </c>
      <c r="J263">
        <v>57.6</v>
      </c>
      <c r="K263">
        <v>45.3</v>
      </c>
      <c r="L263">
        <v>62.6</v>
      </c>
      <c r="M263" s="2">
        <f t="shared" si="42"/>
        <v>1</v>
      </c>
      <c r="N263">
        <v>0</v>
      </c>
      <c r="O263" s="2">
        <f t="shared" si="43"/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 s="2">
        <f t="shared" si="44"/>
        <v>0</v>
      </c>
      <c r="W263">
        <v>23</v>
      </c>
      <c r="X263" s="2">
        <f t="shared" si="45"/>
        <v>1</v>
      </c>
      <c r="Y263">
        <v>163.9</v>
      </c>
      <c r="Z263" s="2" t="str">
        <f>CHOOSE(MATCH(Y263,{0;11;80;111;161;191;241;281;341},1),"North","NorthEast","East","SouthEast","South","SouthWest","West","NorthWest","North")</f>
        <v>South</v>
      </c>
      <c r="AA263" s="4">
        <f>CHOOSE(MATCH(Z263,{"South";"SouthEast";"SouthWest";"North";"NorthEast";"East";"West";"NorthWest"},0),1,2,3,4,5,6,7,8)</f>
        <v>1</v>
      </c>
      <c r="AB263" s="2">
        <f t="shared" si="46"/>
        <v>0</v>
      </c>
      <c r="AC263">
        <v>1020</v>
      </c>
      <c r="AD263" t="s">
        <v>135</v>
      </c>
      <c r="AE263" s="2">
        <f t="shared" si="47"/>
        <v>0</v>
      </c>
      <c r="AF263" t="s">
        <v>471</v>
      </c>
      <c r="AG263" s="2">
        <f t="shared" si="48"/>
        <v>11</v>
      </c>
      <c r="AH263" s="2">
        <f t="shared" si="49"/>
        <v>0</v>
      </c>
      <c r="AI263" s="3">
        <v>290.99999999511061</v>
      </c>
      <c r="AJ263" s="2">
        <v>0</v>
      </c>
      <c r="AK263">
        <v>0</v>
      </c>
      <c r="AL263">
        <v>15</v>
      </c>
      <c r="AM263">
        <v>0</v>
      </c>
      <c r="AN263" s="2">
        <f>IF((2*G263+M263-O263+3*V263+2*AB263+2*AE263+2*AH263+3*AJ263)&gt;=7,1,0)</f>
        <v>0</v>
      </c>
    </row>
    <row r="264" spans="1:40" x14ac:dyDescent="0.25">
      <c r="A264" t="s">
        <v>27</v>
      </c>
      <c r="B264" s="1">
        <v>37220</v>
      </c>
      <c r="C264" s="6">
        <f t="shared" si="40"/>
        <v>2001</v>
      </c>
      <c r="D264">
        <v>59.1</v>
      </c>
      <c r="E264">
        <v>50.1</v>
      </c>
      <c r="F264">
        <v>53.9</v>
      </c>
      <c r="G264" s="2">
        <f t="shared" si="41"/>
        <v>0</v>
      </c>
      <c r="H264">
        <v>59.1</v>
      </c>
      <c r="I264">
        <v>50.1</v>
      </c>
      <c r="J264">
        <v>53.9</v>
      </c>
      <c r="K264">
        <v>35.5</v>
      </c>
      <c r="L264">
        <v>50.5</v>
      </c>
      <c r="M264" s="2">
        <f t="shared" si="42"/>
        <v>1</v>
      </c>
      <c r="N264">
        <v>4.2999999999999997E-2</v>
      </c>
      <c r="O264" s="2">
        <f t="shared" si="43"/>
        <v>0</v>
      </c>
      <c r="P264">
        <v>100</v>
      </c>
      <c r="Q264">
        <v>8.33</v>
      </c>
      <c r="R264" t="s">
        <v>182</v>
      </c>
      <c r="S264">
        <v>0</v>
      </c>
      <c r="T264">
        <v>0</v>
      </c>
      <c r="U264">
        <v>0</v>
      </c>
      <c r="V264" s="2">
        <f t="shared" si="44"/>
        <v>0</v>
      </c>
      <c r="W264">
        <v>25.3</v>
      </c>
      <c r="X264" s="2">
        <f t="shared" si="45"/>
        <v>1</v>
      </c>
      <c r="Y264">
        <v>290.3</v>
      </c>
      <c r="Z264" s="2" t="str">
        <f>CHOOSE(MATCH(Y264,{0;11;80;111;161;191;241;281;341},1),"North","NorthEast","East","SouthEast","South","SouthWest","West","NorthWest","North")</f>
        <v>NorthWest</v>
      </c>
      <c r="AA264" s="4">
        <f>CHOOSE(MATCH(Z264,{"South";"SouthEast";"SouthWest";"North";"NorthEast";"East";"West";"NorthWest"},0),1,2,3,4,5,6,7,8)</f>
        <v>8</v>
      </c>
      <c r="AB264" s="2">
        <f t="shared" si="46"/>
        <v>1</v>
      </c>
      <c r="AC264">
        <v>1012.6</v>
      </c>
      <c r="AD264" t="s">
        <v>472</v>
      </c>
      <c r="AE264" s="2">
        <f t="shared" si="47"/>
        <v>1</v>
      </c>
      <c r="AF264" t="s">
        <v>473</v>
      </c>
      <c r="AG264" s="2">
        <f t="shared" si="48"/>
        <v>11</v>
      </c>
      <c r="AH264" s="2">
        <f t="shared" si="49"/>
        <v>0</v>
      </c>
      <c r="AI264" s="3">
        <v>140.99999999860299</v>
      </c>
      <c r="AJ264" s="2">
        <v>0</v>
      </c>
      <c r="AK264">
        <v>0</v>
      </c>
      <c r="AL264">
        <v>2</v>
      </c>
      <c r="AM264">
        <v>0</v>
      </c>
      <c r="AN264" s="2">
        <f>IF((2*G264+M264-O264+3*V264+2*AB264+2*AE264+2*AH264+3*AJ264)&gt;=7,1,0)</f>
        <v>0</v>
      </c>
    </row>
    <row r="265" spans="1:40" x14ac:dyDescent="0.25">
      <c r="A265" t="s">
        <v>27</v>
      </c>
      <c r="B265" s="1">
        <v>37220</v>
      </c>
      <c r="C265" s="6">
        <f t="shared" si="40"/>
        <v>2001</v>
      </c>
      <c r="D265">
        <v>59.1</v>
      </c>
      <c r="E265">
        <v>50.1</v>
      </c>
      <c r="F265">
        <v>53.9</v>
      </c>
      <c r="G265" s="2">
        <f t="shared" si="41"/>
        <v>0</v>
      </c>
      <c r="H265">
        <v>59.1</v>
      </c>
      <c r="I265">
        <v>50.1</v>
      </c>
      <c r="J265">
        <v>53.9</v>
      </c>
      <c r="K265">
        <v>35.5</v>
      </c>
      <c r="L265">
        <v>50.5</v>
      </c>
      <c r="M265" s="2">
        <f t="shared" si="42"/>
        <v>1</v>
      </c>
      <c r="N265">
        <v>4.2999999999999997E-2</v>
      </c>
      <c r="O265" s="2">
        <f t="shared" si="43"/>
        <v>0</v>
      </c>
      <c r="P265">
        <v>100</v>
      </c>
      <c r="Q265">
        <v>8.33</v>
      </c>
      <c r="R265" t="s">
        <v>182</v>
      </c>
      <c r="S265">
        <v>0</v>
      </c>
      <c r="T265">
        <v>0</v>
      </c>
      <c r="U265">
        <v>0</v>
      </c>
      <c r="V265" s="2">
        <f t="shared" si="44"/>
        <v>0</v>
      </c>
      <c r="W265">
        <v>25.3</v>
      </c>
      <c r="X265" s="2">
        <f t="shared" si="45"/>
        <v>1</v>
      </c>
      <c r="Y265">
        <v>290.3</v>
      </c>
      <c r="Z265" s="2" t="str">
        <f>CHOOSE(MATCH(Y265,{0;11;80;111;161;191;241;281;341},1),"North","NorthEast","East","SouthEast","South","SouthWest","West","NorthWest","North")</f>
        <v>NorthWest</v>
      </c>
      <c r="AA265" s="4">
        <f>CHOOSE(MATCH(Z265,{"South";"SouthEast";"SouthWest";"North";"NorthEast";"East";"West";"NorthWest"},0),1,2,3,4,5,6,7,8)</f>
        <v>8</v>
      </c>
      <c r="AB265" s="2">
        <f t="shared" si="46"/>
        <v>1</v>
      </c>
      <c r="AC265">
        <v>1012.6</v>
      </c>
      <c r="AD265" t="s">
        <v>251</v>
      </c>
      <c r="AE265" s="2">
        <f t="shared" si="47"/>
        <v>1</v>
      </c>
      <c r="AF265" t="s">
        <v>474</v>
      </c>
      <c r="AG265" s="2">
        <f t="shared" si="48"/>
        <v>11</v>
      </c>
      <c r="AH265" s="2">
        <f t="shared" si="49"/>
        <v>0</v>
      </c>
      <c r="AI265" s="3">
        <v>1139.999999996508</v>
      </c>
      <c r="AJ265" s="2">
        <v>1</v>
      </c>
      <c r="AK265">
        <v>0</v>
      </c>
      <c r="AL265">
        <v>10</v>
      </c>
      <c r="AM265">
        <v>0</v>
      </c>
      <c r="AN265" s="2">
        <f>IF((2*G265+M265-O265+3*V265+2*AB265+2*AE265+2*AH265+3*AJ265)&gt;=7,1,0)</f>
        <v>1</v>
      </c>
    </row>
    <row r="266" spans="1:40" x14ac:dyDescent="0.25">
      <c r="A266" t="s">
        <v>27</v>
      </c>
      <c r="B266" s="1">
        <v>37262</v>
      </c>
      <c r="C266" s="6">
        <f t="shared" si="40"/>
        <v>2002</v>
      </c>
      <c r="D266">
        <v>44.7</v>
      </c>
      <c r="E266">
        <v>37.5</v>
      </c>
      <c r="F266">
        <v>41.6</v>
      </c>
      <c r="G266" s="2">
        <f t="shared" si="41"/>
        <v>0</v>
      </c>
      <c r="H266">
        <v>34.799999999999997</v>
      </c>
      <c r="I266">
        <v>25.1</v>
      </c>
      <c r="J266">
        <v>30.8</v>
      </c>
      <c r="K266">
        <v>29.9</v>
      </c>
      <c r="L266">
        <v>64</v>
      </c>
      <c r="M266" s="2">
        <f t="shared" si="42"/>
        <v>1</v>
      </c>
      <c r="N266">
        <v>0.122</v>
      </c>
      <c r="O266" s="2">
        <f t="shared" si="43"/>
        <v>0</v>
      </c>
      <c r="P266">
        <v>100</v>
      </c>
      <c r="Q266">
        <v>12.5</v>
      </c>
      <c r="R266" t="s">
        <v>182</v>
      </c>
      <c r="S266">
        <v>0</v>
      </c>
      <c r="T266">
        <v>0</v>
      </c>
      <c r="U266">
        <v>0</v>
      </c>
      <c r="V266" s="2">
        <f t="shared" si="44"/>
        <v>0</v>
      </c>
      <c r="W266">
        <v>33.299999999999997</v>
      </c>
      <c r="X266" s="2">
        <f t="shared" si="45"/>
        <v>1</v>
      </c>
      <c r="Y266">
        <v>328.8</v>
      </c>
      <c r="Z266" s="2" t="str">
        <f>CHOOSE(MATCH(Y266,{0;11;80;111;161;191;241;281;341},1),"North","NorthEast","East","SouthEast","South","SouthWest","West","NorthWest","North")</f>
        <v>NorthWest</v>
      </c>
      <c r="AA266" s="4">
        <f>CHOOSE(MATCH(Z266,{"South";"SouthEast";"SouthWest";"North";"NorthEast";"East";"West";"NorthWest"},0),1,2,3,4,5,6,7,8)</f>
        <v>8</v>
      </c>
      <c r="AB266" s="2">
        <f t="shared" si="46"/>
        <v>1</v>
      </c>
      <c r="AC266">
        <v>1017.1</v>
      </c>
      <c r="AD266" t="s">
        <v>475</v>
      </c>
      <c r="AE266" s="2">
        <f t="shared" si="47"/>
        <v>1</v>
      </c>
      <c r="AF266" t="s">
        <v>476</v>
      </c>
      <c r="AG266" s="2">
        <f t="shared" si="48"/>
        <v>1</v>
      </c>
      <c r="AH266" s="2">
        <f t="shared" si="49"/>
        <v>0</v>
      </c>
      <c r="AI266" s="3">
        <v>240.9999999997672</v>
      </c>
      <c r="AJ266" s="2">
        <v>0</v>
      </c>
      <c r="AK266">
        <v>0</v>
      </c>
      <c r="AL266">
        <v>1.5</v>
      </c>
      <c r="AM266">
        <v>0</v>
      </c>
      <c r="AN266" s="2">
        <f>IF((2*G266+M266-O266+3*V266+2*AB266+2*AE266+2*AH266+3*AJ266)&gt;=7,1,0)</f>
        <v>0</v>
      </c>
    </row>
    <row r="267" spans="1:40" x14ac:dyDescent="0.25">
      <c r="A267" t="s">
        <v>27</v>
      </c>
      <c r="B267" s="1">
        <v>37266</v>
      </c>
      <c r="C267" s="6">
        <f t="shared" si="40"/>
        <v>2002</v>
      </c>
      <c r="D267">
        <v>51.9</v>
      </c>
      <c r="E267">
        <v>44.7</v>
      </c>
      <c r="F267">
        <v>48.9</v>
      </c>
      <c r="G267" s="2">
        <f t="shared" si="41"/>
        <v>0</v>
      </c>
      <c r="H267">
        <v>51.9</v>
      </c>
      <c r="I267">
        <v>35.4</v>
      </c>
      <c r="J267">
        <v>45</v>
      </c>
      <c r="K267">
        <v>34.799999999999997</v>
      </c>
      <c r="L267">
        <v>58.1</v>
      </c>
      <c r="M267" s="2">
        <f t="shared" si="42"/>
        <v>1</v>
      </c>
      <c r="N267">
        <v>0</v>
      </c>
      <c r="O267" s="2">
        <f t="shared" si="43"/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s="2">
        <f t="shared" si="44"/>
        <v>0</v>
      </c>
      <c r="W267">
        <v>26.4</v>
      </c>
      <c r="X267" s="2">
        <f t="shared" si="45"/>
        <v>1</v>
      </c>
      <c r="Y267">
        <v>338.7</v>
      </c>
      <c r="Z267" s="2" t="str">
        <f>CHOOSE(MATCH(Y267,{0;11;80;111;161;191;241;281;341},1),"North","NorthEast","East","SouthEast","South","SouthWest","West","NorthWest","North")</f>
        <v>NorthWest</v>
      </c>
      <c r="AA267" s="4">
        <f>CHOOSE(MATCH(Z267,{"South";"SouthEast";"SouthWest";"North";"NorthEast";"East";"West";"NorthWest"},0),1,2,3,4,5,6,7,8)</f>
        <v>8</v>
      </c>
      <c r="AB267" s="2">
        <f t="shared" si="46"/>
        <v>1</v>
      </c>
      <c r="AC267">
        <v>1028</v>
      </c>
      <c r="AD267" t="s">
        <v>414</v>
      </c>
      <c r="AE267" s="2">
        <f t="shared" si="47"/>
        <v>1</v>
      </c>
      <c r="AF267" t="s">
        <v>477</v>
      </c>
      <c r="AG267" s="2">
        <f t="shared" si="48"/>
        <v>1</v>
      </c>
      <c r="AH267" s="2">
        <f t="shared" si="49"/>
        <v>0</v>
      </c>
      <c r="AI267" s="3">
        <v>911.00000000442378</v>
      </c>
      <c r="AJ267" s="2">
        <v>1</v>
      </c>
      <c r="AK267">
        <v>0</v>
      </c>
      <c r="AL267">
        <v>30</v>
      </c>
      <c r="AM267">
        <v>0</v>
      </c>
      <c r="AN267" s="2">
        <f>IF((2*G267+M267-O267+3*V267+2*AB267+2*AE267+2*AH267+3*AJ267)&gt;=7,1,0)</f>
        <v>1</v>
      </c>
    </row>
    <row r="268" spans="1:40" x14ac:dyDescent="0.25">
      <c r="A268" t="s">
        <v>27</v>
      </c>
      <c r="B268" s="1">
        <v>37284</v>
      </c>
      <c r="C268" s="6">
        <f t="shared" si="40"/>
        <v>2002</v>
      </c>
      <c r="D268">
        <v>62.7</v>
      </c>
      <c r="E268">
        <v>48.3</v>
      </c>
      <c r="F268">
        <v>56</v>
      </c>
      <c r="G268" s="2">
        <f t="shared" si="41"/>
        <v>0</v>
      </c>
      <c r="H268">
        <v>62.7</v>
      </c>
      <c r="I268">
        <v>45.2</v>
      </c>
      <c r="J268">
        <v>55.7</v>
      </c>
      <c r="K268">
        <v>47.8</v>
      </c>
      <c r="L268">
        <v>74.5</v>
      </c>
      <c r="M268" s="2">
        <f t="shared" si="42"/>
        <v>0</v>
      </c>
      <c r="N268">
        <v>0</v>
      </c>
      <c r="O268" s="2">
        <f t="shared" si="43"/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 s="2">
        <f t="shared" si="44"/>
        <v>0</v>
      </c>
      <c r="W268">
        <v>21.9</v>
      </c>
      <c r="X268" s="2">
        <f t="shared" si="45"/>
        <v>1</v>
      </c>
      <c r="Y268">
        <v>276.60000000000002</v>
      </c>
      <c r="Z268" s="2" t="str">
        <f>CHOOSE(MATCH(Y268,{0;11;80;111;161;191;241;281;341},1),"North","NorthEast","East","SouthEast","South","SouthWest","West","NorthWest","North")</f>
        <v>West</v>
      </c>
      <c r="AA268" s="4">
        <f>CHOOSE(MATCH(Z268,{"South";"SouthEast";"SouthWest";"North";"NorthEast";"East";"West";"NorthWest"},0),1,2,3,4,5,6,7,8)</f>
        <v>7</v>
      </c>
      <c r="AB268" s="2">
        <f t="shared" si="46"/>
        <v>0</v>
      </c>
      <c r="AC268">
        <v>1020</v>
      </c>
      <c r="AD268" t="s">
        <v>195</v>
      </c>
      <c r="AE268" s="2">
        <f t="shared" si="47"/>
        <v>1</v>
      </c>
      <c r="AF268" t="s">
        <v>478</v>
      </c>
      <c r="AG268" s="2">
        <f t="shared" si="48"/>
        <v>1</v>
      </c>
      <c r="AH268" s="2">
        <f t="shared" si="49"/>
        <v>0</v>
      </c>
      <c r="AI268" s="3">
        <v>211.00000000675209</v>
      </c>
      <c r="AJ268" s="2">
        <v>0</v>
      </c>
      <c r="AK268">
        <v>0</v>
      </c>
      <c r="AL268">
        <v>2</v>
      </c>
      <c r="AM268">
        <v>0</v>
      </c>
      <c r="AN268" s="2">
        <f>IF((2*G268+M268-O268+3*V268+2*AB268+2*AE268+2*AH268+3*AJ268)&gt;=7,1,0)</f>
        <v>0</v>
      </c>
    </row>
    <row r="269" spans="1:40" x14ac:dyDescent="0.25">
      <c r="A269" t="s">
        <v>27</v>
      </c>
      <c r="B269" s="1">
        <v>37286</v>
      </c>
      <c r="C269" s="6">
        <f t="shared" si="40"/>
        <v>2002</v>
      </c>
      <c r="D269">
        <v>62.7</v>
      </c>
      <c r="E269">
        <v>48.3</v>
      </c>
      <c r="F269">
        <v>55</v>
      </c>
      <c r="G269" s="2">
        <f t="shared" si="41"/>
        <v>0</v>
      </c>
      <c r="H269">
        <v>62.7</v>
      </c>
      <c r="I269">
        <v>45.7</v>
      </c>
      <c r="J269">
        <v>54.8</v>
      </c>
      <c r="K269">
        <v>48.7</v>
      </c>
      <c r="L269">
        <v>79.900000000000006</v>
      </c>
      <c r="M269" s="2">
        <f t="shared" si="42"/>
        <v>0</v>
      </c>
      <c r="N269">
        <v>0</v>
      </c>
      <c r="O269" s="2">
        <f t="shared" si="43"/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s="2">
        <f t="shared" si="44"/>
        <v>0</v>
      </c>
      <c r="W269">
        <v>9.1999999999999993</v>
      </c>
      <c r="X269" s="2">
        <f t="shared" si="45"/>
        <v>0</v>
      </c>
      <c r="Y269">
        <v>179.7</v>
      </c>
      <c r="Z269" s="2" t="str">
        <f>CHOOSE(MATCH(Y269,{0;11;80;111;161;191;241;281;341},1),"North","NorthEast","East","SouthEast","South","SouthWest","West","NorthWest","North")</f>
        <v>South</v>
      </c>
      <c r="AA269" s="4">
        <f>CHOOSE(MATCH(Z269,{"South";"SouthEast";"SouthWest";"North";"NorthEast";"East";"West";"NorthWest"},0),1,2,3,4,5,6,7,8)</f>
        <v>1</v>
      </c>
      <c r="AB269" s="2">
        <f t="shared" si="46"/>
        <v>0</v>
      </c>
      <c r="AC269">
        <v>1029.3</v>
      </c>
      <c r="AD269" t="s">
        <v>479</v>
      </c>
      <c r="AE269" s="2">
        <f t="shared" si="47"/>
        <v>0</v>
      </c>
      <c r="AF269" t="s">
        <v>480</v>
      </c>
      <c r="AG269" s="2">
        <f t="shared" si="48"/>
        <v>1</v>
      </c>
      <c r="AH269" s="2">
        <f t="shared" si="49"/>
        <v>0</v>
      </c>
      <c r="AI269" s="3">
        <v>229.99999999534339</v>
      </c>
      <c r="AJ269" s="2">
        <v>0</v>
      </c>
      <c r="AK269">
        <v>0</v>
      </c>
      <c r="AL269">
        <v>15</v>
      </c>
      <c r="AM269">
        <v>0</v>
      </c>
      <c r="AN269" s="2">
        <f>IF((2*G269+M269-O269+3*V269+2*AB269+2*AE269+2*AH269+3*AJ269)&gt;=7,1,0)</f>
        <v>0</v>
      </c>
    </row>
    <row r="270" spans="1:40" x14ac:dyDescent="0.25">
      <c r="A270" t="s">
        <v>27</v>
      </c>
      <c r="B270" s="1">
        <v>37286</v>
      </c>
      <c r="C270" s="6">
        <f t="shared" si="40"/>
        <v>2002</v>
      </c>
      <c r="D270">
        <v>62.7</v>
      </c>
      <c r="E270">
        <v>48.3</v>
      </c>
      <c r="F270">
        <v>55</v>
      </c>
      <c r="G270" s="2">
        <f t="shared" si="41"/>
        <v>0</v>
      </c>
      <c r="H270">
        <v>62.7</v>
      </c>
      <c r="I270">
        <v>45.7</v>
      </c>
      <c r="J270">
        <v>54.8</v>
      </c>
      <c r="K270">
        <v>48.7</v>
      </c>
      <c r="L270">
        <v>79.900000000000006</v>
      </c>
      <c r="M270" s="2">
        <f t="shared" si="42"/>
        <v>0</v>
      </c>
      <c r="N270">
        <v>0</v>
      </c>
      <c r="O270" s="2">
        <f t="shared" si="43"/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s="2">
        <f t="shared" si="44"/>
        <v>0</v>
      </c>
      <c r="W270">
        <v>9.1999999999999993</v>
      </c>
      <c r="X270" s="2">
        <f t="shared" si="45"/>
        <v>0</v>
      </c>
      <c r="Y270">
        <v>179.7</v>
      </c>
      <c r="Z270" s="2" t="str">
        <f>CHOOSE(MATCH(Y270,{0;11;80;111;161;191;241;281;341},1),"North","NorthEast","East","SouthEast","South","SouthWest","West","NorthWest","North")</f>
        <v>South</v>
      </c>
      <c r="AA270" s="4">
        <f>CHOOSE(MATCH(Z270,{"South";"SouthEast";"SouthWest";"North";"NorthEast";"East";"West";"NorthWest"},0),1,2,3,4,5,6,7,8)</f>
        <v>1</v>
      </c>
      <c r="AB270" s="2">
        <f t="shared" si="46"/>
        <v>0</v>
      </c>
      <c r="AC270">
        <v>1029.3</v>
      </c>
      <c r="AD270" t="s">
        <v>481</v>
      </c>
      <c r="AE270" s="2">
        <f t="shared" si="47"/>
        <v>0</v>
      </c>
      <c r="AF270" t="s">
        <v>482</v>
      </c>
      <c r="AG270" s="2">
        <f t="shared" si="48"/>
        <v>1</v>
      </c>
      <c r="AH270" s="2">
        <f t="shared" si="49"/>
        <v>0</v>
      </c>
      <c r="AI270" s="3">
        <v>255.99999999627471</v>
      </c>
      <c r="AJ270" s="2">
        <v>0</v>
      </c>
      <c r="AK270">
        <v>0</v>
      </c>
      <c r="AL270">
        <v>2</v>
      </c>
      <c r="AM270">
        <v>0</v>
      </c>
      <c r="AN270" s="2">
        <f>IF((2*G270+M270-O270+3*V270+2*AB270+2*AE270+2*AH270+3*AJ270)&gt;=7,1,0)</f>
        <v>0</v>
      </c>
    </row>
    <row r="271" spans="1:40" x14ac:dyDescent="0.25">
      <c r="A271" t="s">
        <v>27</v>
      </c>
      <c r="B271" s="1">
        <v>37287</v>
      </c>
      <c r="C271" s="6">
        <f t="shared" si="40"/>
        <v>2002</v>
      </c>
      <c r="D271">
        <v>62.7</v>
      </c>
      <c r="E271">
        <v>48.3</v>
      </c>
      <c r="F271">
        <v>55</v>
      </c>
      <c r="G271" s="2">
        <f t="shared" si="41"/>
        <v>0</v>
      </c>
      <c r="H271">
        <v>62.7</v>
      </c>
      <c r="I271">
        <v>43.1</v>
      </c>
      <c r="J271">
        <v>54.6</v>
      </c>
      <c r="K271">
        <v>45</v>
      </c>
      <c r="L271">
        <v>69.599999999999994</v>
      </c>
      <c r="M271" s="2">
        <f t="shared" si="42"/>
        <v>0</v>
      </c>
      <c r="N271">
        <v>0</v>
      </c>
      <c r="O271" s="2">
        <f t="shared" si="43"/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s="2">
        <f t="shared" si="44"/>
        <v>0</v>
      </c>
      <c r="W271">
        <v>13.9</v>
      </c>
      <c r="X271" s="2">
        <f t="shared" si="45"/>
        <v>0</v>
      </c>
      <c r="Y271">
        <v>157.5</v>
      </c>
      <c r="Z271" s="2" t="str">
        <f>CHOOSE(MATCH(Y271,{0;11;80;111;161;191;241;281;341},1),"North","NorthEast","East","SouthEast","South","SouthWest","West","NorthWest","North")</f>
        <v>SouthEast</v>
      </c>
      <c r="AA271" s="4">
        <f>CHOOSE(MATCH(Z271,{"South";"SouthEast";"SouthWest";"North";"NorthEast";"East";"West";"NorthWest"},0),1,2,3,4,5,6,7,8)</f>
        <v>2</v>
      </c>
      <c r="AB271" s="2">
        <f t="shared" si="46"/>
        <v>0</v>
      </c>
      <c r="AC271">
        <v>1027.9000000000001</v>
      </c>
      <c r="AD271" t="s">
        <v>278</v>
      </c>
      <c r="AE271" s="2">
        <f t="shared" si="47"/>
        <v>1</v>
      </c>
      <c r="AF271" t="s">
        <v>483</v>
      </c>
      <c r="AG271" s="2">
        <f t="shared" si="48"/>
        <v>1</v>
      </c>
      <c r="AH271" s="2">
        <f t="shared" si="49"/>
        <v>0</v>
      </c>
      <c r="AI271" s="3">
        <v>461.00000000442378</v>
      </c>
      <c r="AJ271" s="2">
        <v>1</v>
      </c>
      <c r="AK271">
        <v>70</v>
      </c>
      <c r="AL271">
        <v>0</v>
      </c>
      <c r="AM271">
        <v>0</v>
      </c>
      <c r="AN271" s="2">
        <f>IF((2*G271+M271-O271+3*V271+2*AB271+2*AE271+2*AH271+3*AJ271)&gt;=7,1,0)</f>
        <v>0</v>
      </c>
    </row>
    <row r="272" spans="1:40" x14ac:dyDescent="0.25">
      <c r="A272" t="s">
        <v>27</v>
      </c>
      <c r="B272" s="1">
        <v>37290</v>
      </c>
      <c r="C272" s="6">
        <f t="shared" si="40"/>
        <v>2002</v>
      </c>
      <c r="D272">
        <v>62.7</v>
      </c>
      <c r="E272">
        <v>51.9</v>
      </c>
      <c r="F272">
        <v>57.3</v>
      </c>
      <c r="G272" s="2">
        <f t="shared" si="41"/>
        <v>0</v>
      </c>
      <c r="H272">
        <v>62.7</v>
      </c>
      <c r="I272">
        <v>51.9</v>
      </c>
      <c r="J272">
        <v>57.3</v>
      </c>
      <c r="K272">
        <v>50.9</v>
      </c>
      <c r="L272">
        <v>79.400000000000006</v>
      </c>
      <c r="M272" s="2">
        <f t="shared" si="42"/>
        <v>0</v>
      </c>
      <c r="N272">
        <v>0</v>
      </c>
      <c r="O272" s="2">
        <f t="shared" si="43"/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s="2">
        <f t="shared" si="44"/>
        <v>0</v>
      </c>
      <c r="W272">
        <v>8.1</v>
      </c>
      <c r="X272" s="2">
        <f t="shared" si="45"/>
        <v>0</v>
      </c>
      <c r="Y272">
        <v>267.2</v>
      </c>
      <c r="Z272" s="2" t="str">
        <f>CHOOSE(MATCH(Y272,{0;11;80;111;161;191;241;281;341},1),"North","NorthEast","East","SouthEast","South","SouthWest","West","NorthWest","North")</f>
        <v>West</v>
      </c>
      <c r="AA272" s="4">
        <f>CHOOSE(MATCH(Z272,{"South";"SouthEast";"SouthWest";"North";"NorthEast";"East";"West";"NorthWest"},0),1,2,3,4,5,6,7,8)</f>
        <v>7</v>
      </c>
      <c r="AB272" s="2">
        <f t="shared" si="46"/>
        <v>0</v>
      </c>
      <c r="AC272">
        <v>1026.9000000000001</v>
      </c>
      <c r="AD272" t="s">
        <v>484</v>
      </c>
      <c r="AE272" s="2">
        <f t="shared" si="47"/>
        <v>0</v>
      </c>
      <c r="AF272" t="s">
        <v>485</v>
      </c>
      <c r="AG272" s="2">
        <f t="shared" si="48"/>
        <v>2</v>
      </c>
      <c r="AH272" s="2">
        <f t="shared" si="49"/>
        <v>0</v>
      </c>
      <c r="AI272" s="3">
        <v>149.99999999650751</v>
      </c>
      <c r="AJ272" s="2">
        <v>0</v>
      </c>
      <c r="AK272">
        <v>0</v>
      </c>
      <c r="AL272">
        <v>3</v>
      </c>
      <c r="AM272">
        <v>0</v>
      </c>
      <c r="AN272" s="2">
        <f>IF((2*G272+M272-O272+3*V272+2*AB272+2*AE272+2*AH272+3*AJ272)&gt;=7,1,0)</f>
        <v>0</v>
      </c>
    </row>
    <row r="273" spans="1:40" x14ac:dyDescent="0.25">
      <c r="A273" t="s">
        <v>27</v>
      </c>
      <c r="B273" s="1">
        <v>37294</v>
      </c>
      <c r="C273" s="6">
        <f t="shared" si="40"/>
        <v>2002</v>
      </c>
      <c r="D273">
        <v>60.9</v>
      </c>
      <c r="E273">
        <v>44.7</v>
      </c>
      <c r="F273">
        <v>53.2</v>
      </c>
      <c r="G273" s="2">
        <f t="shared" si="41"/>
        <v>0</v>
      </c>
      <c r="H273">
        <v>60.9</v>
      </c>
      <c r="I273">
        <v>40.799999999999997</v>
      </c>
      <c r="J273">
        <v>52</v>
      </c>
      <c r="K273">
        <v>44.9</v>
      </c>
      <c r="L273">
        <v>74.099999999999994</v>
      </c>
      <c r="M273" s="2">
        <f t="shared" si="42"/>
        <v>0</v>
      </c>
      <c r="N273">
        <v>0</v>
      </c>
      <c r="O273" s="2">
        <f t="shared" si="43"/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 s="2">
        <f t="shared" si="44"/>
        <v>0</v>
      </c>
      <c r="W273">
        <v>9.1999999999999993</v>
      </c>
      <c r="X273" s="2">
        <f t="shared" si="45"/>
        <v>0</v>
      </c>
      <c r="Y273">
        <v>143.19999999999999</v>
      </c>
      <c r="Z273" s="2" t="str">
        <f>CHOOSE(MATCH(Y273,{0;11;80;111;161;191;241;281;341},1),"North","NorthEast","East","SouthEast","South","SouthWest","West","NorthWest","North")</f>
        <v>SouthEast</v>
      </c>
      <c r="AA273" s="4">
        <f>CHOOSE(MATCH(Z273,{"South";"SouthEast";"SouthWest";"North";"NorthEast";"East";"West";"NorthWest"},0),1,2,3,4,5,6,7,8)</f>
        <v>2</v>
      </c>
      <c r="AB273" s="2">
        <f t="shared" si="46"/>
        <v>0</v>
      </c>
      <c r="AC273">
        <v>1019.5</v>
      </c>
      <c r="AD273" t="s">
        <v>486</v>
      </c>
      <c r="AE273" s="2">
        <f t="shared" si="47"/>
        <v>1</v>
      </c>
      <c r="AF273" t="s">
        <v>487</v>
      </c>
      <c r="AG273" s="2">
        <f t="shared" si="48"/>
        <v>2</v>
      </c>
      <c r="AH273" s="2">
        <f t="shared" si="49"/>
        <v>0</v>
      </c>
      <c r="AI273" s="3">
        <v>191.00000000442381</v>
      </c>
      <c r="AJ273" s="2">
        <v>0</v>
      </c>
      <c r="AK273">
        <v>0</v>
      </c>
      <c r="AL273">
        <v>1</v>
      </c>
      <c r="AM273">
        <v>0</v>
      </c>
      <c r="AN273" s="2">
        <f>IF((2*G273+M273-O273+3*V273+2*AB273+2*AE273+2*AH273+3*AJ273)&gt;=7,1,0)</f>
        <v>0</v>
      </c>
    </row>
    <row r="274" spans="1:40" x14ac:dyDescent="0.25">
      <c r="A274" t="s">
        <v>27</v>
      </c>
      <c r="B274" s="1">
        <v>37294</v>
      </c>
      <c r="C274" s="6">
        <f t="shared" si="40"/>
        <v>2002</v>
      </c>
      <c r="D274">
        <v>60.9</v>
      </c>
      <c r="E274">
        <v>44.7</v>
      </c>
      <c r="F274">
        <v>53.2</v>
      </c>
      <c r="G274" s="2">
        <f t="shared" si="41"/>
        <v>0</v>
      </c>
      <c r="H274">
        <v>60.9</v>
      </c>
      <c r="I274">
        <v>40.799999999999997</v>
      </c>
      <c r="J274">
        <v>52</v>
      </c>
      <c r="K274">
        <v>44.9</v>
      </c>
      <c r="L274">
        <v>74.099999999999994</v>
      </c>
      <c r="M274" s="2">
        <f t="shared" si="42"/>
        <v>0</v>
      </c>
      <c r="N274">
        <v>0</v>
      </c>
      <c r="O274" s="2">
        <f t="shared" si="43"/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s="2">
        <f t="shared" si="44"/>
        <v>0</v>
      </c>
      <c r="W274">
        <v>9.1999999999999993</v>
      </c>
      <c r="X274" s="2">
        <f t="shared" si="45"/>
        <v>0</v>
      </c>
      <c r="Y274">
        <v>143.19999999999999</v>
      </c>
      <c r="Z274" s="2" t="str">
        <f>CHOOSE(MATCH(Y274,{0;11;80;111;161;191;241;281;341},1),"North","NorthEast","East","SouthEast","South","SouthWest","West","NorthWest","North")</f>
        <v>SouthEast</v>
      </c>
      <c r="AA274" s="4">
        <f>CHOOSE(MATCH(Z274,{"South";"SouthEast";"SouthWest";"North";"NorthEast";"East";"West";"NorthWest"},0),1,2,3,4,5,6,7,8)</f>
        <v>2</v>
      </c>
      <c r="AB274" s="2">
        <f t="shared" si="46"/>
        <v>0</v>
      </c>
      <c r="AC274">
        <v>1019.5</v>
      </c>
      <c r="AD274" t="s">
        <v>211</v>
      </c>
      <c r="AE274" s="2">
        <f t="shared" si="47"/>
        <v>1</v>
      </c>
      <c r="AF274" t="s">
        <v>488</v>
      </c>
      <c r="AG274" s="2">
        <f t="shared" si="48"/>
        <v>2</v>
      </c>
      <c r="AH274" s="2">
        <f t="shared" si="49"/>
        <v>0</v>
      </c>
      <c r="AI274" s="3">
        <v>201.00000000558791</v>
      </c>
      <c r="AJ274" s="2">
        <v>0</v>
      </c>
      <c r="AK274">
        <v>8</v>
      </c>
      <c r="AL274">
        <v>0</v>
      </c>
      <c r="AM274">
        <v>0</v>
      </c>
      <c r="AN274" s="2">
        <f>IF((2*G274+M274-O274+3*V274+2*AB274+2*AE274+2*AH274+3*AJ274)&gt;=7,1,0)</f>
        <v>0</v>
      </c>
    </row>
    <row r="275" spans="1:40" x14ac:dyDescent="0.25">
      <c r="A275" t="s">
        <v>27</v>
      </c>
      <c r="B275" s="1">
        <v>37300</v>
      </c>
      <c r="C275" s="6">
        <f t="shared" si="40"/>
        <v>2002</v>
      </c>
      <c r="D275">
        <v>62.7</v>
      </c>
      <c r="E275">
        <v>46.5</v>
      </c>
      <c r="F275">
        <v>54.8</v>
      </c>
      <c r="G275" s="2">
        <f t="shared" si="41"/>
        <v>0</v>
      </c>
      <c r="H275">
        <v>62.7</v>
      </c>
      <c r="I275">
        <v>42</v>
      </c>
      <c r="J275">
        <v>53.7</v>
      </c>
      <c r="K275">
        <v>43.1</v>
      </c>
      <c r="L275">
        <v>65.3</v>
      </c>
      <c r="M275" s="2">
        <f t="shared" si="42"/>
        <v>1</v>
      </c>
      <c r="N275">
        <v>0</v>
      </c>
      <c r="O275" s="2">
        <f t="shared" si="43"/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 s="2">
        <f t="shared" si="44"/>
        <v>0</v>
      </c>
      <c r="W275">
        <v>13.9</v>
      </c>
      <c r="X275" s="2">
        <f t="shared" si="45"/>
        <v>0</v>
      </c>
      <c r="Y275">
        <v>176</v>
      </c>
      <c r="Z275" s="2" t="str">
        <f>CHOOSE(MATCH(Y275,{0;11;80;111;161;191;241;281;341},1),"North","NorthEast","East","SouthEast","South","SouthWest","West","NorthWest","North")</f>
        <v>South</v>
      </c>
      <c r="AA275" s="4">
        <f>CHOOSE(MATCH(Z275,{"South";"SouthEast";"SouthWest";"North";"NorthEast";"East";"West";"NorthWest"},0),1,2,3,4,5,6,7,8)</f>
        <v>1</v>
      </c>
      <c r="AB275" s="2">
        <f t="shared" si="46"/>
        <v>0</v>
      </c>
      <c r="AC275">
        <v>1017.5</v>
      </c>
      <c r="AD275" t="s">
        <v>489</v>
      </c>
      <c r="AE275" s="2">
        <f t="shared" si="47"/>
        <v>1</v>
      </c>
      <c r="AF275" t="s">
        <v>490</v>
      </c>
      <c r="AG275" s="2">
        <f t="shared" si="48"/>
        <v>2</v>
      </c>
      <c r="AH275" s="2">
        <f t="shared" si="49"/>
        <v>0</v>
      </c>
      <c r="AI275" s="3">
        <v>362.00000000651931</v>
      </c>
      <c r="AJ275" s="2">
        <v>1</v>
      </c>
      <c r="AK275">
        <v>0</v>
      </c>
      <c r="AL275">
        <v>25</v>
      </c>
      <c r="AM275">
        <v>0</v>
      </c>
      <c r="AN275" s="2">
        <f>IF((2*G275+M275-O275+3*V275+2*AB275+2*AE275+2*AH275+3*AJ275)&gt;=7,1,0)</f>
        <v>0</v>
      </c>
    </row>
    <row r="276" spans="1:40" x14ac:dyDescent="0.25">
      <c r="A276" t="s">
        <v>27</v>
      </c>
      <c r="B276" s="1">
        <v>37300</v>
      </c>
      <c r="C276" s="6">
        <f t="shared" si="40"/>
        <v>2002</v>
      </c>
      <c r="D276">
        <v>62.7</v>
      </c>
      <c r="E276">
        <v>46.5</v>
      </c>
      <c r="F276">
        <v>54.8</v>
      </c>
      <c r="G276" s="2">
        <f t="shared" si="41"/>
        <v>0</v>
      </c>
      <c r="H276">
        <v>62.7</v>
      </c>
      <c r="I276">
        <v>42</v>
      </c>
      <c r="J276">
        <v>53.7</v>
      </c>
      <c r="K276">
        <v>43.1</v>
      </c>
      <c r="L276">
        <v>65.3</v>
      </c>
      <c r="M276" s="2">
        <f t="shared" si="42"/>
        <v>1</v>
      </c>
      <c r="N276">
        <v>0</v>
      </c>
      <c r="O276" s="2">
        <f t="shared" si="43"/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s="2">
        <f t="shared" si="44"/>
        <v>0</v>
      </c>
      <c r="W276">
        <v>13.9</v>
      </c>
      <c r="X276" s="2">
        <f t="shared" si="45"/>
        <v>0</v>
      </c>
      <c r="Y276">
        <v>176</v>
      </c>
      <c r="Z276" s="2" t="str">
        <f>CHOOSE(MATCH(Y276,{0;11;80;111;161;191;241;281;341},1),"North","NorthEast","East","SouthEast","South","SouthWest","West","NorthWest","North")</f>
        <v>South</v>
      </c>
      <c r="AA276" s="4">
        <f>CHOOSE(MATCH(Z276,{"South";"SouthEast";"SouthWest";"North";"NorthEast";"East";"West";"NorthWest"},0),1,2,3,4,5,6,7,8)</f>
        <v>1</v>
      </c>
      <c r="AB276" s="2">
        <f t="shared" si="46"/>
        <v>0</v>
      </c>
      <c r="AC276">
        <v>1017.5</v>
      </c>
      <c r="AD276" t="s">
        <v>491</v>
      </c>
      <c r="AE276" s="2">
        <f t="shared" si="47"/>
        <v>0</v>
      </c>
      <c r="AF276" t="s">
        <v>492</v>
      </c>
      <c r="AG276" s="2">
        <f t="shared" si="48"/>
        <v>2</v>
      </c>
      <c r="AH276" s="2">
        <f t="shared" si="49"/>
        <v>0</v>
      </c>
      <c r="AI276" s="3">
        <v>239.99999999650751</v>
      </c>
      <c r="AJ276" s="2">
        <v>0</v>
      </c>
      <c r="AK276">
        <v>0</v>
      </c>
      <c r="AL276">
        <v>1</v>
      </c>
      <c r="AM276">
        <v>0</v>
      </c>
      <c r="AN276" s="2">
        <f>IF((2*G276+M276-O276+3*V276+2*AB276+2*AE276+2*AH276+3*AJ276)&gt;=7,1,0)</f>
        <v>0</v>
      </c>
    </row>
    <row r="277" spans="1:40" x14ac:dyDescent="0.25">
      <c r="A277" t="s">
        <v>27</v>
      </c>
      <c r="B277" s="1">
        <v>37304</v>
      </c>
      <c r="C277" s="6">
        <f t="shared" si="40"/>
        <v>2002</v>
      </c>
      <c r="D277">
        <v>57.3</v>
      </c>
      <c r="E277">
        <v>53.7</v>
      </c>
      <c r="F277">
        <v>55.2</v>
      </c>
      <c r="G277" s="2">
        <f t="shared" si="41"/>
        <v>0</v>
      </c>
      <c r="H277">
        <v>57.3</v>
      </c>
      <c r="I277">
        <v>53.7</v>
      </c>
      <c r="J277">
        <v>55.2</v>
      </c>
      <c r="K277">
        <v>43.2</v>
      </c>
      <c r="L277">
        <v>64.099999999999994</v>
      </c>
      <c r="M277" s="2">
        <f t="shared" si="42"/>
        <v>1</v>
      </c>
      <c r="N277">
        <v>0</v>
      </c>
      <c r="O277" s="2">
        <f t="shared" si="43"/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s="2">
        <f t="shared" si="44"/>
        <v>0</v>
      </c>
      <c r="W277">
        <v>20.8</v>
      </c>
      <c r="X277" s="2">
        <f t="shared" si="45"/>
        <v>1</v>
      </c>
      <c r="Y277">
        <v>317.2</v>
      </c>
      <c r="Z277" s="2" t="str">
        <f>CHOOSE(MATCH(Y277,{0;11;80;111;161;191;241;281;341},1),"North","NorthEast","East","SouthEast","South","SouthWest","West","NorthWest","North")</f>
        <v>NorthWest</v>
      </c>
      <c r="AA277" s="4">
        <f>CHOOSE(MATCH(Z277,{"South";"SouthEast";"SouthWest";"North";"NorthEast";"East";"West";"NorthWest"},0),1,2,3,4,5,6,7,8)</f>
        <v>8</v>
      </c>
      <c r="AB277" s="2">
        <f t="shared" si="46"/>
        <v>1</v>
      </c>
      <c r="AC277">
        <v>1027.5999999999999</v>
      </c>
      <c r="AD277" t="s">
        <v>153</v>
      </c>
      <c r="AE277" s="2">
        <f t="shared" si="47"/>
        <v>1</v>
      </c>
      <c r="AF277" t="s">
        <v>493</v>
      </c>
      <c r="AG277" s="2">
        <f t="shared" si="48"/>
        <v>2</v>
      </c>
      <c r="AH277" s="2">
        <f t="shared" si="49"/>
        <v>0</v>
      </c>
      <c r="AI277" s="3">
        <v>328.99999999324791</v>
      </c>
      <c r="AJ277" s="2">
        <v>0</v>
      </c>
      <c r="AK277">
        <v>0</v>
      </c>
      <c r="AL277">
        <v>1</v>
      </c>
      <c r="AM277">
        <v>0</v>
      </c>
      <c r="AN277" s="2">
        <f>IF((2*G277+M277-O277+3*V277+2*AB277+2*AE277+2*AH277+3*AJ277)&gt;=7,1,0)</f>
        <v>0</v>
      </c>
    </row>
    <row r="278" spans="1:40" x14ac:dyDescent="0.25">
      <c r="A278" t="s">
        <v>27</v>
      </c>
      <c r="B278" s="1">
        <v>37304</v>
      </c>
      <c r="C278" s="6">
        <f t="shared" si="40"/>
        <v>2002</v>
      </c>
      <c r="D278">
        <v>57.3</v>
      </c>
      <c r="E278">
        <v>53.7</v>
      </c>
      <c r="F278">
        <v>55.2</v>
      </c>
      <c r="G278" s="2">
        <f t="shared" si="41"/>
        <v>0</v>
      </c>
      <c r="H278">
        <v>57.3</v>
      </c>
      <c r="I278">
        <v>53.7</v>
      </c>
      <c r="J278">
        <v>55.2</v>
      </c>
      <c r="K278">
        <v>43.2</v>
      </c>
      <c r="L278">
        <v>64.099999999999994</v>
      </c>
      <c r="M278" s="2">
        <f t="shared" si="42"/>
        <v>1</v>
      </c>
      <c r="N278">
        <v>0</v>
      </c>
      <c r="O278" s="2">
        <f t="shared" si="43"/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s="2">
        <f t="shared" si="44"/>
        <v>0</v>
      </c>
      <c r="W278">
        <v>20.8</v>
      </c>
      <c r="X278" s="2">
        <f t="shared" si="45"/>
        <v>1</v>
      </c>
      <c r="Y278">
        <v>317.2</v>
      </c>
      <c r="Z278" s="2" t="str">
        <f>CHOOSE(MATCH(Y278,{0;11;80;111;161;191;241;281;341},1),"North","NorthEast","East","SouthEast","South","SouthWest","West","NorthWest","North")</f>
        <v>NorthWest</v>
      </c>
      <c r="AA278" s="4">
        <f>CHOOSE(MATCH(Z278,{"South";"SouthEast";"SouthWest";"North";"NorthEast";"East";"West";"NorthWest"},0),1,2,3,4,5,6,7,8)</f>
        <v>8</v>
      </c>
      <c r="AB278" s="2">
        <f t="shared" si="46"/>
        <v>1</v>
      </c>
      <c r="AC278">
        <v>1027.5999999999999</v>
      </c>
      <c r="AD278" t="s">
        <v>231</v>
      </c>
      <c r="AE278" s="2">
        <f t="shared" si="47"/>
        <v>1</v>
      </c>
      <c r="AF278" t="s">
        <v>494</v>
      </c>
      <c r="AG278" s="2">
        <f t="shared" si="48"/>
        <v>2</v>
      </c>
      <c r="AH278" s="2">
        <f t="shared" si="49"/>
        <v>0</v>
      </c>
      <c r="AI278" s="3">
        <v>1611.000000002095</v>
      </c>
      <c r="AJ278" s="2">
        <v>1</v>
      </c>
      <c r="AK278">
        <v>0</v>
      </c>
      <c r="AL278">
        <v>50</v>
      </c>
      <c r="AM278">
        <v>0</v>
      </c>
      <c r="AN278" s="2">
        <f>IF((2*G278+M278-O278+3*V278+2*AB278+2*AE278+2*AH278+3*AJ278)&gt;=7,1,0)</f>
        <v>1</v>
      </c>
    </row>
    <row r="279" spans="1:40" x14ac:dyDescent="0.25">
      <c r="A279" t="s">
        <v>27</v>
      </c>
      <c r="B279" s="1">
        <v>37304</v>
      </c>
      <c r="C279" s="6">
        <f t="shared" si="40"/>
        <v>2002</v>
      </c>
      <c r="D279">
        <v>57.3</v>
      </c>
      <c r="E279">
        <v>53.7</v>
      </c>
      <c r="F279">
        <v>55.2</v>
      </c>
      <c r="G279" s="2">
        <f t="shared" si="41"/>
        <v>0</v>
      </c>
      <c r="H279">
        <v>57.3</v>
      </c>
      <c r="I279">
        <v>53.7</v>
      </c>
      <c r="J279">
        <v>55.2</v>
      </c>
      <c r="K279">
        <v>43.2</v>
      </c>
      <c r="L279">
        <v>64.099999999999994</v>
      </c>
      <c r="M279" s="2">
        <f t="shared" si="42"/>
        <v>1</v>
      </c>
      <c r="N279">
        <v>0</v>
      </c>
      <c r="O279" s="2">
        <f t="shared" si="43"/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 s="2">
        <f t="shared" si="44"/>
        <v>0</v>
      </c>
      <c r="W279">
        <v>20.8</v>
      </c>
      <c r="X279" s="2">
        <f t="shared" si="45"/>
        <v>1</v>
      </c>
      <c r="Y279">
        <v>317.2</v>
      </c>
      <c r="Z279" s="2" t="str">
        <f>CHOOSE(MATCH(Y279,{0;11;80;111;161;191;241;281;341},1),"North","NorthEast","East","SouthEast","South","SouthWest","West","NorthWest","North")</f>
        <v>NorthWest</v>
      </c>
      <c r="AA279" s="4">
        <f>CHOOSE(MATCH(Z279,{"South";"SouthEast";"SouthWest";"North";"NorthEast";"East";"West";"NorthWest"},0),1,2,3,4,5,6,7,8)</f>
        <v>8</v>
      </c>
      <c r="AB279" s="2">
        <f t="shared" si="46"/>
        <v>1</v>
      </c>
      <c r="AC279">
        <v>1027.5999999999999</v>
      </c>
      <c r="AD279" t="s">
        <v>213</v>
      </c>
      <c r="AE279" s="2">
        <f t="shared" si="47"/>
        <v>1</v>
      </c>
      <c r="AF279" t="s">
        <v>495</v>
      </c>
      <c r="AG279" s="2">
        <f t="shared" si="48"/>
        <v>2</v>
      </c>
      <c r="AH279" s="2">
        <f t="shared" si="49"/>
        <v>0</v>
      </c>
      <c r="AI279" s="3">
        <v>110.9999999951106</v>
      </c>
      <c r="AJ279" s="2">
        <v>0</v>
      </c>
      <c r="AK279">
        <v>0</v>
      </c>
      <c r="AL279">
        <v>0.1</v>
      </c>
      <c r="AM279">
        <v>0</v>
      </c>
      <c r="AN279" s="2">
        <f>IF((2*G279+M279-O279+3*V279+2*AB279+2*AE279+2*AH279+3*AJ279)&gt;=7,1,0)</f>
        <v>0</v>
      </c>
    </row>
    <row r="280" spans="1:40" x14ac:dyDescent="0.25">
      <c r="A280" t="s">
        <v>27</v>
      </c>
      <c r="B280" s="1">
        <v>37306</v>
      </c>
      <c r="C280" s="6">
        <f t="shared" si="40"/>
        <v>2002</v>
      </c>
      <c r="D280">
        <v>68.099999999999994</v>
      </c>
      <c r="E280">
        <v>53.7</v>
      </c>
      <c r="F280">
        <v>60.2</v>
      </c>
      <c r="G280" s="2">
        <f t="shared" si="41"/>
        <v>0</v>
      </c>
      <c r="H280">
        <v>68.099999999999994</v>
      </c>
      <c r="I280">
        <v>53.7</v>
      </c>
      <c r="J280">
        <v>60.2</v>
      </c>
      <c r="K280">
        <v>46</v>
      </c>
      <c r="L280">
        <v>60</v>
      </c>
      <c r="M280" s="2">
        <f t="shared" si="42"/>
        <v>1</v>
      </c>
      <c r="N280">
        <v>0</v>
      </c>
      <c r="O280" s="2">
        <f t="shared" si="43"/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 s="2">
        <f t="shared" si="44"/>
        <v>0</v>
      </c>
      <c r="W280">
        <v>16.100000000000001</v>
      </c>
      <c r="X280" s="2">
        <f t="shared" si="45"/>
        <v>1</v>
      </c>
      <c r="Y280">
        <v>167.3</v>
      </c>
      <c r="Z280" s="2" t="str">
        <f>CHOOSE(MATCH(Y280,{0;11;80;111;161;191;241;281;341},1),"North","NorthEast","East","SouthEast","South","SouthWest","West","NorthWest","North")</f>
        <v>South</v>
      </c>
      <c r="AA280" s="4">
        <f>CHOOSE(MATCH(Z280,{"South";"SouthEast";"SouthWest";"North";"NorthEast";"East";"West";"NorthWest"},0),1,2,3,4,5,6,7,8)</f>
        <v>1</v>
      </c>
      <c r="AB280" s="2">
        <f t="shared" si="46"/>
        <v>0</v>
      </c>
      <c r="AC280">
        <v>1022.9</v>
      </c>
      <c r="AD280" t="s">
        <v>496</v>
      </c>
      <c r="AE280" s="2">
        <f t="shared" si="47"/>
        <v>1</v>
      </c>
      <c r="AF280" t="s">
        <v>497</v>
      </c>
      <c r="AG280" s="2">
        <f t="shared" si="48"/>
        <v>2</v>
      </c>
      <c r="AH280" s="2">
        <f t="shared" si="49"/>
        <v>0</v>
      </c>
      <c r="AI280" s="3">
        <v>275.00000000582082</v>
      </c>
      <c r="AJ280" s="2">
        <v>0</v>
      </c>
      <c r="AK280">
        <v>0</v>
      </c>
      <c r="AL280">
        <v>1</v>
      </c>
      <c r="AM280">
        <v>0</v>
      </c>
      <c r="AN280" s="2">
        <f>IF((2*G280+M280-O280+3*V280+2*AB280+2*AE280+2*AH280+3*AJ280)&gt;=7,1,0)</f>
        <v>0</v>
      </c>
    </row>
    <row r="281" spans="1:40" x14ac:dyDescent="0.25">
      <c r="A281" t="s">
        <v>27</v>
      </c>
      <c r="B281" s="1">
        <v>37307</v>
      </c>
      <c r="C281" s="6">
        <f t="shared" si="40"/>
        <v>2002</v>
      </c>
      <c r="D281">
        <v>69.900000000000006</v>
      </c>
      <c r="E281">
        <v>57.3</v>
      </c>
      <c r="F281">
        <v>61.7</v>
      </c>
      <c r="G281" s="2">
        <f t="shared" si="41"/>
        <v>0</v>
      </c>
      <c r="H281">
        <v>69.900000000000006</v>
      </c>
      <c r="I281">
        <v>57.3</v>
      </c>
      <c r="J281">
        <v>61.7</v>
      </c>
      <c r="K281">
        <v>44.5</v>
      </c>
      <c r="L281">
        <v>54.9</v>
      </c>
      <c r="M281" s="2">
        <f t="shared" si="42"/>
        <v>1</v>
      </c>
      <c r="N281">
        <v>0</v>
      </c>
      <c r="O281" s="2">
        <f t="shared" si="43"/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 s="2">
        <f t="shared" si="44"/>
        <v>0</v>
      </c>
      <c r="W281">
        <v>26.4</v>
      </c>
      <c r="X281" s="2">
        <f t="shared" si="45"/>
        <v>1</v>
      </c>
      <c r="Y281">
        <v>166.7</v>
      </c>
      <c r="Z281" s="2" t="str">
        <f>CHOOSE(MATCH(Y281,{0;11;80;111;161;191;241;281;341},1),"North","NorthEast","East","SouthEast","South","SouthWest","West","NorthWest","North")</f>
        <v>South</v>
      </c>
      <c r="AA281" s="4">
        <f>CHOOSE(MATCH(Z281,{"South";"SouthEast";"SouthWest";"North";"NorthEast";"East";"West";"NorthWest"},0),1,2,3,4,5,6,7,8)</f>
        <v>1</v>
      </c>
      <c r="AB281" s="2">
        <f t="shared" si="46"/>
        <v>0</v>
      </c>
      <c r="AC281">
        <v>1016.4</v>
      </c>
      <c r="AD281" t="s">
        <v>429</v>
      </c>
      <c r="AE281" s="2">
        <f t="shared" si="47"/>
        <v>1</v>
      </c>
      <c r="AF281" t="s">
        <v>498</v>
      </c>
      <c r="AG281" s="2">
        <f t="shared" si="48"/>
        <v>2</v>
      </c>
      <c r="AH281" s="2">
        <f t="shared" si="49"/>
        <v>0</v>
      </c>
      <c r="AI281" s="3">
        <v>135</v>
      </c>
      <c r="AJ281" s="2">
        <v>0</v>
      </c>
      <c r="AK281">
        <v>0</v>
      </c>
      <c r="AL281">
        <v>1</v>
      </c>
      <c r="AM281">
        <v>0</v>
      </c>
      <c r="AN281" s="2">
        <f>IF((2*G281+M281-O281+3*V281+2*AB281+2*AE281+2*AH281+3*AJ281)&gt;=7,1,0)</f>
        <v>0</v>
      </c>
    </row>
    <row r="282" spans="1:40" x14ac:dyDescent="0.25">
      <c r="A282" t="s">
        <v>27</v>
      </c>
      <c r="B282" s="1">
        <v>37309</v>
      </c>
      <c r="C282" s="6">
        <f t="shared" si="40"/>
        <v>2002</v>
      </c>
      <c r="D282">
        <v>62.7</v>
      </c>
      <c r="E282">
        <v>50.1</v>
      </c>
      <c r="F282">
        <v>55.5</v>
      </c>
      <c r="G282" s="2">
        <f t="shared" si="41"/>
        <v>0</v>
      </c>
      <c r="H282">
        <v>62.7</v>
      </c>
      <c r="I282">
        <v>50.1</v>
      </c>
      <c r="J282">
        <v>55.5</v>
      </c>
      <c r="K282">
        <v>49.2</v>
      </c>
      <c r="L282">
        <v>79.8</v>
      </c>
      <c r="M282" s="2">
        <f t="shared" si="42"/>
        <v>0</v>
      </c>
      <c r="N282">
        <v>7.9000000000000001E-2</v>
      </c>
      <c r="O282" s="2">
        <f t="shared" si="43"/>
        <v>0</v>
      </c>
      <c r="P282">
        <v>100</v>
      </c>
      <c r="Q282">
        <v>4.17</v>
      </c>
      <c r="R282" t="s">
        <v>182</v>
      </c>
      <c r="S282">
        <v>0</v>
      </c>
      <c r="T282">
        <v>0</v>
      </c>
      <c r="U282">
        <v>0</v>
      </c>
      <c r="V282" s="2">
        <f t="shared" si="44"/>
        <v>0</v>
      </c>
      <c r="W282">
        <v>11.4</v>
      </c>
      <c r="X282" s="2">
        <f t="shared" si="45"/>
        <v>0</v>
      </c>
      <c r="Y282">
        <v>215.1</v>
      </c>
      <c r="Z282" s="2" t="str">
        <f>CHOOSE(MATCH(Y282,{0;11;80;111;161;191;241;281;341},1),"North","NorthEast","East","SouthEast","South","SouthWest","West","NorthWest","North")</f>
        <v>SouthWest</v>
      </c>
      <c r="AA282" s="4">
        <f>CHOOSE(MATCH(Z282,{"South";"SouthEast";"SouthWest";"North";"NorthEast";"East";"West";"NorthWest"},0),1,2,3,4,5,6,7,8)</f>
        <v>3</v>
      </c>
      <c r="AB282" s="2">
        <f t="shared" si="46"/>
        <v>0</v>
      </c>
      <c r="AC282">
        <v>1010.4</v>
      </c>
      <c r="AD282" t="s">
        <v>499</v>
      </c>
      <c r="AE282" s="2">
        <f t="shared" si="47"/>
        <v>1</v>
      </c>
      <c r="AF282" t="s">
        <v>500</v>
      </c>
      <c r="AG282" s="2">
        <f t="shared" si="48"/>
        <v>2</v>
      </c>
      <c r="AH282" s="2">
        <f t="shared" si="49"/>
        <v>0</v>
      </c>
      <c r="AI282" s="3">
        <v>114.99999999767169</v>
      </c>
      <c r="AJ282" s="2">
        <v>0</v>
      </c>
      <c r="AK282">
        <v>0</v>
      </c>
      <c r="AL282">
        <v>1</v>
      </c>
      <c r="AM282">
        <v>0</v>
      </c>
      <c r="AN282" s="2">
        <f>IF((2*G282+M282-O282+3*V282+2*AB282+2*AE282+2*AH282+3*AJ282)&gt;=7,1,0)</f>
        <v>0</v>
      </c>
    </row>
    <row r="283" spans="1:40" x14ac:dyDescent="0.25">
      <c r="A283" t="s">
        <v>27</v>
      </c>
      <c r="B283" s="1">
        <v>37309</v>
      </c>
      <c r="C283" s="6">
        <f t="shared" si="40"/>
        <v>2002</v>
      </c>
      <c r="D283">
        <v>62.7</v>
      </c>
      <c r="E283">
        <v>50.1</v>
      </c>
      <c r="F283">
        <v>55.5</v>
      </c>
      <c r="G283" s="2">
        <f t="shared" si="41"/>
        <v>0</v>
      </c>
      <c r="H283">
        <v>62.7</v>
      </c>
      <c r="I283">
        <v>50.1</v>
      </c>
      <c r="J283">
        <v>55.5</v>
      </c>
      <c r="K283">
        <v>49.2</v>
      </c>
      <c r="L283">
        <v>79.8</v>
      </c>
      <c r="M283" s="2">
        <f t="shared" si="42"/>
        <v>0</v>
      </c>
      <c r="N283">
        <v>7.9000000000000001E-2</v>
      </c>
      <c r="O283" s="2">
        <f t="shared" si="43"/>
        <v>0</v>
      </c>
      <c r="P283">
        <v>100</v>
      </c>
      <c r="Q283">
        <v>4.17</v>
      </c>
      <c r="R283" t="s">
        <v>182</v>
      </c>
      <c r="S283">
        <v>0</v>
      </c>
      <c r="T283">
        <v>0</v>
      </c>
      <c r="U283">
        <v>0</v>
      </c>
      <c r="V283" s="2">
        <f t="shared" si="44"/>
        <v>0</v>
      </c>
      <c r="W283">
        <v>11.4</v>
      </c>
      <c r="X283" s="2">
        <f t="shared" si="45"/>
        <v>0</v>
      </c>
      <c r="Y283">
        <v>215.1</v>
      </c>
      <c r="Z283" s="2" t="str">
        <f>CHOOSE(MATCH(Y283,{0;11;80;111;161;191;241;281;341},1),"North","NorthEast","East","SouthEast","South","SouthWest","West","NorthWest","North")</f>
        <v>SouthWest</v>
      </c>
      <c r="AA283" s="4">
        <f>CHOOSE(MATCH(Z283,{"South";"SouthEast";"SouthWest";"North";"NorthEast";"East";"West";"NorthWest"},0),1,2,3,4,5,6,7,8)</f>
        <v>3</v>
      </c>
      <c r="AB283" s="2">
        <f t="shared" si="46"/>
        <v>0</v>
      </c>
      <c r="AC283">
        <v>1010.4</v>
      </c>
      <c r="AD283" t="s">
        <v>501</v>
      </c>
      <c r="AE283" s="2">
        <f t="shared" si="47"/>
        <v>1</v>
      </c>
      <c r="AF283" t="s">
        <v>502</v>
      </c>
      <c r="AG283" s="2">
        <f t="shared" si="48"/>
        <v>2</v>
      </c>
      <c r="AH283" s="2">
        <f t="shared" si="49"/>
        <v>0</v>
      </c>
      <c r="AI283" s="3">
        <v>55.000000001164153</v>
      </c>
      <c r="AJ283" s="2">
        <v>0</v>
      </c>
      <c r="AK283">
        <v>0</v>
      </c>
      <c r="AL283">
        <v>1</v>
      </c>
      <c r="AM283">
        <v>0</v>
      </c>
      <c r="AN283" s="2">
        <f>IF((2*G283+M283-O283+3*V283+2*AB283+2*AE283+2*AH283+3*AJ283)&gt;=7,1,0)</f>
        <v>0</v>
      </c>
    </row>
    <row r="284" spans="1:40" x14ac:dyDescent="0.25">
      <c r="A284" t="s">
        <v>27</v>
      </c>
      <c r="B284" s="1">
        <v>37316</v>
      </c>
      <c r="C284" s="6">
        <f t="shared" si="40"/>
        <v>2002</v>
      </c>
      <c r="D284">
        <v>69.900000000000006</v>
      </c>
      <c r="E284">
        <v>51.9</v>
      </c>
      <c r="F284">
        <v>58.8</v>
      </c>
      <c r="G284" s="2">
        <f t="shared" si="41"/>
        <v>0</v>
      </c>
      <c r="H284">
        <v>69.900000000000006</v>
      </c>
      <c r="I284">
        <v>51.9</v>
      </c>
      <c r="J284">
        <v>58.8</v>
      </c>
      <c r="K284">
        <v>45.8</v>
      </c>
      <c r="L284">
        <v>65.099999999999994</v>
      </c>
      <c r="M284" s="2">
        <f t="shared" si="42"/>
        <v>1</v>
      </c>
      <c r="N284">
        <v>0</v>
      </c>
      <c r="O284" s="2">
        <f t="shared" si="43"/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 s="2">
        <f t="shared" si="44"/>
        <v>0</v>
      </c>
      <c r="W284">
        <v>11.4</v>
      </c>
      <c r="X284" s="2">
        <f t="shared" si="45"/>
        <v>0</v>
      </c>
      <c r="Y284">
        <v>163.5</v>
      </c>
      <c r="Z284" s="2" t="str">
        <f>CHOOSE(MATCH(Y284,{0;11;80;111;161;191;241;281;341},1),"North","NorthEast","East","SouthEast","South","SouthWest","West","NorthWest","North")</f>
        <v>South</v>
      </c>
      <c r="AA284" s="4">
        <f>CHOOSE(MATCH(Z284,{"South";"SouthEast";"SouthWest";"North";"NorthEast";"East";"West";"NorthWest"},0),1,2,3,4,5,6,7,8)</f>
        <v>1</v>
      </c>
      <c r="AB284" s="2">
        <f t="shared" si="46"/>
        <v>0</v>
      </c>
      <c r="AC284">
        <v>1020.1</v>
      </c>
      <c r="AD284" t="s">
        <v>185</v>
      </c>
      <c r="AE284" s="2">
        <f t="shared" si="47"/>
        <v>1</v>
      </c>
      <c r="AF284" t="s">
        <v>503</v>
      </c>
      <c r="AG284" s="2">
        <f t="shared" si="48"/>
        <v>3</v>
      </c>
      <c r="AH284" s="2">
        <f t="shared" si="49"/>
        <v>0</v>
      </c>
      <c r="AI284" s="3">
        <v>185.99999999860299</v>
      </c>
      <c r="AJ284" s="2">
        <v>0</v>
      </c>
      <c r="AK284">
        <v>0</v>
      </c>
      <c r="AL284">
        <v>30</v>
      </c>
      <c r="AM284">
        <v>0</v>
      </c>
      <c r="AN284" s="2">
        <f>IF((2*G284+M284-O284+3*V284+2*AB284+2*AE284+2*AH284+3*AJ284)&gt;=7,1,0)</f>
        <v>0</v>
      </c>
    </row>
    <row r="285" spans="1:40" x14ac:dyDescent="0.25">
      <c r="A285" t="s">
        <v>27</v>
      </c>
      <c r="B285" s="1">
        <v>37317</v>
      </c>
      <c r="C285" s="6">
        <f t="shared" si="40"/>
        <v>2002</v>
      </c>
      <c r="D285">
        <v>71.7</v>
      </c>
      <c r="E285">
        <v>51.9</v>
      </c>
      <c r="F285">
        <v>59</v>
      </c>
      <c r="G285" s="2">
        <f t="shared" si="41"/>
        <v>0</v>
      </c>
      <c r="H285">
        <v>71.7</v>
      </c>
      <c r="I285">
        <v>51.9</v>
      </c>
      <c r="J285">
        <v>59</v>
      </c>
      <c r="K285">
        <v>46.4</v>
      </c>
      <c r="L285">
        <v>64.400000000000006</v>
      </c>
      <c r="M285" s="2">
        <f t="shared" si="42"/>
        <v>1</v>
      </c>
      <c r="N285">
        <v>0</v>
      </c>
      <c r="O285" s="2">
        <f t="shared" si="43"/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 s="2">
        <f t="shared" si="44"/>
        <v>0</v>
      </c>
      <c r="W285">
        <v>15</v>
      </c>
      <c r="X285" s="2">
        <f t="shared" si="45"/>
        <v>0</v>
      </c>
      <c r="Y285">
        <v>145.5</v>
      </c>
      <c r="Z285" s="2" t="str">
        <f>CHOOSE(MATCH(Y285,{0;11;80;111;161;191;241;281;341},1),"North","NorthEast","East","SouthEast","South","SouthWest","West","NorthWest","North")</f>
        <v>SouthEast</v>
      </c>
      <c r="AA285" s="4">
        <f>CHOOSE(MATCH(Z285,{"South";"SouthEast";"SouthWest";"North";"NorthEast";"East";"West";"NorthWest"},0),1,2,3,4,5,6,7,8)</f>
        <v>2</v>
      </c>
      <c r="AB285" s="2">
        <f t="shared" si="46"/>
        <v>0</v>
      </c>
      <c r="AC285">
        <v>1020.4</v>
      </c>
      <c r="AD285" t="s">
        <v>359</v>
      </c>
      <c r="AE285" s="2">
        <f t="shared" si="47"/>
        <v>1</v>
      </c>
      <c r="AF285" t="s">
        <v>504</v>
      </c>
      <c r="AG285" s="2">
        <f t="shared" si="48"/>
        <v>3</v>
      </c>
      <c r="AH285" s="2">
        <f t="shared" si="49"/>
        <v>0</v>
      </c>
      <c r="AI285" s="3">
        <v>641.00000000442378</v>
      </c>
      <c r="AJ285" s="2">
        <v>1</v>
      </c>
      <c r="AK285">
        <v>60</v>
      </c>
      <c r="AL285">
        <v>0</v>
      </c>
      <c r="AM285">
        <v>0</v>
      </c>
      <c r="AN285" s="2">
        <f>IF((2*G285+M285-O285+3*V285+2*AB285+2*AE285+2*AH285+3*AJ285)&gt;=7,1,0)</f>
        <v>0</v>
      </c>
    </row>
    <row r="286" spans="1:40" x14ac:dyDescent="0.25">
      <c r="A286" t="s">
        <v>27</v>
      </c>
      <c r="B286" s="1">
        <v>37318</v>
      </c>
      <c r="C286" s="6">
        <f t="shared" si="40"/>
        <v>2002</v>
      </c>
      <c r="D286">
        <v>68.099999999999994</v>
      </c>
      <c r="E286">
        <v>50.1</v>
      </c>
      <c r="F286">
        <v>58</v>
      </c>
      <c r="G286" s="2">
        <f t="shared" si="41"/>
        <v>0</v>
      </c>
      <c r="H286">
        <v>68.099999999999994</v>
      </c>
      <c r="I286">
        <v>50.1</v>
      </c>
      <c r="J286">
        <v>58</v>
      </c>
      <c r="K286">
        <v>46.1</v>
      </c>
      <c r="L286">
        <v>66</v>
      </c>
      <c r="M286" s="2">
        <f t="shared" si="42"/>
        <v>1</v>
      </c>
      <c r="N286">
        <v>0</v>
      </c>
      <c r="O286" s="2">
        <f t="shared" si="43"/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s="2">
        <f t="shared" si="44"/>
        <v>0</v>
      </c>
      <c r="W286">
        <v>13.9</v>
      </c>
      <c r="X286" s="2">
        <f t="shared" si="45"/>
        <v>0</v>
      </c>
      <c r="Y286">
        <v>149.6</v>
      </c>
      <c r="Z286" s="2" t="str">
        <f>CHOOSE(MATCH(Y286,{0;11;80;111;161;191;241;281;341},1),"North","NorthEast","East","SouthEast","South","SouthWest","West","NorthWest","North")</f>
        <v>SouthEast</v>
      </c>
      <c r="AA286" s="4">
        <f>CHOOSE(MATCH(Z286,{"South";"SouthEast";"SouthWest";"North";"NorthEast";"East";"West";"NorthWest"},0),1,2,3,4,5,6,7,8)</f>
        <v>2</v>
      </c>
      <c r="AB286" s="2">
        <f t="shared" si="46"/>
        <v>0</v>
      </c>
      <c r="AC286">
        <v>1019</v>
      </c>
      <c r="AD286" t="s">
        <v>211</v>
      </c>
      <c r="AE286" s="2">
        <f t="shared" si="47"/>
        <v>1</v>
      </c>
      <c r="AF286" t="s">
        <v>505</v>
      </c>
      <c r="AG286" s="2">
        <f t="shared" si="48"/>
        <v>3</v>
      </c>
      <c r="AH286" s="2">
        <f t="shared" si="49"/>
        <v>0</v>
      </c>
      <c r="AI286" s="3">
        <v>31.000000006752089</v>
      </c>
      <c r="AJ286" s="2">
        <v>0</v>
      </c>
      <c r="AK286">
        <v>0</v>
      </c>
      <c r="AL286">
        <v>2</v>
      </c>
      <c r="AM286">
        <v>0</v>
      </c>
      <c r="AN286" s="2">
        <f>IF((2*G286+M286-O286+3*V286+2*AB286+2*AE286+2*AH286+3*AJ286)&gt;=7,1,0)</f>
        <v>0</v>
      </c>
    </row>
    <row r="287" spans="1:40" x14ac:dyDescent="0.25">
      <c r="A287" t="s">
        <v>27</v>
      </c>
      <c r="B287" s="1">
        <v>37320</v>
      </c>
      <c r="C287" s="6">
        <f t="shared" si="40"/>
        <v>2002</v>
      </c>
      <c r="D287">
        <v>69.900000000000006</v>
      </c>
      <c r="E287">
        <v>53.7</v>
      </c>
      <c r="F287">
        <v>60.2</v>
      </c>
      <c r="G287" s="2">
        <f t="shared" si="41"/>
        <v>0</v>
      </c>
      <c r="H287">
        <v>69.900000000000006</v>
      </c>
      <c r="I287">
        <v>53.7</v>
      </c>
      <c r="J287">
        <v>60.2</v>
      </c>
      <c r="K287">
        <v>42.8</v>
      </c>
      <c r="L287">
        <v>54.9</v>
      </c>
      <c r="M287" s="2">
        <f t="shared" si="42"/>
        <v>1</v>
      </c>
      <c r="N287">
        <v>0</v>
      </c>
      <c r="O287" s="2">
        <f t="shared" si="43"/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 s="2">
        <f t="shared" si="44"/>
        <v>0</v>
      </c>
      <c r="W287">
        <v>8.1</v>
      </c>
      <c r="X287" s="2">
        <f t="shared" si="45"/>
        <v>0</v>
      </c>
      <c r="Y287">
        <v>137.19999999999999</v>
      </c>
      <c r="Z287" s="2" t="str">
        <f>CHOOSE(MATCH(Y287,{0;11;80;111;161;191;241;281;341},1),"North","NorthEast","East","SouthEast","South","SouthWest","West","NorthWest","North")</f>
        <v>SouthEast</v>
      </c>
      <c r="AA287" s="4">
        <f>CHOOSE(MATCH(Z287,{"South";"SouthEast";"SouthWest";"North";"NorthEast";"East";"West";"NorthWest"},0),1,2,3,4,5,6,7,8)</f>
        <v>2</v>
      </c>
      <c r="AB287" s="2">
        <f t="shared" si="46"/>
        <v>0</v>
      </c>
      <c r="AC287">
        <v>1018.6</v>
      </c>
      <c r="AD287" t="s">
        <v>506</v>
      </c>
      <c r="AE287" s="2">
        <f t="shared" si="47"/>
        <v>1</v>
      </c>
      <c r="AF287" t="s">
        <v>507</v>
      </c>
      <c r="AG287" s="2">
        <f t="shared" si="48"/>
        <v>3</v>
      </c>
      <c r="AH287" s="2">
        <f t="shared" si="49"/>
        <v>0</v>
      </c>
      <c r="AI287" s="3">
        <v>161.00000000093129</v>
      </c>
      <c r="AJ287" s="2">
        <v>0</v>
      </c>
      <c r="AK287">
        <v>0</v>
      </c>
      <c r="AL287">
        <v>20</v>
      </c>
      <c r="AM287">
        <v>0</v>
      </c>
      <c r="AN287" s="2">
        <f>IF((2*G287+M287-O287+3*V287+2*AB287+2*AE287+2*AH287+3*AJ287)&gt;=7,1,0)</f>
        <v>0</v>
      </c>
    </row>
    <row r="288" spans="1:40" x14ac:dyDescent="0.25">
      <c r="A288" t="s">
        <v>27</v>
      </c>
      <c r="B288" s="1">
        <v>37323</v>
      </c>
      <c r="C288" s="6">
        <f t="shared" si="40"/>
        <v>2002</v>
      </c>
      <c r="D288">
        <v>68.099999999999994</v>
      </c>
      <c r="E288">
        <v>53.7</v>
      </c>
      <c r="F288">
        <v>60.5</v>
      </c>
      <c r="G288" s="2">
        <f t="shared" si="41"/>
        <v>0</v>
      </c>
      <c r="H288">
        <v>68.099999999999994</v>
      </c>
      <c r="I288">
        <v>53.7</v>
      </c>
      <c r="J288">
        <v>60.5</v>
      </c>
      <c r="K288">
        <v>47.6</v>
      </c>
      <c r="L288">
        <v>64</v>
      </c>
      <c r="M288" s="2">
        <f t="shared" si="42"/>
        <v>1</v>
      </c>
      <c r="N288">
        <v>0</v>
      </c>
      <c r="O288" s="2">
        <f t="shared" si="43"/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 s="2">
        <f t="shared" si="44"/>
        <v>0</v>
      </c>
      <c r="W288">
        <v>9.1999999999999993</v>
      </c>
      <c r="X288" s="2">
        <f t="shared" si="45"/>
        <v>0</v>
      </c>
      <c r="Y288">
        <v>198.2</v>
      </c>
      <c r="Z288" s="2" t="str">
        <f>CHOOSE(MATCH(Y288,{0;11;80;111;161;191;241;281;341},1),"North","NorthEast","East","SouthEast","South","SouthWest","West","NorthWest","North")</f>
        <v>SouthWest</v>
      </c>
      <c r="AA288" s="4">
        <f>CHOOSE(MATCH(Z288,{"South";"SouthEast";"SouthWest";"North";"NorthEast";"East";"West";"NorthWest"},0),1,2,3,4,5,6,7,8)</f>
        <v>3</v>
      </c>
      <c r="AB288" s="2">
        <f t="shared" si="46"/>
        <v>0</v>
      </c>
      <c r="AC288">
        <v>1016.6</v>
      </c>
      <c r="AD288" t="s">
        <v>39</v>
      </c>
      <c r="AE288" s="2">
        <f t="shared" si="47"/>
        <v>1</v>
      </c>
      <c r="AF288" t="s">
        <v>508</v>
      </c>
      <c r="AG288" s="2">
        <f t="shared" si="48"/>
        <v>3</v>
      </c>
      <c r="AH288" s="2">
        <f t="shared" si="49"/>
        <v>0</v>
      </c>
      <c r="AI288" s="3">
        <v>990.99999999278225</v>
      </c>
      <c r="AJ288" s="2">
        <v>1</v>
      </c>
      <c r="AK288">
        <v>0</v>
      </c>
      <c r="AL288">
        <v>40</v>
      </c>
      <c r="AM288">
        <v>0</v>
      </c>
      <c r="AN288" s="2">
        <f>IF((2*G288+M288-O288+3*V288+2*AB288+2*AE288+2*AH288+3*AJ288)&gt;=7,1,0)</f>
        <v>0</v>
      </c>
    </row>
    <row r="289" spans="1:40" x14ac:dyDescent="0.25">
      <c r="A289" t="s">
        <v>27</v>
      </c>
      <c r="B289" s="1">
        <v>37324</v>
      </c>
      <c r="C289" s="6">
        <f t="shared" si="40"/>
        <v>2002</v>
      </c>
      <c r="D289">
        <v>68.099999999999994</v>
      </c>
      <c r="E289">
        <v>59.1</v>
      </c>
      <c r="F289">
        <v>62.9</v>
      </c>
      <c r="G289" s="2">
        <f t="shared" si="41"/>
        <v>0</v>
      </c>
      <c r="H289">
        <v>68.099999999999994</v>
      </c>
      <c r="I289">
        <v>59.1</v>
      </c>
      <c r="J289">
        <v>62.9</v>
      </c>
      <c r="K289">
        <v>55.6</v>
      </c>
      <c r="L289">
        <v>77.599999999999994</v>
      </c>
      <c r="M289" s="2">
        <f t="shared" si="42"/>
        <v>0</v>
      </c>
      <c r="N289">
        <v>0</v>
      </c>
      <c r="O289" s="2">
        <f t="shared" si="43"/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s="2">
        <f t="shared" si="44"/>
        <v>0</v>
      </c>
      <c r="W289">
        <v>6.9</v>
      </c>
      <c r="X289" s="2">
        <f t="shared" si="45"/>
        <v>0</v>
      </c>
      <c r="Y289">
        <v>169.4</v>
      </c>
      <c r="Z289" s="2" t="str">
        <f>CHOOSE(MATCH(Y289,{0;11;80;111;161;191;241;281;341},1),"North","NorthEast","East","SouthEast","South","SouthWest","West","NorthWest","North")</f>
        <v>South</v>
      </c>
      <c r="AA289" s="4">
        <f>CHOOSE(MATCH(Z289,{"South";"SouthEast";"SouthWest";"North";"NorthEast";"East";"West";"NorthWest"},0),1,2,3,4,5,6,7,8)</f>
        <v>1</v>
      </c>
      <c r="AB289" s="2">
        <f t="shared" si="46"/>
        <v>0</v>
      </c>
      <c r="AC289">
        <v>1017.5</v>
      </c>
      <c r="AD289" t="s">
        <v>509</v>
      </c>
      <c r="AE289" s="2">
        <f t="shared" si="47"/>
        <v>1</v>
      </c>
      <c r="AF289" t="s">
        <v>510</v>
      </c>
      <c r="AG289" s="2">
        <f t="shared" si="48"/>
        <v>3</v>
      </c>
      <c r="AH289" s="2">
        <f t="shared" si="49"/>
        <v>0</v>
      </c>
      <c r="AI289" s="3">
        <v>114.0000000048894</v>
      </c>
      <c r="AJ289" s="2">
        <v>0</v>
      </c>
      <c r="AK289">
        <v>0</v>
      </c>
      <c r="AL289">
        <v>6</v>
      </c>
      <c r="AM289">
        <v>0</v>
      </c>
      <c r="AN289" s="2">
        <f>IF((2*G289+M289-O289+3*V289+2*AB289+2*AE289+2*AH289+3*AJ289)&gt;=7,1,0)</f>
        <v>0</v>
      </c>
    </row>
    <row r="290" spans="1:40" x14ac:dyDescent="0.25">
      <c r="A290" t="s">
        <v>27</v>
      </c>
      <c r="B290" s="1">
        <v>37325</v>
      </c>
      <c r="C290" s="6">
        <f t="shared" si="40"/>
        <v>2002</v>
      </c>
      <c r="D290">
        <v>78.900000000000006</v>
      </c>
      <c r="E290">
        <v>59.1</v>
      </c>
      <c r="F290">
        <v>69.8</v>
      </c>
      <c r="G290" s="2">
        <f t="shared" si="41"/>
        <v>0</v>
      </c>
      <c r="H290">
        <v>78.900000000000006</v>
      </c>
      <c r="I290">
        <v>59.1</v>
      </c>
      <c r="J290">
        <v>69.8</v>
      </c>
      <c r="K290">
        <v>40.1</v>
      </c>
      <c r="L290">
        <v>41.2</v>
      </c>
      <c r="M290" s="2">
        <f t="shared" si="42"/>
        <v>1</v>
      </c>
      <c r="N290">
        <v>0</v>
      </c>
      <c r="O290" s="2">
        <f t="shared" si="43"/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s="2">
        <f t="shared" si="44"/>
        <v>0</v>
      </c>
      <c r="W290">
        <v>32.200000000000003</v>
      </c>
      <c r="X290" s="2">
        <f t="shared" si="45"/>
        <v>1</v>
      </c>
      <c r="Y290">
        <v>179.3</v>
      </c>
      <c r="Z290" s="2" t="str">
        <f>CHOOSE(MATCH(Y290,{0;11;80;111;161;191;241;281;341},1),"North","NorthEast","East","SouthEast","South","SouthWest","West","NorthWest","North")</f>
        <v>South</v>
      </c>
      <c r="AA290" s="4">
        <f>CHOOSE(MATCH(Z290,{"South";"SouthEast";"SouthWest";"North";"NorthEast";"East";"West";"NorthWest"},0),1,2,3,4,5,6,7,8)</f>
        <v>1</v>
      </c>
      <c r="AB290" s="2">
        <f t="shared" si="46"/>
        <v>0</v>
      </c>
      <c r="AC290">
        <v>1010.4</v>
      </c>
      <c r="AD290" t="s">
        <v>189</v>
      </c>
      <c r="AE290" s="2">
        <f t="shared" si="47"/>
        <v>1</v>
      </c>
      <c r="AF290" t="s">
        <v>511</v>
      </c>
      <c r="AG290" s="2">
        <f t="shared" si="48"/>
        <v>3</v>
      </c>
      <c r="AH290" s="2">
        <f t="shared" si="49"/>
        <v>0</v>
      </c>
      <c r="AI290" s="3">
        <v>71.000000000931323</v>
      </c>
      <c r="AJ290" s="2">
        <v>0</v>
      </c>
      <c r="AK290">
        <v>0</v>
      </c>
      <c r="AL290">
        <v>1</v>
      </c>
      <c r="AM290">
        <v>0</v>
      </c>
      <c r="AN290" s="2">
        <f>IF((2*G290+M290-O290+3*V290+2*AB290+2*AE290+2*AH290+3*AJ290)&gt;=7,1,0)</f>
        <v>0</v>
      </c>
    </row>
    <row r="291" spans="1:40" x14ac:dyDescent="0.25">
      <c r="A291" t="s">
        <v>27</v>
      </c>
      <c r="B291" s="1">
        <v>37325</v>
      </c>
      <c r="C291" s="6">
        <f t="shared" si="40"/>
        <v>2002</v>
      </c>
      <c r="D291">
        <v>78.900000000000006</v>
      </c>
      <c r="E291">
        <v>59.1</v>
      </c>
      <c r="F291">
        <v>69.8</v>
      </c>
      <c r="G291" s="2">
        <f t="shared" si="41"/>
        <v>0</v>
      </c>
      <c r="H291">
        <v>78.900000000000006</v>
      </c>
      <c r="I291">
        <v>59.1</v>
      </c>
      <c r="J291">
        <v>69.8</v>
      </c>
      <c r="K291">
        <v>40.1</v>
      </c>
      <c r="L291">
        <v>41.2</v>
      </c>
      <c r="M291" s="2">
        <f t="shared" si="42"/>
        <v>1</v>
      </c>
      <c r="N291">
        <v>0</v>
      </c>
      <c r="O291" s="2">
        <f t="shared" si="43"/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s="2">
        <f t="shared" si="44"/>
        <v>0</v>
      </c>
      <c r="W291">
        <v>32.200000000000003</v>
      </c>
      <c r="X291" s="2">
        <f t="shared" si="45"/>
        <v>1</v>
      </c>
      <c r="Y291">
        <v>179.3</v>
      </c>
      <c r="Z291" s="2" t="str">
        <f>CHOOSE(MATCH(Y291,{0;11;80;111;161;191;241;281;341},1),"North","NorthEast","East","SouthEast","South","SouthWest","West","NorthWest","North")</f>
        <v>South</v>
      </c>
      <c r="AA291" s="4">
        <f>CHOOSE(MATCH(Z291,{"South";"SouthEast";"SouthWest";"North";"NorthEast";"East";"West";"NorthWest"},0),1,2,3,4,5,6,7,8)</f>
        <v>1</v>
      </c>
      <c r="AB291" s="2">
        <f t="shared" si="46"/>
        <v>0</v>
      </c>
      <c r="AC291">
        <v>1010.4</v>
      </c>
      <c r="AD291" t="s">
        <v>346</v>
      </c>
      <c r="AE291" s="2">
        <f t="shared" si="47"/>
        <v>1</v>
      </c>
      <c r="AF291" t="s">
        <v>512</v>
      </c>
      <c r="AG291" s="2">
        <f t="shared" si="48"/>
        <v>3</v>
      </c>
      <c r="AH291" s="2">
        <f t="shared" si="49"/>
        <v>0</v>
      </c>
      <c r="AI291" s="3">
        <v>120.0000000034925</v>
      </c>
      <c r="AJ291" s="2">
        <v>0</v>
      </c>
      <c r="AK291">
        <v>0</v>
      </c>
      <c r="AL291">
        <v>0.5</v>
      </c>
      <c r="AM291">
        <v>0</v>
      </c>
      <c r="AN291" s="2">
        <f>IF((2*G291+M291-O291+3*V291+2*AB291+2*AE291+2*AH291+3*AJ291)&gt;=7,1,0)</f>
        <v>0</v>
      </c>
    </row>
    <row r="292" spans="1:40" x14ac:dyDescent="0.25">
      <c r="A292" t="s">
        <v>27</v>
      </c>
      <c r="B292" s="1">
        <v>37329</v>
      </c>
      <c r="C292" s="6">
        <f t="shared" si="40"/>
        <v>2002</v>
      </c>
      <c r="D292">
        <v>62.7</v>
      </c>
      <c r="E292">
        <v>50.1</v>
      </c>
      <c r="F292">
        <v>56.9</v>
      </c>
      <c r="G292" s="2">
        <f t="shared" si="41"/>
        <v>0</v>
      </c>
      <c r="H292">
        <v>62.7</v>
      </c>
      <c r="I292">
        <v>50.1</v>
      </c>
      <c r="J292">
        <v>56.9</v>
      </c>
      <c r="K292">
        <v>48.5</v>
      </c>
      <c r="L292">
        <v>74.5</v>
      </c>
      <c r="M292" s="2">
        <f t="shared" si="42"/>
        <v>0</v>
      </c>
      <c r="N292">
        <v>0</v>
      </c>
      <c r="O292" s="2">
        <f t="shared" si="43"/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s="2">
        <f t="shared" si="44"/>
        <v>0</v>
      </c>
      <c r="W292">
        <v>10.3</v>
      </c>
      <c r="X292" s="2">
        <f t="shared" si="45"/>
        <v>0</v>
      </c>
      <c r="Y292">
        <v>279.7</v>
      </c>
      <c r="Z292" s="2" t="str">
        <f>CHOOSE(MATCH(Y292,{0;11;80;111;161;191;241;281;341},1),"North","NorthEast","East","SouthEast","South","SouthWest","West","NorthWest","North")</f>
        <v>West</v>
      </c>
      <c r="AA292" s="4">
        <f>CHOOSE(MATCH(Z292,{"South";"SouthEast";"SouthWest";"North";"NorthEast";"East";"West";"NorthWest"},0),1,2,3,4,5,6,7,8)</f>
        <v>7</v>
      </c>
      <c r="AB292" s="2">
        <f t="shared" si="46"/>
        <v>0</v>
      </c>
      <c r="AC292">
        <v>1017.4</v>
      </c>
      <c r="AD292" t="s">
        <v>221</v>
      </c>
      <c r="AE292" s="2">
        <f t="shared" si="47"/>
        <v>0</v>
      </c>
      <c r="AF292" t="s">
        <v>513</v>
      </c>
      <c r="AG292" s="2">
        <f t="shared" si="48"/>
        <v>3</v>
      </c>
      <c r="AH292" s="2">
        <f t="shared" si="49"/>
        <v>0</v>
      </c>
      <c r="AI292" s="3">
        <v>101.0000000044238</v>
      </c>
      <c r="AJ292" s="2">
        <v>0</v>
      </c>
      <c r="AK292">
        <v>0</v>
      </c>
      <c r="AL292">
        <v>1.5</v>
      </c>
      <c r="AM292">
        <v>0</v>
      </c>
      <c r="AN292" s="2">
        <f>IF((2*G292+M292-O292+3*V292+2*AB292+2*AE292+2*AH292+3*AJ292)&gt;=7,1,0)</f>
        <v>0</v>
      </c>
    </row>
    <row r="293" spans="1:40" x14ac:dyDescent="0.25">
      <c r="A293" t="s">
        <v>27</v>
      </c>
      <c r="B293" s="1">
        <v>37332</v>
      </c>
      <c r="C293" s="6">
        <f t="shared" si="40"/>
        <v>2002</v>
      </c>
      <c r="D293">
        <v>62.7</v>
      </c>
      <c r="E293">
        <v>57.3</v>
      </c>
      <c r="F293">
        <v>59.7</v>
      </c>
      <c r="G293" s="2">
        <f t="shared" si="41"/>
        <v>0</v>
      </c>
      <c r="H293">
        <v>62.7</v>
      </c>
      <c r="I293">
        <v>57.3</v>
      </c>
      <c r="J293">
        <v>59.7</v>
      </c>
      <c r="K293">
        <v>50.5</v>
      </c>
      <c r="L293">
        <v>71.599999999999994</v>
      </c>
      <c r="M293" s="2">
        <f t="shared" si="42"/>
        <v>0</v>
      </c>
      <c r="N293">
        <v>0</v>
      </c>
      <c r="O293" s="2">
        <f t="shared" si="43"/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s="2">
        <f t="shared" si="44"/>
        <v>0</v>
      </c>
      <c r="W293">
        <v>16.100000000000001</v>
      </c>
      <c r="X293" s="2">
        <f t="shared" si="45"/>
        <v>1</v>
      </c>
      <c r="Y293">
        <v>316.2</v>
      </c>
      <c r="Z293" s="2" t="str">
        <f>CHOOSE(MATCH(Y293,{0;11;80;111;161;191;241;281;341},1),"North","NorthEast","East","SouthEast","South","SouthWest","West","NorthWest","North")</f>
        <v>NorthWest</v>
      </c>
      <c r="AA293" s="4">
        <f>CHOOSE(MATCH(Z293,{"South";"SouthEast";"SouthWest";"North";"NorthEast";"East";"West";"NorthWest"},0),1,2,3,4,5,6,7,8)</f>
        <v>8</v>
      </c>
      <c r="AB293" s="2">
        <f t="shared" si="46"/>
        <v>1</v>
      </c>
      <c r="AC293">
        <v>1013.4</v>
      </c>
      <c r="AD293" t="s">
        <v>514</v>
      </c>
      <c r="AE293" s="2">
        <f t="shared" si="47"/>
        <v>1</v>
      </c>
      <c r="AF293" t="s">
        <v>515</v>
      </c>
      <c r="AG293" s="2">
        <f t="shared" si="48"/>
        <v>3</v>
      </c>
      <c r="AH293" s="2">
        <f t="shared" si="49"/>
        <v>0</v>
      </c>
      <c r="AI293" s="3">
        <v>90.99999999278225</v>
      </c>
      <c r="AJ293" s="2">
        <v>0</v>
      </c>
      <c r="AK293">
        <v>0</v>
      </c>
      <c r="AL293">
        <v>3</v>
      </c>
      <c r="AM293">
        <v>0</v>
      </c>
      <c r="AN293" s="2">
        <f>IF((2*G293+M293-O293+3*V293+2*AB293+2*AE293+2*AH293+3*AJ293)&gt;=7,1,0)</f>
        <v>0</v>
      </c>
    </row>
    <row r="294" spans="1:40" x14ac:dyDescent="0.25">
      <c r="A294" t="s">
        <v>27</v>
      </c>
      <c r="B294" s="1">
        <v>37335</v>
      </c>
      <c r="C294" s="6">
        <f t="shared" si="40"/>
        <v>2002</v>
      </c>
      <c r="D294">
        <v>69.900000000000006</v>
      </c>
      <c r="E294">
        <v>50.1</v>
      </c>
      <c r="F294">
        <v>59.3</v>
      </c>
      <c r="G294" s="2">
        <f t="shared" si="41"/>
        <v>0</v>
      </c>
      <c r="H294">
        <v>69.900000000000006</v>
      </c>
      <c r="I294">
        <v>50.1</v>
      </c>
      <c r="J294">
        <v>59.3</v>
      </c>
      <c r="K294">
        <v>42.9</v>
      </c>
      <c r="L294">
        <v>55.1</v>
      </c>
      <c r="M294" s="2">
        <f t="shared" si="42"/>
        <v>1</v>
      </c>
      <c r="N294">
        <v>0</v>
      </c>
      <c r="O294" s="2">
        <f t="shared" si="43"/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s="2">
        <f t="shared" si="44"/>
        <v>0</v>
      </c>
      <c r="W294">
        <v>26.4</v>
      </c>
      <c r="X294" s="2">
        <f t="shared" si="45"/>
        <v>1</v>
      </c>
      <c r="Y294">
        <v>260.60000000000002</v>
      </c>
      <c r="Z294" s="2" t="str">
        <f>CHOOSE(MATCH(Y294,{0;11;80;111;161;191;241;281;341},1),"North","NorthEast","East","SouthEast","South","SouthWest","West","NorthWest","North")</f>
        <v>West</v>
      </c>
      <c r="AA294" s="4">
        <f>CHOOSE(MATCH(Z294,{"South";"SouthEast";"SouthWest";"North";"NorthEast";"East";"West";"NorthWest"},0),1,2,3,4,5,6,7,8)</f>
        <v>7</v>
      </c>
      <c r="AB294" s="2">
        <f t="shared" si="46"/>
        <v>0</v>
      </c>
      <c r="AC294">
        <v>1011.9</v>
      </c>
      <c r="AD294" t="s">
        <v>516</v>
      </c>
      <c r="AE294" s="2">
        <f t="shared" si="47"/>
        <v>1</v>
      </c>
      <c r="AF294" t="s">
        <v>517</v>
      </c>
      <c r="AG294" s="2">
        <f t="shared" si="48"/>
        <v>3</v>
      </c>
      <c r="AH294" s="2">
        <f t="shared" si="49"/>
        <v>0</v>
      </c>
      <c r="AI294" s="3">
        <v>96.000000009080395</v>
      </c>
      <c r="AJ294" s="2">
        <v>0</v>
      </c>
      <c r="AK294">
        <v>0</v>
      </c>
      <c r="AL294">
        <v>3</v>
      </c>
      <c r="AM294">
        <v>0</v>
      </c>
      <c r="AN294" s="2">
        <f>IF((2*G294+M294-O294+3*V294+2*AB294+2*AE294+2*AH294+3*AJ294)&gt;=7,1,0)</f>
        <v>0</v>
      </c>
    </row>
    <row r="295" spans="1:40" x14ac:dyDescent="0.25">
      <c r="A295" t="s">
        <v>27</v>
      </c>
      <c r="B295" s="1">
        <v>37352</v>
      </c>
      <c r="C295" s="6">
        <f t="shared" si="40"/>
        <v>2002</v>
      </c>
      <c r="D295">
        <v>66.3</v>
      </c>
      <c r="E295">
        <v>55.5</v>
      </c>
      <c r="F295">
        <v>61.1</v>
      </c>
      <c r="G295" s="2">
        <f t="shared" si="41"/>
        <v>0</v>
      </c>
      <c r="H295">
        <v>66.3</v>
      </c>
      <c r="I295">
        <v>55.5</v>
      </c>
      <c r="J295">
        <v>61.1</v>
      </c>
      <c r="K295">
        <v>46</v>
      </c>
      <c r="L295">
        <v>58.4</v>
      </c>
      <c r="M295" s="2">
        <f t="shared" si="42"/>
        <v>1</v>
      </c>
      <c r="N295">
        <v>4.0000000000000001E-3</v>
      </c>
      <c r="O295" s="2">
        <f t="shared" si="43"/>
        <v>1</v>
      </c>
      <c r="P295">
        <v>100</v>
      </c>
      <c r="Q295">
        <v>4.17</v>
      </c>
      <c r="R295" t="s">
        <v>182</v>
      </c>
      <c r="S295">
        <v>0</v>
      </c>
      <c r="T295">
        <v>0</v>
      </c>
      <c r="U295">
        <v>0</v>
      </c>
      <c r="V295" s="2">
        <f t="shared" si="44"/>
        <v>0</v>
      </c>
      <c r="W295">
        <v>25.3</v>
      </c>
      <c r="X295" s="2">
        <f t="shared" si="45"/>
        <v>1</v>
      </c>
      <c r="Y295">
        <v>261</v>
      </c>
      <c r="Z295" s="2" t="str">
        <f>CHOOSE(MATCH(Y295,{0;11;80;111;161;191;241;281;341},1),"North","NorthEast","East","SouthEast","South","SouthWest","West","NorthWest","North")</f>
        <v>West</v>
      </c>
      <c r="AA295" s="4">
        <f>CHOOSE(MATCH(Z295,{"South";"SouthEast";"SouthWest";"North";"NorthEast";"East";"West";"NorthWest"},0),1,2,3,4,5,6,7,8)</f>
        <v>7</v>
      </c>
      <c r="AB295" s="2">
        <f t="shared" si="46"/>
        <v>0</v>
      </c>
      <c r="AC295">
        <v>1007.1</v>
      </c>
      <c r="AD295" t="s">
        <v>518</v>
      </c>
      <c r="AE295" s="2">
        <f t="shared" si="47"/>
        <v>0</v>
      </c>
      <c r="AF295" t="s">
        <v>519</v>
      </c>
      <c r="AG295" s="2">
        <f t="shared" si="48"/>
        <v>4</v>
      </c>
      <c r="AH295" s="2">
        <f t="shared" si="49"/>
        <v>0</v>
      </c>
      <c r="AI295" s="3">
        <v>148.00000000046569</v>
      </c>
      <c r="AJ295" s="2">
        <v>0</v>
      </c>
      <c r="AK295">
        <v>0</v>
      </c>
      <c r="AL295">
        <v>0.1</v>
      </c>
      <c r="AM295">
        <v>0</v>
      </c>
      <c r="AN295" s="2">
        <f>IF((2*G295+M295-O295+3*V295+2*AB295+2*AE295+2*AH295+3*AJ295)&gt;=7,1,0)</f>
        <v>0</v>
      </c>
    </row>
    <row r="296" spans="1:40" x14ac:dyDescent="0.25">
      <c r="A296" t="s">
        <v>27</v>
      </c>
      <c r="B296" s="1">
        <v>37381</v>
      </c>
      <c r="C296" s="6">
        <f t="shared" si="40"/>
        <v>2002</v>
      </c>
      <c r="D296">
        <v>68.099999999999994</v>
      </c>
      <c r="E296">
        <v>55.5</v>
      </c>
      <c r="F296">
        <v>63.2</v>
      </c>
      <c r="G296" s="2">
        <f t="shared" si="41"/>
        <v>0</v>
      </c>
      <c r="H296">
        <v>68.099999999999994</v>
      </c>
      <c r="I296">
        <v>55.5</v>
      </c>
      <c r="J296">
        <v>63.2</v>
      </c>
      <c r="K296">
        <v>50.9</v>
      </c>
      <c r="L296">
        <v>64.8</v>
      </c>
      <c r="M296" s="2">
        <f t="shared" si="42"/>
        <v>1</v>
      </c>
      <c r="N296">
        <v>0</v>
      </c>
      <c r="O296" s="2">
        <f t="shared" si="43"/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s="2">
        <f t="shared" si="44"/>
        <v>0</v>
      </c>
      <c r="W296">
        <v>12.8</v>
      </c>
      <c r="X296" s="2">
        <f t="shared" si="45"/>
        <v>0</v>
      </c>
      <c r="Y296">
        <v>295.3</v>
      </c>
      <c r="Z296" s="2" t="str">
        <f>CHOOSE(MATCH(Y296,{0;11;80;111;161;191;241;281;341},1),"North","NorthEast","East","SouthEast","South","SouthWest","West","NorthWest","North")</f>
        <v>NorthWest</v>
      </c>
      <c r="AA296" s="4">
        <f>CHOOSE(MATCH(Z296,{"South";"SouthEast";"SouthWest";"North";"NorthEast";"East";"West";"NorthWest"},0),1,2,3,4,5,6,7,8)</f>
        <v>8</v>
      </c>
      <c r="AB296" s="2">
        <f t="shared" si="46"/>
        <v>1</v>
      </c>
      <c r="AC296">
        <v>1013.4</v>
      </c>
      <c r="AD296" t="s">
        <v>221</v>
      </c>
      <c r="AE296" s="2">
        <f t="shared" si="47"/>
        <v>0</v>
      </c>
      <c r="AF296" t="s">
        <v>520</v>
      </c>
      <c r="AG296" s="2">
        <f t="shared" si="48"/>
        <v>5</v>
      </c>
      <c r="AH296" s="2">
        <f t="shared" si="49"/>
        <v>0</v>
      </c>
      <c r="AI296" s="3">
        <v>46.000000003259629</v>
      </c>
      <c r="AJ296" s="2">
        <v>0</v>
      </c>
      <c r="AK296">
        <v>0</v>
      </c>
      <c r="AL296">
        <v>0.2</v>
      </c>
      <c r="AM296">
        <v>0</v>
      </c>
      <c r="AN296" s="2">
        <f>IF((2*G296+M296-O296+3*V296+2*AB296+2*AE296+2*AH296+3*AJ296)&gt;=7,1,0)</f>
        <v>0</v>
      </c>
    </row>
    <row r="297" spans="1:40" x14ac:dyDescent="0.25">
      <c r="A297" t="s">
        <v>27</v>
      </c>
      <c r="B297" s="1">
        <v>37383</v>
      </c>
      <c r="C297" s="6">
        <f t="shared" si="40"/>
        <v>2002</v>
      </c>
      <c r="D297">
        <v>69.900000000000006</v>
      </c>
      <c r="E297">
        <v>59.1</v>
      </c>
      <c r="F297">
        <v>65.3</v>
      </c>
      <c r="G297" s="2">
        <f t="shared" si="41"/>
        <v>0</v>
      </c>
      <c r="H297">
        <v>69.900000000000006</v>
      </c>
      <c r="I297">
        <v>59.1</v>
      </c>
      <c r="J297">
        <v>65.3</v>
      </c>
      <c r="K297">
        <v>54.8</v>
      </c>
      <c r="L297">
        <v>69.400000000000006</v>
      </c>
      <c r="M297" s="2">
        <f t="shared" si="42"/>
        <v>0</v>
      </c>
      <c r="N297">
        <v>0</v>
      </c>
      <c r="O297" s="2">
        <f t="shared" si="43"/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s="2">
        <f t="shared" si="44"/>
        <v>0</v>
      </c>
      <c r="W297">
        <v>12.8</v>
      </c>
      <c r="X297" s="2">
        <f t="shared" si="45"/>
        <v>0</v>
      </c>
      <c r="Y297">
        <v>305.89999999999998</v>
      </c>
      <c r="Z297" s="2" t="str">
        <f>CHOOSE(MATCH(Y297,{0;11;80;111;161;191;241;281;341},1),"North","NorthEast","East","SouthEast","South","SouthWest","West","NorthWest","North")</f>
        <v>NorthWest</v>
      </c>
      <c r="AA297" s="4">
        <f>CHOOSE(MATCH(Z297,{"South";"SouthEast";"SouthWest";"North";"NorthEast";"East";"West";"NorthWest"},0),1,2,3,4,5,6,7,8)</f>
        <v>8</v>
      </c>
      <c r="AB297" s="2">
        <f t="shared" si="46"/>
        <v>1</v>
      </c>
      <c r="AC297">
        <v>1016.8</v>
      </c>
      <c r="AD297" t="s">
        <v>187</v>
      </c>
      <c r="AE297" s="2">
        <f t="shared" si="47"/>
        <v>1</v>
      </c>
      <c r="AF297" t="s">
        <v>521</v>
      </c>
      <c r="AG297" s="2">
        <f t="shared" si="48"/>
        <v>5</v>
      </c>
      <c r="AH297" s="2">
        <f t="shared" si="49"/>
        <v>0</v>
      </c>
      <c r="AI297" s="3">
        <v>53.999999997904517</v>
      </c>
      <c r="AJ297" s="2">
        <v>0</v>
      </c>
      <c r="AK297">
        <v>0</v>
      </c>
      <c r="AL297">
        <v>0.2</v>
      </c>
      <c r="AM297">
        <v>0</v>
      </c>
      <c r="AN297" s="2">
        <f>IF((2*G297+M297-O297+3*V297+2*AB297+2*AE297+2*AH297+3*AJ297)&gt;=7,1,0)</f>
        <v>0</v>
      </c>
    </row>
    <row r="298" spans="1:40" x14ac:dyDescent="0.25">
      <c r="A298" t="s">
        <v>27</v>
      </c>
      <c r="B298" s="1">
        <v>37389</v>
      </c>
      <c r="C298" s="6">
        <f t="shared" si="40"/>
        <v>2002</v>
      </c>
      <c r="D298">
        <v>73.5</v>
      </c>
      <c r="E298">
        <v>60.9</v>
      </c>
      <c r="F298">
        <v>66</v>
      </c>
      <c r="G298" s="2">
        <f t="shared" si="41"/>
        <v>0</v>
      </c>
      <c r="H298">
        <v>73.5</v>
      </c>
      <c r="I298">
        <v>60.9</v>
      </c>
      <c r="J298">
        <v>66</v>
      </c>
      <c r="K298">
        <v>54.6</v>
      </c>
      <c r="L298">
        <v>68.2</v>
      </c>
      <c r="M298" s="2">
        <f t="shared" si="42"/>
        <v>0</v>
      </c>
      <c r="N298">
        <v>0</v>
      </c>
      <c r="O298" s="2">
        <f t="shared" si="43"/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 s="2">
        <f t="shared" si="44"/>
        <v>0</v>
      </c>
      <c r="W298">
        <v>23</v>
      </c>
      <c r="X298" s="2">
        <f t="shared" si="45"/>
        <v>1</v>
      </c>
      <c r="Y298">
        <v>277.89999999999998</v>
      </c>
      <c r="Z298" s="2" t="str">
        <f>CHOOSE(MATCH(Y298,{0;11;80;111;161;191;241;281;341},1),"North","NorthEast","East","SouthEast","South","SouthWest","West","NorthWest","North")</f>
        <v>West</v>
      </c>
      <c r="AA298" s="4">
        <f>CHOOSE(MATCH(Z298,{"South";"SouthEast";"SouthWest";"North";"NorthEast";"East";"West";"NorthWest"},0),1,2,3,4,5,6,7,8)</f>
        <v>7</v>
      </c>
      <c r="AB298" s="2">
        <f t="shared" si="46"/>
        <v>0</v>
      </c>
      <c r="AC298">
        <v>1012.9</v>
      </c>
      <c r="AD298" t="s">
        <v>223</v>
      </c>
      <c r="AE298" s="2">
        <f t="shared" si="47"/>
        <v>0</v>
      </c>
      <c r="AF298" t="s">
        <v>522</v>
      </c>
      <c r="AG298" s="2">
        <f t="shared" si="48"/>
        <v>5</v>
      </c>
      <c r="AH298" s="2">
        <f t="shared" si="49"/>
        <v>0</v>
      </c>
      <c r="AI298" s="3">
        <v>375.99999999976723</v>
      </c>
      <c r="AJ298" s="2">
        <v>1</v>
      </c>
      <c r="AK298">
        <v>0</v>
      </c>
      <c r="AL298">
        <v>3</v>
      </c>
      <c r="AM298">
        <v>0</v>
      </c>
      <c r="AN298" s="2">
        <f>IF((2*G298+M298-O298+3*V298+2*AB298+2*AE298+2*AH298+3*AJ298)&gt;=7,1,0)</f>
        <v>0</v>
      </c>
    </row>
    <row r="299" spans="1:40" x14ac:dyDescent="0.25">
      <c r="A299" t="s">
        <v>27</v>
      </c>
      <c r="B299" s="1">
        <v>37395</v>
      </c>
      <c r="C299" s="6">
        <f t="shared" si="40"/>
        <v>2002</v>
      </c>
      <c r="D299">
        <v>75.3</v>
      </c>
      <c r="E299">
        <v>59.1</v>
      </c>
      <c r="F299">
        <v>67.900000000000006</v>
      </c>
      <c r="G299" s="2">
        <f t="shared" si="41"/>
        <v>0</v>
      </c>
      <c r="H299">
        <v>75.3</v>
      </c>
      <c r="I299">
        <v>59.1</v>
      </c>
      <c r="J299">
        <v>67.900000000000006</v>
      </c>
      <c r="K299">
        <v>48.3</v>
      </c>
      <c r="L299">
        <v>49.9</v>
      </c>
      <c r="M299" s="2">
        <f t="shared" si="42"/>
        <v>1</v>
      </c>
      <c r="N299">
        <v>0</v>
      </c>
      <c r="O299" s="2">
        <f t="shared" si="43"/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 s="2">
        <f t="shared" si="44"/>
        <v>0</v>
      </c>
      <c r="W299">
        <v>12.8</v>
      </c>
      <c r="X299" s="2">
        <f t="shared" si="45"/>
        <v>0</v>
      </c>
      <c r="Y299">
        <v>124.7</v>
      </c>
      <c r="Z299" s="2" t="str">
        <f>CHOOSE(MATCH(Y299,{0;11;80;111;161;191;241;281;341},1),"North","NorthEast","East","SouthEast","South","SouthWest","West","NorthWest","North")</f>
        <v>SouthEast</v>
      </c>
      <c r="AA299" s="4">
        <f>CHOOSE(MATCH(Z299,{"South";"SouthEast";"SouthWest";"North";"NorthEast";"East";"West";"NorthWest"},0),1,2,3,4,5,6,7,8)</f>
        <v>2</v>
      </c>
      <c r="AB299" s="2">
        <f t="shared" si="46"/>
        <v>0</v>
      </c>
      <c r="AC299">
        <v>1013.8</v>
      </c>
      <c r="AD299" t="s">
        <v>523</v>
      </c>
      <c r="AE299" s="2">
        <f t="shared" si="47"/>
        <v>1</v>
      </c>
      <c r="AF299" t="s">
        <v>524</v>
      </c>
      <c r="AG299" s="2">
        <f t="shared" si="48"/>
        <v>5</v>
      </c>
      <c r="AH299" s="2">
        <f t="shared" si="49"/>
        <v>0</v>
      </c>
      <c r="AI299" s="3">
        <v>495</v>
      </c>
      <c r="AJ299" s="2">
        <v>1</v>
      </c>
      <c r="AK299">
        <v>0</v>
      </c>
      <c r="AL299">
        <v>20</v>
      </c>
      <c r="AM299">
        <v>0</v>
      </c>
      <c r="AN299" s="2">
        <f>IF((2*G299+M299-O299+3*V299+2*AB299+2*AE299+2*AH299+3*AJ299)&gt;=7,1,0)</f>
        <v>0</v>
      </c>
    </row>
    <row r="300" spans="1:40" x14ac:dyDescent="0.25">
      <c r="A300" t="s">
        <v>27</v>
      </c>
      <c r="B300" s="1">
        <v>37412</v>
      </c>
      <c r="C300" s="6">
        <f t="shared" si="40"/>
        <v>2002</v>
      </c>
      <c r="D300">
        <v>77.099999999999994</v>
      </c>
      <c r="E300">
        <v>62.7</v>
      </c>
      <c r="F300">
        <v>71.099999999999994</v>
      </c>
      <c r="G300" s="2">
        <f t="shared" si="41"/>
        <v>1</v>
      </c>
      <c r="H300">
        <v>77.099999999999994</v>
      </c>
      <c r="I300">
        <v>62.7</v>
      </c>
      <c r="J300">
        <v>71.099999999999994</v>
      </c>
      <c r="K300">
        <v>55.1</v>
      </c>
      <c r="L300">
        <v>57.6</v>
      </c>
      <c r="M300" s="2">
        <f t="shared" si="42"/>
        <v>1</v>
      </c>
      <c r="N300">
        <v>0</v>
      </c>
      <c r="O300" s="2">
        <f t="shared" si="43"/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s="2">
        <f t="shared" si="44"/>
        <v>0</v>
      </c>
      <c r="W300">
        <v>10.3</v>
      </c>
      <c r="X300" s="2">
        <f t="shared" si="45"/>
        <v>0</v>
      </c>
      <c r="Y300">
        <v>128.1</v>
      </c>
      <c r="Z300" s="2" t="str">
        <f>CHOOSE(MATCH(Y300,{0;11;80;111;161;191;241;281;341},1),"North","NorthEast","East","SouthEast","South","SouthWest","West","NorthWest","North")</f>
        <v>SouthEast</v>
      </c>
      <c r="AA300" s="4">
        <f>CHOOSE(MATCH(Z300,{"South";"SouthEast";"SouthWest";"North";"NorthEast";"East";"West";"NorthWest"},0),1,2,3,4,5,6,7,8)</f>
        <v>2</v>
      </c>
      <c r="AB300" s="2">
        <f t="shared" si="46"/>
        <v>0</v>
      </c>
      <c r="AC300">
        <v>1012.1</v>
      </c>
      <c r="AD300" t="s">
        <v>525</v>
      </c>
      <c r="AE300" s="2">
        <f t="shared" si="47"/>
        <v>1</v>
      </c>
      <c r="AF300" t="s">
        <v>526</v>
      </c>
      <c r="AG300" s="2">
        <f t="shared" si="48"/>
        <v>6</v>
      </c>
      <c r="AH300" s="2">
        <f t="shared" si="49"/>
        <v>1</v>
      </c>
      <c r="AI300" s="3">
        <v>13.00000000046566</v>
      </c>
      <c r="AJ300" s="2">
        <v>0</v>
      </c>
      <c r="AK300">
        <v>0</v>
      </c>
      <c r="AL300">
        <v>0.5</v>
      </c>
      <c r="AM300">
        <v>0</v>
      </c>
      <c r="AN300" s="2">
        <f>IF((2*G300+M300-O300+3*V300+2*AB300+2*AE300+2*AH300+3*AJ300)&gt;=7,1,0)</f>
        <v>0</v>
      </c>
    </row>
    <row r="301" spans="1:40" x14ac:dyDescent="0.25">
      <c r="A301" t="s">
        <v>27</v>
      </c>
      <c r="B301" s="1">
        <v>37418</v>
      </c>
      <c r="C301" s="6">
        <f t="shared" si="40"/>
        <v>2002</v>
      </c>
      <c r="D301">
        <v>75.3</v>
      </c>
      <c r="E301">
        <v>69.900000000000006</v>
      </c>
      <c r="F301">
        <v>72.8</v>
      </c>
      <c r="G301" s="2">
        <f t="shared" si="41"/>
        <v>1</v>
      </c>
      <c r="H301">
        <v>75.3</v>
      </c>
      <c r="I301">
        <v>69.900000000000006</v>
      </c>
      <c r="J301">
        <v>72.8</v>
      </c>
      <c r="K301">
        <v>57</v>
      </c>
      <c r="L301">
        <v>57.9</v>
      </c>
      <c r="M301" s="2">
        <f t="shared" si="42"/>
        <v>1</v>
      </c>
      <c r="N301">
        <v>0</v>
      </c>
      <c r="O301" s="2">
        <f t="shared" si="43"/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 s="2">
        <f t="shared" si="44"/>
        <v>0</v>
      </c>
      <c r="W301">
        <v>23</v>
      </c>
      <c r="X301" s="2">
        <f t="shared" si="45"/>
        <v>1</v>
      </c>
      <c r="Y301">
        <v>285</v>
      </c>
      <c r="Z301" s="2" t="str">
        <f>CHOOSE(MATCH(Y301,{0;11;80;111;161;191;241;281;341},1),"North","NorthEast","East","SouthEast","South","SouthWest","West","NorthWest","North")</f>
        <v>NorthWest</v>
      </c>
      <c r="AA301" s="4">
        <f>CHOOSE(MATCH(Z301,{"South";"SouthEast";"SouthWest";"North";"NorthEast";"East";"West";"NorthWest"},0),1,2,3,4,5,6,7,8)</f>
        <v>8</v>
      </c>
      <c r="AB301" s="2">
        <f t="shared" si="46"/>
        <v>1</v>
      </c>
      <c r="AC301">
        <v>1008.4</v>
      </c>
      <c r="AD301" t="s">
        <v>527</v>
      </c>
      <c r="AE301" s="2">
        <f t="shared" si="47"/>
        <v>1</v>
      </c>
      <c r="AF301" t="s">
        <v>528</v>
      </c>
      <c r="AG301" s="2">
        <f t="shared" si="48"/>
        <v>6</v>
      </c>
      <c r="AH301" s="2">
        <f t="shared" si="49"/>
        <v>1</v>
      </c>
      <c r="AI301" s="3">
        <v>105.9999999997672</v>
      </c>
      <c r="AJ301" s="2">
        <v>0</v>
      </c>
      <c r="AK301">
        <v>0.5</v>
      </c>
      <c r="AL301">
        <v>0</v>
      </c>
      <c r="AM301">
        <v>0</v>
      </c>
      <c r="AN301" s="2">
        <f>IF((2*G301+M301-O301+3*V301+2*AB301+2*AE301+2*AH301+3*AJ301)&gt;=7,1,0)</f>
        <v>1</v>
      </c>
    </row>
    <row r="302" spans="1:40" x14ac:dyDescent="0.25">
      <c r="A302" t="s">
        <v>27</v>
      </c>
      <c r="B302" s="1">
        <v>37419</v>
      </c>
      <c r="C302" s="6">
        <f t="shared" si="40"/>
        <v>2002</v>
      </c>
      <c r="D302">
        <v>77.099999999999994</v>
      </c>
      <c r="E302">
        <v>64.5</v>
      </c>
      <c r="F302">
        <v>71.400000000000006</v>
      </c>
      <c r="G302" s="2">
        <f t="shared" si="41"/>
        <v>1</v>
      </c>
      <c r="H302">
        <v>77.099999999999994</v>
      </c>
      <c r="I302">
        <v>64.5</v>
      </c>
      <c r="J302">
        <v>71.400000000000006</v>
      </c>
      <c r="K302">
        <v>59.4</v>
      </c>
      <c r="L302">
        <v>66.3</v>
      </c>
      <c r="M302" s="2">
        <f t="shared" si="42"/>
        <v>0</v>
      </c>
      <c r="N302">
        <v>0</v>
      </c>
      <c r="O302" s="2">
        <f t="shared" si="43"/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s="2">
        <f t="shared" si="44"/>
        <v>0</v>
      </c>
      <c r="W302">
        <v>13.9</v>
      </c>
      <c r="X302" s="2">
        <f t="shared" si="45"/>
        <v>0</v>
      </c>
      <c r="Y302">
        <v>292.8</v>
      </c>
      <c r="Z302" s="2" t="str">
        <f>CHOOSE(MATCH(Y302,{0;11;80;111;161;191;241;281;341},1),"North","NorthEast","East","SouthEast","South","SouthWest","West","NorthWest","North")</f>
        <v>NorthWest</v>
      </c>
      <c r="AA302" s="4">
        <f>CHOOSE(MATCH(Z302,{"South";"SouthEast";"SouthWest";"North";"NorthEast";"East";"West";"NorthWest"},0),1,2,3,4,5,6,7,8)</f>
        <v>8</v>
      </c>
      <c r="AB302" s="2">
        <f t="shared" si="46"/>
        <v>1</v>
      </c>
      <c r="AC302">
        <v>1011.8</v>
      </c>
      <c r="AD302" t="s">
        <v>529</v>
      </c>
      <c r="AE302" s="2">
        <f t="shared" si="47"/>
        <v>0</v>
      </c>
      <c r="AF302" t="s">
        <v>530</v>
      </c>
      <c r="AG302" s="2">
        <f t="shared" si="48"/>
        <v>6</v>
      </c>
      <c r="AH302" s="2">
        <f t="shared" si="49"/>
        <v>1</v>
      </c>
      <c r="AI302" s="3">
        <v>356.00000000791619</v>
      </c>
      <c r="AJ302" s="2">
        <v>0</v>
      </c>
      <c r="AK302">
        <v>0</v>
      </c>
      <c r="AL302">
        <v>3</v>
      </c>
      <c r="AM302">
        <v>0</v>
      </c>
      <c r="AN302" s="2">
        <f>IF((2*G302+M302-O302+3*V302+2*AB302+2*AE302+2*AH302+3*AJ302)&gt;=7,1,0)</f>
        <v>0</v>
      </c>
    </row>
    <row r="303" spans="1:40" x14ac:dyDescent="0.25">
      <c r="A303" t="s">
        <v>27</v>
      </c>
      <c r="B303" s="1">
        <v>37421</v>
      </c>
      <c r="C303" s="6">
        <f t="shared" si="40"/>
        <v>2002</v>
      </c>
      <c r="D303">
        <v>77.099999999999994</v>
      </c>
      <c r="E303">
        <v>71.7</v>
      </c>
      <c r="F303">
        <v>74.2</v>
      </c>
      <c r="G303" s="2">
        <f t="shared" si="41"/>
        <v>1</v>
      </c>
      <c r="H303">
        <v>77.099999999999994</v>
      </c>
      <c r="I303">
        <v>71.7</v>
      </c>
      <c r="J303">
        <v>74.2</v>
      </c>
      <c r="K303">
        <v>60.8</v>
      </c>
      <c r="L303">
        <v>63.1</v>
      </c>
      <c r="M303" s="2">
        <f t="shared" si="42"/>
        <v>1</v>
      </c>
      <c r="N303">
        <v>0</v>
      </c>
      <c r="O303" s="2">
        <f t="shared" si="43"/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s="2">
        <f t="shared" si="44"/>
        <v>0</v>
      </c>
      <c r="W303">
        <v>18.3</v>
      </c>
      <c r="X303" s="2">
        <f t="shared" si="45"/>
        <v>1</v>
      </c>
      <c r="Y303">
        <v>296.89999999999998</v>
      </c>
      <c r="Z303" s="2" t="str">
        <f>CHOOSE(MATCH(Y303,{0;11;80;111;161;191;241;281;341},1),"North","NorthEast","East","SouthEast","South","SouthWest","West","NorthWest","North")</f>
        <v>NorthWest</v>
      </c>
      <c r="AA303" s="4">
        <f>CHOOSE(MATCH(Z303,{"South";"SouthEast";"SouthWest";"North";"NorthEast";"East";"West";"NorthWest"},0),1,2,3,4,5,6,7,8)</f>
        <v>8</v>
      </c>
      <c r="AB303" s="2">
        <f t="shared" si="46"/>
        <v>1</v>
      </c>
      <c r="AC303">
        <v>1011.8</v>
      </c>
      <c r="AD303" t="s">
        <v>469</v>
      </c>
      <c r="AE303" s="2">
        <f t="shared" si="47"/>
        <v>0</v>
      </c>
      <c r="AF303" t="s">
        <v>531</v>
      </c>
      <c r="AG303" s="2">
        <f t="shared" si="48"/>
        <v>6</v>
      </c>
      <c r="AH303" s="2">
        <f t="shared" si="49"/>
        <v>1</v>
      </c>
      <c r="AI303" s="3">
        <v>1336.0000000067521</v>
      </c>
      <c r="AJ303" s="2">
        <v>1</v>
      </c>
      <c r="AK303">
        <v>0</v>
      </c>
      <c r="AL303">
        <v>20</v>
      </c>
      <c r="AM303">
        <v>0</v>
      </c>
      <c r="AN303" s="2">
        <f>IF((2*G303+M303-O303+3*V303+2*AB303+2*AE303+2*AH303+3*AJ303)&gt;=7,1,0)</f>
        <v>1</v>
      </c>
    </row>
    <row r="304" spans="1:40" x14ac:dyDescent="0.25">
      <c r="A304" t="s">
        <v>27</v>
      </c>
      <c r="B304" s="1">
        <v>37427</v>
      </c>
      <c r="C304" s="6">
        <f t="shared" si="40"/>
        <v>2002</v>
      </c>
      <c r="D304">
        <v>77.099999999999994</v>
      </c>
      <c r="E304">
        <v>71.7</v>
      </c>
      <c r="F304">
        <v>74.5</v>
      </c>
      <c r="G304" s="2">
        <f t="shared" si="41"/>
        <v>1</v>
      </c>
      <c r="H304">
        <v>77.099999999999994</v>
      </c>
      <c r="I304">
        <v>71.7</v>
      </c>
      <c r="J304">
        <v>74.5</v>
      </c>
      <c r="K304">
        <v>59.8</v>
      </c>
      <c r="L304">
        <v>60.7</v>
      </c>
      <c r="M304" s="2">
        <f t="shared" si="42"/>
        <v>1</v>
      </c>
      <c r="N304">
        <v>0</v>
      </c>
      <c r="O304" s="2">
        <f t="shared" si="43"/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 s="2">
        <f t="shared" si="44"/>
        <v>0</v>
      </c>
      <c r="W304">
        <v>20.8</v>
      </c>
      <c r="X304" s="2">
        <f t="shared" si="45"/>
        <v>1</v>
      </c>
      <c r="Y304">
        <v>303.5</v>
      </c>
      <c r="Z304" s="2" t="str">
        <f>CHOOSE(MATCH(Y304,{0;11;80;111;161;191;241;281;341},1),"North","NorthEast","East","SouthEast","South","SouthWest","West","NorthWest","North")</f>
        <v>NorthWest</v>
      </c>
      <c r="AA304" s="4">
        <f>CHOOSE(MATCH(Z304,{"South";"SouthEast";"SouthWest";"North";"NorthEast";"East";"West";"NorthWest"},0),1,2,3,4,5,6,7,8)</f>
        <v>8</v>
      </c>
      <c r="AB304" s="2">
        <f t="shared" si="46"/>
        <v>1</v>
      </c>
      <c r="AC304">
        <v>1015.4</v>
      </c>
      <c r="AD304" t="s">
        <v>532</v>
      </c>
      <c r="AE304" s="2">
        <f t="shared" si="47"/>
        <v>0</v>
      </c>
      <c r="AF304" t="s">
        <v>533</v>
      </c>
      <c r="AG304" s="2">
        <f t="shared" si="48"/>
        <v>6</v>
      </c>
      <c r="AH304" s="2">
        <f t="shared" si="49"/>
        <v>1</v>
      </c>
      <c r="AI304" s="3">
        <v>75.00000000349246</v>
      </c>
      <c r="AJ304" s="2">
        <v>0</v>
      </c>
      <c r="AK304">
        <v>0</v>
      </c>
      <c r="AL304">
        <v>2</v>
      </c>
      <c r="AM304">
        <v>0</v>
      </c>
      <c r="AN304" s="2">
        <f>IF((2*G304+M304-O304+3*V304+2*AB304+2*AE304+2*AH304+3*AJ304)&gt;=7,1,0)</f>
        <v>0</v>
      </c>
    </row>
    <row r="305" spans="1:40" x14ac:dyDescent="0.25">
      <c r="A305" t="s">
        <v>27</v>
      </c>
      <c r="B305" s="1">
        <v>37429</v>
      </c>
      <c r="C305" s="6">
        <f t="shared" si="40"/>
        <v>2002</v>
      </c>
      <c r="D305">
        <v>78.900000000000006</v>
      </c>
      <c r="E305">
        <v>73.5</v>
      </c>
      <c r="F305">
        <v>76</v>
      </c>
      <c r="G305" s="2">
        <f t="shared" si="41"/>
        <v>1</v>
      </c>
      <c r="H305">
        <v>78.900000000000006</v>
      </c>
      <c r="I305">
        <v>73.5</v>
      </c>
      <c r="J305">
        <v>76</v>
      </c>
      <c r="K305">
        <v>62.5</v>
      </c>
      <c r="L305">
        <v>63</v>
      </c>
      <c r="M305" s="2">
        <f t="shared" si="42"/>
        <v>1</v>
      </c>
      <c r="N305">
        <v>0</v>
      </c>
      <c r="O305" s="2">
        <f t="shared" si="43"/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s="2">
        <f t="shared" si="44"/>
        <v>0</v>
      </c>
      <c r="W305">
        <v>19.5</v>
      </c>
      <c r="X305" s="2">
        <f t="shared" si="45"/>
        <v>1</v>
      </c>
      <c r="Y305">
        <v>293.10000000000002</v>
      </c>
      <c r="Z305" s="2" t="str">
        <f>CHOOSE(MATCH(Y305,{0;11;80;111;161;191;241;281;341},1),"North","NorthEast","East","SouthEast","South","SouthWest","West","NorthWest","North")</f>
        <v>NorthWest</v>
      </c>
      <c r="AA305" s="4">
        <f>CHOOSE(MATCH(Z305,{"South";"SouthEast";"SouthWest";"North";"NorthEast";"East";"West";"NorthWest"},0),1,2,3,4,5,6,7,8)</f>
        <v>8</v>
      </c>
      <c r="AB305" s="2">
        <f t="shared" si="46"/>
        <v>1</v>
      </c>
      <c r="AC305">
        <v>1011.2</v>
      </c>
      <c r="AD305" t="s">
        <v>534</v>
      </c>
      <c r="AE305" s="2">
        <f t="shared" si="47"/>
        <v>1</v>
      </c>
      <c r="AF305" t="s">
        <v>535</v>
      </c>
      <c r="AG305" s="2">
        <f t="shared" si="48"/>
        <v>6</v>
      </c>
      <c r="AH305" s="2">
        <f t="shared" si="49"/>
        <v>1</v>
      </c>
      <c r="AI305" s="3">
        <v>192.00000000768341</v>
      </c>
      <c r="AJ305" s="2">
        <v>0</v>
      </c>
      <c r="AK305">
        <v>0</v>
      </c>
      <c r="AL305">
        <v>3</v>
      </c>
      <c r="AM305">
        <v>0</v>
      </c>
      <c r="AN305" s="2">
        <f>IF((2*G305+M305-O305+3*V305+2*AB305+2*AE305+2*AH305+3*AJ305)&gt;=7,1,0)</f>
        <v>1</v>
      </c>
    </row>
    <row r="306" spans="1:40" x14ac:dyDescent="0.25">
      <c r="A306" t="s">
        <v>27</v>
      </c>
      <c r="B306" s="1">
        <v>37431</v>
      </c>
      <c r="C306" s="6">
        <f t="shared" si="40"/>
        <v>2002</v>
      </c>
      <c r="D306">
        <v>82.5</v>
      </c>
      <c r="E306">
        <v>69.900000000000006</v>
      </c>
      <c r="F306">
        <v>76.3</v>
      </c>
      <c r="G306" s="2">
        <f t="shared" si="41"/>
        <v>1</v>
      </c>
      <c r="H306">
        <v>85.5</v>
      </c>
      <c r="I306">
        <v>69.900000000000006</v>
      </c>
      <c r="J306">
        <v>77.099999999999994</v>
      </c>
      <c r="K306">
        <v>63.5</v>
      </c>
      <c r="L306">
        <v>65</v>
      </c>
      <c r="M306" s="2">
        <f t="shared" si="42"/>
        <v>1</v>
      </c>
      <c r="N306">
        <v>0</v>
      </c>
      <c r="O306" s="2">
        <f t="shared" si="43"/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s="2">
        <f t="shared" si="44"/>
        <v>0</v>
      </c>
      <c r="W306">
        <v>17.2</v>
      </c>
      <c r="X306" s="2">
        <f t="shared" si="45"/>
        <v>1</v>
      </c>
      <c r="Y306">
        <v>227.2</v>
      </c>
      <c r="Z306" s="2" t="str">
        <f>CHOOSE(MATCH(Y306,{0;11;80;111;161;191;241;281;341},1),"North","NorthEast","East","SouthEast","South","SouthWest","West","NorthWest","North")</f>
        <v>SouthWest</v>
      </c>
      <c r="AA306" s="4">
        <f>CHOOSE(MATCH(Z306,{"South";"SouthEast";"SouthWest";"North";"NorthEast";"East";"West";"NorthWest"},0),1,2,3,4,5,6,7,8)</f>
        <v>3</v>
      </c>
      <c r="AB306" s="2">
        <f t="shared" si="46"/>
        <v>0</v>
      </c>
      <c r="AC306">
        <v>1013.1</v>
      </c>
      <c r="AD306" t="s">
        <v>439</v>
      </c>
      <c r="AE306" s="2">
        <f t="shared" si="47"/>
        <v>1</v>
      </c>
      <c r="AF306" t="s">
        <v>536</v>
      </c>
      <c r="AG306" s="2">
        <f t="shared" si="48"/>
        <v>6</v>
      </c>
      <c r="AH306" s="2">
        <f t="shared" si="49"/>
        <v>1</v>
      </c>
      <c r="AI306" s="3">
        <v>445.99999999743892</v>
      </c>
      <c r="AJ306" s="2">
        <v>1</v>
      </c>
      <c r="AK306">
        <v>0</v>
      </c>
      <c r="AL306">
        <v>5</v>
      </c>
      <c r="AM306">
        <v>0</v>
      </c>
      <c r="AN306" s="2">
        <f>IF((2*G306+M306-O306+3*V306+2*AB306+2*AE306+2*AH306+3*AJ306)&gt;=7,1,0)</f>
        <v>1</v>
      </c>
    </row>
    <row r="307" spans="1:40" x14ac:dyDescent="0.25">
      <c r="A307" t="s">
        <v>27</v>
      </c>
      <c r="B307" s="1">
        <v>37431</v>
      </c>
      <c r="C307" s="6">
        <f t="shared" si="40"/>
        <v>2002</v>
      </c>
      <c r="D307">
        <v>82.5</v>
      </c>
      <c r="E307">
        <v>69.900000000000006</v>
      </c>
      <c r="F307">
        <v>76.3</v>
      </c>
      <c r="G307" s="2">
        <f t="shared" si="41"/>
        <v>1</v>
      </c>
      <c r="H307">
        <v>85.5</v>
      </c>
      <c r="I307">
        <v>69.900000000000006</v>
      </c>
      <c r="J307">
        <v>77.099999999999994</v>
      </c>
      <c r="K307">
        <v>63.5</v>
      </c>
      <c r="L307">
        <v>65</v>
      </c>
      <c r="M307" s="2">
        <f t="shared" si="42"/>
        <v>1</v>
      </c>
      <c r="N307">
        <v>0</v>
      </c>
      <c r="O307" s="2">
        <f t="shared" si="43"/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s="2">
        <f t="shared" si="44"/>
        <v>0</v>
      </c>
      <c r="W307">
        <v>17.2</v>
      </c>
      <c r="X307" s="2">
        <f t="shared" si="45"/>
        <v>1</v>
      </c>
      <c r="Y307">
        <v>227.2</v>
      </c>
      <c r="Z307" s="2" t="str">
        <f>CHOOSE(MATCH(Y307,{0;11;80;111;161;191;241;281;341},1),"North","NorthEast","East","SouthEast","South","SouthWest","West","NorthWest","North")</f>
        <v>SouthWest</v>
      </c>
      <c r="AA307" s="4">
        <f>CHOOSE(MATCH(Z307,{"South";"SouthEast";"SouthWest";"North";"NorthEast";"East";"West";"NorthWest"},0),1,2,3,4,5,6,7,8)</f>
        <v>3</v>
      </c>
      <c r="AB307" s="2">
        <f t="shared" si="46"/>
        <v>0</v>
      </c>
      <c r="AC307">
        <v>1013.1</v>
      </c>
      <c r="AD307" t="s">
        <v>118</v>
      </c>
      <c r="AE307" s="2">
        <f t="shared" si="47"/>
        <v>0</v>
      </c>
      <c r="AF307" t="s">
        <v>537</v>
      </c>
      <c r="AG307" s="2">
        <f t="shared" si="48"/>
        <v>6</v>
      </c>
      <c r="AH307" s="2">
        <f t="shared" si="49"/>
        <v>1</v>
      </c>
      <c r="AI307" s="3">
        <v>129.99999999417921</v>
      </c>
      <c r="AJ307" s="2">
        <v>0</v>
      </c>
      <c r="AK307">
        <v>1</v>
      </c>
      <c r="AL307">
        <v>0</v>
      </c>
      <c r="AM307">
        <v>0</v>
      </c>
      <c r="AN307" s="2">
        <f>IF((2*G307+M307-O307+3*V307+2*AB307+2*AE307+2*AH307+3*AJ307)&gt;=7,1,0)</f>
        <v>0</v>
      </c>
    </row>
    <row r="308" spans="1:40" x14ac:dyDescent="0.25">
      <c r="A308" t="s">
        <v>27</v>
      </c>
      <c r="B308" s="1">
        <v>37433</v>
      </c>
      <c r="C308" s="6">
        <f t="shared" si="40"/>
        <v>2002</v>
      </c>
      <c r="D308">
        <v>84.3</v>
      </c>
      <c r="E308">
        <v>69.900000000000006</v>
      </c>
      <c r="F308">
        <v>77</v>
      </c>
      <c r="G308" s="2">
        <f t="shared" si="41"/>
        <v>1</v>
      </c>
      <c r="H308">
        <v>86.6</v>
      </c>
      <c r="I308">
        <v>69.900000000000006</v>
      </c>
      <c r="J308">
        <v>77.900000000000006</v>
      </c>
      <c r="K308">
        <v>62.8</v>
      </c>
      <c r="L308">
        <v>61.8</v>
      </c>
      <c r="M308" s="2">
        <f t="shared" si="42"/>
        <v>1</v>
      </c>
      <c r="N308">
        <v>0</v>
      </c>
      <c r="O308" s="2">
        <f t="shared" si="43"/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 s="2">
        <f t="shared" si="44"/>
        <v>0</v>
      </c>
      <c r="W308">
        <v>15</v>
      </c>
      <c r="X308" s="2">
        <f t="shared" si="45"/>
        <v>0</v>
      </c>
      <c r="Y308">
        <v>295.7</v>
      </c>
      <c r="Z308" s="2" t="str">
        <f>CHOOSE(MATCH(Y308,{0;11;80;111;161;191;241;281;341},1),"North","NorthEast","East","SouthEast","South","SouthWest","West","NorthWest","North")</f>
        <v>NorthWest</v>
      </c>
      <c r="AA308" s="4">
        <f>CHOOSE(MATCH(Z308,{"South";"SouthEast";"SouthWest";"North";"NorthEast";"East";"West";"NorthWest"},0),1,2,3,4,5,6,7,8)</f>
        <v>8</v>
      </c>
      <c r="AB308" s="2">
        <f t="shared" si="46"/>
        <v>1</v>
      </c>
      <c r="AC308">
        <v>1012.3</v>
      </c>
      <c r="AD308" t="s">
        <v>359</v>
      </c>
      <c r="AE308" s="2">
        <f t="shared" si="47"/>
        <v>1</v>
      </c>
      <c r="AF308" t="s">
        <v>538</v>
      </c>
      <c r="AG308" s="2">
        <f t="shared" si="48"/>
        <v>6</v>
      </c>
      <c r="AH308" s="2">
        <f t="shared" si="49"/>
        <v>1</v>
      </c>
      <c r="AI308" s="3">
        <v>1570.9999999974391</v>
      </c>
      <c r="AJ308" s="2">
        <v>1</v>
      </c>
      <c r="AK308">
        <v>0</v>
      </c>
      <c r="AL308">
        <v>590</v>
      </c>
      <c r="AM308">
        <v>0</v>
      </c>
      <c r="AN308" s="2">
        <f>IF((2*G308+M308-O308+3*V308+2*AB308+2*AE308+2*AH308+3*AJ308)&gt;=7,1,0)</f>
        <v>1</v>
      </c>
    </row>
    <row r="309" spans="1:40" x14ac:dyDescent="0.25">
      <c r="A309" t="s">
        <v>27</v>
      </c>
      <c r="B309" s="1">
        <v>37434</v>
      </c>
      <c r="C309" s="6">
        <f t="shared" si="40"/>
        <v>2002</v>
      </c>
      <c r="D309">
        <v>78.900000000000006</v>
      </c>
      <c r="E309">
        <v>73.5</v>
      </c>
      <c r="F309">
        <v>76.5</v>
      </c>
      <c r="G309" s="2">
        <f t="shared" si="41"/>
        <v>1</v>
      </c>
      <c r="H309">
        <v>78.900000000000006</v>
      </c>
      <c r="I309">
        <v>73.5</v>
      </c>
      <c r="J309">
        <v>76.5</v>
      </c>
      <c r="K309">
        <v>64.400000000000006</v>
      </c>
      <c r="L309">
        <v>66.400000000000006</v>
      </c>
      <c r="M309" s="2">
        <f t="shared" si="42"/>
        <v>0</v>
      </c>
      <c r="N309">
        <v>0</v>
      </c>
      <c r="O309" s="2">
        <f t="shared" si="43"/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 s="2">
        <f t="shared" si="44"/>
        <v>0</v>
      </c>
      <c r="W309">
        <v>19.5</v>
      </c>
      <c r="X309" s="2">
        <f t="shared" si="45"/>
        <v>1</v>
      </c>
      <c r="Y309">
        <v>295.10000000000002</v>
      </c>
      <c r="Z309" s="2" t="str">
        <f>CHOOSE(MATCH(Y309,{0;11;80;111;161;191;241;281;341},1),"North","NorthEast","East","SouthEast","South","SouthWest","West","NorthWest","North")</f>
        <v>NorthWest</v>
      </c>
      <c r="AA309" s="4">
        <f>CHOOSE(MATCH(Z309,{"South";"SouthEast";"SouthWest";"North";"NorthEast";"East";"West";"NorthWest"},0),1,2,3,4,5,6,7,8)</f>
        <v>8</v>
      </c>
      <c r="AB309" s="2">
        <f t="shared" si="46"/>
        <v>1</v>
      </c>
      <c r="AC309">
        <v>1012.3</v>
      </c>
      <c r="AD309" t="s">
        <v>76</v>
      </c>
      <c r="AE309" s="2">
        <f t="shared" si="47"/>
        <v>1</v>
      </c>
      <c r="AF309" t="s">
        <v>539</v>
      </c>
      <c r="AG309" s="2">
        <f t="shared" si="48"/>
        <v>6</v>
      </c>
      <c r="AH309" s="2">
        <f t="shared" si="49"/>
        <v>1</v>
      </c>
      <c r="AI309" s="3">
        <v>110.9999999951106</v>
      </c>
      <c r="AJ309" s="2">
        <v>0</v>
      </c>
      <c r="AK309">
        <v>0</v>
      </c>
      <c r="AL309">
        <v>0.1</v>
      </c>
      <c r="AM309">
        <v>0</v>
      </c>
      <c r="AN309" s="2">
        <f>IF((2*G309+M309-O309+3*V309+2*AB309+2*AE309+2*AH309+3*AJ309)&gt;=7,1,0)</f>
        <v>1</v>
      </c>
    </row>
    <row r="310" spans="1:40" x14ac:dyDescent="0.25">
      <c r="A310" t="s">
        <v>27</v>
      </c>
      <c r="B310" s="1">
        <v>37435</v>
      </c>
      <c r="C310" s="6">
        <f t="shared" si="40"/>
        <v>2002</v>
      </c>
      <c r="D310">
        <v>80.7</v>
      </c>
      <c r="E310">
        <v>73.5</v>
      </c>
      <c r="F310">
        <v>76.599999999999994</v>
      </c>
      <c r="G310" s="2">
        <f t="shared" si="41"/>
        <v>1</v>
      </c>
      <c r="H310">
        <v>81.2</v>
      </c>
      <c r="I310">
        <v>73.5</v>
      </c>
      <c r="J310">
        <v>76.599999999999994</v>
      </c>
      <c r="K310">
        <v>61.1</v>
      </c>
      <c r="L310">
        <v>59.5</v>
      </c>
      <c r="M310" s="2">
        <f t="shared" si="42"/>
        <v>1</v>
      </c>
      <c r="N310">
        <v>0</v>
      </c>
      <c r="O310" s="2">
        <f t="shared" si="43"/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 s="2">
        <f t="shared" si="44"/>
        <v>0</v>
      </c>
      <c r="W310">
        <v>21.9</v>
      </c>
      <c r="X310" s="2">
        <f t="shared" si="45"/>
        <v>1</v>
      </c>
      <c r="Y310">
        <v>293.89999999999998</v>
      </c>
      <c r="Z310" s="2" t="str">
        <f>CHOOSE(MATCH(Y310,{0;11;80;111;161;191;241;281;341},1),"North","NorthEast","East","SouthEast","South","SouthWest","West","NorthWest","North")</f>
        <v>NorthWest</v>
      </c>
      <c r="AA310" s="4">
        <f>CHOOSE(MATCH(Z310,{"South";"SouthEast";"SouthWest";"North";"NorthEast";"East";"West";"NorthWest"},0),1,2,3,4,5,6,7,8)</f>
        <v>8</v>
      </c>
      <c r="AB310" s="2">
        <f t="shared" si="46"/>
        <v>1</v>
      </c>
      <c r="AC310">
        <v>1013.2</v>
      </c>
      <c r="AD310" t="s">
        <v>334</v>
      </c>
      <c r="AE310" s="2">
        <f t="shared" si="47"/>
        <v>0</v>
      </c>
      <c r="AF310" t="s">
        <v>540</v>
      </c>
      <c r="AG310" s="2">
        <f t="shared" si="48"/>
        <v>6</v>
      </c>
      <c r="AH310" s="2">
        <f t="shared" si="49"/>
        <v>1</v>
      </c>
      <c r="AI310" s="3">
        <v>166.00000000675209</v>
      </c>
      <c r="AJ310" s="2">
        <v>0</v>
      </c>
      <c r="AK310">
        <v>3</v>
      </c>
      <c r="AL310">
        <v>0</v>
      </c>
      <c r="AM310">
        <v>0</v>
      </c>
      <c r="AN310" s="2">
        <f>IF((2*G310+M310-O310+3*V310+2*AB310+2*AE310+2*AH310+3*AJ310)&gt;=7,1,0)</f>
        <v>0</v>
      </c>
    </row>
    <row r="311" spans="1:40" x14ac:dyDescent="0.25">
      <c r="A311" t="s">
        <v>27</v>
      </c>
      <c r="B311" s="1">
        <v>37435</v>
      </c>
      <c r="C311" s="6">
        <f t="shared" si="40"/>
        <v>2002</v>
      </c>
      <c r="D311">
        <v>80.7</v>
      </c>
      <c r="E311">
        <v>73.5</v>
      </c>
      <c r="F311">
        <v>76.599999999999994</v>
      </c>
      <c r="G311" s="2">
        <f t="shared" si="41"/>
        <v>1</v>
      </c>
      <c r="H311">
        <v>81.2</v>
      </c>
      <c r="I311">
        <v>73.5</v>
      </c>
      <c r="J311">
        <v>76.599999999999994</v>
      </c>
      <c r="K311">
        <v>61.1</v>
      </c>
      <c r="L311">
        <v>59.5</v>
      </c>
      <c r="M311" s="2">
        <f t="shared" si="42"/>
        <v>1</v>
      </c>
      <c r="N311">
        <v>0</v>
      </c>
      <c r="O311" s="2">
        <f t="shared" si="43"/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 s="2">
        <f t="shared" si="44"/>
        <v>0</v>
      </c>
      <c r="W311">
        <v>21.9</v>
      </c>
      <c r="X311" s="2">
        <f t="shared" si="45"/>
        <v>1</v>
      </c>
      <c r="Y311">
        <v>293.89999999999998</v>
      </c>
      <c r="Z311" s="2" t="str">
        <f>CHOOSE(MATCH(Y311,{0;11;80;111;161;191;241;281;341},1),"North","NorthEast","East","SouthEast","South","SouthWest","West","NorthWest","North")</f>
        <v>NorthWest</v>
      </c>
      <c r="AA311" s="4">
        <f>CHOOSE(MATCH(Z311,{"South";"SouthEast";"SouthWest";"North";"NorthEast";"East";"West";"NorthWest"},0),1,2,3,4,5,6,7,8)</f>
        <v>8</v>
      </c>
      <c r="AB311" s="2">
        <f t="shared" si="46"/>
        <v>1</v>
      </c>
      <c r="AC311">
        <v>1013.2</v>
      </c>
      <c r="AD311" t="s">
        <v>541</v>
      </c>
      <c r="AE311" s="2">
        <f t="shared" si="47"/>
        <v>0</v>
      </c>
      <c r="AF311" t="s">
        <v>542</v>
      </c>
      <c r="AG311" s="2">
        <f t="shared" si="48"/>
        <v>6</v>
      </c>
      <c r="AH311" s="2">
        <f t="shared" si="49"/>
        <v>1</v>
      </c>
      <c r="AI311" s="3">
        <v>248.99999999441209</v>
      </c>
      <c r="AJ311" s="2">
        <v>0</v>
      </c>
      <c r="AK311">
        <v>0</v>
      </c>
      <c r="AL311">
        <v>0</v>
      </c>
      <c r="AM311">
        <v>1</v>
      </c>
      <c r="AN311" s="2">
        <f>IF((2*G311+M311-O311+3*V311+2*AB311+2*AE311+2*AH311+3*AJ311)&gt;=7,1,0)</f>
        <v>0</v>
      </c>
    </row>
    <row r="312" spans="1:40" x14ac:dyDescent="0.25">
      <c r="A312" t="s">
        <v>27</v>
      </c>
      <c r="B312" s="1">
        <v>37439</v>
      </c>
      <c r="C312" s="6">
        <f t="shared" si="40"/>
        <v>2002</v>
      </c>
      <c r="D312">
        <v>82.5</v>
      </c>
      <c r="E312">
        <v>73.5</v>
      </c>
      <c r="F312">
        <v>77.900000000000006</v>
      </c>
      <c r="G312" s="2">
        <f t="shared" si="41"/>
        <v>1</v>
      </c>
      <c r="H312">
        <v>84.8</v>
      </c>
      <c r="I312">
        <v>73.5</v>
      </c>
      <c r="J312">
        <v>78.400000000000006</v>
      </c>
      <c r="K312">
        <v>65</v>
      </c>
      <c r="L312">
        <v>65.099999999999994</v>
      </c>
      <c r="M312" s="2">
        <f t="shared" si="42"/>
        <v>1</v>
      </c>
      <c r="N312">
        <v>0</v>
      </c>
      <c r="O312" s="2">
        <f t="shared" si="43"/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s="2">
        <f t="shared" si="44"/>
        <v>0</v>
      </c>
      <c r="W312">
        <v>19.5</v>
      </c>
      <c r="X312" s="2">
        <f t="shared" si="45"/>
        <v>1</v>
      </c>
      <c r="Y312">
        <v>300.7</v>
      </c>
      <c r="Z312" s="2" t="str">
        <f>CHOOSE(MATCH(Y312,{0;11;80;111;161;191;241;281;341},1),"North","NorthEast","East","SouthEast","South","SouthWest","West","NorthWest","North")</f>
        <v>NorthWest</v>
      </c>
      <c r="AA312" s="4">
        <f>CHOOSE(MATCH(Z312,{"South";"SouthEast";"SouthWest";"North";"NorthEast";"East";"West";"NorthWest"},0),1,2,3,4,5,6,7,8)</f>
        <v>8</v>
      </c>
      <c r="AB312" s="2">
        <f t="shared" si="46"/>
        <v>1</v>
      </c>
      <c r="AC312">
        <v>1013.2</v>
      </c>
      <c r="AD312" t="s">
        <v>543</v>
      </c>
      <c r="AE312" s="2">
        <f t="shared" si="47"/>
        <v>1</v>
      </c>
      <c r="AF312" t="s">
        <v>544</v>
      </c>
      <c r="AG312" s="2">
        <f t="shared" si="48"/>
        <v>7</v>
      </c>
      <c r="AH312" s="2">
        <f t="shared" si="49"/>
        <v>1</v>
      </c>
      <c r="AI312" s="3">
        <v>210.00000000349249</v>
      </c>
      <c r="AJ312" s="2">
        <v>0</v>
      </c>
      <c r="AK312">
        <v>2</v>
      </c>
      <c r="AL312">
        <v>0</v>
      </c>
      <c r="AM312">
        <v>0</v>
      </c>
      <c r="AN312" s="2">
        <f>IF((2*G312+M312-O312+3*V312+2*AB312+2*AE312+2*AH312+3*AJ312)&gt;=7,1,0)</f>
        <v>1</v>
      </c>
    </row>
    <row r="313" spans="1:40" x14ac:dyDescent="0.25">
      <c r="A313" t="s">
        <v>27</v>
      </c>
      <c r="B313" s="1">
        <v>37440</v>
      </c>
      <c r="C313" s="6">
        <f t="shared" si="40"/>
        <v>2002</v>
      </c>
      <c r="D313">
        <v>84.3</v>
      </c>
      <c r="E313">
        <v>75.3</v>
      </c>
      <c r="F313">
        <v>79.400000000000006</v>
      </c>
      <c r="G313" s="2">
        <f t="shared" si="41"/>
        <v>1</v>
      </c>
      <c r="H313">
        <v>84.1</v>
      </c>
      <c r="I313">
        <v>75.3</v>
      </c>
      <c r="J313">
        <v>79.7</v>
      </c>
      <c r="K313">
        <v>62.3</v>
      </c>
      <c r="L313">
        <v>56.5</v>
      </c>
      <c r="M313" s="2">
        <f t="shared" si="42"/>
        <v>1</v>
      </c>
      <c r="N313">
        <v>0</v>
      </c>
      <c r="O313" s="2">
        <f t="shared" si="43"/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 s="2">
        <f t="shared" si="44"/>
        <v>0</v>
      </c>
      <c r="W313">
        <v>23</v>
      </c>
      <c r="X313" s="2">
        <f t="shared" si="45"/>
        <v>1</v>
      </c>
      <c r="Y313">
        <v>295.2</v>
      </c>
      <c r="Z313" s="2" t="str">
        <f>CHOOSE(MATCH(Y313,{0;11;80;111;161;191;241;281;341},1),"North","NorthEast","East","SouthEast","South","SouthWest","West","NorthWest","North")</f>
        <v>NorthWest</v>
      </c>
      <c r="AA313" s="4">
        <f>CHOOSE(MATCH(Z313,{"South";"SouthEast";"SouthWest";"North";"NorthEast";"East";"West";"NorthWest"},0),1,2,3,4,5,6,7,8)</f>
        <v>8</v>
      </c>
      <c r="AB313" s="2">
        <f t="shared" si="46"/>
        <v>1</v>
      </c>
      <c r="AC313">
        <v>1014.8</v>
      </c>
      <c r="AD313" t="s">
        <v>545</v>
      </c>
      <c r="AE313" s="2">
        <f t="shared" si="47"/>
        <v>0</v>
      </c>
      <c r="AF313" t="s">
        <v>546</v>
      </c>
      <c r="AG313" s="2">
        <f t="shared" si="48"/>
        <v>7</v>
      </c>
      <c r="AH313" s="2">
        <f t="shared" si="49"/>
        <v>1</v>
      </c>
      <c r="AI313" s="3">
        <v>220.00000000465661</v>
      </c>
      <c r="AJ313" s="2">
        <v>0</v>
      </c>
      <c r="AK313">
        <v>2.5</v>
      </c>
      <c r="AL313">
        <v>0</v>
      </c>
      <c r="AM313">
        <v>0</v>
      </c>
      <c r="AN313" s="2">
        <f>IF((2*G313+M313-O313+3*V313+2*AB313+2*AE313+2*AH313+3*AJ313)&gt;=7,1,0)</f>
        <v>0</v>
      </c>
    </row>
    <row r="314" spans="1:40" x14ac:dyDescent="0.25">
      <c r="A314" t="s">
        <v>27</v>
      </c>
      <c r="B314" s="1">
        <v>37443</v>
      </c>
      <c r="C314" s="6">
        <f t="shared" si="40"/>
        <v>2002</v>
      </c>
      <c r="D314">
        <v>84.3</v>
      </c>
      <c r="E314">
        <v>69.900000000000006</v>
      </c>
      <c r="F314">
        <v>78.900000000000006</v>
      </c>
      <c r="G314" s="2">
        <f t="shared" si="41"/>
        <v>1</v>
      </c>
      <c r="H314">
        <v>87.6</v>
      </c>
      <c r="I314">
        <v>69.900000000000006</v>
      </c>
      <c r="J314">
        <v>80.2</v>
      </c>
      <c r="K314">
        <v>64.599999999999994</v>
      </c>
      <c r="L314">
        <v>62</v>
      </c>
      <c r="M314" s="2">
        <f t="shared" si="42"/>
        <v>1</v>
      </c>
      <c r="N314">
        <v>0</v>
      </c>
      <c r="O314" s="2">
        <f t="shared" si="43"/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s="2">
        <f t="shared" si="44"/>
        <v>0</v>
      </c>
      <c r="W314">
        <v>19.5</v>
      </c>
      <c r="X314" s="2">
        <f t="shared" si="45"/>
        <v>1</v>
      </c>
      <c r="Y314">
        <v>291.5</v>
      </c>
      <c r="Z314" s="2" t="str">
        <f>CHOOSE(MATCH(Y314,{0;11;80;111;161;191;241;281;341},1),"North","NorthEast","East","SouthEast","South","SouthWest","West","NorthWest","North")</f>
        <v>NorthWest</v>
      </c>
      <c r="AA314" s="4">
        <f>CHOOSE(MATCH(Z314,{"South";"SouthEast";"SouthWest";"North";"NorthEast";"East";"West";"NorthWest"},0),1,2,3,4,5,6,7,8)</f>
        <v>8</v>
      </c>
      <c r="AB314" s="2">
        <f t="shared" si="46"/>
        <v>1</v>
      </c>
      <c r="AC314">
        <v>1010.7</v>
      </c>
      <c r="AD314" t="s">
        <v>231</v>
      </c>
      <c r="AE314" s="2">
        <f t="shared" si="47"/>
        <v>1</v>
      </c>
      <c r="AF314" t="s">
        <v>547</v>
      </c>
      <c r="AG314" s="2">
        <f t="shared" si="48"/>
        <v>7</v>
      </c>
      <c r="AH314" s="2">
        <f t="shared" si="49"/>
        <v>1</v>
      </c>
      <c r="AI314" s="3">
        <v>40.999999997438863</v>
      </c>
      <c r="AJ314" s="2">
        <v>0</v>
      </c>
      <c r="AK314">
        <v>0</v>
      </c>
      <c r="AL314">
        <v>0</v>
      </c>
      <c r="AM314">
        <v>0.1</v>
      </c>
      <c r="AN314" s="2">
        <f>IF((2*G314+M314-O314+3*V314+2*AB314+2*AE314+2*AH314+3*AJ314)&gt;=7,1,0)</f>
        <v>1</v>
      </c>
    </row>
    <row r="315" spans="1:40" x14ac:dyDescent="0.25">
      <c r="A315" t="s">
        <v>27</v>
      </c>
      <c r="B315" s="1">
        <v>37445</v>
      </c>
      <c r="C315" s="6">
        <f t="shared" si="40"/>
        <v>2002</v>
      </c>
      <c r="D315">
        <v>84.3</v>
      </c>
      <c r="E315">
        <v>73.5</v>
      </c>
      <c r="F315">
        <v>80</v>
      </c>
      <c r="G315" s="2">
        <f t="shared" si="41"/>
        <v>1</v>
      </c>
      <c r="H315">
        <v>91.1</v>
      </c>
      <c r="I315">
        <v>73.5</v>
      </c>
      <c r="J315">
        <v>82.3</v>
      </c>
      <c r="K315">
        <v>65</v>
      </c>
      <c r="L315">
        <v>61.3</v>
      </c>
      <c r="M315" s="2">
        <f t="shared" si="42"/>
        <v>1</v>
      </c>
      <c r="N315">
        <v>0</v>
      </c>
      <c r="O315" s="2">
        <f t="shared" si="43"/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 s="2">
        <f t="shared" si="44"/>
        <v>0</v>
      </c>
      <c r="W315">
        <v>18.3</v>
      </c>
      <c r="X315" s="2">
        <f t="shared" si="45"/>
        <v>1</v>
      </c>
      <c r="Y315">
        <v>295.10000000000002</v>
      </c>
      <c r="Z315" s="2" t="str">
        <f>CHOOSE(MATCH(Y315,{0;11;80;111;161;191;241;281;341},1),"North","NorthEast","East","SouthEast","South","SouthWest","West","NorthWest","North")</f>
        <v>NorthWest</v>
      </c>
      <c r="AA315" s="4">
        <f>CHOOSE(MATCH(Z315,{"South";"SouthEast";"SouthWest";"North";"NorthEast";"East";"West";"NorthWest"},0),1,2,3,4,5,6,7,8)</f>
        <v>8</v>
      </c>
      <c r="AB315" s="2">
        <f t="shared" si="46"/>
        <v>1</v>
      </c>
      <c r="AC315">
        <v>1007.5</v>
      </c>
      <c r="AD315" t="s">
        <v>406</v>
      </c>
      <c r="AE315" s="2">
        <f t="shared" si="47"/>
        <v>0</v>
      </c>
      <c r="AF315" t="s">
        <v>548</v>
      </c>
      <c r="AG315" s="2">
        <f t="shared" si="48"/>
        <v>7</v>
      </c>
      <c r="AH315" s="2">
        <f t="shared" si="49"/>
        <v>1</v>
      </c>
      <c r="AI315" s="3">
        <v>101.0000000044238</v>
      </c>
      <c r="AJ315" s="2">
        <v>0</v>
      </c>
      <c r="AK315">
        <v>0</v>
      </c>
      <c r="AL315">
        <v>0.5</v>
      </c>
      <c r="AM315">
        <v>0</v>
      </c>
      <c r="AN315" s="2">
        <f>IF((2*G315+M315-O315+3*V315+2*AB315+2*AE315+2*AH315+3*AJ315)&gt;=7,1,0)</f>
        <v>0</v>
      </c>
    </row>
    <row r="316" spans="1:40" x14ac:dyDescent="0.25">
      <c r="A316" t="s">
        <v>27</v>
      </c>
      <c r="B316" s="1">
        <v>37445</v>
      </c>
      <c r="C316" s="6">
        <f t="shared" si="40"/>
        <v>2002</v>
      </c>
      <c r="D316">
        <v>84.3</v>
      </c>
      <c r="E316">
        <v>73.5</v>
      </c>
      <c r="F316">
        <v>80</v>
      </c>
      <c r="G316" s="2">
        <f t="shared" si="41"/>
        <v>1</v>
      </c>
      <c r="H316">
        <v>91.1</v>
      </c>
      <c r="I316">
        <v>73.5</v>
      </c>
      <c r="J316">
        <v>82.3</v>
      </c>
      <c r="K316">
        <v>65</v>
      </c>
      <c r="L316">
        <v>61.3</v>
      </c>
      <c r="M316" s="2">
        <f t="shared" si="42"/>
        <v>1</v>
      </c>
      <c r="N316">
        <v>0</v>
      </c>
      <c r="O316" s="2">
        <f t="shared" si="43"/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s="2">
        <f t="shared" si="44"/>
        <v>0</v>
      </c>
      <c r="W316">
        <v>18.3</v>
      </c>
      <c r="X316" s="2">
        <f t="shared" si="45"/>
        <v>1</v>
      </c>
      <c r="Y316">
        <v>295.10000000000002</v>
      </c>
      <c r="Z316" s="2" t="str">
        <f>CHOOSE(MATCH(Y316,{0;11;80;111;161;191;241;281;341},1),"North","NorthEast","East","SouthEast","South","SouthWest","West","NorthWest","North")</f>
        <v>NorthWest</v>
      </c>
      <c r="AA316" s="4">
        <f>CHOOSE(MATCH(Z316,{"South";"SouthEast";"SouthWest";"North";"NorthEast";"East";"West";"NorthWest"},0),1,2,3,4,5,6,7,8)</f>
        <v>8</v>
      </c>
      <c r="AB316" s="2">
        <f t="shared" si="46"/>
        <v>1</v>
      </c>
      <c r="AC316">
        <v>1007.5</v>
      </c>
      <c r="AD316" t="s">
        <v>124</v>
      </c>
      <c r="AE316" s="2">
        <f t="shared" si="47"/>
        <v>1</v>
      </c>
      <c r="AF316" t="s">
        <v>549</v>
      </c>
      <c r="AG316" s="2">
        <f t="shared" si="48"/>
        <v>7</v>
      </c>
      <c r="AH316" s="2">
        <f t="shared" si="49"/>
        <v>1</v>
      </c>
      <c r="AI316" s="3">
        <v>105.9999999997672</v>
      </c>
      <c r="AJ316" s="2">
        <v>0</v>
      </c>
      <c r="AK316">
        <v>0</v>
      </c>
      <c r="AL316">
        <v>0.1</v>
      </c>
      <c r="AM316">
        <v>0</v>
      </c>
      <c r="AN316" s="2">
        <f>IF((2*G316+M316-O316+3*V316+2*AB316+2*AE316+2*AH316+3*AJ316)&gt;=7,1,0)</f>
        <v>1</v>
      </c>
    </row>
    <row r="317" spans="1:40" x14ac:dyDescent="0.25">
      <c r="A317" t="s">
        <v>27</v>
      </c>
      <c r="B317" s="1">
        <v>37445</v>
      </c>
      <c r="C317" s="6">
        <f t="shared" si="40"/>
        <v>2002</v>
      </c>
      <c r="D317">
        <v>84.3</v>
      </c>
      <c r="E317">
        <v>73.5</v>
      </c>
      <c r="F317">
        <v>80</v>
      </c>
      <c r="G317" s="2">
        <f t="shared" si="41"/>
        <v>1</v>
      </c>
      <c r="H317">
        <v>91.1</v>
      </c>
      <c r="I317">
        <v>73.5</v>
      </c>
      <c r="J317">
        <v>82.3</v>
      </c>
      <c r="K317">
        <v>65</v>
      </c>
      <c r="L317">
        <v>61.3</v>
      </c>
      <c r="M317" s="2">
        <f t="shared" si="42"/>
        <v>1</v>
      </c>
      <c r="N317">
        <v>0</v>
      </c>
      <c r="O317" s="2">
        <f t="shared" si="43"/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 s="2">
        <f t="shared" si="44"/>
        <v>0</v>
      </c>
      <c r="W317">
        <v>18.3</v>
      </c>
      <c r="X317" s="2">
        <f t="shared" si="45"/>
        <v>1</v>
      </c>
      <c r="Y317">
        <v>295.10000000000002</v>
      </c>
      <c r="Z317" s="2" t="str">
        <f>CHOOSE(MATCH(Y317,{0;11;80;111;161;191;241;281;341},1),"North","NorthEast","East","SouthEast","South","SouthWest","West","NorthWest","North")</f>
        <v>NorthWest</v>
      </c>
      <c r="AA317" s="4">
        <f>CHOOSE(MATCH(Z317,{"South";"SouthEast";"SouthWest";"North";"NorthEast";"East";"West";"NorthWest"},0),1,2,3,4,5,6,7,8)</f>
        <v>8</v>
      </c>
      <c r="AB317" s="2">
        <f t="shared" si="46"/>
        <v>1</v>
      </c>
      <c r="AC317">
        <v>1007.5</v>
      </c>
      <c r="AD317" t="s">
        <v>171</v>
      </c>
      <c r="AE317" s="2">
        <f t="shared" si="47"/>
        <v>1</v>
      </c>
      <c r="AF317" t="s">
        <v>550</v>
      </c>
      <c r="AG317" s="2">
        <f t="shared" si="48"/>
        <v>7</v>
      </c>
      <c r="AH317" s="2">
        <f t="shared" si="49"/>
        <v>1</v>
      </c>
      <c r="AI317" s="3">
        <v>146.00000000442381</v>
      </c>
      <c r="AJ317" s="2">
        <v>0</v>
      </c>
      <c r="AK317">
        <v>0</v>
      </c>
      <c r="AL317">
        <v>0.3</v>
      </c>
      <c r="AM317">
        <v>0</v>
      </c>
      <c r="AN317" s="2">
        <f>IF((2*G317+M317-O317+3*V317+2*AB317+2*AE317+2*AH317+3*AJ317)&gt;=7,1,0)</f>
        <v>1</v>
      </c>
    </row>
    <row r="318" spans="1:40" x14ac:dyDescent="0.25">
      <c r="A318" t="s">
        <v>27</v>
      </c>
      <c r="B318" s="1">
        <v>37448</v>
      </c>
      <c r="C318" s="6">
        <f t="shared" si="40"/>
        <v>2002</v>
      </c>
      <c r="D318">
        <v>84.3</v>
      </c>
      <c r="E318">
        <v>73.5</v>
      </c>
      <c r="F318">
        <v>79.599999999999994</v>
      </c>
      <c r="G318" s="2">
        <f t="shared" si="41"/>
        <v>1</v>
      </c>
      <c r="H318">
        <v>89.7</v>
      </c>
      <c r="I318">
        <v>73.5</v>
      </c>
      <c r="J318">
        <v>81.900000000000006</v>
      </c>
      <c r="K318">
        <v>66.400000000000006</v>
      </c>
      <c r="L318">
        <v>64.599999999999994</v>
      </c>
      <c r="M318" s="2">
        <f t="shared" si="42"/>
        <v>1</v>
      </c>
      <c r="N318">
        <v>0</v>
      </c>
      <c r="O318" s="2">
        <f t="shared" si="43"/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s="2">
        <f t="shared" si="44"/>
        <v>0</v>
      </c>
      <c r="W318">
        <v>16.100000000000001</v>
      </c>
      <c r="X318" s="2">
        <f t="shared" si="45"/>
        <v>1</v>
      </c>
      <c r="Y318">
        <v>293.60000000000002</v>
      </c>
      <c r="Z318" s="2" t="str">
        <f>CHOOSE(MATCH(Y318,{0;11;80;111;161;191;241;281;341},1),"North","NorthEast","East","SouthEast","South","SouthWest","West","NorthWest","North")</f>
        <v>NorthWest</v>
      </c>
      <c r="AA318" s="4">
        <f>CHOOSE(MATCH(Z318,{"South";"SouthEast";"SouthWest";"North";"NorthEast";"East";"West";"NorthWest"},0),1,2,3,4,5,6,7,8)</f>
        <v>8</v>
      </c>
      <c r="AB318" s="2">
        <f t="shared" si="46"/>
        <v>1</v>
      </c>
      <c r="AC318">
        <v>1008</v>
      </c>
      <c r="AD318" t="s">
        <v>41</v>
      </c>
      <c r="AE318" s="2">
        <f t="shared" si="47"/>
        <v>0</v>
      </c>
      <c r="AF318" t="s">
        <v>551</v>
      </c>
      <c r="AG318" s="2">
        <f t="shared" si="48"/>
        <v>7</v>
      </c>
      <c r="AH318" s="2">
        <f t="shared" si="49"/>
        <v>1</v>
      </c>
      <c r="AI318" s="3">
        <v>120.9999999962747</v>
      </c>
      <c r="AJ318" s="2">
        <v>0</v>
      </c>
      <c r="AK318">
        <v>0.1</v>
      </c>
      <c r="AL318">
        <v>0</v>
      </c>
      <c r="AM318">
        <v>0</v>
      </c>
      <c r="AN318" s="2">
        <f>IF((2*G318+M318-O318+3*V318+2*AB318+2*AE318+2*AH318+3*AJ318)&gt;=7,1,0)</f>
        <v>0</v>
      </c>
    </row>
    <row r="319" spans="1:40" x14ac:dyDescent="0.25">
      <c r="A319" t="s">
        <v>27</v>
      </c>
      <c r="B319" s="1">
        <v>37448</v>
      </c>
      <c r="C319" s="6">
        <f t="shared" si="40"/>
        <v>2002</v>
      </c>
      <c r="D319">
        <v>84.3</v>
      </c>
      <c r="E319">
        <v>73.5</v>
      </c>
      <c r="F319">
        <v>79.599999999999994</v>
      </c>
      <c r="G319" s="2">
        <f t="shared" si="41"/>
        <v>1</v>
      </c>
      <c r="H319">
        <v>89.7</v>
      </c>
      <c r="I319">
        <v>73.5</v>
      </c>
      <c r="J319">
        <v>81.900000000000006</v>
      </c>
      <c r="K319">
        <v>66.400000000000006</v>
      </c>
      <c r="L319">
        <v>64.599999999999994</v>
      </c>
      <c r="M319" s="2">
        <f t="shared" si="42"/>
        <v>1</v>
      </c>
      <c r="N319">
        <v>0</v>
      </c>
      <c r="O319" s="2">
        <f t="shared" si="43"/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s="2">
        <f t="shared" si="44"/>
        <v>0</v>
      </c>
      <c r="W319">
        <v>16.100000000000001</v>
      </c>
      <c r="X319" s="2">
        <f t="shared" si="45"/>
        <v>1</v>
      </c>
      <c r="Y319">
        <v>293.60000000000002</v>
      </c>
      <c r="Z319" s="2" t="str">
        <f>CHOOSE(MATCH(Y319,{0;11;80;111;161;191;241;281;341},1),"North","NorthEast","East","SouthEast","South","SouthWest","West","NorthWest","North")</f>
        <v>NorthWest</v>
      </c>
      <c r="AA319" s="4">
        <f>CHOOSE(MATCH(Z319,{"South";"SouthEast";"SouthWest";"North";"NorthEast";"East";"West";"NorthWest"},0),1,2,3,4,5,6,7,8)</f>
        <v>8</v>
      </c>
      <c r="AB319" s="2">
        <f t="shared" si="46"/>
        <v>1</v>
      </c>
      <c r="AC319">
        <v>1008</v>
      </c>
      <c r="AD319" t="s">
        <v>28</v>
      </c>
      <c r="AE319" s="2">
        <f t="shared" si="47"/>
        <v>1</v>
      </c>
      <c r="AF319" t="s">
        <v>552</v>
      </c>
      <c r="AG319" s="2">
        <f t="shared" si="48"/>
        <v>7</v>
      </c>
      <c r="AH319" s="2">
        <f t="shared" si="49"/>
        <v>1</v>
      </c>
      <c r="AI319" s="3">
        <v>140.99999999860299</v>
      </c>
      <c r="AJ319" s="2">
        <v>0</v>
      </c>
      <c r="AK319">
        <v>0.1</v>
      </c>
      <c r="AL319">
        <v>0.5</v>
      </c>
      <c r="AM319">
        <v>0</v>
      </c>
      <c r="AN319" s="2">
        <f>IF((2*G319+M319-O319+3*V319+2*AB319+2*AE319+2*AH319+3*AJ319)&gt;=7,1,0)</f>
        <v>1</v>
      </c>
    </row>
    <row r="320" spans="1:40" x14ac:dyDescent="0.25">
      <c r="A320" t="s">
        <v>27</v>
      </c>
      <c r="B320" s="1">
        <v>37449</v>
      </c>
      <c r="C320" s="6">
        <f t="shared" si="40"/>
        <v>2002</v>
      </c>
      <c r="D320">
        <v>86.1</v>
      </c>
      <c r="E320">
        <v>77.099999999999994</v>
      </c>
      <c r="F320">
        <v>82.6</v>
      </c>
      <c r="G320" s="2">
        <f t="shared" si="41"/>
        <v>1</v>
      </c>
      <c r="H320">
        <v>89.6</v>
      </c>
      <c r="I320">
        <v>77.099999999999994</v>
      </c>
      <c r="J320">
        <v>84.6</v>
      </c>
      <c r="K320">
        <v>66.8</v>
      </c>
      <c r="L320">
        <v>59.3</v>
      </c>
      <c r="M320" s="2">
        <f t="shared" si="42"/>
        <v>1</v>
      </c>
      <c r="N320">
        <v>0</v>
      </c>
      <c r="O320" s="2">
        <f t="shared" si="43"/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s="2">
        <f t="shared" si="44"/>
        <v>0</v>
      </c>
      <c r="W320">
        <v>18.3</v>
      </c>
      <c r="X320" s="2">
        <f t="shared" si="45"/>
        <v>1</v>
      </c>
      <c r="Y320">
        <v>291.89999999999998</v>
      </c>
      <c r="Z320" s="2" t="str">
        <f>CHOOSE(MATCH(Y320,{0;11;80;111;161;191;241;281;341},1),"North","NorthEast","East","SouthEast","South","SouthWest","West","NorthWest","North")</f>
        <v>NorthWest</v>
      </c>
      <c r="AA320" s="4">
        <f>CHOOSE(MATCH(Z320,{"South";"SouthEast";"SouthWest";"North";"NorthEast";"East";"West";"NorthWest"},0),1,2,3,4,5,6,7,8)</f>
        <v>8</v>
      </c>
      <c r="AB320" s="2">
        <f t="shared" si="46"/>
        <v>1</v>
      </c>
      <c r="AC320">
        <v>1008.3</v>
      </c>
      <c r="AD320" t="s">
        <v>553</v>
      </c>
      <c r="AE320" s="2">
        <f t="shared" si="47"/>
        <v>1</v>
      </c>
      <c r="AF320" t="s">
        <v>554</v>
      </c>
      <c r="AG320" s="2">
        <f t="shared" si="48"/>
        <v>7</v>
      </c>
      <c r="AH320" s="2">
        <f t="shared" si="49"/>
        <v>1</v>
      </c>
      <c r="AI320" s="3">
        <v>1090.9999999939459</v>
      </c>
      <c r="AJ320" s="2">
        <v>1</v>
      </c>
      <c r="AK320">
        <v>0</v>
      </c>
      <c r="AL320">
        <v>6</v>
      </c>
      <c r="AM320">
        <v>0</v>
      </c>
      <c r="AN320" s="2">
        <f>IF((2*G320+M320-O320+3*V320+2*AB320+2*AE320+2*AH320+3*AJ320)&gt;=7,1,0)</f>
        <v>1</v>
      </c>
    </row>
    <row r="321" spans="1:40" x14ac:dyDescent="0.25">
      <c r="A321" t="s">
        <v>27</v>
      </c>
      <c r="B321" s="1">
        <v>37450</v>
      </c>
      <c r="C321" s="6">
        <f t="shared" si="40"/>
        <v>2002</v>
      </c>
      <c r="D321">
        <v>84.3</v>
      </c>
      <c r="E321">
        <v>78.900000000000006</v>
      </c>
      <c r="F321">
        <v>81.7</v>
      </c>
      <c r="G321" s="2">
        <f t="shared" si="41"/>
        <v>1</v>
      </c>
      <c r="H321">
        <v>88.6</v>
      </c>
      <c r="I321">
        <v>78.900000000000006</v>
      </c>
      <c r="J321">
        <v>85</v>
      </c>
      <c r="K321">
        <v>69.2</v>
      </c>
      <c r="L321">
        <v>66</v>
      </c>
      <c r="M321" s="2">
        <f t="shared" si="42"/>
        <v>1</v>
      </c>
      <c r="N321">
        <v>0</v>
      </c>
      <c r="O321" s="2">
        <f t="shared" si="43"/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s="2">
        <f t="shared" si="44"/>
        <v>0</v>
      </c>
      <c r="W321">
        <v>21.9</v>
      </c>
      <c r="X321" s="2">
        <f t="shared" si="45"/>
        <v>1</v>
      </c>
      <c r="Y321">
        <v>297.7</v>
      </c>
      <c r="Z321" s="2" t="str">
        <f>CHOOSE(MATCH(Y321,{0;11;80;111;161;191;241;281;341},1),"North","NorthEast","East","SouthEast","South","SouthWest","West","NorthWest","North")</f>
        <v>NorthWest</v>
      </c>
      <c r="AA321" s="4">
        <f>CHOOSE(MATCH(Z321,{"South";"SouthEast";"SouthWest";"North";"NorthEast";"East";"West";"NorthWest"},0),1,2,3,4,5,6,7,8)</f>
        <v>8</v>
      </c>
      <c r="AB321" s="2">
        <f t="shared" si="46"/>
        <v>1</v>
      </c>
      <c r="AC321">
        <v>1009.1</v>
      </c>
      <c r="AD321" t="s">
        <v>555</v>
      </c>
      <c r="AE321" s="2">
        <f t="shared" si="47"/>
        <v>0</v>
      </c>
      <c r="AF321" t="s">
        <v>556</v>
      </c>
      <c r="AG321" s="2">
        <f t="shared" si="48"/>
        <v>7</v>
      </c>
      <c r="AH321" s="2">
        <f t="shared" si="49"/>
        <v>1</v>
      </c>
      <c r="AI321" s="3">
        <v>235.9999999939464</v>
      </c>
      <c r="AJ321" s="2">
        <v>0</v>
      </c>
      <c r="AK321">
        <v>0</v>
      </c>
      <c r="AL321">
        <v>3</v>
      </c>
      <c r="AM321">
        <v>0</v>
      </c>
      <c r="AN321" s="2">
        <f>IF((2*G321+M321-O321+3*V321+2*AB321+2*AE321+2*AH321+3*AJ321)&gt;=7,1,0)</f>
        <v>0</v>
      </c>
    </row>
    <row r="322" spans="1:40" x14ac:dyDescent="0.25">
      <c r="A322" t="s">
        <v>27</v>
      </c>
      <c r="B322" s="1">
        <v>37455</v>
      </c>
      <c r="C322" s="6">
        <f t="shared" si="40"/>
        <v>2002</v>
      </c>
      <c r="D322">
        <v>89.7</v>
      </c>
      <c r="E322">
        <v>80.7</v>
      </c>
      <c r="F322">
        <v>84.7</v>
      </c>
      <c r="G322" s="2">
        <f t="shared" si="41"/>
        <v>1</v>
      </c>
      <c r="H322">
        <v>90.5</v>
      </c>
      <c r="I322">
        <v>80.400000000000006</v>
      </c>
      <c r="J322">
        <v>85.2</v>
      </c>
      <c r="K322">
        <v>59.7</v>
      </c>
      <c r="L322">
        <v>43.9</v>
      </c>
      <c r="M322" s="2">
        <f t="shared" si="42"/>
        <v>1</v>
      </c>
      <c r="N322">
        <v>0</v>
      </c>
      <c r="O322" s="2">
        <f t="shared" si="43"/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 s="2">
        <f t="shared" si="44"/>
        <v>0</v>
      </c>
      <c r="W322">
        <v>18.3</v>
      </c>
      <c r="X322" s="2">
        <f t="shared" si="45"/>
        <v>1</v>
      </c>
      <c r="Y322">
        <v>295.2</v>
      </c>
      <c r="Z322" s="2" t="str">
        <f>CHOOSE(MATCH(Y322,{0;11;80;111;161;191;241;281;341},1),"North","NorthEast","East","SouthEast","South","SouthWest","West","NorthWest","North")</f>
        <v>NorthWest</v>
      </c>
      <c r="AA322" s="4">
        <f>CHOOSE(MATCH(Z322,{"South";"SouthEast";"SouthWest";"North";"NorthEast";"East";"West";"NorthWest"},0),1,2,3,4,5,6,7,8)</f>
        <v>8</v>
      </c>
      <c r="AB322" s="2">
        <f t="shared" si="46"/>
        <v>1</v>
      </c>
      <c r="AC322">
        <v>1008.3</v>
      </c>
      <c r="AD322" t="s">
        <v>317</v>
      </c>
      <c r="AE322" s="2">
        <f t="shared" si="47"/>
        <v>1</v>
      </c>
      <c r="AF322" t="s">
        <v>557</v>
      </c>
      <c r="AG322" s="2">
        <f t="shared" si="48"/>
        <v>7</v>
      </c>
      <c r="AH322" s="2">
        <f t="shared" si="49"/>
        <v>1</v>
      </c>
      <c r="AI322" s="3">
        <v>407.99999999930151</v>
      </c>
      <c r="AJ322" s="2">
        <v>1</v>
      </c>
      <c r="AK322">
        <v>0</v>
      </c>
      <c r="AL322">
        <v>2</v>
      </c>
      <c r="AM322">
        <v>0</v>
      </c>
      <c r="AN322" s="2">
        <f>IF((2*G322+M322-O322+3*V322+2*AB322+2*AE322+2*AH322+3*AJ322)&gt;=7,1,0)</f>
        <v>1</v>
      </c>
    </row>
    <row r="323" spans="1:40" x14ac:dyDescent="0.25">
      <c r="A323" t="s">
        <v>27</v>
      </c>
      <c r="B323" s="1">
        <v>37457</v>
      </c>
      <c r="C323" s="6">
        <f t="shared" ref="C323:C386" si="50">YEAR(B323)</f>
        <v>2002</v>
      </c>
      <c r="D323">
        <v>84.3</v>
      </c>
      <c r="E323">
        <v>69.900000000000006</v>
      </c>
      <c r="F323">
        <v>78.5</v>
      </c>
      <c r="G323" s="2">
        <f t="shared" ref="G323:G386" si="51">IF(F323&lt;=70,0,1)</f>
        <v>1</v>
      </c>
      <c r="H323">
        <v>89.8</v>
      </c>
      <c r="I323">
        <v>69.900000000000006</v>
      </c>
      <c r="J323">
        <v>80.400000000000006</v>
      </c>
      <c r="K323">
        <v>66.599999999999994</v>
      </c>
      <c r="L323">
        <v>67.7</v>
      </c>
      <c r="M323" s="2">
        <f t="shared" ref="M323:M386" si="52">IF(L323&lt;=66,1,0)</f>
        <v>0</v>
      </c>
      <c r="N323">
        <v>0</v>
      </c>
      <c r="O323" s="2">
        <f t="shared" ref="O323:O386" si="53">IF(N323&lt;=0.01,1,0)</f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 s="2">
        <f t="shared" ref="V323:V386" si="54">IF(U323&lt;=9,0,1)</f>
        <v>0</v>
      </c>
      <c r="W323">
        <v>19.5</v>
      </c>
      <c r="X323" s="2">
        <f t="shared" ref="X323:X386" si="55">IF(W323&gt;=16,1,0)</f>
        <v>1</v>
      </c>
      <c r="Y323">
        <v>281.7</v>
      </c>
      <c r="Z323" s="2" t="str">
        <f>CHOOSE(MATCH(Y323,{0;11;80;111;161;191;241;281;341},1),"North","NorthEast","East","SouthEast","South","SouthWest","West","NorthWest","North")</f>
        <v>NorthWest</v>
      </c>
      <c r="AA323" s="4">
        <f>CHOOSE(MATCH(Z323,{"South";"SouthEast";"SouthWest";"North";"NorthEast";"East";"West";"NorthWest"},0),1,2,3,4,5,6,7,8)</f>
        <v>8</v>
      </c>
      <c r="AB323" s="2">
        <f t="shared" ref="AB323:AB386" si="56">IF(OR(AA323=4,AA323=5,AA323=8),1,0)</f>
        <v>1</v>
      </c>
      <c r="AC323">
        <v>1010.6</v>
      </c>
      <c r="AD323" t="s">
        <v>558</v>
      </c>
      <c r="AE323" s="2">
        <f t="shared" ref="AE323:AE386" si="57">IF(TIMEVALUE(AD323)&lt;=TIME(12,30,0),0,1)</f>
        <v>1</v>
      </c>
      <c r="AF323" t="s">
        <v>559</v>
      </c>
      <c r="AG323" s="2">
        <f t="shared" ref="AG323:AG386" si="58">MONTH(AF323)</f>
        <v>7</v>
      </c>
      <c r="AH323" s="2">
        <f t="shared" ref="AH323:AH386" si="59">IF(OR(AG323=6,AG323=7,AG323=8),1,0)</f>
        <v>1</v>
      </c>
      <c r="AI323" s="3">
        <v>236.00000000442381</v>
      </c>
      <c r="AJ323" s="2">
        <v>0</v>
      </c>
      <c r="AK323">
        <v>0</v>
      </c>
      <c r="AL323">
        <v>4</v>
      </c>
      <c r="AM323">
        <v>0</v>
      </c>
      <c r="AN323" s="2">
        <f>IF((2*G323+M323-O323+3*V323+2*AB323+2*AE323+2*AH323+3*AJ323)&gt;=7,1,0)</f>
        <v>1</v>
      </c>
    </row>
    <row r="324" spans="1:40" x14ac:dyDescent="0.25">
      <c r="A324" t="s">
        <v>27</v>
      </c>
      <c r="B324" s="1">
        <v>37457</v>
      </c>
      <c r="C324" s="6">
        <f t="shared" si="50"/>
        <v>2002</v>
      </c>
      <c r="D324">
        <v>84.3</v>
      </c>
      <c r="E324">
        <v>69.900000000000006</v>
      </c>
      <c r="F324">
        <v>78.5</v>
      </c>
      <c r="G324" s="2">
        <f t="shared" si="51"/>
        <v>1</v>
      </c>
      <c r="H324">
        <v>89.8</v>
      </c>
      <c r="I324">
        <v>69.900000000000006</v>
      </c>
      <c r="J324">
        <v>80.400000000000006</v>
      </c>
      <c r="K324">
        <v>66.599999999999994</v>
      </c>
      <c r="L324">
        <v>67.7</v>
      </c>
      <c r="M324" s="2">
        <f t="shared" si="52"/>
        <v>0</v>
      </c>
      <c r="N324">
        <v>0</v>
      </c>
      <c r="O324" s="2">
        <f t="shared" si="53"/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 s="2">
        <f t="shared" si="54"/>
        <v>0</v>
      </c>
      <c r="W324">
        <v>19.5</v>
      </c>
      <c r="X324" s="2">
        <f t="shared" si="55"/>
        <v>1</v>
      </c>
      <c r="Y324">
        <v>281.7</v>
      </c>
      <c r="Z324" s="2" t="str">
        <f>CHOOSE(MATCH(Y324,{0;11;80;111;161;191;241;281;341},1),"North","NorthEast","East","SouthEast","South","SouthWest","West","NorthWest","North")</f>
        <v>NorthWest</v>
      </c>
      <c r="AA324" s="4">
        <f>CHOOSE(MATCH(Z324,{"South";"SouthEast";"SouthWest";"North";"NorthEast";"East";"West";"NorthWest"},0),1,2,3,4,5,6,7,8)</f>
        <v>8</v>
      </c>
      <c r="AB324" s="2">
        <f t="shared" si="56"/>
        <v>1</v>
      </c>
      <c r="AC324">
        <v>1010.6</v>
      </c>
      <c r="AD324" t="s">
        <v>560</v>
      </c>
      <c r="AE324" s="2">
        <f t="shared" si="57"/>
        <v>1</v>
      </c>
      <c r="AF324" t="s">
        <v>561</v>
      </c>
      <c r="AG324" s="2">
        <f t="shared" si="58"/>
        <v>7</v>
      </c>
      <c r="AH324" s="2">
        <f t="shared" si="59"/>
        <v>1</v>
      </c>
      <c r="AI324" s="3">
        <v>130.00000000465661</v>
      </c>
      <c r="AJ324" s="2">
        <v>0</v>
      </c>
      <c r="AK324">
        <v>0</v>
      </c>
      <c r="AL324">
        <v>1</v>
      </c>
      <c r="AM324">
        <v>0</v>
      </c>
      <c r="AN324" s="2">
        <f>IF((2*G324+M324-O324+3*V324+2*AB324+2*AE324+2*AH324+3*AJ324)&gt;=7,1,0)</f>
        <v>1</v>
      </c>
    </row>
    <row r="325" spans="1:40" x14ac:dyDescent="0.25">
      <c r="A325" t="s">
        <v>27</v>
      </c>
      <c r="B325" s="1">
        <v>37459</v>
      </c>
      <c r="C325" s="6">
        <f t="shared" si="50"/>
        <v>2002</v>
      </c>
      <c r="D325">
        <v>87.9</v>
      </c>
      <c r="E325">
        <v>77.099999999999994</v>
      </c>
      <c r="F325">
        <v>82.4</v>
      </c>
      <c r="G325" s="2">
        <f t="shared" si="51"/>
        <v>1</v>
      </c>
      <c r="H325">
        <v>90.5</v>
      </c>
      <c r="I325">
        <v>77.099999999999994</v>
      </c>
      <c r="J325">
        <v>84.4</v>
      </c>
      <c r="K325">
        <v>67.5</v>
      </c>
      <c r="L325">
        <v>61.3</v>
      </c>
      <c r="M325" s="2">
        <f t="shared" si="52"/>
        <v>1</v>
      </c>
      <c r="N325">
        <v>0</v>
      </c>
      <c r="O325" s="2">
        <f t="shared" si="53"/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 s="2">
        <f t="shared" si="54"/>
        <v>0</v>
      </c>
      <c r="W325">
        <v>23</v>
      </c>
      <c r="X325" s="2">
        <f t="shared" si="55"/>
        <v>1</v>
      </c>
      <c r="Y325">
        <v>323.10000000000002</v>
      </c>
      <c r="Z325" s="2" t="str">
        <f>CHOOSE(MATCH(Y325,{0;11;80;111;161;191;241;281;341},1),"North","NorthEast","East","SouthEast","South","SouthWest","West","NorthWest","North")</f>
        <v>NorthWest</v>
      </c>
      <c r="AA325" s="4">
        <f>CHOOSE(MATCH(Z325,{"South";"SouthEast";"SouthWest";"North";"NorthEast";"East";"West";"NorthWest"},0),1,2,3,4,5,6,7,8)</f>
        <v>8</v>
      </c>
      <c r="AB325" s="2">
        <f t="shared" si="56"/>
        <v>1</v>
      </c>
      <c r="AC325">
        <v>1008.6</v>
      </c>
      <c r="AD325" t="s">
        <v>423</v>
      </c>
      <c r="AE325" s="2">
        <f t="shared" si="57"/>
        <v>0</v>
      </c>
      <c r="AF325" t="s">
        <v>562</v>
      </c>
      <c r="AG325" s="2">
        <f t="shared" si="58"/>
        <v>7</v>
      </c>
      <c r="AH325" s="2">
        <f t="shared" si="59"/>
        <v>1</v>
      </c>
      <c r="AI325" s="3">
        <v>510.99999999976723</v>
      </c>
      <c r="AJ325" s="2">
        <v>1</v>
      </c>
      <c r="AK325">
        <v>0</v>
      </c>
      <c r="AL325">
        <v>15</v>
      </c>
      <c r="AM325">
        <v>0</v>
      </c>
      <c r="AN325" s="2">
        <f>IF((2*G325+M325-O325+3*V325+2*AB325+2*AE325+2*AH325+3*AJ325)&gt;=7,1,0)</f>
        <v>1</v>
      </c>
    </row>
    <row r="326" spans="1:40" x14ac:dyDescent="0.25">
      <c r="A326" t="s">
        <v>27</v>
      </c>
      <c r="B326" s="1">
        <v>37460</v>
      </c>
      <c r="C326" s="6">
        <f t="shared" si="50"/>
        <v>2002</v>
      </c>
      <c r="D326">
        <v>86.1</v>
      </c>
      <c r="E326">
        <v>77.099999999999994</v>
      </c>
      <c r="F326">
        <v>82.7</v>
      </c>
      <c r="G326" s="2">
        <f t="shared" si="51"/>
        <v>1</v>
      </c>
      <c r="H326">
        <v>95.4</v>
      </c>
      <c r="I326">
        <v>77.099999999999994</v>
      </c>
      <c r="J326">
        <v>85.9</v>
      </c>
      <c r="K326">
        <v>67.7</v>
      </c>
      <c r="L326">
        <v>61</v>
      </c>
      <c r="M326" s="2">
        <f t="shared" si="52"/>
        <v>1</v>
      </c>
      <c r="N326">
        <v>0</v>
      </c>
      <c r="O326" s="2">
        <f t="shared" si="53"/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 s="2">
        <f t="shared" si="54"/>
        <v>0</v>
      </c>
      <c r="W326">
        <v>18.3</v>
      </c>
      <c r="X326" s="2">
        <f t="shared" si="55"/>
        <v>1</v>
      </c>
      <c r="Y326">
        <v>337.6</v>
      </c>
      <c r="Z326" s="2" t="str">
        <f>CHOOSE(MATCH(Y326,{0;11;80;111;161;191;241;281;341},1),"North","NorthEast","East","SouthEast","South","SouthWest","West","NorthWest","North")</f>
        <v>NorthWest</v>
      </c>
      <c r="AA326" s="4">
        <f>CHOOSE(MATCH(Z326,{"South";"SouthEast";"SouthWest";"North";"NorthEast";"East";"West";"NorthWest"},0),1,2,3,4,5,6,7,8)</f>
        <v>8</v>
      </c>
      <c r="AB326" s="2">
        <f t="shared" si="56"/>
        <v>1</v>
      </c>
      <c r="AC326">
        <v>1009.2</v>
      </c>
      <c r="AD326" t="s">
        <v>215</v>
      </c>
      <c r="AE326" s="2">
        <f t="shared" si="57"/>
        <v>1</v>
      </c>
      <c r="AF326" t="s">
        <v>563</v>
      </c>
      <c r="AG326" s="2">
        <f t="shared" si="58"/>
        <v>7</v>
      </c>
      <c r="AH326" s="2">
        <f t="shared" si="59"/>
        <v>1</v>
      </c>
      <c r="AI326" s="3">
        <v>31.000000006752089</v>
      </c>
      <c r="AJ326" s="2">
        <v>0</v>
      </c>
      <c r="AK326">
        <v>0</v>
      </c>
      <c r="AL326">
        <v>0</v>
      </c>
      <c r="AM326">
        <v>0.2</v>
      </c>
      <c r="AN326" s="2">
        <f>IF((2*G326+M326-O326+3*V326+2*AB326+2*AE326+2*AH326+3*AJ326)&gt;=7,1,0)</f>
        <v>1</v>
      </c>
    </row>
    <row r="327" spans="1:40" x14ac:dyDescent="0.25">
      <c r="A327" t="s">
        <v>27</v>
      </c>
      <c r="B327" s="1">
        <v>37462</v>
      </c>
      <c r="C327" s="6">
        <f t="shared" si="50"/>
        <v>2002</v>
      </c>
      <c r="D327">
        <v>91.5</v>
      </c>
      <c r="E327">
        <v>68.099999999999994</v>
      </c>
      <c r="F327">
        <v>81.7</v>
      </c>
      <c r="G327" s="2">
        <f t="shared" si="51"/>
        <v>1</v>
      </c>
      <c r="H327">
        <v>94.4</v>
      </c>
      <c r="I327">
        <v>68.099999999999994</v>
      </c>
      <c r="J327">
        <v>83.3</v>
      </c>
      <c r="K327">
        <v>60.4</v>
      </c>
      <c r="L327">
        <v>50.3</v>
      </c>
      <c r="M327" s="2">
        <f t="shared" si="52"/>
        <v>1</v>
      </c>
      <c r="N327">
        <v>0</v>
      </c>
      <c r="O327" s="2">
        <f t="shared" si="53"/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s="2">
        <f t="shared" si="54"/>
        <v>0</v>
      </c>
      <c r="W327">
        <v>11.4</v>
      </c>
      <c r="X327" s="2">
        <f t="shared" si="55"/>
        <v>0</v>
      </c>
      <c r="Y327">
        <v>119.4</v>
      </c>
      <c r="Z327" s="2" t="str">
        <f>CHOOSE(MATCH(Y327,{0;11;80;111;161;191;241;281;341},1),"North","NorthEast","East","SouthEast","South","SouthWest","West","NorthWest","North")</f>
        <v>SouthEast</v>
      </c>
      <c r="AA327" s="4">
        <f>CHOOSE(MATCH(Z327,{"South";"SouthEast";"SouthWest";"North";"NorthEast";"East";"West";"NorthWest"},0),1,2,3,4,5,6,7,8)</f>
        <v>2</v>
      </c>
      <c r="AB327" s="2">
        <f t="shared" si="56"/>
        <v>0</v>
      </c>
      <c r="AC327">
        <v>1007.7</v>
      </c>
      <c r="AD327" t="s">
        <v>564</v>
      </c>
      <c r="AE327" s="2">
        <f t="shared" si="57"/>
        <v>1</v>
      </c>
      <c r="AF327" t="s">
        <v>565</v>
      </c>
      <c r="AG327" s="2">
        <f t="shared" si="58"/>
        <v>7</v>
      </c>
      <c r="AH327" s="2">
        <f t="shared" si="59"/>
        <v>1</v>
      </c>
      <c r="AI327" s="3">
        <v>506.00000000442378</v>
      </c>
      <c r="AJ327" s="2">
        <v>1</v>
      </c>
      <c r="AK327">
        <v>0</v>
      </c>
      <c r="AL327">
        <v>1</v>
      </c>
      <c r="AM327">
        <v>0</v>
      </c>
      <c r="AN327" s="2">
        <f>IF((2*G327+M327-O327+3*V327+2*AB327+2*AE327+2*AH327+3*AJ327)&gt;=7,1,0)</f>
        <v>1</v>
      </c>
    </row>
    <row r="328" spans="1:40" x14ac:dyDescent="0.25">
      <c r="A328" t="s">
        <v>27</v>
      </c>
      <c r="B328" s="1">
        <v>37464</v>
      </c>
      <c r="C328" s="6">
        <f t="shared" si="50"/>
        <v>2002</v>
      </c>
      <c r="D328">
        <v>84.3</v>
      </c>
      <c r="E328">
        <v>73.5</v>
      </c>
      <c r="F328">
        <v>80.599999999999994</v>
      </c>
      <c r="G328" s="2">
        <f t="shared" si="51"/>
        <v>1</v>
      </c>
      <c r="H328">
        <v>92.7</v>
      </c>
      <c r="I328">
        <v>73.5</v>
      </c>
      <c r="J328">
        <v>83.8</v>
      </c>
      <c r="K328">
        <v>68.900000000000006</v>
      </c>
      <c r="L328">
        <v>68.599999999999994</v>
      </c>
      <c r="M328" s="2">
        <f t="shared" si="52"/>
        <v>0</v>
      </c>
      <c r="N328">
        <v>0</v>
      </c>
      <c r="O328" s="2">
        <f t="shared" si="53"/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 s="2">
        <f t="shared" si="54"/>
        <v>0</v>
      </c>
      <c r="W328">
        <v>13.9</v>
      </c>
      <c r="X328" s="2">
        <f t="shared" si="55"/>
        <v>0</v>
      </c>
      <c r="Y328">
        <v>61.6</v>
      </c>
      <c r="Z328" s="2" t="str">
        <f>CHOOSE(MATCH(Y328,{0;11;80;111;161;191;241;281;341},1),"North","NorthEast","East","SouthEast","South","SouthWest","West","NorthWest","North")</f>
        <v>NorthEast</v>
      </c>
      <c r="AA328" s="4">
        <f>CHOOSE(MATCH(Z328,{"South";"SouthEast";"SouthWest";"North";"NorthEast";"East";"West";"NorthWest"},0),1,2,3,4,5,6,7,8)</f>
        <v>5</v>
      </c>
      <c r="AB328" s="2">
        <f t="shared" si="56"/>
        <v>1</v>
      </c>
      <c r="AC328">
        <v>1008.8</v>
      </c>
      <c r="AD328" t="s">
        <v>566</v>
      </c>
      <c r="AE328" s="2">
        <f t="shared" si="57"/>
        <v>1</v>
      </c>
      <c r="AF328" t="s">
        <v>567</v>
      </c>
      <c r="AG328" s="2">
        <f t="shared" si="58"/>
        <v>7</v>
      </c>
      <c r="AH328" s="2">
        <f t="shared" si="59"/>
        <v>1</v>
      </c>
      <c r="AI328" s="3">
        <v>1220.000000005821</v>
      </c>
      <c r="AJ328" s="2">
        <v>1</v>
      </c>
      <c r="AK328">
        <v>0</v>
      </c>
      <c r="AL328">
        <v>40</v>
      </c>
      <c r="AM328">
        <v>0</v>
      </c>
      <c r="AN328" s="2">
        <f>IF((2*G328+M328-O328+3*V328+2*AB328+2*AE328+2*AH328+3*AJ328)&gt;=7,1,0)</f>
        <v>1</v>
      </c>
    </row>
    <row r="329" spans="1:40" x14ac:dyDescent="0.25">
      <c r="A329" t="s">
        <v>27</v>
      </c>
      <c r="B329" s="1">
        <v>37465</v>
      </c>
      <c r="C329" s="6">
        <f t="shared" si="50"/>
        <v>2002</v>
      </c>
      <c r="D329">
        <v>86.1</v>
      </c>
      <c r="E329">
        <v>71.7</v>
      </c>
      <c r="F329">
        <v>80.7</v>
      </c>
      <c r="G329" s="2">
        <f t="shared" si="51"/>
        <v>1</v>
      </c>
      <c r="H329">
        <v>92.1</v>
      </c>
      <c r="I329">
        <v>71.7</v>
      </c>
      <c r="J329">
        <v>82.8</v>
      </c>
      <c r="K329">
        <v>66.7</v>
      </c>
      <c r="L329">
        <v>64</v>
      </c>
      <c r="M329" s="2">
        <f t="shared" si="52"/>
        <v>1</v>
      </c>
      <c r="N329">
        <v>0.20100000000000001</v>
      </c>
      <c r="O329" s="2">
        <f t="shared" si="53"/>
        <v>0</v>
      </c>
      <c r="P329">
        <v>100</v>
      </c>
      <c r="Q329">
        <v>4.17</v>
      </c>
      <c r="R329" t="s">
        <v>182</v>
      </c>
      <c r="S329">
        <v>0</v>
      </c>
      <c r="T329">
        <v>0</v>
      </c>
      <c r="U329">
        <v>0</v>
      </c>
      <c r="V329" s="2">
        <f t="shared" si="54"/>
        <v>0</v>
      </c>
      <c r="W329">
        <v>21.9</v>
      </c>
      <c r="X329" s="2">
        <f t="shared" si="55"/>
        <v>1</v>
      </c>
      <c r="Y329">
        <v>92</v>
      </c>
      <c r="Z329" s="2" t="str">
        <f>CHOOSE(MATCH(Y329,{0;11;80;111;161;191;241;281;341},1),"North","NorthEast","East","SouthEast","South","SouthWest","West","NorthWest","North")</f>
        <v>East</v>
      </c>
      <c r="AA329" s="4">
        <f>CHOOSE(MATCH(Z329,{"South";"SouthEast";"SouthWest";"North";"NorthEast";"East";"West";"NorthWest"},0),1,2,3,4,5,6,7,8)</f>
        <v>6</v>
      </c>
      <c r="AB329" s="2">
        <f t="shared" si="56"/>
        <v>0</v>
      </c>
      <c r="AC329">
        <v>1010.9</v>
      </c>
      <c r="AD329" t="s">
        <v>28</v>
      </c>
      <c r="AE329" s="2">
        <f t="shared" si="57"/>
        <v>1</v>
      </c>
      <c r="AF329" t="s">
        <v>568</v>
      </c>
      <c r="AG329" s="2">
        <f t="shared" si="58"/>
        <v>7</v>
      </c>
      <c r="AH329" s="2">
        <f t="shared" si="59"/>
        <v>1</v>
      </c>
      <c r="AI329" s="3">
        <v>120.9999999962747</v>
      </c>
      <c r="AJ329" s="2">
        <v>0</v>
      </c>
      <c r="AK329">
        <v>0</v>
      </c>
      <c r="AL329">
        <v>0.3</v>
      </c>
      <c r="AM329">
        <v>0</v>
      </c>
      <c r="AN329" s="2">
        <f>IF((2*G329+M329-O329+3*V329+2*AB329+2*AE329+2*AH329+3*AJ329)&gt;=7,1,0)</f>
        <v>1</v>
      </c>
    </row>
    <row r="330" spans="1:40" x14ac:dyDescent="0.25">
      <c r="A330" t="s">
        <v>27</v>
      </c>
      <c r="B330" s="1">
        <v>37465</v>
      </c>
      <c r="C330" s="6">
        <f t="shared" si="50"/>
        <v>2002</v>
      </c>
      <c r="D330">
        <v>86.1</v>
      </c>
      <c r="E330">
        <v>71.7</v>
      </c>
      <c r="F330">
        <v>80.7</v>
      </c>
      <c r="G330" s="2">
        <f t="shared" si="51"/>
        <v>1</v>
      </c>
      <c r="H330">
        <v>92.1</v>
      </c>
      <c r="I330">
        <v>71.7</v>
      </c>
      <c r="J330">
        <v>82.8</v>
      </c>
      <c r="K330">
        <v>66.7</v>
      </c>
      <c r="L330">
        <v>64</v>
      </c>
      <c r="M330" s="2">
        <f t="shared" si="52"/>
        <v>1</v>
      </c>
      <c r="N330">
        <v>0.20100000000000001</v>
      </c>
      <c r="O330" s="2">
        <f t="shared" si="53"/>
        <v>0</v>
      </c>
      <c r="P330">
        <v>100</v>
      </c>
      <c r="Q330">
        <v>4.17</v>
      </c>
      <c r="R330" t="s">
        <v>182</v>
      </c>
      <c r="S330">
        <v>0</v>
      </c>
      <c r="T330">
        <v>0</v>
      </c>
      <c r="U330">
        <v>0</v>
      </c>
      <c r="V330" s="2">
        <f t="shared" si="54"/>
        <v>0</v>
      </c>
      <c r="W330">
        <v>21.9</v>
      </c>
      <c r="X330" s="2">
        <f t="shared" si="55"/>
        <v>1</v>
      </c>
      <c r="Y330">
        <v>92</v>
      </c>
      <c r="Z330" s="2" t="str">
        <f>CHOOSE(MATCH(Y330,{0;11;80;111;161;191;241;281;341},1),"North","NorthEast","East","SouthEast","South","SouthWest","West","NorthWest","North")</f>
        <v>East</v>
      </c>
      <c r="AA330" s="4">
        <f>CHOOSE(MATCH(Z330,{"South";"SouthEast";"SouthWest";"North";"NorthEast";"East";"West";"NorthWest"},0),1,2,3,4,5,6,7,8)</f>
        <v>6</v>
      </c>
      <c r="AB330" s="2">
        <f t="shared" si="56"/>
        <v>0</v>
      </c>
      <c r="AC330">
        <v>1010.9</v>
      </c>
      <c r="AD330" t="s">
        <v>569</v>
      </c>
      <c r="AE330" s="2">
        <f t="shared" si="57"/>
        <v>0</v>
      </c>
      <c r="AF330" t="s">
        <v>570</v>
      </c>
      <c r="AG330" s="2">
        <f t="shared" si="58"/>
        <v>7</v>
      </c>
      <c r="AH330" s="2">
        <f t="shared" si="59"/>
        <v>1</v>
      </c>
      <c r="AI330" s="3">
        <v>975.99999999627471</v>
      </c>
      <c r="AJ330" s="2">
        <v>1</v>
      </c>
      <c r="AK330">
        <v>0.5</v>
      </c>
      <c r="AL330">
        <v>0</v>
      </c>
      <c r="AM330">
        <v>0</v>
      </c>
      <c r="AN330" s="2">
        <f>IF((2*G330+M330-O330+3*V330+2*AB330+2*AE330+2*AH330+3*AJ330)&gt;=7,1,0)</f>
        <v>1</v>
      </c>
    </row>
    <row r="331" spans="1:40" x14ac:dyDescent="0.25">
      <c r="A331" t="s">
        <v>27</v>
      </c>
      <c r="B331" s="1">
        <v>37473</v>
      </c>
      <c r="C331" s="6">
        <f t="shared" si="50"/>
        <v>2002</v>
      </c>
      <c r="D331">
        <v>89.7</v>
      </c>
      <c r="E331">
        <v>75.3</v>
      </c>
      <c r="F331">
        <v>83.1</v>
      </c>
      <c r="G331" s="2">
        <f t="shared" si="51"/>
        <v>1</v>
      </c>
      <c r="H331">
        <v>94.4</v>
      </c>
      <c r="I331">
        <v>75.3</v>
      </c>
      <c r="J331">
        <v>85.8</v>
      </c>
      <c r="K331">
        <v>66.099999999999994</v>
      </c>
      <c r="L331">
        <v>57.3</v>
      </c>
      <c r="M331" s="2">
        <f t="shared" si="52"/>
        <v>1</v>
      </c>
      <c r="N331">
        <v>0</v>
      </c>
      <c r="O331" s="2">
        <f t="shared" si="53"/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 s="2">
        <f t="shared" si="54"/>
        <v>0</v>
      </c>
      <c r="W331">
        <v>9.1999999999999993</v>
      </c>
      <c r="X331" s="2">
        <f t="shared" si="55"/>
        <v>0</v>
      </c>
      <c r="Y331">
        <v>306.10000000000002</v>
      </c>
      <c r="Z331" s="2" t="str">
        <f>CHOOSE(MATCH(Y331,{0;11;80;111;161;191;241;281;341},1),"North","NorthEast","East","SouthEast","South","SouthWest","West","NorthWest","North")</f>
        <v>NorthWest</v>
      </c>
      <c r="AA331" s="4">
        <f>CHOOSE(MATCH(Z331,{"South";"SouthEast";"SouthWest";"North";"NorthEast";"East";"West";"NorthWest"},0),1,2,3,4,5,6,7,8)</f>
        <v>8</v>
      </c>
      <c r="AB331" s="2">
        <f t="shared" si="56"/>
        <v>1</v>
      </c>
      <c r="AC331">
        <v>1010.1</v>
      </c>
      <c r="AD331" t="s">
        <v>571</v>
      </c>
      <c r="AE331" s="2">
        <f t="shared" si="57"/>
        <v>0</v>
      </c>
      <c r="AF331" t="s">
        <v>572</v>
      </c>
      <c r="AG331" s="2">
        <f t="shared" si="58"/>
        <v>8</v>
      </c>
      <c r="AH331" s="2">
        <f t="shared" si="59"/>
        <v>1</v>
      </c>
      <c r="AI331" s="3">
        <v>190.00000000116421</v>
      </c>
      <c r="AJ331" s="2">
        <v>0</v>
      </c>
      <c r="AK331">
        <v>3</v>
      </c>
      <c r="AL331">
        <v>0</v>
      </c>
      <c r="AM331">
        <v>0</v>
      </c>
      <c r="AN331" s="2">
        <f>IF((2*G331+M331-O331+3*V331+2*AB331+2*AE331+2*AH331+3*AJ331)&gt;=7,1,0)</f>
        <v>0</v>
      </c>
    </row>
    <row r="332" spans="1:40" x14ac:dyDescent="0.25">
      <c r="A332" t="s">
        <v>27</v>
      </c>
      <c r="B332" s="1">
        <v>37476</v>
      </c>
      <c r="C332" s="6">
        <f t="shared" si="50"/>
        <v>2002</v>
      </c>
      <c r="D332">
        <v>84.3</v>
      </c>
      <c r="E332">
        <v>80.7</v>
      </c>
      <c r="F332">
        <v>82.8</v>
      </c>
      <c r="G332" s="2">
        <f t="shared" si="51"/>
        <v>1</v>
      </c>
      <c r="H332">
        <v>87.6</v>
      </c>
      <c r="I332">
        <v>81.2</v>
      </c>
      <c r="J332">
        <v>84.6</v>
      </c>
      <c r="K332">
        <v>64.2</v>
      </c>
      <c r="L332">
        <v>54.1</v>
      </c>
      <c r="M332" s="2">
        <f t="shared" si="52"/>
        <v>1</v>
      </c>
      <c r="N332">
        <v>0</v>
      </c>
      <c r="O332" s="2">
        <f t="shared" si="53"/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s="2">
        <f t="shared" si="54"/>
        <v>0</v>
      </c>
      <c r="W332">
        <v>28.9</v>
      </c>
      <c r="X332" s="2">
        <f t="shared" si="55"/>
        <v>1</v>
      </c>
      <c r="Y332">
        <v>287.89999999999998</v>
      </c>
      <c r="Z332" s="2" t="str">
        <f>CHOOSE(MATCH(Y332,{0;11;80;111;161;191;241;281;341},1),"North","NorthEast","East","SouthEast","South","SouthWest","West","NorthWest","North")</f>
        <v>NorthWest</v>
      </c>
      <c r="AA332" s="4">
        <f>CHOOSE(MATCH(Z332,{"South";"SouthEast";"SouthWest";"North";"NorthEast";"East";"West";"NorthWest"},0),1,2,3,4,5,6,7,8)</f>
        <v>8</v>
      </c>
      <c r="AB332" s="2">
        <f t="shared" si="56"/>
        <v>1</v>
      </c>
      <c r="AC332">
        <v>1005.8</v>
      </c>
      <c r="AD332" t="s">
        <v>339</v>
      </c>
      <c r="AE332" s="2">
        <f t="shared" si="57"/>
        <v>0</v>
      </c>
      <c r="AF332" t="s">
        <v>573</v>
      </c>
      <c r="AG332" s="2">
        <f t="shared" si="58"/>
        <v>8</v>
      </c>
      <c r="AH332" s="2">
        <f t="shared" si="59"/>
        <v>1</v>
      </c>
      <c r="AI332" s="3">
        <v>12849.99999999767</v>
      </c>
      <c r="AJ332" s="2">
        <v>1</v>
      </c>
      <c r="AK332">
        <v>0</v>
      </c>
      <c r="AL332">
        <v>2000</v>
      </c>
      <c r="AM332">
        <v>0</v>
      </c>
      <c r="AN332" s="2">
        <f>IF((2*G332+M332-O332+3*V332+2*AB332+2*AE332+2*AH332+3*AJ332)&gt;=7,1,0)</f>
        <v>1</v>
      </c>
    </row>
    <row r="333" spans="1:40" x14ac:dyDescent="0.25">
      <c r="A333" t="s">
        <v>27</v>
      </c>
      <c r="B333" s="1">
        <v>37477</v>
      </c>
      <c r="C333" s="6">
        <f t="shared" si="50"/>
        <v>2002</v>
      </c>
      <c r="D333">
        <v>84.3</v>
      </c>
      <c r="E333">
        <v>71.7</v>
      </c>
      <c r="F333">
        <v>79.400000000000006</v>
      </c>
      <c r="G333" s="2">
        <f t="shared" si="51"/>
        <v>1</v>
      </c>
      <c r="H333">
        <v>87.6</v>
      </c>
      <c r="I333">
        <v>71.7</v>
      </c>
      <c r="J333">
        <v>80.7</v>
      </c>
      <c r="K333">
        <v>62.5</v>
      </c>
      <c r="L333">
        <v>57</v>
      </c>
      <c r="M333" s="2">
        <f t="shared" si="52"/>
        <v>1</v>
      </c>
      <c r="N333">
        <v>0</v>
      </c>
      <c r="O333" s="2">
        <f t="shared" si="53"/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 s="2">
        <f t="shared" si="54"/>
        <v>0</v>
      </c>
      <c r="W333">
        <v>15</v>
      </c>
      <c r="X333" s="2">
        <f t="shared" si="55"/>
        <v>0</v>
      </c>
      <c r="Y333">
        <v>298.3</v>
      </c>
      <c r="Z333" s="2" t="str">
        <f>CHOOSE(MATCH(Y333,{0;11;80;111;161;191;241;281;341},1),"North","NorthEast","East","SouthEast","South","SouthWest","West","NorthWest","North")</f>
        <v>NorthWest</v>
      </c>
      <c r="AA333" s="4">
        <f>CHOOSE(MATCH(Z333,{"South";"SouthEast";"SouthWest";"North";"NorthEast";"East";"West";"NorthWest"},0),1,2,3,4,5,6,7,8)</f>
        <v>8</v>
      </c>
      <c r="AB333" s="2">
        <f t="shared" si="56"/>
        <v>1</v>
      </c>
      <c r="AC333">
        <v>1008.6</v>
      </c>
      <c r="AD333" t="s">
        <v>574</v>
      </c>
      <c r="AE333" s="2">
        <f t="shared" si="57"/>
        <v>1</v>
      </c>
      <c r="AF333" t="s">
        <v>575</v>
      </c>
      <c r="AG333" s="2">
        <f t="shared" si="58"/>
        <v>8</v>
      </c>
      <c r="AH333" s="2">
        <f t="shared" si="59"/>
        <v>1</v>
      </c>
      <c r="AI333" s="3">
        <v>146.00000000442381</v>
      </c>
      <c r="AJ333" s="2">
        <v>0</v>
      </c>
      <c r="AK333">
        <v>0</v>
      </c>
      <c r="AL333">
        <v>3</v>
      </c>
      <c r="AM333">
        <v>0</v>
      </c>
      <c r="AN333" s="2">
        <f>IF((2*G333+M333-O333+3*V333+2*AB333+2*AE333+2*AH333+3*AJ333)&gt;=7,1,0)</f>
        <v>1</v>
      </c>
    </row>
    <row r="334" spans="1:40" x14ac:dyDescent="0.25">
      <c r="A334" t="s">
        <v>27</v>
      </c>
      <c r="B334" s="1">
        <v>37477</v>
      </c>
      <c r="C334" s="6">
        <f t="shared" si="50"/>
        <v>2002</v>
      </c>
      <c r="D334">
        <v>84.3</v>
      </c>
      <c r="E334">
        <v>71.7</v>
      </c>
      <c r="F334">
        <v>79.400000000000006</v>
      </c>
      <c r="G334" s="2">
        <f t="shared" si="51"/>
        <v>1</v>
      </c>
      <c r="H334">
        <v>87.6</v>
      </c>
      <c r="I334">
        <v>71.7</v>
      </c>
      <c r="J334">
        <v>80.7</v>
      </c>
      <c r="K334">
        <v>62.5</v>
      </c>
      <c r="L334">
        <v>57</v>
      </c>
      <c r="M334" s="2">
        <f t="shared" si="52"/>
        <v>1</v>
      </c>
      <c r="N334">
        <v>0</v>
      </c>
      <c r="O334" s="2">
        <f t="shared" si="53"/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s="2">
        <f t="shared" si="54"/>
        <v>0</v>
      </c>
      <c r="W334">
        <v>15</v>
      </c>
      <c r="X334" s="2">
        <f t="shared" si="55"/>
        <v>0</v>
      </c>
      <c r="Y334">
        <v>298.3</v>
      </c>
      <c r="Z334" s="2" t="str">
        <f>CHOOSE(MATCH(Y334,{0;11;80;111;161;191;241;281;341},1),"North","NorthEast","East","SouthEast","South","SouthWest","West","NorthWest","North")</f>
        <v>NorthWest</v>
      </c>
      <c r="AA334" s="4">
        <f>CHOOSE(MATCH(Z334,{"South";"SouthEast";"SouthWest";"North";"NorthEast";"East";"West";"NorthWest"},0),1,2,3,4,5,6,7,8)</f>
        <v>8</v>
      </c>
      <c r="AB334" s="2">
        <f t="shared" si="56"/>
        <v>1</v>
      </c>
      <c r="AC334">
        <v>1008.6</v>
      </c>
      <c r="AD334" t="s">
        <v>414</v>
      </c>
      <c r="AE334" s="2">
        <f t="shared" si="57"/>
        <v>1</v>
      </c>
      <c r="AF334" t="s">
        <v>576</v>
      </c>
      <c r="AG334" s="2">
        <f t="shared" si="58"/>
        <v>8</v>
      </c>
      <c r="AH334" s="2">
        <f t="shared" si="59"/>
        <v>1</v>
      </c>
      <c r="AI334" s="3">
        <v>2773.000000007451</v>
      </c>
      <c r="AJ334" s="2">
        <v>1</v>
      </c>
      <c r="AK334">
        <v>0</v>
      </c>
      <c r="AL334">
        <v>10</v>
      </c>
      <c r="AM334">
        <v>0</v>
      </c>
      <c r="AN334" s="2">
        <f>IF((2*G334+M334-O334+3*V334+2*AB334+2*AE334+2*AH334+3*AJ334)&gt;=7,1,0)</f>
        <v>1</v>
      </c>
    </row>
    <row r="335" spans="1:40" x14ac:dyDescent="0.25">
      <c r="A335" t="s">
        <v>27</v>
      </c>
      <c r="B335" s="1">
        <v>37479</v>
      </c>
      <c r="C335" s="6">
        <f t="shared" si="50"/>
        <v>2002</v>
      </c>
      <c r="D335">
        <v>107.7</v>
      </c>
      <c r="E335">
        <v>80.7</v>
      </c>
      <c r="F335">
        <v>92</v>
      </c>
      <c r="G335" s="2">
        <f t="shared" si="51"/>
        <v>1</v>
      </c>
      <c r="H335">
        <v>107.7</v>
      </c>
      <c r="I335">
        <v>80.099999999999994</v>
      </c>
      <c r="J335">
        <v>92.2</v>
      </c>
      <c r="K335">
        <v>55</v>
      </c>
      <c r="L335">
        <v>31</v>
      </c>
      <c r="M335" s="2">
        <f t="shared" si="52"/>
        <v>1</v>
      </c>
      <c r="N335">
        <v>0</v>
      </c>
      <c r="O335" s="2">
        <f t="shared" si="53"/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 s="2">
        <f t="shared" si="54"/>
        <v>0</v>
      </c>
      <c r="W335">
        <v>17.2</v>
      </c>
      <c r="X335" s="2">
        <f t="shared" si="55"/>
        <v>1</v>
      </c>
      <c r="Y335">
        <v>147.19999999999999</v>
      </c>
      <c r="Z335" s="2" t="str">
        <f>CHOOSE(MATCH(Y335,{0;11;80;111;161;191;241;281;341},1),"North","NorthEast","East","SouthEast","South","SouthWest","West","NorthWest","North")</f>
        <v>SouthEast</v>
      </c>
      <c r="AA335" s="4">
        <f>CHOOSE(MATCH(Z335,{"South";"SouthEast";"SouthWest";"North";"NorthEast";"East";"West";"NorthWest"},0),1,2,3,4,5,6,7,8)</f>
        <v>2</v>
      </c>
      <c r="AB335" s="2">
        <f t="shared" si="56"/>
        <v>0</v>
      </c>
      <c r="AC335">
        <v>1008.7</v>
      </c>
      <c r="AD335" t="s">
        <v>112</v>
      </c>
      <c r="AE335" s="2">
        <f t="shared" si="57"/>
        <v>1</v>
      </c>
      <c r="AF335" t="s">
        <v>577</v>
      </c>
      <c r="AG335" s="2">
        <f t="shared" si="58"/>
        <v>8</v>
      </c>
      <c r="AH335" s="2">
        <f t="shared" si="59"/>
        <v>1</v>
      </c>
      <c r="AI335" s="3">
        <v>5430.0000000034916</v>
      </c>
      <c r="AJ335" s="2">
        <v>1</v>
      </c>
      <c r="AK335">
        <v>0</v>
      </c>
      <c r="AL335">
        <v>70</v>
      </c>
      <c r="AM335">
        <v>0</v>
      </c>
      <c r="AN335" s="2">
        <f>IF((2*G335+M335-O335+3*V335+2*AB335+2*AE335+2*AH335+3*AJ335)&gt;=7,1,0)</f>
        <v>1</v>
      </c>
    </row>
    <row r="336" spans="1:40" x14ac:dyDescent="0.25">
      <c r="A336" t="s">
        <v>27</v>
      </c>
      <c r="B336" s="1">
        <v>37479</v>
      </c>
      <c r="C336" s="6">
        <f t="shared" si="50"/>
        <v>2002</v>
      </c>
      <c r="D336">
        <v>107.7</v>
      </c>
      <c r="E336">
        <v>80.7</v>
      </c>
      <c r="F336">
        <v>92</v>
      </c>
      <c r="G336" s="2">
        <f t="shared" si="51"/>
        <v>1</v>
      </c>
      <c r="H336">
        <v>107.7</v>
      </c>
      <c r="I336">
        <v>80.099999999999994</v>
      </c>
      <c r="J336">
        <v>92.2</v>
      </c>
      <c r="K336">
        <v>55</v>
      </c>
      <c r="L336">
        <v>31</v>
      </c>
      <c r="M336" s="2">
        <f t="shared" si="52"/>
        <v>1</v>
      </c>
      <c r="N336">
        <v>0</v>
      </c>
      <c r="O336" s="2">
        <f t="shared" si="53"/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s="2">
        <f t="shared" si="54"/>
        <v>0</v>
      </c>
      <c r="W336">
        <v>17.2</v>
      </c>
      <c r="X336" s="2">
        <f t="shared" si="55"/>
        <v>1</v>
      </c>
      <c r="Y336">
        <v>147.19999999999999</v>
      </c>
      <c r="Z336" s="2" t="str">
        <f>CHOOSE(MATCH(Y336,{0;11;80;111;161;191;241;281;341},1),"North","NorthEast","East","SouthEast","South","SouthWest","West","NorthWest","North")</f>
        <v>SouthEast</v>
      </c>
      <c r="AA336" s="4">
        <f>CHOOSE(MATCH(Z336,{"South";"SouthEast";"SouthWest";"North";"NorthEast";"East";"West";"NorthWest"},0),1,2,3,4,5,6,7,8)</f>
        <v>2</v>
      </c>
      <c r="AB336" s="2">
        <f t="shared" si="56"/>
        <v>0</v>
      </c>
      <c r="AC336">
        <v>1008.7</v>
      </c>
      <c r="AD336" t="s">
        <v>380</v>
      </c>
      <c r="AE336" s="2">
        <f t="shared" si="57"/>
        <v>0</v>
      </c>
      <c r="AF336" t="s">
        <v>578</v>
      </c>
      <c r="AG336" s="2">
        <f t="shared" si="58"/>
        <v>8</v>
      </c>
      <c r="AH336" s="2">
        <f t="shared" si="59"/>
        <v>1</v>
      </c>
      <c r="AI336" s="3">
        <v>496.00000000325957</v>
      </c>
      <c r="AJ336" s="2">
        <v>1</v>
      </c>
      <c r="AK336">
        <v>0</v>
      </c>
      <c r="AL336">
        <v>2</v>
      </c>
      <c r="AM336">
        <v>0</v>
      </c>
      <c r="AN336" s="2">
        <f>IF((2*G336+M336-O336+3*V336+2*AB336+2*AE336+2*AH336+3*AJ336)&gt;=7,1,0)</f>
        <v>1</v>
      </c>
    </row>
    <row r="337" spans="1:40" x14ac:dyDescent="0.25">
      <c r="A337" t="s">
        <v>27</v>
      </c>
      <c r="B337" s="1">
        <v>37480</v>
      </c>
      <c r="C337" s="6">
        <f t="shared" si="50"/>
        <v>2002</v>
      </c>
      <c r="D337">
        <v>111.3</v>
      </c>
      <c r="E337">
        <v>82.5</v>
      </c>
      <c r="F337">
        <v>96.1</v>
      </c>
      <c r="G337" s="2">
        <f t="shared" si="51"/>
        <v>1</v>
      </c>
      <c r="H337">
        <v>111.3</v>
      </c>
      <c r="I337">
        <v>85.5</v>
      </c>
      <c r="J337">
        <v>95.3</v>
      </c>
      <c r="K337">
        <v>54</v>
      </c>
      <c r="L337">
        <v>28.7</v>
      </c>
      <c r="M337" s="2">
        <f t="shared" si="52"/>
        <v>1</v>
      </c>
      <c r="N337">
        <v>0</v>
      </c>
      <c r="O337" s="2">
        <f t="shared" si="53"/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s="2">
        <f t="shared" si="54"/>
        <v>0</v>
      </c>
      <c r="W337">
        <v>27.5</v>
      </c>
      <c r="X337" s="2">
        <f t="shared" si="55"/>
        <v>1</v>
      </c>
      <c r="Y337">
        <v>165.6</v>
      </c>
      <c r="Z337" s="2" t="str">
        <f>CHOOSE(MATCH(Y337,{0;11;80;111;161;191;241;281;341},1),"North","NorthEast","East","SouthEast","South","SouthWest","West","NorthWest","North")</f>
        <v>South</v>
      </c>
      <c r="AA337" s="4">
        <f>CHOOSE(MATCH(Z337,{"South";"SouthEast";"SouthWest";"North";"NorthEast";"East";"West";"NorthWest"},0),1,2,3,4,5,6,7,8)</f>
        <v>1</v>
      </c>
      <c r="AB337" s="2">
        <f t="shared" si="56"/>
        <v>0</v>
      </c>
      <c r="AC337">
        <v>1007.1</v>
      </c>
      <c r="AD337" t="s">
        <v>486</v>
      </c>
      <c r="AE337" s="2">
        <f t="shared" si="57"/>
        <v>1</v>
      </c>
      <c r="AF337" t="s">
        <v>579</v>
      </c>
      <c r="AG337" s="2">
        <f t="shared" si="58"/>
        <v>8</v>
      </c>
      <c r="AH337" s="2">
        <f t="shared" si="59"/>
        <v>1</v>
      </c>
      <c r="AI337" s="3">
        <v>1131.0000000090799</v>
      </c>
      <c r="AJ337" s="2">
        <v>1</v>
      </c>
      <c r="AK337">
        <v>0</v>
      </c>
      <c r="AL337">
        <v>15</v>
      </c>
      <c r="AM337">
        <v>0</v>
      </c>
      <c r="AN337" s="2">
        <f>IF((2*G337+M337-O337+3*V337+2*AB337+2*AE337+2*AH337+3*AJ337)&gt;=7,1,0)</f>
        <v>1</v>
      </c>
    </row>
    <row r="338" spans="1:40" x14ac:dyDescent="0.25">
      <c r="A338" t="s">
        <v>27</v>
      </c>
      <c r="B338" s="1">
        <v>37481</v>
      </c>
      <c r="C338" s="6">
        <f t="shared" si="50"/>
        <v>2002</v>
      </c>
      <c r="D338">
        <v>84.3</v>
      </c>
      <c r="E338">
        <v>77.099999999999994</v>
      </c>
      <c r="F338">
        <v>81.099999999999994</v>
      </c>
      <c r="G338" s="2">
        <f t="shared" si="51"/>
        <v>1</v>
      </c>
      <c r="H338">
        <v>87.4</v>
      </c>
      <c r="I338">
        <v>77.099999999999994</v>
      </c>
      <c r="J338">
        <v>82.1</v>
      </c>
      <c r="K338">
        <v>64.400000000000006</v>
      </c>
      <c r="L338">
        <v>57.2</v>
      </c>
      <c r="M338" s="2">
        <f t="shared" si="52"/>
        <v>1</v>
      </c>
      <c r="N338">
        <v>0</v>
      </c>
      <c r="O338" s="2">
        <f t="shared" si="53"/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s="2">
        <f t="shared" si="54"/>
        <v>0</v>
      </c>
      <c r="W338">
        <v>27.5</v>
      </c>
      <c r="X338" s="2">
        <f t="shared" si="55"/>
        <v>1</v>
      </c>
      <c r="Y338">
        <v>293.39999999999998</v>
      </c>
      <c r="Z338" s="2" t="str">
        <f>CHOOSE(MATCH(Y338,{0;11;80;111;161;191;241;281;341},1),"North","NorthEast","East","SouthEast","South","SouthWest","West","NorthWest","North")</f>
        <v>NorthWest</v>
      </c>
      <c r="AA338" s="4">
        <f>CHOOSE(MATCH(Z338,{"South";"SouthEast";"SouthWest";"North";"NorthEast";"East";"West";"NorthWest"},0),1,2,3,4,5,6,7,8)</f>
        <v>8</v>
      </c>
      <c r="AB338" s="2">
        <f t="shared" si="56"/>
        <v>1</v>
      </c>
      <c r="AC338">
        <v>1008.6</v>
      </c>
      <c r="AD338" t="s">
        <v>580</v>
      </c>
      <c r="AE338" s="2">
        <f t="shared" si="57"/>
        <v>0</v>
      </c>
      <c r="AF338" t="s">
        <v>581</v>
      </c>
      <c r="AG338" s="2">
        <f t="shared" si="58"/>
        <v>8</v>
      </c>
      <c r="AH338" s="2">
        <f t="shared" si="59"/>
        <v>1</v>
      </c>
      <c r="AI338" s="3">
        <v>416.00000000442378</v>
      </c>
      <c r="AJ338" s="2">
        <v>1</v>
      </c>
      <c r="AK338">
        <v>0</v>
      </c>
      <c r="AL338">
        <v>8</v>
      </c>
      <c r="AM338">
        <v>0</v>
      </c>
      <c r="AN338" s="2">
        <f>IF((2*G338+M338-O338+3*V338+2*AB338+2*AE338+2*AH338+3*AJ338)&gt;=7,1,0)</f>
        <v>1</v>
      </c>
    </row>
    <row r="339" spans="1:40" x14ac:dyDescent="0.25">
      <c r="A339" t="s">
        <v>27</v>
      </c>
      <c r="B339" s="1">
        <v>37484</v>
      </c>
      <c r="C339" s="6">
        <f t="shared" si="50"/>
        <v>2002</v>
      </c>
      <c r="D339">
        <v>82.5</v>
      </c>
      <c r="E339">
        <v>69.900000000000006</v>
      </c>
      <c r="F339">
        <v>78.2</v>
      </c>
      <c r="G339" s="2">
        <f t="shared" si="51"/>
        <v>1</v>
      </c>
      <c r="H339">
        <v>86.4</v>
      </c>
      <c r="I339">
        <v>69.900000000000006</v>
      </c>
      <c r="J339">
        <v>79.5</v>
      </c>
      <c r="K339">
        <v>66.599999999999994</v>
      </c>
      <c r="L339">
        <v>68.099999999999994</v>
      </c>
      <c r="M339" s="2">
        <f t="shared" si="52"/>
        <v>0</v>
      </c>
      <c r="N339">
        <v>0</v>
      </c>
      <c r="O339" s="2">
        <f t="shared" si="53"/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 s="2">
        <f t="shared" si="54"/>
        <v>0</v>
      </c>
      <c r="W339">
        <v>19.5</v>
      </c>
      <c r="X339" s="2">
        <f t="shared" si="55"/>
        <v>1</v>
      </c>
      <c r="Y339">
        <v>293.89999999999998</v>
      </c>
      <c r="Z339" s="2" t="str">
        <f>CHOOSE(MATCH(Y339,{0;11;80;111;161;191;241;281;341},1),"North","NorthEast","East","SouthEast","South","SouthWest","West","NorthWest","North")</f>
        <v>NorthWest</v>
      </c>
      <c r="AA339" s="4">
        <f>CHOOSE(MATCH(Z339,{"South";"SouthEast";"SouthWest";"North";"NorthEast";"East";"West";"NorthWest"},0),1,2,3,4,5,6,7,8)</f>
        <v>8</v>
      </c>
      <c r="AB339" s="2">
        <f t="shared" si="56"/>
        <v>1</v>
      </c>
      <c r="AC339">
        <v>1006.8</v>
      </c>
      <c r="AD339" t="s">
        <v>274</v>
      </c>
      <c r="AE339" s="2">
        <f t="shared" si="57"/>
        <v>1</v>
      </c>
      <c r="AF339" t="s">
        <v>582</v>
      </c>
      <c r="AG339" s="2">
        <f t="shared" si="58"/>
        <v>8</v>
      </c>
      <c r="AH339" s="2">
        <f t="shared" si="59"/>
        <v>1</v>
      </c>
      <c r="AI339" s="3">
        <v>120.9999999962747</v>
      </c>
      <c r="AJ339" s="2">
        <v>0</v>
      </c>
      <c r="AK339">
        <v>0</v>
      </c>
      <c r="AL339">
        <v>0.2</v>
      </c>
      <c r="AM339">
        <v>0</v>
      </c>
      <c r="AN339" s="2">
        <f>IF((2*G339+M339-O339+3*V339+2*AB339+2*AE339+2*AH339+3*AJ339)&gt;=7,1,0)</f>
        <v>1</v>
      </c>
    </row>
    <row r="340" spans="1:40" x14ac:dyDescent="0.25">
      <c r="A340" t="s">
        <v>27</v>
      </c>
      <c r="B340" s="1">
        <v>37486</v>
      </c>
      <c r="C340" s="6">
        <f t="shared" si="50"/>
        <v>2002</v>
      </c>
      <c r="D340">
        <v>82.5</v>
      </c>
      <c r="E340">
        <v>69.900000000000006</v>
      </c>
      <c r="F340">
        <v>77.3</v>
      </c>
      <c r="G340" s="2">
        <f t="shared" si="51"/>
        <v>1</v>
      </c>
      <c r="H340">
        <v>87.4</v>
      </c>
      <c r="I340">
        <v>69.900000000000006</v>
      </c>
      <c r="J340">
        <v>78.900000000000006</v>
      </c>
      <c r="K340">
        <v>67.7</v>
      </c>
      <c r="L340">
        <v>72.599999999999994</v>
      </c>
      <c r="M340" s="2">
        <f t="shared" si="52"/>
        <v>0</v>
      </c>
      <c r="N340">
        <v>0</v>
      </c>
      <c r="O340" s="2">
        <f t="shared" si="53"/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s="2">
        <f t="shared" si="54"/>
        <v>0</v>
      </c>
      <c r="W340">
        <v>11.4</v>
      </c>
      <c r="X340" s="2">
        <f t="shared" si="55"/>
        <v>0</v>
      </c>
      <c r="Y340">
        <v>296.60000000000002</v>
      </c>
      <c r="Z340" s="2" t="str">
        <f>CHOOSE(MATCH(Y340,{0;11;80;111;161;191;241;281;341},1),"North","NorthEast","East","SouthEast","South","SouthWest","West","NorthWest","North")</f>
        <v>NorthWest</v>
      </c>
      <c r="AA340" s="4">
        <f>CHOOSE(MATCH(Z340,{"South";"SouthEast";"SouthWest";"North";"NorthEast";"East";"West";"NorthWest"},0),1,2,3,4,5,6,7,8)</f>
        <v>8</v>
      </c>
      <c r="AB340" s="2">
        <f t="shared" si="56"/>
        <v>1</v>
      </c>
      <c r="AC340">
        <v>1007.8</v>
      </c>
      <c r="AD340" t="s">
        <v>553</v>
      </c>
      <c r="AE340" s="2">
        <f t="shared" si="57"/>
        <v>1</v>
      </c>
      <c r="AF340" t="s">
        <v>583</v>
      </c>
      <c r="AG340" s="2">
        <f t="shared" si="58"/>
        <v>8</v>
      </c>
      <c r="AH340" s="2">
        <f t="shared" si="59"/>
        <v>1</v>
      </c>
      <c r="AI340" s="3">
        <v>36.000000002095483</v>
      </c>
      <c r="AJ340" s="2">
        <v>0</v>
      </c>
      <c r="AK340">
        <v>0</v>
      </c>
      <c r="AL340">
        <v>0.1</v>
      </c>
      <c r="AM340">
        <v>0</v>
      </c>
      <c r="AN340" s="2">
        <f>IF((2*G340+M340-O340+3*V340+2*AB340+2*AE340+2*AH340+3*AJ340)&gt;=7,1,0)</f>
        <v>1</v>
      </c>
    </row>
    <row r="341" spans="1:40" x14ac:dyDescent="0.25">
      <c r="A341" t="s">
        <v>27</v>
      </c>
      <c r="B341" s="1">
        <v>37486</v>
      </c>
      <c r="C341" s="6">
        <f t="shared" si="50"/>
        <v>2002</v>
      </c>
      <c r="D341">
        <v>82.5</v>
      </c>
      <c r="E341">
        <v>69.900000000000006</v>
      </c>
      <c r="F341">
        <v>77.3</v>
      </c>
      <c r="G341" s="2">
        <f t="shared" si="51"/>
        <v>1</v>
      </c>
      <c r="H341">
        <v>87.4</v>
      </c>
      <c r="I341">
        <v>69.900000000000006</v>
      </c>
      <c r="J341">
        <v>78.900000000000006</v>
      </c>
      <c r="K341">
        <v>67.7</v>
      </c>
      <c r="L341">
        <v>72.599999999999994</v>
      </c>
      <c r="M341" s="2">
        <f t="shared" si="52"/>
        <v>0</v>
      </c>
      <c r="N341">
        <v>0</v>
      </c>
      <c r="O341" s="2">
        <f t="shared" si="53"/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s="2">
        <f t="shared" si="54"/>
        <v>0</v>
      </c>
      <c r="W341">
        <v>11.4</v>
      </c>
      <c r="X341" s="2">
        <f t="shared" si="55"/>
        <v>0</v>
      </c>
      <c r="Y341">
        <v>296.60000000000002</v>
      </c>
      <c r="Z341" s="2" t="str">
        <f>CHOOSE(MATCH(Y341,{0;11;80;111;161;191;241;281;341},1),"North","NorthEast","East","SouthEast","South","SouthWest","West","NorthWest","North")</f>
        <v>NorthWest</v>
      </c>
      <c r="AA341" s="4">
        <f>CHOOSE(MATCH(Z341,{"South";"SouthEast";"SouthWest";"North";"NorthEast";"East";"West";"NorthWest"},0),1,2,3,4,5,6,7,8)</f>
        <v>8</v>
      </c>
      <c r="AB341" s="2">
        <f t="shared" si="56"/>
        <v>1</v>
      </c>
      <c r="AC341">
        <v>1007.8</v>
      </c>
      <c r="AD341" t="s">
        <v>183</v>
      </c>
      <c r="AE341" s="2">
        <f t="shared" si="57"/>
        <v>1</v>
      </c>
      <c r="AF341" t="s">
        <v>584</v>
      </c>
      <c r="AG341" s="2">
        <f t="shared" si="58"/>
        <v>8</v>
      </c>
      <c r="AH341" s="2">
        <f t="shared" si="59"/>
        <v>1</v>
      </c>
      <c r="AI341" s="3">
        <v>791.00000000093132</v>
      </c>
      <c r="AJ341" s="2">
        <v>1</v>
      </c>
      <c r="AK341">
        <v>0</v>
      </c>
      <c r="AL341">
        <v>0.1</v>
      </c>
      <c r="AM341">
        <v>0</v>
      </c>
      <c r="AN341" s="2">
        <f>IF((2*G341+M341-O341+3*V341+2*AB341+2*AE341+2*AH341+3*AJ341)&gt;=7,1,0)</f>
        <v>1</v>
      </c>
    </row>
    <row r="342" spans="1:40" x14ac:dyDescent="0.25">
      <c r="A342" t="s">
        <v>27</v>
      </c>
      <c r="B342" s="1">
        <v>37486</v>
      </c>
      <c r="C342" s="6">
        <f t="shared" si="50"/>
        <v>2002</v>
      </c>
      <c r="D342">
        <v>82.5</v>
      </c>
      <c r="E342">
        <v>69.900000000000006</v>
      </c>
      <c r="F342">
        <v>77.3</v>
      </c>
      <c r="G342" s="2">
        <f t="shared" si="51"/>
        <v>1</v>
      </c>
      <c r="H342">
        <v>87.4</v>
      </c>
      <c r="I342">
        <v>69.900000000000006</v>
      </c>
      <c r="J342">
        <v>78.900000000000006</v>
      </c>
      <c r="K342">
        <v>67.7</v>
      </c>
      <c r="L342">
        <v>72.599999999999994</v>
      </c>
      <c r="M342" s="2">
        <f t="shared" si="52"/>
        <v>0</v>
      </c>
      <c r="N342">
        <v>0</v>
      </c>
      <c r="O342" s="2">
        <f t="shared" si="53"/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s="2">
        <f t="shared" si="54"/>
        <v>0</v>
      </c>
      <c r="W342">
        <v>11.4</v>
      </c>
      <c r="X342" s="2">
        <f t="shared" si="55"/>
        <v>0</v>
      </c>
      <c r="Y342">
        <v>296.60000000000002</v>
      </c>
      <c r="Z342" s="2" t="str">
        <f>CHOOSE(MATCH(Y342,{0;11;80;111;161;191;241;281;341},1),"North","NorthEast","East","SouthEast","South","SouthWest","West","NorthWest","North")</f>
        <v>NorthWest</v>
      </c>
      <c r="AA342" s="4">
        <f>CHOOSE(MATCH(Z342,{"South";"SouthEast";"SouthWest";"North";"NorthEast";"East";"West";"NorthWest"},0),1,2,3,4,5,6,7,8)</f>
        <v>8</v>
      </c>
      <c r="AB342" s="2">
        <f t="shared" si="56"/>
        <v>1</v>
      </c>
      <c r="AC342">
        <v>1007.8</v>
      </c>
      <c r="AD342" t="s">
        <v>112</v>
      </c>
      <c r="AE342" s="2">
        <f t="shared" si="57"/>
        <v>1</v>
      </c>
      <c r="AF342" t="s">
        <v>585</v>
      </c>
      <c r="AG342" s="2">
        <f t="shared" si="58"/>
        <v>8</v>
      </c>
      <c r="AH342" s="2">
        <f t="shared" si="59"/>
        <v>1</v>
      </c>
      <c r="AI342" s="3">
        <v>130.00000000465661</v>
      </c>
      <c r="AJ342" s="2">
        <v>0</v>
      </c>
      <c r="AK342">
        <v>0.5</v>
      </c>
      <c r="AL342">
        <v>0</v>
      </c>
      <c r="AM342">
        <v>0</v>
      </c>
      <c r="AN342" s="2">
        <f>IF((2*G342+M342-O342+3*V342+2*AB342+2*AE342+2*AH342+3*AJ342)&gt;=7,1,0)</f>
        <v>1</v>
      </c>
    </row>
    <row r="343" spans="1:40" x14ac:dyDescent="0.25">
      <c r="A343" t="s">
        <v>27</v>
      </c>
      <c r="B343" s="1">
        <v>37487</v>
      </c>
      <c r="C343" s="6">
        <f t="shared" si="50"/>
        <v>2002</v>
      </c>
      <c r="D343">
        <v>82.5</v>
      </c>
      <c r="E343">
        <v>66.3</v>
      </c>
      <c r="F343">
        <v>77.599999999999994</v>
      </c>
      <c r="G343" s="2">
        <f t="shared" si="51"/>
        <v>1</v>
      </c>
      <c r="H343">
        <v>86.4</v>
      </c>
      <c r="I343">
        <v>66.3</v>
      </c>
      <c r="J343">
        <v>78.5</v>
      </c>
      <c r="K343">
        <v>66.8</v>
      </c>
      <c r="L343">
        <v>70.099999999999994</v>
      </c>
      <c r="M343" s="2">
        <f t="shared" si="52"/>
        <v>0</v>
      </c>
      <c r="N343">
        <v>0.161</v>
      </c>
      <c r="O343" s="2">
        <f t="shared" si="53"/>
        <v>0</v>
      </c>
      <c r="P343">
        <v>100</v>
      </c>
      <c r="Q343">
        <v>8.33</v>
      </c>
      <c r="R343" t="s">
        <v>182</v>
      </c>
      <c r="S343">
        <v>0</v>
      </c>
      <c r="T343">
        <v>0</v>
      </c>
      <c r="U343">
        <v>0</v>
      </c>
      <c r="V343" s="2">
        <f t="shared" si="54"/>
        <v>0</v>
      </c>
      <c r="W343">
        <v>19.5</v>
      </c>
      <c r="X343" s="2">
        <f t="shared" si="55"/>
        <v>1</v>
      </c>
      <c r="Y343">
        <v>299</v>
      </c>
      <c r="Z343" s="2" t="str">
        <f>CHOOSE(MATCH(Y343,{0;11;80;111;161;191;241;281;341},1),"North","NorthEast","East","SouthEast","South","SouthWest","West","NorthWest","North")</f>
        <v>NorthWest</v>
      </c>
      <c r="AA343" s="4">
        <f>CHOOSE(MATCH(Z343,{"South";"SouthEast";"SouthWest";"North";"NorthEast";"East";"West";"NorthWest"},0),1,2,3,4,5,6,7,8)</f>
        <v>8</v>
      </c>
      <c r="AB343" s="2">
        <f t="shared" si="56"/>
        <v>1</v>
      </c>
      <c r="AC343">
        <v>1010.2</v>
      </c>
      <c r="AD343" t="s">
        <v>586</v>
      </c>
      <c r="AE343" s="2">
        <f t="shared" si="57"/>
        <v>0</v>
      </c>
      <c r="AF343" t="s">
        <v>587</v>
      </c>
      <c r="AG343" s="2">
        <f t="shared" si="58"/>
        <v>8</v>
      </c>
      <c r="AH343" s="2">
        <f t="shared" si="59"/>
        <v>1</v>
      </c>
      <c r="AI343" s="3">
        <v>190.00000000116421</v>
      </c>
      <c r="AJ343" s="2">
        <v>0</v>
      </c>
      <c r="AK343">
        <v>0</v>
      </c>
      <c r="AL343">
        <v>0.1</v>
      </c>
      <c r="AM343">
        <v>0</v>
      </c>
      <c r="AN343" s="2">
        <f>IF((2*G343+M343-O343+3*V343+2*AB343+2*AE343+2*AH343+3*AJ343)&gt;=7,1,0)</f>
        <v>0</v>
      </c>
    </row>
    <row r="344" spans="1:40" x14ac:dyDescent="0.25">
      <c r="A344" t="s">
        <v>27</v>
      </c>
      <c r="B344" s="1">
        <v>37488</v>
      </c>
      <c r="C344" s="6">
        <f t="shared" si="50"/>
        <v>2002</v>
      </c>
      <c r="D344">
        <v>80.7</v>
      </c>
      <c r="E344">
        <v>71.7</v>
      </c>
      <c r="F344">
        <v>77.900000000000006</v>
      </c>
      <c r="G344" s="2">
        <f t="shared" si="51"/>
        <v>1</v>
      </c>
      <c r="H344">
        <v>83.4</v>
      </c>
      <c r="I344">
        <v>71.7</v>
      </c>
      <c r="J344">
        <v>78.5</v>
      </c>
      <c r="K344">
        <v>66.599999999999994</v>
      </c>
      <c r="L344">
        <v>68.7</v>
      </c>
      <c r="M344" s="2">
        <f t="shared" si="52"/>
        <v>0</v>
      </c>
      <c r="N344">
        <v>0</v>
      </c>
      <c r="O344" s="2">
        <f t="shared" si="53"/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s="2">
        <f t="shared" si="54"/>
        <v>0</v>
      </c>
      <c r="W344">
        <v>18.3</v>
      </c>
      <c r="X344" s="2">
        <f t="shared" si="55"/>
        <v>1</v>
      </c>
      <c r="Y344">
        <v>303</v>
      </c>
      <c r="Z344" s="2" t="str">
        <f>CHOOSE(MATCH(Y344,{0;11;80;111;161;191;241;281;341},1),"North","NorthEast","East","SouthEast","South","SouthWest","West","NorthWest","North")</f>
        <v>NorthWest</v>
      </c>
      <c r="AA344" s="4">
        <f>CHOOSE(MATCH(Z344,{"South";"SouthEast";"SouthWest";"North";"NorthEast";"East";"West";"NorthWest"},0),1,2,3,4,5,6,7,8)</f>
        <v>8</v>
      </c>
      <c r="AB344" s="2">
        <f t="shared" si="56"/>
        <v>1</v>
      </c>
      <c r="AC344">
        <v>1011.3</v>
      </c>
      <c r="AD344" t="s">
        <v>491</v>
      </c>
      <c r="AE344" s="2">
        <f t="shared" si="57"/>
        <v>0</v>
      </c>
      <c r="AF344" t="s">
        <v>588</v>
      </c>
      <c r="AG344" s="2">
        <f t="shared" si="58"/>
        <v>8</v>
      </c>
      <c r="AH344" s="2">
        <f t="shared" si="59"/>
        <v>1</v>
      </c>
      <c r="AI344" s="3">
        <v>479.99999999301508</v>
      </c>
      <c r="AJ344" s="2">
        <v>1</v>
      </c>
      <c r="AK344">
        <v>0</v>
      </c>
      <c r="AL344">
        <v>20</v>
      </c>
      <c r="AM344">
        <v>0</v>
      </c>
      <c r="AN344" s="2">
        <f>IF((2*G344+M344-O344+3*V344+2*AB344+2*AE344+2*AH344+3*AJ344)&gt;=7,1,0)</f>
        <v>1</v>
      </c>
    </row>
    <row r="345" spans="1:40" x14ac:dyDescent="0.25">
      <c r="A345" t="s">
        <v>27</v>
      </c>
      <c r="B345" s="1">
        <v>37493</v>
      </c>
      <c r="C345" s="6">
        <f t="shared" si="50"/>
        <v>2002</v>
      </c>
      <c r="D345">
        <v>84.3</v>
      </c>
      <c r="E345">
        <v>77.099999999999994</v>
      </c>
      <c r="F345">
        <v>79.599999999999994</v>
      </c>
      <c r="G345" s="2">
        <f t="shared" si="51"/>
        <v>1</v>
      </c>
      <c r="H345">
        <v>85.8</v>
      </c>
      <c r="I345">
        <v>77.099999999999994</v>
      </c>
      <c r="J345">
        <v>80.599999999999994</v>
      </c>
      <c r="K345">
        <v>65.400000000000006</v>
      </c>
      <c r="L345">
        <v>62.1</v>
      </c>
      <c r="M345" s="2">
        <f t="shared" si="52"/>
        <v>1</v>
      </c>
      <c r="N345">
        <v>0</v>
      </c>
      <c r="O345" s="2">
        <f t="shared" si="53"/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s="2">
        <f t="shared" si="54"/>
        <v>0</v>
      </c>
      <c r="W345">
        <v>21.9</v>
      </c>
      <c r="X345" s="2">
        <f t="shared" si="55"/>
        <v>1</v>
      </c>
      <c r="Y345">
        <v>297.10000000000002</v>
      </c>
      <c r="Z345" s="2" t="str">
        <f>CHOOSE(MATCH(Y345,{0;11;80;111;161;191;241;281;341},1),"North","NorthEast","East","SouthEast","South","SouthWest","West","NorthWest","North")</f>
        <v>NorthWest</v>
      </c>
      <c r="AA345" s="4">
        <f>CHOOSE(MATCH(Z345,{"South";"SouthEast";"SouthWest";"North";"NorthEast";"East";"West";"NorthWest"},0),1,2,3,4,5,6,7,8)</f>
        <v>8</v>
      </c>
      <c r="AB345" s="2">
        <f t="shared" si="56"/>
        <v>1</v>
      </c>
      <c r="AC345">
        <v>1014.5</v>
      </c>
      <c r="AD345" t="s">
        <v>63</v>
      </c>
      <c r="AE345" s="2">
        <f t="shared" si="57"/>
        <v>0</v>
      </c>
      <c r="AF345" t="s">
        <v>589</v>
      </c>
      <c r="AG345" s="2">
        <f t="shared" si="58"/>
        <v>8</v>
      </c>
      <c r="AH345" s="2">
        <f t="shared" si="59"/>
        <v>1</v>
      </c>
      <c r="AI345" s="3">
        <v>267.00000000069849</v>
      </c>
      <c r="AJ345" s="2">
        <v>0</v>
      </c>
      <c r="AK345">
        <v>0</v>
      </c>
      <c r="AL345">
        <v>5</v>
      </c>
      <c r="AM345">
        <v>0</v>
      </c>
      <c r="AN345" s="2">
        <f>IF((2*G345+M345-O345+3*V345+2*AB345+2*AE345+2*AH345+3*AJ345)&gt;=7,1,0)</f>
        <v>0</v>
      </c>
    </row>
    <row r="346" spans="1:40" x14ac:dyDescent="0.25">
      <c r="A346" t="s">
        <v>27</v>
      </c>
      <c r="B346" s="1">
        <v>37494</v>
      </c>
      <c r="C346" s="6">
        <f t="shared" si="50"/>
        <v>2002</v>
      </c>
      <c r="D346">
        <v>82.5</v>
      </c>
      <c r="E346">
        <v>77.099999999999994</v>
      </c>
      <c r="F346">
        <v>78.7</v>
      </c>
      <c r="G346" s="2">
        <f t="shared" si="51"/>
        <v>1</v>
      </c>
      <c r="H346">
        <v>84.1</v>
      </c>
      <c r="I346">
        <v>77.099999999999994</v>
      </c>
      <c r="J346">
        <v>79.2</v>
      </c>
      <c r="K346">
        <v>64.400000000000006</v>
      </c>
      <c r="L346">
        <v>61.7</v>
      </c>
      <c r="M346" s="2">
        <f t="shared" si="52"/>
        <v>1</v>
      </c>
      <c r="N346">
        <v>0</v>
      </c>
      <c r="O346" s="2">
        <f t="shared" si="53"/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s="2">
        <f t="shared" si="54"/>
        <v>0</v>
      </c>
      <c r="W346">
        <v>19.5</v>
      </c>
      <c r="X346" s="2">
        <f t="shared" si="55"/>
        <v>1</v>
      </c>
      <c r="Y346">
        <v>293.8</v>
      </c>
      <c r="Z346" s="2" t="str">
        <f>CHOOSE(MATCH(Y346,{0;11;80;111;161;191;241;281;341},1),"North","NorthEast","East","SouthEast","South","SouthWest","West","NorthWest","North")</f>
        <v>NorthWest</v>
      </c>
      <c r="AA346" s="4">
        <f>CHOOSE(MATCH(Z346,{"South";"SouthEast";"SouthWest";"North";"NorthEast";"East";"West";"NorthWest"},0),1,2,3,4,5,6,7,8)</f>
        <v>8</v>
      </c>
      <c r="AB346" s="2">
        <f t="shared" si="56"/>
        <v>1</v>
      </c>
      <c r="AC346">
        <v>1014</v>
      </c>
      <c r="AD346" t="s">
        <v>590</v>
      </c>
      <c r="AE346" s="2">
        <f t="shared" si="57"/>
        <v>0</v>
      </c>
      <c r="AF346" t="s">
        <v>591</v>
      </c>
      <c r="AG346" s="2">
        <f t="shared" si="58"/>
        <v>8</v>
      </c>
      <c r="AH346" s="2">
        <f t="shared" si="59"/>
        <v>1</v>
      </c>
      <c r="AI346" s="3">
        <v>2160</v>
      </c>
      <c r="AJ346" s="2">
        <v>1</v>
      </c>
      <c r="AK346">
        <v>0.1</v>
      </c>
      <c r="AL346">
        <v>0</v>
      </c>
      <c r="AM346">
        <v>0</v>
      </c>
      <c r="AN346" s="2">
        <f>IF((2*G346+M346-O346+3*V346+2*AB346+2*AE346+2*AH346+3*AJ346)&gt;=7,1,0)</f>
        <v>1</v>
      </c>
    </row>
    <row r="347" spans="1:40" x14ac:dyDescent="0.25">
      <c r="A347" t="s">
        <v>27</v>
      </c>
      <c r="B347" s="1">
        <v>37496</v>
      </c>
      <c r="C347" s="6">
        <f t="shared" si="50"/>
        <v>2002</v>
      </c>
      <c r="D347">
        <v>80.7</v>
      </c>
      <c r="E347">
        <v>75.3</v>
      </c>
      <c r="F347">
        <v>77.400000000000006</v>
      </c>
      <c r="G347" s="2">
        <f t="shared" si="51"/>
        <v>1</v>
      </c>
      <c r="H347">
        <v>81.5</v>
      </c>
      <c r="I347">
        <v>75.3</v>
      </c>
      <c r="J347">
        <v>77.599999999999994</v>
      </c>
      <c r="K347">
        <v>62.3</v>
      </c>
      <c r="L347">
        <v>60.3</v>
      </c>
      <c r="M347" s="2">
        <f t="shared" si="52"/>
        <v>1</v>
      </c>
      <c r="N347">
        <v>0</v>
      </c>
      <c r="O347" s="2">
        <f t="shared" si="53"/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 s="2">
        <f t="shared" si="54"/>
        <v>0</v>
      </c>
      <c r="W347">
        <v>20.8</v>
      </c>
      <c r="X347" s="2">
        <f t="shared" si="55"/>
        <v>1</v>
      </c>
      <c r="Y347">
        <v>298.8</v>
      </c>
      <c r="Z347" s="2" t="str">
        <f>CHOOSE(MATCH(Y347,{0;11;80;111;161;191;241;281;341},1),"North","NorthEast","East","SouthEast","South","SouthWest","West","NorthWest","North")</f>
        <v>NorthWest</v>
      </c>
      <c r="AA347" s="4">
        <f>CHOOSE(MATCH(Z347,{"South";"SouthEast";"SouthWest";"North";"NorthEast";"East";"West";"NorthWest"},0),1,2,3,4,5,6,7,8)</f>
        <v>8</v>
      </c>
      <c r="AB347" s="2">
        <f t="shared" si="56"/>
        <v>1</v>
      </c>
      <c r="AC347">
        <v>1012.5</v>
      </c>
      <c r="AD347" t="s">
        <v>592</v>
      </c>
      <c r="AE347" s="2">
        <f t="shared" si="57"/>
        <v>0</v>
      </c>
      <c r="AF347" t="s">
        <v>593</v>
      </c>
      <c r="AG347" s="2">
        <f t="shared" si="58"/>
        <v>8</v>
      </c>
      <c r="AH347" s="2">
        <f t="shared" si="59"/>
        <v>1</v>
      </c>
      <c r="AI347" s="3">
        <v>216.0000000020955</v>
      </c>
      <c r="AJ347" s="2">
        <v>0</v>
      </c>
      <c r="AK347">
        <v>0.5</v>
      </c>
      <c r="AL347">
        <v>0</v>
      </c>
      <c r="AM347">
        <v>0</v>
      </c>
      <c r="AN347" s="2">
        <f>IF((2*G347+M347-O347+3*V347+2*AB347+2*AE347+2*AH347+3*AJ347)&gt;=7,1,0)</f>
        <v>0</v>
      </c>
    </row>
    <row r="348" spans="1:40" x14ac:dyDescent="0.25">
      <c r="A348" t="s">
        <v>27</v>
      </c>
      <c r="B348" s="1">
        <v>37496</v>
      </c>
      <c r="C348" s="6">
        <f t="shared" si="50"/>
        <v>2002</v>
      </c>
      <c r="D348">
        <v>80.7</v>
      </c>
      <c r="E348">
        <v>75.3</v>
      </c>
      <c r="F348">
        <v>77.400000000000006</v>
      </c>
      <c r="G348" s="2">
        <f t="shared" si="51"/>
        <v>1</v>
      </c>
      <c r="H348">
        <v>81.5</v>
      </c>
      <c r="I348">
        <v>75.3</v>
      </c>
      <c r="J348">
        <v>77.599999999999994</v>
      </c>
      <c r="K348">
        <v>62.3</v>
      </c>
      <c r="L348">
        <v>60.3</v>
      </c>
      <c r="M348" s="2">
        <f t="shared" si="52"/>
        <v>1</v>
      </c>
      <c r="N348">
        <v>0</v>
      </c>
      <c r="O348" s="2">
        <f t="shared" si="53"/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 s="2">
        <f t="shared" si="54"/>
        <v>0</v>
      </c>
      <c r="W348">
        <v>20.8</v>
      </c>
      <c r="X348" s="2">
        <f t="shared" si="55"/>
        <v>1</v>
      </c>
      <c r="Y348">
        <v>298.8</v>
      </c>
      <c r="Z348" s="2" t="str">
        <f>CHOOSE(MATCH(Y348,{0;11;80;111;161;191;241;281;341},1),"North","NorthEast","East","SouthEast","South","SouthWest","West","NorthWest","North")</f>
        <v>NorthWest</v>
      </c>
      <c r="AA348" s="4">
        <f>CHOOSE(MATCH(Z348,{"South";"SouthEast";"SouthWest";"North";"NorthEast";"East";"West";"NorthWest"},0),1,2,3,4,5,6,7,8)</f>
        <v>8</v>
      </c>
      <c r="AB348" s="2">
        <f t="shared" si="56"/>
        <v>1</v>
      </c>
      <c r="AC348">
        <v>1012.5</v>
      </c>
      <c r="AD348" t="s">
        <v>594</v>
      </c>
      <c r="AE348" s="2">
        <f t="shared" si="57"/>
        <v>1</v>
      </c>
      <c r="AF348" t="s">
        <v>595</v>
      </c>
      <c r="AG348" s="2">
        <f t="shared" si="58"/>
        <v>8</v>
      </c>
      <c r="AH348" s="2">
        <f t="shared" si="59"/>
        <v>1</v>
      </c>
      <c r="AI348" s="3">
        <v>69.999999997671694</v>
      </c>
      <c r="AJ348" s="2">
        <v>0</v>
      </c>
      <c r="AK348">
        <v>0</v>
      </c>
      <c r="AL348">
        <v>0.3</v>
      </c>
      <c r="AM348">
        <v>0</v>
      </c>
      <c r="AN348" s="2">
        <f>IF((2*G348+M348-O348+3*V348+2*AB348+2*AE348+2*AH348+3*AJ348)&gt;=7,1,0)</f>
        <v>1</v>
      </c>
    </row>
    <row r="349" spans="1:40" x14ac:dyDescent="0.25">
      <c r="A349" t="s">
        <v>27</v>
      </c>
      <c r="B349" s="1">
        <v>37507</v>
      </c>
      <c r="C349" s="6">
        <f t="shared" si="50"/>
        <v>2002</v>
      </c>
      <c r="D349">
        <v>82.5</v>
      </c>
      <c r="E349">
        <v>68.099999999999994</v>
      </c>
      <c r="F349">
        <v>75.5</v>
      </c>
      <c r="G349" s="2">
        <f t="shared" si="51"/>
        <v>1</v>
      </c>
      <c r="H349">
        <v>84.8</v>
      </c>
      <c r="I349">
        <v>68.099999999999994</v>
      </c>
      <c r="J349">
        <v>76.2</v>
      </c>
      <c r="K349">
        <v>66</v>
      </c>
      <c r="L349">
        <v>73.2</v>
      </c>
      <c r="M349" s="2">
        <f t="shared" si="52"/>
        <v>0</v>
      </c>
      <c r="N349">
        <v>0</v>
      </c>
      <c r="O349" s="2">
        <f t="shared" si="53"/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s="2">
        <f t="shared" si="54"/>
        <v>0</v>
      </c>
      <c r="W349">
        <v>10.3</v>
      </c>
      <c r="X349" s="2">
        <f t="shared" si="55"/>
        <v>0</v>
      </c>
      <c r="Y349">
        <v>125.1</v>
      </c>
      <c r="Z349" s="2" t="str">
        <f>CHOOSE(MATCH(Y349,{0;11;80;111;161;191;241;281;341},1),"North","NorthEast","East","SouthEast","South","SouthWest","West","NorthWest","North")</f>
        <v>SouthEast</v>
      </c>
      <c r="AA349" s="4">
        <f>CHOOSE(MATCH(Z349,{"South";"SouthEast";"SouthWest";"North";"NorthEast";"East";"West";"NorthWest"},0),1,2,3,4,5,6,7,8)</f>
        <v>2</v>
      </c>
      <c r="AB349" s="2">
        <f t="shared" si="56"/>
        <v>0</v>
      </c>
      <c r="AC349">
        <v>1012.9</v>
      </c>
      <c r="AD349" t="s">
        <v>211</v>
      </c>
      <c r="AE349" s="2">
        <f t="shared" si="57"/>
        <v>1</v>
      </c>
      <c r="AF349" t="s">
        <v>596</v>
      </c>
      <c r="AG349" s="2">
        <f t="shared" si="58"/>
        <v>9</v>
      </c>
      <c r="AH349" s="2">
        <f t="shared" si="59"/>
        <v>0</v>
      </c>
      <c r="AI349" s="3">
        <v>150.9999999997672</v>
      </c>
      <c r="AJ349" s="2">
        <v>0</v>
      </c>
      <c r="AK349">
        <v>0</v>
      </c>
      <c r="AL349">
        <v>1</v>
      </c>
      <c r="AM349">
        <v>0</v>
      </c>
      <c r="AN349" s="2">
        <f>IF((2*G349+M349-O349+3*V349+2*AB349+2*AE349+2*AH349+3*AJ349)&gt;=7,1,0)</f>
        <v>0</v>
      </c>
    </row>
    <row r="350" spans="1:40" x14ac:dyDescent="0.25">
      <c r="A350" t="s">
        <v>27</v>
      </c>
      <c r="B350" s="1">
        <v>37518</v>
      </c>
      <c r="C350" s="6">
        <f t="shared" si="50"/>
        <v>2002</v>
      </c>
      <c r="D350">
        <v>78.900000000000006</v>
      </c>
      <c r="E350">
        <v>66.3</v>
      </c>
      <c r="F350">
        <v>72.900000000000006</v>
      </c>
      <c r="G350" s="2">
        <f t="shared" si="51"/>
        <v>1</v>
      </c>
      <c r="H350">
        <v>78.900000000000006</v>
      </c>
      <c r="I350">
        <v>66.3</v>
      </c>
      <c r="J350">
        <v>72.900000000000006</v>
      </c>
      <c r="K350">
        <v>59.8</v>
      </c>
      <c r="L350">
        <v>64.7</v>
      </c>
      <c r="M350" s="2">
        <f t="shared" si="52"/>
        <v>1</v>
      </c>
      <c r="N350">
        <v>0</v>
      </c>
      <c r="O350" s="2">
        <f t="shared" si="53"/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 s="2">
        <f t="shared" si="54"/>
        <v>0</v>
      </c>
      <c r="W350">
        <v>8.1</v>
      </c>
      <c r="X350" s="2">
        <f t="shared" si="55"/>
        <v>0</v>
      </c>
      <c r="Y350">
        <v>338.7</v>
      </c>
      <c r="Z350" s="2" t="str">
        <f>CHOOSE(MATCH(Y350,{0;11;80;111;161;191;241;281;341},1),"North","NorthEast","East","SouthEast","South","SouthWest","West","NorthWest","North")</f>
        <v>NorthWest</v>
      </c>
      <c r="AA350" s="4">
        <f>CHOOSE(MATCH(Z350,{"South";"SouthEast";"SouthWest";"North";"NorthEast";"East";"West";"NorthWest"},0),1,2,3,4,5,6,7,8)</f>
        <v>8</v>
      </c>
      <c r="AB350" s="2">
        <f t="shared" si="56"/>
        <v>1</v>
      </c>
      <c r="AC350">
        <v>1016.8</v>
      </c>
      <c r="AD350" t="s">
        <v>445</v>
      </c>
      <c r="AE350" s="2">
        <f t="shared" si="57"/>
        <v>0</v>
      </c>
      <c r="AF350" t="s">
        <v>597</v>
      </c>
      <c r="AG350" s="2">
        <f t="shared" si="58"/>
        <v>9</v>
      </c>
      <c r="AH350" s="2">
        <f t="shared" si="59"/>
        <v>0</v>
      </c>
      <c r="AI350" s="3">
        <v>130.00000000465661</v>
      </c>
      <c r="AJ350" s="2">
        <v>0</v>
      </c>
      <c r="AK350">
        <v>0.1</v>
      </c>
      <c r="AL350">
        <v>0</v>
      </c>
      <c r="AM350">
        <v>0</v>
      </c>
      <c r="AN350" s="2">
        <f>IF((2*G350+M350-O350+3*V350+2*AB350+2*AE350+2*AH350+3*AJ350)&gt;=7,1,0)</f>
        <v>0</v>
      </c>
    </row>
    <row r="351" spans="1:40" x14ac:dyDescent="0.25">
      <c r="A351" t="s">
        <v>27</v>
      </c>
      <c r="B351" s="1">
        <v>37522</v>
      </c>
      <c r="C351" s="6">
        <f t="shared" si="50"/>
        <v>2002</v>
      </c>
      <c r="D351">
        <v>93.3</v>
      </c>
      <c r="E351">
        <v>68.099999999999994</v>
      </c>
      <c r="F351">
        <v>80.400000000000006</v>
      </c>
      <c r="G351" s="2">
        <f t="shared" si="51"/>
        <v>1</v>
      </c>
      <c r="H351">
        <v>92.4</v>
      </c>
      <c r="I351">
        <v>68.099999999999994</v>
      </c>
      <c r="J351">
        <v>79.7</v>
      </c>
      <c r="K351">
        <v>58.4</v>
      </c>
      <c r="L351">
        <v>51.6</v>
      </c>
      <c r="M351" s="2">
        <f t="shared" si="52"/>
        <v>1</v>
      </c>
      <c r="N351">
        <v>0</v>
      </c>
      <c r="O351" s="2">
        <f t="shared" si="53"/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s="2">
        <f t="shared" si="54"/>
        <v>0</v>
      </c>
      <c r="W351">
        <v>23</v>
      </c>
      <c r="X351" s="2">
        <f t="shared" si="55"/>
        <v>1</v>
      </c>
      <c r="Y351">
        <v>152.9</v>
      </c>
      <c r="Z351" s="2" t="str">
        <f>CHOOSE(MATCH(Y351,{0;11;80;111;161;191;241;281;341},1),"North","NorthEast","East","SouthEast","South","SouthWest","West","NorthWest","North")</f>
        <v>SouthEast</v>
      </c>
      <c r="AA351" s="4">
        <f>CHOOSE(MATCH(Z351,{"South";"SouthEast";"SouthWest";"North";"NorthEast";"East";"West";"NorthWest"},0),1,2,3,4,5,6,7,8)</f>
        <v>2</v>
      </c>
      <c r="AB351" s="2">
        <f t="shared" si="56"/>
        <v>0</v>
      </c>
      <c r="AC351">
        <v>1010.1</v>
      </c>
      <c r="AD351" t="s">
        <v>131</v>
      </c>
      <c r="AE351" s="2">
        <f t="shared" si="57"/>
        <v>0</v>
      </c>
      <c r="AF351" t="s">
        <v>598</v>
      </c>
      <c r="AG351" s="2">
        <f t="shared" si="58"/>
        <v>9</v>
      </c>
      <c r="AH351" s="2">
        <f t="shared" si="59"/>
        <v>0</v>
      </c>
      <c r="AI351" s="3">
        <v>240.00000000698489</v>
      </c>
      <c r="AJ351" s="2">
        <v>0</v>
      </c>
      <c r="AK351">
        <v>0</v>
      </c>
      <c r="AL351">
        <v>3</v>
      </c>
      <c r="AM351">
        <v>0</v>
      </c>
      <c r="AN351" s="2">
        <f>IF((2*G351+M351-O351+3*V351+2*AB351+2*AE351+2*AH351+3*AJ351)&gt;=7,1,0)</f>
        <v>0</v>
      </c>
    </row>
    <row r="352" spans="1:40" x14ac:dyDescent="0.25">
      <c r="A352" t="s">
        <v>27</v>
      </c>
      <c r="B352" s="1">
        <v>37523</v>
      </c>
      <c r="C352" s="6">
        <f t="shared" si="50"/>
        <v>2002</v>
      </c>
      <c r="D352">
        <v>89.7</v>
      </c>
      <c r="E352">
        <v>78.900000000000006</v>
      </c>
      <c r="F352">
        <v>82.4</v>
      </c>
      <c r="G352" s="2">
        <f t="shared" si="51"/>
        <v>1</v>
      </c>
      <c r="H352">
        <v>88.4</v>
      </c>
      <c r="I352">
        <v>78.900000000000006</v>
      </c>
      <c r="J352">
        <v>83</v>
      </c>
      <c r="K352">
        <v>60.5</v>
      </c>
      <c r="L352">
        <v>48.5</v>
      </c>
      <c r="M352" s="2">
        <f t="shared" si="52"/>
        <v>1</v>
      </c>
      <c r="N352">
        <v>0</v>
      </c>
      <c r="O352" s="2">
        <f t="shared" si="53"/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s="2">
        <f t="shared" si="54"/>
        <v>0</v>
      </c>
      <c r="W352">
        <v>28.9</v>
      </c>
      <c r="X352" s="2">
        <f t="shared" si="55"/>
        <v>1</v>
      </c>
      <c r="Y352">
        <v>167.4</v>
      </c>
      <c r="Z352" s="2" t="str">
        <f>CHOOSE(MATCH(Y352,{0;11;80;111;161;191;241;281;341},1),"North","NorthEast","East","SouthEast","South","SouthWest","West","NorthWest","North")</f>
        <v>South</v>
      </c>
      <c r="AA352" s="4">
        <f>CHOOSE(MATCH(Z352,{"South";"SouthEast";"SouthWest";"North";"NorthEast";"East";"West";"NorthWest"},0),1,2,3,4,5,6,7,8)</f>
        <v>1</v>
      </c>
      <c r="AB352" s="2">
        <f t="shared" si="56"/>
        <v>0</v>
      </c>
      <c r="AC352">
        <v>1010.9</v>
      </c>
      <c r="AD352" t="s">
        <v>590</v>
      </c>
      <c r="AE352" s="2">
        <f t="shared" si="57"/>
        <v>0</v>
      </c>
      <c r="AF352" t="s">
        <v>599</v>
      </c>
      <c r="AG352" s="2">
        <f t="shared" si="58"/>
        <v>9</v>
      </c>
      <c r="AH352" s="2">
        <f t="shared" si="59"/>
        <v>0</v>
      </c>
      <c r="AI352" s="3">
        <v>1350</v>
      </c>
      <c r="AJ352" s="2">
        <v>1</v>
      </c>
      <c r="AK352">
        <v>10</v>
      </c>
      <c r="AL352">
        <v>0</v>
      </c>
      <c r="AM352">
        <v>0</v>
      </c>
      <c r="AN352" s="2">
        <f>IF((2*G352+M352-O352+3*V352+2*AB352+2*AE352+2*AH352+3*AJ352)&gt;=7,1,0)</f>
        <v>0</v>
      </c>
    </row>
    <row r="353" spans="1:40" x14ac:dyDescent="0.25">
      <c r="A353" t="s">
        <v>27</v>
      </c>
      <c r="B353" s="1">
        <v>37525</v>
      </c>
      <c r="C353" s="6">
        <f t="shared" si="50"/>
        <v>2002</v>
      </c>
      <c r="D353">
        <v>82.5</v>
      </c>
      <c r="E353">
        <v>73.5</v>
      </c>
      <c r="F353">
        <v>78.599999999999994</v>
      </c>
      <c r="G353" s="2">
        <f t="shared" si="51"/>
        <v>1</v>
      </c>
      <c r="H353">
        <v>86.4</v>
      </c>
      <c r="I353">
        <v>73.5</v>
      </c>
      <c r="J353">
        <v>79.2</v>
      </c>
      <c r="K353">
        <v>62.6</v>
      </c>
      <c r="L353">
        <v>60</v>
      </c>
      <c r="M353" s="2">
        <f t="shared" si="52"/>
        <v>1</v>
      </c>
      <c r="N353">
        <v>0</v>
      </c>
      <c r="O353" s="2">
        <f t="shared" si="53"/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s="2">
        <f t="shared" si="54"/>
        <v>0</v>
      </c>
      <c r="W353">
        <v>11.4</v>
      </c>
      <c r="X353" s="2">
        <f t="shared" si="55"/>
        <v>0</v>
      </c>
      <c r="Y353">
        <v>289</v>
      </c>
      <c r="Z353" s="2" t="str">
        <f>CHOOSE(MATCH(Y353,{0;11;80;111;161;191;241;281;341},1),"North","NorthEast","East","SouthEast","South","SouthWest","West","NorthWest","North")</f>
        <v>NorthWest</v>
      </c>
      <c r="AA353" s="4">
        <f>CHOOSE(MATCH(Z353,{"South";"SouthEast";"SouthWest";"North";"NorthEast";"East";"West";"NorthWest"},0),1,2,3,4,5,6,7,8)</f>
        <v>8</v>
      </c>
      <c r="AB353" s="2">
        <f t="shared" si="56"/>
        <v>1</v>
      </c>
      <c r="AC353">
        <v>1009.8</v>
      </c>
      <c r="AD353" t="s">
        <v>555</v>
      </c>
      <c r="AE353" s="2">
        <f t="shared" si="57"/>
        <v>0</v>
      </c>
      <c r="AF353" t="s">
        <v>600</v>
      </c>
      <c r="AG353" s="2">
        <f t="shared" si="58"/>
        <v>9</v>
      </c>
      <c r="AH353" s="2">
        <f t="shared" si="59"/>
        <v>0</v>
      </c>
      <c r="AI353" s="3">
        <v>570.99999999627471</v>
      </c>
      <c r="AJ353" s="2">
        <v>1</v>
      </c>
      <c r="AK353">
        <v>0</v>
      </c>
      <c r="AL353">
        <v>20</v>
      </c>
      <c r="AM353">
        <v>0</v>
      </c>
      <c r="AN353" s="2">
        <f>IF((2*G353+M353-O353+3*V353+2*AB353+2*AE353+2*AH353+3*AJ353)&gt;=7,1,0)</f>
        <v>1</v>
      </c>
    </row>
    <row r="354" spans="1:40" x14ac:dyDescent="0.25">
      <c r="A354" t="s">
        <v>27</v>
      </c>
      <c r="B354" s="1">
        <v>37529</v>
      </c>
      <c r="C354" s="6">
        <f t="shared" si="50"/>
        <v>2002</v>
      </c>
      <c r="D354">
        <v>75.3</v>
      </c>
      <c r="E354">
        <v>66.3</v>
      </c>
      <c r="F354">
        <v>70.099999999999994</v>
      </c>
      <c r="G354" s="2">
        <f t="shared" si="51"/>
        <v>1</v>
      </c>
      <c r="H354">
        <v>75.3</v>
      </c>
      <c r="I354">
        <v>66.3</v>
      </c>
      <c r="J354">
        <v>70.099999999999994</v>
      </c>
      <c r="K354">
        <v>62.2</v>
      </c>
      <c r="L354">
        <v>77.2</v>
      </c>
      <c r="M354" s="2">
        <f t="shared" si="52"/>
        <v>0</v>
      </c>
      <c r="N354">
        <v>1.2E-2</v>
      </c>
      <c r="O354" s="2">
        <f t="shared" si="53"/>
        <v>0</v>
      </c>
      <c r="P354">
        <v>100</v>
      </c>
      <c r="Q354">
        <v>4.17</v>
      </c>
      <c r="R354" t="s">
        <v>182</v>
      </c>
      <c r="S354">
        <v>0</v>
      </c>
      <c r="T354">
        <v>0</v>
      </c>
      <c r="U354">
        <v>0</v>
      </c>
      <c r="V354" s="2">
        <f t="shared" si="54"/>
        <v>0</v>
      </c>
      <c r="W354">
        <v>15</v>
      </c>
      <c r="X354" s="2">
        <f t="shared" si="55"/>
        <v>0</v>
      </c>
      <c r="Y354">
        <v>260.2</v>
      </c>
      <c r="Z354" s="2" t="str">
        <f>CHOOSE(MATCH(Y354,{0;11;80;111;161;191;241;281;341},1),"North","NorthEast","East","SouthEast","South","SouthWest","West","NorthWest","North")</f>
        <v>West</v>
      </c>
      <c r="AA354" s="4">
        <f>CHOOSE(MATCH(Z354,{"South";"SouthEast";"SouthWest";"North";"NorthEast";"East";"West";"NorthWest"},0),1,2,3,4,5,6,7,8)</f>
        <v>7</v>
      </c>
      <c r="AB354" s="2">
        <f t="shared" si="56"/>
        <v>0</v>
      </c>
      <c r="AC354">
        <v>1015.3</v>
      </c>
      <c r="AD354" t="s">
        <v>601</v>
      </c>
      <c r="AE354" s="2">
        <f t="shared" si="57"/>
        <v>1</v>
      </c>
      <c r="AF354" t="s">
        <v>602</v>
      </c>
      <c r="AG354" s="2">
        <f t="shared" si="58"/>
        <v>9</v>
      </c>
      <c r="AH354" s="2">
        <f t="shared" si="59"/>
        <v>0</v>
      </c>
      <c r="AI354" s="3">
        <v>139.99999999534339</v>
      </c>
      <c r="AJ354" s="2">
        <v>0</v>
      </c>
      <c r="AK354">
        <v>0</v>
      </c>
      <c r="AL354">
        <v>0.5</v>
      </c>
      <c r="AM354">
        <v>0</v>
      </c>
      <c r="AN354" s="2">
        <f>IF((2*G354+M354-O354+3*V354+2*AB354+2*AE354+2*AH354+3*AJ354)&gt;=7,1,0)</f>
        <v>0</v>
      </c>
    </row>
    <row r="355" spans="1:40" x14ac:dyDescent="0.25">
      <c r="A355" t="s">
        <v>27</v>
      </c>
      <c r="B355" s="1">
        <v>37532</v>
      </c>
      <c r="C355" s="6">
        <f t="shared" si="50"/>
        <v>2002</v>
      </c>
      <c r="D355">
        <v>69.900000000000006</v>
      </c>
      <c r="E355">
        <v>64.5</v>
      </c>
      <c r="F355">
        <v>67.7</v>
      </c>
      <c r="G355" s="2">
        <f t="shared" si="51"/>
        <v>0</v>
      </c>
      <c r="H355">
        <v>69.900000000000006</v>
      </c>
      <c r="I355">
        <v>64.5</v>
      </c>
      <c r="J355">
        <v>67.7</v>
      </c>
      <c r="K355">
        <v>52</v>
      </c>
      <c r="L355">
        <v>57.6</v>
      </c>
      <c r="M355" s="2">
        <f t="shared" si="52"/>
        <v>1</v>
      </c>
      <c r="N355">
        <v>0.02</v>
      </c>
      <c r="O355" s="2">
        <f t="shared" si="53"/>
        <v>0</v>
      </c>
      <c r="P355">
        <v>100</v>
      </c>
      <c r="Q355">
        <v>4.17</v>
      </c>
      <c r="R355" t="s">
        <v>182</v>
      </c>
      <c r="S355">
        <v>0</v>
      </c>
      <c r="T355">
        <v>0</v>
      </c>
      <c r="U355">
        <v>0</v>
      </c>
      <c r="V355" s="2">
        <f t="shared" si="54"/>
        <v>0</v>
      </c>
      <c r="W355">
        <v>20.8</v>
      </c>
      <c r="X355" s="2">
        <f t="shared" si="55"/>
        <v>1</v>
      </c>
      <c r="Y355">
        <v>330.8</v>
      </c>
      <c r="Z355" s="2" t="str">
        <f>CHOOSE(MATCH(Y355,{0;11;80;111;161;191;241;281;341},1),"North","NorthEast","East","SouthEast","South","SouthWest","West","NorthWest","North")</f>
        <v>NorthWest</v>
      </c>
      <c r="AA355" s="4">
        <f>CHOOSE(MATCH(Z355,{"South";"SouthEast";"SouthWest";"North";"NorthEast";"East";"West";"NorthWest"},0),1,2,3,4,5,6,7,8)</f>
        <v>8</v>
      </c>
      <c r="AB355" s="2">
        <f t="shared" si="56"/>
        <v>1</v>
      </c>
      <c r="AC355">
        <v>1020.9</v>
      </c>
      <c r="AD355" t="s">
        <v>603</v>
      </c>
      <c r="AE355" s="2">
        <f t="shared" si="57"/>
        <v>0</v>
      </c>
      <c r="AF355" t="s">
        <v>604</v>
      </c>
      <c r="AG355" s="2">
        <f t="shared" si="58"/>
        <v>10</v>
      </c>
      <c r="AH355" s="2">
        <f t="shared" si="59"/>
        <v>0</v>
      </c>
      <c r="AI355" s="3">
        <v>508.99999999324791</v>
      </c>
      <c r="AJ355" s="2">
        <v>1</v>
      </c>
      <c r="AK355">
        <v>3.5</v>
      </c>
      <c r="AL355">
        <v>0</v>
      </c>
      <c r="AM355">
        <v>0</v>
      </c>
      <c r="AN355" s="2">
        <f>IF((2*G355+M355-O355+3*V355+2*AB355+2*AE355+2*AH355+3*AJ355)&gt;=7,1,0)</f>
        <v>0</v>
      </c>
    </row>
    <row r="356" spans="1:40" x14ac:dyDescent="0.25">
      <c r="A356" t="s">
        <v>27</v>
      </c>
      <c r="B356" s="1">
        <v>37533</v>
      </c>
      <c r="C356" s="6">
        <f t="shared" si="50"/>
        <v>2002</v>
      </c>
      <c r="D356">
        <v>73.5</v>
      </c>
      <c r="E356">
        <v>60.9</v>
      </c>
      <c r="F356">
        <v>69</v>
      </c>
      <c r="G356" s="2">
        <f t="shared" si="51"/>
        <v>0</v>
      </c>
      <c r="H356">
        <v>73.5</v>
      </c>
      <c r="I356">
        <v>60.9</v>
      </c>
      <c r="J356">
        <v>69</v>
      </c>
      <c r="K356">
        <v>52.6</v>
      </c>
      <c r="L356">
        <v>56.3</v>
      </c>
      <c r="M356" s="2">
        <f t="shared" si="52"/>
        <v>1</v>
      </c>
      <c r="N356">
        <v>0</v>
      </c>
      <c r="O356" s="2">
        <f t="shared" si="53"/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s="2">
        <f t="shared" si="54"/>
        <v>0</v>
      </c>
      <c r="W356">
        <v>17.2</v>
      </c>
      <c r="X356" s="2">
        <f t="shared" si="55"/>
        <v>1</v>
      </c>
      <c r="Y356">
        <v>309</v>
      </c>
      <c r="Z356" s="2" t="str">
        <f>CHOOSE(MATCH(Y356,{0;11;80;111;161;191;241;281;341},1),"North","NorthEast","East","SouthEast","South","SouthWest","West","NorthWest","North")</f>
        <v>NorthWest</v>
      </c>
      <c r="AA356" s="4">
        <f>CHOOSE(MATCH(Z356,{"South";"SouthEast";"SouthWest";"North";"NorthEast";"East";"West";"NorthWest"},0),1,2,3,4,5,6,7,8)</f>
        <v>8</v>
      </c>
      <c r="AB356" s="2">
        <f t="shared" si="56"/>
        <v>1</v>
      </c>
      <c r="AC356">
        <v>1019</v>
      </c>
      <c r="AD356" t="s">
        <v>605</v>
      </c>
      <c r="AE356" s="2">
        <f t="shared" si="57"/>
        <v>0</v>
      </c>
      <c r="AF356" t="s">
        <v>606</v>
      </c>
      <c r="AG356" s="2">
        <f t="shared" si="58"/>
        <v>10</v>
      </c>
      <c r="AH356" s="2">
        <f t="shared" si="59"/>
        <v>0</v>
      </c>
      <c r="AI356" s="3">
        <v>536.00000000791624</v>
      </c>
      <c r="AJ356" s="2">
        <v>1</v>
      </c>
      <c r="AK356">
        <v>2</v>
      </c>
      <c r="AL356">
        <v>0</v>
      </c>
      <c r="AM356">
        <v>0</v>
      </c>
      <c r="AN356" s="2">
        <f>IF((2*G356+M356-O356+3*V356+2*AB356+2*AE356+2*AH356+3*AJ356)&gt;=7,1,0)</f>
        <v>0</v>
      </c>
    </row>
    <row r="357" spans="1:40" x14ac:dyDescent="0.25">
      <c r="A357" t="s">
        <v>27</v>
      </c>
      <c r="B357" s="1">
        <v>37539</v>
      </c>
      <c r="C357" s="6">
        <f t="shared" si="50"/>
        <v>2002</v>
      </c>
      <c r="D357">
        <v>78.900000000000006</v>
      </c>
      <c r="E357">
        <v>62.7</v>
      </c>
      <c r="F357">
        <v>71.099999999999994</v>
      </c>
      <c r="G357" s="2">
        <f t="shared" si="51"/>
        <v>1</v>
      </c>
      <c r="H357">
        <v>78.900000000000006</v>
      </c>
      <c r="I357">
        <v>62.7</v>
      </c>
      <c r="J357">
        <v>71.099999999999994</v>
      </c>
      <c r="K357">
        <v>61.4</v>
      </c>
      <c r="L357">
        <v>72.400000000000006</v>
      </c>
      <c r="M357" s="2">
        <f t="shared" si="52"/>
        <v>0</v>
      </c>
      <c r="N357">
        <v>0</v>
      </c>
      <c r="O357" s="2">
        <f t="shared" si="53"/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 s="2">
        <f t="shared" si="54"/>
        <v>0</v>
      </c>
      <c r="W357">
        <v>12.8</v>
      </c>
      <c r="X357" s="2">
        <f t="shared" si="55"/>
        <v>0</v>
      </c>
      <c r="Y357">
        <v>109.7</v>
      </c>
      <c r="Z357" s="2" t="str">
        <f>CHOOSE(MATCH(Y357,{0;11;80;111;161;191;241;281;341},1),"North","NorthEast","East","SouthEast","South","SouthWest","West","NorthWest","North")</f>
        <v>East</v>
      </c>
      <c r="AA357" s="4">
        <f>CHOOSE(MATCH(Z357,{"South";"SouthEast";"SouthWest";"North";"NorthEast";"East";"West";"NorthWest"},0),1,2,3,4,5,6,7,8)</f>
        <v>6</v>
      </c>
      <c r="AB357" s="2">
        <f t="shared" si="56"/>
        <v>0</v>
      </c>
      <c r="AC357">
        <v>1019.3</v>
      </c>
      <c r="AD357" t="s">
        <v>607</v>
      </c>
      <c r="AE357" s="2">
        <f t="shared" si="57"/>
        <v>1</v>
      </c>
      <c r="AF357" t="s">
        <v>608</v>
      </c>
      <c r="AG357" s="2">
        <f t="shared" si="58"/>
        <v>10</v>
      </c>
      <c r="AH357" s="2">
        <f t="shared" si="59"/>
        <v>0</v>
      </c>
      <c r="AI357" s="3">
        <v>460.00000000116421</v>
      </c>
      <c r="AJ357" s="2">
        <v>1</v>
      </c>
      <c r="AK357">
        <v>0</v>
      </c>
      <c r="AL357">
        <v>2</v>
      </c>
      <c r="AM357">
        <v>0</v>
      </c>
      <c r="AN357" s="2">
        <f>IF((2*G357+M357-O357+3*V357+2*AB357+2*AE357+2*AH357+3*AJ357)&gt;=7,1,0)</f>
        <v>0</v>
      </c>
    </row>
    <row r="358" spans="1:40" x14ac:dyDescent="0.25">
      <c r="A358" t="s">
        <v>27</v>
      </c>
      <c r="B358" s="1">
        <v>37540</v>
      </c>
      <c r="C358" s="6">
        <f t="shared" si="50"/>
        <v>2002</v>
      </c>
      <c r="D358">
        <v>89.7</v>
      </c>
      <c r="E358">
        <v>66.3</v>
      </c>
      <c r="F358">
        <v>76</v>
      </c>
      <c r="G358" s="2">
        <f t="shared" si="51"/>
        <v>1</v>
      </c>
      <c r="H358">
        <v>87.5</v>
      </c>
      <c r="I358">
        <v>66.3</v>
      </c>
      <c r="J358">
        <v>75.7</v>
      </c>
      <c r="K358">
        <v>55</v>
      </c>
      <c r="L358">
        <v>49.6</v>
      </c>
      <c r="M358" s="2">
        <f t="shared" si="52"/>
        <v>1</v>
      </c>
      <c r="N358">
        <v>0</v>
      </c>
      <c r="O358" s="2">
        <f t="shared" si="53"/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s="2">
        <f t="shared" si="54"/>
        <v>0</v>
      </c>
      <c r="W358">
        <v>16.100000000000001</v>
      </c>
      <c r="X358" s="2">
        <f t="shared" si="55"/>
        <v>1</v>
      </c>
      <c r="Y358">
        <v>148</v>
      </c>
      <c r="Z358" s="2" t="str">
        <f>CHOOSE(MATCH(Y358,{0;11;80;111;161;191;241;281;341},1),"North","NorthEast","East","SouthEast","South","SouthWest","West","NorthWest","North")</f>
        <v>SouthEast</v>
      </c>
      <c r="AA358" s="4">
        <f>CHOOSE(MATCH(Z358,{"South";"SouthEast";"SouthWest";"North";"NorthEast";"East";"West";"NorthWest"},0),1,2,3,4,5,6,7,8)</f>
        <v>2</v>
      </c>
      <c r="AB358" s="2">
        <f t="shared" si="56"/>
        <v>0</v>
      </c>
      <c r="AC358">
        <v>1016.4</v>
      </c>
      <c r="AD358" t="s">
        <v>609</v>
      </c>
      <c r="AE358" s="2">
        <f t="shared" si="57"/>
        <v>1</v>
      </c>
      <c r="AF358" t="s">
        <v>610</v>
      </c>
      <c r="AG358" s="2">
        <f t="shared" si="58"/>
        <v>10</v>
      </c>
      <c r="AH358" s="2">
        <f t="shared" si="59"/>
        <v>0</v>
      </c>
      <c r="AI358" s="3">
        <v>49.999999995343387</v>
      </c>
      <c r="AJ358" s="2">
        <v>0</v>
      </c>
      <c r="AK358">
        <v>0</v>
      </c>
      <c r="AL358">
        <v>0.1</v>
      </c>
      <c r="AM358">
        <v>0</v>
      </c>
      <c r="AN358" s="2">
        <f>IF((2*G358+M358-O358+3*V358+2*AB358+2*AE358+2*AH358+3*AJ358)&gt;=7,1,0)</f>
        <v>0</v>
      </c>
    </row>
    <row r="359" spans="1:40" x14ac:dyDescent="0.25">
      <c r="A359" t="s">
        <v>27</v>
      </c>
      <c r="B359" s="1">
        <v>37541</v>
      </c>
      <c r="C359" s="6">
        <f t="shared" si="50"/>
        <v>2002</v>
      </c>
      <c r="D359">
        <v>82.5</v>
      </c>
      <c r="E359">
        <v>69.900000000000006</v>
      </c>
      <c r="F359">
        <v>76.3</v>
      </c>
      <c r="G359" s="2">
        <f t="shared" si="51"/>
        <v>1</v>
      </c>
      <c r="H359">
        <v>83.5</v>
      </c>
      <c r="I359">
        <v>69.900000000000006</v>
      </c>
      <c r="J359">
        <v>76.5</v>
      </c>
      <c r="K359">
        <v>60.9</v>
      </c>
      <c r="L359">
        <v>59.8</v>
      </c>
      <c r="M359" s="2">
        <f t="shared" si="52"/>
        <v>1</v>
      </c>
      <c r="N359">
        <v>0</v>
      </c>
      <c r="O359" s="2">
        <f t="shared" si="53"/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s="2">
        <f t="shared" si="54"/>
        <v>0</v>
      </c>
      <c r="W359">
        <v>28.9</v>
      </c>
      <c r="X359" s="2">
        <f t="shared" si="55"/>
        <v>1</v>
      </c>
      <c r="Y359">
        <v>164.3</v>
      </c>
      <c r="Z359" s="2" t="str">
        <f>CHOOSE(MATCH(Y359,{0;11;80;111;161;191;241;281;341},1),"North","NorthEast","East","SouthEast","South","SouthWest","West","NorthWest","North")</f>
        <v>South</v>
      </c>
      <c r="AA359" s="4">
        <f>CHOOSE(MATCH(Z359,{"South";"SouthEast";"SouthWest";"North";"NorthEast";"East";"West";"NorthWest"},0),1,2,3,4,5,6,7,8)</f>
        <v>1</v>
      </c>
      <c r="AB359" s="2">
        <f t="shared" si="56"/>
        <v>0</v>
      </c>
      <c r="AC359">
        <v>1010.1</v>
      </c>
      <c r="AD359" t="s">
        <v>611</v>
      </c>
      <c r="AE359" s="2">
        <f t="shared" si="57"/>
        <v>1</v>
      </c>
      <c r="AF359" t="s">
        <v>612</v>
      </c>
      <c r="AG359" s="2">
        <f t="shared" si="58"/>
        <v>10</v>
      </c>
      <c r="AH359" s="2">
        <f t="shared" si="59"/>
        <v>0</v>
      </c>
      <c r="AI359" s="3">
        <v>45</v>
      </c>
      <c r="AJ359" s="2">
        <v>0</v>
      </c>
      <c r="AK359">
        <v>0</v>
      </c>
      <c r="AL359">
        <v>0.5</v>
      </c>
      <c r="AM359">
        <v>0</v>
      </c>
      <c r="AN359" s="2">
        <f>IF((2*G359+M359-O359+3*V359+2*AB359+2*AE359+2*AH359+3*AJ359)&gt;=7,1,0)</f>
        <v>0</v>
      </c>
    </row>
    <row r="360" spans="1:40" x14ac:dyDescent="0.25">
      <c r="A360" t="s">
        <v>27</v>
      </c>
      <c r="B360" s="1">
        <v>37546</v>
      </c>
      <c r="C360" s="6">
        <f t="shared" si="50"/>
        <v>2002</v>
      </c>
      <c r="D360">
        <v>73.5</v>
      </c>
      <c r="E360">
        <v>62.7</v>
      </c>
      <c r="F360">
        <v>68.400000000000006</v>
      </c>
      <c r="G360" s="2">
        <f t="shared" si="51"/>
        <v>0</v>
      </c>
      <c r="H360">
        <v>73.5</v>
      </c>
      <c r="I360">
        <v>62.7</v>
      </c>
      <c r="J360">
        <v>68.400000000000006</v>
      </c>
      <c r="K360">
        <v>60.2</v>
      </c>
      <c r="L360">
        <v>75.400000000000006</v>
      </c>
      <c r="M360" s="2">
        <f t="shared" si="52"/>
        <v>0</v>
      </c>
      <c r="N360">
        <v>0</v>
      </c>
      <c r="O360" s="2">
        <f t="shared" si="53"/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s="2">
        <f t="shared" si="54"/>
        <v>0</v>
      </c>
      <c r="W360">
        <v>11.4</v>
      </c>
      <c r="X360" s="2">
        <f t="shared" si="55"/>
        <v>0</v>
      </c>
      <c r="Y360">
        <v>277.3</v>
      </c>
      <c r="Z360" s="2" t="str">
        <f>CHOOSE(MATCH(Y360,{0;11;80;111;161;191;241;281;341},1),"North","NorthEast","East","SouthEast","South","SouthWest","West","NorthWest","North")</f>
        <v>West</v>
      </c>
      <c r="AA360" s="4">
        <f>CHOOSE(MATCH(Z360,{"South";"SouthEast";"SouthWest";"North";"NorthEast";"East";"West";"NorthWest"},0),1,2,3,4,5,6,7,8)</f>
        <v>7</v>
      </c>
      <c r="AB360" s="2">
        <f t="shared" si="56"/>
        <v>0</v>
      </c>
      <c r="AC360">
        <v>1015.2</v>
      </c>
      <c r="AD360" t="s">
        <v>613</v>
      </c>
      <c r="AE360" s="2">
        <f t="shared" si="57"/>
        <v>1</v>
      </c>
      <c r="AF360" t="s">
        <v>614</v>
      </c>
      <c r="AG360" s="2">
        <f t="shared" si="58"/>
        <v>10</v>
      </c>
      <c r="AH360" s="2">
        <f t="shared" si="59"/>
        <v>0</v>
      </c>
      <c r="AI360" s="3">
        <v>100.9999999939464</v>
      </c>
      <c r="AJ360" s="2">
        <v>0</v>
      </c>
      <c r="AK360">
        <v>0.1</v>
      </c>
      <c r="AL360">
        <v>0</v>
      </c>
      <c r="AM360">
        <v>0</v>
      </c>
      <c r="AN360" s="2">
        <f>IF((2*G360+M360-O360+3*V360+2*AB360+2*AE360+2*AH360+3*AJ360)&gt;=7,1,0)</f>
        <v>0</v>
      </c>
    </row>
    <row r="361" spans="1:40" x14ac:dyDescent="0.25">
      <c r="A361" t="s">
        <v>27</v>
      </c>
      <c r="B361" s="1">
        <v>37555</v>
      </c>
      <c r="C361" s="6">
        <f t="shared" si="50"/>
        <v>2002</v>
      </c>
      <c r="D361">
        <v>66.3</v>
      </c>
      <c r="E361">
        <v>60.9</v>
      </c>
      <c r="F361">
        <v>62.9</v>
      </c>
      <c r="G361" s="2">
        <f t="shared" si="51"/>
        <v>0</v>
      </c>
      <c r="H361">
        <v>66.3</v>
      </c>
      <c r="I361">
        <v>60.9</v>
      </c>
      <c r="J361">
        <v>62.9</v>
      </c>
      <c r="K361">
        <v>58.9</v>
      </c>
      <c r="L361">
        <v>86.8</v>
      </c>
      <c r="M361" s="2">
        <f t="shared" si="52"/>
        <v>0</v>
      </c>
      <c r="N361">
        <v>0</v>
      </c>
      <c r="O361" s="2">
        <f t="shared" si="53"/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 s="2">
        <f t="shared" si="54"/>
        <v>0</v>
      </c>
      <c r="W361">
        <v>6.9</v>
      </c>
      <c r="X361" s="2">
        <f t="shared" si="55"/>
        <v>0</v>
      </c>
      <c r="Y361">
        <v>176.7</v>
      </c>
      <c r="Z361" s="2" t="str">
        <f>CHOOSE(MATCH(Y361,{0;11;80;111;161;191;241;281;341},1),"North","NorthEast","East","SouthEast","South","SouthWest","West","NorthWest","North")</f>
        <v>South</v>
      </c>
      <c r="AA361" s="4">
        <f>CHOOSE(MATCH(Z361,{"South";"SouthEast";"SouthWest";"North";"NorthEast";"East";"West";"NorthWest"},0),1,2,3,4,5,6,7,8)</f>
        <v>1</v>
      </c>
      <c r="AB361" s="2">
        <f t="shared" si="56"/>
        <v>0</v>
      </c>
      <c r="AC361">
        <v>1018</v>
      </c>
      <c r="AD361" t="s">
        <v>231</v>
      </c>
      <c r="AE361" s="2">
        <f t="shared" si="57"/>
        <v>1</v>
      </c>
      <c r="AF361" t="s">
        <v>615</v>
      </c>
      <c r="AG361" s="2">
        <f t="shared" si="58"/>
        <v>10</v>
      </c>
      <c r="AH361" s="2">
        <f t="shared" si="59"/>
        <v>0</v>
      </c>
      <c r="AI361" s="3">
        <v>290.99999999511061</v>
      </c>
      <c r="AJ361" s="2">
        <v>0</v>
      </c>
      <c r="AK361">
        <v>0</v>
      </c>
      <c r="AL361">
        <v>4</v>
      </c>
      <c r="AM361">
        <v>0</v>
      </c>
      <c r="AN361" s="2">
        <f>IF((2*G361+M361-O361+3*V361+2*AB361+2*AE361+2*AH361+3*AJ361)&gt;=7,1,0)</f>
        <v>0</v>
      </c>
    </row>
    <row r="362" spans="1:40" x14ac:dyDescent="0.25">
      <c r="A362" t="s">
        <v>27</v>
      </c>
      <c r="B362" s="1">
        <v>37556</v>
      </c>
      <c r="C362" s="6">
        <f t="shared" si="50"/>
        <v>2002</v>
      </c>
      <c r="D362">
        <v>71.7</v>
      </c>
      <c r="E362">
        <v>59.1</v>
      </c>
      <c r="F362">
        <v>66.400000000000006</v>
      </c>
      <c r="G362" s="2">
        <f t="shared" si="51"/>
        <v>0</v>
      </c>
      <c r="H362">
        <v>71.7</v>
      </c>
      <c r="I362">
        <v>59.1</v>
      </c>
      <c r="J362">
        <v>66.400000000000006</v>
      </c>
      <c r="K362">
        <v>56.9</v>
      </c>
      <c r="L362">
        <v>72.5</v>
      </c>
      <c r="M362" s="2">
        <f t="shared" si="52"/>
        <v>0</v>
      </c>
      <c r="N362">
        <v>0</v>
      </c>
      <c r="O362" s="2">
        <f t="shared" si="53"/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 s="2">
        <f t="shared" si="54"/>
        <v>0</v>
      </c>
      <c r="W362">
        <v>16.100000000000001</v>
      </c>
      <c r="X362" s="2">
        <f t="shared" si="55"/>
        <v>1</v>
      </c>
      <c r="Y362">
        <v>325.60000000000002</v>
      </c>
      <c r="Z362" s="2" t="str">
        <f>CHOOSE(MATCH(Y362,{0;11;80;111;161;191;241;281;341},1),"North","NorthEast","East","SouthEast","South","SouthWest","West","NorthWest","North")</f>
        <v>NorthWest</v>
      </c>
      <c r="AA362" s="4">
        <f>CHOOSE(MATCH(Z362,{"South";"SouthEast";"SouthWest";"North";"NorthEast";"East";"West";"NorthWest"},0),1,2,3,4,5,6,7,8)</f>
        <v>8</v>
      </c>
      <c r="AB362" s="2">
        <f t="shared" si="56"/>
        <v>1</v>
      </c>
      <c r="AC362">
        <v>1018.4</v>
      </c>
      <c r="AD362" t="s">
        <v>616</v>
      </c>
      <c r="AE362" s="2">
        <f t="shared" si="57"/>
        <v>1</v>
      </c>
      <c r="AF362" t="s">
        <v>617</v>
      </c>
      <c r="AG362" s="2">
        <f t="shared" si="58"/>
        <v>10</v>
      </c>
      <c r="AH362" s="2">
        <f t="shared" si="59"/>
        <v>0</v>
      </c>
      <c r="AI362" s="3">
        <v>235.00000000116421</v>
      </c>
      <c r="AJ362" s="2">
        <v>0</v>
      </c>
      <c r="AK362">
        <v>0</v>
      </c>
      <c r="AL362">
        <v>2</v>
      </c>
      <c r="AM362">
        <v>0</v>
      </c>
      <c r="AN362" s="2">
        <f>IF((2*G362+M362-O362+3*V362+2*AB362+2*AE362+2*AH362+3*AJ362)&gt;=7,1,0)</f>
        <v>0</v>
      </c>
    </row>
    <row r="363" spans="1:40" x14ac:dyDescent="0.25">
      <c r="A363" t="s">
        <v>27</v>
      </c>
      <c r="B363" s="1">
        <v>37558</v>
      </c>
      <c r="C363" s="6">
        <f t="shared" si="50"/>
        <v>2002</v>
      </c>
      <c r="D363">
        <v>71.7</v>
      </c>
      <c r="E363">
        <v>57.3</v>
      </c>
      <c r="F363">
        <v>65.099999999999994</v>
      </c>
      <c r="G363" s="2">
        <f t="shared" si="51"/>
        <v>0</v>
      </c>
      <c r="H363">
        <v>71.7</v>
      </c>
      <c r="I363">
        <v>57.3</v>
      </c>
      <c r="J363">
        <v>65.099999999999994</v>
      </c>
      <c r="K363">
        <v>50</v>
      </c>
      <c r="L363">
        <v>59.3</v>
      </c>
      <c r="M363" s="2">
        <f t="shared" si="52"/>
        <v>1</v>
      </c>
      <c r="N363">
        <v>0</v>
      </c>
      <c r="O363" s="2">
        <f t="shared" si="53"/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 s="2">
        <f t="shared" si="54"/>
        <v>0</v>
      </c>
      <c r="W363">
        <v>20.8</v>
      </c>
      <c r="X363" s="2">
        <f t="shared" si="55"/>
        <v>1</v>
      </c>
      <c r="Y363">
        <v>337.6</v>
      </c>
      <c r="Z363" s="2" t="str">
        <f>CHOOSE(MATCH(Y363,{0;11;80;111;161;191;241;281;341},1),"North","NorthEast","East","SouthEast","South","SouthWest","West","NorthWest","North")</f>
        <v>NorthWest</v>
      </c>
      <c r="AA363" s="4">
        <f>CHOOSE(MATCH(Z363,{"South";"SouthEast";"SouthWest";"North";"NorthEast";"East";"West";"NorthWest"},0),1,2,3,4,5,6,7,8)</f>
        <v>8</v>
      </c>
      <c r="AB363" s="2">
        <f t="shared" si="56"/>
        <v>1</v>
      </c>
      <c r="AC363">
        <v>1017.3</v>
      </c>
      <c r="AD363" t="s">
        <v>427</v>
      </c>
      <c r="AE363" s="2">
        <f t="shared" si="57"/>
        <v>1</v>
      </c>
      <c r="AF363" t="s">
        <v>618</v>
      </c>
      <c r="AG363" s="2">
        <f t="shared" si="58"/>
        <v>10</v>
      </c>
      <c r="AH363" s="2">
        <f t="shared" si="59"/>
        <v>0</v>
      </c>
      <c r="AI363" s="3">
        <v>1249.9999999988361</v>
      </c>
      <c r="AJ363" s="2">
        <v>1</v>
      </c>
      <c r="AK363">
        <v>10</v>
      </c>
      <c r="AL363">
        <v>0</v>
      </c>
      <c r="AM363">
        <v>0</v>
      </c>
      <c r="AN363" s="2">
        <f>IF((2*G363+M363-O363+3*V363+2*AB363+2*AE363+2*AH363+3*AJ363)&gt;=7,1,0)</f>
        <v>1</v>
      </c>
    </row>
    <row r="364" spans="1:40" x14ac:dyDescent="0.25">
      <c r="A364" t="s">
        <v>27</v>
      </c>
      <c r="B364" s="1">
        <v>37574</v>
      </c>
      <c r="C364" s="6">
        <f t="shared" si="50"/>
        <v>2002</v>
      </c>
      <c r="D364">
        <v>68.099999999999994</v>
      </c>
      <c r="E364">
        <v>53.7</v>
      </c>
      <c r="F364">
        <v>60.5</v>
      </c>
      <c r="G364" s="2">
        <f t="shared" si="51"/>
        <v>0</v>
      </c>
      <c r="H364">
        <v>68.099999999999994</v>
      </c>
      <c r="I364">
        <v>53.7</v>
      </c>
      <c r="J364">
        <v>60.5</v>
      </c>
      <c r="K364">
        <v>52.9</v>
      </c>
      <c r="L364">
        <v>76.8</v>
      </c>
      <c r="M364" s="2">
        <f t="shared" si="52"/>
        <v>0</v>
      </c>
      <c r="N364">
        <v>0</v>
      </c>
      <c r="O364" s="2">
        <f t="shared" si="53"/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s="2">
        <f t="shared" si="54"/>
        <v>0</v>
      </c>
      <c r="W364">
        <v>9.1999999999999993</v>
      </c>
      <c r="X364" s="2">
        <f t="shared" si="55"/>
        <v>0</v>
      </c>
      <c r="Y364">
        <v>151.30000000000001</v>
      </c>
      <c r="Z364" s="2" t="str">
        <f>CHOOSE(MATCH(Y364,{0;11;80;111;161;191;241;281;341},1),"North","NorthEast","East","SouthEast","South","SouthWest","West","NorthWest","North")</f>
        <v>SouthEast</v>
      </c>
      <c r="AA364" s="4">
        <f>CHOOSE(MATCH(Z364,{"South";"SouthEast";"SouthWest";"North";"NorthEast";"East";"West";"NorthWest"},0),1,2,3,4,5,6,7,8)</f>
        <v>2</v>
      </c>
      <c r="AB364" s="2">
        <f t="shared" si="56"/>
        <v>0</v>
      </c>
      <c r="AC364">
        <v>1020.5</v>
      </c>
      <c r="AD364" t="s">
        <v>619</v>
      </c>
      <c r="AE364" s="2">
        <f t="shared" si="57"/>
        <v>0</v>
      </c>
      <c r="AF364" t="s">
        <v>620</v>
      </c>
      <c r="AG364" s="2">
        <f t="shared" si="58"/>
        <v>11</v>
      </c>
      <c r="AH364" s="2">
        <f t="shared" si="59"/>
        <v>0</v>
      </c>
      <c r="AI364" s="3">
        <v>349.99999999883579</v>
      </c>
      <c r="AJ364" s="2">
        <v>0</v>
      </c>
      <c r="AK364">
        <v>1</v>
      </c>
      <c r="AL364">
        <v>0</v>
      </c>
      <c r="AM364">
        <v>0</v>
      </c>
      <c r="AN364" s="2">
        <f>IF((2*G364+M364-O364+3*V364+2*AB364+2*AE364+2*AH364+3*AJ364)&gt;=7,1,0)</f>
        <v>0</v>
      </c>
    </row>
    <row r="365" spans="1:40" x14ac:dyDescent="0.25">
      <c r="A365" t="s">
        <v>27</v>
      </c>
      <c r="B365" s="1">
        <v>37613</v>
      </c>
      <c r="C365" s="6">
        <f t="shared" si="50"/>
        <v>2002</v>
      </c>
      <c r="D365">
        <v>62.7</v>
      </c>
      <c r="E365">
        <v>44.7</v>
      </c>
      <c r="F365">
        <v>54.2</v>
      </c>
      <c r="G365" s="2">
        <f t="shared" si="51"/>
        <v>0</v>
      </c>
      <c r="H365">
        <v>62.7</v>
      </c>
      <c r="I365">
        <v>38.9</v>
      </c>
      <c r="J365">
        <v>53.1</v>
      </c>
      <c r="K365">
        <v>41.3</v>
      </c>
      <c r="L365">
        <v>62.2</v>
      </c>
      <c r="M365" s="2">
        <f t="shared" si="52"/>
        <v>1</v>
      </c>
      <c r="N365">
        <v>0</v>
      </c>
      <c r="O365" s="2">
        <f t="shared" si="53"/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s="2">
        <f t="shared" si="54"/>
        <v>0</v>
      </c>
      <c r="W365">
        <v>11.4</v>
      </c>
      <c r="X365" s="2">
        <f t="shared" si="55"/>
        <v>0</v>
      </c>
      <c r="Y365">
        <v>186.8</v>
      </c>
      <c r="Z365" s="2" t="str">
        <f>CHOOSE(MATCH(Y365,{0;11;80;111;161;191;241;281;341},1),"North","NorthEast","East","SouthEast","South","SouthWest","West","NorthWest","North")</f>
        <v>South</v>
      </c>
      <c r="AA365" s="4">
        <f>CHOOSE(MATCH(Z365,{"South";"SouthEast";"SouthWest";"North";"NorthEast";"East";"West";"NorthWest"},0),1,2,3,4,5,6,7,8)</f>
        <v>1</v>
      </c>
      <c r="AB365" s="2">
        <f t="shared" si="56"/>
        <v>0</v>
      </c>
      <c r="AC365">
        <v>1018.8</v>
      </c>
      <c r="AD365" t="s">
        <v>215</v>
      </c>
      <c r="AE365" s="2">
        <f t="shared" si="57"/>
        <v>1</v>
      </c>
      <c r="AF365" t="s">
        <v>621</v>
      </c>
      <c r="AG365" s="2">
        <f t="shared" si="58"/>
        <v>12</v>
      </c>
      <c r="AH365" s="2">
        <f t="shared" si="59"/>
        <v>0</v>
      </c>
      <c r="AI365" s="3">
        <v>121.0000000067521</v>
      </c>
      <c r="AJ365" s="2">
        <v>0</v>
      </c>
      <c r="AK365">
        <v>0</v>
      </c>
      <c r="AL365">
        <v>2</v>
      </c>
      <c r="AM365">
        <v>0</v>
      </c>
      <c r="AN365" s="2">
        <f>IF((2*G365+M365-O365+3*V365+2*AB365+2*AE365+2*AH365+3*AJ365)&gt;=7,1,0)</f>
        <v>0</v>
      </c>
    </row>
    <row r="366" spans="1:40" x14ac:dyDescent="0.25">
      <c r="A366" t="s">
        <v>27</v>
      </c>
      <c r="B366" s="1">
        <v>37747</v>
      </c>
      <c r="C366" s="6">
        <f t="shared" si="50"/>
        <v>2003</v>
      </c>
      <c r="D366">
        <v>71.7</v>
      </c>
      <c r="E366">
        <v>59.1</v>
      </c>
      <c r="F366">
        <v>67.400000000000006</v>
      </c>
      <c r="G366" s="2">
        <f t="shared" si="51"/>
        <v>0</v>
      </c>
      <c r="H366">
        <v>71.7</v>
      </c>
      <c r="I366">
        <v>59.1</v>
      </c>
      <c r="J366">
        <v>67.400000000000006</v>
      </c>
      <c r="K366">
        <v>54.9</v>
      </c>
      <c r="L366">
        <v>64.900000000000006</v>
      </c>
      <c r="M366" s="2">
        <f t="shared" si="52"/>
        <v>1</v>
      </c>
      <c r="N366">
        <v>0</v>
      </c>
      <c r="O366" s="2">
        <f t="shared" si="53"/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 s="2">
        <f t="shared" si="54"/>
        <v>0</v>
      </c>
      <c r="W366">
        <v>23</v>
      </c>
      <c r="X366" s="2">
        <f t="shared" si="55"/>
        <v>1</v>
      </c>
      <c r="Y366">
        <v>297.5</v>
      </c>
      <c r="Z366" s="2" t="str">
        <f>CHOOSE(MATCH(Y366,{0;11;80;111;161;191;241;281;341},1),"North","NorthEast","East","SouthEast","South","SouthWest","West","NorthWest","North")</f>
        <v>NorthWest</v>
      </c>
      <c r="AA366" s="4">
        <f>CHOOSE(MATCH(Z366,{"South";"SouthEast";"SouthWest";"North";"NorthEast";"East";"West";"NorthWest"},0),1,2,3,4,5,6,7,8)</f>
        <v>8</v>
      </c>
      <c r="AB366" s="2">
        <f t="shared" si="56"/>
        <v>1</v>
      </c>
      <c r="AC366">
        <v>1015.2</v>
      </c>
      <c r="AD366" t="s">
        <v>108</v>
      </c>
      <c r="AE366" s="2">
        <f t="shared" si="57"/>
        <v>1</v>
      </c>
      <c r="AF366" t="s">
        <v>622</v>
      </c>
      <c r="AG366" s="2">
        <f t="shared" si="58"/>
        <v>5</v>
      </c>
      <c r="AH366" s="2">
        <f t="shared" si="59"/>
        <v>0</v>
      </c>
      <c r="AI366" s="3">
        <v>670.99999999743886</v>
      </c>
      <c r="AJ366" s="2">
        <v>1</v>
      </c>
      <c r="AK366">
        <v>70</v>
      </c>
      <c r="AL366">
        <v>0</v>
      </c>
      <c r="AM366">
        <v>0</v>
      </c>
      <c r="AN366" s="2">
        <f>IF((2*G366+M366-O366+3*V366+2*AB366+2*AE366+2*AH366+3*AJ366)&gt;=7,1,0)</f>
        <v>1</v>
      </c>
    </row>
    <row r="367" spans="1:40" x14ac:dyDescent="0.25">
      <c r="A367" t="s">
        <v>27</v>
      </c>
      <c r="B367" s="1">
        <v>37748</v>
      </c>
      <c r="C367" s="6">
        <f t="shared" si="50"/>
        <v>2003</v>
      </c>
      <c r="D367">
        <v>69.900000000000006</v>
      </c>
      <c r="E367">
        <v>60.9</v>
      </c>
      <c r="F367">
        <v>66.5</v>
      </c>
      <c r="G367" s="2">
        <f t="shared" si="51"/>
        <v>0</v>
      </c>
      <c r="H367">
        <v>69.900000000000006</v>
      </c>
      <c r="I367">
        <v>60.9</v>
      </c>
      <c r="J367">
        <v>66.5</v>
      </c>
      <c r="K367">
        <v>52.9</v>
      </c>
      <c r="L367">
        <v>61.7</v>
      </c>
      <c r="M367" s="2">
        <f t="shared" si="52"/>
        <v>1</v>
      </c>
      <c r="N367">
        <v>0</v>
      </c>
      <c r="O367" s="2">
        <f t="shared" si="53"/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 s="2">
        <f t="shared" si="54"/>
        <v>0</v>
      </c>
      <c r="W367">
        <v>21.9</v>
      </c>
      <c r="X367" s="2">
        <f t="shared" si="55"/>
        <v>1</v>
      </c>
      <c r="Y367">
        <v>299.8</v>
      </c>
      <c r="Z367" s="2" t="str">
        <f>CHOOSE(MATCH(Y367,{0;11;80;111;161;191;241;281;341},1),"North","NorthEast","East","SouthEast","South","SouthWest","West","NorthWest","North")</f>
        <v>NorthWest</v>
      </c>
      <c r="AA367" s="4">
        <f>CHOOSE(MATCH(Z367,{"South";"SouthEast";"SouthWest";"North";"NorthEast";"East";"West";"NorthWest"},0),1,2,3,4,5,6,7,8)</f>
        <v>8</v>
      </c>
      <c r="AB367" s="2">
        <f t="shared" si="56"/>
        <v>1</v>
      </c>
      <c r="AC367">
        <v>1016.4</v>
      </c>
      <c r="AD367" t="s">
        <v>623</v>
      </c>
      <c r="AE367" s="2">
        <f t="shared" si="57"/>
        <v>0</v>
      </c>
      <c r="AF367" t="s">
        <v>624</v>
      </c>
      <c r="AG367" s="2">
        <f t="shared" si="58"/>
        <v>5</v>
      </c>
      <c r="AH367" s="2">
        <f t="shared" si="59"/>
        <v>0</v>
      </c>
      <c r="AI367" s="3">
        <v>5140.0000000011642</v>
      </c>
      <c r="AJ367" s="2">
        <v>1</v>
      </c>
      <c r="AK367">
        <v>50</v>
      </c>
      <c r="AL367">
        <v>0</v>
      </c>
      <c r="AM367">
        <v>0</v>
      </c>
      <c r="AN367" s="2">
        <f>IF((2*G367+M367-O367+3*V367+2*AB367+2*AE367+2*AH367+3*AJ367)&gt;=7,1,0)</f>
        <v>0</v>
      </c>
    </row>
    <row r="368" spans="1:40" x14ac:dyDescent="0.25">
      <c r="A368" t="s">
        <v>27</v>
      </c>
      <c r="B368" s="1">
        <v>37793</v>
      </c>
      <c r="C368" s="6">
        <f t="shared" si="50"/>
        <v>2003</v>
      </c>
      <c r="D368">
        <v>80.7</v>
      </c>
      <c r="E368">
        <v>66.3</v>
      </c>
      <c r="F368">
        <v>74.3</v>
      </c>
      <c r="G368" s="2">
        <f t="shared" si="51"/>
        <v>1</v>
      </c>
      <c r="H368">
        <v>81.5</v>
      </c>
      <c r="I368">
        <v>66.3</v>
      </c>
      <c r="J368">
        <v>74.400000000000006</v>
      </c>
      <c r="K368">
        <v>59.3</v>
      </c>
      <c r="L368">
        <v>60.2</v>
      </c>
      <c r="M368" s="2">
        <f t="shared" si="52"/>
        <v>1</v>
      </c>
      <c r="N368">
        <v>0</v>
      </c>
      <c r="O368" s="2">
        <f t="shared" si="53"/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 s="2">
        <f t="shared" si="54"/>
        <v>0</v>
      </c>
      <c r="W368">
        <v>17.2</v>
      </c>
      <c r="X368" s="2">
        <f t="shared" si="55"/>
        <v>1</v>
      </c>
      <c r="Y368">
        <v>294.7</v>
      </c>
      <c r="Z368" s="2" t="str">
        <f>CHOOSE(MATCH(Y368,{0;11;80;111;161;191;241;281;341},1),"North","NorthEast","East","SouthEast","South","SouthWest","West","NorthWest","North")</f>
        <v>NorthWest</v>
      </c>
      <c r="AA368" s="4">
        <f>CHOOSE(MATCH(Z368,{"South";"SouthEast";"SouthWest";"North";"NorthEast";"East";"West";"NorthWest"},0),1,2,3,4,5,6,7,8)</f>
        <v>8</v>
      </c>
      <c r="AB368" s="2">
        <f t="shared" si="56"/>
        <v>1</v>
      </c>
      <c r="AC368">
        <v>1008.6</v>
      </c>
      <c r="AD368" t="s">
        <v>625</v>
      </c>
      <c r="AE368" s="2">
        <f t="shared" si="57"/>
        <v>1</v>
      </c>
      <c r="AF368" t="s">
        <v>626</v>
      </c>
      <c r="AG368" s="2">
        <f t="shared" si="58"/>
        <v>6</v>
      </c>
      <c r="AH368" s="2">
        <f t="shared" si="59"/>
        <v>1</v>
      </c>
      <c r="AI368" s="3">
        <v>10.00000000116415</v>
      </c>
      <c r="AJ368" s="2">
        <v>0</v>
      </c>
      <c r="AK368">
        <v>0.2</v>
      </c>
      <c r="AL368">
        <v>0</v>
      </c>
      <c r="AM368">
        <v>0</v>
      </c>
      <c r="AN368" s="2">
        <f>IF((2*G368+M368-O368+3*V368+2*AB368+2*AE368+2*AH368+3*AJ368)&gt;=7,1,0)</f>
        <v>1</v>
      </c>
    </row>
    <row r="369" spans="1:40" x14ac:dyDescent="0.25">
      <c r="A369" t="s">
        <v>27</v>
      </c>
      <c r="B369" s="1">
        <v>37828</v>
      </c>
      <c r="C369" s="6">
        <f t="shared" si="50"/>
        <v>2003</v>
      </c>
      <c r="D369">
        <v>86.1</v>
      </c>
      <c r="E369">
        <v>73.5</v>
      </c>
      <c r="F369">
        <v>80.5</v>
      </c>
      <c r="G369" s="2">
        <f t="shared" si="51"/>
        <v>1</v>
      </c>
      <c r="H369">
        <v>88.5</v>
      </c>
      <c r="I369">
        <v>73.5</v>
      </c>
      <c r="J369">
        <v>81.900000000000006</v>
      </c>
      <c r="K369">
        <v>66.2</v>
      </c>
      <c r="L369">
        <v>62.4</v>
      </c>
      <c r="M369" s="2">
        <f t="shared" si="52"/>
        <v>1</v>
      </c>
      <c r="N369">
        <v>0</v>
      </c>
      <c r="O369" s="2">
        <f t="shared" si="53"/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 s="2">
        <f t="shared" si="54"/>
        <v>0</v>
      </c>
      <c r="W369">
        <v>21.9</v>
      </c>
      <c r="X369" s="2">
        <f t="shared" si="55"/>
        <v>1</v>
      </c>
      <c r="Y369">
        <v>306.89999999999998</v>
      </c>
      <c r="Z369" s="2" t="str">
        <f>CHOOSE(MATCH(Y369,{0;11;80;111;161;191;241;281;341},1),"North","NorthEast","East","SouthEast","South","SouthWest","West","NorthWest","North")</f>
        <v>NorthWest</v>
      </c>
      <c r="AA369" s="4">
        <f>CHOOSE(MATCH(Z369,{"South";"SouthEast";"SouthWest";"North";"NorthEast";"East";"West";"NorthWest"},0),1,2,3,4,5,6,7,8)</f>
        <v>8</v>
      </c>
      <c r="AB369" s="2">
        <f t="shared" si="56"/>
        <v>1</v>
      </c>
      <c r="AC369">
        <v>1008.8</v>
      </c>
      <c r="AD369" t="s">
        <v>627</v>
      </c>
      <c r="AE369" s="2">
        <f t="shared" si="57"/>
        <v>0</v>
      </c>
      <c r="AF369" t="s">
        <v>628</v>
      </c>
      <c r="AG369" s="2">
        <f t="shared" si="58"/>
        <v>7</v>
      </c>
      <c r="AH369" s="2">
        <f t="shared" si="59"/>
        <v>1</v>
      </c>
      <c r="AI369" s="3">
        <v>1400.000000005821</v>
      </c>
      <c r="AJ369" s="2">
        <v>1</v>
      </c>
      <c r="AK369">
        <v>0.5</v>
      </c>
      <c r="AL369">
        <v>0</v>
      </c>
      <c r="AM369">
        <v>0</v>
      </c>
      <c r="AN369" s="2">
        <f>IF((2*G369+M369-O369+3*V369+2*AB369+2*AE369+2*AH369+3*AJ369)&gt;=7,1,0)</f>
        <v>1</v>
      </c>
    </row>
    <row r="370" spans="1:40" x14ac:dyDescent="0.25">
      <c r="A370" t="s">
        <v>27</v>
      </c>
      <c r="B370" s="1">
        <v>37838</v>
      </c>
      <c r="C370" s="6">
        <f t="shared" si="50"/>
        <v>2003</v>
      </c>
      <c r="D370">
        <v>86.1</v>
      </c>
      <c r="E370">
        <v>78.900000000000006</v>
      </c>
      <c r="F370">
        <v>82.4</v>
      </c>
      <c r="G370" s="2">
        <f t="shared" si="51"/>
        <v>1</v>
      </c>
      <c r="H370">
        <v>87.6</v>
      </c>
      <c r="I370">
        <v>78.900000000000006</v>
      </c>
      <c r="J370">
        <v>84.1</v>
      </c>
      <c r="K370">
        <v>64.900000000000006</v>
      </c>
      <c r="L370">
        <v>55.8</v>
      </c>
      <c r="M370" s="2">
        <f t="shared" si="52"/>
        <v>1</v>
      </c>
      <c r="N370">
        <v>0</v>
      </c>
      <c r="O370" s="2">
        <f t="shared" si="53"/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s="2">
        <f t="shared" si="54"/>
        <v>0</v>
      </c>
      <c r="W370">
        <v>21.9</v>
      </c>
      <c r="X370" s="2">
        <f t="shared" si="55"/>
        <v>1</v>
      </c>
      <c r="Y370">
        <v>292.8</v>
      </c>
      <c r="Z370" s="2" t="str">
        <f>CHOOSE(MATCH(Y370,{0;11;80;111;161;191;241;281;341},1),"North","NorthEast","East","SouthEast","South","SouthWest","West","NorthWest","North")</f>
        <v>NorthWest</v>
      </c>
      <c r="AA370" s="4">
        <f>CHOOSE(MATCH(Z370,{"South";"SouthEast";"SouthWest";"North";"NorthEast";"East";"West";"NorthWest"},0),1,2,3,4,5,6,7,8)</f>
        <v>8</v>
      </c>
      <c r="AB370" s="2">
        <f t="shared" si="56"/>
        <v>1</v>
      </c>
      <c r="AC370">
        <v>1011.5</v>
      </c>
      <c r="AD370" t="s">
        <v>629</v>
      </c>
      <c r="AE370" s="2">
        <f t="shared" si="57"/>
        <v>1</v>
      </c>
      <c r="AF370" t="s">
        <v>630</v>
      </c>
      <c r="AG370" s="2">
        <f t="shared" si="58"/>
        <v>8</v>
      </c>
      <c r="AH370" s="2">
        <f t="shared" si="59"/>
        <v>1</v>
      </c>
      <c r="AI370" s="3">
        <v>520.00000000814907</v>
      </c>
      <c r="AJ370" s="2">
        <v>1</v>
      </c>
      <c r="AK370">
        <v>0</v>
      </c>
      <c r="AL370">
        <v>0</v>
      </c>
      <c r="AM370">
        <v>1</v>
      </c>
      <c r="AN370" s="2">
        <f>IF((2*G370+M370-O370+3*V370+2*AB370+2*AE370+2*AH370+3*AJ370)&gt;=7,1,0)</f>
        <v>1</v>
      </c>
    </row>
    <row r="371" spans="1:40" x14ac:dyDescent="0.25">
      <c r="A371" t="s">
        <v>27</v>
      </c>
      <c r="B371" s="1">
        <v>37869</v>
      </c>
      <c r="C371" s="6">
        <f t="shared" si="50"/>
        <v>2003</v>
      </c>
      <c r="D371">
        <v>73.5</v>
      </c>
      <c r="E371">
        <v>69.900000000000006</v>
      </c>
      <c r="F371">
        <v>71.7</v>
      </c>
      <c r="G371" s="2">
        <f t="shared" si="51"/>
        <v>1</v>
      </c>
      <c r="H371">
        <v>73.5</v>
      </c>
      <c r="I371">
        <v>69.900000000000006</v>
      </c>
      <c r="J371">
        <v>71.7</v>
      </c>
      <c r="K371">
        <v>50</v>
      </c>
      <c r="L371">
        <v>46.8</v>
      </c>
      <c r="M371" s="2">
        <f t="shared" si="52"/>
        <v>1</v>
      </c>
      <c r="N371">
        <v>0</v>
      </c>
      <c r="O371" s="2">
        <f t="shared" si="53"/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 s="2">
        <f t="shared" si="54"/>
        <v>0</v>
      </c>
      <c r="W371">
        <v>28.9</v>
      </c>
      <c r="X371" s="2">
        <f t="shared" si="55"/>
        <v>1</v>
      </c>
      <c r="Y371">
        <v>330.4</v>
      </c>
      <c r="Z371" s="2" t="str">
        <f>CHOOSE(MATCH(Y371,{0;11;80;111;161;191;241;281;341},1),"North","NorthEast","East","SouthEast","South","SouthWest","West","NorthWest","North")</f>
        <v>NorthWest</v>
      </c>
      <c r="AA371" s="4">
        <f>CHOOSE(MATCH(Z371,{"South";"SouthEast";"SouthWest";"North";"NorthEast";"East";"West";"NorthWest"},0),1,2,3,4,5,6,7,8)</f>
        <v>8</v>
      </c>
      <c r="AB371" s="2">
        <f t="shared" si="56"/>
        <v>1</v>
      </c>
      <c r="AC371">
        <v>1017.8</v>
      </c>
      <c r="AD371" t="s">
        <v>631</v>
      </c>
      <c r="AE371" s="2">
        <f t="shared" si="57"/>
        <v>1</v>
      </c>
      <c r="AF371" t="s">
        <v>632</v>
      </c>
      <c r="AG371" s="2">
        <f t="shared" si="58"/>
        <v>9</v>
      </c>
      <c r="AH371" s="2">
        <f t="shared" si="59"/>
        <v>0</v>
      </c>
      <c r="AI371" s="3">
        <v>720</v>
      </c>
      <c r="AJ371" s="2">
        <v>1</v>
      </c>
      <c r="AK371">
        <v>10</v>
      </c>
      <c r="AL371">
        <v>0</v>
      </c>
      <c r="AM371">
        <v>0</v>
      </c>
      <c r="AN371" s="2">
        <f>IF((2*G371+M371-O371+3*V371+2*AB371+2*AE371+2*AH371+3*AJ371)&gt;=7,1,0)</f>
        <v>1</v>
      </c>
    </row>
    <row r="372" spans="1:40" x14ac:dyDescent="0.25">
      <c r="A372" t="s">
        <v>27</v>
      </c>
      <c r="B372" s="1">
        <v>37871</v>
      </c>
      <c r="C372" s="6">
        <f t="shared" si="50"/>
        <v>2003</v>
      </c>
      <c r="D372">
        <v>78.900000000000006</v>
      </c>
      <c r="E372">
        <v>66.3</v>
      </c>
      <c r="F372">
        <v>73.400000000000006</v>
      </c>
      <c r="G372" s="2">
        <f t="shared" si="51"/>
        <v>1</v>
      </c>
      <c r="H372">
        <v>78.900000000000006</v>
      </c>
      <c r="I372">
        <v>66.3</v>
      </c>
      <c r="J372">
        <v>73.400000000000006</v>
      </c>
      <c r="K372">
        <v>52.7</v>
      </c>
      <c r="L372">
        <v>48.6</v>
      </c>
      <c r="M372" s="2">
        <f t="shared" si="52"/>
        <v>1</v>
      </c>
      <c r="N372">
        <v>0</v>
      </c>
      <c r="O372" s="2">
        <f t="shared" si="53"/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 s="2">
        <f t="shared" si="54"/>
        <v>0</v>
      </c>
      <c r="W372">
        <v>11.4</v>
      </c>
      <c r="X372" s="2">
        <f t="shared" si="55"/>
        <v>0</v>
      </c>
      <c r="Y372">
        <v>330.6</v>
      </c>
      <c r="Z372" s="2" t="str">
        <f>CHOOSE(MATCH(Y372,{0;11;80;111;161;191;241;281;341},1),"North","NorthEast","East","SouthEast","South","SouthWest","West","NorthWest","North")</f>
        <v>NorthWest</v>
      </c>
      <c r="AA372" s="4">
        <f>CHOOSE(MATCH(Z372,{"South";"SouthEast";"SouthWest";"North";"NorthEast";"East";"West";"NorthWest"},0),1,2,3,4,5,6,7,8)</f>
        <v>8</v>
      </c>
      <c r="AB372" s="2">
        <f t="shared" si="56"/>
        <v>1</v>
      </c>
      <c r="AC372">
        <v>1018.8</v>
      </c>
      <c r="AD372" t="s">
        <v>361</v>
      </c>
      <c r="AE372" s="2">
        <f t="shared" si="57"/>
        <v>1</v>
      </c>
      <c r="AF372" t="s">
        <v>633</v>
      </c>
      <c r="AG372" s="2">
        <f t="shared" si="58"/>
        <v>9</v>
      </c>
      <c r="AH372" s="2">
        <f t="shared" si="59"/>
        <v>0</v>
      </c>
      <c r="AI372" s="3">
        <v>390.99999999627471</v>
      </c>
      <c r="AJ372" s="2">
        <v>1</v>
      </c>
      <c r="AK372">
        <v>5</v>
      </c>
      <c r="AL372">
        <v>0</v>
      </c>
      <c r="AM372">
        <v>0</v>
      </c>
      <c r="AN372" s="2">
        <f>IF((2*G372+M372-O372+3*V372+2*AB372+2*AE372+2*AH372+3*AJ372)&gt;=7,1,0)</f>
        <v>1</v>
      </c>
    </row>
    <row r="373" spans="1:40" x14ac:dyDescent="0.25">
      <c r="A373" t="s">
        <v>27</v>
      </c>
      <c r="B373" s="1">
        <v>37880</v>
      </c>
      <c r="C373" s="6">
        <f t="shared" si="50"/>
        <v>2003</v>
      </c>
      <c r="D373">
        <v>77.099999999999994</v>
      </c>
      <c r="E373">
        <v>68.099999999999994</v>
      </c>
      <c r="F373">
        <v>73</v>
      </c>
      <c r="G373" s="2">
        <f t="shared" si="51"/>
        <v>1</v>
      </c>
      <c r="H373">
        <v>77.099999999999994</v>
      </c>
      <c r="I373">
        <v>68.099999999999994</v>
      </c>
      <c r="J373">
        <v>73</v>
      </c>
      <c r="K373">
        <v>58.3</v>
      </c>
      <c r="L373">
        <v>60.6</v>
      </c>
      <c r="M373" s="2">
        <f t="shared" si="52"/>
        <v>1</v>
      </c>
      <c r="N373">
        <v>0</v>
      </c>
      <c r="O373" s="2">
        <f t="shared" si="53"/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s="2">
        <f t="shared" si="54"/>
        <v>0</v>
      </c>
      <c r="W373">
        <v>13.9</v>
      </c>
      <c r="X373" s="2">
        <f t="shared" si="55"/>
        <v>0</v>
      </c>
      <c r="Y373">
        <v>24.6</v>
      </c>
      <c r="Z373" s="2" t="str">
        <f>CHOOSE(MATCH(Y373,{0;11;80;111;161;191;241;281;341},1),"North","NorthEast","East","SouthEast","South","SouthWest","West","NorthWest","North")</f>
        <v>NorthEast</v>
      </c>
      <c r="AA373" s="4">
        <f>CHOOSE(MATCH(Z373,{"South";"SouthEast";"SouthWest";"North";"NorthEast";"East";"West";"NorthWest"},0),1,2,3,4,5,6,7,8)</f>
        <v>5</v>
      </c>
      <c r="AB373" s="2">
        <f t="shared" si="56"/>
        <v>1</v>
      </c>
      <c r="AC373">
        <v>1016.8</v>
      </c>
      <c r="AD373" t="s">
        <v>61</v>
      </c>
      <c r="AE373" s="2">
        <f t="shared" si="57"/>
        <v>0</v>
      </c>
      <c r="AF373" t="s">
        <v>634</v>
      </c>
      <c r="AG373" s="2">
        <f t="shared" si="58"/>
        <v>9</v>
      </c>
      <c r="AH373" s="2">
        <f t="shared" si="59"/>
        <v>0</v>
      </c>
      <c r="AI373" s="3">
        <v>105.9999999997672</v>
      </c>
      <c r="AJ373" s="2">
        <v>0</v>
      </c>
      <c r="AK373">
        <v>0.5</v>
      </c>
      <c r="AL373">
        <v>0</v>
      </c>
      <c r="AM373">
        <v>0</v>
      </c>
      <c r="AN373" s="2">
        <f>IF((2*G373+M373-O373+3*V373+2*AB373+2*AE373+2*AH373+3*AJ373)&gt;=7,1,0)</f>
        <v>0</v>
      </c>
    </row>
    <row r="374" spans="1:40" x14ac:dyDescent="0.25">
      <c r="A374" t="s">
        <v>27</v>
      </c>
      <c r="B374" s="1">
        <v>37888</v>
      </c>
      <c r="C374" s="6">
        <f t="shared" si="50"/>
        <v>2003</v>
      </c>
      <c r="D374">
        <v>78.900000000000006</v>
      </c>
      <c r="E374">
        <v>60.9</v>
      </c>
      <c r="F374">
        <v>71</v>
      </c>
      <c r="G374" s="2">
        <f t="shared" si="51"/>
        <v>1</v>
      </c>
      <c r="H374">
        <v>78.900000000000006</v>
      </c>
      <c r="I374">
        <v>60.9</v>
      </c>
      <c r="J374">
        <v>71</v>
      </c>
      <c r="K374">
        <v>59.7</v>
      </c>
      <c r="L374">
        <v>68.2</v>
      </c>
      <c r="M374" s="2">
        <f t="shared" si="52"/>
        <v>0</v>
      </c>
      <c r="N374">
        <v>0</v>
      </c>
      <c r="O374" s="2">
        <f t="shared" si="53"/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s="2">
        <f t="shared" si="54"/>
        <v>0</v>
      </c>
      <c r="W374">
        <v>13.9</v>
      </c>
      <c r="X374" s="2">
        <f t="shared" si="55"/>
        <v>0</v>
      </c>
      <c r="Y374">
        <v>292.89999999999998</v>
      </c>
      <c r="Z374" s="2" t="str">
        <f>CHOOSE(MATCH(Y374,{0;11;80;111;161;191;241;281;341},1),"North","NorthEast","East","SouthEast","South","SouthWest","West","NorthWest","North")</f>
        <v>NorthWest</v>
      </c>
      <c r="AA374" s="4">
        <f>CHOOSE(MATCH(Z374,{"South";"SouthEast";"SouthWest";"North";"NorthEast";"East";"West";"NorthWest"},0),1,2,3,4,5,6,7,8)</f>
        <v>8</v>
      </c>
      <c r="AB374" s="2">
        <f t="shared" si="56"/>
        <v>1</v>
      </c>
      <c r="AC374">
        <v>1015.3</v>
      </c>
      <c r="AD374" t="s">
        <v>635</v>
      </c>
      <c r="AE374" s="2">
        <f t="shared" si="57"/>
        <v>1</v>
      </c>
      <c r="AF374" t="s">
        <v>636</v>
      </c>
      <c r="AG374" s="2">
        <f t="shared" si="58"/>
        <v>9</v>
      </c>
      <c r="AH374" s="2">
        <f t="shared" si="59"/>
        <v>0</v>
      </c>
      <c r="AI374" s="3">
        <v>324.0000000083819</v>
      </c>
      <c r="AJ374" s="2">
        <v>0</v>
      </c>
      <c r="AK374">
        <v>0</v>
      </c>
      <c r="AL374">
        <v>0</v>
      </c>
      <c r="AM374">
        <v>10</v>
      </c>
      <c r="AN374" s="2">
        <f>IF((2*G374+M374-O374+3*V374+2*AB374+2*AE374+2*AH374+3*AJ374)&gt;=7,1,0)</f>
        <v>0</v>
      </c>
    </row>
    <row r="375" spans="1:40" x14ac:dyDescent="0.25">
      <c r="A375" t="s">
        <v>27</v>
      </c>
      <c r="B375" s="1">
        <v>37896</v>
      </c>
      <c r="C375" s="6">
        <f t="shared" si="50"/>
        <v>2003</v>
      </c>
      <c r="D375">
        <v>77.099999999999994</v>
      </c>
      <c r="E375">
        <v>71.7</v>
      </c>
      <c r="F375">
        <v>73.5</v>
      </c>
      <c r="G375" s="2">
        <f t="shared" si="51"/>
        <v>1</v>
      </c>
      <c r="H375">
        <v>77.099999999999994</v>
      </c>
      <c r="I375">
        <v>71.7</v>
      </c>
      <c r="J375">
        <v>73.5</v>
      </c>
      <c r="K375">
        <v>56.8</v>
      </c>
      <c r="L375">
        <v>56.5</v>
      </c>
      <c r="M375" s="2">
        <f t="shared" si="52"/>
        <v>1</v>
      </c>
      <c r="N375">
        <v>0</v>
      </c>
      <c r="O375" s="2">
        <f t="shared" si="53"/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 s="2">
        <f t="shared" si="54"/>
        <v>0</v>
      </c>
      <c r="W375">
        <v>24.2</v>
      </c>
      <c r="X375" s="2">
        <f t="shared" si="55"/>
        <v>1</v>
      </c>
      <c r="Y375">
        <v>312.89999999999998</v>
      </c>
      <c r="Z375" s="2" t="str">
        <f>CHOOSE(MATCH(Y375,{0;11;80;111;161;191;241;281;341},1),"North","NorthEast","East","SouthEast","South","SouthWest","West","NorthWest","North")</f>
        <v>NorthWest</v>
      </c>
      <c r="AA375" s="4">
        <f>CHOOSE(MATCH(Z375,{"South";"SouthEast";"SouthWest";"North";"NorthEast";"East";"West";"NorthWest"},0),1,2,3,4,5,6,7,8)</f>
        <v>8</v>
      </c>
      <c r="AB375" s="2">
        <f t="shared" si="56"/>
        <v>1</v>
      </c>
      <c r="AC375">
        <v>1014.4</v>
      </c>
      <c r="AD375" t="s">
        <v>637</v>
      </c>
      <c r="AE375" s="2">
        <f t="shared" si="57"/>
        <v>1</v>
      </c>
      <c r="AF375" t="s">
        <v>638</v>
      </c>
      <c r="AG375" s="2">
        <f t="shared" si="58"/>
        <v>10</v>
      </c>
      <c r="AH375" s="2">
        <f t="shared" si="59"/>
        <v>0</v>
      </c>
      <c r="AI375" s="3">
        <v>274.99999999534339</v>
      </c>
      <c r="AJ375" s="2">
        <v>0</v>
      </c>
      <c r="AK375">
        <v>2.5</v>
      </c>
      <c r="AL375">
        <v>0</v>
      </c>
      <c r="AM375">
        <v>0</v>
      </c>
      <c r="AN375" s="2">
        <f>IF((2*G375+M375-O375+3*V375+2*AB375+2*AE375+2*AH375+3*AJ375)&gt;=7,1,0)</f>
        <v>0</v>
      </c>
    </row>
    <row r="376" spans="1:40" x14ac:dyDescent="0.25">
      <c r="A376" t="s">
        <v>27</v>
      </c>
      <c r="B376" s="1">
        <v>37901</v>
      </c>
      <c r="C376" s="6">
        <f t="shared" si="50"/>
        <v>2003</v>
      </c>
      <c r="D376">
        <v>82.5</v>
      </c>
      <c r="E376">
        <v>69.900000000000006</v>
      </c>
      <c r="F376">
        <v>75.599999999999994</v>
      </c>
      <c r="G376" s="2">
        <f t="shared" si="51"/>
        <v>1</v>
      </c>
      <c r="H376">
        <v>83.4</v>
      </c>
      <c r="I376">
        <v>69.900000000000006</v>
      </c>
      <c r="J376">
        <v>75.900000000000006</v>
      </c>
      <c r="K376">
        <v>62.6</v>
      </c>
      <c r="L376">
        <v>65</v>
      </c>
      <c r="M376" s="2">
        <f t="shared" si="52"/>
        <v>1</v>
      </c>
      <c r="N376">
        <v>0</v>
      </c>
      <c r="O376" s="2">
        <f t="shared" si="53"/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s="2">
        <f t="shared" si="54"/>
        <v>0</v>
      </c>
      <c r="W376">
        <v>25.3</v>
      </c>
      <c r="X376" s="2">
        <f t="shared" si="55"/>
        <v>1</v>
      </c>
      <c r="Y376">
        <v>276.10000000000002</v>
      </c>
      <c r="Z376" s="2" t="str">
        <f>CHOOSE(MATCH(Y376,{0;11;80;111;161;191;241;281;341},1),"North","NorthEast","East","SouthEast","South","SouthWest","West","NorthWest","North")</f>
        <v>West</v>
      </c>
      <c r="AA376" s="4">
        <f>CHOOSE(MATCH(Z376,{"South";"SouthEast";"SouthWest";"North";"NorthEast";"East";"West";"NorthWest"},0),1,2,3,4,5,6,7,8)</f>
        <v>7</v>
      </c>
      <c r="AB376" s="2">
        <f t="shared" si="56"/>
        <v>0</v>
      </c>
      <c r="AC376">
        <v>1015</v>
      </c>
      <c r="AD376" t="s">
        <v>639</v>
      </c>
      <c r="AE376" s="2">
        <f t="shared" si="57"/>
        <v>1</v>
      </c>
      <c r="AF376" t="s">
        <v>640</v>
      </c>
      <c r="AG376" s="2">
        <f t="shared" si="58"/>
        <v>10</v>
      </c>
      <c r="AH376" s="2">
        <f t="shared" si="59"/>
        <v>0</v>
      </c>
      <c r="AI376" s="3">
        <v>464.00000000372529</v>
      </c>
      <c r="AJ376" s="2">
        <v>1</v>
      </c>
      <c r="AK376">
        <v>0.5</v>
      </c>
      <c r="AL376">
        <v>0</v>
      </c>
      <c r="AM376">
        <v>0</v>
      </c>
      <c r="AN376" s="2">
        <f>IF((2*G376+M376-O376+3*V376+2*AB376+2*AE376+2*AH376+3*AJ376)&gt;=7,1,0)</f>
        <v>1</v>
      </c>
    </row>
    <row r="377" spans="1:40" x14ac:dyDescent="0.25">
      <c r="A377" t="s">
        <v>27</v>
      </c>
      <c r="B377" s="1">
        <v>37901</v>
      </c>
      <c r="C377" s="6">
        <f t="shared" si="50"/>
        <v>2003</v>
      </c>
      <c r="D377">
        <v>82.5</v>
      </c>
      <c r="E377">
        <v>69.900000000000006</v>
      </c>
      <c r="F377">
        <v>75.599999999999994</v>
      </c>
      <c r="G377" s="2">
        <f t="shared" si="51"/>
        <v>1</v>
      </c>
      <c r="H377">
        <v>83.4</v>
      </c>
      <c r="I377">
        <v>69.900000000000006</v>
      </c>
      <c r="J377">
        <v>75.900000000000006</v>
      </c>
      <c r="K377">
        <v>62.6</v>
      </c>
      <c r="L377">
        <v>65</v>
      </c>
      <c r="M377" s="2">
        <f t="shared" si="52"/>
        <v>1</v>
      </c>
      <c r="N377">
        <v>0</v>
      </c>
      <c r="O377" s="2">
        <f t="shared" si="53"/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s="2">
        <f t="shared" si="54"/>
        <v>0</v>
      </c>
      <c r="W377">
        <v>25.3</v>
      </c>
      <c r="X377" s="2">
        <f t="shared" si="55"/>
        <v>1</v>
      </c>
      <c r="Y377">
        <v>276.10000000000002</v>
      </c>
      <c r="Z377" s="2" t="str">
        <f>CHOOSE(MATCH(Y377,{0;11;80;111;161;191;241;281;341},1),"North","NorthEast","East","SouthEast","South","SouthWest","West","NorthWest","North")</f>
        <v>West</v>
      </c>
      <c r="AA377" s="4">
        <f>CHOOSE(MATCH(Z377,{"South";"SouthEast";"SouthWest";"North";"NorthEast";"East";"West";"NorthWest"},0),1,2,3,4,5,6,7,8)</f>
        <v>7</v>
      </c>
      <c r="AB377" s="2">
        <f t="shared" si="56"/>
        <v>0</v>
      </c>
      <c r="AC377">
        <v>1015</v>
      </c>
      <c r="AD377" t="s">
        <v>359</v>
      </c>
      <c r="AE377" s="2">
        <f t="shared" si="57"/>
        <v>1</v>
      </c>
      <c r="AF377" t="s">
        <v>641</v>
      </c>
      <c r="AG377" s="2">
        <f t="shared" si="58"/>
        <v>10</v>
      </c>
      <c r="AH377" s="2">
        <f t="shared" si="59"/>
        <v>0</v>
      </c>
      <c r="AI377" s="3">
        <v>1791.000000002095</v>
      </c>
      <c r="AJ377" s="2">
        <v>1</v>
      </c>
      <c r="AK377">
        <v>15</v>
      </c>
      <c r="AL377">
        <v>0</v>
      </c>
      <c r="AM377">
        <v>0</v>
      </c>
      <c r="AN377" s="2">
        <f>IF((2*G377+M377-O377+3*V377+2*AB377+2*AE377+2*AH377+3*AJ377)&gt;=7,1,0)</f>
        <v>1</v>
      </c>
    </row>
    <row r="378" spans="1:40" x14ac:dyDescent="0.25">
      <c r="A378" t="s">
        <v>27</v>
      </c>
      <c r="B378" s="1">
        <v>37901</v>
      </c>
      <c r="C378" s="6">
        <f t="shared" si="50"/>
        <v>2003</v>
      </c>
      <c r="D378">
        <v>82.5</v>
      </c>
      <c r="E378">
        <v>69.900000000000006</v>
      </c>
      <c r="F378">
        <v>75.599999999999994</v>
      </c>
      <c r="G378" s="2">
        <f t="shared" si="51"/>
        <v>1</v>
      </c>
      <c r="H378">
        <v>83.4</v>
      </c>
      <c r="I378">
        <v>69.900000000000006</v>
      </c>
      <c r="J378">
        <v>75.900000000000006</v>
      </c>
      <c r="K378">
        <v>62.6</v>
      </c>
      <c r="L378">
        <v>65</v>
      </c>
      <c r="M378" s="2">
        <f t="shared" si="52"/>
        <v>1</v>
      </c>
      <c r="N378">
        <v>0</v>
      </c>
      <c r="O378" s="2">
        <f t="shared" si="53"/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 s="2">
        <f t="shared" si="54"/>
        <v>0</v>
      </c>
      <c r="W378">
        <v>25.3</v>
      </c>
      <c r="X378" s="2">
        <f t="shared" si="55"/>
        <v>1</v>
      </c>
      <c r="Y378">
        <v>276.10000000000002</v>
      </c>
      <c r="Z378" s="2" t="str">
        <f>CHOOSE(MATCH(Y378,{0;11;80;111;161;191;241;281;341},1),"North","NorthEast","East","SouthEast","South","SouthWest","West","NorthWest","North")</f>
        <v>West</v>
      </c>
      <c r="AA378" s="4">
        <f>CHOOSE(MATCH(Z378,{"South";"SouthEast";"SouthWest";"North";"NorthEast";"East";"West";"NorthWest"},0),1,2,3,4,5,6,7,8)</f>
        <v>7</v>
      </c>
      <c r="AB378" s="2">
        <f t="shared" si="56"/>
        <v>0</v>
      </c>
      <c r="AC378">
        <v>1015</v>
      </c>
      <c r="AD378" t="s">
        <v>642</v>
      </c>
      <c r="AE378" s="2">
        <f t="shared" si="57"/>
        <v>0</v>
      </c>
      <c r="AF378" t="s">
        <v>643</v>
      </c>
      <c r="AG378" s="2">
        <f t="shared" si="58"/>
        <v>10</v>
      </c>
      <c r="AH378" s="2">
        <f t="shared" si="59"/>
        <v>0</v>
      </c>
      <c r="AI378" s="3">
        <v>304.99999999883579</v>
      </c>
      <c r="AJ378" s="2">
        <v>0</v>
      </c>
      <c r="AK378">
        <v>1.5</v>
      </c>
      <c r="AL378">
        <v>0</v>
      </c>
      <c r="AM378">
        <v>0</v>
      </c>
      <c r="AN378" s="2">
        <f>IF((2*G378+M378-O378+3*V378+2*AB378+2*AE378+2*AH378+3*AJ378)&gt;=7,1,0)</f>
        <v>0</v>
      </c>
    </row>
    <row r="379" spans="1:40" x14ac:dyDescent="0.25">
      <c r="A379" t="s">
        <v>27</v>
      </c>
      <c r="B379" s="1">
        <v>37907</v>
      </c>
      <c r="C379" s="6">
        <f t="shared" si="50"/>
        <v>2003</v>
      </c>
      <c r="D379">
        <v>73.5</v>
      </c>
      <c r="E379">
        <v>68.099999999999994</v>
      </c>
      <c r="F379">
        <v>70.7</v>
      </c>
      <c r="G379" s="2">
        <f t="shared" si="51"/>
        <v>1</v>
      </c>
      <c r="H379">
        <v>73.5</v>
      </c>
      <c r="I379">
        <v>68.099999999999994</v>
      </c>
      <c r="J379">
        <v>70.7</v>
      </c>
      <c r="K379">
        <v>52.2</v>
      </c>
      <c r="L379">
        <v>52</v>
      </c>
      <c r="M379" s="2">
        <f t="shared" si="52"/>
        <v>1</v>
      </c>
      <c r="N379">
        <v>0</v>
      </c>
      <c r="O379" s="2">
        <f t="shared" si="53"/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 s="2">
        <f t="shared" si="54"/>
        <v>0</v>
      </c>
      <c r="W379">
        <v>16.100000000000001</v>
      </c>
      <c r="X379" s="2">
        <f t="shared" si="55"/>
        <v>1</v>
      </c>
      <c r="Y379">
        <v>318.10000000000002</v>
      </c>
      <c r="Z379" s="2" t="str">
        <f>CHOOSE(MATCH(Y379,{0;11;80;111;161;191;241;281;341},1),"North","NorthEast","East","SouthEast","South","SouthWest","West","NorthWest","North")</f>
        <v>NorthWest</v>
      </c>
      <c r="AA379" s="4">
        <f>CHOOSE(MATCH(Z379,{"South";"SouthEast";"SouthWest";"North";"NorthEast";"East";"West";"NorthWest"},0),1,2,3,4,5,6,7,8)</f>
        <v>8</v>
      </c>
      <c r="AB379" s="2">
        <f t="shared" si="56"/>
        <v>1</v>
      </c>
      <c r="AC379">
        <v>1016.3</v>
      </c>
      <c r="AD379" t="s">
        <v>644</v>
      </c>
      <c r="AE379" s="2">
        <f t="shared" si="57"/>
        <v>1</v>
      </c>
      <c r="AF379" t="s">
        <v>645</v>
      </c>
      <c r="AG379" s="2">
        <f t="shared" si="58"/>
        <v>10</v>
      </c>
      <c r="AH379" s="2">
        <f t="shared" si="59"/>
        <v>0</v>
      </c>
      <c r="AI379" s="3">
        <v>214.99999999883579</v>
      </c>
      <c r="AJ379" s="2">
        <v>0</v>
      </c>
      <c r="AK379">
        <v>0.5</v>
      </c>
      <c r="AL379">
        <v>0</v>
      </c>
      <c r="AM379">
        <v>0</v>
      </c>
      <c r="AN379" s="2">
        <f>IF((2*G379+M379-O379+3*V379+2*AB379+2*AE379+2*AH379+3*AJ379)&gt;=7,1,0)</f>
        <v>0</v>
      </c>
    </row>
    <row r="380" spans="1:40" x14ac:dyDescent="0.25">
      <c r="A380" t="s">
        <v>27</v>
      </c>
      <c r="B380" s="1">
        <v>37914</v>
      </c>
      <c r="C380" s="6">
        <f t="shared" si="50"/>
        <v>2003</v>
      </c>
      <c r="D380">
        <v>93.3</v>
      </c>
      <c r="E380">
        <v>80.7</v>
      </c>
      <c r="F380">
        <v>86.2</v>
      </c>
      <c r="G380" s="2">
        <f t="shared" si="51"/>
        <v>1</v>
      </c>
      <c r="H380">
        <v>89.7</v>
      </c>
      <c r="I380">
        <v>79.5</v>
      </c>
      <c r="J380">
        <v>83.6</v>
      </c>
      <c r="K380">
        <v>46.9</v>
      </c>
      <c r="L380">
        <v>26</v>
      </c>
      <c r="M380" s="2">
        <f t="shared" si="52"/>
        <v>1</v>
      </c>
      <c r="N380">
        <v>0</v>
      </c>
      <c r="O380" s="2">
        <f t="shared" si="53"/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s="2">
        <f t="shared" si="54"/>
        <v>0</v>
      </c>
      <c r="W380">
        <v>20.8</v>
      </c>
      <c r="X380" s="2">
        <f t="shared" si="55"/>
        <v>1</v>
      </c>
      <c r="Y380">
        <v>173</v>
      </c>
      <c r="Z380" s="2" t="str">
        <f>CHOOSE(MATCH(Y380,{0;11;80;111;161;191;241;281;341},1),"North","NorthEast","East","SouthEast","South","SouthWest","West","NorthWest","North")</f>
        <v>South</v>
      </c>
      <c r="AA380" s="4">
        <f>CHOOSE(MATCH(Z380,{"South";"SouthEast";"SouthWest";"North";"NorthEast";"East";"West";"NorthWest"},0),1,2,3,4,5,6,7,8)</f>
        <v>1</v>
      </c>
      <c r="AB380" s="2">
        <f t="shared" si="56"/>
        <v>0</v>
      </c>
      <c r="AC380">
        <v>1012.7</v>
      </c>
      <c r="AD380" t="s">
        <v>205</v>
      </c>
      <c r="AE380" s="2">
        <f t="shared" si="57"/>
        <v>1</v>
      </c>
      <c r="AF380" t="s">
        <v>646</v>
      </c>
      <c r="AG380" s="2">
        <f t="shared" si="58"/>
        <v>10</v>
      </c>
      <c r="AH380" s="2">
        <f t="shared" si="59"/>
        <v>0</v>
      </c>
      <c r="AI380" s="3">
        <v>210.99999999627471</v>
      </c>
      <c r="AJ380" s="2">
        <v>0</v>
      </c>
      <c r="AK380">
        <v>3</v>
      </c>
      <c r="AL380">
        <v>0</v>
      </c>
      <c r="AM380">
        <v>0</v>
      </c>
      <c r="AN380" s="2">
        <f>IF((2*G380+M380-O380+3*V380+2*AB380+2*AE380+2*AH380+3*AJ380)&gt;=7,1,0)</f>
        <v>0</v>
      </c>
    </row>
    <row r="381" spans="1:40" x14ac:dyDescent="0.25">
      <c r="A381" t="s">
        <v>27</v>
      </c>
      <c r="B381" s="1">
        <v>37915</v>
      </c>
      <c r="C381" s="6">
        <f t="shared" si="50"/>
        <v>2003</v>
      </c>
      <c r="D381">
        <v>82.5</v>
      </c>
      <c r="E381">
        <v>68.099999999999994</v>
      </c>
      <c r="F381">
        <v>76.400000000000006</v>
      </c>
      <c r="G381" s="2">
        <f t="shared" si="51"/>
        <v>1</v>
      </c>
      <c r="H381">
        <v>81.3</v>
      </c>
      <c r="I381">
        <v>68.099999999999994</v>
      </c>
      <c r="J381">
        <v>76.2</v>
      </c>
      <c r="K381">
        <v>62.7</v>
      </c>
      <c r="L381">
        <v>66.7</v>
      </c>
      <c r="M381" s="2">
        <f t="shared" si="52"/>
        <v>0</v>
      </c>
      <c r="N381">
        <v>0</v>
      </c>
      <c r="O381" s="2">
        <f t="shared" si="53"/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 s="2">
        <f t="shared" si="54"/>
        <v>0</v>
      </c>
      <c r="W381">
        <v>15</v>
      </c>
      <c r="X381" s="2">
        <f t="shared" si="55"/>
        <v>0</v>
      </c>
      <c r="Y381">
        <v>239.9</v>
      </c>
      <c r="Z381" s="2" t="str">
        <f>CHOOSE(MATCH(Y381,{0;11;80;111;161;191;241;281;341},1),"North","NorthEast","East","SouthEast","South","SouthWest","West","NorthWest","North")</f>
        <v>SouthWest</v>
      </c>
      <c r="AA381" s="4">
        <f>CHOOSE(MATCH(Z381,{"South";"SouthEast";"SouthWest";"North";"NorthEast";"East";"West";"NorthWest"},0),1,2,3,4,5,6,7,8)</f>
        <v>3</v>
      </c>
      <c r="AB381" s="2">
        <f t="shared" si="56"/>
        <v>0</v>
      </c>
      <c r="AC381">
        <v>1015.1</v>
      </c>
      <c r="AD381" t="s">
        <v>233</v>
      </c>
      <c r="AE381" s="2">
        <f t="shared" si="57"/>
        <v>1</v>
      </c>
      <c r="AF381" t="s">
        <v>647</v>
      </c>
      <c r="AG381" s="2">
        <f t="shared" si="58"/>
        <v>10</v>
      </c>
      <c r="AH381" s="2">
        <f t="shared" si="59"/>
        <v>0</v>
      </c>
      <c r="AI381" s="3">
        <v>416.00000000442378</v>
      </c>
      <c r="AJ381" s="2">
        <v>1</v>
      </c>
      <c r="AK381">
        <v>5</v>
      </c>
      <c r="AL381">
        <v>0</v>
      </c>
      <c r="AM381">
        <v>0</v>
      </c>
      <c r="AN381" s="2">
        <f>IF((2*G381+M381-O381+3*V381+2*AB381+2*AE381+2*AH381+3*AJ381)&gt;=7,1,0)</f>
        <v>0</v>
      </c>
    </row>
    <row r="382" spans="1:40" x14ac:dyDescent="0.25">
      <c r="A382" t="s">
        <v>27</v>
      </c>
      <c r="B382" s="1">
        <v>37917</v>
      </c>
      <c r="C382" s="6">
        <f t="shared" si="50"/>
        <v>2003</v>
      </c>
      <c r="D382">
        <v>91.5</v>
      </c>
      <c r="E382">
        <v>78.900000000000006</v>
      </c>
      <c r="F382">
        <v>84.9</v>
      </c>
      <c r="G382" s="2">
        <f t="shared" si="51"/>
        <v>1</v>
      </c>
      <c r="H382">
        <v>88</v>
      </c>
      <c r="I382">
        <v>78.900000000000006</v>
      </c>
      <c r="J382">
        <v>82.6</v>
      </c>
      <c r="K382">
        <v>44.2</v>
      </c>
      <c r="L382">
        <v>24.2</v>
      </c>
      <c r="M382" s="2">
        <f t="shared" si="52"/>
        <v>1</v>
      </c>
      <c r="N382">
        <v>0</v>
      </c>
      <c r="O382" s="2">
        <f t="shared" si="53"/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 s="2">
        <f t="shared" si="54"/>
        <v>0</v>
      </c>
      <c r="W382">
        <v>28.9</v>
      </c>
      <c r="X382" s="2">
        <f t="shared" si="55"/>
        <v>1</v>
      </c>
      <c r="Y382">
        <v>170.6</v>
      </c>
      <c r="Z382" s="2" t="str">
        <f>CHOOSE(MATCH(Y382,{0;11;80;111;161;191;241;281;341},1),"North","NorthEast","East","SouthEast","South","SouthWest","West","NorthWest","North")</f>
        <v>South</v>
      </c>
      <c r="AA382" s="4">
        <f>CHOOSE(MATCH(Z382,{"South";"SouthEast";"SouthWest";"North";"NorthEast";"East";"West";"NorthWest"},0),1,2,3,4,5,6,7,8)</f>
        <v>1</v>
      </c>
      <c r="AB382" s="2">
        <f t="shared" si="56"/>
        <v>0</v>
      </c>
      <c r="AC382">
        <v>1014.1</v>
      </c>
      <c r="AD382" t="s">
        <v>334</v>
      </c>
      <c r="AE382" s="2">
        <f t="shared" si="57"/>
        <v>0</v>
      </c>
      <c r="AF382" t="s">
        <v>648</v>
      </c>
      <c r="AG382" s="2">
        <f t="shared" si="58"/>
        <v>10</v>
      </c>
      <c r="AH382" s="2">
        <f t="shared" si="59"/>
        <v>0</v>
      </c>
      <c r="AI382" s="3">
        <v>91.000000003259629</v>
      </c>
      <c r="AJ382" s="2">
        <v>0</v>
      </c>
      <c r="AK382">
        <v>4</v>
      </c>
      <c r="AL382">
        <v>0</v>
      </c>
      <c r="AM382">
        <v>0</v>
      </c>
      <c r="AN382" s="2">
        <f>IF((2*G382+M382-O382+3*V382+2*AB382+2*AE382+2*AH382+3*AJ382)&gt;=7,1,0)</f>
        <v>0</v>
      </c>
    </row>
    <row r="383" spans="1:40" x14ac:dyDescent="0.25">
      <c r="A383" t="s">
        <v>27</v>
      </c>
      <c r="B383" s="1">
        <v>37997</v>
      </c>
      <c r="C383" s="6">
        <f t="shared" si="50"/>
        <v>2004</v>
      </c>
      <c r="D383">
        <v>53.7</v>
      </c>
      <c r="E383">
        <v>50.1</v>
      </c>
      <c r="F383">
        <v>52</v>
      </c>
      <c r="G383" s="2">
        <f t="shared" si="51"/>
        <v>0</v>
      </c>
      <c r="H383">
        <v>53.7</v>
      </c>
      <c r="I383">
        <v>50.1</v>
      </c>
      <c r="J383">
        <v>52</v>
      </c>
      <c r="K383">
        <v>46.4</v>
      </c>
      <c r="L383">
        <v>81.099999999999994</v>
      </c>
      <c r="M383" s="2">
        <f t="shared" si="52"/>
        <v>0</v>
      </c>
      <c r="N383">
        <v>0.59</v>
      </c>
      <c r="O383" s="2">
        <f t="shared" si="53"/>
        <v>0</v>
      </c>
      <c r="P383">
        <v>100</v>
      </c>
      <c r="Q383">
        <v>12.5</v>
      </c>
      <c r="R383" t="s">
        <v>182</v>
      </c>
      <c r="S383">
        <v>0</v>
      </c>
      <c r="T383">
        <v>0</v>
      </c>
      <c r="U383">
        <v>0</v>
      </c>
      <c r="V383" s="2">
        <f t="shared" si="54"/>
        <v>0</v>
      </c>
      <c r="W383">
        <v>38</v>
      </c>
      <c r="X383" s="2">
        <f t="shared" si="55"/>
        <v>1</v>
      </c>
      <c r="Y383">
        <v>302.5</v>
      </c>
      <c r="Z383" s="2" t="str">
        <f>CHOOSE(MATCH(Y383,{0;11;80;111;161;191;241;281;341},1),"North","NorthEast","East","SouthEast","South","SouthWest","West","NorthWest","North")</f>
        <v>NorthWest</v>
      </c>
      <c r="AA383" s="4">
        <f>CHOOSE(MATCH(Z383,{"South";"SouthEast";"SouthWest";"North";"NorthEast";"East";"West";"NorthWest"},0),1,2,3,4,5,6,7,8)</f>
        <v>8</v>
      </c>
      <c r="AB383" s="2">
        <f t="shared" si="56"/>
        <v>1</v>
      </c>
      <c r="AC383">
        <v>1002.6</v>
      </c>
      <c r="AD383" t="s">
        <v>649</v>
      </c>
      <c r="AE383" s="2">
        <f t="shared" si="57"/>
        <v>1</v>
      </c>
      <c r="AF383" t="s">
        <v>650</v>
      </c>
      <c r="AG383" s="2">
        <f t="shared" si="58"/>
        <v>1</v>
      </c>
      <c r="AH383" s="2">
        <f t="shared" si="59"/>
        <v>0</v>
      </c>
      <c r="AI383" s="3">
        <v>307.0000000053551</v>
      </c>
      <c r="AJ383" s="2">
        <v>0</v>
      </c>
      <c r="AK383">
        <v>0</v>
      </c>
      <c r="AL383">
        <v>30</v>
      </c>
      <c r="AM383">
        <v>0</v>
      </c>
      <c r="AN383" s="2">
        <f>IF((2*G383+M383-O383+3*V383+2*AB383+2*AE383+2*AH383+3*AJ383)&gt;=7,1,0)</f>
        <v>0</v>
      </c>
    </row>
    <row r="384" spans="1:40" x14ac:dyDescent="0.25">
      <c r="A384" t="s">
        <v>27</v>
      </c>
      <c r="B384" s="1">
        <v>38001</v>
      </c>
      <c r="C384" s="6">
        <f t="shared" si="50"/>
        <v>2004</v>
      </c>
      <c r="D384">
        <v>68.099999999999994</v>
      </c>
      <c r="E384">
        <v>53.7</v>
      </c>
      <c r="F384">
        <v>59.4</v>
      </c>
      <c r="G384" s="2">
        <f t="shared" si="51"/>
        <v>0</v>
      </c>
      <c r="H384">
        <v>68.099999999999994</v>
      </c>
      <c r="I384">
        <v>53.7</v>
      </c>
      <c r="J384">
        <v>59.4</v>
      </c>
      <c r="K384">
        <v>52.1</v>
      </c>
      <c r="L384">
        <v>77.2</v>
      </c>
      <c r="M384" s="2">
        <f t="shared" si="52"/>
        <v>0</v>
      </c>
      <c r="N384">
        <v>0</v>
      </c>
      <c r="O384" s="2">
        <f t="shared" si="53"/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 s="2">
        <f t="shared" si="54"/>
        <v>0</v>
      </c>
      <c r="W384">
        <v>15</v>
      </c>
      <c r="X384" s="2">
        <f t="shared" si="55"/>
        <v>0</v>
      </c>
      <c r="Y384">
        <v>163.19999999999999</v>
      </c>
      <c r="Z384" s="2" t="str">
        <f>CHOOSE(MATCH(Y384,{0;11;80;111;161;191;241;281;341},1),"North","NorthEast","East","SouthEast","South","SouthWest","West","NorthWest","North")</f>
        <v>South</v>
      </c>
      <c r="AA384" s="4">
        <f>CHOOSE(MATCH(Z384,{"South";"SouthEast";"SouthWest";"North";"NorthEast";"East";"West";"NorthWest"},0),1,2,3,4,5,6,7,8)</f>
        <v>1</v>
      </c>
      <c r="AB384" s="2">
        <f t="shared" si="56"/>
        <v>0</v>
      </c>
      <c r="AC384">
        <v>1005.8</v>
      </c>
      <c r="AD384" t="s">
        <v>34</v>
      </c>
      <c r="AE384" s="2">
        <f t="shared" si="57"/>
        <v>1</v>
      </c>
      <c r="AF384" t="s">
        <v>651</v>
      </c>
      <c r="AG384" s="2">
        <f t="shared" si="58"/>
        <v>1</v>
      </c>
      <c r="AH384" s="2">
        <f t="shared" si="59"/>
        <v>0</v>
      </c>
      <c r="AI384" s="3">
        <v>130.99999999743889</v>
      </c>
      <c r="AJ384" s="2">
        <v>0</v>
      </c>
      <c r="AK384">
        <v>0</v>
      </c>
      <c r="AL384">
        <v>1.5</v>
      </c>
      <c r="AM384">
        <v>0</v>
      </c>
      <c r="AN384" s="2">
        <f>IF((2*G384+M384-O384+3*V384+2*AB384+2*AE384+2*AH384+3*AJ384)&gt;=7,1,0)</f>
        <v>0</v>
      </c>
    </row>
    <row r="385" spans="1:40" x14ac:dyDescent="0.25">
      <c r="A385" t="s">
        <v>27</v>
      </c>
      <c r="B385" s="1">
        <v>38022</v>
      </c>
      <c r="C385" s="6">
        <f t="shared" si="50"/>
        <v>2004</v>
      </c>
      <c r="D385">
        <v>57.3</v>
      </c>
      <c r="E385">
        <v>50.1</v>
      </c>
      <c r="F385">
        <v>54.5</v>
      </c>
      <c r="G385" s="2">
        <f t="shared" si="51"/>
        <v>0</v>
      </c>
      <c r="H385">
        <v>57.3</v>
      </c>
      <c r="I385">
        <v>50.1</v>
      </c>
      <c r="J385">
        <v>54.5</v>
      </c>
      <c r="K385">
        <v>40.5</v>
      </c>
      <c r="L385">
        <v>59.4</v>
      </c>
      <c r="M385" s="2">
        <f t="shared" si="52"/>
        <v>1</v>
      </c>
      <c r="N385">
        <v>0</v>
      </c>
      <c r="O385" s="2">
        <f t="shared" si="53"/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 s="2">
        <f t="shared" si="54"/>
        <v>0</v>
      </c>
      <c r="W385">
        <v>31.1</v>
      </c>
      <c r="X385" s="2">
        <f t="shared" si="55"/>
        <v>1</v>
      </c>
      <c r="Y385">
        <v>317</v>
      </c>
      <c r="Z385" s="2" t="str">
        <f>CHOOSE(MATCH(Y385,{0;11;80;111;161;191;241;281;341},1),"North","NorthEast","East","SouthEast","South","SouthWest","West","NorthWest","North")</f>
        <v>NorthWest</v>
      </c>
      <c r="AA385" s="4">
        <f>CHOOSE(MATCH(Z385,{"South";"SouthEast";"SouthWest";"North";"NorthEast";"East";"West";"NorthWest"},0),1,2,3,4,5,6,7,8)</f>
        <v>8</v>
      </c>
      <c r="AB385" s="2">
        <f t="shared" si="56"/>
        <v>1</v>
      </c>
      <c r="AC385">
        <v>1024.4000000000001</v>
      </c>
      <c r="AD385" t="s">
        <v>285</v>
      </c>
      <c r="AE385" s="2">
        <f t="shared" si="57"/>
        <v>1</v>
      </c>
      <c r="AF385" t="s">
        <v>652</v>
      </c>
      <c r="AG385" s="2">
        <f t="shared" si="58"/>
        <v>2</v>
      </c>
      <c r="AH385" s="2">
        <f t="shared" si="59"/>
        <v>0</v>
      </c>
      <c r="AI385" s="3">
        <v>81.000000002095476</v>
      </c>
      <c r="AJ385" s="2">
        <v>0</v>
      </c>
      <c r="AK385">
        <v>0</v>
      </c>
      <c r="AL385">
        <v>2</v>
      </c>
      <c r="AM385">
        <v>0</v>
      </c>
      <c r="AN385" s="2">
        <f>IF((2*G385+M385-O385+3*V385+2*AB385+2*AE385+2*AH385+3*AJ385)&gt;=7,1,0)</f>
        <v>0</v>
      </c>
    </row>
    <row r="386" spans="1:40" x14ac:dyDescent="0.25">
      <c r="A386" t="s">
        <v>27</v>
      </c>
      <c r="B386" s="1">
        <v>38024</v>
      </c>
      <c r="C386" s="6">
        <f t="shared" si="50"/>
        <v>2004</v>
      </c>
      <c r="D386">
        <v>62.7</v>
      </c>
      <c r="E386">
        <v>50.1</v>
      </c>
      <c r="F386">
        <v>57.2</v>
      </c>
      <c r="G386" s="2">
        <f t="shared" si="51"/>
        <v>0</v>
      </c>
      <c r="H386">
        <v>62.7</v>
      </c>
      <c r="I386">
        <v>50.1</v>
      </c>
      <c r="J386">
        <v>57.2</v>
      </c>
      <c r="K386">
        <v>48.4</v>
      </c>
      <c r="L386">
        <v>72.900000000000006</v>
      </c>
      <c r="M386" s="2">
        <f t="shared" si="52"/>
        <v>0</v>
      </c>
      <c r="N386">
        <v>0</v>
      </c>
      <c r="O386" s="2">
        <f t="shared" si="53"/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 s="2">
        <f t="shared" si="54"/>
        <v>0</v>
      </c>
      <c r="W386">
        <v>20.8</v>
      </c>
      <c r="X386" s="2">
        <f t="shared" si="55"/>
        <v>1</v>
      </c>
      <c r="Y386">
        <v>155.80000000000001</v>
      </c>
      <c r="Z386" s="2" t="str">
        <f>CHOOSE(MATCH(Y386,{0;11;80;111;161;191;241;281;341},1),"North","NorthEast","East","SouthEast","South","SouthWest","West","NorthWest","North")</f>
        <v>SouthEast</v>
      </c>
      <c r="AA386" s="4">
        <f>CHOOSE(MATCH(Z386,{"South";"SouthEast";"SouthWest";"North";"NorthEast";"East";"West";"NorthWest"},0),1,2,3,4,5,6,7,8)</f>
        <v>2</v>
      </c>
      <c r="AB386" s="2">
        <f t="shared" si="56"/>
        <v>0</v>
      </c>
      <c r="AC386">
        <v>1024.4000000000001</v>
      </c>
      <c r="AD386" t="s">
        <v>461</v>
      </c>
      <c r="AE386" s="2">
        <f t="shared" si="57"/>
        <v>1</v>
      </c>
      <c r="AF386" t="s">
        <v>653</v>
      </c>
      <c r="AG386" s="2">
        <f t="shared" si="58"/>
        <v>2</v>
      </c>
      <c r="AH386" s="2">
        <f t="shared" si="59"/>
        <v>0</v>
      </c>
      <c r="AI386" s="3">
        <v>294.99999999767169</v>
      </c>
      <c r="AJ386" s="2">
        <v>0</v>
      </c>
      <c r="AK386">
        <v>0</v>
      </c>
      <c r="AL386">
        <v>0.1</v>
      </c>
      <c r="AM386">
        <v>0</v>
      </c>
      <c r="AN386" s="2">
        <f>IF((2*G386+M386-O386+3*V386+2*AB386+2*AE386+2*AH386+3*AJ386)&gt;=7,1,0)</f>
        <v>0</v>
      </c>
    </row>
    <row r="387" spans="1:40" x14ac:dyDescent="0.25">
      <c r="A387" t="s">
        <v>27</v>
      </c>
      <c r="B387" s="1">
        <v>38024</v>
      </c>
      <c r="C387" s="6">
        <f t="shared" ref="C387:C450" si="60">YEAR(B387)</f>
        <v>2004</v>
      </c>
      <c r="D387">
        <v>62.7</v>
      </c>
      <c r="E387">
        <v>50.1</v>
      </c>
      <c r="F387">
        <v>57.2</v>
      </c>
      <c r="G387" s="2">
        <f t="shared" ref="G387:G450" si="61">IF(F387&lt;=70,0,1)</f>
        <v>0</v>
      </c>
      <c r="H387">
        <v>62.7</v>
      </c>
      <c r="I387">
        <v>50.1</v>
      </c>
      <c r="J387">
        <v>57.2</v>
      </c>
      <c r="K387">
        <v>48.4</v>
      </c>
      <c r="L387">
        <v>72.900000000000006</v>
      </c>
      <c r="M387" s="2">
        <f t="shared" ref="M387:M450" si="62">IF(L387&lt;=66,1,0)</f>
        <v>0</v>
      </c>
      <c r="N387">
        <v>0</v>
      </c>
      <c r="O387" s="2">
        <f t="shared" ref="O387:O450" si="63">IF(N387&lt;=0.01,1,0)</f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s="2">
        <f t="shared" ref="V387:V450" si="64">IF(U387&lt;=9,0,1)</f>
        <v>0</v>
      </c>
      <c r="W387">
        <v>20.8</v>
      </c>
      <c r="X387" s="2">
        <f t="shared" ref="X387:X450" si="65">IF(W387&gt;=16,1,0)</f>
        <v>1</v>
      </c>
      <c r="Y387">
        <v>155.80000000000001</v>
      </c>
      <c r="Z387" s="2" t="str">
        <f>CHOOSE(MATCH(Y387,{0;11;80;111;161;191;241;281;341},1),"North","NorthEast","East","SouthEast","South","SouthWest","West","NorthWest","North")</f>
        <v>SouthEast</v>
      </c>
      <c r="AA387" s="4">
        <f>CHOOSE(MATCH(Z387,{"South";"SouthEast";"SouthWest";"North";"NorthEast";"East";"West";"NorthWest"},0),1,2,3,4,5,6,7,8)</f>
        <v>2</v>
      </c>
      <c r="AB387" s="2">
        <f t="shared" ref="AB387:AB450" si="66">IF(OR(AA387=4,AA387=5,AA387=8),1,0)</f>
        <v>0</v>
      </c>
      <c r="AC387">
        <v>1024.4000000000001</v>
      </c>
      <c r="AD387" t="s">
        <v>197</v>
      </c>
      <c r="AE387" s="2">
        <f t="shared" ref="AE387:AE450" si="67">IF(TIMEVALUE(AD387)&lt;=TIME(12,30,0),0,1)</f>
        <v>1</v>
      </c>
      <c r="AF387" t="s">
        <v>654</v>
      </c>
      <c r="AG387" s="2">
        <f t="shared" ref="AG387:AG450" si="68">MONTH(AF387)</f>
        <v>2</v>
      </c>
      <c r="AH387" s="2">
        <f t="shared" ref="AH387:AH450" si="69">IF(OR(AG387=6,AG387=7,AG387=8),1,0)</f>
        <v>0</v>
      </c>
      <c r="AI387" s="3">
        <v>130.99999999743889</v>
      </c>
      <c r="AJ387" s="2">
        <v>0</v>
      </c>
      <c r="AK387">
        <v>0</v>
      </c>
      <c r="AL387">
        <v>3</v>
      </c>
      <c r="AM387">
        <v>0</v>
      </c>
      <c r="AN387" s="2">
        <f>IF((2*G387+M387-O387+3*V387+2*AB387+2*AE387+2*AH387+3*AJ387)&gt;=7,1,0)</f>
        <v>0</v>
      </c>
    </row>
    <row r="388" spans="1:40" x14ac:dyDescent="0.25">
      <c r="A388" t="s">
        <v>27</v>
      </c>
      <c r="B388" s="1">
        <v>38024</v>
      </c>
      <c r="C388" s="6">
        <f t="shared" si="60"/>
        <v>2004</v>
      </c>
      <c r="D388">
        <v>62.7</v>
      </c>
      <c r="E388">
        <v>50.1</v>
      </c>
      <c r="F388">
        <v>57.2</v>
      </c>
      <c r="G388" s="2">
        <f t="shared" si="61"/>
        <v>0</v>
      </c>
      <c r="H388">
        <v>62.7</v>
      </c>
      <c r="I388">
        <v>50.1</v>
      </c>
      <c r="J388">
        <v>57.2</v>
      </c>
      <c r="K388">
        <v>48.4</v>
      </c>
      <c r="L388">
        <v>72.900000000000006</v>
      </c>
      <c r="M388" s="2">
        <f t="shared" si="62"/>
        <v>0</v>
      </c>
      <c r="N388">
        <v>0</v>
      </c>
      <c r="O388" s="2">
        <f t="shared" si="63"/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s="2">
        <f t="shared" si="64"/>
        <v>0</v>
      </c>
      <c r="W388">
        <v>20.8</v>
      </c>
      <c r="X388" s="2">
        <f t="shared" si="65"/>
        <v>1</v>
      </c>
      <c r="Y388">
        <v>155.80000000000001</v>
      </c>
      <c r="Z388" s="2" t="str">
        <f>CHOOSE(MATCH(Y388,{0;11;80;111;161;191;241;281;341},1),"North","NorthEast","East","SouthEast","South","SouthWest","West","NorthWest","North")</f>
        <v>SouthEast</v>
      </c>
      <c r="AA388" s="4">
        <f>CHOOSE(MATCH(Z388,{"South";"SouthEast";"SouthWest";"North";"NorthEast";"East";"West";"NorthWest"},0),1,2,3,4,5,6,7,8)</f>
        <v>2</v>
      </c>
      <c r="AB388" s="2">
        <f t="shared" si="66"/>
        <v>0</v>
      </c>
      <c r="AC388">
        <v>1024.4000000000001</v>
      </c>
      <c r="AD388" t="s">
        <v>193</v>
      </c>
      <c r="AE388" s="2">
        <f t="shared" si="67"/>
        <v>1</v>
      </c>
      <c r="AF388" t="s">
        <v>655</v>
      </c>
      <c r="AG388" s="2">
        <f t="shared" si="68"/>
        <v>2</v>
      </c>
      <c r="AH388" s="2">
        <f t="shared" si="69"/>
        <v>0</v>
      </c>
      <c r="AI388" s="3">
        <v>1106.0000000009311</v>
      </c>
      <c r="AJ388" s="2">
        <v>1</v>
      </c>
      <c r="AK388">
        <v>0</v>
      </c>
      <c r="AL388">
        <v>10</v>
      </c>
      <c r="AM388">
        <v>0</v>
      </c>
      <c r="AN388" s="2">
        <f>IF((2*G388+M388-O388+3*V388+2*AB388+2*AE388+2*AH388+3*AJ388)&gt;=7,1,0)</f>
        <v>0</v>
      </c>
    </row>
    <row r="389" spans="1:40" x14ac:dyDescent="0.25">
      <c r="A389" t="s">
        <v>27</v>
      </c>
      <c r="B389" s="1">
        <v>38025</v>
      </c>
      <c r="C389" s="6">
        <f t="shared" si="60"/>
        <v>2004</v>
      </c>
      <c r="D389">
        <v>62.7</v>
      </c>
      <c r="E389">
        <v>50.1</v>
      </c>
      <c r="F389">
        <v>56.5</v>
      </c>
      <c r="G389" s="2">
        <f t="shared" si="61"/>
        <v>0</v>
      </c>
      <c r="H389">
        <v>62.7</v>
      </c>
      <c r="I389">
        <v>50.1</v>
      </c>
      <c r="J389">
        <v>56.5</v>
      </c>
      <c r="K389">
        <v>48.4</v>
      </c>
      <c r="L389">
        <v>74.599999999999994</v>
      </c>
      <c r="M389" s="2">
        <f t="shared" si="62"/>
        <v>0</v>
      </c>
      <c r="N389">
        <v>0</v>
      </c>
      <c r="O389" s="2">
        <f t="shared" si="63"/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 s="2">
        <f t="shared" si="64"/>
        <v>0</v>
      </c>
      <c r="W389">
        <v>17.2</v>
      </c>
      <c r="X389" s="2">
        <f t="shared" si="65"/>
        <v>1</v>
      </c>
      <c r="Y389">
        <v>156.9</v>
      </c>
      <c r="Z389" s="2" t="str">
        <f>CHOOSE(MATCH(Y389,{0;11;80;111;161;191;241;281;341},1),"North","NorthEast","East","SouthEast","South","SouthWest","West","NorthWest","North")</f>
        <v>SouthEast</v>
      </c>
      <c r="AA389" s="4">
        <f>CHOOSE(MATCH(Z389,{"South";"SouthEast";"SouthWest";"North";"NorthEast";"East";"West";"NorthWest"},0),1,2,3,4,5,6,7,8)</f>
        <v>2</v>
      </c>
      <c r="AB389" s="2">
        <f t="shared" si="66"/>
        <v>0</v>
      </c>
      <c r="AC389">
        <v>1021.7</v>
      </c>
      <c r="AD389" t="s">
        <v>359</v>
      </c>
      <c r="AE389" s="2">
        <f t="shared" si="67"/>
        <v>1</v>
      </c>
      <c r="AF389" t="s">
        <v>656</v>
      </c>
      <c r="AG389" s="2">
        <f t="shared" si="68"/>
        <v>2</v>
      </c>
      <c r="AH389" s="2">
        <f t="shared" si="69"/>
        <v>0</v>
      </c>
      <c r="AI389" s="3">
        <v>46.000000003259629</v>
      </c>
      <c r="AJ389" s="2">
        <v>0</v>
      </c>
      <c r="AK389">
        <v>0</v>
      </c>
      <c r="AL389">
        <v>4</v>
      </c>
      <c r="AM389">
        <v>0</v>
      </c>
      <c r="AN389" s="2">
        <f>IF((2*G389+M389-O389+3*V389+2*AB389+2*AE389+2*AH389+3*AJ389)&gt;=7,1,0)</f>
        <v>0</v>
      </c>
    </row>
    <row r="390" spans="1:40" x14ac:dyDescent="0.25">
      <c r="A390" t="s">
        <v>27</v>
      </c>
      <c r="B390" s="1">
        <v>38036</v>
      </c>
      <c r="C390" s="6">
        <f t="shared" si="60"/>
        <v>2004</v>
      </c>
      <c r="D390">
        <v>59.1</v>
      </c>
      <c r="E390">
        <v>39.299999999999997</v>
      </c>
      <c r="F390">
        <v>50.3</v>
      </c>
      <c r="G390" s="2">
        <f t="shared" si="61"/>
        <v>0</v>
      </c>
      <c r="H390">
        <v>59.1</v>
      </c>
      <c r="I390">
        <v>33.1</v>
      </c>
      <c r="J390">
        <v>48</v>
      </c>
      <c r="K390">
        <v>37.200000000000003</v>
      </c>
      <c r="L390">
        <v>61.6</v>
      </c>
      <c r="M390" s="2">
        <f t="shared" si="62"/>
        <v>1</v>
      </c>
      <c r="N390">
        <v>0</v>
      </c>
      <c r="O390" s="2">
        <f t="shared" si="63"/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s="2">
        <f t="shared" si="64"/>
        <v>0</v>
      </c>
      <c r="W390">
        <v>17.2</v>
      </c>
      <c r="X390" s="2">
        <f t="shared" si="65"/>
        <v>1</v>
      </c>
      <c r="Y390">
        <v>241.9</v>
      </c>
      <c r="Z390" s="2" t="str">
        <f>CHOOSE(MATCH(Y390,{0;11;80;111;161;191;241;281;341},1),"North","NorthEast","East","SouthEast","South","SouthWest","West","NorthWest","North")</f>
        <v>West</v>
      </c>
      <c r="AA390" s="4">
        <f>CHOOSE(MATCH(Z390,{"South";"SouthEast";"SouthWest";"North";"NorthEast";"East";"West";"NorthWest"},0),1,2,3,4,5,6,7,8)</f>
        <v>7</v>
      </c>
      <c r="AB390" s="2">
        <f t="shared" si="66"/>
        <v>0</v>
      </c>
      <c r="AC390">
        <v>1018.8</v>
      </c>
      <c r="AD390" t="s">
        <v>215</v>
      </c>
      <c r="AE390" s="2">
        <f t="shared" si="67"/>
        <v>1</v>
      </c>
      <c r="AF390" t="s">
        <v>657</v>
      </c>
      <c r="AG390" s="2">
        <f t="shared" si="68"/>
        <v>2</v>
      </c>
      <c r="AH390" s="2">
        <f t="shared" si="69"/>
        <v>0</v>
      </c>
      <c r="AI390" s="3">
        <v>91.000000003259629</v>
      </c>
      <c r="AJ390" s="2">
        <v>0</v>
      </c>
      <c r="AK390">
        <v>0</v>
      </c>
      <c r="AL390">
        <v>4.5</v>
      </c>
      <c r="AM390">
        <v>0</v>
      </c>
      <c r="AN390" s="2">
        <f>IF((2*G390+M390-O390+3*V390+2*AB390+2*AE390+2*AH390+3*AJ390)&gt;=7,1,0)</f>
        <v>0</v>
      </c>
    </row>
    <row r="391" spans="1:40" x14ac:dyDescent="0.25">
      <c r="A391" t="s">
        <v>27</v>
      </c>
      <c r="B391" s="1">
        <v>38038</v>
      </c>
      <c r="C391" s="6">
        <f t="shared" si="60"/>
        <v>2004</v>
      </c>
      <c r="D391">
        <v>57.3</v>
      </c>
      <c r="E391">
        <v>48.3</v>
      </c>
      <c r="F391">
        <v>52.5</v>
      </c>
      <c r="G391" s="2">
        <f t="shared" si="61"/>
        <v>0</v>
      </c>
      <c r="H391">
        <v>57.3</v>
      </c>
      <c r="I391">
        <v>40.6</v>
      </c>
      <c r="J391">
        <v>51.2</v>
      </c>
      <c r="K391">
        <v>40.299999999999997</v>
      </c>
      <c r="L391">
        <v>63.6</v>
      </c>
      <c r="M391" s="2">
        <f t="shared" si="62"/>
        <v>1</v>
      </c>
      <c r="N391">
        <v>0</v>
      </c>
      <c r="O391" s="2">
        <f t="shared" si="63"/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s="2">
        <f t="shared" si="64"/>
        <v>0</v>
      </c>
      <c r="W391">
        <v>24.2</v>
      </c>
      <c r="X391" s="2">
        <f t="shared" si="65"/>
        <v>1</v>
      </c>
      <c r="Y391">
        <v>8.6</v>
      </c>
      <c r="Z391" s="2" t="str">
        <f>CHOOSE(MATCH(Y391,{0;11;80;111;161;191;241;281;341},1),"North","NorthEast","East","SouthEast","South","SouthWest","West","NorthWest","North")</f>
        <v>North</v>
      </c>
      <c r="AA391" s="4">
        <f>CHOOSE(MATCH(Z391,{"South";"SouthEast";"SouthWest";"North";"NorthEast";"East";"West";"NorthWest"},0),1,2,3,4,5,6,7,8)</f>
        <v>4</v>
      </c>
      <c r="AB391" s="2">
        <f t="shared" si="66"/>
        <v>1</v>
      </c>
      <c r="AC391">
        <v>1024.5999999999999</v>
      </c>
      <c r="AD391" t="s">
        <v>57</v>
      </c>
      <c r="AE391" s="2">
        <f t="shared" si="67"/>
        <v>1</v>
      </c>
      <c r="AF391" t="s">
        <v>658</v>
      </c>
      <c r="AG391" s="2">
        <f t="shared" si="68"/>
        <v>2</v>
      </c>
      <c r="AH391" s="2">
        <f t="shared" si="69"/>
        <v>0</v>
      </c>
      <c r="AI391" s="3">
        <v>50.999999998603023</v>
      </c>
      <c r="AJ391" s="2">
        <v>0</v>
      </c>
      <c r="AK391">
        <v>0</v>
      </c>
      <c r="AL391">
        <v>0.1</v>
      </c>
      <c r="AM391">
        <v>0</v>
      </c>
      <c r="AN391" s="2">
        <f>IF((2*G391+M391-O391+3*V391+2*AB391+2*AE391+2*AH391+3*AJ391)&gt;=7,1,0)</f>
        <v>0</v>
      </c>
    </row>
    <row r="392" spans="1:40" x14ac:dyDescent="0.25">
      <c r="A392" t="s">
        <v>27</v>
      </c>
      <c r="B392" s="1">
        <v>38040</v>
      </c>
      <c r="C392" s="6">
        <f t="shared" si="60"/>
        <v>2004</v>
      </c>
      <c r="D392">
        <v>66.3</v>
      </c>
      <c r="E392">
        <v>51.9</v>
      </c>
      <c r="F392">
        <v>58.1</v>
      </c>
      <c r="G392" s="2">
        <f t="shared" si="61"/>
        <v>0</v>
      </c>
      <c r="H392">
        <v>66.3</v>
      </c>
      <c r="I392">
        <v>51.9</v>
      </c>
      <c r="J392">
        <v>58.1</v>
      </c>
      <c r="K392">
        <v>44.6</v>
      </c>
      <c r="L392">
        <v>60.9</v>
      </c>
      <c r="M392" s="2">
        <f t="shared" si="62"/>
        <v>1</v>
      </c>
      <c r="N392">
        <v>0</v>
      </c>
      <c r="O392" s="2">
        <f t="shared" si="63"/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s="2">
        <f t="shared" si="64"/>
        <v>0</v>
      </c>
      <c r="W392">
        <v>32.200000000000003</v>
      </c>
      <c r="X392" s="2">
        <f t="shared" si="65"/>
        <v>1</v>
      </c>
      <c r="Y392">
        <v>165.8</v>
      </c>
      <c r="Z392" s="2" t="str">
        <f>CHOOSE(MATCH(Y392,{0;11;80;111;161;191;241;281;341},1),"North","NorthEast","East","SouthEast","South","SouthWest","West","NorthWest","North")</f>
        <v>South</v>
      </c>
      <c r="AA392" s="4">
        <f>CHOOSE(MATCH(Z392,{"South";"SouthEast";"SouthWest";"North";"NorthEast";"East";"West";"NorthWest"},0),1,2,3,4,5,6,7,8)</f>
        <v>1</v>
      </c>
      <c r="AB392" s="2">
        <f t="shared" si="66"/>
        <v>0</v>
      </c>
      <c r="AC392">
        <v>1014.1</v>
      </c>
      <c r="AD392" t="s">
        <v>659</v>
      </c>
      <c r="AE392" s="2">
        <f t="shared" si="67"/>
        <v>0</v>
      </c>
      <c r="AF392" t="s">
        <v>660</v>
      </c>
      <c r="AG392" s="2">
        <f t="shared" si="68"/>
        <v>2</v>
      </c>
      <c r="AH392" s="2">
        <f t="shared" si="69"/>
        <v>0</v>
      </c>
      <c r="AI392" s="3">
        <v>99.999999990686774</v>
      </c>
      <c r="AJ392" s="2">
        <v>0</v>
      </c>
      <c r="AK392">
        <v>0</v>
      </c>
      <c r="AL392">
        <v>2</v>
      </c>
      <c r="AM392">
        <v>0</v>
      </c>
      <c r="AN392" s="2">
        <f>IF((2*G392+M392-O392+3*V392+2*AB392+2*AE392+2*AH392+3*AJ392)&gt;=7,1,0)</f>
        <v>0</v>
      </c>
    </row>
    <row r="393" spans="1:40" x14ac:dyDescent="0.25">
      <c r="A393" t="s">
        <v>27</v>
      </c>
      <c r="B393" s="1">
        <v>38043</v>
      </c>
      <c r="C393" s="6">
        <f t="shared" si="60"/>
        <v>2004</v>
      </c>
      <c r="D393">
        <v>68.099999999999994</v>
      </c>
      <c r="E393">
        <v>57.3</v>
      </c>
      <c r="F393">
        <v>62.8</v>
      </c>
      <c r="G393" s="2">
        <f t="shared" si="61"/>
        <v>0</v>
      </c>
      <c r="H393">
        <v>68.099999999999994</v>
      </c>
      <c r="I393">
        <v>57.3</v>
      </c>
      <c r="J393">
        <v>62.8</v>
      </c>
      <c r="K393">
        <v>40.200000000000003</v>
      </c>
      <c r="L393">
        <v>45.2</v>
      </c>
      <c r="M393" s="2">
        <f t="shared" si="62"/>
        <v>1</v>
      </c>
      <c r="N393">
        <v>0</v>
      </c>
      <c r="O393" s="2">
        <f t="shared" si="63"/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s="2">
        <f t="shared" si="64"/>
        <v>0</v>
      </c>
      <c r="W393">
        <v>35.6</v>
      </c>
      <c r="X393" s="2">
        <f t="shared" si="65"/>
        <v>1</v>
      </c>
      <c r="Y393">
        <v>161.4</v>
      </c>
      <c r="Z393" s="2" t="str">
        <f>CHOOSE(MATCH(Y393,{0;11;80;111;161;191;241;281;341},1),"North","NorthEast","East","SouthEast","South","SouthWest","West","NorthWest","North")</f>
        <v>South</v>
      </c>
      <c r="AA393" s="4">
        <f>CHOOSE(MATCH(Z393,{"South";"SouthEast";"SouthWest";"North";"NorthEast";"East";"West";"NorthWest"},0),1,2,3,4,5,6,7,8)</f>
        <v>1</v>
      </c>
      <c r="AB393" s="2">
        <f t="shared" si="66"/>
        <v>0</v>
      </c>
      <c r="AC393">
        <v>1014.9</v>
      </c>
      <c r="AD393" t="s">
        <v>135</v>
      </c>
      <c r="AE393" s="2">
        <f t="shared" si="67"/>
        <v>0</v>
      </c>
      <c r="AF393" t="s">
        <v>661</v>
      </c>
      <c r="AG393" s="2">
        <f t="shared" si="68"/>
        <v>2</v>
      </c>
      <c r="AH393" s="2">
        <f t="shared" si="69"/>
        <v>0</v>
      </c>
      <c r="AI393" s="3">
        <v>260.9999999916181</v>
      </c>
      <c r="AJ393" s="2">
        <v>0</v>
      </c>
      <c r="AK393">
        <v>0</v>
      </c>
      <c r="AL393">
        <v>5</v>
      </c>
      <c r="AM393">
        <v>0</v>
      </c>
      <c r="AN393" s="2">
        <f>IF((2*G393+M393-O393+3*V393+2*AB393+2*AE393+2*AH393+3*AJ393)&gt;=7,1,0)</f>
        <v>0</v>
      </c>
    </row>
    <row r="394" spans="1:40" x14ac:dyDescent="0.25">
      <c r="A394" t="s">
        <v>27</v>
      </c>
      <c r="B394" s="1">
        <v>38044</v>
      </c>
      <c r="C394" s="6">
        <f t="shared" si="60"/>
        <v>2004</v>
      </c>
      <c r="D394">
        <v>73.5</v>
      </c>
      <c r="E394">
        <v>62.7</v>
      </c>
      <c r="F394">
        <v>69.7</v>
      </c>
      <c r="G394" s="2">
        <f t="shared" si="61"/>
        <v>0</v>
      </c>
      <c r="H394">
        <v>73.5</v>
      </c>
      <c r="I394">
        <v>62.7</v>
      </c>
      <c r="J394">
        <v>69.7</v>
      </c>
      <c r="K394">
        <v>47.4</v>
      </c>
      <c r="L394">
        <v>45.8</v>
      </c>
      <c r="M394" s="2">
        <f t="shared" si="62"/>
        <v>1</v>
      </c>
      <c r="N394">
        <v>3.1E-2</v>
      </c>
      <c r="O394" s="2">
        <f t="shared" si="63"/>
        <v>0</v>
      </c>
      <c r="P394">
        <v>100</v>
      </c>
      <c r="Q394">
        <v>4.17</v>
      </c>
      <c r="R394" t="s">
        <v>182</v>
      </c>
      <c r="S394">
        <v>0</v>
      </c>
      <c r="T394">
        <v>0</v>
      </c>
      <c r="U394">
        <v>0</v>
      </c>
      <c r="V394" s="2">
        <f t="shared" si="64"/>
        <v>0</v>
      </c>
      <c r="W394">
        <v>38</v>
      </c>
      <c r="X394" s="2">
        <f t="shared" si="65"/>
        <v>1</v>
      </c>
      <c r="Y394">
        <v>167.4</v>
      </c>
      <c r="Z394" s="2" t="str">
        <f>CHOOSE(MATCH(Y394,{0;11;80;111;161;191;241;281;341},1),"North","NorthEast","East","SouthEast","South","SouthWest","West","NorthWest","North")</f>
        <v>South</v>
      </c>
      <c r="AA394" s="4">
        <f>CHOOSE(MATCH(Z394,{"South";"SouthEast";"SouthWest";"North";"NorthEast";"East";"West";"NorthWest"},0),1,2,3,4,5,6,7,8)</f>
        <v>1</v>
      </c>
      <c r="AB394" s="2">
        <f t="shared" si="66"/>
        <v>0</v>
      </c>
      <c r="AC394">
        <v>1007.4</v>
      </c>
      <c r="AD394" t="s">
        <v>258</v>
      </c>
      <c r="AE394" s="2">
        <f t="shared" si="67"/>
        <v>1</v>
      </c>
      <c r="AF394" t="s">
        <v>662</v>
      </c>
      <c r="AG394" s="2">
        <f t="shared" si="68"/>
        <v>2</v>
      </c>
      <c r="AH394" s="2">
        <f t="shared" si="69"/>
        <v>0</v>
      </c>
      <c r="AI394" s="3">
        <v>138.99999999208379</v>
      </c>
      <c r="AJ394" s="2">
        <v>0</v>
      </c>
      <c r="AK394">
        <v>0</v>
      </c>
      <c r="AL394">
        <v>1</v>
      </c>
      <c r="AM394">
        <v>0</v>
      </c>
      <c r="AN394" s="2">
        <f>IF((2*G394+M394-O394+3*V394+2*AB394+2*AE394+2*AH394+3*AJ394)&gt;=7,1,0)</f>
        <v>0</v>
      </c>
    </row>
    <row r="395" spans="1:40" x14ac:dyDescent="0.25">
      <c r="A395" t="s">
        <v>27</v>
      </c>
      <c r="B395" s="1">
        <v>38044</v>
      </c>
      <c r="C395" s="6">
        <f t="shared" si="60"/>
        <v>2004</v>
      </c>
      <c r="D395">
        <v>73.5</v>
      </c>
      <c r="E395">
        <v>62.7</v>
      </c>
      <c r="F395">
        <v>69.7</v>
      </c>
      <c r="G395" s="2">
        <f t="shared" si="61"/>
        <v>0</v>
      </c>
      <c r="H395">
        <v>73.5</v>
      </c>
      <c r="I395">
        <v>62.7</v>
      </c>
      <c r="J395">
        <v>69.7</v>
      </c>
      <c r="K395">
        <v>47.4</v>
      </c>
      <c r="L395">
        <v>45.8</v>
      </c>
      <c r="M395" s="2">
        <f t="shared" si="62"/>
        <v>1</v>
      </c>
      <c r="N395">
        <v>3.1E-2</v>
      </c>
      <c r="O395" s="2">
        <f t="shared" si="63"/>
        <v>0</v>
      </c>
      <c r="P395">
        <v>100</v>
      </c>
      <c r="Q395">
        <v>4.17</v>
      </c>
      <c r="R395" t="s">
        <v>182</v>
      </c>
      <c r="S395">
        <v>0</v>
      </c>
      <c r="T395">
        <v>0</v>
      </c>
      <c r="U395">
        <v>0</v>
      </c>
      <c r="V395" s="2">
        <f t="shared" si="64"/>
        <v>0</v>
      </c>
      <c r="W395">
        <v>38</v>
      </c>
      <c r="X395" s="2">
        <f t="shared" si="65"/>
        <v>1</v>
      </c>
      <c r="Y395">
        <v>167.4</v>
      </c>
      <c r="Z395" s="2" t="str">
        <f>CHOOSE(MATCH(Y395,{0;11;80;111;161;191;241;281;341},1),"North","NorthEast","East","SouthEast","South","SouthWest","West","NorthWest","North")</f>
        <v>South</v>
      </c>
      <c r="AA395" s="4">
        <f>CHOOSE(MATCH(Z395,{"South";"SouthEast";"SouthWest";"North";"NorthEast";"East";"West";"NorthWest"},0),1,2,3,4,5,6,7,8)</f>
        <v>1</v>
      </c>
      <c r="AB395" s="2">
        <f t="shared" si="66"/>
        <v>0</v>
      </c>
      <c r="AC395">
        <v>1007.4</v>
      </c>
      <c r="AD395" t="s">
        <v>215</v>
      </c>
      <c r="AE395" s="2">
        <f t="shared" si="67"/>
        <v>1</v>
      </c>
      <c r="AF395" t="s">
        <v>663</v>
      </c>
      <c r="AG395" s="2">
        <f t="shared" si="68"/>
        <v>2</v>
      </c>
      <c r="AH395" s="2">
        <f t="shared" si="69"/>
        <v>0</v>
      </c>
      <c r="AI395" s="3">
        <v>105.9999999997672</v>
      </c>
      <c r="AJ395" s="2">
        <v>0</v>
      </c>
      <c r="AK395">
        <v>0</v>
      </c>
      <c r="AL395">
        <v>2</v>
      </c>
      <c r="AM395">
        <v>0</v>
      </c>
      <c r="AN395" s="2">
        <f>IF((2*G395+M395-O395+3*V395+2*AB395+2*AE395+2*AH395+3*AJ395)&gt;=7,1,0)</f>
        <v>0</v>
      </c>
    </row>
    <row r="396" spans="1:40" x14ac:dyDescent="0.25">
      <c r="A396" t="s">
        <v>27</v>
      </c>
      <c r="B396" s="1">
        <v>38046</v>
      </c>
      <c r="C396" s="6">
        <f t="shared" si="60"/>
        <v>2004</v>
      </c>
      <c r="D396">
        <v>68.099999999999994</v>
      </c>
      <c r="E396">
        <v>51.9</v>
      </c>
      <c r="F396">
        <v>60.2</v>
      </c>
      <c r="G396" s="2">
        <f t="shared" si="61"/>
        <v>0</v>
      </c>
      <c r="H396">
        <v>68.099999999999994</v>
      </c>
      <c r="I396">
        <v>51.9</v>
      </c>
      <c r="J396">
        <v>60.2</v>
      </c>
      <c r="K396">
        <v>47.3</v>
      </c>
      <c r="L396">
        <v>64.400000000000006</v>
      </c>
      <c r="M396" s="2">
        <f t="shared" si="62"/>
        <v>1</v>
      </c>
      <c r="N396">
        <v>0</v>
      </c>
      <c r="O396" s="2">
        <f t="shared" si="63"/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 s="2">
        <f t="shared" si="64"/>
        <v>0</v>
      </c>
      <c r="W396">
        <v>13.9</v>
      </c>
      <c r="X396" s="2">
        <f t="shared" si="65"/>
        <v>0</v>
      </c>
      <c r="Y396">
        <v>217.7</v>
      </c>
      <c r="Z396" s="2" t="str">
        <f>CHOOSE(MATCH(Y396,{0;11;80;111;161;191;241;281;341},1),"North","NorthEast","East","SouthEast","South","SouthWest","West","NorthWest","North")</f>
        <v>SouthWest</v>
      </c>
      <c r="AA396" s="4">
        <f>CHOOSE(MATCH(Z396,{"South";"SouthEast";"SouthWest";"North";"NorthEast";"East";"West";"NorthWest"},0),1,2,3,4,5,6,7,8)</f>
        <v>3</v>
      </c>
      <c r="AB396" s="2">
        <f t="shared" si="66"/>
        <v>0</v>
      </c>
      <c r="AC396">
        <v>1014</v>
      </c>
      <c r="AD396" t="s">
        <v>195</v>
      </c>
      <c r="AE396" s="2">
        <f t="shared" si="67"/>
        <v>1</v>
      </c>
      <c r="AF396" t="s">
        <v>664</v>
      </c>
      <c r="AG396" s="2">
        <f t="shared" si="68"/>
        <v>2</v>
      </c>
      <c r="AH396" s="2">
        <f t="shared" si="69"/>
        <v>0</v>
      </c>
      <c r="AI396" s="3">
        <v>150.9999999997672</v>
      </c>
      <c r="AJ396" s="2">
        <v>0</v>
      </c>
      <c r="AK396">
        <v>0</v>
      </c>
      <c r="AL396">
        <v>2</v>
      </c>
      <c r="AM396">
        <v>0</v>
      </c>
      <c r="AN396" s="2">
        <f>IF((2*G396+M396-O396+3*V396+2*AB396+2*AE396+2*AH396+3*AJ396)&gt;=7,1,0)</f>
        <v>0</v>
      </c>
    </row>
    <row r="397" spans="1:40" x14ac:dyDescent="0.25">
      <c r="A397" t="s">
        <v>27</v>
      </c>
      <c r="B397" s="1">
        <v>38061</v>
      </c>
      <c r="C397" s="6">
        <f t="shared" si="60"/>
        <v>2004</v>
      </c>
      <c r="D397">
        <v>59.1</v>
      </c>
      <c r="E397">
        <v>51.9</v>
      </c>
      <c r="F397">
        <v>55.6</v>
      </c>
      <c r="G397" s="2">
        <f t="shared" si="61"/>
        <v>0</v>
      </c>
      <c r="H397">
        <v>59.1</v>
      </c>
      <c r="I397">
        <v>51.9</v>
      </c>
      <c r="J397">
        <v>55.6</v>
      </c>
      <c r="K397">
        <v>43.3</v>
      </c>
      <c r="L397">
        <v>63.5</v>
      </c>
      <c r="M397" s="2">
        <f t="shared" si="62"/>
        <v>1</v>
      </c>
      <c r="N397">
        <v>0</v>
      </c>
      <c r="O397" s="2">
        <f t="shared" si="63"/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s="2">
        <f t="shared" si="64"/>
        <v>0</v>
      </c>
      <c r="W397">
        <v>16.100000000000001</v>
      </c>
      <c r="X397" s="2">
        <f t="shared" si="65"/>
        <v>1</v>
      </c>
      <c r="Y397">
        <v>310</v>
      </c>
      <c r="Z397" s="2" t="str">
        <f>CHOOSE(MATCH(Y397,{0;11;80;111;161;191;241;281;341},1),"North","NorthEast","East","SouthEast","South","SouthWest","West","NorthWest","North")</f>
        <v>NorthWest</v>
      </c>
      <c r="AA397" s="4">
        <f>CHOOSE(MATCH(Z397,{"South";"SouthEast";"SouthWest";"North";"NorthEast";"East";"West";"NorthWest"},0),1,2,3,4,5,6,7,8)</f>
        <v>8</v>
      </c>
      <c r="AB397" s="2">
        <f t="shared" si="66"/>
        <v>1</v>
      </c>
      <c r="AC397">
        <v>1030.0999999999999</v>
      </c>
      <c r="AD397" t="s">
        <v>83</v>
      </c>
      <c r="AE397" s="2">
        <f t="shared" si="67"/>
        <v>1</v>
      </c>
      <c r="AF397" t="s">
        <v>665</v>
      </c>
      <c r="AG397" s="2">
        <f t="shared" si="68"/>
        <v>3</v>
      </c>
      <c r="AH397" s="2">
        <f t="shared" si="69"/>
        <v>0</v>
      </c>
      <c r="AI397" s="3">
        <v>185.99999999860299</v>
      </c>
      <c r="AJ397" s="2">
        <v>0</v>
      </c>
      <c r="AK397">
        <v>0</v>
      </c>
      <c r="AL397">
        <v>0.1</v>
      </c>
      <c r="AM397">
        <v>0</v>
      </c>
      <c r="AN397" s="2">
        <f>IF((2*G397+M397-O397+3*V397+2*AB397+2*AE397+2*AH397+3*AJ397)&gt;=7,1,0)</f>
        <v>0</v>
      </c>
    </row>
    <row r="398" spans="1:40" x14ac:dyDescent="0.25">
      <c r="A398" t="s">
        <v>27</v>
      </c>
      <c r="B398" s="1">
        <v>38061</v>
      </c>
      <c r="C398" s="6">
        <f t="shared" si="60"/>
        <v>2004</v>
      </c>
      <c r="D398">
        <v>59.1</v>
      </c>
      <c r="E398">
        <v>51.9</v>
      </c>
      <c r="F398">
        <v>55.6</v>
      </c>
      <c r="G398" s="2">
        <f t="shared" si="61"/>
        <v>0</v>
      </c>
      <c r="H398">
        <v>59.1</v>
      </c>
      <c r="I398">
        <v>51.9</v>
      </c>
      <c r="J398">
        <v>55.6</v>
      </c>
      <c r="K398">
        <v>43.3</v>
      </c>
      <c r="L398">
        <v>63.5</v>
      </c>
      <c r="M398" s="2">
        <f t="shared" si="62"/>
        <v>1</v>
      </c>
      <c r="N398">
        <v>0</v>
      </c>
      <c r="O398" s="2">
        <f t="shared" si="63"/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s="2">
        <f t="shared" si="64"/>
        <v>0</v>
      </c>
      <c r="W398">
        <v>16.100000000000001</v>
      </c>
      <c r="X398" s="2">
        <f t="shared" si="65"/>
        <v>1</v>
      </c>
      <c r="Y398">
        <v>310</v>
      </c>
      <c r="Z398" s="2" t="str">
        <f>CHOOSE(MATCH(Y398,{0;11;80;111;161;191;241;281;341},1),"North","NorthEast","East","SouthEast","South","SouthWest","West","NorthWest","North")</f>
        <v>NorthWest</v>
      </c>
      <c r="AA398" s="4">
        <f>CHOOSE(MATCH(Z398,{"South";"SouthEast";"SouthWest";"North";"NorthEast";"East";"West";"NorthWest"},0),1,2,3,4,5,6,7,8)</f>
        <v>8</v>
      </c>
      <c r="AB398" s="2">
        <f t="shared" si="66"/>
        <v>1</v>
      </c>
      <c r="AC398">
        <v>1030.0999999999999</v>
      </c>
      <c r="AD398" t="s">
        <v>666</v>
      </c>
      <c r="AE398" s="2">
        <f t="shared" si="67"/>
        <v>1</v>
      </c>
      <c r="AF398" t="s">
        <v>667</v>
      </c>
      <c r="AG398" s="2">
        <f t="shared" si="68"/>
        <v>3</v>
      </c>
      <c r="AH398" s="2">
        <f t="shared" si="69"/>
        <v>0</v>
      </c>
      <c r="AI398" s="3">
        <v>40.999999997438863</v>
      </c>
      <c r="AJ398" s="2">
        <v>0</v>
      </c>
      <c r="AK398">
        <v>0</v>
      </c>
      <c r="AL398">
        <v>0.1</v>
      </c>
      <c r="AM398">
        <v>0</v>
      </c>
      <c r="AN398" s="2">
        <f>IF((2*G398+M398-O398+3*V398+2*AB398+2*AE398+2*AH398+3*AJ398)&gt;=7,1,0)</f>
        <v>0</v>
      </c>
    </row>
    <row r="399" spans="1:40" x14ac:dyDescent="0.25">
      <c r="A399" t="s">
        <v>27</v>
      </c>
      <c r="B399" s="1">
        <v>38063</v>
      </c>
      <c r="C399" s="6">
        <f t="shared" si="60"/>
        <v>2004</v>
      </c>
      <c r="D399">
        <v>60.9</v>
      </c>
      <c r="E399">
        <v>57.3</v>
      </c>
      <c r="F399">
        <v>58.3</v>
      </c>
      <c r="G399" s="2">
        <f t="shared" si="61"/>
        <v>0</v>
      </c>
      <c r="H399">
        <v>60.9</v>
      </c>
      <c r="I399">
        <v>57.3</v>
      </c>
      <c r="J399">
        <v>58.3</v>
      </c>
      <c r="K399">
        <v>42.9</v>
      </c>
      <c r="L399">
        <v>56.9</v>
      </c>
      <c r="M399" s="2">
        <f t="shared" si="62"/>
        <v>1</v>
      </c>
      <c r="N399">
        <v>0</v>
      </c>
      <c r="O399" s="2">
        <f t="shared" si="63"/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s="2">
        <f t="shared" si="64"/>
        <v>0</v>
      </c>
      <c r="W399">
        <v>21.9</v>
      </c>
      <c r="X399" s="2">
        <f t="shared" si="65"/>
        <v>1</v>
      </c>
      <c r="Y399">
        <v>310.5</v>
      </c>
      <c r="Z399" s="2" t="str">
        <f>CHOOSE(MATCH(Y399,{0;11;80;111;161;191;241;281;341},1),"North","NorthEast","East","SouthEast","South","SouthWest","West","NorthWest","North")</f>
        <v>NorthWest</v>
      </c>
      <c r="AA399" s="4">
        <f>CHOOSE(MATCH(Z399,{"South";"SouthEast";"SouthWest";"North";"NorthEast";"East";"West";"NorthWest"},0),1,2,3,4,5,6,7,8)</f>
        <v>8</v>
      </c>
      <c r="AB399" s="2">
        <f t="shared" si="66"/>
        <v>1</v>
      </c>
      <c r="AC399">
        <v>1024.5</v>
      </c>
      <c r="AD399" t="s">
        <v>302</v>
      </c>
      <c r="AE399" s="2">
        <f t="shared" si="67"/>
        <v>1</v>
      </c>
      <c r="AF399" t="s">
        <v>668</v>
      </c>
      <c r="AG399" s="2">
        <f t="shared" si="68"/>
        <v>3</v>
      </c>
      <c r="AH399" s="2">
        <f t="shared" si="69"/>
        <v>0</v>
      </c>
      <c r="AI399" s="3">
        <v>195.9999999997672</v>
      </c>
      <c r="AJ399" s="2">
        <v>0</v>
      </c>
      <c r="AK399">
        <v>0</v>
      </c>
      <c r="AL399">
        <v>3</v>
      </c>
      <c r="AM399">
        <v>0</v>
      </c>
      <c r="AN399" s="2">
        <f>IF((2*G399+M399-O399+3*V399+2*AB399+2*AE399+2*AH399+3*AJ399)&gt;=7,1,0)</f>
        <v>0</v>
      </c>
    </row>
    <row r="400" spans="1:40" x14ac:dyDescent="0.25">
      <c r="A400" t="s">
        <v>27</v>
      </c>
      <c r="B400" s="1">
        <v>38063</v>
      </c>
      <c r="C400" s="6">
        <f t="shared" si="60"/>
        <v>2004</v>
      </c>
      <c r="D400">
        <v>60.9</v>
      </c>
      <c r="E400">
        <v>57.3</v>
      </c>
      <c r="F400">
        <v>58.3</v>
      </c>
      <c r="G400" s="2">
        <f t="shared" si="61"/>
        <v>0</v>
      </c>
      <c r="H400">
        <v>60.9</v>
      </c>
      <c r="I400">
        <v>57.3</v>
      </c>
      <c r="J400">
        <v>58.3</v>
      </c>
      <c r="K400">
        <v>42.9</v>
      </c>
      <c r="L400">
        <v>56.9</v>
      </c>
      <c r="M400" s="2">
        <f t="shared" si="62"/>
        <v>1</v>
      </c>
      <c r="N400">
        <v>0</v>
      </c>
      <c r="O400" s="2">
        <f t="shared" si="63"/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s="2">
        <f t="shared" si="64"/>
        <v>0</v>
      </c>
      <c r="W400">
        <v>21.9</v>
      </c>
      <c r="X400" s="2">
        <f t="shared" si="65"/>
        <v>1</v>
      </c>
      <c r="Y400">
        <v>310.5</v>
      </c>
      <c r="Z400" s="2" t="str">
        <f>CHOOSE(MATCH(Y400,{0;11;80;111;161;191;241;281;341},1),"North","NorthEast","East","SouthEast","South","SouthWest","West","NorthWest","North")</f>
        <v>NorthWest</v>
      </c>
      <c r="AA400" s="4">
        <f>CHOOSE(MATCH(Z400,{"South";"SouthEast";"SouthWest";"North";"NorthEast";"East";"West";"NorthWest"},0),1,2,3,4,5,6,7,8)</f>
        <v>8</v>
      </c>
      <c r="AB400" s="2">
        <f t="shared" si="66"/>
        <v>1</v>
      </c>
      <c r="AC400">
        <v>1024.5</v>
      </c>
      <c r="AD400" t="s">
        <v>506</v>
      </c>
      <c r="AE400" s="2">
        <f t="shared" si="67"/>
        <v>1</v>
      </c>
      <c r="AF400" t="s">
        <v>669</v>
      </c>
      <c r="AG400" s="2">
        <f t="shared" si="68"/>
        <v>3</v>
      </c>
      <c r="AH400" s="2">
        <f t="shared" si="69"/>
        <v>0</v>
      </c>
      <c r="AI400" s="3">
        <v>210.99999999627471</v>
      </c>
      <c r="AJ400" s="2">
        <v>0</v>
      </c>
      <c r="AK400">
        <v>0</v>
      </c>
      <c r="AL400">
        <v>2</v>
      </c>
      <c r="AM400">
        <v>0</v>
      </c>
      <c r="AN400" s="2">
        <f>IF((2*G400+M400-O400+3*V400+2*AB400+2*AE400+2*AH400+3*AJ400)&gt;=7,1,0)</f>
        <v>0</v>
      </c>
    </row>
    <row r="401" spans="1:40" x14ac:dyDescent="0.25">
      <c r="A401" t="s">
        <v>27</v>
      </c>
      <c r="B401" s="1">
        <v>38063</v>
      </c>
      <c r="C401" s="6">
        <f t="shared" si="60"/>
        <v>2004</v>
      </c>
      <c r="D401">
        <v>60.9</v>
      </c>
      <c r="E401">
        <v>57.3</v>
      </c>
      <c r="F401">
        <v>58.3</v>
      </c>
      <c r="G401" s="2">
        <f t="shared" si="61"/>
        <v>0</v>
      </c>
      <c r="H401">
        <v>60.9</v>
      </c>
      <c r="I401">
        <v>57.3</v>
      </c>
      <c r="J401">
        <v>58.3</v>
      </c>
      <c r="K401">
        <v>42.9</v>
      </c>
      <c r="L401">
        <v>56.9</v>
      </c>
      <c r="M401" s="2">
        <f t="shared" si="62"/>
        <v>1</v>
      </c>
      <c r="N401">
        <v>0</v>
      </c>
      <c r="O401" s="2">
        <f t="shared" si="63"/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s="2">
        <f t="shared" si="64"/>
        <v>0</v>
      </c>
      <c r="W401">
        <v>21.9</v>
      </c>
      <c r="X401" s="2">
        <f t="shared" si="65"/>
        <v>1</v>
      </c>
      <c r="Y401">
        <v>310.5</v>
      </c>
      <c r="Z401" s="2" t="str">
        <f>CHOOSE(MATCH(Y401,{0;11;80;111;161;191;241;281;341},1),"North","NorthEast","East","SouthEast","South","SouthWest","West","NorthWest","North")</f>
        <v>NorthWest</v>
      </c>
      <c r="AA401" s="4">
        <f>CHOOSE(MATCH(Z401,{"South";"SouthEast";"SouthWest";"North";"NorthEast";"East";"West";"NorthWest"},0),1,2,3,4,5,6,7,8)</f>
        <v>8</v>
      </c>
      <c r="AB401" s="2">
        <f t="shared" si="66"/>
        <v>1</v>
      </c>
      <c r="AC401">
        <v>1024.5</v>
      </c>
      <c r="AD401" t="s">
        <v>670</v>
      </c>
      <c r="AE401" s="2">
        <f t="shared" si="67"/>
        <v>0</v>
      </c>
      <c r="AF401" t="s">
        <v>671</v>
      </c>
      <c r="AG401" s="2">
        <f t="shared" si="68"/>
        <v>3</v>
      </c>
      <c r="AH401" s="2">
        <f t="shared" si="69"/>
        <v>0</v>
      </c>
      <c r="AI401" s="3">
        <v>105.9999999997672</v>
      </c>
      <c r="AJ401" s="2">
        <v>0</v>
      </c>
      <c r="AK401">
        <v>0</v>
      </c>
      <c r="AL401">
        <v>0.1</v>
      </c>
      <c r="AM401">
        <v>0</v>
      </c>
      <c r="AN401" s="2">
        <f>IF((2*G401+M401-O401+3*V401+2*AB401+2*AE401+2*AH401+3*AJ401)&gt;=7,1,0)</f>
        <v>0</v>
      </c>
    </row>
    <row r="402" spans="1:40" x14ac:dyDescent="0.25">
      <c r="A402" t="s">
        <v>27</v>
      </c>
      <c r="B402" s="1">
        <v>38065</v>
      </c>
      <c r="C402" s="6">
        <f t="shared" si="60"/>
        <v>2004</v>
      </c>
      <c r="D402">
        <v>62.7</v>
      </c>
      <c r="E402">
        <v>57.3</v>
      </c>
      <c r="F402">
        <v>59.8</v>
      </c>
      <c r="G402" s="2">
        <f t="shared" si="61"/>
        <v>0</v>
      </c>
      <c r="H402">
        <v>62.7</v>
      </c>
      <c r="I402">
        <v>57.3</v>
      </c>
      <c r="J402">
        <v>59.8</v>
      </c>
      <c r="K402">
        <v>48.8</v>
      </c>
      <c r="L402">
        <v>67.3</v>
      </c>
      <c r="M402" s="2">
        <f t="shared" si="62"/>
        <v>0</v>
      </c>
      <c r="N402">
        <v>0</v>
      </c>
      <c r="O402" s="2">
        <f t="shared" si="63"/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s="2">
        <f t="shared" si="64"/>
        <v>0</v>
      </c>
      <c r="W402">
        <v>19.5</v>
      </c>
      <c r="X402" s="2">
        <f t="shared" si="65"/>
        <v>1</v>
      </c>
      <c r="Y402">
        <v>307.3</v>
      </c>
      <c r="Z402" s="2" t="str">
        <f>CHOOSE(MATCH(Y402,{0;11;80;111;161;191;241;281;341},1),"North","NorthEast","East","SouthEast","South","SouthWest","West","NorthWest","North")</f>
        <v>NorthWest</v>
      </c>
      <c r="AA402" s="4">
        <f>CHOOSE(MATCH(Z402,{"South";"SouthEast";"SouthWest";"North";"NorthEast";"East";"West";"NorthWest"},0),1,2,3,4,5,6,7,8)</f>
        <v>8</v>
      </c>
      <c r="AB402" s="2">
        <f t="shared" si="66"/>
        <v>1</v>
      </c>
      <c r="AC402">
        <v>1026</v>
      </c>
      <c r="AD402" t="s">
        <v>175</v>
      </c>
      <c r="AE402" s="2">
        <f t="shared" si="67"/>
        <v>1</v>
      </c>
      <c r="AF402" t="s">
        <v>672</v>
      </c>
      <c r="AG402" s="2">
        <f t="shared" si="68"/>
        <v>3</v>
      </c>
      <c r="AH402" s="2">
        <f t="shared" si="69"/>
        <v>0</v>
      </c>
      <c r="AI402" s="3">
        <v>400.99999999743892</v>
      </c>
      <c r="AJ402" s="2">
        <v>1</v>
      </c>
      <c r="AK402">
        <v>0</v>
      </c>
      <c r="AL402">
        <v>30</v>
      </c>
      <c r="AM402">
        <v>0</v>
      </c>
      <c r="AN402" s="2">
        <f>IF((2*G402+M402-O402+3*V402+2*AB402+2*AE402+2*AH402+3*AJ402)&gt;=7,1,0)</f>
        <v>0</v>
      </c>
    </row>
    <row r="403" spans="1:40" x14ac:dyDescent="0.25">
      <c r="A403" t="s">
        <v>27</v>
      </c>
      <c r="B403" s="1">
        <v>38067</v>
      </c>
      <c r="C403" s="6">
        <f t="shared" si="60"/>
        <v>2004</v>
      </c>
      <c r="D403">
        <v>62.7</v>
      </c>
      <c r="E403">
        <v>50.1</v>
      </c>
      <c r="F403">
        <v>56.8</v>
      </c>
      <c r="G403" s="2">
        <f t="shared" si="61"/>
        <v>0</v>
      </c>
      <c r="H403">
        <v>62.7</v>
      </c>
      <c r="I403">
        <v>50.1</v>
      </c>
      <c r="J403">
        <v>56.8</v>
      </c>
      <c r="K403">
        <v>48.8</v>
      </c>
      <c r="L403">
        <v>75.099999999999994</v>
      </c>
      <c r="M403" s="2">
        <f t="shared" si="62"/>
        <v>0</v>
      </c>
      <c r="N403">
        <v>0</v>
      </c>
      <c r="O403" s="2">
        <f t="shared" si="63"/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s="2">
        <f t="shared" si="64"/>
        <v>0</v>
      </c>
      <c r="W403">
        <v>10.3</v>
      </c>
      <c r="X403" s="2">
        <f t="shared" si="65"/>
        <v>0</v>
      </c>
      <c r="Y403">
        <v>149.19999999999999</v>
      </c>
      <c r="Z403" s="2" t="str">
        <f>CHOOSE(MATCH(Y403,{0;11;80;111;161;191;241;281;341},1),"North","NorthEast","East","SouthEast","South","SouthWest","West","NorthWest","North")</f>
        <v>SouthEast</v>
      </c>
      <c r="AA403" s="4">
        <f>CHOOSE(MATCH(Z403,{"South";"SouthEast";"SouthWest";"North";"NorthEast";"East";"West";"NorthWest"},0),1,2,3,4,5,6,7,8)</f>
        <v>2</v>
      </c>
      <c r="AB403" s="2">
        <f t="shared" si="66"/>
        <v>0</v>
      </c>
      <c r="AC403">
        <v>1023.9</v>
      </c>
      <c r="AD403" t="s">
        <v>673</v>
      </c>
      <c r="AE403" s="2">
        <f t="shared" si="67"/>
        <v>0</v>
      </c>
      <c r="AF403" t="s">
        <v>674</v>
      </c>
      <c r="AG403" s="2">
        <f t="shared" si="68"/>
        <v>3</v>
      </c>
      <c r="AH403" s="2">
        <f t="shared" si="69"/>
        <v>0</v>
      </c>
      <c r="AI403" s="3">
        <v>111.00000000558791</v>
      </c>
      <c r="AJ403" s="2">
        <v>0</v>
      </c>
      <c r="AK403">
        <v>0</v>
      </c>
      <c r="AL403">
        <v>1</v>
      </c>
      <c r="AM403">
        <v>0</v>
      </c>
      <c r="AN403" s="2">
        <f>IF((2*G403+M403-O403+3*V403+2*AB403+2*AE403+2*AH403+3*AJ403)&gt;=7,1,0)</f>
        <v>0</v>
      </c>
    </row>
    <row r="404" spans="1:40" x14ac:dyDescent="0.25">
      <c r="A404" t="s">
        <v>27</v>
      </c>
      <c r="B404" s="1">
        <v>38067</v>
      </c>
      <c r="C404" s="6">
        <f t="shared" si="60"/>
        <v>2004</v>
      </c>
      <c r="D404">
        <v>62.7</v>
      </c>
      <c r="E404">
        <v>50.1</v>
      </c>
      <c r="F404">
        <v>56.8</v>
      </c>
      <c r="G404" s="2">
        <f t="shared" si="61"/>
        <v>0</v>
      </c>
      <c r="H404">
        <v>62.7</v>
      </c>
      <c r="I404">
        <v>50.1</v>
      </c>
      <c r="J404">
        <v>56.8</v>
      </c>
      <c r="K404">
        <v>48.8</v>
      </c>
      <c r="L404">
        <v>75.099999999999994</v>
      </c>
      <c r="M404" s="2">
        <f t="shared" si="62"/>
        <v>0</v>
      </c>
      <c r="N404">
        <v>0</v>
      </c>
      <c r="O404" s="2">
        <f t="shared" si="63"/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s="2">
        <f t="shared" si="64"/>
        <v>0</v>
      </c>
      <c r="W404">
        <v>10.3</v>
      </c>
      <c r="X404" s="2">
        <f t="shared" si="65"/>
        <v>0</v>
      </c>
      <c r="Y404">
        <v>149.19999999999999</v>
      </c>
      <c r="Z404" s="2" t="str">
        <f>CHOOSE(MATCH(Y404,{0;11;80;111;161;191;241;281;341},1),"North","NorthEast","East","SouthEast","South","SouthWest","West","NorthWest","North")</f>
        <v>SouthEast</v>
      </c>
      <c r="AA404" s="4">
        <f>CHOOSE(MATCH(Z404,{"South";"SouthEast";"SouthWest";"North";"NorthEast";"East";"West";"NorthWest"},0),1,2,3,4,5,6,7,8)</f>
        <v>2</v>
      </c>
      <c r="AB404" s="2">
        <f t="shared" si="66"/>
        <v>0</v>
      </c>
      <c r="AC404">
        <v>1023.9</v>
      </c>
      <c r="AD404" t="s">
        <v>47</v>
      </c>
      <c r="AE404" s="2">
        <f t="shared" si="67"/>
        <v>1</v>
      </c>
      <c r="AF404" t="s">
        <v>675</v>
      </c>
      <c r="AG404" s="2">
        <f t="shared" si="68"/>
        <v>3</v>
      </c>
      <c r="AH404" s="2">
        <f t="shared" si="69"/>
        <v>0</v>
      </c>
      <c r="AI404" s="3">
        <v>185.99999999860299</v>
      </c>
      <c r="AJ404" s="2">
        <v>0</v>
      </c>
      <c r="AK404">
        <v>0</v>
      </c>
      <c r="AL404">
        <v>10</v>
      </c>
      <c r="AM404">
        <v>0</v>
      </c>
      <c r="AN404" s="2">
        <f>IF((2*G404+M404-O404+3*V404+2*AB404+2*AE404+2*AH404+3*AJ404)&gt;=7,1,0)</f>
        <v>0</v>
      </c>
    </row>
    <row r="405" spans="1:40" x14ac:dyDescent="0.25">
      <c r="A405" t="s">
        <v>27</v>
      </c>
      <c r="B405" s="1">
        <v>38069</v>
      </c>
      <c r="C405" s="6">
        <f t="shared" si="60"/>
        <v>2004</v>
      </c>
      <c r="D405">
        <v>64.5</v>
      </c>
      <c r="E405">
        <v>51.9</v>
      </c>
      <c r="F405">
        <v>57.8</v>
      </c>
      <c r="G405" s="2">
        <f t="shared" si="61"/>
        <v>0</v>
      </c>
      <c r="H405">
        <v>64.5</v>
      </c>
      <c r="I405">
        <v>51.9</v>
      </c>
      <c r="J405">
        <v>57.8</v>
      </c>
      <c r="K405">
        <v>48.1</v>
      </c>
      <c r="L405">
        <v>70.900000000000006</v>
      </c>
      <c r="M405" s="2">
        <f t="shared" si="62"/>
        <v>0</v>
      </c>
      <c r="N405">
        <v>0</v>
      </c>
      <c r="O405" s="2">
        <f t="shared" si="63"/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s="2">
        <f t="shared" si="64"/>
        <v>0</v>
      </c>
      <c r="W405">
        <v>11.4</v>
      </c>
      <c r="X405" s="2">
        <f t="shared" si="65"/>
        <v>0</v>
      </c>
      <c r="Y405">
        <v>140.69999999999999</v>
      </c>
      <c r="Z405" s="2" t="str">
        <f>CHOOSE(MATCH(Y405,{0;11;80;111;161;191;241;281;341},1),"North","NorthEast","East","SouthEast","South","SouthWest","West","NorthWest","North")</f>
        <v>SouthEast</v>
      </c>
      <c r="AA405" s="4">
        <f>CHOOSE(MATCH(Z405,{"South";"SouthEast";"SouthWest";"North";"NorthEast";"East";"West";"NorthWest"},0),1,2,3,4,5,6,7,8)</f>
        <v>2</v>
      </c>
      <c r="AB405" s="2">
        <f t="shared" si="66"/>
        <v>0</v>
      </c>
      <c r="AC405">
        <v>1017</v>
      </c>
      <c r="AD405" t="s">
        <v>350</v>
      </c>
      <c r="AE405" s="2">
        <f t="shared" si="67"/>
        <v>0</v>
      </c>
      <c r="AF405" t="s">
        <v>676</v>
      </c>
      <c r="AG405" s="2">
        <f t="shared" si="68"/>
        <v>3</v>
      </c>
      <c r="AH405" s="2">
        <f t="shared" si="69"/>
        <v>0</v>
      </c>
      <c r="AI405" s="3">
        <v>171.0000000020955</v>
      </c>
      <c r="AJ405" s="2">
        <v>0</v>
      </c>
      <c r="AK405">
        <v>0</v>
      </c>
      <c r="AL405">
        <v>1</v>
      </c>
      <c r="AM405">
        <v>0</v>
      </c>
      <c r="AN405" s="2">
        <f>IF((2*G405+M405-O405+3*V405+2*AB405+2*AE405+2*AH405+3*AJ405)&gt;=7,1,0)</f>
        <v>0</v>
      </c>
    </row>
    <row r="406" spans="1:40" x14ac:dyDescent="0.25">
      <c r="A406" t="s">
        <v>27</v>
      </c>
      <c r="B406" s="1">
        <v>38074</v>
      </c>
      <c r="C406" s="6">
        <f t="shared" si="60"/>
        <v>2004</v>
      </c>
      <c r="D406">
        <v>78.900000000000006</v>
      </c>
      <c r="E406">
        <v>62.7</v>
      </c>
      <c r="F406">
        <v>69.2</v>
      </c>
      <c r="G406" s="2">
        <f t="shared" si="61"/>
        <v>0</v>
      </c>
      <c r="H406">
        <v>78.900000000000006</v>
      </c>
      <c r="I406">
        <v>62.7</v>
      </c>
      <c r="J406">
        <v>69.2</v>
      </c>
      <c r="K406">
        <v>43.6</v>
      </c>
      <c r="L406">
        <v>41.6</v>
      </c>
      <c r="M406" s="2">
        <f t="shared" si="62"/>
        <v>1</v>
      </c>
      <c r="N406">
        <v>0</v>
      </c>
      <c r="O406" s="2">
        <f t="shared" si="63"/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s="2">
        <f t="shared" si="64"/>
        <v>0</v>
      </c>
      <c r="W406">
        <v>18.3</v>
      </c>
      <c r="X406" s="2">
        <f t="shared" si="65"/>
        <v>1</v>
      </c>
      <c r="Y406">
        <v>159.30000000000001</v>
      </c>
      <c r="Z406" s="2" t="str">
        <f>CHOOSE(MATCH(Y406,{0;11;80;111;161;191;241;281;341},1),"North","NorthEast","East","SouthEast","South","SouthWest","West","NorthWest","North")</f>
        <v>SouthEast</v>
      </c>
      <c r="AA406" s="4">
        <f>CHOOSE(MATCH(Z406,{"South";"SouthEast";"SouthWest";"North";"NorthEast";"East";"West";"NorthWest"},0),1,2,3,4,5,6,7,8)</f>
        <v>2</v>
      </c>
      <c r="AB406" s="2">
        <f t="shared" si="66"/>
        <v>0</v>
      </c>
      <c r="AC406">
        <v>1011.4</v>
      </c>
      <c r="AD406" t="s">
        <v>677</v>
      </c>
      <c r="AE406" s="2">
        <f t="shared" si="67"/>
        <v>0</v>
      </c>
      <c r="AF406" t="s">
        <v>678</v>
      </c>
      <c r="AG406" s="2">
        <f t="shared" si="68"/>
        <v>3</v>
      </c>
      <c r="AH406" s="2">
        <f t="shared" si="69"/>
        <v>0</v>
      </c>
      <c r="AI406" s="3">
        <v>49.999999995343387</v>
      </c>
      <c r="AJ406" s="2">
        <v>0</v>
      </c>
      <c r="AK406">
        <v>0</v>
      </c>
      <c r="AL406">
        <v>3</v>
      </c>
      <c r="AM406">
        <v>0</v>
      </c>
      <c r="AN406" s="2">
        <f>IF((2*G406+M406-O406+3*V406+2*AB406+2*AE406+2*AH406+3*AJ406)&gt;=7,1,0)</f>
        <v>0</v>
      </c>
    </row>
    <row r="407" spans="1:40" x14ac:dyDescent="0.25">
      <c r="A407" t="s">
        <v>27</v>
      </c>
      <c r="B407" s="1">
        <v>38078</v>
      </c>
      <c r="C407" s="6">
        <f t="shared" si="60"/>
        <v>2004</v>
      </c>
      <c r="D407">
        <v>64.5</v>
      </c>
      <c r="E407">
        <v>51.9</v>
      </c>
      <c r="F407">
        <v>57.1</v>
      </c>
      <c r="G407" s="2">
        <f t="shared" si="61"/>
        <v>0</v>
      </c>
      <c r="H407">
        <v>64.5</v>
      </c>
      <c r="I407">
        <v>51.9</v>
      </c>
      <c r="J407">
        <v>57.1</v>
      </c>
      <c r="K407">
        <v>50.3</v>
      </c>
      <c r="L407">
        <v>78.3</v>
      </c>
      <c r="M407" s="2">
        <f t="shared" si="62"/>
        <v>0</v>
      </c>
      <c r="N407">
        <v>0</v>
      </c>
      <c r="O407" s="2">
        <f t="shared" si="63"/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s="2">
        <f t="shared" si="64"/>
        <v>0</v>
      </c>
      <c r="W407">
        <v>20.8</v>
      </c>
      <c r="X407" s="2">
        <f t="shared" si="65"/>
        <v>1</v>
      </c>
      <c r="Y407">
        <v>310.2</v>
      </c>
      <c r="Z407" s="2" t="str">
        <f>CHOOSE(MATCH(Y407,{0;11;80;111;161;191;241;281;341},1),"North","NorthEast","East","SouthEast","South","SouthWest","West","NorthWest","North")</f>
        <v>NorthWest</v>
      </c>
      <c r="AA407" s="4">
        <f>CHOOSE(MATCH(Z407,{"South";"SouthEast";"SouthWest";"North";"NorthEast";"East";"West";"NorthWest"},0),1,2,3,4,5,6,7,8)</f>
        <v>8</v>
      </c>
      <c r="AB407" s="2">
        <f t="shared" si="66"/>
        <v>1</v>
      </c>
      <c r="AC407">
        <v>1011.2</v>
      </c>
      <c r="AD407" t="s">
        <v>274</v>
      </c>
      <c r="AE407" s="2">
        <f t="shared" si="67"/>
        <v>1</v>
      </c>
      <c r="AF407" t="s">
        <v>679</v>
      </c>
      <c r="AG407" s="2">
        <f t="shared" si="68"/>
        <v>4</v>
      </c>
      <c r="AH407" s="2">
        <f t="shared" si="69"/>
        <v>0</v>
      </c>
      <c r="AI407" s="3">
        <v>210.99999999627471</v>
      </c>
      <c r="AJ407" s="2">
        <v>0</v>
      </c>
      <c r="AK407">
        <v>3</v>
      </c>
      <c r="AL407">
        <v>0</v>
      </c>
      <c r="AM407">
        <v>0</v>
      </c>
      <c r="AN407" s="2">
        <f>IF((2*G407+M407-O407+3*V407+2*AB407+2*AE407+2*AH407+3*AJ407)&gt;=7,1,0)</f>
        <v>0</v>
      </c>
    </row>
    <row r="408" spans="1:40" x14ac:dyDescent="0.25">
      <c r="A408" t="s">
        <v>27</v>
      </c>
      <c r="B408" s="1">
        <v>38081</v>
      </c>
      <c r="C408" s="6">
        <f t="shared" si="60"/>
        <v>2004</v>
      </c>
      <c r="D408">
        <v>60.9</v>
      </c>
      <c r="E408">
        <v>53.7</v>
      </c>
      <c r="F408">
        <v>56.8</v>
      </c>
      <c r="G408" s="2">
        <f t="shared" si="61"/>
        <v>0</v>
      </c>
      <c r="H408">
        <v>60.9</v>
      </c>
      <c r="I408">
        <v>53.7</v>
      </c>
      <c r="J408">
        <v>56.8</v>
      </c>
      <c r="K408">
        <v>40.299999999999997</v>
      </c>
      <c r="L408">
        <v>54.4</v>
      </c>
      <c r="M408" s="2">
        <f t="shared" si="62"/>
        <v>1</v>
      </c>
      <c r="N408">
        <v>0</v>
      </c>
      <c r="O408" s="2">
        <f t="shared" si="63"/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s="2">
        <f t="shared" si="64"/>
        <v>0</v>
      </c>
      <c r="W408">
        <v>20.8</v>
      </c>
      <c r="X408" s="2">
        <f t="shared" si="65"/>
        <v>1</v>
      </c>
      <c r="Y408">
        <v>308.60000000000002</v>
      </c>
      <c r="Z408" s="2" t="str">
        <f>CHOOSE(MATCH(Y408,{0;11;80;111;161;191;241;281;341},1),"North","NorthEast","East","SouthEast","South","SouthWest","West","NorthWest","North")</f>
        <v>NorthWest</v>
      </c>
      <c r="AA408" s="4">
        <f>CHOOSE(MATCH(Z408,{"South";"SouthEast";"SouthWest";"North";"NorthEast";"East";"West";"NorthWest"},0),1,2,3,4,5,6,7,8)</f>
        <v>8</v>
      </c>
      <c r="AB408" s="2">
        <f t="shared" si="66"/>
        <v>1</v>
      </c>
      <c r="AC408">
        <v>1023.2</v>
      </c>
      <c r="AD408" t="s">
        <v>423</v>
      </c>
      <c r="AE408" s="2">
        <f t="shared" si="67"/>
        <v>0</v>
      </c>
      <c r="AF408" t="s">
        <v>680</v>
      </c>
      <c r="AG408" s="2">
        <f t="shared" si="68"/>
        <v>4</v>
      </c>
      <c r="AH408" s="2">
        <f t="shared" si="69"/>
        <v>0</v>
      </c>
      <c r="AI408" s="3">
        <v>171.0000000020955</v>
      </c>
      <c r="AJ408" s="2">
        <v>0</v>
      </c>
      <c r="AK408">
        <v>0</v>
      </c>
      <c r="AL408">
        <v>1</v>
      </c>
      <c r="AM408">
        <v>0</v>
      </c>
      <c r="AN408" s="2">
        <f>IF((2*G408+M408-O408+3*V408+2*AB408+2*AE408+2*AH408+3*AJ408)&gt;=7,1,0)</f>
        <v>0</v>
      </c>
    </row>
    <row r="409" spans="1:40" x14ac:dyDescent="0.25">
      <c r="A409" t="s">
        <v>27</v>
      </c>
      <c r="B409" s="1">
        <v>38085</v>
      </c>
      <c r="C409" s="6">
        <f t="shared" si="60"/>
        <v>2004</v>
      </c>
      <c r="D409">
        <v>75.3</v>
      </c>
      <c r="E409">
        <v>53.7</v>
      </c>
      <c r="F409">
        <v>62.3</v>
      </c>
      <c r="G409" s="2">
        <f t="shared" si="61"/>
        <v>0</v>
      </c>
      <c r="H409">
        <v>75.3</v>
      </c>
      <c r="I409">
        <v>53.7</v>
      </c>
      <c r="J409">
        <v>62.3</v>
      </c>
      <c r="K409">
        <v>46.4</v>
      </c>
      <c r="L409">
        <v>58.4</v>
      </c>
      <c r="M409" s="2">
        <f t="shared" si="62"/>
        <v>1</v>
      </c>
      <c r="N409">
        <v>0</v>
      </c>
      <c r="O409" s="2">
        <f t="shared" si="63"/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s="2">
        <f t="shared" si="64"/>
        <v>0</v>
      </c>
      <c r="W409">
        <v>18.3</v>
      </c>
      <c r="X409" s="2">
        <f t="shared" si="65"/>
        <v>1</v>
      </c>
      <c r="Y409">
        <v>144.19999999999999</v>
      </c>
      <c r="Z409" s="2" t="str">
        <f>CHOOSE(MATCH(Y409,{0;11;80;111;161;191;241;281;341},1),"North","NorthEast","East","SouthEast","South","SouthWest","West","NorthWest","North")</f>
        <v>SouthEast</v>
      </c>
      <c r="AA409" s="4">
        <f>CHOOSE(MATCH(Z409,{"South";"SouthEast";"SouthWest";"North";"NorthEast";"East";"West";"NorthWest"},0),1,2,3,4,5,6,7,8)</f>
        <v>2</v>
      </c>
      <c r="AB409" s="2">
        <f t="shared" si="66"/>
        <v>0</v>
      </c>
      <c r="AC409">
        <v>1018.6</v>
      </c>
      <c r="AD409" t="s">
        <v>681</v>
      </c>
      <c r="AE409" s="2">
        <f t="shared" si="67"/>
        <v>1</v>
      </c>
      <c r="AF409" t="s">
        <v>682</v>
      </c>
      <c r="AG409" s="2">
        <f t="shared" si="68"/>
        <v>4</v>
      </c>
      <c r="AH409" s="2">
        <f t="shared" si="69"/>
        <v>0</v>
      </c>
      <c r="AI409" s="3">
        <v>191.00000000442381</v>
      </c>
      <c r="AJ409" s="2">
        <v>0</v>
      </c>
      <c r="AK409">
        <v>0</v>
      </c>
      <c r="AL409">
        <v>4</v>
      </c>
      <c r="AM409">
        <v>0</v>
      </c>
      <c r="AN409" s="2">
        <f>IF((2*G409+M409-O409+3*V409+2*AB409+2*AE409+2*AH409+3*AJ409)&gt;=7,1,0)</f>
        <v>0</v>
      </c>
    </row>
    <row r="410" spans="1:40" x14ac:dyDescent="0.25">
      <c r="A410" t="s">
        <v>27</v>
      </c>
      <c r="B410" s="1">
        <v>38089</v>
      </c>
      <c r="C410" s="6">
        <f t="shared" si="60"/>
        <v>2004</v>
      </c>
      <c r="D410">
        <v>84.3</v>
      </c>
      <c r="E410">
        <v>68.099999999999994</v>
      </c>
      <c r="F410">
        <v>74.2</v>
      </c>
      <c r="G410" s="2">
        <f t="shared" si="61"/>
        <v>1</v>
      </c>
      <c r="H410">
        <v>81.3</v>
      </c>
      <c r="I410">
        <v>68.099999999999994</v>
      </c>
      <c r="J410">
        <v>73.900000000000006</v>
      </c>
      <c r="K410">
        <v>24.6</v>
      </c>
      <c r="L410">
        <v>19.5</v>
      </c>
      <c r="M410" s="2">
        <f t="shared" si="62"/>
        <v>1</v>
      </c>
      <c r="N410">
        <v>0</v>
      </c>
      <c r="O410" s="2">
        <f t="shared" si="63"/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s="2">
        <f t="shared" si="64"/>
        <v>0</v>
      </c>
      <c r="W410">
        <v>23</v>
      </c>
      <c r="X410" s="2">
        <f t="shared" si="65"/>
        <v>1</v>
      </c>
      <c r="Y410">
        <v>152.80000000000001</v>
      </c>
      <c r="Z410" s="2" t="str">
        <f>CHOOSE(MATCH(Y410,{0;11;80;111;161;191;241;281;341},1),"North","NorthEast","East","SouthEast","South","SouthWest","West","NorthWest","North")</f>
        <v>SouthEast</v>
      </c>
      <c r="AA410" s="4">
        <f>CHOOSE(MATCH(Z410,{"South";"SouthEast";"SouthWest";"North";"NorthEast";"East";"West";"NorthWest"},0),1,2,3,4,5,6,7,8)</f>
        <v>2</v>
      </c>
      <c r="AB410" s="2">
        <f t="shared" si="66"/>
        <v>0</v>
      </c>
      <c r="AC410">
        <v>1015.4</v>
      </c>
      <c r="AD410" t="s">
        <v>590</v>
      </c>
      <c r="AE410" s="2">
        <f t="shared" si="67"/>
        <v>0</v>
      </c>
      <c r="AF410" t="s">
        <v>683</v>
      </c>
      <c r="AG410" s="2">
        <f t="shared" si="68"/>
        <v>4</v>
      </c>
      <c r="AH410" s="2">
        <f t="shared" si="69"/>
        <v>0</v>
      </c>
      <c r="AI410" s="3">
        <v>3530.0000000023279</v>
      </c>
      <c r="AJ410" s="2">
        <v>1</v>
      </c>
      <c r="AK410">
        <v>35</v>
      </c>
      <c r="AL410">
        <v>0</v>
      </c>
      <c r="AM410">
        <v>0</v>
      </c>
      <c r="AN410" s="2">
        <f>IF((2*G410+M410-O410+3*V410+2*AB410+2*AE410+2*AH410+3*AJ410)&gt;=7,1,0)</f>
        <v>0</v>
      </c>
    </row>
    <row r="411" spans="1:40" x14ac:dyDescent="0.25">
      <c r="A411" t="s">
        <v>27</v>
      </c>
      <c r="B411" s="1">
        <v>38092</v>
      </c>
      <c r="C411" s="6">
        <f t="shared" si="60"/>
        <v>2004</v>
      </c>
      <c r="D411">
        <v>66.3</v>
      </c>
      <c r="E411">
        <v>55.5</v>
      </c>
      <c r="F411">
        <v>61.8</v>
      </c>
      <c r="G411" s="2">
        <f t="shared" si="61"/>
        <v>0</v>
      </c>
      <c r="H411">
        <v>66.3</v>
      </c>
      <c r="I411">
        <v>55.5</v>
      </c>
      <c r="J411">
        <v>61.8</v>
      </c>
      <c r="K411">
        <v>44.4</v>
      </c>
      <c r="L411">
        <v>53.8</v>
      </c>
      <c r="M411" s="2">
        <f t="shared" si="62"/>
        <v>1</v>
      </c>
      <c r="N411">
        <v>0</v>
      </c>
      <c r="O411" s="2">
        <f t="shared" si="63"/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 s="2">
        <f t="shared" si="64"/>
        <v>0</v>
      </c>
      <c r="W411">
        <v>20.8</v>
      </c>
      <c r="X411" s="2">
        <f t="shared" si="65"/>
        <v>1</v>
      </c>
      <c r="Y411">
        <v>295.60000000000002</v>
      </c>
      <c r="Z411" s="2" t="str">
        <f>CHOOSE(MATCH(Y411,{0;11;80;111;161;191;241;281;341},1),"North","NorthEast","East","SouthEast","South","SouthWest","West","NorthWest","North")</f>
        <v>NorthWest</v>
      </c>
      <c r="AA411" s="4">
        <f>CHOOSE(MATCH(Z411,{"South";"SouthEast";"SouthWest";"North";"NorthEast";"East";"West";"NorthWest"},0),1,2,3,4,5,6,7,8)</f>
        <v>8</v>
      </c>
      <c r="AB411" s="2">
        <f t="shared" si="66"/>
        <v>1</v>
      </c>
      <c r="AC411">
        <v>1019.1</v>
      </c>
      <c r="AD411" t="s">
        <v>47</v>
      </c>
      <c r="AE411" s="2">
        <f t="shared" si="67"/>
        <v>1</v>
      </c>
      <c r="AF411" t="s">
        <v>684</v>
      </c>
      <c r="AG411" s="2">
        <f t="shared" si="68"/>
        <v>4</v>
      </c>
      <c r="AH411" s="2">
        <f t="shared" si="69"/>
        <v>0</v>
      </c>
      <c r="AI411" s="3">
        <v>165.99999999627471</v>
      </c>
      <c r="AJ411" s="2">
        <v>0</v>
      </c>
      <c r="AK411">
        <v>0</v>
      </c>
      <c r="AL411">
        <v>1</v>
      </c>
      <c r="AM411">
        <v>0</v>
      </c>
      <c r="AN411" s="2">
        <f>IF((2*G411+M411-O411+3*V411+2*AB411+2*AE411+2*AH411+3*AJ411)&gt;=7,1,0)</f>
        <v>0</v>
      </c>
    </row>
    <row r="412" spans="1:40" x14ac:dyDescent="0.25">
      <c r="A412" t="s">
        <v>27</v>
      </c>
      <c r="B412" s="1">
        <v>38092</v>
      </c>
      <c r="C412" s="6">
        <f t="shared" si="60"/>
        <v>2004</v>
      </c>
      <c r="D412">
        <v>66.3</v>
      </c>
      <c r="E412">
        <v>55.5</v>
      </c>
      <c r="F412">
        <v>61.8</v>
      </c>
      <c r="G412" s="2">
        <f t="shared" si="61"/>
        <v>0</v>
      </c>
      <c r="H412">
        <v>66.3</v>
      </c>
      <c r="I412">
        <v>55.5</v>
      </c>
      <c r="J412">
        <v>61.8</v>
      </c>
      <c r="K412">
        <v>44.4</v>
      </c>
      <c r="L412">
        <v>53.8</v>
      </c>
      <c r="M412" s="2">
        <f t="shared" si="62"/>
        <v>1</v>
      </c>
      <c r="N412">
        <v>0</v>
      </c>
      <c r="O412" s="2">
        <f t="shared" si="63"/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s="2">
        <f t="shared" si="64"/>
        <v>0</v>
      </c>
      <c r="W412">
        <v>20.8</v>
      </c>
      <c r="X412" s="2">
        <f t="shared" si="65"/>
        <v>1</v>
      </c>
      <c r="Y412">
        <v>295.60000000000002</v>
      </c>
      <c r="Z412" s="2" t="str">
        <f>CHOOSE(MATCH(Y412,{0;11;80;111;161;191;241;281;341},1),"North","NorthEast","East","SouthEast","South","SouthWest","West","NorthWest","North")</f>
        <v>NorthWest</v>
      </c>
      <c r="AA412" s="4">
        <f>CHOOSE(MATCH(Z412,{"South";"SouthEast";"SouthWest";"North";"NorthEast";"East";"West";"NorthWest"},0),1,2,3,4,5,6,7,8)</f>
        <v>8</v>
      </c>
      <c r="AB412" s="2">
        <f t="shared" si="66"/>
        <v>1</v>
      </c>
      <c r="AC412">
        <v>1019.1</v>
      </c>
      <c r="AD412" t="s">
        <v>685</v>
      </c>
      <c r="AE412" s="2">
        <f t="shared" si="67"/>
        <v>1</v>
      </c>
      <c r="AF412" t="s">
        <v>686</v>
      </c>
      <c r="AG412" s="2">
        <f t="shared" si="68"/>
        <v>4</v>
      </c>
      <c r="AH412" s="2">
        <f t="shared" si="69"/>
        <v>0</v>
      </c>
      <c r="AI412" s="3">
        <v>285.99999999976723</v>
      </c>
      <c r="AJ412" s="2">
        <v>0</v>
      </c>
      <c r="AK412">
        <v>0</v>
      </c>
      <c r="AL412">
        <v>1.5</v>
      </c>
      <c r="AM412">
        <v>0</v>
      </c>
      <c r="AN412" s="2">
        <f>IF((2*G412+M412-O412+3*V412+2*AB412+2*AE412+2*AH412+3*AJ412)&gt;=7,1,0)</f>
        <v>0</v>
      </c>
    </row>
    <row r="413" spans="1:40" x14ac:dyDescent="0.25">
      <c r="A413" t="s">
        <v>27</v>
      </c>
      <c r="B413" s="1">
        <v>38096</v>
      </c>
      <c r="C413" s="6">
        <f t="shared" si="60"/>
        <v>2004</v>
      </c>
      <c r="D413">
        <v>66.3</v>
      </c>
      <c r="E413">
        <v>53.7</v>
      </c>
      <c r="F413">
        <v>61.1</v>
      </c>
      <c r="G413" s="2">
        <f t="shared" si="61"/>
        <v>0</v>
      </c>
      <c r="H413">
        <v>66.3</v>
      </c>
      <c r="I413">
        <v>53.7</v>
      </c>
      <c r="J413">
        <v>61.1</v>
      </c>
      <c r="K413">
        <v>52.4</v>
      </c>
      <c r="L413">
        <v>73.5</v>
      </c>
      <c r="M413" s="2">
        <f t="shared" si="62"/>
        <v>0</v>
      </c>
      <c r="N413">
        <v>0</v>
      </c>
      <c r="O413" s="2">
        <f t="shared" si="63"/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s="2">
        <f t="shared" si="64"/>
        <v>0</v>
      </c>
      <c r="W413">
        <v>16.100000000000001</v>
      </c>
      <c r="X413" s="2">
        <f t="shared" si="65"/>
        <v>1</v>
      </c>
      <c r="Y413">
        <v>298.5</v>
      </c>
      <c r="Z413" s="2" t="str">
        <f>CHOOSE(MATCH(Y413,{0;11;80;111;161;191;241;281;341},1),"North","NorthEast","East","SouthEast","South","SouthWest","West","NorthWest","North")</f>
        <v>NorthWest</v>
      </c>
      <c r="AA413" s="4">
        <f>CHOOSE(MATCH(Z413,{"South";"SouthEast";"SouthWest";"North";"NorthEast";"East";"West";"NorthWest"},0),1,2,3,4,5,6,7,8)</f>
        <v>8</v>
      </c>
      <c r="AB413" s="2">
        <f t="shared" si="66"/>
        <v>1</v>
      </c>
      <c r="AC413">
        <v>1003.7</v>
      </c>
      <c r="AD413" t="s">
        <v>291</v>
      </c>
      <c r="AE413" s="2">
        <f t="shared" si="67"/>
        <v>1</v>
      </c>
      <c r="AF413" t="s">
        <v>687</v>
      </c>
      <c r="AG413" s="2">
        <f t="shared" si="68"/>
        <v>4</v>
      </c>
      <c r="AH413" s="2">
        <f t="shared" si="69"/>
        <v>0</v>
      </c>
      <c r="AI413" s="3">
        <v>255.99999999627471</v>
      </c>
      <c r="AJ413" s="2">
        <v>0</v>
      </c>
      <c r="AK413">
        <v>0</v>
      </c>
      <c r="AL413">
        <v>4</v>
      </c>
      <c r="AM413">
        <v>0</v>
      </c>
      <c r="AN413" s="2">
        <f>IF((2*G413+M413-O413+3*V413+2*AB413+2*AE413+2*AH413+3*AJ413)&gt;=7,1,0)</f>
        <v>0</v>
      </c>
    </row>
    <row r="414" spans="1:40" x14ac:dyDescent="0.25">
      <c r="A414" t="s">
        <v>27</v>
      </c>
      <c r="B414" s="1">
        <v>38114</v>
      </c>
      <c r="C414" s="6">
        <f t="shared" si="60"/>
        <v>2004</v>
      </c>
      <c r="D414">
        <v>78.900000000000006</v>
      </c>
      <c r="E414">
        <v>62.7</v>
      </c>
      <c r="F414">
        <v>69.900000000000006</v>
      </c>
      <c r="G414" s="2">
        <f t="shared" si="61"/>
        <v>0</v>
      </c>
      <c r="H414">
        <v>78.900000000000006</v>
      </c>
      <c r="I414">
        <v>62.7</v>
      </c>
      <c r="J414">
        <v>69.900000000000006</v>
      </c>
      <c r="K414">
        <v>49.4</v>
      </c>
      <c r="L414">
        <v>49.1</v>
      </c>
      <c r="M414" s="2">
        <f t="shared" si="62"/>
        <v>1</v>
      </c>
      <c r="N414">
        <v>0</v>
      </c>
      <c r="O414" s="2">
        <f t="shared" si="63"/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 s="2">
        <f t="shared" si="64"/>
        <v>0</v>
      </c>
      <c r="W414">
        <v>17.2</v>
      </c>
      <c r="X414" s="2">
        <f t="shared" si="65"/>
        <v>1</v>
      </c>
      <c r="Y414">
        <v>198.3</v>
      </c>
      <c r="Z414" s="2" t="str">
        <f>CHOOSE(MATCH(Y414,{0;11;80;111;161;191;241;281;341},1),"North","NorthEast","East","SouthEast","South","SouthWest","West","NorthWest","North")</f>
        <v>SouthWest</v>
      </c>
      <c r="AA414" s="4">
        <f>CHOOSE(MATCH(Z414,{"South";"SouthEast";"SouthWest";"North";"NorthEast";"East";"West";"NorthWest"},0),1,2,3,4,5,6,7,8)</f>
        <v>3</v>
      </c>
      <c r="AB414" s="2">
        <f t="shared" si="66"/>
        <v>0</v>
      </c>
      <c r="AC414">
        <v>1011.1</v>
      </c>
      <c r="AD414" t="s">
        <v>472</v>
      </c>
      <c r="AE414" s="2">
        <f t="shared" si="67"/>
        <v>1</v>
      </c>
      <c r="AF414" t="s">
        <v>688</v>
      </c>
      <c r="AG414" s="2">
        <f t="shared" si="68"/>
        <v>5</v>
      </c>
      <c r="AH414" s="2">
        <f t="shared" si="69"/>
        <v>0</v>
      </c>
      <c r="AI414" s="3">
        <v>155.99999999511061</v>
      </c>
      <c r="AJ414" s="2">
        <v>0</v>
      </c>
      <c r="AK414">
        <v>0</v>
      </c>
      <c r="AL414">
        <v>1</v>
      </c>
      <c r="AM414">
        <v>0</v>
      </c>
      <c r="AN414" s="2">
        <f>IF((2*G414+M414-O414+3*V414+2*AB414+2*AE414+2*AH414+3*AJ414)&gt;=7,1,0)</f>
        <v>0</v>
      </c>
    </row>
    <row r="415" spans="1:40" x14ac:dyDescent="0.25">
      <c r="A415" t="s">
        <v>27</v>
      </c>
      <c r="B415" s="1">
        <v>38140</v>
      </c>
      <c r="C415" s="6">
        <f t="shared" si="60"/>
        <v>2004</v>
      </c>
      <c r="D415">
        <v>73.5</v>
      </c>
      <c r="E415">
        <v>59.1</v>
      </c>
      <c r="F415">
        <v>68</v>
      </c>
      <c r="G415" s="2">
        <f t="shared" si="61"/>
        <v>0</v>
      </c>
      <c r="H415">
        <v>73.5</v>
      </c>
      <c r="I415">
        <v>59.1</v>
      </c>
      <c r="J415">
        <v>68</v>
      </c>
      <c r="K415">
        <v>55.1</v>
      </c>
      <c r="L415">
        <v>64.099999999999994</v>
      </c>
      <c r="M415" s="2">
        <f t="shared" si="62"/>
        <v>1</v>
      </c>
      <c r="N415">
        <v>0</v>
      </c>
      <c r="O415" s="2">
        <f t="shared" si="63"/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s="2">
        <f t="shared" si="64"/>
        <v>0</v>
      </c>
      <c r="W415">
        <v>20.8</v>
      </c>
      <c r="X415" s="2">
        <f t="shared" si="65"/>
        <v>1</v>
      </c>
      <c r="Y415">
        <v>293.10000000000002</v>
      </c>
      <c r="Z415" s="2" t="str">
        <f>CHOOSE(MATCH(Y415,{0;11;80;111;161;191;241;281;341},1),"North","NorthEast","East","SouthEast","South","SouthWest","West","NorthWest","North")</f>
        <v>NorthWest</v>
      </c>
      <c r="AA415" s="4">
        <f>CHOOSE(MATCH(Z415,{"South";"SouthEast";"SouthWest";"North";"NorthEast";"East";"West";"NorthWest"},0),1,2,3,4,5,6,7,8)</f>
        <v>8</v>
      </c>
      <c r="AB415" s="2">
        <f t="shared" si="66"/>
        <v>1</v>
      </c>
      <c r="AC415">
        <v>1016.3</v>
      </c>
      <c r="AD415" t="s">
        <v>616</v>
      </c>
      <c r="AE415" s="2">
        <f t="shared" si="67"/>
        <v>1</v>
      </c>
      <c r="AF415" t="s">
        <v>689</v>
      </c>
      <c r="AG415" s="2">
        <f t="shared" si="68"/>
        <v>6</v>
      </c>
      <c r="AH415" s="2">
        <f t="shared" si="69"/>
        <v>1</v>
      </c>
      <c r="AI415" s="3">
        <v>2900.0000000023279</v>
      </c>
      <c r="AJ415" s="2">
        <v>1</v>
      </c>
      <c r="AK415">
        <v>0</v>
      </c>
      <c r="AL415">
        <v>5</v>
      </c>
      <c r="AM415">
        <v>0</v>
      </c>
      <c r="AN415" s="2">
        <f>IF((2*G415+M415-O415+3*V415+2*AB415+2*AE415+2*AH415+3*AJ415)&gt;=7,1,0)</f>
        <v>1</v>
      </c>
    </row>
    <row r="416" spans="1:40" x14ac:dyDescent="0.25">
      <c r="A416" t="s">
        <v>27</v>
      </c>
      <c r="B416" s="1">
        <v>38142</v>
      </c>
      <c r="C416" s="6">
        <f t="shared" si="60"/>
        <v>2004</v>
      </c>
      <c r="D416">
        <v>89.7</v>
      </c>
      <c r="E416">
        <v>66.3</v>
      </c>
      <c r="F416">
        <v>76.400000000000006</v>
      </c>
      <c r="G416" s="2">
        <f t="shared" si="61"/>
        <v>1</v>
      </c>
      <c r="H416">
        <v>86.8</v>
      </c>
      <c r="I416">
        <v>66.3</v>
      </c>
      <c r="J416">
        <v>75.5</v>
      </c>
      <c r="K416">
        <v>50.5</v>
      </c>
      <c r="L416">
        <v>42.9</v>
      </c>
      <c r="M416" s="2">
        <f t="shared" si="62"/>
        <v>1</v>
      </c>
      <c r="N416">
        <v>0</v>
      </c>
      <c r="O416" s="2">
        <f t="shared" si="63"/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s="2">
        <f t="shared" si="64"/>
        <v>0</v>
      </c>
      <c r="W416">
        <v>20.8</v>
      </c>
      <c r="X416" s="2">
        <f t="shared" si="65"/>
        <v>1</v>
      </c>
      <c r="Y416">
        <v>153.4</v>
      </c>
      <c r="Z416" s="2" t="str">
        <f>CHOOSE(MATCH(Y416,{0;11;80;111;161;191;241;281;341},1),"North","NorthEast","East","SouthEast","South","SouthWest","West","NorthWest","North")</f>
        <v>SouthEast</v>
      </c>
      <c r="AA416" s="4">
        <f>CHOOSE(MATCH(Z416,{"South";"SouthEast";"SouthWest";"North";"NorthEast";"East";"West";"NorthWest"},0),1,2,3,4,5,6,7,8)</f>
        <v>2</v>
      </c>
      <c r="AB416" s="2">
        <f t="shared" si="66"/>
        <v>0</v>
      </c>
      <c r="AC416">
        <v>1012.2</v>
      </c>
      <c r="AD416" t="s">
        <v>616</v>
      </c>
      <c r="AE416" s="2">
        <f t="shared" si="67"/>
        <v>1</v>
      </c>
      <c r="AF416" t="s">
        <v>690</v>
      </c>
      <c r="AG416" s="2">
        <f t="shared" si="68"/>
        <v>6</v>
      </c>
      <c r="AH416" s="2">
        <f t="shared" si="69"/>
        <v>1</v>
      </c>
      <c r="AI416" s="3">
        <v>430.00000000814907</v>
      </c>
      <c r="AJ416" s="2">
        <v>1</v>
      </c>
      <c r="AK416">
        <v>0</v>
      </c>
      <c r="AL416">
        <v>5</v>
      </c>
      <c r="AM416">
        <v>0</v>
      </c>
      <c r="AN416" s="2">
        <f>IF((2*G416+M416-O416+3*V416+2*AB416+2*AE416+2*AH416+3*AJ416)&gt;=7,1,0)</f>
        <v>1</v>
      </c>
    </row>
    <row r="417" spans="1:40" x14ac:dyDescent="0.25">
      <c r="A417" t="s">
        <v>27</v>
      </c>
      <c r="B417" s="1">
        <v>38149</v>
      </c>
      <c r="C417" s="6">
        <f t="shared" si="60"/>
        <v>2004</v>
      </c>
      <c r="D417">
        <v>78.900000000000006</v>
      </c>
      <c r="E417">
        <v>69.900000000000006</v>
      </c>
      <c r="F417">
        <v>74.599999999999994</v>
      </c>
      <c r="G417" s="2">
        <f t="shared" si="61"/>
        <v>1</v>
      </c>
      <c r="H417">
        <v>78.900000000000006</v>
      </c>
      <c r="I417">
        <v>69.900000000000006</v>
      </c>
      <c r="J417">
        <v>74.599999999999994</v>
      </c>
      <c r="K417">
        <v>57.8</v>
      </c>
      <c r="L417">
        <v>56.3</v>
      </c>
      <c r="M417" s="2">
        <f t="shared" si="62"/>
        <v>1</v>
      </c>
      <c r="N417">
        <v>0</v>
      </c>
      <c r="O417" s="2">
        <f t="shared" si="63"/>
        <v>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s="2">
        <f t="shared" si="64"/>
        <v>0</v>
      </c>
      <c r="W417">
        <v>17.2</v>
      </c>
      <c r="X417" s="2">
        <f t="shared" si="65"/>
        <v>1</v>
      </c>
      <c r="Y417">
        <v>295.89999999999998</v>
      </c>
      <c r="Z417" s="2" t="str">
        <f>CHOOSE(MATCH(Y417,{0;11;80;111;161;191;241;281;341},1),"North","NorthEast","East","SouthEast","South","SouthWest","West","NorthWest","North")</f>
        <v>NorthWest</v>
      </c>
      <c r="AA417" s="4">
        <f>CHOOSE(MATCH(Z417,{"South";"SouthEast";"SouthWest";"North";"NorthEast";"East";"West";"NorthWest"},0),1,2,3,4,5,6,7,8)</f>
        <v>8</v>
      </c>
      <c r="AB417" s="2">
        <f t="shared" si="66"/>
        <v>1</v>
      </c>
      <c r="AC417">
        <v>1016.6</v>
      </c>
      <c r="AD417" t="s">
        <v>34</v>
      </c>
      <c r="AE417" s="2">
        <f t="shared" si="67"/>
        <v>1</v>
      </c>
      <c r="AF417" t="s">
        <v>691</v>
      </c>
      <c r="AG417" s="2">
        <f t="shared" si="68"/>
        <v>6</v>
      </c>
      <c r="AH417" s="2">
        <f t="shared" si="69"/>
        <v>1</v>
      </c>
      <c r="AI417" s="3">
        <v>1541.000000004424</v>
      </c>
      <c r="AJ417" s="2">
        <v>1</v>
      </c>
      <c r="AK417">
        <v>4</v>
      </c>
      <c r="AL417">
        <v>0</v>
      </c>
      <c r="AM417">
        <v>0</v>
      </c>
      <c r="AN417" s="2">
        <f>IF((2*G417+M417-O417+3*V417+2*AB417+2*AE417+2*AH417+3*AJ417)&gt;=7,1,0)</f>
        <v>1</v>
      </c>
    </row>
    <row r="418" spans="1:40" x14ac:dyDescent="0.25">
      <c r="A418" t="s">
        <v>27</v>
      </c>
      <c r="B418" s="1">
        <v>38154</v>
      </c>
      <c r="C418" s="6">
        <f t="shared" si="60"/>
        <v>2004</v>
      </c>
      <c r="D418">
        <v>82.5</v>
      </c>
      <c r="E418">
        <v>68.099999999999994</v>
      </c>
      <c r="F418">
        <v>76.400000000000006</v>
      </c>
      <c r="G418" s="2">
        <f t="shared" si="61"/>
        <v>1</v>
      </c>
      <c r="H418">
        <v>83</v>
      </c>
      <c r="I418">
        <v>68.099999999999994</v>
      </c>
      <c r="J418">
        <v>76.7</v>
      </c>
      <c r="K418">
        <v>60.9</v>
      </c>
      <c r="L418">
        <v>59.2</v>
      </c>
      <c r="M418" s="2">
        <f t="shared" si="62"/>
        <v>1</v>
      </c>
      <c r="N418">
        <v>0</v>
      </c>
      <c r="O418" s="2">
        <f t="shared" si="63"/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s="2">
        <f t="shared" si="64"/>
        <v>0</v>
      </c>
      <c r="W418">
        <v>13.9</v>
      </c>
      <c r="X418" s="2">
        <f t="shared" si="65"/>
        <v>0</v>
      </c>
      <c r="Y418">
        <v>296.60000000000002</v>
      </c>
      <c r="Z418" s="2" t="str">
        <f>CHOOSE(MATCH(Y418,{0;11;80;111;161;191;241;281;341},1),"North","NorthEast","East","SouthEast","South","SouthWest","West","NorthWest","North")</f>
        <v>NorthWest</v>
      </c>
      <c r="AA418" s="4">
        <f>CHOOSE(MATCH(Z418,{"South";"SouthEast";"SouthWest";"North";"NorthEast";"East";"West";"NorthWest"},0),1,2,3,4,5,6,7,8)</f>
        <v>8</v>
      </c>
      <c r="AB418" s="2">
        <f t="shared" si="66"/>
        <v>1</v>
      </c>
      <c r="AC418">
        <v>1010</v>
      </c>
      <c r="AD418" t="s">
        <v>233</v>
      </c>
      <c r="AE418" s="2">
        <f t="shared" si="67"/>
        <v>1</v>
      </c>
      <c r="AF418" t="s">
        <v>692</v>
      </c>
      <c r="AG418" s="2">
        <f t="shared" si="68"/>
        <v>6</v>
      </c>
      <c r="AH418" s="2">
        <f t="shared" si="69"/>
        <v>1</v>
      </c>
      <c r="AI418" s="3">
        <v>240.9999999997672</v>
      </c>
      <c r="AJ418" s="2">
        <v>0</v>
      </c>
      <c r="AK418">
        <v>0</v>
      </c>
      <c r="AL418">
        <v>1</v>
      </c>
      <c r="AM418">
        <v>0</v>
      </c>
      <c r="AN418" s="2">
        <f>IF((2*G418+M418-O418+3*V418+2*AB418+2*AE418+2*AH418+3*AJ418)&gt;=7,1,0)</f>
        <v>1</v>
      </c>
    </row>
    <row r="419" spans="1:40" x14ac:dyDescent="0.25">
      <c r="A419" t="s">
        <v>27</v>
      </c>
      <c r="B419" s="1">
        <v>38157</v>
      </c>
      <c r="C419" s="6">
        <f t="shared" si="60"/>
        <v>2004</v>
      </c>
      <c r="D419">
        <v>78.900000000000006</v>
      </c>
      <c r="E419">
        <v>68.099999999999994</v>
      </c>
      <c r="F419">
        <v>73.8</v>
      </c>
      <c r="G419" s="2">
        <f t="shared" si="61"/>
        <v>1</v>
      </c>
      <c r="H419">
        <v>78.900000000000006</v>
      </c>
      <c r="I419">
        <v>68.099999999999994</v>
      </c>
      <c r="J419">
        <v>73.8</v>
      </c>
      <c r="K419">
        <v>63.1</v>
      </c>
      <c r="L419">
        <v>69.599999999999994</v>
      </c>
      <c r="M419" s="2">
        <f t="shared" si="62"/>
        <v>0</v>
      </c>
      <c r="N419">
        <v>0</v>
      </c>
      <c r="O419" s="2">
        <f t="shared" si="63"/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s="2">
        <f t="shared" si="64"/>
        <v>0</v>
      </c>
      <c r="W419">
        <v>21.9</v>
      </c>
      <c r="X419" s="2">
        <f t="shared" si="65"/>
        <v>1</v>
      </c>
      <c r="Y419">
        <v>287.7</v>
      </c>
      <c r="Z419" s="2" t="str">
        <f>CHOOSE(MATCH(Y419,{0;11;80;111;161;191;241;281;341},1),"North","NorthEast","East","SouthEast","South","SouthWest","West","NorthWest","North")</f>
        <v>NorthWest</v>
      </c>
      <c r="AA419" s="4">
        <f>CHOOSE(MATCH(Z419,{"South";"SouthEast";"SouthWest";"North";"NorthEast";"East";"West";"NorthWest"},0),1,2,3,4,5,6,7,8)</f>
        <v>8</v>
      </c>
      <c r="AB419" s="2">
        <f t="shared" si="66"/>
        <v>1</v>
      </c>
      <c r="AC419">
        <v>1006.5</v>
      </c>
      <c r="AD419" t="s">
        <v>693</v>
      </c>
      <c r="AE419" s="2">
        <f t="shared" si="67"/>
        <v>1</v>
      </c>
      <c r="AF419" t="s">
        <v>694</v>
      </c>
      <c r="AG419" s="2">
        <f t="shared" si="68"/>
        <v>6</v>
      </c>
      <c r="AH419" s="2">
        <f t="shared" si="69"/>
        <v>1</v>
      </c>
      <c r="AI419" s="3">
        <v>81.000000002095476</v>
      </c>
      <c r="AJ419" s="2">
        <v>0</v>
      </c>
      <c r="AK419">
        <v>0</v>
      </c>
      <c r="AL419">
        <v>0.1</v>
      </c>
      <c r="AM419">
        <v>0</v>
      </c>
      <c r="AN419" s="2">
        <f>IF((2*G419+M419-O419+3*V419+2*AB419+2*AE419+2*AH419+3*AJ419)&gt;=7,1,0)</f>
        <v>1</v>
      </c>
    </row>
    <row r="420" spans="1:40" x14ac:dyDescent="0.25">
      <c r="A420" t="s">
        <v>27</v>
      </c>
      <c r="B420" s="1">
        <v>38162</v>
      </c>
      <c r="C420" s="6">
        <f t="shared" si="60"/>
        <v>2004</v>
      </c>
      <c r="D420">
        <v>78.900000000000006</v>
      </c>
      <c r="E420">
        <v>73.5</v>
      </c>
      <c r="F420">
        <v>76.099999999999994</v>
      </c>
      <c r="G420" s="2">
        <f t="shared" si="61"/>
        <v>1</v>
      </c>
      <c r="H420">
        <v>78.900000000000006</v>
      </c>
      <c r="I420">
        <v>73.5</v>
      </c>
      <c r="J420">
        <v>76.099999999999994</v>
      </c>
      <c r="K420">
        <v>60.9</v>
      </c>
      <c r="L420">
        <v>59.9</v>
      </c>
      <c r="M420" s="2">
        <f t="shared" si="62"/>
        <v>1</v>
      </c>
      <c r="N420">
        <v>0</v>
      </c>
      <c r="O420" s="2">
        <f t="shared" si="63"/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 s="2">
        <f t="shared" si="64"/>
        <v>0</v>
      </c>
      <c r="W420">
        <v>19.5</v>
      </c>
      <c r="X420" s="2">
        <f t="shared" si="65"/>
        <v>1</v>
      </c>
      <c r="Y420">
        <v>296.60000000000002</v>
      </c>
      <c r="Z420" s="2" t="str">
        <f>CHOOSE(MATCH(Y420,{0;11;80;111;161;191;241;281;341},1),"North","NorthEast","East","SouthEast","South","SouthWest","West","NorthWest","North")</f>
        <v>NorthWest</v>
      </c>
      <c r="AA420" s="4">
        <f>CHOOSE(MATCH(Z420,{"South";"SouthEast";"SouthWest";"North";"NorthEast";"East";"West";"NorthWest"},0),1,2,3,4,5,6,7,8)</f>
        <v>8</v>
      </c>
      <c r="AB420" s="2">
        <f t="shared" si="66"/>
        <v>1</v>
      </c>
      <c r="AC420">
        <v>1010.3</v>
      </c>
      <c r="AD420" t="s">
        <v>695</v>
      </c>
      <c r="AE420" s="2">
        <f t="shared" si="67"/>
        <v>0</v>
      </c>
      <c r="AF420" t="s">
        <v>696</v>
      </c>
      <c r="AG420" s="2">
        <f t="shared" si="68"/>
        <v>6</v>
      </c>
      <c r="AH420" s="2">
        <f t="shared" si="69"/>
        <v>1</v>
      </c>
      <c r="AI420" s="3">
        <v>686.00000000442378</v>
      </c>
      <c r="AJ420" s="2">
        <v>1</v>
      </c>
      <c r="AK420">
        <v>0</v>
      </c>
      <c r="AL420">
        <v>2</v>
      </c>
      <c r="AM420">
        <v>0</v>
      </c>
      <c r="AN420" s="2">
        <f>IF((2*G420+M420-O420+3*V420+2*AB420+2*AE420+2*AH420+3*AJ420)&gt;=7,1,0)</f>
        <v>1</v>
      </c>
    </row>
    <row r="421" spans="1:40" x14ac:dyDescent="0.25">
      <c r="A421" t="s">
        <v>27</v>
      </c>
      <c r="B421" s="1">
        <v>38162</v>
      </c>
      <c r="C421" s="6">
        <f t="shared" si="60"/>
        <v>2004</v>
      </c>
      <c r="D421">
        <v>78.900000000000006</v>
      </c>
      <c r="E421">
        <v>73.5</v>
      </c>
      <c r="F421">
        <v>76.099999999999994</v>
      </c>
      <c r="G421" s="2">
        <f t="shared" si="61"/>
        <v>1</v>
      </c>
      <c r="H421">
        <v>78.900000000000006</v>
      </c>
      <c r="I421">
        <v>73.5</v>
      </c>
      <c r="J421">
        <v>76.099999999999994</v>
      </c>
      <c r="K421">
        <v>60.9</v>
      </c>
      <c r="L421">
        <v>59.9</v>
      </c>
      <c r="M421" s="2">
        <f t="shared" si="62"/>
        <v>1</v>
      </c>
      <c r="N421">
        <v>0</v>
      </c>
      <c r="O421" s="2">
        <f t="shared" si="63"/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s="2">
        <f t="shared" si="64"/>
        <v>0</v>
      </c>
      <c r="W421">
        <v>19.5</v>
      </c>
      <c r="X421" s="2">
        <f t="shared" si="65"/>
        <v>1</v>
      </c>
      <c r="Y421">
        <v>296.60000000000002</v>
      </c>
      <c r="Z421" s="2" t="str">
        <f>CHOOSE(MATCH(Y421,{0;11;80;111;161;191;241;281;341},1),"North","NorthEast","East","SouthEast","South","SouthWest","West","NorthWest","North")</f>
        <v>NorthWest</v>
      </c>
      <c r="AA421" s="4">
        <f>CHOOSE(MATCH(Z421,{"South";"SouthEast";"SouthWest";"North";"NorthEast";"East";"West";"NorthWest"},0),1,2,3,4,5,6,7,8)</f>
        <v>8</v>
      </c>
      <c r="AB421" s="2">
        <f t="shared" si="66"/>
        <v>1</v>
      </c>
      <c r="AC421">
        <v>1010.3</v>
      </c>
      <c r="AD421" t="s">
        <v>697</v>
      </c>
      <c r="AE421" s="2">
        <f t="shared" si="67"/>
        <v>0</v>
      </c>
      <c r="AF421" t="s">
        <v>698</v>
      </c>
      <c r="AG421" s="2">
        <f t="shared" si="68"/>
        <v>6</v>
      </c>
      <c r="AH421" s="2">
        <f t="shared" si="69"/>
        <v>1</v>
      </c>
      <c r="AI421" s="3">
        <v>676.00000000325963</v>
      </c>
      <c r="AJ421" s="2">
        <v>1</v>
      </c>
      <c r="AK421">
        <v>0</v>
      </c>
      <c r="AL421">
        <v>2</v>
      </c>
      <c r="AM421">
        <v>0</v>
      </c>
      <c r="AN421" s="2">
        <f>IF((2*G421+M421-O421+3*V421+2*AB421+2*AE421+2*AH421+3*AJ421)&gt;=7,1,0)</f>
        <v>1</v>
      </c>
    </row>
    <row r="422" spans="1:40" x14ac:dyDescent="0.25">
      <c r="A422" t="s">
        <v>27</v>
      </c>
      <c r="B422" s="1">
        <v>38167</v>
      </c>
      <c r="C422" s="6">
        <f t="shared" si="60"/>
        <v>2004</v>
      </c>
      <c r="D422">
        <v>80.7</v>
      </c>
      <c r="E422">
        <v>73.5</v>
      </c>
      <c r="F422">
        <v>77.900000000000006</v>
      </c>
      <c r="G422" s="2">
        <f t="shared" si="61"/>
        <v>1</v>
      </c>
      <c r="H422">
        <v>82.4</v>
      </c>
      <c r="I422">
        <v>73.5</v>
      </c>
      <c r="J422">
        <v>78.5</v>
      </c>
      <c r="K422">
        <v>61.3</v>
      </c>
      <c r="L422">
        <v>56.7</v>
      </c>
      <c r="M422" s="2">
        <f t="shared" si="62"/>
        <v>1</v>
      </c>
      <c r="N422">
        <v>0</v>
      </c>
      <c r="O422" s="2">
        <f t="shared" si="63"/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 s="2">
        <f t="shared" si="64"/>
        <v>0</v>
      </c>
      <c r="W422">
        <v>20.8</v>
      </c>
      <c r="X422" s="2">
        <f t="shared" si="65"/>
        <v>1</v>
      </c>
      <c r="Y422">
        <v>296.2</v>
      </c>
      <c r="Z422" s="2" t="str">
        <f>CHOOSE(MATCH(Y422,{0;11;80;111;161;191;241;281;341},1),"North","NorthEast","East","SouthEast","South","SouthWest","West","NorthWest","North")</f>
        <v>NorthWest</v>
      </c>
      <c r="AA422" s="4">
        <f>CHOOSE(MATCH(Z422,{"South";"SouthEast";"SouthWest";"North";"NorthEast";"East";"West";"NorthWest"},0),1,2,3,4,5,6,7,8)</f>
        <v>8</v>
      </c>
      <c r="AB422" s="2">
        <f t="shared" si="66"/>
        <v>1</v>
      </c>
      <c r="AC422">
        <v>1014.9</v>
      </c>
      <c r="AD422" t="s">
        <v>699</v>
      </c>
      <c r="AE422" s="2">
        <f t="shared" si="67"/>
        <v>1</v>
      </c>
      <c r="AF422" t="s">
        <v>700</v>
      </c>
      <c r="AG422" s="2">
        <f t="shared" si="68"/>
        <v>6</v>
      </c>
      <c r="AH422" s="2">
        <f t="shared" si="69"/>
        <v>1</v>
      </c>
      <c r="AI422" s="3">
        <v>429.99999999767169</v>
      </c>
      <c r="AJ422" s="2">
        <v>1</v>
      </c>
      <c r="AK422">
        <v>0.1</v>
      </c>
      <c r="AL422">
        <v>0</v>
      </c>
      <c r="AM422">
        <v>0</v>
      </c>
      <c r="AN422" s="2">
        <f>IF((2*G422+M422-O422+3*V422+2*AB422+2*AE422+2*AH422+3*AJ422)&gt;=7,1,0)</f>
        <v>1</v>
      </c>
    </row>
    <row r="423" spans="1:40" x14ac:dyDescent="0.25">
      <c r="A423" t="s">
        <v>27</v>
      </c>
      <c r="B423" s="1">
        <v>38170</v>
      </c>
      <c r="C423" s="6">
        <f t="shared" si="60"/>
        <v>2004</v>
      </c>
      <c r="D423">
        <v>82.5</v>
      </c>
      <c r="E423">
        <v>69.900000000000006</v>
      </c>
      <c r="F423">
        <v>74.5</v>
      </c>
      <c r="G423" s="2">
        <f t="shared" si="61"/>
        <v>1</v>
      </c>
      <c r="H423">
        <v>82.6</v>
      </c>
      <c r="I423">
        <v>69.900000000000006</v>
      </c>
      <c r="J423">
        <v>74.5</v>
      </c>
      <c r="K423">
        <v>62</v>
      </c>
      <c r="L423">
        <v>66.900000000000006</v>
      </c>
      <c r="M423" s="2">
        <f t="shared" si="62"/>
        <v>0</v>
      </c>
      <c r="N423">
        <v>0</v>
      </c>
      <c r="O423" s="2">
        <f t="shared" si="63"/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s="2">
        <f t="shared" si="64"/>
        <v>0</v>
      </c>
      <c r="W423">
        <v>10.3</v>
      </c>
      <c r="X423" s="2">
        <f t="shared" si="65"/>
        <v>0</v>
      </c>
      <c r="Y423">
        <v>230.1</v>
      </c>
      <c r="Z423" s="2" t="str">
        <f>CHOOSE(MATCH(Y423,{0;11;80;111;161;191;241;281;341},1),"North","NorthEast","East","SouthEast","South","SouthWest","West","NorthWest","North")</f>
        <v>SouthWest</v>
      </c>
      <c r="AA423" s="4">
        <f>CHOOSE(MATCH(Z423,{"South";"SouthEast";"SouthWest";"North";"NorthEast";"East";"West";"NorthWest"},0),1,2,3,4,5,6,7,8)</f>
        <v>3</v>
      </c>
      <c r="AB423" s="2">
        <f t="shared" si="66"/>
        <v>0</v>
      </c>
      <c r="AC423">
        <v>1012.7</v>
      </c>
      <c r="AD423" t="s">
        <v>386</v>
      </c>
      <c r="AE423" s="2">
        <f t="shared" si="67"/>
        <v>0</v>
      </c>
      <c r="AF423" t="s">
        <v>701</v>
      </c>
      <c r="AG423" s="2">
        <f t="shared" si="68"/>
        <v>7</v>
      </c>
      <c r="AH423" s="2">
        <f t="shared" si="69"/>
        <v>1</v>
      </c>
      <c r="AI423" s="3">
        <v>74.000000000232831</v>
      </c>
      <c r="AJ423" s="2">
        <v>0</v>
      </c>
      <c r="AK423">
        <v>0</v>
      </c>
      <c r="AL423">
        <v>0.1</v>
      </c>
      <c r="AM423">
        <v>0</v>
      </c>
      <c r="AN423" s="2">
        <f>IF((2*G423+M423-O423+3*V423+2*AB423+2*AE423+2*AH423+3*AJ423)&gt;=7,1,0)</f>
        <v>0</v>
      </c>
    </row>
    <row r="424" spans="1:40" x14ac:dyDescent="0.25">
      <c r="A424" t="s">
        <v>27</v>
      </c>
      <c r="B424" s="1">
        <v>38173</v>
      </c>
      <c r="C424" s="6">
        <f t="shared" si="60"/>
        <v>2004</v>
      </c>
      <c r="D424">
        <v>84.3</v>
      </c>
      <c r="E424">
        <v>77.099999999999994</v>
      </c>
      <c r="F424">
        <v>80</v>
      </c>
      <c r="G424" s="2">
        <f t="shared" si="61"/>
        <v>1</v>
      </c>
      <c r="H424">
        <v>84.8</v>
      </c>
      <c r="I424">
        <v>77.099999999999994</v>
      </c>
      <c r="J424">
        <v>80.5</v>
      </c>
      <c r="K424">
        <v>63.9</v>
      </c>
      <c r="L424">
        <v>58.4</v>
      </c>
      <c r="M424" s="2">
        <f t="shared" si="62"/>
        <v>1</v>
      </c>
      <c r="N424">
        <v>0</v>
      </c>
      <c r="O424" s="2">
        <f t="shared" si="63"/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 s="2">
        <f t="shared" si="64"/>
        <v>0</v>
      </c>
      <c r="W424">
        <v>23</v>
      </c>
      <c r="X424" s="2">
        <f t="shared" si="65"/>
        <v>1</v>
      </c>
      <c r="Y424">
        <v>304.5</v>
      </c>
      <c r="Z424" s="2" t="str">
        <f>CHOOSE(MATCH(Y424,{0;11;80;111;161;191;241;281;341},1),"North","NorthEast","East","SouthEast","South","SouthWest","West","NorthWest","North")</f>
        <v>NorthWest</v>
      </c>
      <c r="AA424" s="4">
        <f>CHOOSE(MATCH(Z424,{"South";"SouthEast";"SouthWest";"North";"NorthEast";"East";"West";"NorthWest"},0),1,2,3,4,5,6,7,8)</f>
        <v>8</v>
      </c>
      <c r="AB424" s="2">
        <f t="shared" si="66"/>
        <v>1</v>
      </c>
      <c r="AC424">
        <v>1012.5</v>
      </c>
      <c r="AD424" t="s">
        <v>702</v>
      </c>
      <c r="AE424" s="2">
        <f t="shared" si="67"/>
        <v>1</v>
      </c>
      <c r="AF424" t="s">
        <v>703</v>
      </c>
      <c r="AG424" s="2">
        <f t="shared" si="68"/>
        <v>7</v>
      </c>
      <c r="AH424" s="2">
        <f t="shared" si="69"/>
        <v>1</v>
      </c>
      <c r="AI424" s="3">
        <v>3048.000000002794</v>
      </c>
      <c r="AJ424" s="2">
        <v>1</v>
      </c>
      <c r="AK424">
        <v>0</v>
      </c>
      <c r="AL424">
        <v>200</v>
      </c>
      <c r="AM424">
        <v>0</v>
      </c>
      <c r="AN424" s="2">
        <f>IF((2*G424+M424-O424+3*V424+2*AB424+2*AE424+2*AH424+3*AJ424)&gt;=7,1,0)</f>
        <v>1</v>
      </c>
    </row>
    <row r="425" spans="1:40" x14ac:dyDescent="0.25">
      <c r="A425" t="s">
        <v>27</v>
      </c>
      <c r="B425" s="1">
        <v>38176</v>
      </c>
      <c r="C425" s="6">
        <f t="shared" si="60"/>
        <v>2004</v>
      </c>
      <c r="D425">
        <v>80.7</v>
      </c>
      <c r="E425">
        <v>73.5</v>
      </c>
      <c r="F425">
        <v>77.900000000000006</v>
      </c>
      <c r="G425" s="2">
        <f t="shared" si="61"/>
        <v>1</v>
      </c>
      <c r="H425">
        <v>81.900000000000006</v>
      </c>
      <c r="I425">
        <v>73.5</v>
      </c>
      <c r="J425">
        <v>78.099999999999994</v>
      </c>
      <c r="K425">
        <v>61.7</v>
      </c>
      <c r="L425">
        <v>57.7</v>
      </c>
      <c r="M425" s="2">
        <f t="shared" si="62"/>
        <v>1</v>
      </c>
      <c r="N425">
        <v>0</v>
      </c>
      <c r="O425" s="2">
        <f t="shared" si="63"/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s="2">
        <f t="shared" si="64"/>
        <v>0</v>
      </c>
      <c r="W425">
        <v>27.5</v>
      </c>
      <c r="X425" s="2">
        <f t="shared" si="65"/>
        <v>1</v>
      </c>
      <c r="Y425">
        <v>287.8</v>
      </c>
      <c r="Z425" s="2" t="str">
        <f>CHOOSE(MATCH(Y425,{0;11;80;111;161;191;241;281;341},1),"North","NorthEast","East","SouthEast","South","SouthWest","West","NorthWest","North")</f>
        <v>NorthWest</v>
      </c>
      <c r="AA425" s="4">
        <f>CHOOSE(MATCH(Z425,{"South";"SouthEast";"SouthWest";"North";"NorthEast";"East";"West";"NorthWest"},0),1,2,3,4,5,6,7,8)</f>
        <v>8</v>
      </c>
      <c r="AB425" s="2">
        <f t="shared" si="66"/>
        <v>1</v>
      </c>
      <c r="AC425">
        <v>1010.9</v>
      </c>
      <c r="AD425" t="s">
        <v>346</v>
      </c>
      <c r="AE425" s="2">
        <f t="shared" si="67"/>
        <v>1</v>
      </c>
      <c r="AF425" t="s">
        <v>704</v>
      </c>
      <c r="AG425" s="2">
        <f t="shared" si="68"/>
        <v>7</v>
      </c>
      <c r="AH425" s="2">
        <f t="shared" si="69"/>
        <v>1</v>
      </c>
      <c r="AI425" s="3">
        <v>300.00000000349252</v>
      </c>
      <c r="AJ425" s="2">
        <v>0</v>
      </c>
      <c r="AK425">
        <v>0</v>
      </c>
      <c r="AL425">
        <v>0.2</v>
      </c>
      <c r="AM425">
        <v>0</v>
      </c>
      <c r="AN425" s="2">
        <f>IF((2*G425+M425-O425+3*V425+2*AB425+2*AE425+2*AH425+3*AJ425)&gt;=7,1,0)</f>
        <v>1</v>
      </c>
    </row>
    <row r="426" spans="1:40" x14ac:dyDescent="0.25">
      <c r="A426" t="s">
        <v>27</v>
      </c>
      <c r="B426" s="1">
        <v>38176</v>
      </c>
      <c r="C426" s="6">
        <f t="shared" si="60"/>
        <v>2004</v>
      </c>
      <c r="D426">
        <v>80.7</v>
      </c>
      <c r="E426">
        <v>73.5</v>
      </c>
      <c r="F426">
        <v>77.900000000000006</v>
      </c>
      <c r="G426" s="2">
        <f t="shared" si="61"/>
        <v>1</v>
      </c>
      <c r="H426">
        <v>81.900000000000006</v>
      </c>
      <c r="I426">
        <v>73.5</v>
      </c>
      <c r="J426">
        <v>78.099999999999994</v>
      </c>
      <c r="K426">
        <v>61.7</v>
      </c>
      <c r="L426">
        <v>57.7</v>
      </c>
      <c r="M426" s="2">
        <f t="shared" si="62"/>
        <v>1</v>
      </c>
      <c r="N426">
        <v>0</v>
      </c>
      <c r="O426" s="2">
        <f t="shared" si="63"/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s="2">
        <f t="shared" si="64"/>
        <v>0</v>
      </c>
      <c r="W426">
        <v>27.5</v>
      </c>
      <c r="X426" s="2">
        <f t="shared" si="65"/>
        <v>1</v>
      </c>
      <c r="Y426">
        <v>287.8</v>
      </c>
      <c r="Z426" s="2" t="str">
        <f>CHOOSE(MATCH(Y426,{0;11;80;111;161;191;241;281;341},1),"North","NorthEast","East","SouthEast","South","SouthWest","West","NorthWest","North")</f>
        <v>NorthWest</v>
      </c>
      <c r="AA426" s="4">
        <f>CHOOSE(MATCH(Z426,{"South";"SouthEast";"SouthWest";"North";"NorthEast";"East";"West";"NorthWest"},0),1,2,3,4,5,6,7,8)</f>
        <v>8</v>
      </c>
      <c r="AB426" s="2">
        <f t="shared" si="66"/>
        <v>1</v>
      </c>
      <c r="AC426">
        <v>1010.9</v>
      </c>
      <c r="AD426" t="s">
        <v>311</v>
      </c>
      <c r="AE426" s="2">
        <f t="shared" si="67"/>
        <v>1</v>
      </c>
      <c r="AF426" t="s">
        <v>705</v>
      </c>
      <c r="AG426" s="2">
        <f t="shared" si="68"/>
        <v>7</v>
      </c>
      <c r="AH426" s="2">
        <f t="shared" si="69"/>
        <v>1</v>
      </c>
      <c r="AI426" s="3">
        <v>320.00000000582082</v>
      </c>
      <c r="AJ426" s="2">
        <v>0</v>
      </c>
      <c r="AK426">
        <v>0</v>
      </c>
      <c r="AL426">
        <v>2</v>
      </c>
      <c r="AM426">
        <v>0</v>
      </c>
      <c r="AN426" s="2">
        <f>IF((2*G426+M426-O426+3*V426+2*AB426+2*AE426+2*AH426+3*AJ426)&gt;=7,1,0)</f>
        <v>1</v>
      </c>
    </row>
    <row r="427" spans="1:40" x14ac:dyDescent="0.25">
      <c r="A427" t="s">
        <v>27</v>
      </c>
      <c r="B427" s="1">
        <v>38177</v>
      </c>
      <c r="C427" s="6">
        <f t="shared" si="60"/>
        <v>2004</v>
      </c>
      <c r="D427">
        <v>82.5</v>
      </c>
      <c r="E427">
        <v>77.099999999999994</v>
      </c>
      <c r="F427">
        <v>79.400000000000006</v>
      </c>
      <c r="G427" s="2">
        <f t="shared" si="61"/>
        <v>1</v>
      </c>
      <c r="H427">
        <v>84.8</v>
      </c>
      <c r="I427">
        <v>77.099999999999994</v>
      </c>
      <c r="J427">
        <v>80</v>
      </c>
      <c r="K427">
        <v>62.3</v>
      </c>
      <c r="L427">
        <v>56</v>
      </c>
      <c r="M427" s="2">
        <f t="shared" si="62"/>
        <v>1</v>
      </c>
      <c r="N427">
        <v>0</v>
      </c>
      <c r="O427" s="2">
        <f t="shared" si="63"/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s="2">
        <f t="shared" si="64"/>
        <v>0</v>
      </c>
      <c r="W427">
        <v>21.9</v>
      </c>
      <c r="X427" s="2">
        <f t="shared" si="65"/>
        <v>1</v>
      </c>
      <c r="Y427">
        <v>294.39999999999998</v>
      </c>
      <c r="Z427" s="2" t="str">
        <f>CHOOSE(MATCH(Y427,{0;11;80;111;161;191;241;281;341},1),"North","NorthEast","East","SouthEast","South","SouthWest","West","NorthWest","North")</f>
        <v>NorthWest</v>
      </c>
      <c r="AA427" s="4">
        <f>CHOOSE(MATCH(Z427,{"South";"SouthEast";"SouthWest";"North";"NorthEast";"East";"West";"NorthWest"},0),1,2,3,4,5,6,7,8)</f>
        <v>8</v>
      </c>
      <c r="AB427" s="2">
        <f t="shared" si="66"/>
        <v>1</v>
      </c>
      <c r="AC427">
        <v>1010.6</v>
      </c>
      <c r="AD427" t="s">
        <v>380</v>
      </c>
      <c r="AE427" s="2">
        <f t="shared" si="67"/>
        <v>0</v>
      </c>
      <c r="AF427" t="s">
        <v>706</v>
      </c>
      <c r="AG427" s="2">
        <f t="shared" si="68"/>
        <v>7</v>
      </c>
      <c r="AH427" s="2">
        <f t="shared" si="69"/>
        <v>1</v>
      </c>
      <c r="AI427" s="3">
        <v>6990.9999999997672</v>
      </c>
      <c r="AJ427" s="2">
        <v>1</v>
      </c>
      <c r="AK427">
        <v>0</v>
      </c>
      <c r="AL427">
        <v>1750</v>
      </c>
      <c r="AM427">
        <v>0</v>
      </c>
      <c r="AN427" s="2">
        <f>IF((2*G427+M427-O427+3*V427+2*AB427+2*AE427+2*AH427+3*AJ427)&gt;=7,1,0)</f>
        <v>1</v>
      </c>
    </row>
    <row r="428" spans="1:40" x14ac:dyDescent="0.25">
      <c r="A428" t="s">
        <v>27</v>
      </c>
      <c r="B428" s="1">
        <v>38181</v>
      </c>
      <c r="C428" s="6">
        <f t="shared" si="60"/>
        <v>2004</v>
      </c>
      <c r="D428">
        <v>89.7</v>
      </c>
      <c r="E428">
        <v>73.5</v>
      </c>
      <c r="F428">
        <v>82.3</v>
      </c>
      <c r="G428" s="2">
        <f t="shared" si="61"/>
        <v>1</v>
      </c>
      <c r="H428">
        <v>92.9</v>
      </c>
      <c r="I428">
        <v>73.5</v>
      </c>
      <c r="J428">
        <v>84.2</v>
      </c>
      <c r="K428">
        <v>62.7</v>
      </c>
      <c r="L428">
        <v>52.7</v>
      </c>
      <c r="M428" s="2">
        <f t="shared" si="62"/>
        <v>1</v>
      </c>
      <c r="N428">
        <v>0</v>
      </c>
      <c r="O428" s="2">
        <f t="shared" si="63"/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s="2">
        <f t="shared" si="64"/>
        <v>0</v>
      </c>
      <c r="W428">
        <v>11.4</v>
      </c>
      <c r="X428" s="2">
        <f t="shared" si="65"/>
        <v>0</v>
      </c>
      <c r="Y428">
        <v>85.2</v>
      </c>
      <c r="Z428" s="2" t="str">
        <f>CHOOSE(MATCH(Y428,{0;11;80;111;161;191;241;281;341},1),"North","NorthEast","East","SouthEast","South","SouthWest","West","NorthWest","North")</f>
        <v>East</v>
      </c>
      <c r="AA428" s="4">
        <f>CHOOSE(MATCH(Z428,{"South";"SouthEast";"SouthWest";"North";"NorthEast";"East";"West";"NorthWest"},0),1,2,3,4,5,6,7,8)</f>
        <v>6</v>
      </c>
      <c r="AB428" s="2">
        <f t="shared" si="66"/>
        <v>0</v>
      </c>
      <c r="AC428">
        <v>1006.1</v>
      </c>
      <c r="AD428" t="s">
        <v>135</v>
      </c>
      <c r="AE428" s="2">
        <f t="shared" si="67"/>
        <v>0</v>
      </c>
      <c r="AF428" t="s">
        <v>707</v>
      </c>
      <c r="AG428" s="2">
        <f t="shared" si="68"/>
        <v>7</v>
      </c>
      <c r="AH428" s="2">
        <f t="shared" si="69"/>
        <v>1</v>
      </c>
      <c r="AI428" s="3">
        <v>245.99999999511061</v>
      </c>
      <c r="AJ428" s="2">
        <v>0</v>
      </c>
      <c r="AK428">
        <v>0</v>
      </c>
      <c r="AL428">
        <v>1</v>
      </c>
      <c r="AM428">
        <v>0</v>
      </c>
      <c r="AN428" s="2">
        <f>IF((2*G428+M428-O428+3*V428+2*AB428+2*AE428+2*AH428+3*AJ428)&gt;=7,1,0)</f>
        <v>0</v>
      </c>
    </row>
    <row r="429" spans="1:40" x14ac:dyDescent="0.25">
      <c r="A429" t="s">
        <v>27</v>
      </c>
      <c r="B429" s="1">
        <v>38183</v>
      </c>
      <c r="C429" s="6">
        <f t="shared" si="60"/>
        <v>2004</v>
      </c>
      <c r="D429">
        <v>80.7</v>
      </c>
      <c r="E429">
        <v>68.099999999999994</v>
      </c>
      <c r="F429">
        <v>75.2</v>
      </c>
      <c r="G429" s="2">
        <f t="shared" si="61"/>
        <v>1</v>
      </c>
      <c r="H429">
        <v>81.5</v>
      </c>
      <c r="I429">
        <v>68.099999999999994</v>
      </c>
      <c r="J429">
        <v>75.3</v>
      </c>
      <c r="K429">
        <v>61.9</v>
      </c>
      <c r="L429">
        <v>64</v>
      </c>
      <c r="M429" s="2">
        <f t="shared" si="62"/>
        <v>1</v>
      </c>
      <c r="N429">
        <v>0</v>
      </c>
      <c r="O429" s="2">
        <f t="shared" si="63"/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s="2">
        <f t="shared" si="64"/>
        <v>0</v>
      </c>
      <c r="W429">
        <v>11.4</v>
      </c>
      <c r="X429" s="2">
        <f t="shared" si="65"/>
        <v>0</v>
      </c>
      <c r="Y429">
        <v>308.89999999999998</v>
      </c>
      <c r="Z429" s="2" t="str">
        <f>CHOOSE(MATCH(Y429,{0;11;80;111;161;191;241;281;341},1),"North","NorthEast","East","SouthEast","South","SouthWest","West","NorthWest","North")</f>
        <v>NorthWest</v>
      </c>
      <c r="AA429" s="4">
        <f>CHOOSE(MATCH(Z429,{"South";"SouthEast";"SouthWest";"North";"NorthEast";"East";"West";"NorthWest"},0),1,2,3,4,5,6,7,8)</f>
        <v>8</v>
      </c>
      <c r="AB429" s="2">
        <f t="shared" si="66"/>
        <v>1</v>
      </c>
      <c r="AC429">
        <v>1009</v>
      </c>
      <c r="AD429" t="s">
        <v>708</v>
      </c>
      <c r="AE429" s="2">
        <f t="shared" si="67"/>
        <v>1</v>
      </c>
      <c r="AF429" t="s">
        <v>709</v>
      </c>
      <c r="AG429" s="2">
        <f t="shared" si="68"/>
        <v>7</v>
      </c>
      <c r="AH429" s="2">
        <f t="shared" si="69"/>
        <v>1</v>
      </c>
      <c r="AI429" s="3">
        <v>1945.0000000011639</v>
      </c>
      <c r="AJ429" s="2">
        <v>1</v>
      </c>
      <c r="AK429">
        <v>0.1</v>
      </c>
      <c r="AL429">
        <v>0</v>
      </c>
      <c r="AM429">
        <v>0</v>
      </c>
      <c r="AN429" s="2">
        <f>IF((2*G429+M429-O429+3*V429+2*AB429+2*AE429+2*AH429+3*AJ429)&gt;=7,1,0)</f>
        <v>1</v>
      </c>
    </row>
    <row r="430" spans="1:40" x14ac:dyDescent="0.25">
      <c r="A430" t="s">
        <v>27</v>
      </c>
      <c r="B430" s="1">
        <v>38187</v>
      </c>
      <c r="C430" s="6">
        <f t="shared" si="60"/>
        <v>2004</v>
      </c>
      <c r="D430">
        <v>78.900000000000006</v>
      </c>
      <c r="E430">
        <v>68.099999999999994</v>
      </c>
      <c r="F430">
        <v>75.400000000000006</v>
      </c>
      <c r="G430" s="2">
        <f t="shared" si="61"/>
        <v>1</v>
      </c>
      <c r="H430">
        <v>78.900000000000006</v>
      </c>
      <c r="I430">
        <v>68.099999999999994</v>
      </c>
      <c r="J430">
        <v>75.400000000000006</v>
      </c>
      <c r="K430">
        <v>61.5</v>
      </c>
      <c r="L430">
        <v>62.4</v>
      </c>
      <c r="M430" s="2">
        <f t="shared" si="62"/>
        <v>1</v>
      </c>
      <c r="N430">
        <v>0</v>
      </c>
      <c r="O430" s="2">
        <f t="shared" si="63"/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s="2">
        <f t="shared" si="64"/>
        <v>0</v>
      </c>
      <c r="W430">
        <v>20.8</v>
      </c>
      <c r="X430" s="2">
        <f t="shared" si="65"/>
        <v>1</v>
      </c>
      <c r="Y430">
        <v>301</v>
      </c>
      <c r="Z430" s="2" t="str">
        <f>CHOOSE(MATCH(Y430,{0;11;80;111;161;191;241;281;341},1),"North","NorthEast","East","SouthEast","South","SouthWest","West","NorthWest","North")</f>
        <v>NorthWest</v>
      </c>
      <c r="AA430" s="4">
        <f>CHOOSE(MATCH(Z430,{"South";"SouthEast";"SouthWest";"North";"NorthEast";"East";"West";"NorthWest"},0),1,2,3,4,5,6,7,8)</f>
        <v>8</v>
      </c>
      <c r="AB430" s="2">
        <f t="shared" si="66"/>
        <v>1</v>
      </c>
      <c r="AC430">
        <v>1013.9</v>
      </c>
      <c r="AD430" t="s">
        <v>135</v>
      </c>
      <c r="AE430" s="2">
        <f t="shared" si="67"/>
        <v>0</v>
      </c>
      <c r="AF430" t="s">
        <v>710</v>
      </c>
      <c r="AG430" s="2">
        <f t="shared" si="68"/>
        <v>7</v>
      </c>
      <c r="AH430" s="2">
        <f t="shared" si="69"/>
        <v>1</v>
      </c>
      <c r="AI430" s="3">
        <v>495.99999999278231</v>
      </c>
      <c r="AJ430" s="2">
        <v>1</v>
      </c>
      <c r="AK430">
        <v>0</v>
      </c>
      <c r="AL430">
        <v>2</v>
      </c>
      <c r="AM430">
        <v>0</v>
      </c>
      <c r="AN430" s="2">
        <f>IF((2*G430+M430-O430+3*V430+2*AB430+2*AE430+2*AH430+3*AJ430)&gt;=7,1,0)</f>
        <v>1</v>
      </c>
    </row>
    <row r="431" spans="1:40" x14ac:dyDescent="0.25">
      <c r="A431" t="s">
        <v>27</v>
      </c>
      <c r="B431" s="1">
        <v>38191</v>
      </c>
      <c r="C431" s="6">
        <f t="shared" si="60"/>
        <v>2004</v>
      </c>
      <c r="D431">
        <v>84.3</v>
      </c>
      <c r="E431">
        <v>69.900000000000006</v>
      </c>
      <c r="F431">
        <v>79.099999999999994</v>
      </c>
      <c r="G431" s="2">
        <f t="shared" si="61"/>
        <v>1</v>
      </c>
      <c r="H431">
        <v>84.5</v>
      </c>
      <c r="I431">
        <v>69.900000000000006</v>
      </c>
      <c r="J431">
        <v>79.099999999999994</v>
      </c>
      <c r="K431">
        <v>58.1</v>
      </c>
      <c r="L431">
        <v>49.1</v>
      </c>
      <c r="M431" s="2">
        <f t="shared" si="62"/>
        <v>1</v>
      </c>
      <c r="N431">
        <v>0</v>
      </c>
      <c r="O431" s="2">
        <f t="shared" si="63"/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s="2">
        <f t="shared" si="64"/>
        <v>0</v>
      </c>
      <c r="W431">
        <v>19.5</v>
      </c>
      <c r="X431" s="2">
        <f t="shared" si="65"/>
        <v>1</v>
      </c>
      <c r="Y431">
        <v>286.60000000000002</v>
      </c>
      <c r="Z431" s="2" t="str">
        <f>CHOOSE(MATCH(Y431,{0;11;80;111;161;191;241;281;341},1),"North","NorthEast","East","SouthEast","South","SouthWest","West","NorthWest","North")</f>
        <v>NorthWest</v>
      </c>
      <c r="AA431" s="4">
        <f>CHOOSE(MATCH(Z431,{"South";"SouthEast";"SouthWest";"North";"NorthEast";"East";"West";"NorthWest"},0),1,2,3,4,5,6,7,8)</f>
        <v>8</v>
      </c>
      <c r="AB431" s="2">
        <f t="shared" si="66"/>
        <v>1</v>
      </c>
      <c r="AC431">
        <v>1010.4</v>
      </c>
      <c r="AD431" t="s">
        <v>215</v>
      </c>
      <c r="AE431" s="2">
        <f t="shared" si="67"/>
        <v>1</v>
      </c>
      <c r="AF431" t="s">
        <v>711</v>
      </c>
      <c r="AG431" s="2">
        <f t="shared" si="68"/>
        <v>7</v>
      </c>
      <c r="AH431" s="2">
        <f t="shared" si="69"/>
        <v>1</v>
      </c>
      <c r="AI431" s="3">
        <v>341.00000000093132</v>
      </c>
      <c r="AJ431" s="2">
        <v>0</v>
      </c>
      <c r="AK431">
        <v>0</v>
      </c>
      <c r="AL431">
        <v>2</v>
      </c>
      <c r="AM431">
        <v>0</v>
      </c>
      <c r="AN431" s="2">
        <f>IF((2*G431+M431-O431+3*V431+2*AB431+2*AE431+2*AH431+3*AJ431)&gt;=7,1,0)</f>
        <v>1</v>
      </c>
    </row>
    <row r="432" spans="1:40" x14ac:dyDescent="0.25">
      <c r="A432" t="s">
        <v>27</v>
      </c>
      <c r="B432" s="1">
        <v>38191</v>
      </c>
      <c r="C432" s="6">
        <f t="shared" si="60"/>
        <v>2004</v>
      </c>
      <c r="D432">
        <v>84.3</v>
      </c>
      <c r="E432">
        <v>69.900000000000006</v>
      </c>
      <c r="F432">
        <v>79.099999999999994</v>
      </c>
      <c r="G432" s="2">
        <f t="shared" si="61"/>
        <v>1</v>
      </c>
      <c r="H432">
        <v>84.5</v>
      </c>
      <c r="I432">
        <v>69.900000000000006</v>
      </c>
      <c r="J432">
        <v>79.099999999999994</v>
      </c>
      <c r="K432">
        <v>58.1</v>
      </c>
      <c r="L432">
        <v>49.1</v>
      </c>
      <c r="M432" s="2">
        <f t="shared" si="62"/>
        <v>1</v>
      </c>
      <c r="N432">
        <v>0</v>
      </c>
      <c r="O432" s="2">
        <f t="shared" si="63"/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s="2">
        <f t="shared" si="64"/>
        <v>0</v>
      </c>
      <c r="W432">
        <v>19.5</v>
      </c>
      <c r="X432" s="2">
        <f t="shared" si="65"/>
        <v>1</v>
      </c>
      <c r="Y432">
        <v>286.60000000000002</v>
      </c>
      <c r="Z432" s="2" t="str">
        <f>CHOOSE(MATCH(Y432,{0;11;80;111;161;191;241;281;341},1),"North","NorthEast","East","SouthEast","South","SouthWest","West","NorthWest","North")</f>
        <v>NorthWest</v>
      </c>
      <c r="AA432" s="4">
        <f>CHOOSE(MATCH(Z432,{"South";"SouthEast";"SouthWest";"North";"NorthEast";"East";"West";"NorthWest"},0),1,2,3,4,5,6,7,8)</f>
        <v>8</v>
      </c>
      <c r="AB432" s="2">
        <f t="shared" si="66"/>
        <v>1</v>
      </c>
      <c r="AC432">
        <v>1010.4</v>
      </c>
      <c r="AD432" t="s">
        <v>231</v>
      </c>
      <c r="AE432" s="2">
        <f t="shared" si="67"/>
        <v>1</v>
      </c>
      <c r="AF432" t="s">
        <v>712</v>
      </c>
      <c r="AG432" s="2">
        <f t="shared" si="68"/>
        <v>7</v>
      </c>
      <c r="AH432" s="2">
        <f t="shared" si="69"/>
        <v>1</v>
      </c>
      <c r="AI432" s="3">
        <v>190.9999999939464</v>
      </c>
      <c r="AJ432" s="2">
        <v>0</v>
      </c>
      <c r="AK432">
        <v>0</v>
      </c>
      <c r="AL432">
        <v>4</v>
      </c>
      <c r="AM432">
        <v>0</v>
      </c>
      <c r="AN432" s="2">
        <f>IF((2*G432+M432-O432+3*V432+2*AB432+2*AE432+2*AH432+3*AJ432)&gt;=7,1,0)</f>
        <v>1</v>
      </c>
    </row>
    <row r="433" spans="1:40" x14ac:dyDescent="0.25">
      <c r="A433" t="s">
        <v>27</v>
      </c>
      <c r="B433" s="1">
        <v>38192</v>
      </c>
      <c r="C433" s="6">
        <f t="shared" si="60"/>
        <v>2004</v>
      </c>
      <c r="D433">
        <v>82.5</v>
      </c>
      <c r="E433">
        <v>73.5</v>
      </c>
      <c r="F433">
        <v>79.8</v>
      </c>
      <c r="G433" s="2">
        <f t="shared" si="61"/>
        <v>1</v>
      </c>
      <c r="H433">
        <v>86.4</v>
      </c>
      <c r="I433">
        <v>73.5</v>
      </c>
      <c r="J433">
        <v>80.900000000000006</v>
      </c>
      <c r="K433">
        <v>63.7</v>
      </c>
      <c r="L433">
        <v>58.1</v>
      </c>
      <c r="M433" s="2">
        <f t="shared" si="62"/>
        <v>1</v>
      </c>
      <c r="N433">
        <v>0</v>
      </c>
      <c r="O433" s="2">
        <f t="shared" si="63"/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s="2">
        <f t="shared" si="64"/>
        <v>0</v>
      </c>
      <c r="W433">
        <v>17.2</v>
      </c>
      <c r="X433" s="2">
        <f t="shared" si="65"/>
        <v>1</v>
      </c>
      <c r="Y433">
        <v>296.8</v>
      </c>
      <c r="Z433" s="2" t="str">
        <f>CHOOSE(MATCH(Y433,{0;11;80;111;161;191;241;281;341},1),"North","NorthEast","East","SouthEast","South","SouthWest","West","NorthWest","North")</f>
        <v>NorthWest</v>
      </c>
      <c r="AA433" s="4">
        <f>CHOOSE(MATCH(Z433,{"South";"SouthEast";"SouthWest";"North";"NorthEast";"East";"West";"NorthWest"},0),1,2,3,4,5,6,7,8)</f>
        <v>8</v>
      </c>
      <c r="AB433" s="2">
        <f t="shared" si="66"/>
        <v>1</v>
      </c>
      <c r="AC433">
        <v>1008.6</v>
      </c>
      <c r="AD433" t="s">
        <v>713</v>
      </c>
      <c r="AE433" s="2">
        <f t="shared" si="67"/>
        <v>0</v>
      </c>
      <c r="AF433" t="s">
        <v>714</v>
      </c>
      <c r="AG433" s="2">
        <f t="shared" si="68"/>
        <v>7</v>
      </c>
      <c r="AH433" s="2">
        <f t="shared" si="69"/>
        <v>1</v>
      </c>
      <c r="AI433" s="3">
        <v>2284.9999999988358</v>
      </c>
      <c r="AJ433" s="2">
        <v>1</v>
      </c>
      <c r="AK433">
        <v>0</v>
      </c>
      <c r="AL433">
        <v>50</v>
      </c>
      <c r="AM433">
        <v>0</v>
      </c>
      <c r="AN433" s="2">
        <f>IF((2*G433+M433-O433+3*V433+2*AB433+2*AE433+2*AH433+3*AJ433)&gt;=7,1,0)</f>
        <v>1</v>
      </c>
    </row>
    <row r="434" spans="1:40" x14ac:dyDescent="0.25">
      <c r="A434" t="s">
        <v>27</v>
      </c>
      <c r="B434" s="1">
        <v>38202</v>
      </c>
      <c r="C434" s="6">
        <f t="shared" si="60"/>
        <v>2004</v>
      </c>
      <c r="D434">
        <v>84.3</v>
      </c>
      <c r="E434">
        <v>77.099999999999994</v>
      </c>
      <c r="F434">
        <v>80.5</v>
      </c>
      <c r="G434" s="2">
        <f t="shared" si="61"/>
        <v>1</v>
      </c>
      <c r="H434">
        <v>86.6</v>
      </c>
      <c r="I434">
        <v>77.099999999999994</v>
      </c>
      <c r="J434">
        <v>81.599999999999994</v>
      </c>
      <c r="K434">
        <v>65.599999999999994</v>
      </c>
      <c r="L434">
        <v>61.3</v>
      </c>
      <c r="M434" s="2">
        <f t="shared" si="62"/>
        <v>1</v>
      </c>
      <c r="N434">
        <v>0</v>
      </c>
      <c r="O434" s="2">
        <f t="shared" si="63"/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s="2">
        <f t="shared" si="64"/>
        <v>0</v>
      </c>
      <c r="W434">
        <v>20.8</v>
      </c>
      <c r="X434" s="2">
        <f t="shared" si="65"/>
        <v>1</v>
      </c>
      <c r="Y434">
        <v>298</v>
      </c>
      <c r="Z434" s="2" t="str">
        <f>CHOOSE(MATCH(Y434,{0;11;80;111;161;191;241;281;341},1),"North","NorthEast","East","SouthEast","South","SouthWest","West","NorthWest","North")</f>
        <v>NorthWest</v>
      </c>
      <c r="AA434" s="4">
        <f>CHOOSE(MATCH(Z434,{"South";"SouthEast";"SouthWest";"North";"NorthEast";"East";"West";"NorthWest"},0),1,2,3,4,5,6,7,8)</f>
        <v>8</v>
      </c>
      <c r="AB434" s="2">
        <f t="shared" si="66"/>
        <v>1</v>
      </c>
      <c r="AC434">
        <v>1008.4</v>
      </c>
      <c r="AD434" t="s">
        <v>715</v>
      </c>
      <c r="AE434" s="2">
        <f t="shared" si="67"/>
        <v>0</v>
      </c>
      <c r="AF434" t="s">
        <v>716</v>
      </c>
      <c r="AG434" s="2">
        <f t="shared" si="68"/>
        <v>8</v>
      </c>
      <c r="AH434" s="2">
        <f t="shared" si="69"/>
        <v>1</v>
      </c>
      <c r="AI434" s="3">
        <v>2151.000000002095</v>
      </c>
      <c r="AJ434" s="2">
        <v>1</v>
      </c>
      <c r="AK434">
        <v>0</v>
      </c>
      <c r="AL434">
        <v>30</v>
      </c>
      <c r="AM434">
        <v>0</v>
      </c>
      <c r="AN434" s="2">
        <f>IF((2*G434+M434-O434+3*V434+2*AB434+2*AE434+2*AH434+3*AJ434)&gt;=7,1,0)</f>
        <v>1</v>
      </c>
    </row>
    <row r="435" spans="1:40" x14ac:dyDescent="0.25">
      <c r="A435" t="s">
        <v>27</v>
      </c>
      <c r="B435" s="1">
        <v>38202</v>
      </c>
      <c r="C435" s="6">
        <f t="shared" si="60"/>
        <v>2004</v>
      </c>
      <c r="D435">
        <v>84.3</v>
      </c>
      <c r="E435">
        <v>77.099999999999994</v>
      </c>
      <c r="F435">
        <v>80.5</v>
      </c>
      <c r="G435" s="2">
        <f t="shared" si="61"/>
        <v>1</v>
      </c>
      <c r="H435">
        <v>86.6</v>
      </c>
      <c r="I435">
        <v>77.099999999999994</v>
      </c>
      <c r="J435">
        <v>81.599999999999994</v>
      </c>
      <c r="K435">
        <v>65.599999999999994</v>
      </c>
      <c r="L435">
        <v>61.3</v>
      </c>
      <c r="M435" s="2">
        <f t="shared" si="62"/>
        <v>1</v>
      </c>
      <c r="N435">
        <v>0</v>
      </c>
      <c r="O435" s="2">
        <f t="shared" si="63"/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s="2">
        <f t="shared" si="64"/>
        <v>0</v>
      </c>
      <c r="W435">
        <v>20.8</v>
      </c>
      <c r="X435" s="2">
        <f t="shared" si="65"/>
        <v>1</v>
      </c>
      <c r="Y435">
        <v>298</v>
      </c>
      <c r="Z435" s="2" t="str">
        <f>CHOOSE(MATCH(Y435,{0;11;80;111;161;191;241;281;341},1),"North","NorthEast","East","SouthEast","South","SouthWest","West","NorthWest","North")</f>
        <v>NorthWest</v>
      </c>
      <c r="AA435" s="4">
        <f>CHOOSE(MATCH(Z435,{"South";"SouthEast";"SouthWest";"North";"NorthEast";"East";"West";"NorthWest"},0),1,2,3,4,5,6,7,8)</f>
        <v>8</v>
      </c>
      <c r="AB435" s="2">
        <f t="shared" si="66"/>
        <v>1</v>
      </c>
      <c r="AC435">
        <v>1008.4</v>
      </c>
      <c r="AD435" t="s">
        <v>717</v>
      </c>
      <c r="AE435" s="2">
        <f t="shared" si="67"/>
        <v>1</v>
      </c>
      <c r="AF435" t="s">
        <v>718</v>
      </c>
      <c r="AG435" s="2">
        <f t="shared" si="68"/>
        <v>8</v>
      </c>
      <c r="AH435" s="2">
        <f t="shared" si="69"/>
        <v>1</v>
      </c>
      <c r="AI435" s="3">
        <v>75.00000000349246</v>
      </c>
      <c r="AJ435" s="2">
        <v>0</v>
      </c>
      <c r="AK435">
        <v>0</v>
      </c>
      <c r="AL435">
        <v>0.5</v>
      </c>
      <c r="AM435">
        <v>0</v>
      </c>
      <c r="AN435" s="2">
        <f>IF((2*G435+M435-O435+3*V435+2*AB435+2*AE435+2*AH435+3*AJ435)&gt;=7,1,0)</f>
        <v>1</v>
      </c>
    </row>
    <row r="436" spans="1:40" x14ac:dyDescent="0.25">
      <c r="A436" t="s">
        <v>27</v>
      </c>
      <c r="B436" s="1">
        <v>38212</v>
      </c>
      <c r="C436" s="6">
        <f t="shared" si="60"/>
        <v>2004</v>
      </c>
      <c r="D436">
        <v>84.3</v>
      </c>
      <c r="E436">
        <v>73.5</v>
      </c>
      <c r="F436">
        <v>80.599999999999994</v>
      </c>
      <c r="G436" s="2">
        <f t="shared" si="61"/>
        <v>1</v>
      </c>
      <c r="H436">
        <v>86.6</v>
      </c>
      <c r="I436">
        <v>73.5</v>
      </c>
      <c r="J436">
        <v>81.5</v>
      </c>
      <c r="K436">
        <v>63.4</v>
      </c>
      <c r="L436">
        <v>56.3</v>
      </c>
      <c r="M436" s="2">
        <f t="shared" si="62"/>
        <v>1</v>
      </c>
      <c r="N436">
        <v>0</v>
      </c>
      <c r="O436" s="2">
        <f t="shared" si="63"/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 s="2">
        <f t="shared" si="64"/>
        <v>0</v>
      </c>
      <c r="W436">
        <v>15</v>
      </c>
      <c r="X436" s="2">
        <f t="shared" si="65"/>
        <v>0</v>
      </c>
      <c r="Y436">
        <v>302</v>
      </c>
      <c r="Z436" s="2" t="str">
        <f>CHOOSE(MATCH(Y436,{0;11;80;111;161;191;241;281;341},1),"North","NorthEast","East","SouthEast","South","SouthWest","West","NorthWest","North")</f>
        <v>NorthWest</v>
      </c>
      <c r="AA436" s="4">
        <f>CHOOSE(MATCH(Z436,{"South";"SouthEast";"SouthWest";"North";"NorthEast";"East";"West";"NorthWest"},0),1,2,3,4,5,6,7,8)</f>
        <v>8</v>
      </c>
      <c r="AB436" s="2">
        <f t="shared" si="66"/>
        <v>1</v>
      </c>
      <c r="AC436">
        <v>1010.5</v>
      </c>
      <c r="AD436" t="s">
        <v>719</v>
      </c>
      <c r="AE436" s="2">
        <f t="shared" si="67"/>
        <v>0</v>
      </c>
      <c r="AF436" t="s">
        <v>720</v>
      </c>
      <c r="AG436" s="2">
        <f t="shared" si="68"/>
        <v>8</v>
      </c>
      <c r="AH436" s="2">
        <f t="shared" si="69"/>
        <v>1</v>
      </c>
      <c r="AI436" s="3">
        <v>273.99999999208381</v>
      </c>
      <c r="AJ436" s="2">
        <v>0</v>
      </c>
      <c r="AK436">
        <v>0</v>
      </c>
      <c r="AL436">
        <v>2</v>
      </c>
      <c r="AM436">
        <v>0</v>
      </c>
      <c r="AN436" s="2">
        <f>IF((2*G436+M436-O436+3*V436+2*AB436+2*AE436+2*AH436+3*AJ436)&gt;=7,1,0)</f>
        <v>0</v>
      </c>
    </row>
    <row r="437" spans="1:40" x14ac:dyDescent="0.25">
      <c r="A437" t="s">
        <v>27</v>
      </c>
      <c r="B437" s="1">
        <v>38213</v>
      </c>
      <c r="C437" s="6">
        <f t="shared" si="60"/>
        <v>2004</v>
      </c>
      <c r="D437">
        <v>87.9</v>
      </c>
      <c r="E437">
        <v>69.900000000000006</v>
      </c>
      <c r="F437">
        <v>79.7</v>
      </c>
      <c r="G437" s="2">
        <f t="shared" si="61"/>
        <v>1</v>
      </c>
      <c r="H437">
        <v>92.7</v>
      </c>
      <c r="I437">
        <v>69.900000000000006</v>
      </c>
      <c r="J437">
        <v>81.2</v>
      </c>
      <c r="K437">
        <v>61.4</v>
      </c>
      <c r="L437">
        <v>56</v>
      </c>
      <c r="M437" s="2">
        <f t="shared" si="62"/>
        <v>1</v>
      </c>
      <c r="N437">
        <v>0</v>
      </c>
      <c r="O437" s="2">
        <f t="shared" si="63"/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s="2">
        <f t="shared" si="64"/>
        <v>0</v>
      </c>
      <c r="W437">
        <v>9.1999999999999993</v>
      </c>
      <c r="X437" s="2">
        <f t="shared" si="65"/>
        <v>0</v>
      </c>
      <c r="Y437">
        <v>123.9</v>
      </c>
      <c r="Z437" s="2" t="str">
        <f>CHOOSE(MATCH(Y437,{0;11;80;111;161;191;241;281;341},1),"North","NorthEast","East","SouthEast","South","SouthWest","West","NorthWest","North")</f>
        <v>SouthEast</v>
      </c>
      <c r="AA437" s="4">
        <f>CHOOSE(MATCH(Z437,{"South";"SouthEast";"SouthWest";"North";"NorthEast";"East";"West";"NorthWest"},0),1,2,3,4,5,6,7,8)</f>
        <v>2</v>
      </c>
      <c r="AB437" s="2">
        <f t="shared" si="66"/>
        <v>0</v>
      </c>
      <c r="AC437">
        <v>1009.5</v>
      </c>
      <c r="AD437" t="s">
        <v>721</v>
      </c>
      <c r="AE437" s="2">
        <f t="shared" si="67"/>
        <v>1</v>
      </c>
      <c r="AF437" t="s">
        <v>722</v>
      </c>
      <c r="AG437" s="2">
        <f t="shared" si="68"/>
        <v>8</v>
      </c>
      <c r="AH437" s="2">
        <f t="shared" si="69"/>
        <v>1</v>
      </c>
      <c r="AI437" s="3">
        <v>1609.9999999988361</v>
      </c>
      <c r="AJ437" s="2">
        <v>1</v>
      </c>
      <c r="AK437">
        <v>0</v>
      </c>
      <c r="AL437">
        <v>3</v>
      </c>
      <c r="AM437">
        <v>0</v>
      </c>
      <c r="AN437" s="2">
        <f>IF((2*G437+M437-O437+3*V437+2*AB437+2*AE437+2*AH437+3*AJ437)&gt;=7,1,0)</f>
        <v>1</v>
      </c>
    </row>
    <row r="438" spans="1:40" x14ac:dyDescent="0.25">
      <c r="A438" t="s">
        <v>27</v>
      </c>
      <c r="B438" s="1">
        <v>38218</v>
      </c>
      <c r="C438" s="6">
        <f t="shared" si="60"/>
        <v>2004</v>
      </c>
      <c r="D438">
        <v>82.5</v>
      </c>
      <c r="E438">
        <v>69.900000000000006</v>
      </c>
      <c r="F438">
        <v>78.099999999999994</v>
      </c>
      <c r="G438" s="2">
        <f t="shared" si="61"/>
        <v>1</v>
      </c>
      <c r="H438">
        <v>83.5</v>
      </c>
      <c r="I438">
        <v>69.900000000000006</v>
      </c>
      <c r="J438">
        <v>78.2</v>
      </c>
      <c r="K438">
        <v>58.9</v>
      </c>
      <c r="L438">
        <v>52.6</v>
      </c>
      <c r="M438" s="2">
        <f t="shared" si="62"/>
        <v>1</v>
      </c>
      <c r="N438">
        <v>0</v>
      </c>
      <c r="O438" s="2">
        <f t="shared" si="63"/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s="2">
        <f t="shared" si="64"/>
        <v>0</v>
      </c>
      <c r="W438">
        <v>18.3</v>
      </c>
      <c r="X438" s="2">
        <f t="shared" si="65"/>
        <v>1</v>
      </c>
      <c r="Y438">
        <v>302</v>
      </c>
      <c r="Z438" s="2" t="str">
        <f>CHOOSE(MATCH(Y438,{0;11;80;111;161;191;241;281;341},1),"North","NorthEast","East","SouthEast","South","SouthWest","West","NorthWest","North")</f>
        <v>NorthWest</v>
      </c>
      <c r="AA438" s="4">
        <f>CHOOSE(MATCH(Z438,{"South";"SouthEast";"SouthWest";"North";"NorthEast";"East";"West";"NorthWest"},0),1,2,3,4,5,6,7,8)</f>
        <v>8</v>
      </c>
      <c r="AB438" s="2">
        <f t="shared" si="66"/>
        <v>1</v>
      </c>
      <c r="AC438">
        <v>1014.4</v>
      </c>
      <c r="AD438" t="s">
        <v>723</v>
      </c>
      <c r="AE438" s="2">
        <f t="shared" si="67"/>
        <v>0</v>
      </c>
      <c r="AF438" t="s">
        <v>724</v>
      </c>
      <c r="AG438" s="2">
        <f t="shared" si="68"/>
        <v>8</v>
      </c>
      <c r="AH438" s="2">
        <f t="shared" si="69"/>
        <v>1</v>
      </c>
      <c r="AI438" s="3">
        <v>386.00000000093132</v>
      </c>
      <c r="AJ438" s="2">
        <v>1</v>
      </c>
      <c r="AK438">
        <v>0</v>
      </c>
      <c r="AL438">
        <v>4.7</v>
      </c>
      <c r="AM438">
        <v>0</v>
      </c>
      <c r="AN438" s="2">
        <f>IF((2*G438+M438-O438+3*V438+2*AB438+2*AE438+2*AH438+3*AJ438)&gt;=7,1,0)</f>
        <v>1</v>
      </c>
    </row>
    <row r="439" spans="1:40" x14ac:dyDescent="0.25">
      <c r="A439" t="s">
        <v>27</v>
      </c>
      <c r="B439" s="1">
        <v>38223</v>
      </c>
      <c r="C439" s="6">
        <f t="shared" si="60"/>
        <v>2004</v>
      </c>
      <c r="D439">
        <v>80.7</v>
      </c>
      <c r="E439">
        <v>75.3</v>
      </c>
      <c r="F439">
        <v>78.099999999999994</v>
      </c>
      <c r="G439" s="2">
        <f t="shared" si="61"/>
        <v>1</v>
      </c>
      <c r="H439">
        <v>82.4</v>
      </c>
      <c r="I439">
        <v>75.3</v>
      </c>
      <c r="J439">
        <v>78.400000000000006</v>
      </c>
      <c r="K439">
        <v>62.8</v>
      </c>
      <c r="L439">
        <v>59.8</v>
      </c>
      <c r="M439" s="2">
        <f t="shared" si="62"/>
        <v>1</v>
      </c>
      <c r="N439">
        <v>0</v>
      </c>
      <c r="O439" s="2">
        <f t="shared" si="63"/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 s="2">
        <f t="shared" si="64"/>
        <v>0</v>
      </c>
      <c r="W439">
        <v>20.8</v>
      </c>
      <c r="X439" s="2">
        <f t="shared" si="65"/>
        <v>1</v>
      </c>
      <c r="Y439">
        <v>310.3</v>
      </c>
      <c r="Z439" s="2" t="str">
        <f>CHOOSE(MATCH(Y439,{0;11;80;111;161;191;241;281;341},1),"North","NorthEast","East","SouthEast","South","SouthWest","West","NorthWest","North")</f>
        <v>NorthWest</v>
      </c>
      <c r="AA439" s="4">
        <f>CHOOSE(MATCH(Z439,{"South";"SouthEast";"SouthWest";"North";"NorthEast";"East";"West";"NorthWest"},0),1,2,3,4,5,6,7,8)</f>
        <v>8</v>
      </c>
      <c r="AB439" s="2">
        <f t="shared" si="66"/>
        <v>1</v>
      </c>
      <c r="AC439">
        <v>1015.4</v>
      </c>
      <c r="AD439" t="s">
        <v>666</v>
      </c>
      <c r="AE439" s="2">
        <f t="shared" si="67"/>
        <v>1</v>
      </c>
      <c r="AF439" t="s">
        <v>725</v>
      </c>
      <c r="AG439" s="2">
        <f t="shared" si="68"/>
        <v>8</v>
      </c>
      <c r="AH439" s="2">
        <f t="shared" si="69"/>
        <v>1</v>
      </c>
      <c r="AI439" s="3">
        <v>240.9999999997672</v>
      </c>
      <c r="AJ439" s="2">
        <v>0</v>
      </c>
      <c r="AK439">
        <v>0</v>
      </c>
      <c r="AL439">
        <v>0.7</v>
      </c>
      <c r="AM439">
        <v>0</v>
      </c>
      <c r="AN439" s="2">
        <f>IF((2*G439+M439-O439+3*V439+2*AB439+2*AE439+2*AH439+3*AJ439)&gt;=7,1,0)</f>
        <v>1</v>
      </c>
    </row>
    <row r="440" spans="1:40" x14ac:dyDescent="0.25">
      <c r="A440" t="s">
        <v>27</v>
      </c>
      <c r="B440" s="1">
        <v>38225</v>
      </c>
      <c r="C440" s="6">
        <f t="shared" si="60"/>
        <v>2004</v>
      </c>
      <c r="D440">
        <v>84.3</v>
      </c>
      <c r="E440">
        <v>68.099999999999994</v>
      </c>
      <c r="F440">
        <v>78.5</v>
      </c>
      <c r="G440" s="2">
        <f t="shared" si="61"/>
        <v>1</v>
      </c>
      <c r="H440">
        <v>86.6</v>
      </c>
      <c r="I440">
        <v>68.099999999999994</v>
      </c>
      <c r="J440">
        <v>79.099999999999994</v>
      </c>
      <c r="K440">
        <v>58.7</v>
      </c>
      <c r="L440">
        <v>51.2</v>
      </c>
      <c r="M440" s="2">
        <f t="shared" si="62"/>
        <v>1</v>
      </c>
      <c r="N440">
        <v>0</v>
      </c>
      <c r="O440" s="2">
        <f t="shared" si="63"/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 s="2">
        <f t="shared" si="64"/>
        <v>0</v>
      </c>
      <c r="W440">
        <v>15</v>
      </c>
      <c r="X440" s="2">
        <f t="shared" si="65"/>
        <v>0</v>
      </c>
      <c r="Y440">
        <v>309.10000000000002</v>
      </c>
      <c r="Z440" s="2" t="str">
        <f>CHOOSE(MATCH(Y440,{0;11;80;111;161;191;241;281;341},1),"North","NorthEast","East","SouthEast","South","SouthWest","West","NorthWest","North")</f>
        <v>NorthWest</v>
      </c>
      <c r="AA440" s="4">
        <f>CHOOSE(MATCH(Z440,{"South";"SouthEast";"SouthWest";"North";"NorthEast";"East";"West";"NorthWest"},0),1,2,3,4,5,6,7,8)</f>
        <v>8</v>
      </c>
      <c r="AB440" s="2">
        <f t="shared" si="66"/>
        <v>1</v>
      </c>
      <c r="AC440">
        <v>1011.7</v>
      </c>
      <c r="AD440" t="s">
        <v>162</v>
      </c>
      <c r="AE440" s="2">
        <f t="shared" si="67"/>
        <v>1</v>
      </c>
      <c r="AF440" t="s">
        <v>726</v>
      </c>
      <c r="AG440" s="2">
        <f t="shared" si="68"/>
        <v>8</v>
      </c>
      <c r="AH440" s="2">
        <f t="shared" si="69"/>
        <v>1</v>
      </c>
      <c r="AI440" s="3">
        <v>480.99999999627471</v>
      </c>
      <c r="AJ440" s="2">
        <v>1</v>
      </c>
      <c r="AK440">
        <v>0</v>
      </c>
      <c r="AL440">
        <v>25</v>
      </c>
      <c r="AM440">
        <v>0</v>
      </c>
      <c r="AN440" s="2">
        <f>IF((2*G440+M440-O440+3*V440+2*AB440+2*AE440+2*AH440+3*AJ440)&gt;=7,1,0)</f>
        <v>1</v>
      </c>
    </row>
    <row r="441" spans="1:40" x14ac:dyDescent="0.25">
      <c r="A441" t="s">
        <v>27</v>
      </c>
      <c r="B441" s="1">
        <v>38225</v>
      </c>
      <c r="C441" s="6">
        <f t="shared" si="60"/>
        <v>2004</v>
      </c>
      <c r="D441">
        <v>84.3</v>
      </c>
      <c r="E441">
        <v>68.099999999999994</v>
      </c>
      <c r="F441">
        <v>78.5</v>
      </c>
      <c r="G441" s="2">
        <f t="shared" si="61"/>
        <v>1</v>
      </c>
      <c r="H441">
        <v>86.6</v>
      </c>
      <c r="I441">
        <v>68.099999999999994</v>
      </c>
      <c r="J441">
        <v>79.099999999999994</v>
      </c>
      <c r="K441">
        <v>58.7</v>
      </c>
      <c r="L441">
        <v>51.2</v>
      </c>
      <c r="M441" s="2">
        <f t="shared" si="62"/>
        <v>1</v>
      </c>
      <c r="N441">
        <v>0</v>
      </c>
      <c r="O441" s="2">
        <f t="shared" si="63"/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 s="2">
        <f t="shared" si="64"/>
        <v>0</v>
      </c>
      <c r="W441">
        <v>15</v>
      </c>
      <c r="X441" s="2">
        <f t="shared" si="65"/>
        <v>0</v>
      </c>
      <c r="Y441">
        <v>309.10000000000002</v>
      </c>
      <c r="Z441" s="2" t="str">
        <f>CHOOSE(MATCH(Y441,{0;11;80;111;161;191;241;281;341},1),"North","NorthEast","East","SouthEast","South","SouthWest","West","NorthWest","North")</f>
        <v>NorthWest</v>
      </c>
      <c r="AA441" s="4">
        <f>CHOOSE(MATCH(Z441,{"South";"SouthEast";"SouthWest";"North";"NorthEast";"East";"West";"NorthWest"},0),1,2,3,4,5,6,7,8)</f>
        <v>8</v>
      </c>
      <c r="AB441" s="2">
        <f t="shared" si="66"/>
        <v>1</v>
      </c>
      <c r="AC441">
        <v>1011.7</v>
      </c>
      <c r="AD441" t="s">
        <v>129</v>
      </c>
      <c r="AE441" s="2">
        <f t="shared" si="67"/>
        <v>1</v>
      </c>
      <c r="AF441" t="s">
        <v>727</v>
      </c>
      <c r="AG441" s="2">
        <f t="shared" si="68"/>
        <v>8</v>
      </c>
      <c r="AH441" s="2">
        <f t="shared" si="69"/>
        <v>1</v>
      </c>
      <c r="AI441" s="3">
        <v>175.00000000465661</v>
      </c>
      <c r="AJ441" s="2">
        <v>0</v>
      </c>
      <c r="AK441">
        <v>0</v>
      </c>
      <c r="AL441">
        <v>0</v>
      </c>
      <c r="AM441">
        <v>0.3</v>
      </c>
      <c r="AN441" s="2">
        <f>IF((2*G441+M441-O441+3*V441+2*AB441+2*AE441+2*AH441+3*AJ441)&gt;=7,1,0)</f>
        <v>1</v>
      </c>
    </row>
    <row r="442" spans="1:40" x14ac:dyDescent="0.25">
      <c r="A442" t="s">
        <v>27</v>
      </c>
      <c r="B442" s="1">
        <v>38225</v>
      </c>
      <c r="C442" s="6">
        <f t="shared" si="60"/>
        <v>2004</v>
      </c>
      <c r="D442">
        <v>84.3</v>
      </c>
      <c r="E442">
        <v>68.099999999999994</v>
      </c>
      <c r="F442">
        <v>78.5</v>
      </c>
      <c r="G442" s="2">
        <f t="shared" si="61"/>
        <v>1</v>
      </c>
      <c r="H442">
        <v>86.6</v>
      </c>
      <c r="I442">
        <v>68.099999999999994</v>
      </c>
      <c r="J442">
        <v>79.099999999999994</v>
      </c>
      <c r="K442">
        <v>58.7</v>
      </c>
      <c r="L442">
        <v>51.2</v>
      </c>
      <c r="M442" s="2">
        <f t="shared" si="62"/>
        <v>1</v>
      </c>
      <c r="N442">
        <v>0</v>
      </c>
      <c r="O442" s="2">
        <f t="shared" si="63"/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s="2">
        <f t="shared" si="64"/>
        <v>0</v>
      </c>
      <c r="W442">
        <v>15</v>
      </c>
      <c r="X442" s="2">
        <f t="shared" si="65"/>
        <v>0</v>
      </c>
      <c r="Y442">
        <v>309.10000000000002</v>
      </c>
      <c r="Z442" s="2" t="str">
        <f>CHOOSE(MATCH(Y442,{0;11;80;111;161;191;241;281;341},1),"North","NorthEast","East","SouthEast","South","SouthWest","West","NorthWest","North")</f>
        <v>NorthWest</v>
      </c>
      <c r="AA442" s="4">
        <f>CHOOSE(MATCH(Z442,{"South";"SouthEast";"SouthWest";"North";"NorthEast";"East";"West";"NorthWest"},0),1,2,3,4,5,6,7,8)</f>
        <v>8</v>
      </c>
      <c r="AB442" s="2">
        <f t="shared" si="66"/>
        <v>1</v>
      </c>
      <c r="AC442">
        <v>1011.7</v>
      </c>
      <c r="AD442" t="s">
        <v>685</v>
      </c>
      <c r="AE442" s="2">
        <f t="shared" si="67"/>
        <v>1</v>
      </c>
      <c r="AF442" t="s">
        <v>728</v>
      </c>
      <c r="AG442" s="2">
        <f t="shared" si="68"/>
        <v>8</v>
      </c>
      <c r="AH442" s="2">
        <f t="shared" si="69"/>
        <v>1</v>
      </c>
      <c r="AI442" s="3">
        <v>425.99999999511061</v>
      </c>
      <c r="AJ442" s="2">
        <v>1</v>
      </c>
      <c r="AK442">
        <v>0</v>
      </c>
      <c r="AL442">
        <v>2</v>
      </c>
      <c r="AM442">
        <v>0</v>
      </c>
      <c r="AN442" s="2">
        <f>IF((2*G442+M442-O442+3*V442+2*AB442+2*AE442+2*AH442+3*AJ442)&gt;=7,1,0)</f>
        <v>1</v>
      </c>
    </row>
    <row r="443" spans="1:40" x14ac:dyDescent="0.25">
      <c r="A443" t="s">
        <v>27</v>
      </c>
      <c r="B443" s="1">
        <v>38233</v>
      </c>
      <c r="C443" s="6">
        <f t="shared" si="60"/>
        <v>2004</v>
      </c>
      <c r="D443">
        <v>82.5</v>
      </c>
      <c r="E443">
        <v>77.099999999999994</v>
      </c>
      <c r="F443">
        <v>80</v>
      </c>
      <c r="G443" s="2">
        <f t="shared" si="61"/>
        <v>1</v>
      </c>
      <c r="H443">
        <v>85.5</v>
      </c>
      <c r="I443">
        <v>77.099999999999994</v>
      </c>
      <c r="J443">
        <v>81.2</v>
      </c>
      <c r="K443">
        <v>66.2</v>
      </c>
      <c r="L443">
        <v>63</v>
      </c>
      <c r="M443" s="2">
        <f t="shared" si="62"/>
        <v>1</v>
      </c>
      <c r="N443">
        <v>0</v>
      </c>
      <c r="O443" s="2">
        <f t="shared" si="63"/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s="2">
        <f t="shared" si="64"/>
        <v>0</v>
      </c>
      <c r="W443">
        <v>19.5</v>
      </c>
      <c r="X443" s="2">
        <f t="shared" si="65"/>
        <v>1</v>
      </c>
      <c r="Y443">
        <v>292.7</v>
      </c>
      <c r="Z443" s="2" t="str">
        <f>CHOOSE(MATCH(Y443,{0;11;80;111;161;191;241;281;341},1),"North","NorthEast","East","SouthEast","South","SouthWest","West","NorthWest","North")</f>
        <v>NorthWest</v>
      </c>
      <c r="AA443" s="4">
        <f>CHOOSE(MATCH(Z443,{"South";"SouthEast";"SouthWest";"North";"NorthEast";"East";"West";"NorthWest"},0),1,2,3,4,5,6,7,8)</f>
        <v>8</v>
      </c>
      <c r="AB443" s="2">
        <f t="shared" si="66"/>
        <v>1</v>
      </c>
      <c r="AC443">
        <v>1013.7</v>
      </c>
      <c r="AD443" t="s">
        <v>607</v>
      </c>
      <c r="AE443" s="2">
        <f t="shared" si="67"/>
        <v>1</v>
      </c>
      <c r="AF443" t="s">
        <v>729</v>
      </c>
      <c r="AG443" s="2">
        <f t="shared" si="68"/>
        <v>9</v>
      </c>
      <c r="AH443" s="2">
        <f t="shared" si="69"/>
        <v>0</v>
      </c>
      <c r="AI443" s="3">
        <v>69.999999997671694</v>
      </c>
      <c r="AJ443" s="2">
        <v>0</v>
      </c>
      <c r="AK443">
        <v>0</v>
      </c>
      <c r="AL443">
        <v>0.7</v>
      </c>
      <c r="AM443">
        <v>0</v>
      </c>
      <c r="AN443" s="2">
        <f>IF((2*G443+M443-O443+3*V443+2*AB443+2*AE443+2*AH443+3*AJ443)&gt;=7,1,0)</f>
        <v>0</v>
      </c>
    </row>
    <row r="444" spans="1:40" x14ac:dyDescent="0.25">
      <c r="A444" t="s">
        <v>27</v>
      </c>
      <c r="B444" s="1">
        <v>38234</v>
      </c>
      <c r="C444" s="6">
        <f t="shared" si="60"/>
        <v>2004</v>
      </c>
      <c r="D444">
        <v>82.5</v>
      </c>
      <c r="E444">
        <v>77.099999999999994</v>
      </c>
      <c r="F444">
        <v>78.900000000000006</v>
      </c>
      <c r="G444" s="2">
        <f t="shared" si="61"/>
        <v>1</v>
      </c>
      <c r="H444">
        <v>85.5</v>
      </c>
      <c r="I444">
        <v>77.099999999999994</v>
      </c>
      <c r="J444">
        <v>79.900000000000006</v>
      </c>
      <c r="K444">
        <v>67.400000000000006</v>
      </c>
      <c r="L444">
        <v>67.900000000000006</v>
      </c>
      <c r="M444" s="2">
        <f t="shared" si="62"/>
        <v>0</v>
      </c>
      <c r="N444">
        <v>0</v>
      </c>
      <c r="O444" s="2">
        <f t="shared" si="63"/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s="2">
        <f t="shared" si="64"/>
        <v>0</v>
      </c>
      <c r="W444">
        <v>20.8</v>
      </c>
      <c r="X444" s="2">
        <f t="shared" si="65"/>
        <v>1</v>
      </c>
      <c r="Y444">
        <v>296.60000000000002</v>
      </c>
      <c r="Z444" s="2" t="str">
        <f>CHOOSE(MATCH(Y444,{0;11;80;111;161;191;241;281;341},1),"North","NorthEast","East","SouthEast","South","SouthWest","West","NorthWest","North")</f>
        <v>NorthWest</v>
      </c>
      <c r="AA444" s="4">
        <f>CHOOSE(MATCH(Z444,{"South";"SouthEast";"SouthWest";"North";"NorthEast";"East";"West";"NorthWest"},0),1,2,3,4,5,6,7,8)</f>
        <v>8</v>
      </c>
      <c r="AB444" s="2">
        <f t="shared" si="66"/>
        <v>1</v>
      </c>
      <c r="AC444">
        <v>1013.7</v>
      </c>
      <c r="AD444" t="s">
        <v>715</v>
      </c>
      <c r="AE444" s="2">
        <f t="shared" si="67"/>
        <v>0</v>
      </c>
      <c r="AF444" t="s">
        <v>730</v>
      </c>
      <c r="AG444" s="2">
        <f t="shared" si="68"/>
        <v>9</v>
      </c>
      <c r="AH444" s="2">
        <f t="shared" si="69"/>
        <v>0</v>
      </c>
      <c r="AI444" s="3">
        <v>1595.999999995111</v>
      </c>
      <c r="AJ444" s="2">
        <v>1</v>
      </c>
      <c r="AK444">
        <v>0</v>
      </c>
      <c r="AL444">
        <v>1</v>
      </c>
      <c r="AM444">
        <v>0</v>
      </c>
      <c r="AN444" s="2">
        <f>IF((2*G444+M444-O444+3*V444+2*AB444+2*AE444+2*AH444+3*AJ444)&gt;=7,1,0)</f>
        <v>0</v>
      </c>
    </row>
    <row r="445" spans="1:40" x14ac:dyDescent="0.25">
      <c r="A445" t="s">
        <v>27</v>
      </c>
      <c r="B445" s="1">
        <v>38237</v>
      </c>
      <c r="C445" s="6">
        <f t="shared" si="60"/>
        <v>2004</v>
      </c>
      <c r="D445">
        <v>77.099999999999994</v>
      </c>
      <c r="E445">
        <v>71.7</v>
      </c>
      <c r="F445">
        <v>74.5</v>
      </c>
      <c r="G445" s="2">
        <f t="shared" si="61"/>
        <v>1</v>
      </c>
      <c r="H445">
        <v>77.099999999999994</v>
      </c>
      <c r="I445">
        <v>71.7</v>
      </c>
      <c r="J445">
        <v>74.5</v>
      </c>
      <c r="K445">
        <v>61.3</v>
      </c>
      <c r="L445">
        <v>63.7</v>
      </c>
      <c r="M445" s="2">
        <f t="shared" si="62"/>
        <v>1</v>
      </c>
      <c r="N445">
        <v>0</v>
      </c>
      <c r="O445" s="2">
        <f t="shared" si="63"/>
        <v>1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s="2">
        <f t="shared" si="64"/>
        <v>0</v>
      </c>
      <c r="W445">
        <v>20.8</v>
      </c>
      <c r="X445" s="2">
        <f t="shared" si="65"/>
        <v>1</v>
      </c>
      <c r="Y445">
        <v>304.2</v>
      </c>
      <c r="Z445" s="2" t="str">
        <f>CHOOSE(MATCH(Y445,{0;11;80;111;161;191;241;281;341},1),"North","NorthEast","East","SouthEast","South","SouthWest","West","NorthWest","North")</f>
        <v>NorthWest</v>
      </c>
      <c r="AA445" s="4">
        <f>CHOOSE(MATCH(Z445,{"South";"SouthEast";"SouthWest";"North";"NorthEast";"East";"West";"NorthWest"},0),1,2,3,4,5,6,7,8)</f>
        <v>8</v>
      </c>
      <c r="AB445" s="2">
        <f t="shared" si="66"/>
        <v>1</v>
      </c>
      <c r="AC445">
        <v>1015</v>
      </c>
      <c r="AD445" t="s">
        <v>601</v>
      </c>
      <c r="AE445" s="2">
        <f t="shared" si="67"/>
        <v>1</v>
      </c>
      <c r="AF445" t="s">
        <v>731</v>
      </c>
      <c r="AG445" s="2">
        <f t="shared" si="68"/>
        <v>9</v>
      </c>
      <c r="AH445" s="2">
        <f t="shared" si="69"/>
        <v>0</v>
      </c>
      <c r="AI445" s="3">
        <v>119.0000000002328</v>
      </c>
      <c r="AJ445" s="2">
        <v>0</v>
      </c>
      <c r="AK445">
        <v>0</v>
      </c>
      <c r="AL445">
        <v>1</v>
      </c>
      <c r="AM445">
        <v>0</v>
      </c>
      <c r="AN445" s="2">
        <f>IF((2*G445+M445-O445+3*V445+2*AB445+2*AE445+2*AH445+3*AJ445)&gt;=7,1,0)</f>
        <v>0</v>
      </c>
    </row>
    <row r="446" spans="1:40" x14ac:dyDescent="0.25">
      <c r="A446" t="s">
        <v>27</v>
      </c>
      <c r="B446" s="1">
        <v>38238</v>
      </c>
      <c r="C446" s="6">
        <f t="shared" si="60"/>
        <v>2004</v>
      </c>
      <c r="D446">
        <v>77.099999999999994</v>
      </c>
      <c r="E446">
        <v>71.7</v>
      </c>
      <c r="F446">
        <v>74</v>
      </c>
      <c r="G446" s="2">
        <f t="shared" si="61"/>
        <v>1</v>
      </c>
      <c r="H446">
        <v>77.099999999999994</v>
      </c>
      <c r="I446">
        <v>71.7</v>
      </c>
      <c r="J446">
        <v>74</v>
      </c>
      <c r="K446">
        <v>56.1</v>
      </c>
      <c r="L446">
        <v>54.1</v>
      </c>
      <c r="M446" s="2">
        <f t="shared" si="62"/>
        <v>1</v>
      </c>
      <c r="N446">
        <v>0</v>
      </c>
      <c r="O446" s="2">
        <f t="shared" si="63"/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 s="2">
        <f t="shared" si="64"/>
        <v>0</v>
      </c>
      <c r="W446">
        <v>16.100000000000001</v>
      </c>
      <c r="X446" s="2">
        <f t="shared" si="65"/>
        <v>1</v>
      </c>
      <c r="Y446">
        <v>311.5</v>
      </c>
      <c r="Z446" s="2" t="str">
        <f>CHOOSE(MATCH(Y446,{0;11;80;111;161;191;241;281;341},1),"North","NorthEast","East","SouthEast","South","SouthWest","West","NorthWest","North")</f>
        <v>NorthWest</v>
      </c>
      <c r="AA446" s="4">
        <f>CHOOSE(MATCH(Z446,{"South";"SouthEast";"SouthWest";"North";"NorthEast";"East";"West";"NorthWest"},0),1,2,3,4,5,6,7,8)</f>
        <v>8</v>
      </c>
      <c r="AB446" s="2">
        <f t="shared" si="66"/>
        <v>1</v>
      </c>
      <c r="AC446">
        <v>1016.1</v>
      </c>
      <c r="AD446" t="s">
        <v>732</v>
      </c>
      <c r="AE446" s="2">
        <f t="shared" si="67"/>
        <v>0</v>
      </c>
      <c r="AF446" t="s">
        <v>733</v>
      </c>
      <c r="AG446" s="2">
        <f t="shared" si="68"/>
        <v>9</v>
      </c>
      <c r="AH446" s="2">
        <f t="shared" si="69"/>
        <v>0</v>
      </c>
      <c r="AI446" s="3">
        <v>319.99999999534339</v>
      </c>
      <c r="AJ446" s="2">
        <v>0</v>
      </c>
      <c r="AK446">
        <v>0</v>
      </c>
      <c r="AL446">
        <v>2.5</v>
      </c>
      <c r="AM446">
        <v>0</v>
      </c>
      <c r="AN446" s="2">
        <f>IF((2*G446+M446-O446+3*V446+2*AB446+2*AE446+2*AH446+3*AJ446)&gt;=7,1,0)</f>
        <v>0</v>
      </c>
    </row>
    <row r="447" spans="1:40" x14ac:dyDescent="0.25">
      <c r="A447" t="s">
        <v>27</v>
      </c>
      <c r="B447" s="1">
        <v>38242</v>
      </c>
      <c r="C447" s="6">
        <f t="shared" si="60"/>
        <v>2004</v>
      </c>
      <c r="D447">
        <v>73.5</v>
      </c>
      <c r="E447">
        <v>68.099999999999994</v>
      </c>
      <c r="F447">
        <v>70.099999999999994</v>
      </c>
      <c r="G447" s="2">
        <f t="shared" si="61"/>
        <v>1</v>
      </c>
      <c r="H447">
        <v>73.5</v>
      </c>
      <c r="I447">
        <v>68.099999999999994</v>
      </c>
      <c r="J447">
        <v>70.099999999999994</v>
      </c>
      <c r="K447">
        <v>49.9</v>
      </c>
      <c r="L447">
        <v>49</v>
      </c>
      <c r="M447" s="2">
        <f t="shared" si="62"/>
        <v>1</v>
      </c>
      <c r="N447">
        <v>0</v>
      </c>
      <c r="O447" s="2">
        <f t="shared" si="63"/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s="2">
        <f t="shared" si="64"/>
        <v>0</v>
      </c>
      <c r="W447">
        <v>20.8</v>
      </c>
      <c r="X447" s="2">
        <f t="shared" si="65"/>
        <v>1</v>
      </c>
      <c r="Y447">
        <v>312.7</v>
      </c>
      <c r="Z447" s="2" t="str">
        <f>CHOOSE(MATCH(Y447,{0;11;80;111;161;191;241;281;341},1),"North","NorthEast","East","SouthEast","South","SouthWest","West","NorthWest","North")</f>
        <v>NorthWest</v>
      </c>
      <c r="AA447" s="4">
        <f>CHOOSE(MATCH(Z447,{"South";"SouthEast";"SouthWest";"North";"NorthEast";"East";"West";"NorthWest"},0),1,2,3,4,5,6,7,8)</f>
        <v>8</v>
      </c>
      <c r="AB447" s="2">
        <f t="shared" si="66"/>
        <v>1</v>
      </c>
      <c r="AC447">
        <v>1020</v>
      </c>
      <c r="AD447" t="s">
        <v>734</v>
      </c>
      <c r="AE447" s="2">
        <f t="shared" si="67"/>
        <v>1</v>
      </c>
      <c r="AF447" t="s">
        <v>735</v>
      </c>
      <c r="AG447" s="2">
        <f t="shared" si="68"/>
        <v>9</v>
      </c>
      <c r="AH447" s="2">
        <f t="shared" si="69"/>
        <v>0</v>
      </c>
      <c r="AI447" s="3">
        <v>1522.9999999981369</v>
      </c>
      <c r="AJ447" s="2">
        <v>1</v>
      </c>
      <c r="AK447">
        <v>0</v>
      </c>
      <c r="AL447">
        <v>1</v>
      </c>
      <c r="AM447">
        <v>0</v>
      </c>
      <c r="AN447" s="2">
        <f>IF((2*G447+M447-O447+3*V447+2*AB447+2*AE447+2*AH447+3*AJ447)&gt;=7,1,0)</f>
        <v>1</v>
      </c>
    </row>
    <row r="448" spans="1:40" x14ac:dyDescent="0.25">
      <c r="A448" t="s">
        <v>27</v>
      </c>
      <c r="B448" s="1">
        <v>38247</v>
      </c>
      <c r="C448" s="6">
        <f t="shared" si="60"/>
        <v>2004</v>
      </c>
      <c r="D448">
        <v>80.7</v>
      </c>
      <c r="E448">
        <v>71.7</v>
      </c>
      <c r="F448">
        <v>75.900000000000006</v>
      </c>
      <c r="G448" s="2">
        <f t="shared" si="61"/>
        <v>1</v>
      </c>
      <c r="H448">
        <v>82.4</v>
      </c>
      <c r="I448">
        <v>71.7</v>
      </c>
      <c r="J448">
        <v>76</v>
      </c>
      <c r="K448">
        <v>60.6</v>
      </c>
      <c r="L448">
        <v>59.4</v>
      </c>
      <c r="M448" s="2">
        <f t="shared" si="62"/>
        <v>1</v>
      </c>
      <c r="N448">
        <v>0</v>
      </c>
      <c r="O448" s="2">
        <f t="shared" si="63"/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s="2">
        <f t="shared" si="64"/>
        <v>0</v>
      </c>
      <c r="W448">
        <v>20.8</v>
      </c>
      <c r="X448" s="2">
        <f t="shared" si="65"/>
        <v>1</v>
      </c>
      <c r="Y448">
        <v>302.7</v>
      </c>
      <c r="Z448" s="2" t="str">
        <f>CHOOSE(MATCH(Y448,{0;11;80;111;161;191;241;281;341},1),"North","NorthEast","East","SouthEast","South","SouthWest","West","NorthWest","North")</f>
        <v>NorthWest</v>
      </c>
      <c r="AA448" s="4">
        <f>CHOOSE(MATCH(Z448,{"South";"SouthEast";"SouthWest";"North";"NorthEast";"East";"West";"NorthWest"},0),1,2,3,4,5,6,7,8)</f>
        <v>8</v>
      </c>
      <c r="AB448" s="2">
        <f t="shared" si="66"/>
        <v>1</v>
      </c>
      <c r="AC448">
        <v>1013.4</v>
      </c>
      <c r="AD448" t="s">
        <v>69</v>
      </c>
      <c r="AE448" s="2">
        <f t="shared" si="67"/>
        <v>1</v>
      </c>
      <c r="AF448" t="s">
        <v>736</v>
      </c>
      <c r="AG448" s="2">
        <f t="shared" si="68"/>
        <v>9</v>
      </c>
      <c r="AH448" s="2">
        <f t="shared" si="69"/>
        <v>0</v>
      </c>
      <c r="AI448" s="3">
        <v>90</v>
      </c>
      <c r="AJ448" s="2">
        <v>0</v>
      </c>
      <c r="AK448">
        <v>0</v>
      </c>
      <c r="AL448">
        <v>20</v>
      </c>
      <c r="AM448">
        <v>0</v>
      </c>
      <c r="AN448" s="2">
        <f>IF((2*G448+M448-O448+3*V448+2*AB448+2*AE448+2*AH448+3*AJ448)&gt;=7,1,0)</f>
        <v>0</v>
      </c>
    </row>
    <row r="449" spans="1:40" x14ac:dyDescent="0.25">
      <c r="A449" t="s">
        <v>27</v>
      </c>
      <c r="B449" s="1">
        <v>38247</v>
      </c>
      <c r="C449" s="6">
        <f t="shared" si="60"/>
        <v>2004</v>
      </c>
      <c r="D449">
        <v>80.7</v>
      </c>
      <c r="E449">
        <v>71.7</v>
      </c>
      <c r="F449">
        <v>75.900000000000006</v>
      </c>
      <c r="G449" s="2">
        <f t="shared" si="61"/>
        <v>1</v>
      </c>
      <c r="H449">
        <v>82.4</v>
      </c>
      <c r="I449">
        <v>71.7</v>
      </c>
      <c r="J449">
        <v>76</v>
      </c>
      <c r="K449">
        <v>60.6</v>
      </c>
      <c r="L449">
        <v>59.4</v>
      </c>
      <c r="M449" s="2">
        <f t="shared" si="62"/>
        <v>1</v>
      </c>
      <c r="N449">
        <v>0</v>
      </c>
      <c r="O449" s="2">
        <f t="shared" si="63"/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 s="2">
        <f t="shared" si="64"/>
        <v>0</v>
      </c>
      <c r="W449">
        <v>20.8</v>
      </c>
      <c r="X449" s="2">
        <f t="shared" si="65"/>
        <v>1</v>
      </c>
      <c r="Y449">
        <v>302.7</v>
      </c>
      <c r="Z449" s="2" t="str">
        <f>CHOOSE(MATCH(Y449,{0;11;80;111;161;191;241;281;341},1),"North","NorthEast","East","SouthEast","South","SouthWest","West","NorthWest","North")</f>
        <v>NorthWest</v>
      </c>
      <c r="AA449" s="4">
        <f>CHOOSE(MATCH(Z449,{"South";"SouthEast";"SouthWest";"North";"NorthEast";"East";"West";"NorthWest"},0),1,2,3,4,5,6,7,8)</f>
        <v>8</v>
      </c>
      <c r="AB449" s="2">
        <f t="shared" si="66"/>
        <v>1</v>
      </c>
      <c r="AC449">
        <v>1013.4</v>
      </c>
      <c r="AD449" t="s">
        <v>491</v>
      </c>
      <c r="AE449" s="2">
        <f t="shared" si="67"/>
        <v>0</v>
      </c>
      <c r="AF449" t="s">
        <v>737</v>
      </c>
      <c r="AG449" s="2">
        <f t="shared" si="68"/>
        <v>9</v>
      </c>
      <c r="AH449" s="2">
        <f t="shared" si="69"/>
        <v>0</v>
      </c>
      <c r="AI449" s="3">
        <v>227.99999999930151</v>
      </c>
      <c r="AJ449" s="2">
        <v>0</v>
      </c>
      <c r="AK449">
        <v>4</v>
      </c>
      <c r="AL449">
        <v>0</v>
      </c>
      <c r="AM449">
        <v>0</v>
      </c>
      <c r="AN449" s="2">
        <f>IF((2*G449+M449-O449+3*V449+2*AB449+2*AE449+2*AH449+3*AJ449)&gt;=7,1,0)</f>
        <v>0</v>
      </c>
    </row>
    <row r="450" spans="1:40" x14ac:dyDescent="0.25">
      <c r="A450" t="s">
        <v>27</v>
      </c>
      <c r="B450" s="1">
        <v>38247</v>
      </c>
      <c r="C450" s="6">
        <f t="shared" si="60"/>
        <v>2004</v>
      </c>
      <c r="D450">
        <v>80.7</v>
      </c>
      <c r="E450">
        <v>71.7</v>
      </c>
      <c r="F450">
        <v>75.900000000000006</v>
      </c>
      <c r="G450" s="2">
        <f t="shared" si="61"/>
        <v>1</v>
      </c>
      <c r="H450">
        <v>82.4</v>
      </c>
      <c r="I450">
        <v>71.7</v>
      </c>
      <c r="J450">
        <v>76</v>
      </c>
      <c r="K450">
        <v>60.6</v>
      </c>
      <c r="L450">
        <v>59.4</v>
      </c>
      <c r="M450" s="2">
        <f t="shared" si="62"/>
        <v>1</v>
      </c>
      <c r="N450">
        <v>0</v>
      </c>
      <c r="O450" s="2">
        <f t="shared" si="63"/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s="2">
        <f t="shared" si="64"/>
        <v>0</v>
      </c>
      <c r="W450">
        <v>20.8</v>
      </c>
      <c r="X450" s="2">
        <f t="shared" si="65"/>
        <v>1</v>
      </c>
      <c r="Y450">
        <v>302.7</v>
      </c>
      <c r="Z450" s="2" t="str">
        <f>CHOOSE(MATCH(Y450,{0;11;80;111;161;191;241;281;341},1),"North","NorthEast","East","SouthEast","South","SouthWest","West","NorthWest","North")</f>
        <v>NorthWest</v>
      </c>
      <c r="AA450" s="4">
        <f>CHOOSE(MATCH(Z450,{"South";"SouthEast";"SouthWest";"North";"NorthEast";"East";"West";"NorthWest"},0),1,2,3,4,5,6,7,8)</f>
        <v>8</v>
      </c>
      <c r="AB450" s="2">
        <f t="shared" si="66"/>
        <v>1</v>
      </c>
      <c r="AC450">
        <v>1013.4</v>
      </c>
      <c r="AD450" t="s">
        <v>76</v>
      </c>
      <c r="AE450" s="2">
        <f t="shared" si="67"/>
        <v>1</v>
      </c>
      <c r="AF450" t="s">
        <v>738</v>
      </c>
      <c r="AG450" s="2">
        <f t="shared" si="68"/>
        <v>9</v>
      </c>
      <c r="AH450" s="2">
        <f t="shared" si="69"/>
        <v>0</v>
      </c>
      <c r="AI450" s="3">
        <v>265.99999999743892</v>
      </c>
      <c r="AJ450" s="2">
        <v>0</v>
      </c>
      <c r="AK450">
        <v>0</v>
      </c>
      <c r="AL450">
        <v>5</v>
      </c>
      <c r="AM450">
        <v>0</v>
      </c>
      <c r="AN450" s="2">
        <f>IF((2*G450+M450-O450+3*V450+2*AB450+2*AE450+2*AH450+3*AJ450)&gt;=7,1,0)</f>
        <v>0</v>
      </c>
    </row>
    <row r="451" spans="1:40" x14ac:dyDescent="0.25">
      <c r="A451" t="s">
        <v>27</v>
      </c>
      <c r="B451" s="1">
        <v>38248</v>
      </c>
      <c r="C451" s="6">
        <f t="shared" ref="C451:C514" si="70">YEAR(B451)</f>
        <v>2004</v>
      </c>
      <c r="D451">
        <v>77.099999999999994</v>
      </c>
      <c r="E451">
        <v>71.7</v>
      </c>
      <c r="F451">
        <v>73.599999999999994</v>
      </c>
      <c r="G451" s="2">
        <f t="shared" ref="G451:G514" si="71">IF(F451&lt;=70,0,1)</f>
        <v>1</v>
      </c>
      <c r="H451">
        <v>77.099999999999994</v>
      </c>
      <c r="I451">
        <v>71.7</v>
      </c>
      <c r="J451">
        <v>73.599999999999994</v>
      </c>
      <c r="K451">
        <v>59.9</v>
      </c>
      <c r="L451">
        <v>62.5</v>
      </c>
      <c r="M451" s="2">
        <f t="shared" ref="M451:M514" si="72">IF(L451&lt;=66,1,0)</f>
        <v>1</v>
      </c>
      <c r="N451">
        <v>0</v>
      </c>
      <c r="O451" s="2">
        <f t="shared" ref="O451:O514" si="73">IF(N451&lt;=0.01,1,0)</f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 s="2">
        <f t="shared" ref="V451:V514" si="74">IF(U451&lt;=9,0,1)</f>
        <v>0</v>
      </c>
      <c r="W451">
        <v>20.8</v>
      </c>
      <c r="X451" s="2">
        <f t="shared" ref="X451:X514" si="75">IF(W451&gt;=16,1,0)</f>
        <v>1</v>
      </c>
      <c r="Y451">
        <v>299.89999999999998</v>
      </c>
      <c r="Z451" s="2" t="str">
        <f>CHOOSE(MATCH(Y451,{0;11;80;111;161;191;241;281;341},1),"North","NorthEast","East","SouthEast","South","SouthWest","West","NorthWest","North")</f>
        <v>NorthWest</v>
      </c>
      <c r="AA451" s="4">
        <f>CHOOSE(MATCH(Z451,{"South";"SouthEast";"SouthWest";"North";"NorthEast";"East";"West";"NorthWest"},0),1,2,3,4,5,6,7,8)</f>
        <v>8</v>
      </c>
      <c r="AB451" s="2">
        <f t="shared" ref="AB451:AB514" si="76">IF(OR(AA451=4,AA451=5,AA451=8),1,0)</f>
        <v>1</v>
      </c>
      <c r="AC451">
        <v>1015.2</v>
      </c>
      <c r="AD451" t="s">
        <v>739</v>
      </c>
      <c r="AE451" s="2">
        <f t="shared" ref="AE451:AE514" si="77">IF(TIMEVALUE(AD451)&lt;=TIME(12,30,0),0,1)</f>
        <v>0</v>
      </c>
      <c r="AF451" t="s">
        <v>740</v>
      </c>
      <c r="AG451" s="2">
        <f t="shared" ref="AG451:AG514" si="78">MONTH(AF451)</f>
        <v>9</v>
      </c>
      <c r="AH451" s="2">
        <f t="shared" ref="AH451:AH514" si="79">IF(OR(AG451=6,AG451=7,AG451=8),1,0)</f>
        <v>0</v>
      </c>
      <c r="AI451" s="3">
        <v>185.00000000582079</v>
      </c>
      <c r="AJ451" s="2">
        <v>0</v>
      </c>
      <c r="AK451">
        <v>20</v>
      </c>
      <c r="AL451">
        <v>0</v>
      </c>
      <c r="AM451">
        <v>0</v>
      </c>
      <c r="AN451" s="2">
        <f>IF((2*G451+M451-O451+3*V451+2*AB451+2*AE451+2*AH451+3*AJ451)&gt;=7,1,0)</f>
        <v>0</v>
      </c>
    </row>
    <row r="452" spans="1:40" x14ac:dyDescent="0.25">
      <c r="A452" t="s">
        <v>27</v>
      </c>
      <c r="B452" s="1">
        <v>38252</v>
      </c>
      <c r="C452" s="6">
        <f t="shared" si="70"/>
        <v>2004</v>
      </c>
      <c r="D452">
        <v>78.900000000000006</v>
      </c>
      <c r="E452">
        <v>68.099999999999994</v>
      </c>
      <c r="F452">
        <v>73</v>
      </c>
      <c r="G452" s="2">
        <f t="shared" si="71"/>
        <v>1</v>
      </c>
      <c r="H452">
        <v>78.900000000000006</v>
      </c>
      <c r="I452">
        <v>68.099999999999994</v>
      </c>
      <c r="J452">
        <v>73</v>
      </c>
      <c r="K452">
        <v>64.900000000000006</v>
      </c>
      <c r="L452">
        <v>76.2</v>
      </c>
      <c r="M452" s="2">
        <f t="shared" si="72"/>
        <v>0</v>
      </c>
      <c r="N452">
        <v>0</v>
      </c>
      <c r="O452" s="2">
        <f t="shared" si="73"/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s="2">
        <f t="shared" si="74"/>
        <v>0</v>
      </c>
      <c r="W452">
        <v>9.1999999999999993</v>
      </c>
      <c r="X452" s="2">
        <f t="shared" si="75"/>
        <v>0</v>
      </c>
      <c r="Y452">
        <v>307.60000000000002</v>
      </c>
      <c r="Z452" s="2" t="str">
        <f>CHOOSE(MATCH(Y452,{0;11;80;111;161;191;241;281;341},1),"North","NorthEast","East","SouthEast","South","SouthWest","West","NorthWest","North")</f>
        <v>NorthWest</v>
      </c>
      <c r="AA452" s="4">
        <f>CHOOSE(MATCH(Z452,{"South";"SouthEast";"SouthWest";"North";"NorthEast";"East";"West";"NorthWest"},0),1,2,3,4,5,6,7,8)</f>
        <v>8</v>
      </c>
      <c r="AB452" s="2">
        <f t="shared" si="76"/>
        <v>1</v>
      </c>
      <c r="AC452">
        <v>1010.8</v>
      </c>
      <c r="AD452" t="s">
        <v>741</v>
      </c>
      <c r="AE452" s="2">
        <f t="shared" si="77"/>
        <v>0</v>
      </c>
      <c r="AF452" t="s">
        <v>742</v>
      </c>
      <c r="AG452" s="2">
        <f t="shared" si="78"/>
        <v>9</v>
      </c>
      <c r="AH452" s="2">
        <f t="shared" si="79"/>
        <v>0</v>
      </c>
      <c r="AI452" s="3">
        <v>80.999999991618097</v>
      </c>
      <c r="AJ452" s="2">
        <v>0</v>
      </c>
      <c r="AK452">
        <v>0</v>
      </c>
      <c r="AL452">
        <v>0.1</v>
      </c>
      <c r="AM452">
        <v>0</v>
      </c>
      <c r="AN452" s="2">
        <f>IF((2*G452+M452-O452+3*V452+2*AB452+2*AE452+2*AH452+3*AJ452)&gt;=7,1,0)</f>
        <v>0</v>
      </c>
    </row>
    <row r="453" spans="1:40" x14ac:dyDescent="0.25">
      <c r="A453" t="s">
        <v>27</v>
      </c>
      <c r="B453" s="1">
        <v>38257</v>
      </c>
      <c r="C453" s="6">
        <f t="shared" si="70"/>
        <v>2004</v>
      </c>
      <c r="D453">
        <v>89.7</v>
      </c>
      <c r="E453">
        <v>71.7</v>
      </c>
      <c r="F453">
        <v>78.900000000000006</v>
      </c>
      <c r="G453" s="2">
        <f t="shared" si="71"/>
        <v>1</v>
      </c>
      <c r="H453">
        <v>87.5</v>
      </c>
      <c r="I453">
        <v>71.7</v>
      </c>
      <c r="J453">
        <v>79.099999999999994</v>
      </c>
      <c r="K453">
        <v>61.4</v>
      </c>
      <c r="L453">
        <v>57.7</v>
      </c>
      <c r="M453" s="2">
        <f t="shared" si="72"/>
        <v>1</v>
      </c>
      <c r="N453">
        <v>0</v>
      </c>
      <c r="O453" s="2">
        <f t="shared" si="73"/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s="2">
        <f t="shared" si="74"/>
        <v>0</v>
      </c>
      <c r="W453">
        <v>15</v>
      </c>
      <c r="X453" s="2">
        <f t="shared" si="75"/>
        <v>0</v>
      </c>
      <c r="Y453">
        <v>146.80000000000001</v>
      </c>
      <c r="Z453" s="2" t="str">
        <f>CHOOSE(MATCH(Y453,{0;11;80;111;161;191;241;281;341},1),"North","NorthEast","East","SouthEast","South","SouthWest","West","NorthWest","North")</f>
        <v>SouthEast</v>
      </c>
      <c r="AA453" s="4">
        <f>CHOOSE(MATCH(Z453,{"South";"SouthEast";"SouthWest";"North";"NorthEast";"East";"West";"NorthWest"},0),1,2,3,4,5,6,7,8)</f>
        <v>2</v>
      </c>
      <c r="AB453" s="2">
        <f t="shared" si="76"/>
        <v>0</v>
      </c>
      <c r="AC453">
        <v>1014.3</v>
      </c>
      <c r="AD453" t="s">
        <v>135</v>
      </c>
      <c r="AE453" s="2">
        <f t="shared" si="77"/>
        <v>0</v>
      </c>
      <c r="AF453" t="s">
        <v>743</v>
      </c>
      <c r="AG453" s="2">
        <f t="shared" si="78"/>
        <v>9</v>
      </c>
      <c r="AH453" s="2">
        <f t="shared" si="79"/>
        <v>0</v>
      </c>
      <c r="AI453" s="3">
        <v>775.9999999939464</v>
      </c>
      <c r="AJ453" s="2">
        <v>1</v>
      </c>
      <c r="AK453">
        <v>290</v>
      </c>
      <c r="AL453">
        <v>0</v>
      </c>
      <c r="AM453">
        <v>0</v>
      </c>
      <c r="AN453" s="2">
        <f>IF((2*G453+M453-O453+3*V453+2*AB453+2*AE453+2*AH453+3*AJ453)&gt;=7,1,0)</f>
        <v>0</v>
      </c>
    </row>
    <row r="454" spans="1:40" x14ac:dyDescent="0.25">
      <c r="A454" t="s">
        <v>27</v>
      </c>
      <c r="B454" s="1">
        <v>38257</v>
      </c>
      <c r="C454" s="6">
        <f t="shared" si="70"/>
        <v>2004</v>
      </c>
      <c r="D454">
        <v>89.7</v>
      </c>
      <c r="E454">
        <v>71.7</v>
      </c>
      <c r="F454">
        <v>78.900000000000006</v>
      </c>
      <c r="G454" s="2">
        <f t="shared" si="71"/>
        <v>1</v>
      </c>
      <c r="H454">
        <v>87.5</v>
      </c>
      <c r="I454">
        <v>71.7</v>
      </c>
      <c r="J454">
        <v>79.099999999999994</v>
      </c>
      <c r="K454">
        <v>61.4</v>
      </c>
      <c r="L454">
        <v>57.7</v>
      </c>
      <c r="M454" s="2">
        <f t="shared" si="72"/>
        <v>1</v>
      </c>
      <c r="N454">
        <v>0</v>
      </c>
      <c r="O454" s="2">
        <f t="shared" si="73"/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s="2">
        <f t="shared" si="74"/>
        <v>0</v>
      </c>
      <c r="W454">
        <v>15</v>
      </c>
      <c r="X454" s="2">
        <f t="shared" si="75"/>
        <v>0</v>
      </c>
      <c r="Y454">
        <v>146.80000000000001</v>
      </c>
      <c r="Z454" s="2" t="str">
        <f>CHOOSE(MATCH(Y454,{0;11;80;111;161;191;241;281;341},1),"North","NorthEast","East","SouthEast","South","SouthWest","West","NorthWest","North")</f>
        <v>SouthEast</v>
      </c>
      <c r="AA454" s="4">
        <f>CHOOSE(MATCH(Z454,{"South";"SouthEast";"SouthWest";"North";"NorthEast";"East";"West";"NorthWest"},0),1,2,3,4,5,6,7,8)</f>
        <v>2</v>
      </c>
      <c r="AB454" s="2">
        <f t="shared" si="76"/>
        <v>0</v>
      </c>
      <c r="AC454">
        <v>1014.3</v>
      </c>
      <c r="AD454" t="s">
        <v>491</v>
      </c>
      <c r="AE454" s="2">
        <f t="shared" si="77"/>
        <v>0</v>
      </c>
      <c r="AF454" t="s">
        <v>744</v>
      </c>
      <c r="AG454" s="2">
        <f t="shared" si="78"/>
        <v>9</v>
      </c>
      <c r="AH454" s="2">
        <f t="shared" si="79"/>
        <v>0</v>
      </c>
      <c r="AI454" s="3">
        <v>799.99999999883585</v>
      </c>
      <c r="AJ454" s="2">
        <v>1</v>
      </c>
      <c r="AK454">
        <v>0</v>
      </c>
      <c r="AL454">
        <v>200</v>
      </c>
      <c r="AM454">
        <v>0</v>
      </c>
      <c r="AN454" s="2">
        <f>IF((2*G454+M454-O454+3*V454+2*AB454+2*AE454+2*AH454+3*AJ454)&gt;=7,1,0)</f>
        <v>0</v>
      </c>
    </row>
    <row r="455" spans="1:40" x14ac:dyDescent="0.25">
      <c r="A455" t="s">
        <v>27</v>
      </c>
      <c r="B455" s="1">
        <v>38258</v>
      </c>
      <c r="C455" s="6">
        <f t="shared" si="70"/>
        <v>2004</v>
      </c>
      <c r="D455">
        <v>80.7</v>
      </c>
      <c r="E455">
        <v>68.099999999999994</v>
      </c>
      <c r="F455">
        <v>74.3</v>
      </c>
      <c r="G455" s="2">
        <f t="shared" si="71"/>
        <v>1</v>
      </c>
      <c r="H455">
        <v>84.1</v>
      </c>
      <c r="I455">
        <v>68.099999999999994</v>
      </c>
      <c r="J455">
        <v>74.5</v>
      </c>
      <c r="K455">
        <v>63.8</v>
      </c>
      <c r="L455">
        <v>71.099999999999994</v>
      </c>
      <c r="M455" s="2">
        <f t="shared" si="72"/>
        <v>0</v>
      </c>
      <c r="N455">
        <v>0</v>
      </c>
      <c r="O455" s="2">
        <f t="shared" si="73"/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 s="2">
        <f t="shared" si="74"/>
        <v>0</v>
      </c>
      <c r="W455">
        <v>15</v>
      </c>
      <c r="X455" s="2">
        <f t="shared" si="75"/>
        <v>0</v>
      </c>
      <c r="Y455">
        <v>260.60000000000002</v>
      </c>
      <c r="Z455" s="2" t="str">
        <f>CHOOSE(MATCH(Y455,{0;11;80;111;161;191;241;281;341},1),"North","NorthEast","East","SouthEast","South","SouthWest","West","NorthWest","North")</f>
        <v>West</v>
      </c>
      <c r="AA455" s="4">
        <f>CHOOSE(MATCH(Z455,{"South";"SouthEast";"SouthWest";"North";"NorthEast";"East";"West";"NorthWest"},0),1,2,3,4,5,6,7,8)</f>
        <v>7</v>
      </c>
      <c r="AB455" s="2">
        <f t="shared" si="76"/>
        <v>0</v>
      </c>
      <c r="AC455">
        <v>1015.9</v>
      </c>
      <c r="AD455" t="s">
        <v>745</v>
      </c>
      <c r="AE455" s="2">
        <f t="shared" si="77"/>
        <v>1</v>
      </c>
      <c r="AF455" t="s">
        <v>746</v>
      </c>
      <c r="AG455" s="2">
        <f t="shared" si="78"/>
        <v>9</v>
      </c>
      <c r="AH455" s="2">
        <f t="shared" si="79"/>
        <v>0</v>
      </c>
      <c r="AI455" s="3">
        <v>375.00000000698492</v>
      </c>
      <c r="AJ455" s="2">
        <v>1</v>
      </c>
      <c r="AK455">
        <v>0</v>
      </c>
      <c r="AL455">
        <v>10</v>
      </c>
      <c r="AM455">
        <v>0</v>
      </c>
      <c r="AN455" s="2">
        <f>IF((2*G455+M455-O455+3*V455+2*AB455+2*AE455+2*AH455+3*AJ455)&gt;=7,1,0)</f>
        <v>0</v>
      </c>
    </row>
    <row r="456" spans="1:40" x14ac:dyDescent="0.25">
      <c r="A456" t="s">
        <v>27</v>
      </c>
      <c r="B456" s="1">
        <v>38260</v>
      </c>
      <c r="C456" s="6">
        <f t="shared" si="70"/>
        <v>2004</v>
      </c>
      <c r="D456">
        <v>78.900000000000006</v>
      </c>
      <c r="E456">
        <v>68.099999999999994</v>
      </c>
      <c r="F456">
        <v>72.7</v>
      </c>
      <c r="G456" s="2">
        <f t="shared" si="71"/>
        <v>1</v>
      </c>
      <c r="H456">
        <v>78.900000000000006</v>
      </c>
      <c r="I456">
        <v>68.099999999999994</v>
      </c>
      <c r="J456">
        <v>72.7</v>
      </c>
      <c r="K456">
        <v>63.8</v>
      </c>
      <c r="L456">
        <v>74</v>
      </c>
      <c r="M456" s="2">
        <f t="shared" si="72"/>
        <v>0</v>
      </c>
      <c r="N456">
        <v>0</v>
      </c>
      <c r="O456" s="2">
        <f t="shared" si="73"/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 s="2">
        <f t="shared" si="74"/>
        <v>0</v>
      </c>
      <c r="W456">
        <v>19.5</v>
      </c>
      <c r="X456" s="2">
        <f t="shared" si="75"/>
        <v>1</v>
      </c>
      <c r="Y456">
        <v>280.10000000000002</v>
      </c>
      <c r="Z456" s="2" t="str">
        <f>CHOOSE(MATCH(Y456,{0;11;80;111;161;191;241;281;341},1),"North","NorthEast","East","SouthEast","South","SouthWest","West","NorthWest","North")</f>
        <v>West</v>
      </c>
      <c r="AA456" s="4">
        <f>CHOOSE(MATCH(Z456,{"South";"SouthEast";"SouthWest";"North";"NorthEast";"East";"West";"NorthWest"},0),1,2,3,4,5,6,7,8)</f>
        <v>7</v>
      </c>
      <c r="AB456" s="2">
        <f t="shared" si="76"/>
        <v>0</v>
      </c>
      <c r="AC456">
        <v>1016.6</v>
      </c>
      <c r="AD456" t="s">
        <v>747</v>
      </c>
      <c r="AE456" s="2">
        <f t="shared" si="77"/>
        <v>0</v>
      </c>
      <c r="AF456" t="s">
        <v>748</v>
      </c>
      <c r="AG456" s="2">
        <f t="shared" si="78"/>
        <v>9</v>
      </c>
      <c r="AH456" s="2">
        <f t="shared" si="79"/>
        <v>0</v>
      </c>
      <c r="AI456" s="3">
        <v>34.999999998835847</v>
      </c>
      <c r="AJ456" s="2">
        <v>0</v>
      </c>
      <c r="AK456">
        <v>0</v>
      </c>
      <c r="AL456">
        <v>2</v>
      </c>
      <c r="AM456">
        <v>0</v>
      </c>
      <c r="AN456" s="2">
        <f>IF((2*G456+M456-O456+3*V456+2*AB456+2*AE456+2*AH456+3*AJ456)&gt;=7,1,0)</f>
        <v>0</v>
      </c>
    </row>
    <row r="457" spans="1:40" x14ac:dyDescent="0.25">
      <c r="A457" t="s">
        <v>27</v>
      </c>
      <c r="B457" s="1">
        <v>38261</v>
      </c>
      <c r="C457" s="6">
        <f t="shared" si="70"/>
        <v>2004</v>
      </c>
      <c r="D457">
        <v>78.900000000000006</v>
      </c>
      <c r="E457">
        <v>64.5</v>
      </c>
      <c r="F457">
        <v>71.8</v>
      </c>
      <c r="G457" s="2">
        <f t="shared" si="71"/>
        <v>1</v>
      </c>
      <c r="H457">
        <v>78.900000000000006</v>
      </c>
      <c r="I457">
        <v>64.5</v>
      </c>
      <c r="J457">
        <v>71.8</v>
      </c>
      <c r="K457">
        <v>62.2</v>
      </c>
      <c r="L457">
        <v>72.599999999999994</v>
      </c>
      <c r="M457" s="2">
        <f t="shared" si="72"/>
        <v>0</v>
      </c>
      <c r="N457">
        <v>0</v>
      </c>
      <c r="O457" s="2">
        <f t="shared" si="73"/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 s="2">
        <f t="shared" si="74"/>
        <v>0</v>
      </c>
      <c r="W457">
        <v>11.4</v>
      </c>
      <c r="X457" s="2">
        <f t="shared" si="75"/>
        <v>0</v>
      </c>
      <c r="Y457">
        <v>298.5</v>
      </c>
      <c r="Z457" s="2" t="str">
        <f>CHOOSE(MATCH(Y457,{0;11;80;111;161;191;241;281;341},1),"North","NorthEast","East","SouthEast","South","SouthWest","West","NorthWest","North")</f>
        <v>NorthWest</v>
      </c>
      <c r="AA457" s="4">
        <f>CHOOSE(MATCH(Z457,{"South";"SouthEast";"SouthWest";"North";"NorthEast";"East";"West";"NorthWest"},0),1,2,3,4,5,6,7,8)</f>
        <v>8</v>
      </c>
      <c r="AB457" s="2">
        <f t="shared" si="76"/>
        <v>1</v>
      </c>
      <c r="AC457">
        <v>1019.5</v>
      </c>
      <c r="AD457" t="s">
        <v>749</v>
      </c>
      <c r="AE457" s="2">
        <f t="shared" si="77"/>
        <v>0</v>
      </c>
      <c r="AF457" t="s">
        <v>750</v>
      </c>
      <c r="AG457" s="2">
        <f t="shared" si="78"/>
        <v>10</v>
      </c>
      <c r="AH457" s="2">
        <f t="shared" si="79"/>
        <v>0</v>
      </c>
      <c r="AI457" s="3">
        <v>1060.0000000081491</v>
      </c>
      <c r="AJ457" s="2">
        <v>1</v>
      </c>
      <c r="AK457">
        <v>0</v>
      </c>
      <c r="AL457">
        <v>8</v>
      </c>
      <c r="AM457">
        <v>0</v>
      </c>
      <c r="AN457" s="2">
        <f>IF((2*G457+M457-O457+3*V457+2*AB457+2*AE457+2*AH457+3*AJ457)&gt;=7,1,0)</f>
        <v>0</v>
      </c>
    </row>
    <row r="458" spans="1:40" x14ac:dyDescent="0.25">
      <c r="A458" t="s">
        <v>27</v>
      </c>
      <c r="B458" s="1">
        <v>38265</v>
      </c>
      <c r="C458" s="6">
        <f t="shared" si="70"/>
        <v>2004</v>
      </c>
      <c r="D458">
        <v>73.5</v>
      </c>
      <c r="E458">
        <v>68.099999999999994</v>
      </c>
      <c r="F458">
        <v>70.599999999999994</v>
      </c>
      <c r="G458" s="2">
        <f t="shared" si="71"/>
        <v>1</v>
      </c>
      <c r="H458">
        <v>73.5</v>
      </c>
      <c r="I458">
        <v>68.099999999999994</v>
      </c>
      <c r="J458">
        <v>70.599999999999994</v>
      </c>
      <c r="K458">
        <v>55.2</v>
      </c>
      <c r="L458">
        <v>58.4</v>
      </c>
      <c r="M458" s="2">
        <f t="shared" si="72"/>
        <v>1</v>
      </c>
      <c r="N458">
        <v>0</v>
      </c>
      <c r="O458" s="2">
        <f t="shared" si="73"/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s="2">
        <f t="shared" si="74"/>
        <v>0</v>
      </c>
      <c r="W458">
        <v>24.2</v>
      </c>
      <c r="X458" s="2">
        <f t="shared" si="75"/>
        <v>1</v>
      </c>
      <c r="Y458">
        <v>320.60000000000002</v>
      </c>
      <c r="Z458" s="2" t="str">
        <f>CHOOSE(MATCH(Y458,{0;11;80;111;161;191;241;281;341},1),"North","NorthEast","East","SouthEast","South","SouthWest","West","NorthWest","North")</f>
        <v>NorthWest</v>
      </c>
      <c r="AA458" s="4">
        <f>CHOOSE(MATCH(Z458,{"South";"SouthEast";"SouthWest";"North";"NorthEast";"East";"West";"NorthWest"},0),1,2,3,4,5,6,7,8)</f>
        <v>8</v>
      </c>
      <c r="AB458" s="2">
        <f t="shared" si="76"/>
        <v>1</v>
      </c>
      <c r="AC458">
        <v>1016.1</v>
      </c>
      <c r="AD458" t="s">
        <v>105</v>
      </c>
      <c r="AE458" s="2">
        <f t="shared" si="77"/>
        <v>0</v>
      </c>
      <c r="AF458" t="s">
        <v>751</v>
      </c>
      <c r="AG458" s="2">
        <f t="shared" si="78"/>
        <v>10</v>
      </c>
      <c r="AH458" s="2">
        <f t="shared" si="79"/>
        <v>0</v>
      </c>
      <c r="AI458" s="3">
        <v>395.9999999916181</v>
      </c>
      <c r="AJ458" s="2">
        <v>1</v>
      </c>
      <c r="AK458">
        <v>0</v>
      </c>
      <c r="AL458">
        <v>15</v>
      </c>
      <c r="AM458">
        <v>0</v>
      </c>
      <c r="AN458" s="2">
        <f>IF((2*G458+M458-O458+3*V458+2*AB458+2*AE458+2*AH458+3*AJ458)&gt;=7,1,0)</f>
        <v>1</v>
      </c>
    </row>
    <row r="459" spans="1:40" x14ac:dyDescent="0.25">
      <c r="A459" t="s">
        <v>27</v>
      </c>
      <c r="B459" s="1">
        <v>38265</v>
      </c>
      <c r="C459" s="6">
        <f t="shared" si="70"/>
        <v>2004</v>
      </c>
      <c r="D459">
        <v>73.5</v>
      </c>
      <c r="E459">
        <v>68.099999999999994</v>
      </c>
      <c r="F459">
        <v>70.599999999999994</v>
      </c>
      <c r="G459" s="2">
        <f t="shared" si="71"/>
        <v>1</v>
      </c>
      <c r="H459">
        <v>73.5</v>
      </c>
      <c r="I459">
        <v>68.099999999999994</v>
      </c>
      <c r="J459">
        <v>70.599999999999994</v>
      </c>
      <c r="K459">
        <v>55.2</v>
      </c>
      <c r="L459">
        <v>58.4</v>
      </c>
      <c r="M459" s="2">
        <f t="shared" si="72"/>
        <v>1</v>
      </c>
      <c r="N459">
        <v>0</v>
      </c>
      <c r="O459" s="2">
        <f t="shared" si="73"/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s="2">
        <f t="shared" si="74"/>
        <v>0</v>
      </c>
      <c r="W459">
        <v>24.2</v>
      </c>
      <c r="X459" s="2">
        <f t="shared" si="75"/>
        <v>1</v>
      </c>
      <c r="Y459">
        <v>320.60000000000002</v>
      </c>
      <c r="Z459" s="2" t="str">
        <f>CHOOSE(MATCH(Y459,{0;11;80;111;161;191;241;281;341},1),"North","NorthEast","East","SouthEast","South","SouthWest","West","NorthWest","North")</f>
        <v>NorthWest</v>
      </c>
      <c r="AA459" s="4">
        <f>CHOOSE(MATCH(Z459,{"South";"SouthEast";"SouthWest";"North";"NorthEast";"East";"West";"NorthWest"},0),1,2,3,4,5,6,7,8)</f>
        <v>8</v>
      </c>
      <c r="AB459" s="2">
        <f t="shared" si="76"/>
        <v>1</v>
      </c>
      <c r="AC459">
        <v>1016.1</v>
      </c>
      <c r="AD459" t="s">
        <v>435</v>
      </c>
      <c r="AE459" s="2">
        <f t="shared" si="77"/>
        <v>1</v>
      </c>
      <c r="AF459" t="s">
        <v>752</v>
      </c>
      <c r="AG459" s="2">
        <f t="shared" si="78"/>
        <v>10</v>
      </c>
      <c r="AH459" s="2">
        <f t="shared" si="79"/>
        <v>0</v>
      </c>
      <c r="AI459" s="3">
        <v>570.99999999627471</v>
      </c>
      <c r="AJ459" s="2">
        <v>1</v>
      </c>
      <c r="AK459">
        <v>0</v>
      </c>
      <c r="AL459">
        <v>15</v>
      </c>
      <c r="AM459">
        <v>0</v>
      </c>
      <c r="AN459" s="2">
        <f>IF((2*G459+M459-O459+3*V459+2*AB459+2*AE459+2*AH459+3*AJ459)&gt;=7,1,0)</f>
        <v>1</v>
      </c>
    </row>
    <row r="460" spans="1:40" x14ac:dyDescent="0.25">
      <c r="A460" t="s">
        <v>27</v>
      </c>
      <c r="B460" s="1">
        <v>38271</v>
      </c>
      <c r="C460" s="6">
        <f t="shared" si="70"/>
        <v>2004</v>
      </c>
      <c r="D460">
        <v>78.900000000000006</v>
      </c>
      <c r="E460">
        <v>64.5</v>
      </c>
      <c r="F460">
        <v>70.900000000000006</v>
      </c>
      <c r="G460" s="2">
        <f t="shared" si="71"/>
        <v>1</v>
      </c>
      <c r="H460">
        <v>78.900000000000006</v>
      </c>
      <c r="I460">
        <v>64.5</v>
      </c>
      <c r="J460">
        <v>70.900000000000006</v>
      </c>
      <c r="K460">
        <v>62.3</v>
      </c>
      <c r="L460">
        <v>74.8</v>
      </c>
      <c r="M460" s="2">
        <f t="shared" si="72"/>
        <v>0</v>
      </c>
      <c r="N460">
        <v>0</v>
      </c>
      <c r="O460" s="2">
        <f t="shared" si="73"/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 s="2">
        <f t="shared" si="74"/>
        <v>0</v>
      </c>
      <c r="W460">
        <v>11.4</v>
      </c>
      <c r="X460" s="2">
        <f t="shared" si="75"/>
        <v>0</v>
      </c>
      <c r="Y460">
        <v>132.6</v>
      </c>
      <c r="Z460" s="2" t="str">
        <f>CHOOSE(MATCH(Y460,{0;11;80;111;161;191;241;281;341},1),"North","NorthEast","East","SouthEast","South","SouthWest","West","NorthWest","North")</f>
        <v>SouthEast</v>
      </c>
      <c r="AA460" s="4">
        <f>CHOOSE(MATCH(Z460,{"South";"SouthEast";"SouthWest";"North";"NorthEast";"East";"West";"NorthWest"},0),1,2,3,4,5,6,7,8)</f>
        <v>2</v>
      </c>
      <c r="AB460" s="2">
        <f t="shared" si="76"/>
        <v>0</v>
      </c>
      <c r="AC460">
        <v>1016.2</v>
      </c>
      <c r="AD460" t="s">
        <v>753</v>
      </c>
      <c r="AE460" s="2">
        <f t="shared" si="77"/>
        <v>1</v>
      </c>
      <c r="AF460" t="s">
        <v>754</v>
      </c>
      <c r="AG460" s="2">
        <f t="shared" si="78"/>
        <v>10</v>
      </c>
      <c r="AH460" s="2">
        <f t="shared" si="79"/>
        <v>0</v>
      </c>
      <c r="AI460" s="3">
        <v>425.00000000232831</v>
      </c>
      <c r="AJ460" s="2">
        <v>1</v>
      </c>
      <c r="AK460">
        <v>10</v>
      </c>
      <c r="AL460">
        <v>0</v>
      </c>
      <c r="AM460">
        <v>0</v>
      </c>
      <c r="AN460" s="2">
        <f>IF((2*G460+M460-O460+3*V460+2*AB460+2*AE460+2*AH460+3*AJ460)&gt;=7,1,0)</f>
        <v>0</v>
      </c>
    </row>
    <row r="461" spans="1:40" x14ac:dyDescent="0.25">
      <c r="A461" t="s">
        <v>27</v>
      </c>
      <c r="B461" s="1">
        <v>38272</v>
      </c>
      <c r="C461" s="6">
        <f t="shared" si="70"/>
        <v>2004</v>
      </c>
      <c r="D461">
        <v>78.900000000000006</v>
      </c>
      <c r="E461">
        <v>64.5</v>
      </c>
      <c r="F461">
        <v>70.7</v>
      </c>
      <c r="G461" s="2">
        <f t="shared" si="71"/>
        <v>1</v>
      </c>
      <c r="H461">
        <v>78.900000000000006</v>
      </c>
      <c r="I461">
        <v>64.5</v>
      </c>
      <c r="J461">
        <v>70.7</v>
      </c>
      <c r="K461">
        <v>63.3</v>
      </c>
      <c r="L461">
        <v>78.5</v>
      </c>
      <c r="M461" s="2">
        <f t="shared" si="72"/>
        <v>0</v>
      </c>
      <c r="N461">
        <v>0</v>
      </c>
      <c r="O461" s="2">
        <f t="shared" si="73"/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 s="2">
        <f t="shared" si="74"/>
        <v>0</v>
      </c>
      <c r="W461">
        <v>9.1999999999999993</v>
      </c>
      <c r="X461" s="2">
        <f t="shared" si="75"/>
        <v>0</v>
      </c>
      <c r="Y461">
        <v>143.19999999999999</v>
      </c>
      <c r="Z461" s="2" t="str">
        <f>CHOOSE(MATCH(Y461,{0;11;80;111;161;191;241;281;341},1),"North","NorthEast","East","SouthEast","South","SouthWest","West","NorthWest","North")</f>
        <v>SouthEast</v>
      </c>
      <c r="AA461" s="4">
        <f>CHOOSE(MATCH(Z461,{"South";"SouthEast";"SouthWest";"North";"NorthEast";"East";"West";"NorthWest"},0),1,2,3,4,5,6,7,8)</f>
        <v>2</v>
      </c>
      <c r="AB461" s="2">
        <f t="shared" si="76"/>
        <v>0</v>
      </c>
      <c r="AC461">
        <v>1016.3</v>
      </c>
      <c r="AD461" t="s">
        <v>248</v>
      </c>
      <c r="AE461" s="2">
        <f t="shared" si="77"/>
        <v>1</v>
      </c>
      <c r="AF461" t="s">
        <v>755</v>
      </c>
      <c r="AG461" s="2">
        <f t="shared" si="78"/>
        <v>10</v>
      </c>
      <c r="AH461" s="2">
        <f t="shared" si="79"/>
        <v>0</v>
      </c>
      <c r="AI461" s="3">
        <v>335.99999999511061</v>
      </c>
      <c r="AJ461" s="2">
        <v>0</v>
      </c>
      <c r="AK461">
        <v>0</v>
      </c>
      <c r="AL461">
        <v>2</v>
      </c>
      <c r="AM461">
        <v>0</v>
      </c>
      <c r="AN461" s="2">
        <f>IF((2*G461+M461-O461+3*V461+2*AB461+2*AE461+2*AH461+3*AJ461)&gt;=7,1,0)</f>
        <v>0</v>
      </c>
    </row>
    <row r="462" spans="1:40" x14ac:dyDescent="0.25">
      <c r="A462" t="s">
        <v>27</v>
      </c>
      <c r="B462" s="1">
        <v>38272</v>
      </c>
      <c r="C462" s="6">
        <f t="shared" si="70"/>
        <v>2004</v>
      </c>
      <c r="D462">
        <v>78.900000000000006</v>
      </c>
      <c r="E462">
        <v>64.5</v>
      </c>
      <c r="F462">
        <v>70.7</v>
      </c>
      <c r="G462" s="2">
        <f t="shared" si="71"/>
        <v>1</v>
      </c>
      <c r="H462">
        <v>78.900000000000006</v>
      </c>
      <c r="I462">
        <v>64.5</v>
      </c>
      <c r="J462">
        <v>70.7</v>
      </c>
      <c r="K462">
        <v>63.3</v>
      </c>
      <c r="L462">
        <v>78.5</v>
      </c>
      <c r="M462" s="2">
        <f t="shared" si="72"/>
        <v>0</v>
      </c>
      <c r="N462">
        <v>0</v>
      </c>
      <c r="O462" s="2">
        <f t="shared" si="73"/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s="2">
        <f t="shared" si="74"/>
        <v>0</v>
      </c>
      <c r="W462">
        <v>9.1999999999999993</v>
      </c>
      <c r="X462" s="2">
        <f t="shared" si="75"/>
        <v>0</v>
      </c>
      <c r="Y462">
        <v>143.19999999999999</v>
      </c>
      <c r="Z462" s="2" t="str">
        <f>CHOOSE(MATCH(Y462,{0;11;80;111;161;191;241;281;341},1),"North","NorthEast","East","SouthEast","South","SouthWest","West","NorthWest","North")</f>
        <v>SouthEast</v>
      </c>
      <c r="AA462" s="4">
        <f>CHOOSE(MATCH(Z462,{"South";"SouthEast";"SouthWest";"North";"NorthEast";"East";"West";"NorthWest"},0),1,2,3,4,5,6,7,8)</f>
        <v>2</v>
      </c>
      <c r="AB462" s="2">
        <f t="shared" si="76"/>
        <v>0</v>
      </c>
      <c r="AC462">
        <v>1016.3</v>
      </c>
      <c r="AD462" t="s">
        <v>215</v>
      </c>
      <c r="AE462" s="2">
        <f t="shared" si="77"/>
        <v>1</v>
      </c>
      <c r="AF462" t="s">
        <v>756</v>
      </c>
      <c r="AG462" s="2">
        <f t="shared" si="78"/>
        <v>10</v>
      </c>
      <c r="AH462" s="2">
        <f t="shared" si="79"/>
        <v>0</v>
      </c>
      <c r="AI462" s="3">
        <v>306.00000000209548</v>
      </c>
      <c r="AJ462" s="2">
        <v>0</v>
      </c>
      <c r="AK462">
        <v>10</v>
      </c>
      <c r="AL462">
        <v>0</v>
      </c>
      <c r="AM462">
        <v>0</v>
      </c>
      <c r="AN462" s="2">
        <f>IF((2*G462+M462-O462+3*V462+2*AB462+2*AE462+2*AH462+3*AJ462)&gt;=7,1,0)</f>
        <v>0</v>
      </c>
    </row>
    <row r="463" spans="1:40" x14ac:dyDescent="0.25">
      <c r="A463" t="s">
        <v>27</v>
      </c>
      <c r="B463" s="1">
        <v>38273</v>
      </c>
      <c r="C463" s="6">
        <f t="shared" si="70"/>
        <v>2004</v>
      </c>
      <c r="D463">
        <v>73.5</v>
      </c>
      <c r="E463">
        <v>68.099999999999994</v>
      </c>
      <c r="F463">
        <v>70.099999999999994</v>
      </c>
      <c r="G463" s="2">
        <f t="shared" si="71"/>
        <v>1</v>
      </c>
      <c r="H463">
        <v>73.5</v>
      </c>
      <c r="I463">
        <v>68.099999999999994</v>
      </c>
      <c r="J463">
        <v>70.099999999999994</v>
      </c>
      <c r="K463">
        <v>61.4</v>
      </c>
      <c r="L463">
        <v>74.2</v>
      </c>
      <c r="M463" s="2">
        <f t="shared" si="72"/>
        <v>0</v>
      </c>
      <c r="N463">
        <v>0</v>
      </c>
      <c r="O463" s="2">
        <f t="shared" si="73"/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 s="2">
        <f t="shared" si="74"/>
        <v>0</v>
      </c>
      <c r="W463">
        <v>13.9</v>
      </c>
      <c r="X463" s="2">
        <f t="shared" si="75"/>
        <v>0</v>
      </c>
      <c r="Y463">
        <v>348.4</v>
      </c>
      <c r="Z463" s="2" t="str">
        <f>CHOOSE(MATCH(Y463,{0;11;80;111;161;191;241;281;341},1),"North","NorthEast","East","SouthEast","South","SouthWest","West","NorthWest","North")</f>
        <v>North</v>
      </c>
      <c r="AA463" s="4">
        <f>CHOOSE(MATCH(Z463,{"South";"SouthEast";"SouthWest";"North";"NorthEast";"East";"West";"NorthWest"},0),1,2,3,4,5,6,7,8)</f>
        <v>4</v>
      </c>
      <c r="AB463" s="2">
        <f t="shared" si="76"/>
        <v>1</v>
      </c>
      <c r="AC463">
        <v>1018.7</v>
      </c>
      <c r="AD463" t="s">
        <v>88</v>
      </c>
      <c r="AE463" s="2">
        <f t="shared" si="77"/>
        <v>1</v>
      </c>
      <c r="AF463" t="s">
        <v>757</v>
      </c>
      <c r="AG463" s="2">
        <f t="shared" si="78"/>
        <v>10</v>
      </c>
      <c r="AH463" s="2">
        <f t="shared" si="79"/>
        <v>0</v>
      </c>
      <c r="AI463" s="3">
        <v>240.9999999997672</v>
      </c>
      <c r="AJ463" s="2">
        <v>0</v>
      </c>
      <c r="AK463">
        <v>0</v>
      </c>
      <c r="AL463">
        <v>10</v>
      </c>
      <c r="AM463">
        <v>0</v>
      </c>
      <c r="AN463" s="2">
        <f>IF((2*G463+M463-O463+3*V463+2*AB463+2*AE463+2*AH463+3*AJ463)&gt;=7,1,0)</f>
        <v>0</v>
      </c>
    </row>
    <row r="464" spans="1:40" x14ac:dyDescent="0.25">
      <c r="A464" t="s">
        <v>27</v>
      </c>
      <c r="B464" s="1">
        <v>38276</v>
      </c>
      <c r="C464" s="6">
        <f t="shared" si="70"/>
        <v>2004</v>
      </c>
      <c r="D464">
        <v>91.5</v>
      </c>
      <c r="E464">
        <v>64.5</v>
      </c>
      <c r="F464">
        <v>76.8</v>
      </c>
      <c r="G464" s="2">
        <f t="shared" si="71"/>
        <v>1</v>
      </c>
      <c r="H464">
        <v>88</v>
      </c>
      <c r="I464">
        <v>64.5</v>
      </c>
      <c r="J464">
        <v>76</v>
      </c>
      <c r="K464">
        <v>52.6</v>
      </c>
      <c r="L464">
        <v>46.9</v>
      </c>
      <c r="M464" s="2">
        <f t="shared" si="72"/>
        <v>1</v>
      </c>
      <c r="N464">
        <v>0</v>
      </c>
      <c r="O464" s="2">
        <f t="shared" si="73"/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s="2">
        <f t="shared" si="74"/>
        <v>0</v>
      </c>
      <c r="W464">
        <v>20.8</v>
      </c>
      <c r="X464" s="2">
        <f t="shared" si="75"/>
        <v>1</v>
      </c>
      <c r="Y464">
        <v>163.5</v>
      </c>
      <c r="Z464" s="2" t="str">
        <f>CHOOSE(MATCH(Y464,{0;11;80;111;161;191;241;281;341},1),"North","NorthEast","East","SouthEast","South","SouthWest","West","NorthWest","North")</f>
        <v>South</v>
      </c>
      <c r="AA464" s="4">
        <f>CHOOSE(MATCH(Z464,{"South";"SouthEast";"SouthWest";"North";"NorthEast";"East";"West";"NorthWest"},0),1,2,3,4,5,6,7,8)</f>
        <v>1</v>
      </c>
      <c r="AB464" s="2">
        <f t="shared" si="76"/>
        <v>0</v>
      </c>
      <c r="AC464">
        <v>1017.2</v>
      </c>
      <c r="AD464" t="s">
        <v>685</v>
      </c>
      <c r="AE464" s="2">
        <f t="shared" si="77"/>
        <v>1</v>
      </c>
      <c r="AF464" t="s">
        <v>758</v>
      </c>
      <c r="AG464" s="2">
        <f t="shared" si="78"/>
        <v>10</v>
      </c>
      <c r="AH464" s="2">
        <f t="shared" si="79"/>
        <v>0</v>
      </c>
      <c r="AI464" s="3">
        <v>255.99999999627471</v>
      </c>
      <c r="AJ464" s="2">
        <v>0</v>
      </c>
      <c r="AK464">
        <v>0</v>
      </c>
      <c r="AL464">
        <v>0</v>
      </c>
      <c r="AM464">
        <v>2</v>
      </c>
      <c r="AN464" s="2">
        <f>IF((2*G464+M464-O464+3*V464+2*AB464+2*AE464+2*AH464+3*AJ464)&gt;=7,1,0)</f>
        <v>0</v>
      </c>
    </row>
    <row r="465" spans="1:40" x14ac:dyDescent="0.25">
      <c r="A465" t="s">
        <v>27</v>
      </c>
      <c r="B465" s="1">
        <v>38276</v>
      </c>
      <c r="C465" s="6">
        <f t="shared" si="70"/>
        <v>2004</v>
      </c>
      <c r="D465">
        <v>91.5</v>
      </c>
      <c r="E465">
        <v>64.5</v>
      </c>
      <c r="F465">
        <v>76.8</v>
      </c>
      <c r="G465" s="2">
        <f t="shared" si="71"/>
        <v>1</v>
      </c>
      <c r="H465">
        <v>88</v>
      </c>
      <c r="I465">
        <v>64.5</v>
      </c>
      <c r="J465">
        <v>76</v>
      </c>
      <c r="K465">
        <v>52.6</v>
      </c>
      <c r="L465">
        <v>46.9</v>
      </c>
      <c r="M465" s="2">
        <f t="shared" si="72"/>
        <v>1</v>
      </c>
      <c r="N465">
        <v>0</v>
      </c>
      <c r="O465" s="2">
        <f t="shared" si="73"/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s="2">
        <f t="shared" si="74"/>
        <v>0</v>
      </c>
      <c r="W465">
        <v>20.8</v>
      </c>
      <c r="X465" s="2">
        <f t="shared" si="75"/>
        <v>1</v>
      </c>
      <c r="Y465">
        <v>163.5</v>
      </c>
      <c r="Z465" s="2" t="str">
        <f>CHOOSE(MATCH(Y465,{0;11;80;111;161;191;241;281;341},1),"North","NorthEast","East","SouthEast","South","SouthWest","West","NorthWest","North")</f>
        <v>South</v>
      </c>
      <c r="AA465" s="4">
        <f>CHOOSE(MATCH(Z465,{"South";"SouthEast";"SouthWest";"North";"NorthEast";"East";"West";"NorthWest"},0),1,2,3,4,5,6,7,8)</f>
        <v>1</v>
      </c>
      <c r="AB465" s="2">
        <f t="shared" si="76"/>
        <v>0</v>
      </c>
      <c r="AC465">
        <v>1017.2</v>
      </c>
      <c r="AD465" t="s">
        <v>759</v>
      </c>
      <c r="AE465" s="2">
        <f t="shared" si="77"/>
        <v>0</v>
      </c>
      <c r="AF465" t="s">
        <v>760</v>
      </c>
      <c r="AG465" s="2">
        <f t="shared" si="78"/>
        <v>10</v>
      </c>
      <c r="AH465" s="2">
        <f t="shared" si="79"/>
        <v>0</v>
      </c>
      <c r="AI465" s="3">
        <v>104.9999999965075</v>
      </c>
      <c r="AJ465" s="2">
        <v>0</v>
      </c>
      <c r="AK465">
        <v>0</v>
      </c>
      <c r="AL465">
        <v>1</v>
      </c>
      <c r="AM465">
        <v>0</v>
      </c>
      <c r="AN465" s="2">
        <f>IF((2*G465+M465-O465+3*V465+2*AB465+2*AE465+2*AH465+3*AJ465)&gt;=7,1,0)</f>
        <v>0</v>
      </c>
    </row>
    <row r="466" spans="1:40" x14ac:dyDescent="0.25">
      <c r="A466" t="s">
        <v>27</v>
      </c>
      <c r="B466" s="1">
        <v>38276</v>
      </c>
      <c r="C466" s="6">
        <f t="shared" si="70"/>
        <v>2004</v>
      </c>
      <c r="D466">
        <v>91.5</v>
      </c>
      <c r="E466">
        <v>64.5</v>
      </c>
      <c r="F466">
        <v>76.8</v>
      </c>
      <c r="G466" s="2">
        <f t="shared" si="71"/>
        <v>1</v>
      </c>
      <c r="H466">
        <v>88</v>
      </c>
      <c r="I466">
        <v>64.5</v>
      </c>
      <c r="J466">
        <v>76</v>
      </c>
      <c r="K466">
        <v>52.6</v>
      </c>
      <c r="L466">
        <v>46.9</v>
      </c>
      <c r="M466" s="2">
        <f t="shared" si="72"/>
        <v>1</v>
      </c>
      <c r="N466">
        <v>0</v>
      </c>
      <c r="O466" s="2">
        <f t="shared" si="73"/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s="2">
        <f t="shared" si="74"/>
        <v>0</v>
      </c>
      <c r="W466">
        <v>20.8</v>
      </c>
      <c r="X466" s="2">
        <f t="shared" si="75"/>
        <v>1</v>
      </c>
      <c r="Y466">
        <v>163.5</v>
      </c>
      <c r="Z466" s="2" t="str">
        <f>CHOOSE(MATCH(Y466,{0;11;80;111;161;191;241;281;341},1),"North","NorthEast","East","SouthEast","South","SouthWest","West","NorthWest","North")</f>
        <v>South</v>
      </c>
      <c r="AA466" s="4">
        <f>CHOOSE(MATCH(Z466,{"South";"SouthEast";"SouthWest";"North";"NorthEast";"East";"West";"NorthWest"},0),1,2,3,4,5,6,7,8)</f>
        <v>1</v>
      </c>
      <c r="AB466" s="2">
        <f t="shared" si="76"/>
        <v>0</v>
      </c>
      <c r="AC466">
        <v>1017.2</v>
      </c>
      <c r="AD466" t="s">
        <v>47</v>
      </c>
      <c r="AE466" s="2">
        <f t="shared" si="77"/>
        <v>1</v>
      </c>
      <c r="AF466" t="s">
        <v>761</v>
      </c>
      <c r="AG466" s="2">
        <f t="shared" si="78"/>
        <v>10</v>
      </c>
      <c r="AH466" s="2">
        <f t="shared" si="79"/>
        <v>0</v>
      </c>
      <c r="AI466" s="3">
        <v>260.9999999916181</v>
      </c>
      <c r="AJ466" s="2">
        <v>0</v>
      </c>
      <c r="AK466">
        <v>0</v>
      </c>
      <c r="AL466">
        <v>2</v>
      </c>
      <c r="AM466">
        <v>0</v>
      </c>
      <c r="AN466" s="2">
        <f>IF((2*G466+M466-O466+3*V466+2*AB466+2*AE466+2*AH466+3*AJ466)&gt;=7,1,0)</f>
        <v>0</v>
      </c>
    </row>
    <row r="467" spans="1:40" x14ac:dyDescent="0.25">
      <c r="A467" t="s">
        <v>27</v>
      </c>
      <c r="B467" s="1">
        <v>38276</v>
      </c>
      <c r="C467" s="6">
        <f t="shared" si="70"/>
        <v>2004</v>
      </c>
      <c r="D467">
        <v>91.5</v>
      </c>
      <c r="E467">
        <v>64.5</v>
      </c>
      <c r="F467">
        <v>76.8</v>
      </c>
      <c r="G467" s="2">
        <f t="shared" si="71"/>
        <v>1</v>
      </c>
      <c r="H467">
        <v>88</v>
      </c>
      <c r="I467">
        <v>64.5</v>
      </c>
      <c r="J467">
        <v>76</v>
      </c>
      <c r="K467">
        <v>52.6</v>
      </c>
      <c r="L467">
        <v>46.9</v>
      </c>
      <c r="M467" s="2">
        <f t="shared" si="72"/>
        <v>1</v>
      </c>
      <c r="N467">
        <v>0</v>
      </c>
      <c r="O467" s="2">
        <f t="shared" si="73"/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s="2">
        <f t="shared" si="74"/>
        <v>0</v>
      </c>
      <c r="W467">
        <v>20.8</v>
      </c>
      <c r="X467" s="2">
        <f t="shared" si="75"/>
        <v>1</v>
      </c>
      <c r="Y467">
        <v>163.5</v>
      </c>
      <c r="Z467" s="2" t="str">
        <f>CHOOSE(MATCH(Y467,{0;11;80;111;161;191;241;281;341},1),"North","NorthEast","East","SouthEast","South","SouthWest","West","NorthWest","North")</f>
        <v>South</v>
      </c>
      <c r="AA467" s="4">
        <f>CHOOSE(MATCH(Z467,{"South";"SouthEast";"SouthWest";"North";"NorthEast";"East";"West";"NorthWest"},0),1,2,3,4,5,6,7,8)</f>
        <v>1</v>
      </c>
      <c r="AB467" s="2">
        <f t="shared" si="76"/>
        <v>0</v>
      </c>
      <c r="AC467">
        <v>1017.2</v>
      </c>
      <c r="AD467" t="s">
        <v>162</v>
      </c>
      <c r="AE467" s="2">
        <f t="shared" si="77"/>
        <v>1</v>
      </c>
      <c r="AF467" t="s">
        <v>762</v>
      </c>
      <c r="AG467" s="2">
        <f t="shared" si="78"/>
        <v>10</v>
      </c>
      <c r="AH467" s="2">
        <f t="shared" si="79"/>
        <v>0</v>
      </c>
      <c r="AI467" s="3">
        <v>132.99999999348071</v>
      </c>
      <c r="AJ467" s="2">
        <v>0</v>
      </c>
      <c r="AK467">
        <v>0</v>
      </c>
      <c r="AL467">
        <v>4</v>
      </c>
      <c r="AM467">
        <v>0</v>
      </c>
      <c r="AN467" s="2">
        <f>IF((2*G467+M467-O467+3*V467+2*AB467+2*AE467+2*AH467+3*AJ467)&gt;=7,1,0)</f>
        <v>0</v>
      </c>
    </row>
    <row r="468" spans="1:40" x14ac:dyDescent="0.25">
      <c r="A468" t="s">
        <v>27</v>
      </c>
      <c r="B468" s="1">
        <v>38276</v>
      </c>
      <c r="C468" s="6">
        <f t="shared" si="70"/>
        <v>2004</v>
      </c>
      <c r="D468">
        <v>91.5</v>
      </c>
      <c r="E468">
        <v>64.5</v>
      </c>
      <c r="F468">
        <v>76.8</v>
      </c>
      <c r="G468" s="2">
        <f t="shared" si="71"/>
        <v>1</v>
      </c>
      <c r="H468">
        <v>88</v>
      </c>
      <c r="I468">
        <v>64.5</v>
      </c>
      <c r="J468">
        <v>76</v>
      </c>
      <c r="K468">
        <v>52.6</v>
      </c>
      <c r="L468">
        <v>46.9</v>
      </c>
      <c r="M468" s="2">
        <f t="shared" si="72"/>
        <v>1</v>
      </c>
      <c r="N468">
        <v>0</v>
      </c>
      <c r="O468" s="2">
        <f t="shared" si="73"/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s="2">
        <f t="shared" si="74"/>
        <v>0</v>
      </c>
      <c r="W468">
        <v>20.8</v>
      </c>
      <c r="X468" s="2">
        <f t="shared" si="75"/>
        <v>1</v>
      </c>
      <c r="Y468">
        <v>163.5</v>
      </c>
      <c r="Z468" s="2" t="str">
        <f>CHOOSE(MATCH(Y468,{0;11;80;111;161;191;241;281;341},1),"North","NorthEast","East","SouthEast","South","SouthWest","West","NorthWest","North")</f>
        <v>South</v>
      </c>
      <c r="AA468" s="4">
        <f>CHOOSE(MATCH(Z468,{"South";"SouthEast";"SouthWest";"North";"NorthEast";"East";"West";"NorthWest"},0),1,2,3,4,5,6,7,8)</f>
        <v>1</v>
      </c>
      <c r="AB468" s="2">
        <f t="shared" si="76"/>
        <v>0</v>
      </c>
      <c r="AC468">
        <v>1017.2</v>
      </c>
      <c r="AD468" t="s">
        <v>278</v>
      </c>
      <c r="AE468" s="2">
        <f t="shared" si="77"/>
        <v>1</v>
      </c>
      <c r="AF468" t="s">
        <v>763</v>
      </c>
      <c r="AG468" s="2">
        <f t="shared" si="78"/>
        <v>10</v>
      </c>
      <c r="AH468" s="2">
        <f t="shared" si="79"/>
        <v>0</v>
      </c>
      <c r="AI468" s="3">
        <v>92.999999999301508</v>
      </c>
      <c r="AJ468" s="2">
        <v>0</v>
      </c>
      <c r="AK468">
        <v>0</v>
      </c>
      <c r="AL468">
        <v>1.5</v>
      </c>
      <c r="AM468">
        <v>0</v>
      </c>
      <c r="AN468" s="2">
        <f>IF((2*G468+M468-O468+3*V468+2*AB468+2*AE468+2*AH468+3*AJ468)&gt;=7,1,0)</f>
        <v>0</v>
      </c>
    </row>
    <row r="469" spans="1:40" x14ac:dyDescent="0.25">
      <c r="A469" t="s">
        <v>27</v>
      </c>
      <c r="B469" s="1">
        <v>38277</v>
      </c>
      <c r="C469" s="6">
        <f t="shared" si="70"/>
        <v>2004</v>
      </c>
      <c r="D469">
        <v>89.7</v>
      </c>
      <c r="E469">
        <v>75.3</v>
      </c>
      <c r="F469">
        <v>81.5</v>
      </c>
      <c r="G469" s="2">
        <f t="shared" si="71"/>
        <v>1</v>
      </c>
      <c r="H469">
        <v>86</v>
      </c>
      <c r="I469">
        <v>75.3</v>
      </c>
      <c r="J469">
        <v>80</v>
      </c>
      <c r="K469">
        <v>45.2</v>
      </c>
      <c r="L469">
        <v>28.9</v>
      </c>
      <c r="M469" s="2">
        <f t="shared" si="72"/>
        <v>1</v>
      </c>
      <c r="N469">
        <v>0</v>
      </c>
      <c r="O469" s="2">
        <f t="shared" si="73"/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s="2">
        <f t="shared" si="74"/>
        <v>0</v>
      </c>
      <c r="W469">
        <v>24.2</v>
      </c>
      <c r="X469" s="2">
        <f t="shared" si="75"/>
        <v>1</v>
      </c>
      <c r="Y469">
        <v>164.9</v>
      </c>
      <c r="Z469" s="2" t="str">
        <f>CHOOSE(MATCH(Y469,{0;11;80;111;161;191;241;281;341},1),"North","NorthEast","East","SouthEast","South","SouthWest","West","NorthWest","North")</f>
        <v>South</v>
      </c>
      <c r="AA469" s="4">
        <f>CHOOSE(MATCH(Z469,{"South";"SouthEast";"SouthWest";"North";"NorthEast";"East";"West";"NorthWest"},0),1,2,3,4,5,6,7,8)</f>
        <v>1</v>
      </c>
      <c r="AB469" s="2">
        <f t="shared" si="76"/>
        <v>0</v>
      </c>
      <c r="AC469">
        <v>1015.7</v>
      </c>
      <c r="AD469" t="s">
        <v>185</v>
      </c>
      <c r="AE469" s="2">
        <f t="shared" si="77"/>
        <v>1</v>
      </c>
      <c r="AF469" t="s">
        <v>764</v>
      </c>
      <c r="AG469" s="2">
        <f t="shared" si="78"/>
        <v>10</v>
      </c>
      <c r="AH469" s="2">
        <f t="shared" si="79"/>
        <v>0</v>
      </c>
      <c r="AI469" s="3">
        <v>500.99999999860302</v>
      </c>
      <c r="AJ469" s="2">
        <v>1</v>
      </c>
      <c r="AK469">
        <v>3</v>
      </c>
      <c r="AL469">
        <v>0</v>
      </c>
      <c r="AM469">
        <v>0</v>
      </c>
      <c r="AN469" s="2">
        <f>IF((2*G469+M469-O469+3*V469+2*AB469+2*AE469+2*AH469+3*AJ469)&gt;=7,1,0)</f>
        <v>1</v>
      </c>
    </row>
    <row r="470" spans="1:40" x14ac:dyDescent="0.25">
      <c r="A470" t="s">
        <v>27</v>
      </c>
      <c r="B470" s="1">
        <v>38277</v>
      </c>
      <c r="C470" s="6">
        <f t="shared" si="70"/>
        <v>2004</v>
      </c>
      <c r="D470">
        <v>89.7</v>
      </c>
      <c r="E470">
        <v>75.3</v>
      </c>
      <c r="F470">
        <v>81.5</v>
      </c>
      <c r="G470" s="2">
        <f t="shared" si="71"/>
        <v>1</v>
      </c>
      <c r="H470">
        <v>86</v>
      </c>
      <c r="I470">
        <v>75.3</v>
      </c>
      <c r="J470">
        <v>80</v>
      </c>
      <c r="K470">
        <v>45.2</v>
      </c>
      <c r="L470">
        <v>28.9</v>
      </c>
      <c r="M470" s="2">
        <f t="shared" si="72"/>
        <v>1</v>
      </c>
      <c r="N470">
        <v>0</v>
      </c>
      <c r="O470" s="2">
        <f t="shared" si="73"/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s="2">
        <f t="shared" si="74"/>
        <v>0</v>
      </c>
      <c r="W470">
        <v>24.2</v>
      </c>
      <c r="X470" s="2">
        <f t="shared" si="75"/>
        <v>1</v>
      </c>
      <c r="Y470">
        <v>164.9</v>
      </c>
      <c r="Z470" s="2" t="str">
        <f>CHOOSE(MATCH(Y470,{0;11;80;111;161;191;241;281;341},1),"North","NorthEast","East","SouthEast","South","SouthWest","West","NorthWest","North")</f>
        <v>South</v>
      </c>
      <c r="AA470" s="4">
        <f>CHOOSE(MATCH(Z470,{"South";"SouthEast";"SouthWest";"North";"NorthEast";"East";"West";"NorthWest"},0),1,2,3,4,5,6,7,8)</f>
        <v>1</v>
      </c>
      <c r="AB470" s="2">
        <f t="shared" si="76"/>
        <v>0</v>
      </c>
      <c r="AC470">
        <v>1015.7</v>
      </c>
      <c r="AD470" t="s">
        <v>116</v>
      </c>
      <c r="AE470" s="2">
        <f t="shared" si="77"/>
        <v>1</v>
      </c>
      <c r="AF470" t="s">
        <v>765</v>
      </c>
      <c r="AG470" s="2">
        <f t="shared" si="78"/>
        <v>10</v>
      </c>
      <c r="AH470" s="2">
        <f t="shared" si="79"/>
        <v>0</v>
      </c>
      <c r="AI470" s="3">
        <v>1291.0000000067521</v>
      </c>
      <c r="AJ470" s="2">
        <v>1</v>
      </c>
      <c r="AK470">
        <v>0</v>
      </c>
      <c r="AL470">
        <v>70</v>
      </c>
      <c r="AM470">
        <v>0</v>
      </c>
      <c r="AN470" s="2">
        <f>IF((2*G470+M470-O470+3*V470+2*AB470+2*AE470+2*AH470+3*AJ470)&gt;=7,1,0)</f>
        <v>1</v>
      </c>
    </row>
    <row r="471" spans="1:40" x14ac:dyDescent="0.25">
      <c r="A471" t="s">
        <v>27</v>
      </c>
      <c r="B471" s="1">
        <v>38278</v>
      </c>
      <c r="C471" s="6">
        <f t="shared" si="70"/>
        <v>2004</v>
      </c>
      <c r="D471">
        <v>80.7</v>
      </c>
      <c r="E471">
        <v>68.099999999999994</v>
      </c>
      <c r="F471">
        <v>76.7</v>
      </c>
      <c r="G471" s="2">
        <f t="shared" si="71"/>
        <v>1</v>
      </c>
      <c r="H471">
        <v>81.900000000000006</v>
      </c>
      <c r="I471">
        <v>68.099999999999994</v>
      </c>
      <c r="J471">
        <v>76.7</v>
      </c>
      <c r="K471">
        <v>54.3</v>
      </c>
      <c r="L471">
        <v>51.1</v>
      </c>
      <c r="M471" s="2">
        <f t="shared" si="72"/>
        <v>1</v>
      </c>
      <c r="N471">
        <v>0</v>
      </c>
      <c r="O471" s="2">
        <f t="shared" si="73"/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s="2">
        <f t="shared" si="74"/>
        <v>0</v>
      </c>
      <c r="W471">
        <v>23</v>
      </c>
      <c r="X471" s="2">
        <f t="shared" si="75"/>
        <v>1</v>
      </c>
      <c r="Y471">
        <v>140.4</v>
      </c>
      <c r="Z471" s="2" t="str">
        <f>CHOOSE(MATCH(Y471,{0;11;80;111;161;191;241;281;341},1),"North","NorthEast","East","SouthEast","South","SouthWest","West","NorthWest","North")</f>
        <v>SouthEast</v>
      </c>
      <c r="AA471" s="4">
        <f>CHOOSE(MATCH(Z471,{"South";"SouthEast";"SouthWest";"North";"NorthEast";"East";"West";"NorthWest"},0),1,2,3,4,5,6,7,8)</f>
        <v>2</v>
      </c>
      <c r="AB471" s="2">
        <f t="shared" si="76"/>
        <v>0</v>
      </c>
      <c r="AC471">
        <v>1017.8</v>
      </c>
      <c r="AD471" t="s">
        <v>215</v>
      </c>
      <c r="AE471" s="2">
        <f t="shared" si="77"/>
        <v>1</v>
      </c>
      <c r="AF471" t="s">
        <v>766</v>
      </c>
      <c r="AG471" s="2">
        <f t="shared" si="78"/>
        <v>10</v>
      </c>
      <c r="AH471" s="2">
        <f t="shared" si="79"/>
        <v>0</v>
      </c>
      <c r="AI471" s="3">
        <v>351.00000000209548</v>
      </c>
      <c r="AJ471" s="2">
        <v>0</v>
      </c>
      <c r="AK471">
        <v>0</v>
      </c>
      <c r="AL471">
        <v>5</v>
      </c>
      <c r="AM471">
        <v>0</v>
      </c>
      <c r="AN471" s="2">
        <f>IF((2*G471+M471-O471+3*V471+2*AB471+2*AE471+2*AH471+3*AJ471)&gt;=7,1,0)</f>
        <v>0</v>
      </c>
    </row>
    <row r="472" spans="1:40" x14ac:dyDescent="0.25">
      <c r="A472" t="s">
        <v>27</v>
      </c>
      <c r="B472" s="1">
        <v>38278</v>
      </c>
      <c r="C472" s="6">
        <f t="shared" si="70"/>
        <v>2004</v>
      </c>
      <c r="D472">
        <v>80.7</v>
      </c>
      <c r="E472">
        <v>68.099999999999994</v>
      </c>
      <c r="F472">
        <v>76.7</v>
      </c>
      <c r="G472" s="2">
        <f t="shared" si="71"/>
        <v>1</v>
      </c>
      <c r="H472">
        <v>81.900000000000006</v>
      </c>
      <c r="I472">
        <v>68.099999999999994</v>
      </c>
      <c r="J472">
        <v>76.7</v>
      </c>
      <c r="K472">
        <v>54.3</v>
      </c>
      <c r="L472">
        <v>51.1</v>
      </c>
      <c r="M472" s="2">
        <f t="shared" si="72"/>
        <v>1</v>
      </c>
      <c r="N472">
        <v>0</v>
      </c>
      <c r="O472" s="2">
        <f t="shared" si="73"/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s="2">
        <f t="shared" si="74"/>
        <v>0</v>
      </c>
      <c r="W472">
        <v>23</v>
      </c>
      <c r="X472" s="2">
        <f t="shared" si="75"/>
        <v>1</v>
      </c>
      <c r="Y472">
        <v>140.4</v>
      </c>
      <c r="Z472" s="2" t="str">
        <f>CHOOSE(MATCH(Y472,{0;11;80;111;161;191;241;281;341},1),"North","NorthEast","East","SouthEast","South","SouthWest","West","NorthWest","North")</f>
        <v>SouthEast</v>
      </c>
      <c r="AA472" s="4">
        <f>CHOOSE(MATCH(Z472,{"South";"SouthEast";"SouthWest";"North";"NorthEast";"East";"West";"NorthWest"},0),1,2,3,4,5,6,7,8)</f>
        <v>2</v>
      </c>
      <c r="AB472" s="2">
        <f t="shared" si="76"/>
        <v>0</v>
      </c>
      <c r="AC472">
        <v>1017.8</v>
      </c>
      <c r="AD472" t="s">
        <v>47</v>
      </c>
      <c r="AE472" s="2">
        <f t="shared" si="77"/>
        <v>1</v>
      </c>
      <c r="AF472" t="s">
        <v>767</v>
      </c>
      <c r="AG472" s="2">
        <f t="shared" si="78"/>
        <v>10</v>
      </c>
      <c r="AH472" s="2">
        <f t="shared" si="79"/>
        <v>0</v>
      </c>
      <c r="AI472" s="3">
        <v>380.99999999511061</v>
      </c>
      <c r="AJ472" s="2">
        <v>1</v>
      </c>
      <c r="AK472">
        <v>0</v>
      </c>
      <c r="AL472">
        <v>20</v>
      </c>
      <c r="AM472">
        <v>0</v>
      </c>
      <c r="AN472" s="2">
        <f>IF((2*G472+M472-O472+3*V472+2*AB472+2*AE472+2*AH472+3*AJ472)&gt;=7,1,0)</f>
        <v>1</v>
      </c>
    </row>
    <row r="473" spans="1:40" x14ac:dyDescent="0.25">
      <c r="A473" t="s">
        <v>27</v>
      </c>
      <c r="B473" s="1">
        <v>38279</v>
      </c>
      <c r="C473" s="6">
        <f t="shared" si="70"/>
        <v>2004</v>
      </c>
      <c r="D473">
        <v>80.7</v>
      </c>
      <c r="E473">
        <v>64.5</v>
      </c>
      <c r="F473">
        <v>72.2</v>
      </c>
      <c r="G473" s="2">
        <f t="shared" si="71"/>
        <v>1</v>
      </c>
      <c r="H473">
        <v>80.400000000000006</v>
      </c>
      <c r="I473">
        <v>64.5</v>
      </c>
      <c r="J473">
        <v>72.2</v>
      </c>
      <c r="K473">
        <v>59</v>
      </c>
      <c r="L473">
        <v>65.2</v>
      </c>
      <c r="M473" s="2">
        <f t="shared" si="72"/>
        <v>1</v>
      </c>
      <c r="N473">
        <v>0</v>
      </c>
      <c r="O473" s="2">
        <f t="shared" si="73"/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s="2">
        <f t="shared" si="74"/>
        <v>0</v>
      </c>
      <c r="W473">
        <v>9.1999999999999993</v>
      </c>
      <c r="X473" s="2">
        <f t="shared" si="75"/>
        <v>0</v>
      </c>
      <c r="Y473">
        <v>185.7</v>
      </c>
      <c r="Z473" s="2" t="str">
        <f>CHOOSE(MATCH(Y473,{0;11;80;111;161;191;241;281;341},1),"North","NorthEast","East","SouthEast","South","SouthWest","West","NorthWest","North")</f>
        <v>South</v>
      </c>
      <c r="AA473" s="4">
        <f>CHOOSE(MATCH(Z473,{"South";"SouthEast";"SouthWest";"North";"NorthEast";"East";"West";"NorthWest"},0),1,2,3,4,5,6,7,8)</f>
        <v>1</v>
      </c>
      <c r="AB473" s="2">
        <f t="shared" si="76"/>
        <v>0</v>
      </c>
      <c r="AC473">
        <v>1018.2</v>
      </c>
      <c r="AD473" t="s">
        <v>745</v>
      </c>
      <c r="AE473" s="2">
        <f t="shared" si="77"/>
        <v>1</v>
      </c>
      <c r="AF473" t="s">
        <v>768</v>
      </c>
      <c r="AG473" s="2">
        <f t="shared" si="78"/>
        <v>10</v>
      </c>
      <c r="AH473" s="2">
        <f t="shared" si="79"/>
        <v>0</v>
      </c>
      <c r="AI473" s="3">
        <v>150.00000000698489</v>
      </c>
      <c r="AJ473" s="2">
        <v>0</v>
      </c>
      <c r="AK473">
        <v>10</v>
      </c>
      <c r="AL473">
        <v>0</v>
      </c>
      <c r="AM473">
        <v>0</v>
      </c>
      <c r="AN473" s="2">
        <f>IF((2*G473+M473-O473+3*V473+2*AB473+2*AE473+2*AH473+3*AJ473)&gt;=7,1,0)</f>
        <v>0</v>
      </c>
    </row>
    <row r="474" spans="1:40" x14ac:dyDescent="0.25">
      <c r="A474" t="s">
        <v>27</v>
      </c>
      <c r="B474" s="1">
        <v>38280</v>
      </c>
      <c r="C474" s="6">
        <f t="shared" si="70"/>
        <v>2004</v>
      </c>
      <c r="D474">
        <v>78.900000000000006</v>
      </c>
      <c r="E474">
        <v>64.5</v>
      </c>
      <c r="F474">
        <v>70.3</v>
      </c>
      <c r="G474" s="2">
        <f t="shared" si="71"/>
        <v>1</v>
      </c>
      <c r="H474">
        <v>78.900000000000006</v>
      </c>
      <c r="I474">
        <v>64.5</v>
      </c>
      <c r="J474">
        <v>70.3</v>
      </c>
      <c r="K474">
        <v>53.5</v>
      </c>
      <c r="L474">
        <v>56.8</v>
      </c>
      <c r="M474" s="2">
        <f t="shared" si="72"/>
        <v>1</v>
      </c>
      <c r="N474">
        <v>0</v>
      </c>
      <c r="O474" s="2">
        <f t="shared" si="73"/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s="2">
        <f t="shared" si="74"/>
        <v>0</v>
      </c>
      <c r="W474">
        <v>10.3</v>
      </c>
      <c r="X474" s="2">
        <f t="shared" si="75"/>
        <v>0</v>
      </c>
      <c r="Y474">
        <v>146.5</v>
      </c>
      <c r="Z474" s="2" t="str">
        <f>CHOOSE(MATCH(Y474,{0;11;80;111;161;191;241;281;341},1),"North","NorthEast","East","SouthEast","South","SouthWest","West","NorthWest","North")</f>
        <v>SouthEast</v>
      </c>
      <c r="AA474" s="4">
        <f>CHOOSE(MATCH(Z474,{"South";"SouthEast";"SouthWest";"North";"NorthEast";"East";"West";"NorthWest"},0),1,2,3,4,5,6,7,8)</f>
        <v>2</v>
      </c>
      <c r="AB474" s="2">
        <f t="shared" si="76"/>
        <v>0</v>
      </c>
      <c r="AC474">
        <v>1014.5</v>
      </c>
      <c r="AD474" t="s">
        <v>769</v>
      </c>
      <c r="AE474" s="2">
        <f t="shared" si="77"/>
        <v>1</v>
      </c>
      <c r="AF474" t="s">
        <v>770</v>
      </c>
      <c r="AG474" s="2">
        <f t="shared" si="78"/>
        <v>10</v>
      </c>
      <c r="AH474" s="2">
        <f t="shared" si="79"/>
        <v>0</v>
      </c>
      <c r="AI474" s="3">
        <v>130.99999999743889</v>
      </c>
      <c r="AJ474" s="2">
        <v>0</v>
      </c>
      <c r="AK474">
        <v>0</v>
      </c>
      <c r="AL474">
        <v>3</v>
      </c>
      <c r="AM474">
        <v>0</v>
      </c>
      <c r="AN474" s="2">
        <f>IF((2*G474+M474-O474+3*V474+2*AB474+2*AE474+2*AH474+3*AJ474)&gt;=7,1,0)</f>
        <v>0</v>
      </c>
    </row>
    <row r="475" spans="1:40" x14ac:dyDescent="0.25">
      <c r="A475" t="s">
        <v>27</v>
      </c>
      <c r="B475" s="1">
        <v>38283</v>
      </c>
      <c r="C475" s="6">
        <f t="shared" si="70"/>
        <v>2004</v>
      </c>
      <c r="D475">
        <v>77.099999999999994</v>
      </c>
      <c r="E475">
        <v>66.3</v>
      </c>
      <c r="F475">
        <v>71.599999999999994</v>
      </c>
      <c r="G475" s="2">
        <f t="shared" si="71"/>
        <v>1</v>
      </c>
      <c r="H475">
        <v>77.099999999999994</v>
      </c>
      <c r="I475">
        <v>66.3</v>
      </c>
      <c r="J475">
        <v>71.599999999999994</v>
      </c>
      <c r="K475">
        <v>62</v>
      </c>
      <c r="L475">
        <v>72.3</v>
      </c>
      <c r="M475" s="2">
        <f t="shared" si="72"/>
        <v>0</v>
      </c>
      <c r="N475">
        <v>0</v>
      </c>
      <c r="O475" s="2">
        <f t="shared" si="73"/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s="2">
        <f t="shared" si="74"/>
        <v>0</v>
      </c>
      <c r="W475">
        <v>15</v>
      </c>
      <c r="X475" s="2">
        <f t="shared" si="75"/>
        <v>0</v>
      </c>
      <c r="Y475">
        <v>300.3</v>
      </c>
      <c r="Z475" s="2" t="str">
        <f>CHOOSE(MATCH(Y475,{0;11;80;111;161;191;241;281;341},1),"North","NorthEast","East","SouthEast","South","SouthWest","West","NorthWest","North")</f>
        <v>NorthWest</v>
      </c>
      <c r="AA475" s="4">
        <f>CHOOSE(MATCH(Z475,{"South";"SouthEast";"SouthWest";"North";"NorthEast";"East";"West";"NorthWest"},0),1,2,3,4,5,6,7,8)</f>
        <v>8</v>
      </c>
      <c r="AB475" s="2">
        <f t="shared" si="76"/>
        <v>1</v>
      </c>
      <c r="AC475">
        <v>1018.8</v>
      </c>
      <c r="AD475" t="s">
        <v>380</v>
      </c>
      <c r="AE475" s="2">
        <f t="shared" si="77"/>
        <v>0</v>
      </c>
      <c r="AF475" t="s">
        <v>771</v>
      </c>
      <c r="AG475" s="2">
        <f t="shared" si="78"/>
        <v>10</v>
      </c>
      <c r="AH475" s="2">
        <f t="shared" si="79"/>
        <v>0</v>
      </c>
      <c r="AI475" s="3">
        <v>251.00000000093129</v>
      </c>
      <c r="AJ475" s="2">
        <v>0</v>
      </c>
      <c r="AK475">
        <v>0</v>
      </c>
      <c r="AL475">
        <v>5</v>
      </c>
      <c r="AM475">
        <v>0</v>
      </c>
      <c r="AN475" s="2">
        <f>IF((2*G475+M475-O475+3*V475+2*AB475+2*AE475+2*AH475+3*AJ475)&gt;=7,1,0)</f>
        <v>0</v>
      </c>
    </row>
    <row r="476" spans="1:40" x14ac:dyDescent="0.25">
      <c r="A476" t="s">
        <v>27</v>
      </c>
      <c r="B476" s="1">
        <v>38291</v>
      </c>
      <c r="C476" s="6">
        <f t="shared" si="70"/>
        <v>2004</v>
      </c>
      <c r="D476">
        <v>75.3</v>
      </c>
      <c r="E476">
        <v>60.9</v>
      </c>
      <c r="F476">
        <v>67.400000000000006</v>
      </c>
      <c r="G476" s="2">
        <f t="shared" si="71"/>
        <v>0</v>
      </c>
      <c r="H476">
        <v>75.3</v>
      </c>
      <c r="I476">
        <v>60.9</v>
      </c>
      <c r="J476">
        <v>67.400000000000006</v>
      </c>
      <c r="K476">
        <v>61.5</v>
      </c>
      <c r="L476">
        <v>82.1</v>
      </c>
      <c r="M476" s="2">
        <f t="shared" si="72"/>
        <v>0</v>
      </c>
      <c r="N476">
        <v>0</v>
      </c>
      <c r="O476" s="2">
        <f t="shared" si="73"/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s="2">
        <f t="shared" si="74"/>
        <v>0</v>
      </c>
      <c r="W476">
        <v>8.1</v>
      </c>
      <c r="X476" s="2">
        <f t="shared" si="75"/>
        <v>0</v>
      </c>
      <c r="Y476">
        <v>142.80000000000001</v>
      </c>
      <c r="Z476" s="2" t="str">
        <f>CHOOSE(MATCH(Y476,{0;11;80;111;161;191;241;281;341},1),"North","NorthEast","East","SouthEast","South","SouthWest","West","NorthWest","North")</f>
        <v>SouthEast</v>
      </c>
      <c r="AA476" s="4">
        <f>CHOOSE(MATCH(Z476,{"South";"SouthEast";"SouthWest";"North";"NorthEast";"East";"West";"NorthWest"},0),1,2,3,4,5,6,7,8)</f>
        <v>2</v>
      </c>
      <c r="AB476" s="2">
        <f t="shared" si="76"/>
        <v>0</v>
      </c>
      <c r="AC476">
        <v>1017.5</v>
      </c>
      <c r="AD476" t="s">
        <v>772</v>
      </c>
      <c r="AE476" s="2">
        <f t="shared" si="77"/>
        <v>1</v>
      </c>
      <c r="AF476" t="s">
        <v>773</v>
      </c>
      <c r="AG476" s="2">
        <f t="shared" si="78"/>
        <v>10</v>
      </c>
      <c r="AH476" s="2">
        <f t="shared" si="79"/>
        <v>0</v>
      </c>
      <c r="AI476" s="3">
        <v>345.00000000349252</v>
      </c>
      <c r="AJ476" s="2">
        <v>0</v>
      </c>
      <c r="AK476">
        <v>0</v>
      </c>
      <c r="AL476">
        <v>0.5</v>
      </c>
      <c r="AM476">
        <v>0</v>
      </c>
      <c r="AN476" s="2">
        <f>IF((2*G476+M476-O476+3*V476+2*AB476+2*AE476+2*AH476+3*AJ476)&gt;=7,1,0)</f>
        <v>0</v>
      </c>
    </row>
    <row r="477" spans="1:40" x14ac:dyDescent="0.25">
      <c r="A477" t="s">
        <v>27</v>
      </c>
      <c r="B477" s="1">
        <v>38296</v>
      </c>
      <c r="C477" s="6">
        <f t="shared" si="70"/>
        <v>2004</v>
      </c>
      <c r="D477">
        <v>71.7</v>
      </c>
      <c r="E477">
        <v>60.9</v>
      </c>
      <c r="F477">
        <v>67.8</v>
      </c>
      <c r="G477" s="2">
        <f t="shared" si="71"/>
        <v>0</v>
      </c>
      <c r="H477">
        <v>71.7</v>
      </c>
      <c r="I477">
        <v>60.9</v>
      </c>
      <c r="J477">
        <v>67.8</v>
      </c>
      <c r="K477">
        <v>60</v>
      </c>
      <c r="L477">
        <v>76.8</v>
      </c>
      <c r="M477" s="2">
        <f t="shared" si="72"/>
        <v>0</v>
      </c>
      <c r="N477">
        <v>0.39</v>
      </c>
      <c r="O477" s="2">
        <f t="shared" si="73"/>
        <v>0</v>
      </c>
      <c r="P477">
        <v>100</v>
      </c>
      <c r="Q477">
        <v>4.17</v>
      </c>
      <c r="R477" t="s">
        <v>182</v>
      </c>
      <c r="S477">
        <v>0</v>
      </c>
      <c r="T477">
        <v>0</v>
      </c>
      <c r="U477">
        <v>0</v>
      </c>
      <c r="V477" s="2">
        <f t="shared" si="74"/>
        <v>0</v>
      </c>
      <c r="W477">
        <v>20.8</v>
      </c>
      <c r="X477" s="2">
        <f t="shared" si="75"/>
        <v>1</v>
      </c>
      <c r="Y477">
        <v>34.200000000000003</v>
      </c>
      <c r="Z477" s="2" t="str">
        <f>CHOOSE(MATCH(Y477,{0;11;80;111;161;191;241;281;341},1),"North","NorthEast","East","SouthEast","South","SouthWest","West","NorthWest","North")</f>
        <v>NorthEast</v>
      </c>
      <c r="AA477" s="4">
        <f>CHOOSE(MATCH(Z477,{"South";"SouthEast";"SouthWest";"North";"NorthEast";"East";"West";"NorthWest"},0),1,2,3,4,5,6,7,8)</f>
        <v>5</v>
      </c>
      <c r="AB477" s="2">
        <f t="shared" si="76"/>
        <v>1</v>
      </c>
      <c r="AC477">
        <v>1015.4</v>
      </c>
      <c r="AD477" t="s">
        <v>631</v>
      </c>
      <c r="AE477" s="2">
        <f t="shared" si="77"/>
        <v>1</v>
      </c>
      <c r="AF477" t="s">
        <v>774</v>
      </c>
      <c r="AG477" s="2">
        <f t="shared" si="78"/>
        <v>11</v>
      </c>
      <c r="AH477" s="2">
        <f t="shared" si="79"/>
        <v>0</v>
      </c>
      <c r="AI477" s="3">
        <v>59.99999999650754</v>
      </c>
      <c r="AJ477" s="2">
        <v>0</v>
      </c>
      <c r="AK477">
        <v>0</v>
      </c>
      <c r="AL477">
        <v>2</v>
      </c>
      <c r="AM477">
        <v>0</v>
      </c>
      <c r="AN477" s="2">
        <f>IF((2*G477+M477-O477+3*V477+2*AB477+2*AE477+2*AH477+3*AJ477)&gt;=7,1,0)</f>
        <v>0</v>
      </c>
    </row>
    <row r="478" spans="1:40" x14ac:dyDescent="0.25">
      <c r="A478" t="s">
        <v>27</v>
      </c>
      <c r="B478" s="1">
        <v>38305</v>
      </c>
      <c r="C478" s="6">
        <f t="shared" si="70"/>
        <v>2004</v>
      </c>
      <c r="D478">
        <v>80.7</v>
      </c>
      <c r="E478">
        <v>71.7</v>
      </c>
      <c r="F478">
        <v>75.7</v>
      </c>
      <c r="G478" s="2">
        <f t="shared" si="71"/>
        <v>1</v>
      </c>
      <c r="H478">
        <v>80.900000000000006</v>
      </c>
      <c r="I478">
        <v>71.7</v>
      </c>
      <c r="J478">
        <v>75.7</v>
      </c>
      <c r="K478">
        <v>57.5</v>
      </c>
      <c r="L478">
        <v>53.7</v>
      </c>
      <c r="M478" s="2">
        <f t="shared" si="72"/>
        <v>1</v>
      </c>
      <c r="N478">
        <v>0</v>
      </c>
      <c r="O478" s="2">
        <f t="shared" si="73"/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s="2">
        <f t="shared" si="74"/>
        <v>0</v>
      </c>
      <c r="W478">
        <v>36.9</v>
      </c>
      <c r="X478" s="2">
        <f t="shared" si="75"/>
        <v>1</v>
      </c>
      <c r="Y478">
        <v>159.30000000000001</v>
      </c>
      <c r="Z478" s="2" t="str">
        <f>CHOOSE(MATCH(Y478,{0;11;80;111;161;191;241;281;341},1),"North","NorthEast","East","SouthEast","South","SouthWest","West","NorthWest","North")</f>
        <v>SouthEast</v>
      </c>
      <c r="AA478" s="4">
        <f>CHOOSE(MATCH(Z478,{"South";"SouthEast";"SouthWest";"North";"NorthEast";"East";"West";"NorthWest"},0),1,2,3,4,5,6,7,8)</f>
        <v>2</v>
      </c>
      <c r="AB478" s="2">
        <f t="shared" si="76"/>
        <v>0</v>
      </c>
      <c r="AC478">
        <v>1008.7</v>
      </c>
      <c r="AD478" t="s">
        <v>775</v>
      </c>
      <c r="AE478" s="2">
        <f t="shared" si="77"/>
        <v>0</v>
      </c>
      <c r="AF478" t="s">
        <v>776</v>
      </c>
      <c r="AG478" s="2">
        <f t="shared" si="78"/>
        <v>11</v>
      </c>
      <c r="AH478" s="2">
        <f t="shared" si="79"/>
        <v>0</v>
      </c>
      <c r="AI478" s="3">
        <v>214.99999999883579</v>
      </c>
      <c r="AJ478" s="2">
        <v>0</v>
      </c>
      <c r="AK478">
        <v>0</v>
      </c>
      <c r="AL478">
        <v>1</v>
      </c>
      <c r="AM478">
        <v>0</v>
      </c>
      <c r="AN478" s="2">
        <f>IF((2*G478+M478-O478+3*V478+2*AB478+2*AE478+2*AH478+3*AJ478)&gt;=7,1,0)</f>
        <v>0</v>
      </c>
    </row>
    <row r="479" spans="1:40" x14ac:dyDescent="0.25">
      <c r="A479" t="s">
        <v>27</v>
      </c>
      <c r="B479" s="1">
        <v>38305</v>
      </c>
      <c r="C479" s="6">
        <f t="shared" si="70"/>
        <v>2004</v>
      </c>
      <c r="D479">
        <v>80.7</v>
      </c>
      <c r="E479">
        <v>71.7</v>
      </c>
      <c r="F479">
        <v>75.7</v>
      </c>
      <c r="G479" s="2">
        <f t="shared" si="71"/>
        <v>1</v>
      </c>
      <c r="H479">
        <v>80.900000000000006</v>
      </c>
      <c r="I479">
        <v>71.7</v>
      </c>
      <c r="J479">
        <v>75.7</v>
      </c>
      <c r="K479">
        <v>57.5</v>
      </c>
      <c r="L479">
        <v>53.7</v>
      </c>
      <c r="M479" s="2">
        <f t="shared" si="72"/>
        <v>1</v>
      </c>
      <c r="N479">
        <v>0</v>
      </c>
      <c r="O479" s="2">
        <f t="shared" si="73"/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 s="2">
        <f t="shared" si="74"/>
        <v>0</v>
      </c>
      <c r="W479">
        <v>36.9</v>
      </c>
      <c r="X479" s="2">
        <f t="shared" si="75"/>
        <v>1</v>
      </c>
      <c r="Y479">
        <v>159.30000000000001</v>
      </c>
      <c r="Z479" s="2" t="str">
        <f>CHOOSE(MATCH(Y479,{0;11;80;111;161;191;241;281;341},1),"North","NorthEast","East","SouthEast","South","SouthWest","West","NorthWest","North")</f>
        <v>SouthEast</v>
      </c>
      <c r="AA479" s="4">
        <f>CHOOSE(MATCH(Z479,{"South";"SouthEast";"SouthWest";"North";"NorthEast";"East";"West";"NorthWest"},0),1,2,3,4,5,6,7,8)</f>
        <v>2</v>
      </c>
      <c r="AB479" s="2">
        <f t="shared" si="76"/>
        <v>0</v>
      </c>
      <c r="AC479">
        <v>1008.7</v>
      </c>
      <c r="AD479" t="s">
        <v>777</v>
      </c>
      <c r="AE479" s="2">
        <f t="shared" si="77"/>
        <v>0</v>
      </c>
      <c r="AF479" t="s">
        <v>778</v>
      </c>
      <c r="AG479" s="2">
        <f t="shared" si="78"/>
        <v>11</v>
      </c>
      <c r="AH479" s="2">
        <f t="shared" si="79"/>
        <v>0</v>
      </c>
      <c r="AI479" s="3">
        <v>77.999999992316589</v>
      </c>
      <c r="AJ479" s="2">
        <v>0</v>
      </c>
      <c r="AK479">
        <v>0</v>
      </c>
      <c r="AL479">
        <v>5</v>
      </c>
      <c r="AM479">
        <v>0</v>
      </c>
      <c r="AN479" s="2">
        <f>IF((2*G479+M479-O479+3*V479+2*AB479+2*AE479+2*AH479+3*AJ479)&gt;=7,1,0)</f>
        <v>0</v>
      </c>
    </row>
    <row r="480" spans="1:40" x14ac:dyDescent="0.25">
      <c r="A480" t="s">
        <v>27</v>
      </c>
      <c r="B480" s="1">
        <v>38310</v>
      </c>
      <c r="C480" s="6">
        <f t="shared" si="70"/>
        <v>2004</v>
      </c>
      <c r="D480">
        <v>71.7</v>
      </c>
      <c r="E480">
        <v>51.9</v>
      </c>
      <c r="F480">
        <v>60.7</v>
      </c>
      <c r="G480" s="2">
        <f t="shared" si="71"/>
        <v>0</v>
      </c>
      <c r="H480">
        <v>71.7</v>
      </c>
      <c r="I480">
        <v>51.9</v>
      </c>
      <c r="J480">
        <v>60.7</v>
      </c>
      <c r="K480">
        <v>48.4</v>
      </c>
      <c r="L480">
        <v>65.400000000000006</v>
      </c>
      <c r="M480" s="2">
        <f t="shared" si="72"/>
        <v>1</v>
      </c>
      <c r="N480">
        <v>0</v>
      </c>
      <c r="O480" s="2">
        <f t="shared" si="73"/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 s="2">
        <f t="shared" si="74"/>
        <v>0</v>
      </c>
      <c r="W480">
        <v>12.8</v>
      </c>
      <c r="X480" s="2">
        <f t="shared" si="75"/>
        <v>0</v>
      </c>
      <c r="Y480">
        <v>161.6</v>
      </c>
      <c r="Z480" s="2" t="str">
        <f>CHOOSE(MATCH(Y480,{0;11;80;111;161;191;241;281;341},1),"North","NorthEast","East","SouthEast","South","SouthWest","West","NorthWest","North")</f>
        <v>South</v>
      </c>
      <c r="AA480" s="4">
        <f>CHOOSE(MATCH(Z480,{"South";"SouthEast";"SouthWest";"North";"NorthEast";"East";"West";"NorthWest"},0),1,2,3,4,5,6,7,8)</f>
        <v>1</v>
      </c>
      <c r="AB480" s="2">
        <f t="shared" si="76"/>
        <v>0</v>
      </c>
      <c r="AC480">
        <v>1015.2</v>
      </c>
      <c r="AD480" t="s">
        <v>233</v>
      </c>
      <c r="AE480" s="2">
        <f t="shared" si="77"/>
        <v>1</v>
      </c>
      <c r="AF480" t="s">
        <v>779</v>
      </c>
      <c r="AG480" s="2">
        <f t="shared" si="78"/>
        <v>11</v>
      </c>
      <c r="AH480" s="2">
        <f t="shared" si="79"/>
        <v>0</v>
      </c>
      <c r="AI480" s="3">
        <v>95.999999998603016</v>
      </c>
      <c r="AJ480" s="2">
        <v>0</v>
      </c>
      <c r="AK480">
        <v>0</v>
      </c>
      <c r="AL480">
        <v>0.3</v>
      </c>
      <c r="AM480">
        <v>0</v>
      </c>
      <c r="AN480" s="2">
        <f>IF((2*G480+M480-O480+3*V480+2*AB480+2*AE480+2*AH480+3*AJ480)&gt;=7,1,0)</f>
        <v>0</v>
      </c>
    </row>
    <row r="481" spans="1:40" x14ac:dyDescent="0.25">
      <c r="A481" t="s">
        <v>27</v>
      </c>
      <c r="B481" s="1">
        <v>38310</v>
      </c>
      <c r="C481" s="6">
        <f t="shared" si="70"/>
        <v>2004</v>
      </c>
      <c r="D481">
        <v>71.7</v>
      </c>
      <c r="E481">
        <v>51.9</v>
      </c>
      <c r="F481">
        <v>60.7</v>
      </c>
      <c r="G481" s="2">
        <f t="shared" si="71"/>
        <v>0</v>
      </c>
      <c r="H481">
        <v>71.7</v>
      </c>
      <c r="I481">
        <v>51.9</v>
      </c>
      <c r="J481">
        <v>60.7</v>
      </c>
      <c r="K481">
        <v>48.4</v>
      </c>
      <c r="L481">
        <v>65.400000000000006</v>
      </c>
      <c r="M481" s="2">
        <f t="shared" si="72"/>
        <v>1</v>
      </c>
      <c r="N481">
        <v>0</v>
      </c>
      <c r="O481" s="2">
        <f t="shared" si="73"/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s="2">
        <f t="shared" si="74"/>
        <v>0</v>
      </c>
      <c r="W481">
        <v>12.8</v>
      </c>
      <c r="X481" s="2">
        <f t="shared" si="75"/>
        <v>0</v>
      </c>
      <c r="Y481">
        <v>161.6</v>
      </c>
      <c r="Z481" s="2" t="str">
        <f>CHOOSE(MATCH(Y481,{0;11;80;111;161;191;241;281;341},1),"North","NorthEast","East","SouthEast","South","SouthWest","West","NorthWest","North")</f>
        <v>South</v>
      </c>
      <c r="AA481" s="4">
        <f>CHOOSE(MATCH(Z481,{"South";"SouthEast";"SouthWest";"North";"NorthEast";"East";"West";"NorthWest"},0),1,2,3,4,5,6,7,8)</f>
        <v>1</v>
      </c>
      <c r="AB481" s="2">
        <f t="shared" si="76"/>
        <v>0</v>
      </c>
      <c r="AC481">
        <v>1015.2</v>
      </c>
      <c r="AD481" t="s">
        <v>278</v>
      </c>
      <c r="AE481" s="2">
        <f t="shared" si="77"/>
        <v>1</v>
      </c>
      <c r="AF481" t="s">
        <v>780</v>
      </c>
      <c r="AG481" s="2">
        <f t="shared" si="78"/>
        <v>11</v>
      </c>
      <c r="AH481" s="2">
        <f t="shared" si="79"/>
        <v>0</v>
      </c>
      <c r="AI481" s="3">
        <v>246.00000000558791</v>
      </c>
      <c r="AJ481" s="2">
        <v>0</v>
      </c>
      <c r="AK481">
        <v>0</v>
      </c>
      <c r="AL481">
        <v>2</v>
      </c>
      <c r="AM481">
        <v>0</v>
      </c>
      <c r="AN481" s="2">
        <f>IF((2*G481+M481-O481+3*V481+2*AB481+2*AE481+2*AH481+3*AJ481)&gt;=7,1,0)</f>
        <v>0</v>
      </c>
    </row>
    <row r="482" spans="1:40" x14ac:dyDescent="0.25">
      <c r="A482" t="s">
        <v>27</v>
      </c>
      <c r="B482" s="1">
        <v>38314</v>
      </c>
      <c r="C482" s="6">
        <f t="shared" si="70"/>
        <v>2004</v>
      </c>
      <c r="D482">
        <v>59.1</v>
      </c>
      <c r="E482">
        <v>48.3</v>
      </c>
      <c r="F482">
        <v>54.2</v>
      </c>
      <c r="G482" s="2">
        <f t="shared" si="71"/>
        <v>0</v>
      </c>
      <c r="H482">
        <v>59.1</v>
      </c>
      <c r="I482">
        <v>44.7</v>
      </c>
      <c r="J482">
        <v>54</v>
      </c>
      <c r="K482">
        <v>36.4</v>
      </c>
      <c r="L482">
        <v>51.4</v>
      </c>
      <c r="M482" s="2">
        <f t="shared" si="72"/>
        <v>1</v>
      </c>
      <c r="N482">
        <v>0.02</v>
      </c>
      <c r="O482" s="2">
        <f t="shared" si="73"/>
        <v>0</v>
      </c>
      <c r="P482">
        <v>100</v>
      </c>
      <c r="Q482">
        <v>4.17</v>
      </c>
      <c r="R482" t="s">
        <v>182</v>
      </c>
      <c r="S482">
        <v>0</v>
      </c>
      <c r="T482">
        <v>0</v>
      </c>
      <c r="U482">
        <v>0</v>
      </c>
      <c r="V482" s="2">
        <f t="shared" si="74"/>
        <v>0</v>
      </c>
      <c r="W482">
        <v>16.100000000000001</v>
      </c>
      <c r="X482" s="2">
        <f t="shared" si="75"/>
        <v>1</v>
      </c>
      <c r="Y482">
        <v>297.3</v>
      </c>
      <c r="Z482" s="2" t="str">
        <f>CHOOSE(MATCH(Y482,{0;11;80;111;161;191;241;281;341},1),"North","NorthEast","East","SouthEast","South","SouthWest","West","NorthWest","North")</f>
        <v>NorthWest</v>
      </c>
      <c r="AA482" s="4">
        <f>CHOOSE(MATCH(Z482,{"South";"SouthEast";"SouthWest";"North";"NorthEast";"East";"West";"NorthWest"},0),1,2,3,4,5,6,7,8)</f>
        <v>8</v>
      </c>
      <c r="AB482" s="2">
        <f t="shared" si="76"/>
        <v>1</v>
      </c>
      <c r="AC482">
        <v>1024.8</v>
      </c>
      <c r="AD482" t="s">
        <v>53</v>
      </c>
      <c r="AE482" s="2">
        <f t="shared" si="77"/>
        <v>0</v>
      </c>
      <c r="AF482" t="s">
        <v>781</v>
      </c>
      <c r="AG482" s="2">
        <f t="shared" si="78"/>
        <v>11</v>
      </c>
      <c r="AH482" s="2">
        <f t="shared" si="79"/>
        <v>0</v>
      </c>
      <c r="AI482" s="3">
        <v>181.0000000032596</v>
      </c>
      <c r="AJ482" s="2">
        <v>0</v>
      </c>
      <c r="AK482">
        <v>0</v>
      </c>
      <c r="AL482">
        <v>1</v>
      </c>
      <c r="AM482">
        <v>0</v>
      </c>
      <c r="AN482" s="2">
        <f>IF((2*G482+M482-O482+3*V482+2*AB482+2*AE482+2*AH482+3*AJ482)&gt;=7,1,0)</f>
        <v>0</v>
      </c>
    </row>
    <row r="483" spans="1:40" x14ac:dyDescent="0.25">
      <c r="A483" t="s">
        <v>27</v>
      </c>
      <c r="B483" s="1">
        <v>38316</v>
      </c>
      <c r="C483" s="6">
        <f t="shared" si="70"/>
        <v>2004</v>
      </c>
      <c r="D483">
        <v>62.7</v>
      </c>
      <c r="E483">
        <v>48.3</v>
      </c>
      <c r="F483">
        <v>55.4</v>
      </c>
      <c r="G483" s="2">
        <f t="shared" si="71"/>
        <v>0</v>
      </c>
      <c r="H483">
        <v>62.7</v>
      </c>
      <c r="I483">
        <v>39.4</v>
      </c>
      <c r="J483">
        <v>54.1</v>
      </c>
      <c r="K483">
        <v>45.2</v>
      </c>
      <c r="L483">
        <v>69.099999999999994</v>
      </c>
      <c r="M483" s="2">
        <f t="shared" si="72"/>
        <v>0</v>
      </c>
      <c r="N483">
        <v>0.24099999999999999</v>
      </c>
      <c r="O483" s="2">
        <f t="shared" si="73"/>
        <v>0</v>
      </c>
      <c r="P483">
        <v>100</v>
      </c>
      <c r="Q483">
        <v>12.5</v>
      </c>
      <c r="R483" t="s">
        <v>182</v>
      </c>
      <c r="S483">
        <v>0</v>
      </c>
      <c r="T483">
        <v>0</v>
      </c>
      <c r="U483">
        <v>0</v>
      </c>
      <c r="V483" s="2">
        <f t="shared" si="74"/>
        <v>0</v>
      </c>
      <c r="W483">
        <v>32.200000000000003</v>
      </c>
      <c r="X483" s="2">
        <f t="shared" si="75"/>
        <v>1</v>
      </c>
      <c r="Y483">
        <v>325.39999999999998</v>
      </c>
      <c r="Z483" s="2" t="str">
        <f>CHOOSE(MATCH(Y483,{0;11;80;111;161;191;241;281;341},1),"North","NorthEast","East","SouthEast","South","SouthWest","West","NorthWest","North")</f>
        <v>NorthWest</v>
      </c>
      <c r="AA483" s="4">
        <f>CHOOSE(MATCH(Z483,{"South";"SouthEast";"SouthWest";"North";"NorthEast";"East";"West";"NorthWest"},0),1,2,3,4,5,6,7,8)</f>
        <v>8</v>
      </c>
      <c r="AB483" s="2">
        <f t="shared" si="76"/>
        <v>1</v>
      </c>
      <c r="AC483">
        <v>1015.8</v>
      </c>
      <c r="AD483" t="s">
        <v>233</v>
      </c>
      <c r="AE483" s="2">
        <f t="shared" si="77"/>
        <v>1</v>
      </c>
      <c r="AF483" t="s">
        <v>782</v>
      </c>
      <c r="AG483" s="2">
        <f t="shared" si="78"/>
        <v>11</v>
      </c>
      <c r="AH483" s="2">
        <f t="shared" si="79"/>
        <v>0</v>
      </c>
      <c r="AI483" s="3">
        <v>71.000000000931323</v>
      </c>
      <c r="AJ483" s="2">
        <v>0</v>
      </c>
      <c r="AK483">
        <v>1.5</v>
      </c>
      <c r="AL483">
        <v>0</v>
      </c>
      <c r="AM483">
        <v>0</v>
      </c>
      <c r="AN483" s="2">
        <f>IF((2*G483+M483-O483+3*V483+2*AB483+2*AE483+2*AH483+3*AJ483)&gt;=7,1,0)</f>
        <v>0</v>
      </c>
    </row>
    <row r="484" spans="1:40" x14ac:dyDescent="0.25">
      <c r="A484" t="s">
        <v>27</v>
      </c>
      <c r="B484" s="1">
        <v>38316</v>
      </c>
      <c r="C484" s="6">
        <f t="shared" si="70"/>
        <v>2004</v>
      </c>
      <c r="D484">
        <v>62.7</v>
      </c>
      <c r="E484">
        <v>48.3</v>
      </c>
      <c r="F484">
        <v>55.4</v>
      </c>
      <c r="G484" s="2">
        <f t="shared" si="71"/>
        <v>0</v>
      </c>
      <c r="H484">
        <v>62.7</v>
      </c>
      <c r="I484">
        <v>39.4</v>
      </c>
      <c r="J484">
        <v>54.1</v>
      </c>
      <c r="K484">
        <v>45.2</v>
      </c>
      <c r="L484">
        <v>69.099999999999994</v>
      </c>
      <c r="M484" s="2">
        <f t="shared" si="72"/>
        <v>0</v>
      </c>
      <c r="N484">
        <v>0.24099999999999999</v>
      </c>
      <c r="O484" s="2">
        <f t="shared" si="73"/>
        <v>0</v>
      </c>
      <c r="P484">
        <v>100</v>
      </c>
      <c r="Q484">
        <v>12.5</v>
      </c>
      <c r="R484" t="s">
        <v>182</v>
      </c>
      <c r="S484">
        <v>0</v>
      </c>
      <c r="T484">
        <v>0</v>
      </c>
      <c r="U484">
        <v>0</v>
      </c>
      <c r="V484" s="2">
        <f t="shared" si="74"/>
        <v>0</v>
      </c>
      <c r="W484">
        <v>32.200000000000003</v>
      </c>
      <c r="X484" s="2">
        <f t="shared" si="75"/>
        <v>1</v>
      </c>
      <c r="Y484">
        <v>325.39999999999998</v>
      </c>
      <c r="Z484" s="2" t="str">
        <f>CHOOSE(MATCH(Y484,{0;11;80;111;161;191;241;281;341},1),"North","NorthEast","East","SouthEast","South","SouthWest","West","NorthWest","North")</f>
        <v>NorthWest</v>
      </c>
      <c r="AA484" s="4">
        <f>CHOOSE(MATCH(Z484,{"South";"SouthEast";"SouthWest";"North";"NorthEast";"East";"West";"NorthWest"},0),1,2,3,4,5,6,7,8)</f>
        <v>8</v>
      </c>
      <c r="AB484" s="2">
        <f t="shared" si="76"/>
        <v>1</v>
      </c>
      <c r="AC484">
        <v>1015.8</v>
      </c>
      <c r="AD484" t="s">
        <v>745</v>
      </c>
      <c r="AE484" s="2">
        <f t="shared" si="77"/>
        <v>1</v>
      </c>
      <c r="AF484" t="s">
        <v>783</v>
      </c>
      <c r="AG484" s="2">
        <f t="shared" si="78"/>
        <v>11</v>
      </c>
      <c r="AH484" s="2">
        <f t="shared" si="79"/>
        <v>0</v>
      </c>
      <c r="AI484" s="3">
        <v>120.0000000034925</v>
      </c>
      <c r="AJ484" s="2">
        <v>0</v>
      </c>
      <c r="AK484">
        <v>0</v>
      </c>
      <c r="AL484">
        <v>10</v>
      </c>
      <c r="AM484">
        <v>0</v>
      </c>
      <c r="AN484" s="2">
        <f>IF((2*G484+M484-O484+3*V484+2*AB484+2*AE484+2*AH484+3*AJ484)&gt;=7,1,0)</f>
        <v>0</v>
      </c>
    </row>
    <row r="485" spans="1:40" x14ac:dyDescent="0.25">
      <c r="A485" t="s">
        <v>27</v>
      </c>
      <c r="B485" s="1">
        <v>38348</v>
      </c>
      <c r="C485" s="6">
        <f t="shared" si="70"/>
        <v>2004</v>
      </c>
      <c r="D485">
        <v>64.5</v>
      </c>
      <c r="E485">
        <v>59.1</v>
      </c>
      <c r="F485">
        <v>61.1</v>
      </c>
      <c r="G485" s="2">
        <f t="shared" si="71"/>
        <v>0</v>
      </c>
      <c r="H485">
        <v>64.5</v>
      </c>
      <c r="I485">
        <v>59.1</v>
      </c>
      <c r="J485">
        <v>61.1</v>
      </c>
      <c r="K485">
        <v>48.8</v>
      </c>
      <c r="L485">
        <v>64.400000000000006</v>
      </c>
      <c r="M485" s="2">
        <f t="shared" si="72"/>
        <v>1</v>
      </c>
      <c r="N485">
        <v>7.8E-2</v>
      </c>
      <c r="O485" s="2">
        <f t="shared" si="73"/>
        <v>0</v>
      </c>
      <c r="P485">
        <v>100</v>
      </c>
      <c r="Q485">
        <v>8.33</v>
      </c>
      <c r="R485" t="s">
        <v>182</v>
      </c>
      <c r="S485">
        <v>0</v>
      </c>
      <c r="T485">
        <v>0</v>
      </c>
      <c r="U485">
        <v>0</v>
      </c>
      <c r="V485" s="2">
        <f t="shared" si="74"/>
        <v>0</v>
      </c>
      <c r="W485">
        <v>30</v>
      </c>
      <c r="X485" s="2">
        <f t="shared" si="75"/>
        <v>1</v>
      </c>
      <c r="Y485">
        <v>169.5</v>
      </c>
      <c r="Z485" s="2" t="str">
        <f>CHOOSE(MATCH(Y485,{0;11;80;111;161;191;241;281;341},1),"North","NorthEast","East","SouthEast","South","SouthWest","West","NorthWest","North")</f>
        <v>South</v>
      </c>
      <c r="AA485" s="4">
        <f>CHOOSE(MATCH(Z485,{"South";"SouthEast";"SouthWest";"North";"NorthEast";"East";"West";"NorthWest"},0),1,2,3,4,5,6,7,8)</f>
        <v>1</v>
      </c>
      <c r="AB485" s="2">
        <f t="shared" si="76"/>
        <v>0</v>
      </c>
      <c r="AC485">
        <v>1023.1</v>
      </c>
      <c r="AD485" t="s">
        <v>215</v>
      </c>
      <c r="AE485" s="2">
        <f t="shared" si="77"/>
        <v>1</v>
      </c>
      <c r="AF485" t="s">
        <v>784</v>
      </c>
      <c r="AG485" s="2">
        <f t="shared" si="78"/>
        <v>12</v>
      </c>
      <c r="AH485" s="2">
        <f t="shared" si="79"/>
        <v>0</v>
      </c>
      <c r="AI485" s="3">
        <v>140.99999999860299</v>
      </c>
      <c r="AJ485" s="2">
        <v>0</v>
      </c>
      <c r="AK485">
        <v>0</v>
      </c>
      <c r="AL485">
        <v>2</v>
      </c>
      <c r="AM485">
        <v>0</v>
      </c>
      <c r="AN485" s="2">
        <f>IF((2*G485+M485-O485+3*V485+2*AB485+2*AE485+2*AH485+3*AJ485)&gt;=7,1,0)</f>
        <v>0</v>
      </c>
    </row>
    <row r="486" spans="1:40" x14ac:dyDescent="0.25">
      <c r="A486" t="s">
        <v>27</v>
      </c>
      <c r="B486" s="1">
        <v>38359</v>
      </c>
      <c r="C486" s="6">
        <f t="shared" si="70"/>
        <v>2005</v>
      </c>
      <c r="D486">
        <v>59.1</v>
      </c>
      <c r="E486">
        <v>48.3</v>
      </c>
      <c r="F486">
        <v>54.6</v>
      </c>
      <c r="G486" s="2">
        <f t="shared" si="71"/>
        <v>0</v>
      </c>
      <c r="H486">
        <v>59.1</v>
      </c>
      <c r="I486">
        <v>44.7</v>
      </c>
      <c r="J486">
        <v>54.5</v>
      </c>
      <c r="K486">
        <v>44.9</v>
      </c>
      <c r="L486">
        <v>70.2</v>
      </c>
      <c r="M486" s="2">
        <f t="shared" si="72"/>
        <v>0</v>
      </c>
      <c r="N486">
        <v>3.1E-2</v>
      </c>
      <c r="O486" s="2">
        <f t="shared" si="73"/>
        <v>0</v>
      </c>
      <c r="P486">
        <v>100</v>
      </c>
      <c r="Q486">
        <v>4.17</v>
      </c>
      <c r="R486" t="s">
        <v>182</v>
      </c>
      <c r="S486">
        <v>0</v>
      </c>
      <c r="T486">
        <v>0</v>
      </c>
      <c r="U486">
        <v>0</v>
      </c>
      <c r="V486" s="2">
        <f t="shared" si="74"/>
        <v>0</v>
      </c>
      <c r="W486">
        <v>34.4</v>
      </c>
      <c r="X486" s="2">
        <f t="shared" si="75"/>
        <v>1</v>
      </c>
      <c r="Y486">
        <v>319.39999999999998</v>
      </c>
      <c r="Z486" s="2" t="str">
        <f>CHOOSE(MATCH(Y486,{0;11;80;111;161;191;241;281;341},1),"North","NorthEast","East","SouthEast","South","SouthWest","West","NorthWest","North")</f>
        <v>NorthWest</v>
      </c>
      <c r="AA486" s="4">
        <f>CHOOSE(MATCH(Z486,{"South";"SouthEast";"SouthWest";"North";"NorthEast";"East";"West";"NorthWest"},0),1,2,3,4,5,6,7,8)</f>
        <v>8</v>
      </c>
      <c r="AB486" s="2">
        <f t="shared" si="76"/>
        <v>1</v>
      </c>
      <c r="AC486">
        <v>1021</v>
      </c>
      <c r="AD486" t="s">
        <v>302</v>
      </c>
      <c r="AE486" s="2">
        <f t="shared" si="77"/>
        <v>1</v>
      </c>
      <c r="AF486" t="s">
        <v>785</v>
      </c>
      <c r="AG486" s="2">
        <f t="shared" si="78"/>
        <v>1</v>
      </c>
      <c r="AH486" s="2">
        <f t="shared" si="79"/>
        <v>0</v>
      </c>
      <c r="AI486" s="3">
        <v>105.00000000698491</v>
      </c>
      <c r="AJ486" s="2">
        <v>0</v>
      </c>
      <c r="AK486">
        <v>0</v>
      </c>
      <c r="AL486">
        <v>0.1</v>
      </c>
      <c r="AM486">
        <v>0</v>
      </c>
      <c r="AN486" s="2">
        <f>IF((2*G486+M486-O486+3*V486+2*AB486+2*AE486+2*AH486+3*AJ486)&gt;=7,1,0)</f>
        <v>0</v>
      </c>
    </row>
    <row r="487" spans="1:40" x14ac:dyDescent="0.25">
      <c r="A487" t="s">
        <v>27</v>
      </c>
      <c r="B487" s="1">
        <v>38360</v>
      </c>
      <c r="C487" s="6">
        <f t="shared" si="70"/>
        <v>2005</v>
      </c>
      <c r="D487">
        <v>57.3</v>
      </c>
      <c r="E487">
        <v>53.7</v>
      </c>
      <c r="F487">
        <v>55.1</v>
      </c>
      <c r="G487" s="2">
        <f t="shared" si="71"/>
        <v>0</v>
      </c>
      <c r="H487">
        <v>57.3</v>
      </c>
      <c r="I487">
        <v>53.7</v>
      </c>
      <c r="J487">
        <v>55.1</v>
      </c>
      <c r="K487">
        <v>45.4</v>
      </c>
      <c r="L487">
        <v>70</v>
      </c>
      <c r="M487" s="2">
        <f t="shared" si="72"/>
        <v>0</v>
      </c>
      <c r="N487">
        <v>0.41</v>
      </c>
      <c r="O487" s="2">
        <f t="shared" si="73"/>
        <v>0</v>
      </c>
      <c r="P487">
        <v>100</v>
      </c>
      <c r="Q487">
        <v>8.33</v>
      </c>
      <c r="R487" t="s">
        <v>182</v>
      </c>
      <c r="S487">
        <v>0</v>
      </c>
      <c r="T487">
        <v>0</v>
      </c>
      <c r="U487">
        <v>0</v>
      </c>
      <c r="V487" s="2">
        <f t="shared" si="74"/>
        <v>0</v>
      </c>
      <c r="W487">
        <v>33.299999999999997</v>
      </c>
      <c r="X487" s="2">
        <f t="shared" si="75"/>
        <v>1</v>
      </c>
      <c r="Y487">
        <v>353.1</v>
      </c>
      <c r="Z487" s="2" t="str">
        <f>CHOOSE(MATCH(Y487,{0;11;80;111;161;191;241;281;341},1),"North","NorthEast","East","SouthEast","South","SouthWest","West","NorthWest","North")</f>
        <v>North</v>
      </c>
      <c r="AA487" s="4">
        <f>CHOOSE(MATCH(Z487,{"South";"SouthEast";"SouthWest";"North";"NorthEast";"East";"West";"NorthWest"},0),1,2,3,4,5,6,7,8)</f>
        <v>4</v>
      </c>
      <c r="AB487" s="2">
        <f t="shared" si="76"/>
        <v>1</v>
      </c>
      <c r="AC487">
        <v>1022.9</v>
      </c>
      <c r="AD487" t="s">
        <v>195</v>
      </c>
      <c r="AE487" s="2">
        <f t="shared" si="77"/>
        <v>1</v>
      </c>
      <c r="AF487" t="s">
        <v>786</v>
      </c>
      <c r="AG487" s="2">
        <f t="shared" si="78"/>
        <v>1</v>
      </c>
      <c r="AH487" s="2">
        <f t="shared" si="79"/>
        <v>0</v>
      </c>
      <c r="AI487" s="3">
        <v>211.00000000675209</v>
      </c>
      <c r="AJ487" s="2">
        <v>0</v>
      </c>
      <c r="AK487">
        <v>5</v>
      </c>
      <c r="AL487">
        <v>0</v>
      </c>
      <c r="AM487">
        <v>0</v>
      </c>
      <c r="AN487" s="2">
        <f>IF((2*G487+M487-O487+3*V487+2*AB487+2*AE487+2*AH487+3*AJ487)&gt;=7,1,0)</f>
        <v>0</v>
      </c>
    </row>
    <row r="488" spans="1:40" x14ac:dyDescent="0.25">
      <c r="A488" t="s">
        <v>27</v>
      </c>
      <c r="B488" s="1">
        <v>38362</v>
      </c>
      <c r="C488" s="6">
        <f t="shared" si="70"/>
        <v>2005</v>
      </c>
      <c r="D488">
        <v>62.7</v>
      </c>
      <c r="E488">
        <v>46.5</v>
      </c>
      <c r="F488">
        <v>54.6</v>
      </c>
      <c r="G488" s="2">
        <f t="shared" si="71"/>
        <v>0</v>
      </c>
      <c r="H488">
        <v>62.7</v>
      </c>
      <c r="I488">
        <v>41.6</v>
      </c>
      <c r="J488">
        <v>53.1</v>
      </c>
      <c r="K488">
        <v>45</v>
      </c>
      <c r="L488">
        <v>70.099999999999994</v>
      </c>
      <c r="M488" s="2">
        <f t="shared" si="72"/>
        <v>0</v>
      </c>
      <c r="N488">
        <v>0</v>
      </c>
      <c r="O488" s="2">
        <f t="shared" si="73"/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 s="2">
        <f t="shared" si="74"/>
        <v>0</v>
      </c>
      <c r="W488">
        <v>13.9</v>
      </c>
      <c r="X488" s="2">
        <f t="shared" si="75"/>
        <v>0</v>
      </c>
      <c r="Y488">
        <v>257.7</v>
      </c>
      <c r="Z488" s="2" t="str">
        <f>CHOOSE(MATCH(Y488,{0;11;80;111;161;191;241;281;341},1),"North","NorthEast","East","SouthEast","South","SouthWest","West","NorthWest","North")</f>
        <v>West</v>
      </c>
      <c r="AA488" s="4">
        <f>CHOOSE(MATCH(Z488,{"South";"SouthEast";"SouthWest";"North";"NorthEast";"East";"West";"NorthWest"},0),1,2,3,4,5,6,7,8)</f>
        <v>7</v>
      </c>
      <c r="AB488" s="2">
        <f t="shared" si="76"/>
        <v>0</v>
      </c>
      <c r="AC488">
        <v>1027.8</v>
      </c>
      <c r="AD488" t="s">
        <v>787</v>
      </c>
      <c r="AE488" s="2">
        <f t="shared" si="77"/>
        <v>0</v>
      </c>
      <c r="AF488" t="s">
        <v>788</v>
      </c>
      <c r="AG488" s="2">
        <f t="shared" si="78"/>
        <v>1</v>
      </c>
      <c r="AH488" s="2">
        <f t="shared" si="79"/>
        <v>0</v>
      </c>
      <c r="AI488" s="3">
        <v>310.00000000465661</v>
      </c>
      <c r="AJ488" s="2">
        <v>0</v>
      </c>
      <c r="AK488">
        <v>0</v>
      </c>
      <c r="AL488">
        <v>100</v>
      </c>
      <c r="AM488">
        <v>0</v>
      </c>
      <c r="AN488" s="2">
        <f>IF((2*G488+M488-O488+3*V488+2*AB488+2*AE488+2*AH488+3*AJ488)&gt;=7,1,0)</f>
        <v>0</v>
      </c>
    </row>
    <row r="489" spans="1:40" x14ac:dyDescent="0.25">
      <c r="A489" t="s">
        <v>27</v>
      </c>
      <c r="B489" s="1">
        <v>38394</v>
      </c>
      <c r="C489" s="6">
        <f t="shared" si="70"/>
        <v>2005</v>
      </c>
      <c r="D489">
        <v>48.3</v>
      </c>
      <c r="E489">
        <v>46.5</v>
      </c>
      <c r="F489">
        <v>46.8</v>
      </c>
      <c r="G489" s="2">
        <f t="shared" si="71"/>
        <v>0</v>
      </c>
      <c r="H489">
        <v>41.7</v>
      </c>
      <c r="I489">
        <v>37.799999999999997</v>
      </c>
      <c r="J489">
        <v>39.4</v>
      </c>
      <c r="K489">
        <v>32.799999999999997</v>
      </c>
      <c r="L489">
        <v>58.3</v>
      </c>
      <c r="M489" s="2">
        <f t="shared" si="72"/>
        <v>1</v>
      </c>
      <c r="N489">
        <v>0.02</v>
      </c>
      <c r="O489" s="2">
        <f t="shared" si="73"/>
        <v>0</v>
      </c>
      <c r="P489">
        <v>100</v>
      </c>
      <c r="Q489">
        <v>4.17</v>
      </c>
      <c r="R489" t="s">
        <v>182</v>
      </c>
      <c r="S489">
        <v>0</v>
      </c>
      <c r="T489">
        <v>0</v>
      </c>
      <c r="U489">
        <v>0</v>
      </c>
      <c r="V489" s="2">
        <f t="shared" si="74"/>
        <v>0</v>
      </c>
      <c r="W489">
        <v>26.4</v>
      </c>
      <c r="X489" s="2">
        <f t="shared" si="75"/>
        <v>1</v>
      </c>
      <c r="Y489">
        <v>324.8</v>
      </c>
      <c r="Z489" s="2" t="str">
        <f>CHOOSE(MATCH(Y489,{0;11;80;111;161;191;241;281;341},1),"North","NorthEast","East","SouthEast","South","SouthWest","West","NorthWest","North")</f>
        <v>NorthWest</v>
      </c>
      <c r="AA489" s="4">
        <f>CHOOSE(MATCH(Z489,{"South";"SouthEast";"SouthWest";"North";"NorthEast";"East";"West";"NorthWest"},0),1,2,3,4,5,6,7,8)</f>
        <v>8</v>
      </c>
      <c r="AB489" s="2">
        <f t="shared" si="76"/>
        <v>1</v>
      </c>
      <c r="AC489">
        <v>1023.5</v>
      </c>
      <c r="AD489" t="s">
        <v>627</v>
      </c>
      <c r="AE489" s="2">
        <f t="shared" si="77"/>
        <v>0</v>
      </c>
      <c r="AF489" t="s">
        <v>789</v>
      </c>
      <c r="AG489" s="2">
        <f t="shared" si="78"/>
        <v>2</v>
      </c>
      <c r="AH489" s="2">
        <f t="shared" si="79"/>
        <v>0</v>
      </c>
      <c r="AI489" s="3">
        <v>130.00000000465661</v>
      </c>
      <c r="AJ489" s="2">
        <v>0</v>
      </c>
      <c r="AK489">
        <v>0</v>
      </c>
      <c r="AL489">
        <v>5</v>
      </c>
      <c r="AM489">
        <v>0</v>
      </c>
      <c r="AN489" s="2">
        <f>IF((2*G489+M489-O489+3*V489+2*AB489+2*AE489+2*AH489+3*AJ489)&gt;=7,1,0)</f>
        <v>0</v>
      </c>
    </row>
    <row r="490" spans="1:40" x14ac:dyDescent="0.25">
      <c r="A490" t="s">
        <v>27</v>
      </c>
      <c r="B490" s="1">
        <v>38395</v>
      </c>
      <c r="C490" s="6">
        <f t="shared" si="70"/>
        <v>2005</v>
      </c>
      <c r="D490">
        <v>51.9</v>
      </c>
      <c r="E490">
        <v>39.299999999999997</v>
      </c>
      <c r="F490">
        <v>47.6</v>
      </c>
      <c r="G490" s="2">
        <f t="shared" si="71"/>
        <v>0</v>
      </c>
      <c r="H490">
        <v>51.9</v>
      </c>
      <c r="I490">
        <v>32.200000000000003</v>
      </c>
      <c r="J490">
        <v>43.3</v>
      </c>
      <c r="K490">
        <v>31.5</v>
      </c>
      <c r="L490">
        <v>54.1</v>
      </c>
      <c r="M490" s="2">
        <f t="shared" si="72"/>
        <v>1</v>
      </c>
      <c r="N490">
        <v>0.11799999999999999</v>
      </c>
      <c r="O490" s="2">
        <f t="shared" si="73"/>
        <v>0</v>
      </c>
      <c r="P490">
        <v>100</v>
      </c>
      <c r="Q490">
        <v>8.33</v>
      </c>
      <c r="R490" t="s">
        <v>182</v>
      </c>
      <c r="S490">
        <v>0</v>
      </c>
      <c r="T490">
        <v>0</v>
      </c>
      <c r="U490">
        <v>0</v>
      </c>
      <c r="V490" s="2">
        <f t="shared" si="74"/>
        <v>0</v>
      </c>
      <c r="W490">
        <v>21.9</v>
      </c>
      <c r="X490" s="2">
        <f t="shared" si="75"/>
        <v>1</v>
      </c>
      <c r="Y490">
        <v>317.3</v>
      </c>
      <c r="Z490" s="2" t="str">
        <f>CHOOSE(MATCH(Y490,{0;11;80;111;161;191;241;281;341},1),"North","NorthEast","East","SouthEast","South","SouthWest","West","NorthWest","North")</f>
        <v>NorthWest</v>
      </c>
      <c r="AA490" s="4">
        <f>CHOOSE(MATCH(Z490,{"South";"SouthEast";"SouthWest";"North";"NorthEast";"East";"West";"NorthWest"},0),1,2,3,4,5,6,7,8)</f>
        <v>8</v>
      </c>
      <c r="AB490" s="2">
        <f t="shared" si="76"/>
        <v>1</v>
      </c>
      <c r="AC490">
        <v>1022</v>
      </c>
      <c r="AD490" t="s">
        <v>37</v>
      </c>
      <c r="AE490" s="2">
        <f t="shared" si="77"/>
        <v>1</v>
      </c>
      <c r="AF490" t="s">
        <v>790</v>
      </c>
      <c r="AG490" s="2">
        <f t="shared" si="78"/>
        <v>2</v>
      </c>
      <c r="AH490" s="2">
        <f t="shared" si="79"/>
        <v>0</v>
      </c>
      <c r="AI490" s="3">
        <v>1126.0000000032601</v>
      </c>
      <c r="AJ490" s="2">
        <v>1</v>
      </c>
      <c r="AK490">
        <v>0</v>
      </c>
      <c r="AL490">
        <v>20</v>
      </c>
      <c r="AM490">
        <v>0</v>
      </c>
      <c r="AN490" s="2">
        <f>IF((2*G490+M490-O490+3*V490+2*AB490+2*AE490+2*AH490+3*AJ490)&gt;=7,1,0)</f>
        <v>1</v>
      </c>
    </row>
    <row r="491" spans="1:40" x14ac:dyDescent="0.25">
      <c r="A491" t="s">
        <v>27</v>
      </c>
      <c r="B491" s="1">
        <v>38397</v>
      </c>
      <c r="C491" s="6">
        <f t="shared" si="70"/>
        <v>2005</v>
      </c>
      <c r="D491">
        <v>64.5</v>
      </c>
      <c r="E491">
        <v>57.3</v>
      </c>
      <c r="F491">
        <v>59.5</v>
      </c>
      <c r="G491" s="2">
        <f t="shared" si="71"/>
        <v>0</v>
      </c>
      <c r="H491">
        <v>64.5</v>
      </c>
      <c r="I491">
        <v>57.3</v>
      </c>
      <c r="J491">
        <v>59.5</v>
      </c>
      <c r="K491">
        <v>43.9</v>
      </c>
      <c r="L491">
        <v>56.7</v>
      </c>
      <c r="M491" s="2">
        <f t="shared" si="72"/>
        <v>1</v>
      </c>
      <c r="N491">
        <v>0</v>
      </c>
      <c r="O491" s="2">
        <f t="shared" si="73"/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 s="2">
        <f t="shared" si="74"/>
        <v>0</v>
      </c>
      <c r="W491">
        <v>26.4</v>
      </c>
      <c r="X491" s="2">
        <f t="shared" si="75"/>
        <v>1</v>
      </c>
      <c r="Y491">
        <v>175</v>
      </c>
      <c r="Z491" s="2" t="str">
        <f>CHOOSE(MATCH(Y491,{0;11;80;111;161;191;241;281;341},1),"North","NorthEast","East","SouthEast","South","SouthWest","West","NorthWest","North")</f>
        <v>South</v>
      </c>
      <c r="AA491" s="4">
        <f>CHOOSE(MATCH(Z491,{"South";"SouthEast";"SouthWest";"North";"NorthEast";"East";"West";"NorthWest"},0),1,2,3,4,5,6,7,8)</f>
        <v>1</v>
      </c>
      <c r="AB491" s="2">
        <f t="shared" si="76"/>
        <v>0</v>
      </c>
      <c r="AC491">
        <v>1009.2</v>
      </c>
      <c r="AD491" t="s">
        <v>791</v>
      </c>
      <c r="AE491" s="2">
        <f t="shared" si="77"/>
        <v>1</v>
      </c>
      <c r="AF491" t="s">
        <v>792</v>
      </c>
      <c r="AG491" s="2">
        <f t="shared" si="78"/>
        <v>2</v>
      </c>
      <c r="AH491" s="2">
        <f t="shared" si="79"/>
        <v>0</v>
      </c>
      <c r="AI491" s="3">
        <v>124.9999999988358</v>
      </c>
      <c r="AJ491" s="2">
        <v>0</v>
      </c>
      <c r="AK491">
        <v>0</v>
      </c>
      <c r="AL491">
        <v>2</v>
      </c>
      <c r="AM491">
        <v>0</v>
      </c>
      <c r="AN491" s="2">
        <f>IF((2*G491+M491-O491+3*V491+2*AB491+2*AE491+2*AH491+3*AJ491)&gt;=7,1,0)</f>
        <v>0</v>
      </c>
    </row>
    <row r="492" spans="1:40" x14ac:dyDescent="0.25">
      <c r="A492" t="s">
        <v>27</v>
      </c>
      <c r="B492" s="1">
        <v>38412</v>
      </c>
      <c r="C492" s="6">
        <f t="shared" si="70"/>
        <v>2005</v>
      </c>
      <c r="D492">
        <v>77.099999999999994</v>
      </c>
      <c r="E492">
        <v>50.1</v>
      </c>
      <c r="F492">
        <v>58.2</v>
      </c>
      <c r="G492" s="2">
        <f t="shared" si="71"/>
        <v>0</v>
      </c>
      <c r="H492">
        <v>77.099999999999994</v>
      </c>
      <c r="I492">
        <v>50.1</v>
      </c>
      <c r="J492">
        <v>58.2</v>
      </c>
      <c r="K492">
        <v>50.9</v>
      </c>
      <c r="L492">
        <v>79.8</v>
      </c>
      <c r="M492" s="2">
        <f t="shared" si="72"/>
        <v>0</v>
      </c>
      <c r="N492">
        <v>0</v>
      </c>
      <c r="O492" s="2">
        <f t="shared" si="73"/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 s="2">
        <f t="shared" si="74"/>
        <v>0</v>
      </c>
      <c r="W492">
        <v>20.8</v>
      </c>
      <c r="X492" s="2">
        <f t="shared" si="75"/>
        <v>1</v>
      </c>
      <c r="Y492">
        <v>185.1</v>
      </c>
      <c r="Z492" s="2" t="str">
        <f>CHOOSE(MATCH(Y492,{0;11;80;111;161;191;241;281;341},1),"North","NorthEast","East","SouthEast","South","SouthWest","West","NorthWest","North")</f>
        <v>South</v>
      </c>
      <c r="AA492" s="4">
        <f>CHOOSE(MATCH(Z492,{"South";"SouthEast";"SouthWest";"North";"NorthEast";"East";"West";"NorthWest"},0),1,2,3,4,5,6,7,8)</f>
        <v>1</v>
      </c>
      <c r="AB492" s="2">
        <f t="shared" si="76"/>
        <v>0</v>
      </c>
      <c r="AC492">
        <v>1001.8</v>
      </c>
      <c r="AD492" t="s">
        <v>231</v>
      </c>
      <c r="AE492" s="2">
        <f t="shared" si="77"/>
        <v>1</v>
      </c>
      <c r="AF492" t="s">
        <v>793</v>
      </c>
      <c r="AG492" s="2">
        <f t="shared" si="78"/>
        <v>3</v>
      </c>
      <c r="AH492" s="2">
        <f t="shared" si="79"/>
        <v>0</v>
      </c>
      <c r="AI492" s="3">
        <v>145.9999999939464</v>
      </c>
      <c r="AJ492" s="2">
        <v>0</v>
      </c>
      <c r="AK492">
        <v>0</v>
      </c>
      <c r="AL492">
        <v>6</v>
      </c>
      <c r="AM492">
        <v>0</v>
      </c>
      <c r="AN492" s="2">
        <f>IF((2*G492+M492-O492+3*V492+2*AB492+2*AE492+2*AH492+3*AJ492)&gt;=7,1,0)</f>
        <v>0</v>
      </c>
    </row>
    <row r="493" spans="1:40" x14ac:dyDescent="0.25">
      <c r="A493" t="s">
        <v>27</v>
      </c>
      <c r="B493" s="1">
        <v>38416</v>
      </c>
      <c r="C493" s="6">
        <f t="shared" si="70"/>
        <v>2005</v>
      </c>
      <c r="D493">
        <v>62.7</v>
      </c>
      <c r="E493">
        <v>51.9</v>
      </c>
      <c r="F493">
        <v>57.4</v>
      </c>
      <c r="G493" s="2">
        <f t="shared" si="71"/>
        <v>0</v>
      </c>
      <c r="H493">
        <v>62.7</v>
      </c>
      <c r="I493">
        <v>51.9</v>
      </c>
      <c r="J493">
        <v>57.4</v>
      </c>
      <c r="K493">
        <v>43.9</v>
      </c>
      <c r="L493">
        <v>60.9</v>
      </c>
      <c r="M493" s="2">
        <f t="shared" si="72"/>
        <v>1</v>
      </c>
      <c r="N493">
        <v>0</v>
      </c>
      <c r="O493" s="2">
        <f t="shared" si="73"/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 s="2">
        <f t="shared" si="74"/>
        <v>0</v>
      </c>
      <c r="W493">
        <v>36.9</v>
      </c>
      <c r="X493" s="2">
        <f t="shared" si="75"/>
        <v>1</v>
      </c>
      <c r="Y493">
        <v>162.1</v>
      </c>
      <c r="Z493" s="2" t="str">
        <f>CHOOSE(MATCH(Y493,{0;11;80;111;161;191;241;281;341},1),"North","NorthEast","East","SouthEast","South","SouthWest","West","NorthWest","North")</f>
        <v>South</v>
      </c>
      <c r="AA493" s="4">
        <f>CHOOSE(MATCH(Z493,{"South";"SouthEast";"SouthWest";"North";"NorthEast";"East";"West";"NorthWest"},0),1,2,3,4,5,6,7,8)</f>
        <v>1</v>
      </c>
      <c r="AB493" s="2">
        <f t="shared" si="76"/>
        <v>0</v>
      </c>
      <c r="AC493">
        <v>1011</v>
      </c>
      <c r="AD493" t="s">
        <v>794</v>
      </c>
      <c r="AE493" s="2">
        <f t="shared" si="77"/>
        <v>1</v>
      </c>
      <c r="AF493" t="s">
        <v>795</v>
      </c>
      <c r="AG493" s="2">
        <f t="shared" si="78"/>
        <v>3</v>
      </c>
      <c r="AH493" s="2">
        <f t="shared" si="79"/>
        <v>0</v>
      </c>
      <c r="AI493" s="3">
        <v>150.9999999997672</v>
      </c>
      <c r="AJ493" s="2">
        <v>0</v>
      </c>
      <c r="AK493">
        <v>0</v>
      </c>
      <c r="AL493">
        <v>3</v>
      </c>
      <c r="AM493">
        <v>0</v>
      </c>
      <c r="AN493" s="2">
        <f>IF((2*G493+M493-O493+3*V493+2*AB493+2*AE493+2*AH493+3*AJ493)&gt;=7,1,0)</f>
        <v>0</v>
      </c>
    </row>
    <row r="494" spans="1:40" x14ac:dyDescent="0.25">
      <c r="A494" t="s">
        <v>27</v>
      </c>
      <c r="B494" s="1">
        <v>38428</v>
      </c>
      <c r="C494" s="6">
        <f t="shared" si="70"/>
        <v>2005</v>
      </c>
      <c r="D494">
        <v>62.7</v>
      </c>
      <c r="E494">
        <v>53.7</v>
      </c>
      <c r="F494">
        <v>59.1</v>
      </c>
      <c r="G494" s="2">
        <f t="shared" si="71"/>
        <v>0</v>
      </c>
      <c r="H494">
        <v>62.7</v>
      </c>
      <c r="I494">
        <v>53.7</v>
      </c>
      <c r="J494">
        <v>59.1</v>
      </c>
      <c r="K494">
        <v>49</v>
      </c>
      <c r="L494">
        <v>69.5</v>
      </c>
      <c r="M494" s="2">
        <f t="shared" si="72"/>
        <v>0</v>
      </c>
      <c r="N494">
        <v>0</v>
      </c>
      <c r="O494" s="2">
        <f t="shared" si="73"/>
        <v>1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 s="2">
        <f t="shared" si="74"/>
        <v>0</v>
      </c>
      <c r="W494">
        <v>19.5</v>
      </c>
      <c r="X494" s="2">
        <f t="shared" si="75"/>
        <v>1</v>
      </c>
      <c r="Y494">
        <v>297.5</v>
      </c>
      <c r="Z494" s="2" t="str">
        <f>CHOOSE(MATCH(Y494,{0;11;80;111;161;191;241;281;341},1),"North","NorthEast","East","SouthEast","South","SouthWest","West","NorthWest","North")</f>
        <v>NorthWest</v>
      </c>
      <c r="AA494" s="4">
        <f>CHOOSE(MATCH(Z494,{"South";"SouthEast";"SouthWest";"North";"NorthEast";"East";"West";"NorthWest"},0),1,2,3,4,5,6,7,8)</f>
        <v>8</v>
      </c>
      <c r="AB494" s="2">
        <f t="shared" si="76"/>
        <v>1</v>
      </c>
      <c r="AC494">
        <v>1025.2</v>
      </c>
      <c r="AD494" t="s">
        <v>195</v>
      </c>
      <c r="AE494" s="2">
        <f t="shared" si="77"/>
        <v>1</v>
      </c>
      <c r="AF494" t="s">
        <v>796</v>
      </c>
      <c r="AG494" s="2">
        <f t="shared" si="78"/>
        <v>3</v>
      </c>
      <c r="AH494" s="2">
        <f t="shared" si="79"/>
        <v>0</v>
      </c>
      <c r="AI494" s="3">
        <v>351.00000000209548</v>
      </c>
      <c r="AJ494" s="2">
        <v>0</v>
      </c>
      <c r="AK494">
        <v>0</v>
      </c>
      <c r="AL494">
        <v>10</v>
      </c>
      <c r="AM494">
        <v>0</v>
      </c>
      <c r="AN494" s="2">
        <f>IF((2*G494+M494-O494+3*V494+2*AB494+2*AE494+2*AH494+3*AJ494)&gt;=7,1,0)</f>
        <v>0</v>
      </c>
    </row>
    <row r="495" spans="1:40" x14ac:dyDescent="0.25">
      <c r="A495" t="s">
        <v>27</v>
      </c>
      <c r="B495" s="1">
        <v>38429</v>
      </c>
      <c r="C495" s="6">
        <f t="shared" si="70"/>
        <v>2005</v>
      </c>
      <c r="D495">
        <v>66.3</v>
      </c>
      <c r="E495">
        <v>48.3</v>
      </c>
      <c r="F495">
        <v>56.9</v>
      </c>
      <c r="G495" s="2">
        <f t="shared" si="71"/>
        <v>0</v>
      </c>
      <c r="H495">
        <v>66.3</v>
      </c>
      <c r="I495">
        <v>45.2</v>
      </c>
      <c r="J495">
        <v>56.4</v>
      </c>
      <c r="K495">
        <v>42.3</v>
      </c>
      <c r="L495">
        <v>59.7</v>
      </c>
      <c r="M495" s="2">
        <f t="shared" si="72"/>
        <v>1</v>
      </c>
      <c r="N495">
        <v>0</v>
      </c>
      <c r="O495" s="2">
        <f t="shared" si="73"/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 s="2">
        <f t="shared" si="74"/>
        <v>0</v>
      </c>
      <c r="W495">
        <v>8.1</v>
      </c>
      <c r="X495" s="2">
        <f t="shared" si="75"/>
        <v>0</v>
      </c>
      <c r="Y495">
        <v>154</v>
      </c>
      <c r="Z495" s="2" t="str">
        <f>CHOOSE(MATCH(Y495,{0;11;80;111;161;191;241;281;341},1),"North","NorthEast","East","SouthEast","South","SouthWest","West","NorthWest","North")</f>
        <v>SouthEast</v>
      </c>
      <c r="AA495" s="4">
        <f>CHOOSE(MATCH(Z495,{"South";"SouthEast";"SouthWest";"North";"NorthEast";"East";"West";"NorthWest"},0),1,2,3,4,5,6,7,8)</f>
        <v>2</v>
      </c>
      <c r="AB495" s="2">
        <f t="shared" si="76"/>
        <v>0</v>
      </c>
      <c r="AC495">
        <v>1022.6</v>
      </c>
      <c r="AD495" t="s">
        <v>797</v>
      </c>
      <c r="AE495" s="2">
        <f t="shared" si="77"/>
        <v>1</v>
      </c>
      <c r="AF495" t="s">
        <v>798</v>
      </c>
      <c r="AG495" s="2">
        <f t="shared" si="78"/>
        <v>3</v>
      </c>
      <c r="AH495" s="2">
        <f t="shared" si="79"/>
        <v>0</v>
      </c>
      <c r="AI495" s="3">
        <v>403.99999999674043</v>
      </c>
      <c r="AJ495" s="2">
        <v>1</v>
      </c>
      <c r="AK495">
        <v>0</v>
      </c>
      <c r="AL495">
        <v>30</v>
      </c>
      <c r="AM495">
        <v>0</v>
      </c>
      <c r="AN495" s="2">
        <f>IF((2*G495+M495-O495+3*V495+2*AB495+2*AE495+2*AH495+3*AJ495)&gt;=7,1,0)</f>
        <v>0</v>
      </c>
    </row>
    <row r="496" spans="1:40" x14ac:dyDescent="0.25">
      <c r="A496" t="s">
        <v>27</v>
      </c>
      <c r="B496" s="1">
        <v>38430</v>
      </c>
      <c r="C496" s="6">
        <f t="shared" si="70"/>
        <v>2005</v>
      </c>
      <c r="D496">
        <v>66.3</v>
      </c>
      <c r="E496">
        <v>46.5</v>
      </c>
      <c r="F496">
        <v>56.6</v>
      </c>
      <c r="G496" s="2">
        <f t="shared" si="71"/>
        <v>0</v>
      </c>
      <c r="H496">
        <v>66.3</v>
      </c>
      <c r="I496">
        <v>42</v>
      </c>
      <c r="J496">
        <v>55.8</v>
      </c>
      <c r="K496">
        <v>46.7</v>
      </c>
      <c r="L496">
        <v>69.7</v>
      </c>
      <c r="M496" s="2">
        <f t="shared" si="72"/>
        <v>0</v>
      </c>
      <c r="N496">
        <v>0</v>
      </c>
      <c r="O496" s="2">
        <f t="shared" si="73"/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 s="2">
        <f t="shared" si="74"/>
        <v>0</v>
      </c>
      <c r="W496">
        <v>9.1999999999999993</v>
      </c>
      <c r="X496" s="2">
        <f t="shared" si="75"/>
        <v>0</v>
      </c>
      <c r="Y496">
        <v>160</v>
      </c>
      <c r="Z496" s="2" t="str">
        <f>CHOOSE(MATCH(Y496,{0;11;80;111;161;191;241;281;341},1),"North","NorthEast","East","SouthEast","South","SouthWest","West","NorthWest","North")</f>
        <v>SouthEast</v>
      </c>
      <c r="AA496" s="4">
        <f>CHOOSE(MATCH(Z496,{"South";"SouthEast";"SouthWest";"North";"NorthEast";"East";"West";"NorthWest"},0),1,2,3,4,5,6,7,8)</f>
        <v>2</v>
      </c>
      <c r="AB496" s="2">
        <f t="shared" si="76"/>
        <v>0</v>
      </c>
      <c r="AC496">
        <v>1016.9</v>
      </c>
      <c r="AD496" t="s">
        <v>799</v>
      </c>
      <c r="AE496" s="2">
        <f t="shared" si="77"/>
        <v>1</v>
      </c>
      <c r="AF496" t="s">
        <v>800</v>
      </c>
      <c r="AG496" s="2">
        <f t="shared" si="78"/>
        <v>3</v>
      </c>
      <c r="AH496" s="2">
        <f t="shared" si="79"/>
        <v>0</v>
      </c>
      <c r="AI496" s="3">
        <v>2839.9999999953429</v>
      </c>
      <c r="AJ496" s="2">
        <v>1</v>
      </c>
      <c r="AK496">
        <v>0</v>
      </c>
      <c r="AL496">
        <v>70</v>
      </c>
      <c r="AM496">
        <v>0</v>
      </c>
      <c r="AN496" s="2">
        <f>IF((2*G496+M496-O496+3*V496+2*AB496+2*AE496+2*AH496+3*AJ496)&gt;=7,1,0)</f>
        <v>0</v>
      </c>
    </row>
    <row r="497" spans="1:40" x14ac:dyDescent="0.25">
      <c r="A497" t="s">
        <v>27</v>
      </c>
      <c r="B497" s="1">
        <v>38432</v>
      </c>
      <c r="C497" s="6">
        <f t="shared" si="70"/>
        <v>2005</v>
      </c>
      <c r="D497">
        <v>60.9</v>
      </c>
      <c r="E497">
        <v>53.7</v>
      </c>
      <c r="F497">
        <v>58.2</v>
      </c>
      <c r="G497" s="2">
        <f t="shared" si="71"/>
        <v>0</v>
      </c>
      <c r="H497">
        <v>60.9</v>
      </c>
      <c r="I497">
        <v>53.7</v>
      </c>
      <c r="J497">
        <v>58.2</v>
      </c>
      <c r="K497">
        <v>49.8</v>
      </c>
      <c r="L497">
        <v>73.8</v>
      </c>
      <c r="M497" s="2">
        <f t="shared" si="72"/>
        <v>0</v>
      </c>
      <c r="N497">
        <v>0</v>
      </c>
      <c r="O497" s="2">
        <f t="shared" si="73"/>
        <v>1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 s="2">
        <f t="shared" si="74"/>
        <v>0</v>
      </c>
      <c r="W497">
        <v>9.1999999999999993</v>
      </c>
      <c r="X497" s="2">
        <f t="shared" si="75"/>
        <v>0</v>
      </c>
      <c r="Y497">
        <v>41.9</v>
      </c>
      <c r="Z497" s="2" t="str">
        <f>CHOOSE(MATCH(Y497,{0;11;80;111;161;191;241;281;341},1),"North","NorthEast","East","SouthEast","South","SouthWest","West","NorthWest","North")</f>
        <v>NorthEast</v>
      </c>
      <c r="AA497" s="4">
        <f>CHOOSE(MATCH(Z497,{"South";"SouthEast";"SouthWest";"North";"NorthEast";"East";"West";"NorthWest"},0),1,2,3,4,5,6,7,8)</f>
        <v>5</v>
      </c>
      <c r="AB497" s="2">
        <f t="shared" si="76"/>
        <v>1</v>
      </c>
      <c r="AC497">
        <v>1016.6</v>
      </c>
      <c r="AD497" t="s">
        <v>699</v>
      </c>
      <c r="AE497" s="2">
        <f t="shared" si="77"/>
        <v>1</v>
      </c>
      <c r="AF497" t="s">
        <v>801</v>
      </c>
      <c r="AG497" s="2">
        <f t="shared" si="78"/>
        <v>3</v>
      </c>
      <c r="AH497" s="2">
        <f t="shared" si="79"/>
        <v>0</v>
      </c>
      <c r="AI497" s="3">
        <v>450</v>
      </c>
      <c r="AJ497" s="2">
        <v>1</v>
      </c>
      <c r="AK497">
        <v>0</v>
      </c>
      <c r="AL497">
        <v>0.5</v>
      </c>
      <c r="AM497">
        <v>0</v>
      </c>
      <c r="AN497" s="2">
        <f>IF((2*G497+M497-O497+3*V497+2*AB497+2*AE497+2*AH497+3*AJ497)&gt;=7,1,0)</f>
        <v>0</v>
      </c>
    </row>
    <row r="498" spans="1:40" x14ac:dyDescent="0.25">
      <c r="A498" t="s">
        <v>27</v>
      </c>
      <c r="B498" s="1">
        <v>38437</v>
      </c>
      <c r="C498" s="6">
        <f t="shared" si="70"/>
        <v>2005</v>
      </c>
      <c r="D498">
        <v>66.3</v>
      </c>
      <c r="E498">
        <v>50.1</v>
      </c>
      <c r="F498">
        <v>58.1</v>
      </c>
      <c r="G498" s="2">
        <f t="shared" si="71"/>
        <v>0</v>
      </c>
      <c r="H498">
        <v>66.3</v>
      </c>
      <c r="I498">
        <v>50.1</v>
      </c>
      <c r="J498">
        <v>58.1</v>
      </c>
      <c r="K498">
        <v>45.9</v>
      </c>
      <c r="L498">
        <v>64.5</v>
      </c>
      <c r="M498" s="2">
        <f t="shared" si="72"/>
        <v>1</v>
      </c>
      <c r="N498">
        <v>0</v>
      </c>
      <c r="O498" s="2">
        <f t="shared" si="73"/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s="2">
        <f t="shared" si="74"/>
        <v>0</v>
      </c>
      <c r="W498">
        <v>10.3</v>
      </c>
      <c r="X498" s="2">
        <f t="shared" si="75"/>
        <v>0</v>
      </c>
      <c r="Y498">
        <v>148.1</v>
      </c>
      <c r="Z498" s="2" t="str">
        <f>CHOOSE(MATCH(Y498,{0;11;80;111;161;191;241;281;341},1),"North","NorthEast","East","SouthEast","South","SouthWest","West","NorthWest","North")</f>
        <v>SouthEast</v>
      </c>
      <c r="AA498" s="4">
        <f>CHOOSE(MATCH(Z498,{"South";"SouthEast";"SouthWest";"North";"NorthEast";"East";"West";"NorthWest"},0),1,2,3,4,5,6,7,8)</f>
        <v>2</v>
      </c>
      <c r="AB498" s="2">
        <f t="shared" si="76"/>
        <v>0</v>
      </c>
      <c r="AC498">
        <v>1018.8</v>
      </c>
      <c r="AD498" t="s">
        <v>397</v>
      </c>
      <c r="AE498" s="2">
        <f t="shared" si="77"/>
        <v>1</v>
      </c>
      <c r="AF498" t="s">
        <v>802</v>
      </c>
      <c r="AG498" s="2">
        <f t="shared" si="78"/>
        <v>3</v>
      </c>
      <c r="AH498" s="2">
        <f t="shared" si="79"/>
        <v>0</v>
      </c>
      <c r="AI498" s="3">
        <v>460.00000000116421</v>
      </c>
      <c r="AJ498" s="2">
        <v>1</v>
      </c>
      <c r="AK498">
        <v>0</v>
      </c>
      <c r="AL498">
        <v>10</v>
      </c>
      <c r="AM498">
        <v>0</v>
      </c>
      <c r="AN498" s="2">
        <f>IF((2*G498+M498-O498+3*V498+2*AB498+2*AE498+2*AH498+3*AJ498)&gt;=7,1,0)</f>
        <v>0</v>
      </c>
    </row>
    <row r="499" spans="1:40" x14ac:dyDescent="0.25">
      <c r="A499" t="s">
        <v>27</v>
      </c>
      <c r="B499" s="1">
        <v>38437</v>
      </c>
      <c r="C499" s="6">
        <f t="shared" si="70"/>
        <v>2005</v>
      </c>
      <c r="D499">
        <v>66.3</v>
      </c>
      <c r="E499">
        <v>50.1</v>
      </c>
      <c r="F499">
        <v>58.1</v>
      </c>
      <c r="G499" s="2">
        <f t="shared" si="71"/>
        <v>0</v>
      </c>
      <c r="H499">
        <v>66.3</v>
      </c>
      <c r="I499">
        <v>50.1</v>
      </c>
      <c r="J499">
        <v>58.1</v>
      </c>
      <c r="K499">
        <v>45.9</v>
      </c>
      <c r="L499">
        <v>64.5</v>
      </c>
      <c r="M499" s="2">
        <f t="shared" si="72"/>
        <v>1</v>
      </c>
      <c r="N499">
        <v>0</v>
      </c>
      <c r="O499" s="2">
        <f t="shared" si="73"/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s="2">
        <f t="shared" si="74"/>
        <v>0</v>
      </c>
      <c r="W499">
        <v>10.3</v>
      </c>
      <c r="X499" s="2">
        <f t="shared" si="75"/>
        <v>0</v>
      </c>
      <c r="Y499">
        <v>148.1</v>
      </c>
      <c r="Z499" s="2" t="str">
        <f>CHOOSE(MATCH(Y499,{0;11;80;111;161;191;241;281;341},1),"North","NorthEast","East","SouthEast","South","SouthWest","West","NorthWest","North")</f>
        <v>SouthEast</v>
      </c>
      <c r="AA499" s="4">
        <f>CHOOSE(MATCH(Z499,{"South";"SouthEast";"SouthWest";"North";"NorthEast";"East";"West";"NorthWest"},0),1,2,3,4,5,6,7,8)</f>
        <v>2</v>
      </c>
      <c r="AB499" s="2">
        <f t="shared" si="76"/>
        <v>0</v>
      </c>
      <c r="AC499">
        <v>1018.8</v>
      </c>
      <c r="AD499" t="s">
        <v>135</v>
      </c>
      <c r="AE499" s="2">
        <f t="shared" si="77"/>
        <v>0</v>
      </c>
      <c r="AF499" t="s">
        <v>803</v>
      </c>
      <c r="AG499" s="2">
        <f t="shared" si="78"/>
        <v>3</v>
      </c>
      <c r="AH499" s="2">
        <f t="shared" si="79"/>
        <v>0</v>
      </c>
      <c r="AI499" s="3">
        <v>420.99999999976723</v>
      </c>
      <c r="AJ499" s="2">
        <v>1</v>
      </c>
      <c r="AK499">
        <v>0</v>
      </c>
      <c r="AL499">
        <v>10</v>
      </c>
      <c r="AM499">
        <v>0</v>
      </c>
      <c r="AN499" s="2">
        <f>IF((2*G499+M499-O499+3*V499+2*AB499+2*AE499+2*AH499+3*AJ499)&gt;=7,1,0)</f>
        <v>0</v>
      </c>
    </row>
    <row r="500" spans="1:40" x14ac:dyDescent="0.25">
      <c r="A500" t="s">
        <v>27</v>
      </c>
      <c r="B500" s="1">
        <v>38439</v>
      </c>
      <c r="C500" s="6">
        <f t="shared" si="70"/>
        <v>2005</v>
      </c>
      <c r="D500">
        <v>80.7</v>
      </c>
      <c r="E500">
        <v>59.1</v>
      </c>
      <c r="F500">
        <v>71.2</v>
      </c>
      <c r="G500" s="2">
        <f t="shared" si="71"/>
        <v>1</v>
      </c>
      <c r="H500">
        <v>79.3</v>
      </c>
      <c r="I500">
        <v>59.1</v>
      </c>
      <c r="J500">
        <v>71.2</v>
      </c>
      <c r="K500">
        <v>37.200000000000003</v>
      </c>
      <c r="L500">
        <v>29.6</v>
      </c>
      <c r="M500" s="2">
        <f t="shared" si="72"/>
        <v>1</v>
      </c>
      <c r="N500">
        <v>0</v>
      </c>
      <c r="O500" s="2">
        <f t="shared" si="73"/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 s="2">
        <f t="shared" si="74"/>
        <v>0</v>
      </c>
      <c r="W500">
        <v>31.1</v>
      </c>
      <c r="X500" s="2">
        <f t="shared" si="75"/>
        <v>1</v>
      </c>
      <c r="Y500">
        <v>169.4</v>
      </c>
      <c r="Z500" s="2" t="str">
        <f>CHOOSE(MATCH(Y500,{0;11;80;111;161;191;241;281;341},1),"North","NorthEast","East","SouthEast","South","SouthWest","West","NorthWest","North")</f>
        <v>South</v>
      </c>
      <c r="AA500" s="4">
        <f>CHOOSE(MATCH(Z500,{"South";"SouthEast";"SouthWest";"North";"NorthEast";"East";"West";"NorthWest"},0),1,2,3,4,5,6,7,8)</f>
        <v>1</v>
      </c>
      <c r="AB500" s="2">
        <f t="shared" si="76"/>
        <v>0</v>
      </c>
      <c r="AC500">
        <v>1013</v>
      </c>
      <c r="AD500" t="s">
        <v>631</v>
      </c>
      <c r="AE500" s="2">
        <f t="shared" si="77"/>
        <v>1</v>
      </c>
      <c r="AF500" t="s">
        <v>804</v>
      </c>
      <c r="AG500" s="2">
        <f t="shared" si="78"/>
        <v>3</v>
      </c>
      <c r="AH500" s="2">
        <f t="shared" si="79"/>
        <v>0</v>
      </c>
      <c r="AI500" s="3">
        <v>1769.999999996508</v>
      </c>
      <c r="AJ500" s="2">
        <v>1</v>
      </c>
      <c r="AK500">
        <v>35</v>
      </c>
      <c r="AL500">
        <v>0</v>
      </c>
      <c r="AM500">
        <v>0</v>
      </c>
      <c r="AN500" s="2">
        <f>IF((2*G500+M500-O500+3*V500+2*AB500+2*AE500+2*AH500+3*AJ500)&gt;=7,1,0)</f>
        <v>1</v>
      </c>
    </row>
    <row r="501" spans="1:40" x14ac:dyDescent="0.25">
      <c r="A501" t="s">
        <v>27</v>
      </c>
      <c r="B501" s="1">
        <v>38439</v>
      </c>
      <c r="C501" s="6">
        <f t="shared" si="70"/>
        <v>2005</v>
      </c>
      <c r="D501">
        <v>80.7</v>
      </c>
      <c r="E501">
        <v>59.1</v>
      </c>
      <c r="F501">
        <v>71.2</v>
      </c>
      <c r="G501" s="2">
        <f t="shared" si="71"/>
        <v>1</v>
      </c>
      <c r="H501">
        <v>79.3</v>
      </c>
      <c r="I501">
        <v>59.1</v>
      </c>
      <c r="J501">
        <v>71.2</v>
      </c>
      <c r="K501">
        <v>37.200000000000003</v>
      </c>
      <c r="L501">
        <v>29.6</v>
      </c>
      <c r="M501" s="2">
        <f t="shared" si="72"/>
        <v>1</v>
      </c>
      <c r="N501">
        <v>0</v>
      </c>
      <c r="O501" s="2">
        <f t="shared" si="73"/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s="2">
        <f t="shared" si="74"/>
        <v>0</v>
      </c>
      <c r="W501">
        <v>31.1</v>
      </c>
      <c r="X501" s="2">
        <f t="shared" si="75"/>
        <v>1</v>
      </c>
      <c r="Y501">
        <v>169.4</v>
      </c>
      <c r="Z501" s="2" t="str">
        <f>CHOOSE(MATCH(Y501,{0;11;80;111;161;191;241;281;341},1),"North","NorthEast","East","SouthEast","South","SouthWest","West","NorthWest","North")</f>
        <v>South</v>
      </c>
      <c r="AA501" s="4">
        <f>CHOOSE(MATCH(Z501,{"South";"SouthEast";"SouthWest";"North";"NorthEast";"East";"West";"NorthWest"},0),1,2,3,4,5,6,7,8)</f>
        <v>1</v>
      </c>
      <c r="AB501" s="2">
        <f t="shared" si="76"/>
        <v>0</v>
      </c>
      <c r="AC501">
        <v>1013</v>
      </c>
      <c r="AD501" t="s">
        <v>261</v>
      </c>
      <c r="AE501" s="2">
        <f t="shared" si="77"/>
        <v>1</v>
      </c>
      <c r="AF501" t="s">
        <v>805</v>
      </c>
      <c r="AG501" s="2">
        <f t="shared" si="78"/>
        <v>3</v>
      </c>
      <c r="AH501" s="2">
        <f t="shared" si="79"/>
        <v>0</v>
      </c>
      <c r="AI501" s="3">
        <v>696.00000000558794</v>
      </c>
      <c r="AJ501" s="2">
        <v>1</v>
      </c>
      <c r="AK501">
        <v>0</v>
      </c>
      <c r="AL501">
        <v>15</v>
      </c>
      <c r="AM501">
        <v>0</v>
      </c>
      <c r="AN501" s="2">
        <f>IF((2*G501+M501-O501+3*V501+2*AB501+2*AE501+2*AH501+3*AJ501)&gt;=7,1,0)</f>
        <v>1</v>
      </c>
    </row>
    <row r="502" spans="1:40" x14ac:dyDescent="0.25">
      <c r="A502" t="s">
        <v>27</v>
      </c>
      <c r="B502" s="1">
        <v>38440</v>
      </c>
      <c r="C502" s="6">
        <f t="shared" si="70"/>
        <v>2005</v>
      </c>
      <c r="D502">
        <v>71.7</v>
      </c>
      <c r="E502">
        <v>57.3</v>
      </c>
      <c r="F502">
        <v>62.4</v>
      </c>
      <c r="G502" s="2">
        <f t="shared" si="71"/>
        <v>0</v>
      </c>
      <c r="H502">
        <v>71.7</v>
      </c>
      <c r="I502">
        <v>57.3</v>
      </c>
      <c r="J502">
        <v>62.4</v>
      </c>
      <c r="K502">
        <v>50.2</v>
      </c>
      <c r="L502">
        <v>65.400000000000006</v>
      </c>
      <c r="M502" s="2">
        <f t="shared" si="72"/>
        <v>1</v>
      </c>
      <c r="N502">
        <v>0</v>
      </c>
      <c r="O502" s="2">
        <f t="shared" si="73"/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s="2">
        <f t="shared" si="74"/>
        <v>0</v>
      </c>
      <c r="W502">
        <v>16.100000000000001</v>
      </c>
      <c r="X502" s="2">
        <f t="shared" si="75"/>
        <v>1</v>
      </c>
      <c r="Y502">
        <v>316.89999999999998</v>
      </c>
      <c r="Z502" s="2" t="str">
        <f>CHOOSE(MATCH(Y502,{0;11;80;111;161;191;241;281;341},1),"North","NorthEast","East","SouthEast","South","SouthWest","West","NorthWest","North")</f>
        <v>NorthWest</v>
      </c>
      <c r="AA502" s="4">
        <f>CHOOSE(MATCH(Z502,{"South";"SouthEast";"SouthWest";"North";"NorthEast";"East";"West";"NorthWest"},0),1,2,3,4,5,6,7,8)</f>
        <v>8</v>
      </c>
      <c r="AB502" s="2">
        <f t="shared" si="76"/>
        <v>1</v>
      </c>
      <c r="AC502">
        <v>1012</v>
      </c>
      <c r="AD502" t="s">
        <v>317</v>
      </c>
      <c r="AE502" s="2">
        <f t="shared" si="77"/>
        <v>1</v>
      </c>
      <c r="AF502" t="s">
        <v>806</v>
      </c>
      <c r="AG502" s="2">
        <f t="shared" si="78"/>
        <v>3</v>
      </c>
      <c r="AH502" s="2">
        <f t="shared" si="79"/>
        <v>0</v>
      </c>
      <c r="AI502" s="3">
        <v>91.000000003259629</v>
      </c>
      <c r="AJ502" s="2">
        <v>0</v>
      </c>
      <c r="AK502">
        <v>0</v>
      </c>
      <c r="AL502">
        <v>1</v>
      </c>
      <c r="AM502">
        <v>0</v>
      </c>
      <c r="AN502" s="2">
        <f>IF((2*G502+M502-O502+3*V502+2*AB502+2*AE502+2*AH502+3*AJ502)&gt;=7,1,0)</f>
        <v>0</v>
      </c>
    </row>
    <row r="503" spans="1:40" x14ac:dyDescent="0.25">
      <c r="A503" t="s">
        <v>27</v>
      </c>
      <c r="B503" s="1">
        <v>38441</v>
      </c>
      <c r="C503" s="6">
        <f t="shared" si="70"/>
        <v>2005</v>
      </c>
      <c r="D503">
        <v>66.3</v>
      </c>
      <c r="E503">
        <v>55.5</v>
      </c>
      <c r="F503">
        <v>60.7</v>
      </c>
      <c r="G503" s="2">
        <f t="shared" si="71"/>
        <v>0</v>
      </c>
      <c r="H503">
        <v>66.3</v>
      </c>
      <c r="I503">
        <v>55.5</v>
      </c>
      <c r="J503">
        <v>60.7</v>
      </c>
      <c r="K503">
        <v>52.7</v>
      </c>
      <c r="L503">
        <v>75.3</v>
      </c>
      <c r="M503" s="2">
        <f t="shared" si="72"/>
        <v>0</v>
      </c>
      <c r="N503">
        <v>0</v>
      </c>
      <c r="O503" s="2">
        <f t="shared" si="73"/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s="2">
        <f t="shared" si="74"/>
        <v>0</v>
      </c>
      <c r="W503">
        <v>9.1999999999999993</v>
      </c>
      <c r="X503" s="2">
        <f t="shared" si="75"/>
        <v>0</v>
      </c>
      <c r="Y503">
        <v>65.2</v>
      </c>
      <c r="Z503" s="2" t="str">
        <f>CHOOSE(MATCH(Y503,{0;11;80;111;161;191;241;281;341},1),"North","NorthEast","East","SouthEast","South","SouthWest","West","NorthWest","North")</f>
        <v>NorthEast</v>
      </c>
      <c r="AA503" s="4">
        <f>CHOOSE(MATCH(Z503,{"South";"SouthEast";"SouthWest";"North";"NorthEast";"East";"West";"NorthWest"},0),1,2,3,4,5,6,7,8)</f>
        <v>5</v>
      </c>
      <c r="AB503" s="2">
        <f t="shared" si="76"/>
        <v>1</v>
      </c>
      <c r="AC503">
        <v>1011</v>
      </c>
      <c r="AD503" t="s">
        <v>73</v>
      </c>
      <c r="AE503" s="2">
        <f t="shared" si="77"/>
        <v>1</v>
      </c>
      <c r="AF503" t="s">
        <v>807</v>
      </c>
      <c r="AG503" s="2">
        <f t="shared" si="78"/>
        <v>3</v>
      </c>
      <c r="AH503" s="2">
        <f t="shared" si="79"/>
        <v>0</v>
      </c>
      <c r="AI503" s="3">
        <v>329.99999999650748</v>
      </c>
      <c r="AJ503" s="2">
        <v>0</v>
      </c>
      <c r="AK503">
        <v>0</v>
      </c>
      <c r="AL503">
        <v>3</v>
      </c>
      <c r="AM503">
        <v>0</v>
      </c>
      <c r="AN503" s="2">
        <f>IF((2*G503+M503-O503+3*V503+2*AB503+2*AE503+2*AH503+3*AJ503)&gt;=7,1,0)</f>
        <v>0</v>
      </c>
    </row>
    <row r="504" spans="1:40" x14ac:dyDescent="0.25">
      <c r="A504" t="s">
        <v>27</v>
      </c>
      <c r="B504" s="1">
        <v>38443</v>
      </c>
      <c r="C504" s="6">
        <f t="shared" si="70"/>
        <v>2005</v>
      </c>
      <c r="D504">
        <v>57.3</v>
      </c>
      <c r="E504">
        <v>51.9</v>
      </c>
      <c r="F504">
        <v>53</v>
      </c>
      <c r="G504" s="2">
        <f t="shared" si="71"/>
        <v>0</v>
      </c>
      <c r="H504">
        <v>57.3</v>
      </c>
      <c r="I504">
        <v>51.9</v>
      </c>
      <c r="J504">
        <v>53</v>
      </c>
      <c r="K504">
        <v>43</v>
      </c>
      <c r="L504">
        <v>69.2</v>
      </c>
      <c r="M504" s="2">
        <f t="shared" si="72"/>
        <v>0</v>
      </c>
      <c r="N504">
        <v>0.35</v>
      </c>
      <c r="O504" s="2">
        <f t="shared" si="73"/>
        <v>0</v>
      </c>
      <c r="P504">
        <v>100</v>
      </c>
      <c r="Q504">
        <v>4.17</v>
      </c>
      <c r="R504" t="s">
        <v>182</v>
      </c>
      <c r="S504">
        <v>0</v>
      </c>
      <c r="T504">
        <v>0</v>
      </c>
      <c r="U504">
        <v>0</v>
      </c>
      <c r="V504" s="2">
        <f t="shared" si="74"/>
        <v>0</v>
      </c>
      <c r="W504">
        <v>31.1</v>
      </c>
      <c r="X504" s="2">
        <f t="shared" si="75"/>
        <v>1</v>
      </c>
      <c r="Y504">
        <v>320.60000000000002</v>
      </c>
      <c r="Z504" s="2" t="str">
        <f>CHOOSE(MATCH(Y504,{0;11;80;111;161;191;241;281;341},1),"North","NorthEast","East","SouthEast","South","SouthWest","West","NorthWest","North")</f>
        <v>NorthWest</v>
      </c>
      <c r="AA504" s="4">
        <f>CHOOSE(MATCH(Z504,{"South";"SouthEast";"SouthWest";"North";"NorthEast";"East";"West";"NorthWest"},0),1,2,3,4,5,6,7,8)</f>
        <v>8</v>
      </c>
      <c r="AB504" s="2">
        <f t="shared" si="76"/>
        <v>1</v>
      </c>
      <c r="AC504">
        <v>1012</v>
      </c>
      <c r="AD504" t="s">
        <v>32</v>
      </c>
      <c r="AE504" s="2">
        <f t="shared" si="77"/>
        <v>1</v>
      </c>
      <c r="AF504" t="s">
        <v>808</v>
      </c>
      <c r="AG504" s="2">
        <f t="shared" si="78"/>
        <v>4</v>
      </c>
      <c r="AH504" s="2">
        <f t="shared" si="79"/>
        <v>0</v>
      </c>
      <c r="AI504" s="3">
        <v>140.99999999860299</v>
      </c>
      <c r="AJ504" s="2">
        <v>0</v>
      </c>
      <c r="AK504">
        <v>0</v>
      </c>
      <c r="AL504">
        <v>5</v>
      </c>
      <c r="AM504">
        <v>0</v>
      </c>
      <c r="AN504" s="2">
        <f>IF((2*G504+M504-O504+3*V504+2*AB504+2*AE504+2*AH504+3*AJ504)&gt;=7,1,0)</f>
        <v>0</v>
      </c>
    </row>
    <row r="505" spans="1:40" x14ac:dyDescent="0.25">
      <c r="A505" t="s">
        <v>27</v>
      </c>
      <c r="B505" s="1">
        <v>38445</v>
      </c>
      <c r="C505" s="6">
        <f t="shared" si="70"/>
        <v>2005</v>
      </c>
      <c r="D505">
        <v>53.7</v>
      </c>
      <c r="E505">
        <v>50.1</v>
      </c>
      <c r="F505">
        <v>50.6</v>
      </c>
      <c r="G505" s="2">
        <f t="shared" si="71"/>
        <v>0</v>
      </c>
      <c r="H505">
        <v>53.7</v>
      </c>
      <c r="I505">
        <v>50.1</v>
      </c>
      <c r="J505">
        <v>50.6</v>
      </c>
      <c r="K505">
        <v>31.9</v>
      </c>
      <c r="L505">
        <v>48.7</v>
      </c>
      <c r="M505" s="2">
        <f t="shared" si="72"/>
        <v>1</v>
      </c>
      <c r="N505">
        <v>0</v>
      </c>
      <c r="O505" s="2">
        <f t="shared" si="73"/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s="2">
        <f t="shared" si="74"/>
        <v>0</v>
      </c>
      <c r="W505">
        <v>28.9</v>
      </c>
      <c r="X505" s="2">
        <f t="shared" si="75"/>
        <v>1</v>
      </c>
      <c r="Y505">
        <v>327.39999999999998</v>
      </c>
      <c r="Z505" s="2" t="str">
        <f>CHOOSE(MATCH(Y505,{0;11;80;111;161;191;241;281;341},1),"North","NorthEast","East","SouthEast","South","SouthWest","West","NorthWest","North")</f>
        <v>NorthWest</v>
      </c>
      <c r="AA505" s="4">
        <f>CHOOSE(MATCH(Z505,{"South";"SouthEast";"SouthWest";"North";"NorthEast";"East";"West";"NorthWest"},0),1,2,3,4,5,6,7,8)</f>
        <v>8</v>
      </c>
      <c r="AB505" s="2">
        <f t="shared" si="76"/>
        <v>1</v>
      </c>
      <c r="AC505">
        <v>1025.7</v>
      </c>
      <c r="AD505" t="s">
        <v>809</v>
      </c>
      <c r="AE505" s="2">
        <f t="shared" si="77"/>
        <v>1</v>
      </c>
      <c r="AF505" t="s">
        <v>810</v>
      </c>
      <c r="AG505" s="2">
        <f t="shared" si="78"/>
        <v>4</v>
      </c>
      <c r="AH505" s="2">
        <f t="shared" si="79"/>
        <v>0</v>
      </c>
      <c r="AI505" s="3">
        <v>1786.9999999995341</v>
      </c>
      <c r="AJ505" s="2">
        <v>1</v>
      </c>
      <c r="AK505">
        <v>0</v>
      </c>
      <c r="AL505">
        <v>6</v>
      </c>
      <c r="AM505">
        <v>0</v>
      </c>
      <c r="AN505" s="2">
        <f>IF((2*G505+M505-O505+3*V505+2*AB505+2*AE505+2*AH505+3*AJ505)&gt;=7,1,0)</f>
        <v>1</v>
      </c>
    </row>
    <row r="506" spans="1:40" x14ac:dyDescent="0.25">
      <c r="A506" t="s">
        <v>27</v>
      </c>
      <c r="B506" s="1">
        <v>38446</v>
      </c>
      <c r="C506" s="6">
        <f t="shared" si="70"/>
        <v>2005</v>
      </c>
      <c r="D506">
        <v>55.5</v>
      </c>
      <c r="E506">
        <v>51.9</v>
      </c>
      <c r="F506">
        <v>53.4</v>
      </c>
      <c r="G506" s="2">
        <f t="shared" si="71"/>
        <v>0</v>
      </c>
      <c r="H506">
        <v>55.5</v>
      </c>
      <c r="I506">
        <v>51.9</v>
      </c>
      <c r="J506">
        <v>53.4</v>
      </c>
      <c r="K506">
        <v>31.9</v>
      </c>
      <c r="L506">
        <v>43.9</v>
      </c>
      <c r="M506" s="2">
        <f t="shared" si="72"/>
        <v>1</v>
      </c>
      <c r="N506">
        <v>0</v>
      </c>
      <c r="O506" s="2">
        <f t="shared" si="73"/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s="2">
        <f t="shared" si="74"/>
        <v>0</v>
      </c>
      <c r="W506">
        <v>18.3</v>
      </c>
      <c r="X506" s="2">
        <f t="shared" si="75"/>
        <v>1</v>
      </c>
      <c r="Y506">
        <v>321.60000000000002</v>
      </c>
      <c r="Z506" s="2" t="str">
        <f>CHOOSE(MATCH(Y506,{0;11;80;111;161;191;241;281;341},1),"North","NorthEast","East","SouthEast","South","SouthWest","West","NorthWest","North")</f>
        <v>NorthWest</v>
      </c>
      <c r="AA506" s="4">
        <f>CHOOSE(MATCH(Z506,{"South";"SouthEast";"SouthWest";"North";"NorthEast";"East";"West";"NorthWest"},0),1,2,3,4,5,6,7,8)</f>
        <v>8</v>
      </c>
      <c r="AB506" s="2">
        <f t="shared" si="76"/>
        <v>1</v>
      </c>
      <c r="AC506">
        <v>1028.4000000000001</v>
      </c>
      <c r="AD506" t="s">
        <v>193</v>
      </c>
      <c r="AE506" s="2">
        <f t="shared" si="77"/>
        <v>1</v>
      </c>
      <c r="AF506" t="s">
        <v>811</v>
      </c>
      <c r="AG506" s="2">
        <f t="shared" si="78"/>
        <v>4</v>
      </c>
      <c r="AH506" s="2">
        <f t="shared" si="79"/>
        <v>0</v>
      </c>
      <c r="AI506" s="3">
        <v>265.99999999743892</v>
      </c>
      <c r="AJ506" s="2">
        <v>0</v>
      </c>
      <c r="AK506">
        <v>0</v>
      </c>
      <c r="AL506">
        <v>2</v>
      </c>
      <c r="AM506">
        <v>0</v>
      </c>
      <c r="AN506" s="2">
        <f>IF((2*G506+M506-O506+3*V506+2*AB506+2*AE506+2*AH506+3*AJ506)&gt;=7,1,0)</f>
        <v>0</v>
      </c>
    </row>
    <row r="507" spans="1:40" x14ac:dyDescent="0.25">
      <c r="A507" t="s">
        <v>27</v>
      </c>
      <c r="B507" s="1">
        <v>38447</v>
      </c>
      <c r="C507" s="6">
        <f t="shared" si="70"/>
        <v>2005</v>
      </c>
      <c r="D507">
        <v>57.3</v>
      </c>
      <c r="E507">
        <v>48.3</v>
      </c>
      <c r="F507">
        <v>53.6</v>
      </c>
      <c r="G507" s="2">
        <f t="shared" si="71"/>
        <v>0</v>
      </c>
      <c r="H507">
        <v>57.3</v>
      </c>
      <c r="I507">
        <v>46.4</v>
      </c>
      <c r="J507">
        <v>53.4</v>
      </c>
      <c r="K507">
        <v>36.200000000000003</v>
      </c>
      <c r="L507">
        <v>52.1</v>
      </c>
      <c r="M507" s="2">
        <f t="shared" si="72"/>
        <v>1</v>
      </c>
      <c r="N507">
        <v>0</v>
      </c>
      <c r="O507" s="2">
        <f t="shared" si="73"/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 s="2">
        <f t="shared" si="74"/>
        <v>0</v>
      </c>
      <c r="W507">
        <v>15</v>
      </c>
      <c r="X507" s="2">
        <f t="shared" si="75"/>
        <v>0</v>
      </c>
      <c r="Y507">
        <v>321.7</v>
      </c>
      <c r="Z507" s="2" t="str">
        <f>CHOOSE(MATCH(Y507,{0;11;80;111;161;191;241;281;341},1),"North","NorthEast","East","SouthEast","South","SouthWest","West","NorthWest","North")</f>
        <v>NorthWest</v>
      </c>
      <c r="AA507" s="4">
        <f>CHOOSE(MATCH(Z507,{"South";"SouthEast";"SouthWest";"North";"NorthEast";"East";"West";"NorthWest"},0),1,2,3,4,5,6,7,8)</f>
        <v>8</v>
      </c>
      <c r="AB507" s="2">
        <f t="shared" si="76"/>
        <v>1</v>
      </c>
      <c r="AC507">
        <v>1028.3</v>
      </c>
      <c r="AD507" t="s">
        <v>685</v>
      </c>
      <c r="AE507" s="2">
        <f t="shared" si="77"/>
        <v>1</v>
      </c>
      <c r="AF507" t="s">
        <v>812</v>
      </c>
      <c r="AG507" s="2">
        <f t="shared" si="78"/>
        <v>4</v>
      </c>
      <c r="AH507" s="2">
        <f t="shared" si="79"/>
        <v>0</v>
      </c>
      <c r="AI507" s="3">
        <v>1145.999999995111</v>
      </c>
      <c r="AJ507" s="2">
        <v>1</v>
      </c>
      <c r="AK507">
        <v>0</v>
      </c>
      <c r="AL507">
        <v>4</v>
      </c>
      <c r="AM507">
        <v>0</v>
      </c>
      <c r="AN507" s="2">
        <f>IF((2*G507+M507-O507+3*V507+2*AB507+2*AE507+2*AH507+3*AJ507)&gt;=7,1,0)</f>
        <v>1</v>
      </c>
    </row>
    <row r="508" spans="1:40" x14ac:dyDescent="0.25">
      <c r="A508" t="s">
        <v>27</v>
      </c>
      <c r="B508" s="1">
        <v>38449</v>
      </c>
      <c r="C508" s="6">
        <f t="shared" si="70"/>
        <v>2005</v>
      </c>
      <c r="D508">
        <v>64.5</v>
      </c>
      <c r="E508">
        <v>50.1</v>
      </c>
      <c r="F508">
        <v>57.4</v>
      </c>
      <c r="G508" s="2">
        <f t="shared" si="71"/>
        <v>0</v>
      </c>
      <c r="H508">
        <v>64.5</v>
      </c>
      <c r="I508">
        <v>50.1</v>
      </c>
      <c r="J508">
        <v>57.4</v>
      </c>
      <c r="K508">
        <v>48.4</v>
      </c>
      <c r="L508">
        <v>72.900000000000006</v>
      </c>
      <c r="M508" s="2">
        <f t="shared" si="72"/>
        <v>0</v>
      </c>
      <c r="N508">
        <v>0</v>
      </c>
      <c r="O508" s="2">
        <f t="shared" si="73"/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 s="2">
        <f t="shared" si="74"/>
        <v>0</v>
      </c>
      <c r="W508">
        <v>18.3</v>
      </c>
      <c r="X508" s="2">
        <f t="shared" si="75"/>
        <v>1</v>
      </c>
      <c r="Y508">
        <v>159.4</v>
      </c>
      <c r="Z508" s="2" t="str">
        <f>CHOOSE(MATCH(Y508,{0;11;80;111;161;191;241;281;341},1),"North","NorthEast","East","SouthEast","South","SouthWest","West","NorthWest","North")</f>
        <v>SouthEast</v>
      </c>
      <c r="AA508" s="4">
        <f>CHOOSE(MATCH(Z508,{"South";"SouthEast";"SouthWest";"North";"NorthEast";"East";"West";"NorthWest"},0),1,2,3,4,5,6,7,8)</f>
        <v>2</v>
      </c>
      <c r="AB508" s="2">
        <f t="shared" si="76"/>
        <v>0</v>
      </c>
      <c r="AC508">
        <v>1016.5</v>
      </c>
      <c r="AD508" t="s">
        <v>403</v>
      </c>
      <c r="AE508" s="2">
        <f t="shared" si="77"/>
        <v>1</v>
      </c>
      <c r="AF508" t="s">
        <v>813</v>
      </c>
      <c r="AG508" s="2">
        <f t="shared" si="78"/>
        <v>4</v>
      </c>
      <c r="AH508" s="2">
        <f t="shared" si="79"/>
        <v>0</v>
      </c>
      <c r="AI508" s="3">
        <v>515.00000000232831</v>
      </c>
      <c r="AJ508" s="2">
        <v>1</v>
      </c>
      <c r="AK508">
        <v>0</v>
      </c>
      <c r="AL508">
        <v>5</v>
      </c>
      <c r="AM508">
        <v>0</v>
      </c>
      <c r="AN508" s="2">
        <f>IF((2*G508+M508-O508+3*V508+2*AB508+2*AE508+2*AH508+3*AJ508)&gt;=7,1,0)</f>
        <v>0</v>
      </c>
    </row>
    <row r="509" spans="1:40" x14ac:dyDescent="0.25">
      <c r="A509" t="s">
        <v>27</v>
      </c>
      <c r="B509" s="1">
        <v>38450</v>
      </c>
      <c r="C509" s="6">
        <f t="shared" si="70"/>
        <v>2005</v>
      </c>
      <c r="D509">
        <v>62.7</v>
      </c>
      <c r="E509">
        <v>53.7</v>
      </c>
      <c r="F509">
        <v>59.4</v>
      </c>
      <c r="G509" s="2">
        <f t="shared" si="71"/>
        <v>0</v>
      </c>
      <c r="H509">
        <v>62.7</v>
      </c>
      <c r="I509">
        <v>53.7</v>
      </c>
      <c r="J509">
        <v>59.4</v>
      </c>
      <c r="K509">
        <v>51.3</v>
      </c>
      <c r="L509">
        <v>74.900000000000006</v>
      </c>
      <c r="M509" s="2">
        <f t="shared" si="72"/>
        <v>0</v>
      </c>
      <c r="N509">
        <v>0</v>
      </c>
      <c r="O509" s="2">
        <f t="shared" si="73"/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 s="2">
        <f t="shared" si="74"/>
        <v>0</v>
      </c>
      <c r="W509">
        <v>19.5</v>
      </c>
      <c r="X509" s="2">
        <f t="shared" si="75"/>
        <v>1</v>
      </c>
      <c r="Y509">
        <v>312</v>
      </c>
      <c r="Z509" s="2" t="str">
        <f>CHOOSE(MATCH(Y509,{0;11;80;111;161;191;241;281;341},1),"North","NorthEast","East","SouthEast","South","SouthWest","West","NorthWest","North")</f>
        <v>NorthWest</v>
      </c>
      <c r="AA509" s="4">
        <f>CHOOSE(MATCH(Z509,{"South";"SouthEast";"SouthWest";"North";"NorthEast";"East";"West";"NorthWest"},0),1,2,3,4,5,6,7,8)</f>
        <v>8</v>
      </c>
      <c r="AB509" s="2">
        <f t="shared" si="76"/>
        <v>1</v>
      </c>
      <c r="AC509">
        <v>1013.4</v>
      </c>
      <c r="AD509" t="s">
        <v>814</v>
      </c>
      <c r="AE509" s="2">
        <f t="shared" si="77"/>
        <v>1</v>
      </c>
      <c r="AF509" t="s">
        <v>815</v>
      </c>
      <c r="AG509" s="2">
        <f t="shared" si="78"/>
        <v>4</v>
      </c>
      <c r="AH509" s="2">
        <f t="shared" si="79"/>
        <v>0</v>
      </c>
      <c r="AI509" s="3">
        <v>1361.000000004424</v>
      </c>
      <c r="AJ509" s="2">
        <v>1</v>
      </c>
      <c r="AK509">
        <v>0</v>
      </c>
      <c r="AL509">
        <v>5</v>
      </c>
      <c r="AM509">
        <v>0</v>
      </c>
      <c r="AN509" s="2">
        <f>IF((2*G509+M509-O509+3*V509+2*AB509+2*AE509+2*AH509+3*AJ509)&gt;=7,1,0)</f>
        <v>0</v>
      </c>
    </row>
    <row r="510" spans="1:40" x14ac:dyDescent="0.25">
      <c r="A510" t="s">
        <v>27</v>
      </c>
      <c r="B510" s="1">
        <v>38450</v>
      </c>
      <c r="C510" s="6">
        <f t="shared" si="70"/>
        <v>2005</v>
      </c>
      <c r="D510">
        <v>62.7</v>
      </c>
      <c r="E510">
        <v>53.7</v>
      </c>
      <c r="F510">
        <v>59.4</v>
      </c>
      <c r="G510" s="2">
        <f t="shared" si="71"/>
        <v>0</v>
      </c>
      <c r="H510">
        <v>62.7</v>
      </c>
      <c r="I510">
        <v>53.7</v>
      </c>
      <c r="J510">
        <v>59.4</v>
      </c>
      <c r="K510">
        <v>51.3</v>
      </c>
      <c r="L510">
        <v>74.900000000000006</v>
      </c>
      <c r="M510" s="2">
        <f t="shared" si="72"/>
        <v>0</v>
      </c>
      <c r="N510">
        <v>0</v>
      </c>
      <c r="O510" s="2">
        <f t="shared" si="73"/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 s="2">
        <f t="shared" si="74"/>
        <v>0</v>
      </c>
      <c r="W510">
        <v>19.5</v>
      </c>
      <c r="X510" s="2">
        <f t="shared" si="75"/>
        <v>1</v>
      </c>
      <c r="Y510">
        <v>312</v>
      </c>
      <c r="Z510" s="2" t="str">
        <f>CHOOSE(MATCH(Y510,{0;11;80;111;161;191;241;281;341},1),"North","NorthEast","East","SouthEast","South","SouthWest","West","NorthWest","North")</f>
        <v>NorthWest</v>
      </c>
      <c r="AA510" s="4">
        <f>CHOOSE(MATCH(Z510,{"South";"SouthEast";"SouthWest";"North";"NorthEast";"East";"West";"NorthWest"},0),1,2,3,4,5,6,7,8)</f>
        <v>8</v>
      </c>
      <c r="AB510" s="2">
        <f t="shared" si="76"/>
        <v>1</v>
      </c>
      <c r="AC510">
        <v>1013.4</v>
      </c>
      <c r="AD510" t="s">
        <v>350</v>
      </c>
      <c r="AE510" s="2">
        <f t="shared" si="77"/>
        <v>0</v>
      </c>
      <c r="AF510" t="s">
        <v>816</v>
      </c>
      <c r="AG510" s="2">
        <f t="shared" si="78"/>
        <v>4</v>
      </c>
      <c r="AH510" s="2">
        <f t="shared" si="79"/>
        <v>0</v>
      </c>
      <c r="AI510" s="3">
        <v>1095.9999999997669</v>
      </c>
      <c r="AJ510" s="2">
        <v>1</v>
      </c>
      <c r="AK510">
        <v>0</v>
      </c>
      <c r="AL510">
        <v>10</v>
      </c>
      <c r="AM510">
        <v>0</v>
      </c>
      <c r="AN510" s="2">
        <f>IF((2*G510+M510-O510+3*V510+2*AB510+2*AE510+2*AH510+3*AJ510)&gt;=7,1,0)</f>
        <v>0</v>
      </c>
    </row>
    <row r="511" spans="1:40" x14ac:dyDescent="0.25">
      <c r="A511" t="s">
        <v>27</v>
      </c>
      <c r="B511" s="1">
        <v>38451</v>
      </c>
      <c r="C511" s="6">
        <f t="shared" si="70"/>
        <v>2005</v>
      </c>
      <c r="D511">
        <v>68.099999999999994</v>
      </c>
      <c r="E511">
        <v>50.1</v>
      </c>
      <c r="F511">
        <v>58.9</v>
      </c>
      <c r="G511" s="2">
        <f t="shared" si="71"/>
        <v>0</v>
      </c>
      <c r="H511">
        <v>68.099999999999994</v>
      </c>
      <c r="I511">
        <v>50.1</v>
      </c>
      <c r="J511">
        <v>58.9</v>
      </c>
      <c r="K511">
        <v>45.4</v>
      </c>
      <c r="L511">
        <v>62.6</v>
      </c>
      <c r="M511" s="2">
        <f t="shared" si="72"/>
        <v>1</v>
      </c>
      <c r="N511">
        <v>0</v>
      </c>
      <c r="O511" s="2">
        <f t="shared" si="73"/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 s="2">
        <f t="shared" si="74"/>
        <v>0</v>
      </c>
      <c r="W511">
        <v>6.9</v>
      </c>
      <c r="X511" s="2">
        <f t="shared" si="75"/>
        <v>0</v>
      </c>
      <c r="Y511">
        <v>145.4</v>
      </c>
      <c r="Z511" s="2" t="str">
        <f>CHOOSE(MATCH(Y511,{0;11;80;111;161;191;241;281;341},1),"North","NorthEast","East","SouthEast","South","SouthWest","West","NorthWest","North")</f>
        <v>SouthEast</v>
      </c>
      <c r="AA511" s="4">
        <f>CHOOSE(MATCH(Z511,{"South";"SouthEast";"SouthWest";"North";"NorthEast";"East";"West";"NorthWest"},0),1,2,3,4,5,6,7,8)</f>
        <v>2</v>
      </c>
      <c r="AB511" s="2">
        <f t="shared" si="76"/>
        <v>0</v>
      </c>
      <c r="AC511">
        <v>1014.9</v>
      </c>
      <c r="AD511" t="s">
        <v>359</v>
      </c>
      <c r="AE511" s="2">
        <f t="shared" si="77"/>
        <v>1</v>
      </c>
      <c r="AF511" t="s">
        <v>817</v>
      </c>
      <c r="AG511" s="2">
        <f t="shared" si="78"/>
        <v>4</v>
      </c>
      <c r="AH511" s="2">
        <f t="shared" si="79"/>
        <v>0</v>
      </c>
      <c r="AI511" s="3">
        <v>236.00000000442381</v>
      </c>
      <c r="AJ511" s="2">
        <v>0</v>
      </c>
      <c r="AK511">
        <v>0</v>
      </c>
      <c r="AL511">
        <v>1</v>
      </c>
      <c r="AM511">
        <v>0</v>
      </c>
      <c r="AN511" s="2">
        <f>IF((2*G511+M511-O511+3*V511+2*AB511+2*AE511+2*AH511+3*AJ511)&gt;=7,1,0)</f>
        <v>0</v>
      </c>
    </row>
    <row r="512" spans="1:40" x14ac:dyDescent="0.25">
      <c r="A512" t="s">
        <v>27</v>
      </c>
      <c r="B512" s="1">
        <v>38451</v>
      </c>
      <c r="C512" s="6">
        <f t="shared" si="70"/>
        <v>2005</v>
      </c>
      <c r="D512">
        <v>68.099999999999994</v>
      </c>
      <c r="E512">
        <v>50.1</v>
      </c>
      <c r="F512">
        <v>58.9</v>
      </c>
      <c r="G512" s="2">
        <f t="shared" si="71"/>
        <v>0</v>
      </c>
      <c r="H512">
        <v>68.099999999999994</v>
      </c>
      <c r="I512">
        <v>50.1</v>
      </c>
      <c r="J512">
        <v>58.9</v>
      </c>
      <c r="K512">
        <v>45.4</v>
      </c>
      <c r="L512">
        <v>62.6</v>
      </c>
      <c r="M512" s="2">
        <f t="shared" si="72"/>
        <v>1</v>
      </c>
      <c r="N512">
        <v>0</v>
      </c>
      <c r="O512" s="2">
        <f t="shared" si="73"/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 s="2">
        <f t="shared" si="74"/>
        <v>0</v>
      </c>
      <c r="W512">
        <v>6.9</v>
      </c>
      <c r="X512" s="2">
        <f t="shared" si="75"/>
        <v>0</v>
      </c>
      <c r="Y512">
        <v>145.4</v>
      </c>
      <c r="Z512" s="2" t="str">
        <f>CHOOSE(MATCH(Y512,{0;11;80;111;161;191;241;281;341},1),"North","NorthEast","East","SouthEast","South","SouthWest","West","NorthWest","North")</f>
        <v>SouthEast</v>
      </c>
      <c r="AA512" s="4">
        <f>CHOOSE(MATCH(Z512,{"South";"SouthEast";"SouthWest";"North";"NorthEast";"East";"West";"NorthWest"},0),1,2,3,4,5,6,7,8)</f>
        <v>2</v>
      </c>
      <c r="AB512" s="2">
        <f t="shared" si="76"/>
        <v>0</v>
      </c>
      <c r="AC512">
        <v>1014.9</v>
      </c>
      <c r="AD512" t="s">
        <v>49</v>
      </c>
      <c r="AE512" s="2">
        <f t="shared" si="77"/>
        <v>1</v>
      </c>
      <c r="AF512" t="s">
        <v>818</v>
      </c>
      <c r="AG512" s="2">
        <f t="shared" si="78"/>
        <v>4</v>
      </c>
      <c r="AH512" s="2">
        <f t="shared" si="79"/>
        <v>0</v>
      </c>
      <c r="AI512" s="3">
        <v>230.99999999860299</v>
      </c>
      <c r="AJ512" s="2">
        <v>0</v>
      </c>
      <c r="AK512">
        <v>0</v>
      </c>
      <c r="AL512">
        <v>1</v>
      </c>
      <c r="AM512">
        <v>0</v>
      </c>
      <c r="AN512" s="2">
        <f>IF((2*G512+M512-O512+3*V512+2*AB512+2*AE512+2*AH512+3*AJ512)&gt;=7,1,0)</f>
        <v>0</v>
      </c>
    </row>
    <row r="513" spans="1:40" x14ac:dyDescent="0.25">
      <c r="A513" t="s">
        <v>27</v>
      </c>
      <c r="B513" s="1">
        <v>38451</v>
      </c>
      <c r="C513" s="6">
        <f t="shared" si="70"/>
        <v>2005</v>
      </c>
      <c r="D513">
        <v>68.099999999999994</v>
      </c>
      <c r="E513">
        <v>50.1</v>
      </c>
      <c r="F513">
        <v>58.9</v>
      </c>
      <c r="G513" s="2">
        <f t="shared" si="71"/>
        <v>0</v>
      </c>
      <c r="H513">
        <v>68.099999999999994</v>
      </c>
      <c r="I513">
        <v>50.1</v>
      </c>
      <c r="J513">
        <v>58.9</v>
      </c>
      <c r="K513">
        <v>45.4</v>
      </c>
      <c r="L513">
        <v>62.6</v>
      </c>
      <c r="M513" s="2">
        <f t="shared" si="72"/>
        <v>1</v>
      </c>
      <c r="N513">
        <v>0</v>
      </c>
      <c r="O513" s="2">
        <f t="shared" si="73"/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 s="2">
        <f t="shared" si="74"/>
        <v>0</v>
      </c>
      <c r="W513">
        <v>6.9</v>
      </c>
      <c r="X513" s="2">
        <f t="shared" si="75"/>
        <v>0</v>
      </c>
      <c r="Y513">
        <v>145.4</v>
      </c>
      <c r="Z513" s="2" t="str">
        <f>CHOOSE(MATCH(Y513,{0;11;80;111;161;191;241;281;341},1),"North","NorthEast","East","SouthEast","South","SouthWest","West","NorthWest","North")</f>
        <v>SouthEast</v>
      </c>
      <c r="AA513" s="4">
        <f>CHOOSE(MATCH(Z513,{"South";"SouthEast";"SouthWest";"North";"NorthEast";"East";"West";"NorthWest"},0),1,2,3,4,5,6,7,8)</f>
        <v>2</v>
      </c>
      <c r="AB513" s="2">
        <f t="shared" si="76"/>
        <v>0</v>
      </c>
      <c r="AC513">
        <v>1014.9</v>
      </c>
      <c r="AD513" t="s">
        <v>486</v>
      </c>
      <c r="AE513" s="2">
        <f t="shared" si="77"/>
        <v>1</v>
      </c>
      <c r="AF513" t="s">
        <v>819</v>
      </c>
      <c r="AG513" s="2">
        <f t="shared" si="78"/>
        <v>4</v>
      </c>
      <c r="AH513" s="2">
        <f t="shared" si="79"/>
        <v>0</v>
      </c>
      <c r="AI513" s="3">
        <v>606.00000000558794</v>
      </c>
      <c r="AJ513" s="2">
        <v>1</v>
      </c>
      <c r="AK513">
        <v>0</v>
      </c>
      <c r="AL513">
        <v>3</v>
      </c>
      <c r="AM513">
        <v>0</v>
      </c>
      <c r="AN513" s="2">
        <f>IF((2*G513+M513-O513+3*V513+2*AB513+2*AE513+2*AH513+3*AJ513)&gt;=7,1,0)</f>
        <v>0</v>
      </c>
    </row>
    <row r="514" spans="1:40" x14ac:dyDescent="0.25">
      <c r="A514" t="s">
        <v>27</v>
      </c>
      <c r="B514" s="1">
        <v>38458</v>
      </c>
      <c r="C514" s="6">
        <f t="shared" si="70"/>
        <v>2005</v>
      </c>
      <c r="D514">
        <v>80.7</v>
      </c>
      <c r="E514">
        <v>55.5</v>
      </c>
      <c r="F514">
        <v>67.5</v>
      </c>
      <c r="G514" s="2">
        <f t="shared" si="71"/>
        <v>0</v>
      </c>
      <c r="H514">
        <v>79.2</v>
      </c>
      <c r="I514">
        <v>55.5</v>
      </c>
      <c r="J514">
        <v>67.400000000000006</v>
      </c>
      <c r="K514">
        <v>42.2</v>
      </c>
      <c r="L514">
        <v>43.7</v>
      </c>
      <c r="M514" s="2">
        <f t="shared" si="72"/>
        <v>1</v>
      </c>
      <c r="N514">
        <v>0</v>
      </c>
      <c r="O514" s="2">
        <f t="shared" si="73"/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 s="2">
        <f t="shared" si="74"/>
        <v>0</v>
      </c>
      <c r="W514">
        <v>21.9</v>
      </c>
      <c r="X514" s="2">
        <f t="shared" si="75"/>
        <v>1</v>
      </c>
      <c r="Y514">
        <v>150.6</v>
      </c>
      <c r="Z514" s="2" t="str">
        <f>CHOOSE(MATCH(Y514,{0;11;80;111;161;191;241;281;341},1),"North","NorthEast","East","SouthEast","South","SouthWest","West","NorthWest","North")</f>
        <v>SouthEast</v>
      </c>
      <c r="AA514" s="4">
        <f>CHOOSE(MATCH(Z514,{"South";"SouthEast";"SouthWest";"North";"NorthEast";"East";"West";"NorthWest"},0),1,2,3,4,5,6,7,8)</f>
        <v>2</v>
      </c>
      <c r="AB514" s="2">
        <f t="shared" si="76"/>
        <v>0</v>
      </c>
      <c r="AC514">
        <v>1012.9</v>
      </c>
      <c r="AD514" t="s">
        <v>180</v>
      </c>
      <c r="AE514" s="2">
        <f t="shared" si="77"/>
        <v>1</v>
      </c>
      <c r="AF514" t="s">
        <v>820</v>
      </c>
      <c r="AG514" s="2">
        <f t="shared" si="78"/>
        <v>4</v>
      </c>
      <c r="AH514" s="2">
        <f t="shared" si="79"/>
        <v>0</v>
      </c>
      <c r="AI514" s="3">
        <v>275.99999999860302</v>
      </c>
      <c r="AJ514" s="2">
        <v>0</v>
      </c>
      <c r="AK514">
        <v>0</v>
      </c>
      <c r="AL514">
        <v>10</v>
      </c>
      <c r="AM514">
        <v>0</v>
      </c>
      <c r="AN514" s="2">
        <f>IF((2*G514+M514-O514+3*V514+2*AB514+2*AE514+2*AH514+3*AJ514)&gt;=7,1,0)</f>
        <v>0</v>
      </c>
    </row>
    <row r="515" spans="1:40" x14ac:dyDescent="0.25">
      <c r="A515" t="s">
        <v>27</v>
      </c>
      <c r="B515" s="1">
        <v>38458</v>
      </c>
      <c r="C515" s="6">
        <f t="shared" ref="C515:C578" si="80">YEAR(B515)</f>
        <v>2005</v>
      </c>
      <c r="D515">
        <v>80.7</v>
      </c>
      <c r="E515">
        <v>55.5</v>
      </c>
      <c r="F515">
        <v>67.5</v>
      </c>
      <c r="G515" s="2">
        <f t="shared" ref="G515:G578" si="81">IF(F515&lt;=70,0,1)</f>
        <v>0</v>
      </c>
      <c r="H515">
        <v>79.2</v>
      </c>
      <c r="I515">
        <v>55.5</v>
      </c>
      <c r="J515">
        <v>67.400000000000006</v>
      </c>
      <c r="K515">
        <v>42.2</v>
      </c>
      <c r="L515">
        <v>43.7</v>
      </c>
      <c r="M515" s="2">
        <f t="shared" ref="M515:M578" si="82">IF(L515&lt;=66,1,0)</f>
        <v>1</v>
      </c>
      <c r="N515">
        <v>0</v>
      </c>
      <c r="O515" s="2">
        <f t="shared" ref="O515:O578" si="83">IF(N515&lt;=0.01,1,0)</f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 s="2">
        <f t="shared" ref="V515:V578" si="84">IF(U515&lt;=9,0,1)</f>
        <v>0</v>
      </c>
      <c r="W515">
        <v>21.9</v>
      </c>
      <c r="X515" s="2">
        <f t="shared" ref="X515:X578" si="85">IF(W515&gt;=16,1,0)</f>
        <v>1</v>
      </c>
      <c r="Y515">
        <v>150.6</v>
      </c>
      <c r="Z515" s="2" t="str">
        <f>CHOOSE(MATCH(Y515,{0;11;80;111;161;191;241;281;341},1),"North","NorthEast","East","SouthEast","South","SouthWest","West","NorthWest","North")</f>
        <v>SouthEast</v>
      </c>
      <c r="AA515" s="4">
        <f>CHOOSE(MATCH(Z515,{"South";"SouthEast";"SouthWest";"North";"NorthEast";"East";"West";"NorthWest"},0),1,2,3,4,5,6,7,8)</f>
        <v>2</v>
      </c>
      <c r="AB515" s="2">
        <f t="shared" ref="AB515:AB578" si="86">IF(OR(AA515=4,AA515=5,AA515=8),1,0)</f>
        <v>0</v>
      </c>
      <c r="AC515">
        <v>1012.9</v>
      </c>
      <c r="AD515" t="s">
        <v>821</v>
      </c>
      <c r="AE515" s="2">
        <f t="shared" ref="AE515:AE578" si="87">IF(TIMEVALUE(AD515)&lt;=TIME(12,30,0),0,1)</f>
        <v>1</v>
      </c>
      <c r="AF515" t="s">
        <v>822</v>
      </c>
      <c r="AG515" s="2">
        <f t="shared" ref="AG515:AG578" si="88">MONTH(AF515)</f>
        <v>4</v>
      </c>
      <c r="AH515" s="2">
        <f t="shared" ref="AH515:AH578" si="89">IF(OR(AG515=6,AG515=7,AG515=8),1,0)</f>
        <v>0</v>
      </c>
      <c r="AI515" s="3">
        <v>535.00000000465661</v>
      </c>
      <c r="AJ515" s="2">
        <v>1</v>
      </c>
      <c r="AK515">
        <v>0</v>
      </c>
      <c r="AL515">
        <v>20</v>
      </c>
      <c r="AM515">
        <v>0</v>
      </c>
      <c r="AN515" s="2">
        <f>IF((2*G515+M515-O515+3*V515+2*AB515+2*AE515+2*AH515+3*AJ515)&gt;=7,1,0)</f>
        <v>0</v>
      </c>
    </row>
    <row r="516" spans="1:40" x14ac:dyDescent="0.25">
      <c r="A516" t="s">
        <v>27</v>
      </c>
      <c r="B516" s="1">
        <v>38460</v>
      </c>
      <c r="C516" s="6">
        <f t="shared" si="80"/>
        <v>2005</v>
      </c>
      <c r="D516">
        <v>66.3</v>
      </c>
      <c r="E516">
        <v>57.3</v>
      </c>
      <c r="F516">
        <v>61.4</v>
      </c>
      <c r="G516" s="2">
        <f t="shared" si="81"/>
        <v>0</v>
      </c>
      <c r="H516">
        <v>66.3</v>
      </c>
      <c r="I516">
        <v>57.3</v>
      </c>
      <c r="J516">
        <v>61.4</v>
      </c>
      <c r="K516">
        <v>49</v>
      </c>
      <c r="L516">
        <v>64.599999999999994</v>
      </c>
      <c r="M516" s="2">
        <f t="shared" si="82"/>
        <v>1</v>
      </c>
      <c r="N516">
        <v>0</v>
      </c>
      <c r="O516" s="2">
        <f t="shared" si="83"/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 s="2">
        <f t="shared" si="84"/>
        <v>0</v>
      </c>
      <c r="W516">
        <v>24.2</v>
      </c>
      <c r="X516" s="2">
        <f t="shared" si="85"/>
        <v>1</v>
      </c>
      <c r="Y516">
        <v>291.89999999999998</v>
      </c>
      <c r="Z516" s="2" t="str">
        <f>CHOOSE(MATCH(Y516,{0;11;80;111;161;191;241;281;341},1),"North","NorthEast","East","SouthEast","South","SouthWest","West","NorthWest","North")</f>
        <v>NorthWest</v>
      </c>
      <c r="AA516" s="4">
        <f>CHOOSE(MATCH(Z516,{"South";"SouthEast";"SouthWest";"North";"NorthEast";"East";"West";"NorthWest"},0),1,2,3,4,5,6,7,8)</f>
        <v>8</v>
      </c>
      <c r="AB516" s="2">
        <f t="shared" si="86"/>
        <v>1</v>
      </c>
      <c r="AC516">
        <v>1006.8</v>
      </c>
      <c r="AD516" t="s">
        <v>823</v>
      </c>
      <c r="AE516" s="2">
        <f t="shared" si="87"/>
        <v>0</v>
      </c>
      <c r="AF516" t="s">
        <v>824</v>
      </c>
      <c r="AG516" s="2">
        <f t="shared" si="88"/>
        <v>4</v>
      </c>
      <c r="AH516" s="2">
        <f t="shared" si="89"/>
        <v>0</v>
      </c>
      <c r="AI516" s="3">
        <v>1994.999999996508</v>
      </c>
      <c r="AJ516" s="2">
        <v>1</v>
      </c>
      <c r="AK516">
        <v>50</v>
      </c>
      <c r="AL516">
        <v>0</v>
      </c>
      <c r="AM516">
        <v>0</v>
      </c>
      <c r="AN516" s="2">
        <f>IF((2*G516+M516-O516+3*V516+2*AB516+2*AE516+2*AH516+3*AJ516)&gt;=7,1,0)</f>
        <v>0</v>
      </c>
    </row>
    <row r="517" spans="1:40" x14ac:dyDescent="0.25">
      <c r="A517" t="s">
        <v>27</v>
      </c>
      <c r="B517" s="1">
        <v>38462</v>
      </c>
      <c r="C517" s="6">
        <f t="shared" si="80"/>
        <v>2005</v>
      </c>
      <c r="D517">
        <v>68.099999999999994</v>
      </c>
      <c r="E517">
        <v>55.5</v>
      </c>
      <c r="F517">
        <v>61.3</v>
      </c>
      <c r="G517" s="2">
        <f t="shared" si="81"/>
        <v>0</v>
      </c>
      <c r="H517">
        <v>68.099999999999994</v>
      </c>
      <c r="I517">
        <v>55.5</v>
      </c>
      <c r="J517">
        <v>61.3</v>
      </c>
      <c r="K517">
        <v>50.1</v>
      </c>
      <c r="L517">
        <v>67.599999999999994</v>
      </c>
      <c r="M517" s="2">
        <f t="shared" si="82"/>
        <v>0</v>
      </c>
      <c r="N517">
        <v>0</v>
      </c>
      <c r="O517" s="2">
        <f t="shared" si="83"/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s="2">
        <f t="shared" si="84"/>
        <v>0</v>
      </c>
      <c r="W517">
        <v>10.3</v>
      </c>
      <c r="X517" s="2">
        <f t="shared" si="85"/>
        <v>0</v>
      </c>
      <c r="Y517">
        <v>125.6</v>
      </c>
      <c r="Z517" s="2" t="str">
        <f>CHOOSE(MATCH(Y517,{0;11;80;111;161;191;241;281;341},1),"North","NorthEast","East","SouthEast","South","SouthWest","West","NorthWest","North")</f>
        <v>SouthEast</v>
      </c>
      <c r="AA517" s="4">
        <f>CHOOSE(MATCH(Z517,{"South";"SouthEast";"SouthWest";"North";"NorthEast";"East";"West";"NorthWest"},0),1,2,3,4,5,6,7,8)</f>
        <v>2</v>
      </c>
      <c r="AB517" s="2">
        <f t="shared" si="86"/>
        <v>0</v>
      </c>
      <c r="AC517">
        <v>1014.6</v>
      </c>
      <c r="AD517" t="s">
        <v>209</v>
      </c>
      <c r="AE517" s="2">
        <f t="shared" si="87"/>
        <v>0</v>
      </c>
      <c r="AF517" t="s">
        <v>825</v>
      </c>
      <c r="AG517" s="2">
        <f t="shared" si="88"/>
        <v>4</v>
      </c>
      <c r="AH517" s="2">
        <f t="shared" si="89"/>
        <v>0</v>
      </c>
      <c r="AI517" s="3">
        <v>150.9999999997672</v>
      </c>
      <c r="AJ517" s="2">
        <v>0</v>
      </c>
      <c r="AK517">
        <v>0</v>
      </c>
      <c r="AL517">
        <v>0.1</v>
      </c>
      <c r="AM517">
        <v>0</v>
      </c>
      <c r="AN517" s="2">
        <f>IF((2*G517+M517-O517+3*V517+2*AB517+2*AE517+2*AH517+3*AJ517)&gt;=7,1,0)</f>
        <v>0</v>
      </c>
    </row>
    <row r="518" spans="1:40" x14ac:dyDescent="0.25">
      <c r="A518" t="s">
        <v>27</v>
      </c>
      <c r="B518" s="1">
        <v>38464</v>
      </c>
      <c r="C518" s="6">
        <f t="shared" si="80"/>
        <v>2005</v>
      </c>
      <c r="D518">
        <v>66.3</v>
      </c>
      <c r="E518">
        <v>55.5</v>
      </c>
      <c r="F518">
        <v>61.3</v>
      </c>
      <c r="G518" s="2">
        <f t="shared" si="81"/>
        <v>0</v>
      </c>
      <c r="H518">
        <v>66.3</v>
      </c>
      <c r="I518">
        <v>55.5</v>
      </c>
      <c r="J518">
        <v>61.3</v>
      </c>
      <c r="K518">
        <v>52.1</v>
      </c>
      <c r="L518">
        <v>72.400000000000006</v>
      </c>
      <c r="M518" s="2">
        <f t="shared" si="82"/>
        <v>0</v>
      </c>
      <c r="N518">
        <v>0</v>
      </c>
      <c r="O518" s="2">
        <f t="shared" si="83"/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 s="2">
        <f t="shared" si="84"/>
        <v>0</v>
      </c>
      <c r="W518">
        <v>13.9</v>
      </c>
      <c r="X518" s="2">
        <f t="shared" si="85"/>
        <v>0</v>
      </c>
      <c r="Y518">
        <v>293.89999999999998</v>
      </c>
      <c r="Z518" s="2" t="str">
        <f>CHOOSE(MATCH(Y518,{0;11;80;111;161;191;241;281;341},1),"North","NorthEast","East","SouthEast","South","SouthWest","West","NorthWest","North")</f>
        <v>NorthWest</v>
      </c>
      <c r="AA518" s="4">
        <f>CHOOSE(MATCH(Z518,{"South";"SouthEast";"SouthWest";"North";"NorthEast";"East";"West";"NorthWest"},0),1,2,3,4,5,6,7,8)</f>
        <v>8</v>
      </c>
      <c r="AB518" s="2">
        <f t="shared" si="86"/>
        <v>1</v>
      </c>
      <c r="AC518">
        <v>1011</v>
      </c>
      <c r="AD518" t="s">
        <v>475</v>
      </c>
      <c r="AE518" s="2">
        <f t="shared" si="87"/>
        <v>1</v>
      </c>
      <c r="AF518" t="s">
        <v>826</v>
      </c>
      <c r="AG518" s="2">
        <f t="shared" si="88"/>
        <v>4</v>
      </c>
      <c r="AH518" s="2">
        <f t="shared" si="89"/>
        <v>0</v>
      </c>
      <c r="AI518" s="3">
        <v>1791.000000002095</v>
      </c>
      <c r="AJ518" s="2">
        <v>1</v>
      </c>
      <c r="AK518">
        <v>0</v>
      </c>
      <c r="AL518">
        <v>40</v>
      </c>
      <c r="AM518">
        <v>0</v>
      </c>
      <c r="AN518" s="2">
        <f>IF((2*G518+M518-O518+3*V518+2*AB518+2*AE518+2*AH518+3*AJ518)&gt;=7,1,0)</f>
        <v>0</v>
      </c>
    </row>
    <row r="519" spans="1:40" x14ac:dyDescent="0.25">
      <c r="A519" t="s">
        <v>27</v>
      </c>
      <c r="B519" s="1">
        <v>38482</v>
      </c>
      <c r="C519" s="6">
        <f t="shared" si="80"/>
        <v>2005</v>
      </c>
      <c r="D519">
        <v>73.5</v>
      </c>
      <c r="E519">
        <v>55.5</v>
      </c>
      <c r="F519">
        <v>65</v>
      </c>
      <c r="G519" s="2">
        <f t="shared" si="81"/>
        <v>0</v>
      </c>
      <c r="H519">
        <v>73.5</v>
      </c>
      <c r="I519">
        <v>55.5</v>
      </c>
      <c r="J519">
        <v>65</v>
      </c>
      <c r="K519">
        <v>50.5</v>
      </c>
      <c r="L519">
        <v>61</v>
      </c>
      <c r="M519" s="2">
        <f t="shared" si="82"/>
        <v>1</v>
      </c>
      <c r="N519">
        <v>0</v>
      </c>
      <c r="O519" s="2">
        <f t="shared" si="83"/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 s="2">
        <f t="shared" si="84"/>
        <v>0</v>
      </c>
      <c r="W519">
        <v>10.3</v>
      </c>
      <c r="X519" s="2">
        <f t="shared" si="85"/>
        <v>0</v>
      </c>
      <c r="Y519">
        <v>137.4</v>
      </c>
      <c r="Z519" s="2" t="str">
        <f>CHOOSE(MATCH(Y519,{0;11;80;111;161;191;241;281;341},1),"North","NorthEast","East","SouthEast","South","SouthWest","West","NorthWest","North")</f>
        <v>SouthEast</v>
      </c>
      <c r="AA519" s="4">
        <f>CHOOSE(MATCH(Z519,{"South";"SouthEast";"SouthWest";"North";"NorthEast";"East";"West";"NorthWest"},0),1,2,3,4,5,6,7,8)</f>
        <v>2</v>
      </c>
      <c r="AB519" s="2">
        <f t="shared" si="86"/>
        <v>0</v>
      </c>
      <c r="AC519">
        <v>1015.9</v>
      </c>
      <c r="AD519" t="s">
        <v>697</v>
      </c>
      <c r="AE519" s="2">
        <f t="shared" si="87"/>
        <v>0</v>
      </c>
      <c r="AF519" t="s">
        <v>827</v>
      </c>
      <c r="AG519" s="2">
        <f t="shared" si="88"/>
        <v>5</v>
      </c>
      <c r="AH519" s="2">
        <f t="shared" si="89"/>
        <v>0</v>
      </c>
      <c r="AI519" s="3">
        <v>1515.9999999962749</v>
      </c>
      <c r="AJ519" s="2">
        <v>1</v>
      </c>
      <c r="AK519">
        <v>0</v>
      </c>
      <c r="AL519">
        <v>4</v>
      </c>
      <c r="AM519">
        <v>0</v>
      </c>
      <c r="AN519" s="2">
        <f>IF((2*G519+M519-O519+3*V519+2*AB519+2*AE519+2*AH519+3*AJ519)&gt;=7,1,0)</f>
        <v>0</v>
      </c>
    </row>
    <row r="520" spans="1:40" x14ac:dyDescent="0.25">
      <c r="A520" t="s">
        <v>27</v>
      </c>
      <c r="B520" s="1">
        <v>38491</v>
      </c>
      <c r="C520" s="6">
        <f t="shared" si="80"/>
        <v>2005</v>
      </c>
      <c r="D520">
        <v>80.7</v>
      </c>
      <c r="E520">
        <v>66.3</v>
      </c>
      <c r="F520">
        <v>73.2</v>
      </c>
      <c r="G520" s="2">
        <f t="shared" si="81"/>
        <v>1</v>
      </c>
      <c r="H520">
        <v>78.900000000000006</v>
      </c>
      <c r="I520">
        <v>66.3</v>
      </c>
      <c r="J520">
        <v>73.099999999999994</v>
      </c>
      <c r="K520">
        <v>57.7</v>
      </c>
      <c r="L520">
        <v>62.4</v>
      </c>
      <c r="M520" s="2">
        <f t="shared" si="82"/>
        <v>1</v>
      </c>
      <c r="N520">
        <v>0</v>
      </c>
      <c r="O520" s="2">
        <f t="shared" si="83"/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 s="2">
        <f t="shared" si="84"/>
        <v>0</v>
      </c>
      <c r="W520">
        <v>13.9</v>
      </c>
      <c r="X520" s="2">
        <f t="shared" si="85"/>
        <v>0</v>
      </c>
      <c r="Y520">
        <v>8.4</v>
      </c>
      <c r="Z520" s="2" t="str">
        <f>CHOOSE(MATCH(Y520,{0;11;80;111;161;191;241;281;341},1),"North","NorthEast","East","SouthEast","South","SouthWest","West","NorthWest","North")</f>
        <v>North</v>
      </c>
      <c r="AA520" s="4">
        <f>CHOOSE(MATCH(Z520,{"South";"SouthEast";"SouthWest";"North";"NorthEast";"East";"West";"NorthWest"},0),1,2,3,4,5,6,7,8)</f>
        <v>4</v>
      </c>
      <c r="AB520" s="2">
        <f t="shared" si="86"/>
        <v>1</v>
      </c>
      <c r="AC520">
        <v>1010.4</v>
      </c>
      <c r="AD520" t="s">
        <v>814</v>
      </c>
      <c r="AE520" s="2">
        <f t="shared" si="87"/>
        <v>1</v>
      </c>
      <c r="AF520" t="s">
        <v>828</v>
      </c>
      <c r="AG520" s="2">
        <f t="shared" si="88"/>
        <v>5</v>
      </c>
      <c r="AH520" s="2">
        <f t="shared" si="89"/>
        <v>0</v>
      </c>
      <c r="AI520" s="3">
        <v>1936.0000000032601</v>
      </c>
      <c r="AJ520" s="2">
        <v>1</v>
      </c>
      <c r="AK520">
        <v>20</v>
      </c>
      <c r="AL520">
        <v>0</v>
      </c>
      <c r="AM520">
        <v>0</v>
      </c>
      <c r="AN520" s="2">
        <f>IF((2*G520+M520-O520+3*V520+2*AB520+2*AE520+2*AH520+3*AJ520)&gt;=7,1,0)</f>
        <v>1</v>
      </c>
    </row>
    <row r="521" spans="1:40" x14ac:dyDescent="0.25">
      <c r="A521" t="s">
        <v>27</v>
      </c>
      <c r="B521" s="1">
        <v>38497</v>
      </c>
      <c r="C521" s="6">
        <f t="shared" si="80"/>
        <v>2005</v>
      </c>
      <c r="D521">
        <v>77.099999999999994</v>
      </c>
      <c r="E521">
        <v>60.9</v>
      </c>
      <c r="F521">
        <v>68.599999999999994</v>
      </c>
      <c r="G521" s="2">
        <f t="shared" si="81"/>
        <v>0</v>
      </c>
      <c r="H521">
        <v>77.099999999999994</v>
      </c>
      <c r="I521">
        <v>60.9</v>
      </c>
      <c r="J521">
        <v>68.599999999999994</v>
      </c>
      <c r="K521">
        <v>59.6</v>
      </c>
      <c r="L521">
        <v>73.8</v>
      </c>
      <c r="M521" s="2">
        <f t="shared" si="82"/>
        <v>0</v>
      </c>
      <c r="N521">
        <v>0</v>
      </c>
      <c r="O521" s="2">
        <f t="shared" si="83"/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s="2">
        <f t="shared" si="84"/>
        <v>0</v>
      </c>
      <c r="W521">
        <v>13.9</v>
      </c>
      <c r="X521" s="2">
        <f t="shared" si="85"/>
        <v>0</v>
      </c>
      <c r="Y521">
        <v>319.39999999999998</v>
      </c>
      <c r="Z521" s="2" t="str">
        <f>CHOOSE(MATCH(Y521,{0;11;80;111;161;191;241;281;341},1),"North","NorthEast","East","SouthEast","South","SouthWest","West","NorthWest","North")</f>
        <v>NorthWest</v>
      </c>
      <c r="AA521" s="4">
        <f>CHOOSE(MATCH(Z521,{"South";"SouthEast";"SouthWest";"North";"NorthEast";"East";"West";"NorthWest"},0),1,2,3,4,5,6,7,8)</f>
        <v>8</v>
      </c>
      <c r="AB521" s="2">
        <f t="shared" si="86"/>
        <v>1</v>
      </c>
      <c r="AC521">
        <v>1011</v>
      </c>
      <c r="AD521" t="s">
        <v>829</v>
      </c>
      <c r="AE521" s="2">
        <f t="shared" si="87"/>
        <v>0</v>
      </c>
      <c r="AF521" t="s">
        <v>830</v>
      </c>
      <c r="AG521" s="2">
        <f t="shared" si="88"/>
        <v>5</v>
      </c>
      <c r="AH521" s="2">
        <f t="shared" si="89"/>
        <v>0</v>
      </c>
      <c r="AI521" s="3">
        <v>232.9999999946449</v>
      </c>
      <c r="AJ521" s="2">
        <v>0</v>
      </c>
      <c r="AK521">
        <v>0</v>
      </c>
      <c r="AL521">
        <v>5</v>
      </c>
      <c r="AM521">
        <v>0</v>
      </c>
      <c r="AN521" s="2">
        <f>IF((2*G521+M521-O521+3*V521+2*AB521+2*AE521+2*AH521+3*AJ521)&gt;=7,1,0)</f>
        <v>0</v>
      </c>
    </row>
    <row r="522" spans="1:40" x14ac:dyDescent="0.25">
      <c r="A522" t="s">
        <v>27</v>
      </c>
      <c r="B522" s="1">
        <v>38499</v>
      </c>
      <c r="C522" s="6">
        <f t="shared" si="80"/>
        <v>2005</v>
      </c>
      <c r="D522">
        <v>71.7</v>
      </c>
      <c r="E522">
        <v>60.9</v>
      </c>
      <c r="F522">
        <v>67.099999999999994</v>
      </c>
      <c r="G522" s="2">
        <f t="shared" si="81"/>
        <v>0</v>
      </c>
      <c r="H522">
        <v>71.7</v>
      </c>
      <c r="I522">
        <v>60.9</v>
      </c>
      <c r="J522">
        <v>67.099999999999994</v>
      </c>
      <c r="K522">
        <v>60.3</v>
      </c>
      <c r="L522">
        <v>79.400000000000006</v>
      </c>
      <c r="M522" s="2">
        <f t="shared" si="82"/>
        <v>0</v>
      </c>
      <c r="N522">
        <v>0</v>
      </c>
      <c r="O522" s="2">
        <f t="shared" si="83"/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 s="2">
        <f t="shared" si="84"/>
        <v>0</v>
      </c>
      <c r="W522">
        <v>17.2</v>
      </c>
      <c r="X522" s="2">
        <f t="shared" si="85"/>
        <v>1</v>
      </c>
      <c r="Y522">
        <v>335.4</v>
      </c>
      <c r="Z522" s="2" t="str">
        <f>CHOOSE(MATCH(Y522,{0;11;80;111;161;191;241;281;341},1),"North","NorthEast","East","SouthEast","South","SouthWest","West","NorthWest","North")</f>
        <v>NorthWest</v>
      </c>
      <c r="AA522" s="4">
        <f>CHOOSE(MATCH(Z522,{"South";"SouthEast";"SouthWest";"North";"NorthEast";"East";"West";"NorthWest"},0),1,2,3,4,5,6,7,8)</f>
        <v>8</v>
      </c>
      <c r="AB522" s="2">
        <f t="shared" si="86"/>
        <v>1</v>
      </c>
      <c r="AC522">
        <v>1012.4</v>
      </c>
      <c r="AD522" t="s">
        <v>831</v>
      </c>
      <c r="AE522" s="2">
        <f t="shared" si="87"/>
        <v>1</v>
      </c>
      <c r="AF522" t="s">
        <v>832</v>
      </c>
      <c r="AG522" s="2">
        <f t="shared" si="88"/>
        <v>5</v>
      </c>
      <c r="AH522" s="2">
        <f t="shared" si="89"/>
        <v>0</v>
      </c>
      <c r="AI522" s="3">
        <v>921.00000000558794</v>
      </c>
      <c r="AJ522" s="2">
        <v>1</v>
      </c>
      <c r="AK522">
        <v>0.1</v>
      </c>
      <c r="AL522">
        <v>0</v>
      </c>
      <c r="AM522">
        <v>0</v>
      </c>
      <c r="AN522" s="2">
        <f>IF((2*G522+M522-O522+3*V522+2*AB522+2*AE522+2*AH522+3*AJ522)&gt;=7,1,0)</f>
        <v>0</v>
      </c>
    </row>
    <row r="523" spans="1:40" x14ac:dyDescent="0.25">
      <c r="A523" t="s">
        <v>27</v>
      </c>
      <c r="B523" s="1">
        <v>38508</v>
      </c>
      <c r="C523" s="6">
        <f t="shared" si="80"/>
        <v>2005</v>
      </c>
      <c r="D523">
        <v>75.3</v>
      </c>
      <c r="E523">
        <v>59.1</v>
      </c>
      <c r="F523">
        <v>70.3</v>
      </c>
      <c r="G523" s="2">
        <f t="shared" si="81"/>
        <v>1</v>
      </c>
      <c r="H523">
        <v>75.3</v>
      </c>
      <c r="I523">
        <v>59.1</v>
      </c>
      <c r="J523">
        <v>70.3</v>
      </c>
      <c r="K523">
        <v>51.5</v>
      </c>
      <c r="L523">
        <v>52</v>
      </c>
      <c r="M523" s="2">
        <f t="shared" si="82"/>
        <v>1</v>
      </c>
      <c r="N523">
        <v>0</v>
      </c>
      <c r="O523" s="2">
        <f t="shared" si="83"/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 s="2">
        <f t="shared" si="84"/>
        <v>0</v>
      </c>
      <c r="W523">
        <v>18.3</v>
      </c>
      <c r="X523" s="2">
        <f t="shared" si="85"/>
        <v>1</v>
      </c>
      <c r="Y523">
        <v>313.2</v>
      </c>
      <c r="Z523" s="2" t="str">
        <f>CHOOSE(MATCH(Y523,{0;11;80;111;161;191;241;281;341},1),"North","NorthEast","East","SouthEast","South","SouthWest","West","NorthWest","North")</f>
        <v>NorthWest</v>
      </c>
      <c r="AA523" s="4">
        <f>CHOOSE(MATCH(Z523,{"South";"SouthEast";"SouthWest";"North";"NorthEast";"East";"West";"NorthWest"},0),1,2,3,4,5,6,7,8)</f>
        <v>8</v>
      </c>
      <c r="AB523" s="2">
        <f t="shared" si="86"/>
        <v>1</v>
      </c>
      <c r="AC523">
        <v>1013.9</v>
      </c>
      <c r="AD523" t="s">
        <v>213</v>
      </c>
      <c r="AE523" s="2">
        <f t="shared" si="87"/>
        <v>1</v>
      </c>
      <c r="AF523" t="s">
        <v>833</v>
      </c>
      <c r="AG523" s="2">
        <f t="shared" si="88"/>
        <v>6</v>
      </c>
      <c r="AH523" s="2">
        <f t="shared" si="89"/>
        <v>1</v>
      </c>
      <c r="AI523" s="3">
        <v>1450.9999999939459</v>
      </c>
      <c r="AJ523" s="2">
        <v>1</v>
      </c>
      <c r="AK523">
        <v>0</v>
      </c>
      <c r="AL523">
        <v>15</v>
      </c>
      <c r="AM523">
        <v>0</v>
      </c>
      <c r="AN523" s="2">
        <f>IF((2*G523+M523-O523+3*V523+2*AB523+2*AE523+2*AH523+3*AJ523)&gt;=7,1,0)</f>
        <v>1</v>
      </c>
    </row>
    <row r="524" spans="1:40" x14ac:dyDescent="0.25">
      <c r="A524" t="s">
        <v>27</v>
      </c>
      <c r="B524" s="1">
        <v>38514</v>
      </c>
      <c r="C524" s="6">
        <f t="shared" si="80"/>
        <v>2005</v>
      </c>
      <c r="D524">
        <v>75.3</v>
      </c>
      <c r="E524">
        <v>62.7</v>
      </c>
      <c r="F524">
        <v>69.8</v>
      </c>
      <c r="G524" s="2">
        <f t="shared" si="81"/>
        <v>0</v>
      </c>
      <c r="H524">
        <v>75.3</v>
      </c>
      <c r="I524">
        <v>62.7</v>
      </c>
      <c r="J524">
        <v>69.8</v>
      </c>
      <c r="K524">
        <v>53.7</v>
      </c>
      <c r="L524">
        <v>58.4</v>
      </c>
      <c r="M524" s="2">
        <f t="shared" si="82"/>
        <v>1</v>
      </c>
      <c r="N524">
        <v>0</v>
      </c>
      <c r="O524" s="2">
        <f t="shared" si="83"/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 s="2">
        <f t="shared" si="84"/>
        <v>0</v>
      </c>
      <c r="W524">
        <v>19.5</v>
      </c>
      <c r="X524" s="2">
        <f t="shared" si="85"/>
        <v>1</v>
      </c>
      <c r="Y524">
        <v>317.89999999999998</v>
      </c>
      <c r="Z524" s="2" t="str">
        <f>CHOOSE(MATCH(Y524,{0;11;80;111;161;191;241;281;341},1),"North","NorthEast","East","SouthEast","South","SouthWest","West","NorthWest","North")</f>
        <v>NorthWest</v>
      </c>
      <c r="AA524" s="4">
        <f>CHOOSE(MATCH(Z524,{"South";"SouthEast";"SouthWest";"North";"NorthEast";"East";"West";"NorthWest"},0),1,2,3,4,5,6,7,8)</f>
        <v>8</v>
      </c>
      <c r="AB524" s="2">
        <f t="shared" si="86"/>
        <v>1</v>
      </c>
      <c r="AC524">
        <v>1012.3</v>
      </c>
      <c r="AD524" t="s">
        <v>141</v>
      </c>
      <c r="AE524" s="2">
        <f t="shared" si="87"/>
        <v>0</v>
      </c>
      <c r="AF524" t="s">
        <v>834</v>
      </c>
      <c r="AG524" s="2">
        <f t="shared" si="88"/>
        <v>6</v>
      </c>
      <c r="AH524" s="2">
        <f t="shared" si="89"/>
        <v>1</v>
      </c>
      <c r="AI524" s="3">
        <v>1926.000000002095</v>
      </c>
      <c r="AJ524" s="2">
        <v>1</v>
      </c>
      <c r="AK524">
        <v>0</v>
      </c>
      <c r="AL524">
        <v>10</v>
      </c>
      <c r="AM524">
        <v>0</v>
      </c>
      <c r="AN524" s="2">
        <f>IF((2*G524+M524-O524+3*V524+2*AB524+2*AE524+2*AH524+3*AJ524)&gt;=7,1,0)</f>
        <v>1</v>
      </c>
    </row>
    <row r="525" spans="1:40" x14ac:dyDescent="0.25">
      <c r="A525" t="s">
        <v>27</v>
      </c>
      <c r="B525" s="1">
        <v>38517</v>
      </c>
      <c r="C525" s="6">
        <f t="shared" si="80"/>
        <v>2005</v>
      </c>
      <c r="D525">
        <v>77.099999999999994</v>
      </c>
      <c r="E525">
        <v>62.7</v>
      </c>
      <c r="F525">
        <v>72.099999999999994</v>
      </c>
      <c r="G525" s="2">
        <f t="shared" si="81"/>
        <v>1</v>
      </c>
      <c r="H525">
        <v>77.099999999999994</v>
      </c>
      <c r="I525">
        <v>62.7</v>
      </c>
      <c r="J525">
        <v>72.099999999999994</v>
      </c>
      <c r="K525">
        <v>57.3</v>
      </c>
      <c r="L525">
        <v>61.7</v>
      </c>
      <c r="M525" s="2">
        <f t="shared" si="82"/>
        <v>1</v>
      </c>
      <c r="N525">
        <v>0</v>
      </c>
      <c r="O525" s="2">
        <f t="shared" si="83"/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 s="2">
        <f t="shared" si="84"/>
        <v>0</v>
      </c>
      <c r="W525">
        <v>13.9</v>
      </c>
      <c r="X525" s="2">
        <f t="shared" si="85"/>
        <v>0</v>
      </c>
      <c r="Y525">
        <v>309.89999999999998</v>
      </c>
      <c r="Z525" s="2" t="str">
        <f>CHOOSE(MATCH(Y525,{0;11;80;111;161;191;241;281;341},1),"North","NorthEast","East","SouthEast","South","SouthWest","West","NorthWest","North")</f>
        <v>NorthWest</v>
      </c>
      <c r="AA525" s="4">
        <f>CHOOSE(MATCH(Z525,{"South";"SouthEast";"SouthWest";"North";"NorthEast";"East";"West";"NorthWest"},0),1,2,3,4,5,6,7,8)</f>
        <v>8</v>
      </c>
      <c r="AB525" s="2">
        <f t="shared" si="86"/>
        <v>1</v>
      </c>
      <c r="AC525">
        <v>1013.9</v>
      </c>
      <c r="AD525" t="s">
        <v>207</v>
      </c>
      <c r="AE525" s="2">
        <f t="shared" si="87"/>
        <v>1</v>
      </c>
      <c r="AF525" t="s">
        <v>835</v>
      </c>
      <c r="AG525" s="2">
        <f t="shared" si="88"/>
        <v>6</v>
      </c>
      <c r="AH525" s="2">
        <f t="shared" si="89"/>
        <v>1</v>
      </c>
      <c r="AI525" s="3">
        <v>290.99999999511061</v>
      </c>
      <c r="AJ525" s="2">
        <v>0</v>
      </c>
      <c r="AK525">
        <v>0</v>
      </c>
      <c r="AL525">
        <v>1.5</v>
      </c>
      <c r="AM525">
        <v>0</v>
      </c>
      <c r="AN525" s="2">
        <f>IF((2*G525+M525-O525+3*V525+2*AB525+2*AE525+2*AH525+3*AJ525)&gt;=7,1,0)</f>
        <v>1</v>
      </c>
    </row>
    <row r="526" spans="1:40" x14ac:dyDescent="0.25">
      <c r="A526" t="s">
        <v>27</v>
      </c>
      <c r="B526" s="1">
        <v>38523</v>
      </c>
      <c r="C526" s="6">
        <f t="shared" si="80"/>
        <v>2005</v>
      </c>
      <c r="D526">
        <v>80.7</v>
      </c>
      <c r="E526">
        <v>66.3</v>
      </c>
      <c r="F526">
        <v>74</v>
      </c>
      <c r="G526" s="2">
        <f t="shared" si="81"/>
        <v>1</v>
      </c>
      <c r="H526">
        <v>84.1</v>
      </c>
      <c r="I526">
        <v>66.3</v>
      </c>
      <c r="J526">
        <v>74.2</v>
      </c>
      <c r="K526">
        <v>63.9</v>
      </c>
      <c r="L526">
        <v>71.5</v>
      </c>
      <c r="M526" s="2">
        <f t="shared" si="82"/>
        <v>0</v>
      </c>
      <c r="N526">
        <v>0</v>
      </c>
      <c r="O526" s="2">
        <f t="shared" si="83"/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 s="2">
        <f t="shared" si="84"/>
        <v>0</v>
      </c>
      <c r="W526">
        <v>11.4</v>
      </c>
      <c r="X526" s="2">
        <f t="shared" si="85"/>
        <v>0</v>
      </c>
      <c r="Y526">
        <v>338.6</v>
      </c>
      <c r="Z526" s="2" t="str">
        <f>CHOOSE(MATCH(Y526,{0;11;80;111;161;191;241;281;341},1),"North","NorthEast","East","SouthEast","South","SouthWest","West","NorthWest","North")</f>
        <v>NorthWest</v>
      </c>
      <c r="AA526" s="4">
        <f>CHOOSE(MATCH(Z526,{"South";"SouthEast";"SouthWest";"North";"NorthEast";"East";"West";"NorthWest"},0),1,2,3,4,5,6,7,8)</f>
        <v>8</v>
      </c>
      <c r="AB526" s="2">
        <f t="shared" si="86"/>
        <v>1</v>
      </c>
      <c r="AC526">
        <v>1009.3</v>
      </c>
      <c r="AD526" t="s">
        <v>836</v>
      </c>
      <c r="AE526" s="2">
        <f t="shared" si="87"/>
        <v>1</v>
      </c>
      <c r="AF526" t="s">
        <v>837</v>
      </c>
      <c r="AG526" s="2">
        <f t="shared" si="88"/>
        <v>6</v>
      </c>
      <c r="AH526" s="2">
        <f t="shared" si="89"/>
        <v>1</v>
      </c>
      <c r="AI526" s="3">
        <v>114.99999999767169</v>
      </c>
      <c r="AJ526" s="2">
        <v>0</v>
      </c>
      <c r="AK526">
        <v>0</v>
      </c>
      <c r="AL526">
        <v>2</v>
      </c>
      <c r="AM526">
        <v>0</v>
      </c>
      <c r="AN526" s="2">
        <f>IF((2*G526+M526-O526+3*V526+2*AB526+2*AE526+2*AH526+3*AJ526)&gt;=7,1,0)</f>
        <v>1</v>
      </c>
    </row>
    <row r="527" spans="1:40" x14ac:dyDescent="0.25">
      <c r="A527" t="s">
        <v>27</v>
      </c>
      <c r="B527" s="1">
        <v>38531</v>
      </c>
      <c r="C527" s="6">
        <f t="shared" si="80"/>
        <v>2005</v>
      </c>
      <c r="D527">
        <v>82.5</v>
      </c>
      <c r="E527">
        <v>64.5</v>
      </c>
      <c r="F527">
        <v>76.400000000000006</v>
      </c>
      <c r="G527" s="2">
        <f t="shared" si="81"/>
        <v>1</v>
      </c>
      <c r="H527">
        <v>82.6</v>
      </c>
      <c r="I527">
        <v>64.5</v>
      </c>
      <c r="J527">
        <v>76.400000000000006</v>
      </c>
      <c r="K527">
        <v>56.5</v>
      </c>
      <c r="L527">
        <v>50.6</v>
      </c>
      <c r="M527" s="2">
        <f t="shared" si="82"/>
        <v>1</v>
      </c>
      <c r="N527">
        <v>0</v>
      </c>
      <c r="O527" s="2">
        <f t="shared" si="83"/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 s="2">
        <f t="shared" si="84"/>
        <v>0</v>
      </c>
      <c r="W527">
        <v>19.5</v>
      </c>
      <c r="X527" s="2">
        <f t="shared" si="85"/>
        <v>1</v>
      </c>
      <c r="Y527">
        <v>305.10000000000002</v>
      </c>
      <c r="Z527" s="2" t="str">
        <f>CHOOSE(MATCH(Y527,{0;11;80;111;161;191;241;281;341},1),"North","NorthEast","East","SouthEast","South","SouthWest","West","NorthWest","North")</f>
        <v>NorthWest</v>
      </c>
      <c r="AA527" s="4">
        <f>CHOOSE(MATCH(Z527,{"South";"SouthEast";"SouthWest";"North";"NorthEast";"East";"West";"NorthWest"},0),1,2,3,4,5,6,7,8)</f>
        <v>8</v>
      </c>
      <c r="AB527" s="2">
        <f t="shared" si="86"/>
        <v>1</v>
      </c>
      <c r="AC527">
        <v>1008.2</v>
      </c>
      <c r="AD527" t="s">
        <v>838</v>
      </c>
      <c r="AE527" s="2">
        <f t="shared" si="87"/>
        <v>1</v>
      </c>
      <c r="AF527" t="s">
        <v>839</v>
      </c>
      <c r="AG527" s="2">
        <f t="shared" si="88"/>
        <v>6</v>
      </c>
      <c r="AH527" s="2">
        <f t="shared" si="89"/>
        <v>1</v>
      </c>
      <c r="AI527" s="3">
        <v>743.00000000162981</v>
      </c>
      <c r="AJ527" s="2">
        <v>1</v>
      </c>
      <c r="AK527">
        <v>0</v>
      </c>
      <c r="AL527">
        <v>50</v>
      </c>
      <c r="AM527">
        <v>0</v>
      </c>
      <c r="AN527" s="2">
        <f>IF((2*G527+M527-O527+3*V527+2*AB527+2*AE527+2*AH527+3*AJ527)&gt;=7,1,0)</f>
        <v>1</v>
      </c>
    </row>
    <row r="528" spans="1:40" x14ac:dyDescent="0.25">
      <c r="A528" t="s">
        <v>27</v>
      </c>
      <c r="B528" s="1">
        <v>38532</v>
      </c>
      <c r="C528" s="6">
        <f t="shared" si="80"/>
        <v>2005</v>
      </c>
      <c r="D528">
        <v>82.5</v>
      </c>
      <c r="E528">
        <v>75.3</v>
      </c>
      <c r="F528">
        <v>77.599999999999994</v>
      </c>
      <c r="G528" s="2">
        <f t="shared" si="81"/>
        <v>1</v>
      </c>
      <c r="H528">
        <v>82.2</v>
      </c>
      <c r="I528">
        <v>75.3</v>
      </c>
      <c r="J528">
        <v>77.7</v>
      </c>
      <c r="K528">
        <v>61.2</v>
      </c>
      <c r="L528">
        <v>57.5</v>
      </c>
      <c r="M528" s="2">
        <f t="shared" si="82"/>
        <v>1</v>
      </c>
      <c r="N528">
        <v>0</v>
      </c>
      <c r="O528" s="2">
        <f t="shared" si="83"/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 s="2">
        <f t="shared" si="84"/>
        <v>0</v>
      </c>
      <c r="W528">
        <v>19.5</v>
      </c>
      <c r="X528" s="2">
        <f t="shared" si="85"/>
        <v>1</v>
      </c>
      <c r="Y528">
        <v>307.8</v>
      </c>
      <c r="Z528" s="2" t="str">
        <f>CHOOSE(MATCH(Y528,{0;11;80;111;161;191;241;281;341},1),"North","NorthEast","East","SouthEast","South","SouthWest","West","NorthWest","North")</f>
        <v>NorthWest</v>
      </c>
      <c r="AA528" s="4">
        <f>CHOOSE(MATCH(Z528,{"South";"SouthEast";"SouthWest";"North";"NorthEast";"East";"West";"NorthWest"},0),1,2,3,4,5,6,7,8)</f>
        <v>8</v>
      </c>
      <c r="AB528" s="2">
        <f t="shared" si="86"/>
        <v>1</v>
      </c>
      <c r="AC528">
        <v>1008.3</v>
      </c>
      <c r="AD528" t="s">
        <v>30</v>
      </c>
      <c r="AE528" s="2">
        <f t="shared" si="87"/>
        <v>1</v>
      </c>
      <c r="AF528" t="s">
        <v>840</v>
      </c>
      <c r="AG528" s="2">
        <f t="shared" si="88"/>
        <v>6</v>
      </c>
      <c r="AH528" s="2">
        <f t="shared" si="89"/>
        <v>1</v>
      </c>
      <c r="AI528" s="3">
        <v>265.99999999743892</v>
      </c>
      <c r="AJ528" s="2">
        <v>0</v>
      </c>
      <c r="AK528">
        <v>0</v>
      </c>
      <c r="AL528">
        <v>0.02</v>
      </c>
      <c r="AM528">
        <v>0</v>
      </c>
      <c r="AN528" s="2">
        <f>IF((2*G528+M528-O528+3*V528+2*AB528+2*AE528+2*AH528+3*AJ528)&gt;=7,1,0)</f>
        <v>1</v>
      </c>
    </row>
    <row r="529" spans="1:40" x14ac:dyDescent="0.25">
      <c r="A529" t="s">
        <v>27</v>
      </c>
      <c r="B529" s="1">
        <v>38533</v>
      </c>
      <c r="C529" s="6">
        <f t="shared" si="80"/>
        <v>2005</v>
      </c>
      <c r="D529">
        <v>84.3</v>
      </c>
      <c r="E529">
        <v>68.099999999999994</v>
      </c>
      <c r="F529">
        <v>77.900000000000006</v>
      </c>
      <c r="G529" s="2">
        <f t="shared" si="81"/>
        <v>1</v>
      </c>
      <c r="H529">
        <v>84</v>
      </c>
      <c r="I529">
        <v>68.099999999999994</v>
      </c>
      <c r="J529">
        <v>77.900000000000006</v>
      </c>
      <c r="K529">
        <v>57.2</v>
      </c>
      <c r="L529">
        <v>49.7</v>
      </c>
      <c r="M529" s="2">
        <f t="shared" si="82"/>
        <v>1</v>
      </c>
      <c r="N529">
        <v>0</v>
      </c>
      <c r="O529" s="2">
        <f t="shared" si="83"/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 s="2">
        <f t="shared" si="84"/>
        <v>0</v>
      </c>
      <c r="W529">
        <v>18.3</v>
      </c>
      <c r="X529" s="2">
        <f t="shared" si="85"/>
        <v>1</v>
      </c>
      <c r="Y529">
        <v>310.39999999999998</v>
      </c>
      <c r="Z529" s="2" t="str">
        <f>CHOOSE(MATCH(Y529,{0;11;80;111;161;191;241;281;341},1),"North","NorthEast","East","SouthEast","South","SouthWest","West","NorthWest","North")</f>
        <v>NorthWest</v>
      </c>
      <c r="AA529" s="4">
        <f>CHOOSE(MATCH(Z529,{"South";"SouthEast";"SouthWest";"North";"NorthEast";"East";"West";"NorthWest"},0),1,2,3,4,5,6,7,8)</f>
        <v>8</v>
      </c>
      <c r="AB529" s="2">
        <f t="shared" si="86"/>
        <v>1</v>
      </c>
      <c r="AC529">
        <v>1009.8</v>
      </c>
      <c r="AD529" t="s">
        <v>469</v>
      </c>
      <c r="AE529" s="2">
        <f t="shared" si="87"/>
        <v>0</v>
      </c>
      <c r="AF529" t="s">
        <v>841</v>
      </c>
      <c r="AG529" s="2">
        <f t="shared" si="88"/>
        <v>6</v>
      </c>
      <c r="AH529" s="2">
        <f t="shared" si="89"/>
        <v>1</v>
      </c>
      <c r="AI529" s="3">
        <v>116.00000000093129</v>
      </c>
      <c r="AJ529" s="2">
        <v>0</v>
      </c>
      <c r="AK529">
        <v>0</v>
      </c>
      <c r="AL529">
        <v>0.5</v>
      </c>
      <c r="AM529">
        <v>0</v>
      </c>
      <c r="AN529" s="2">
        <f>IF((2*G529+M529-O529+3*V529+2*AB529+2*AE529+2*AH529+3*AJ529)&gt;=7,1,0)</f>
        <v>0</v>
      </c>
    </row>
    <row r="530" spans="1:40" x14ac:dyDescent="0.25">
      <c r="A530" t="s">
        <v>27</v>
      </c>
      <c r="B530" s="1">
        <v>38535</v>
      </c>
      <c r="C530" s="6">
        <f t="shared" si="80"/>
        <v>2005</v>
      </c>
      <c r="D530">
        <v>93.3</v>
      </c>
      <c r="E530">
        <v>77.099999999999994</v>
      </c>
      <c r="F530">
        <v>85.6</v>
      </c>
      <c r="G530" s="2">
        <f t="shared" si="81"/>
        <v>1</v>
      </c>
      <c r="H530">
        <v>93.5</v>
      </c>
      <c r="I530">
        <v>77.099999999999994</v>
      </c>
      <c r="J530">
        <v>85.6</v>
      </c>
      <c r="K530">
        <v>58</v>
      </c>
      <c r="L530">
        <v>40.799999999999997</v>
      </c>
      <c r="M530" s="2">
        <f t="shared" si="82"/>
        <v>1</v>
      </c>
      <c r="N530">
        <v>0</v>
      </c>
      <c r="O530" s="2">
        <f t="shared" si="83"/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 s="2">
        <f t="shared" si="84"/>
        <v>0</v>
      </c>
      <c r="W530">
        <v>13.9</v>
      </c>
      <c r="X530" s="2">
        <f t="shared" si="85"/>
        <v>0</v>
      </c>
      <c r="Y530">
        <v>151.5</v>
      </c>
      <c r="Z530" s="2" t="str">
        <f>CHOOSE(MATCH(Y530,{0;11;80;111;161;191;241;281;341},1),"North","NorthEast","East","SouthEast","South","SouthWest","West","NorthWest","North")</f>
        <v>SouthEast</v>
      </c>
      <c r="AA530" s="4">
        <f>CHOOSE(MATCH(Z530,{"South";"SouthEast";"SouthWest";"North";"NorthEast";"East";"West";"NorthWest"},0),1,2,3,4,5,6,7,8)</f>
        <v>2</v>
      </c>
      <c r="AB530" s="2">
        <f t="shared" si="86"/>
        <v>0</v>
      </c>
      <c r="AC530">
        <v>1006.9</v>
      </c>
      <c r="AD530" t="s">
        <v>842</v>
      </c>
      <c r="AE530" s="2">
        <f t="shared" si="87"/>
        <v>1</v>
      </c>
      <c r="AF530" t="s">
        <v>843</v>
      </c>
      <c r="AG530" s="2">
        <f t="shared" si="88"/>
        <v>7</v>
      </c>
      <c r="AH530" s="2">
        <f t="shared" si="89"/>
        <v>1</v>
      </c>
      <c r="AI530" s="3">
        <v>379.99999999185093</v>
      </c>
      <c r="AJ530" s="2">
        <v>1</v>
      </c>
      <c r="AK530">
        <v>0</v>
      </c>
      <c r="AL530">
        <v>70</v>
      </c>
      <c r="AM530">
        <v>0</v>
      </c>
      <c r="AN530" s="2">
        <f>IF((2*G530+M530-O530+3*V530+2*AB530+2*AE530+2*AH530+3*AJ530)&gt;=7,1,0)</f>
        <v>1</v>
      </c>
    </row>
    <row r="531" spans="1:40" x14ac:dyDescent="0.25">
      <c r="A531" t="s">
        <v>27</v>
      </c>
      <c r="B531" s="1">
        <v>38536</v>
      </c>
      <c r="C531" s="6">
        <f t="shared" si="80"/>
        <v>2005</v>
      </c>
      <c r="D531">
        <v>84.3</v>
      </c>
      <c r="E531">
        <v>75.3</v>
      </c>
      <c r="F531">
        <v>80.5</v>
      </c>
      <c r="G531" s="2">
        <f t="shared" si="81"/>
        <v>1</v>
      </c>
      <c r="H531">
        <v>84.8</v>
      </c>
      <c r="I531">
        <v>75.3</v>
      </c>
      <c r="J531">
        <v>80.7</v>
      </c>
      <c r="K531">
        <v>58.7</v>
      </c>
      <c r="L531">
        <v>48.2</v>
      </c>
      <c r="M531" s="2">
        <f t="shared" si="82"/>
        <v>1</v>
      </c>
      <c r="N531">
        <v>0</v>
      </c>
      <c r="O531" s="2">
        <f t="shared" si="83"/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s="2">
        <f t="shared" si="84"/>
        <v>0</v>
      </c>
      <c r="W531">
        <v>30</v>
      </c>
      <c r="X531" s="2">
        <f t="shared" si="85"/>
        <v>1</v>
      </c>
      <c r="Y531">
        <v>298.60000000000002</v>
      </c>
      <c r="Z531" s="2" t="str">
        <f>CHOOSE(MATCH(Y531,{0;11;80;111;161;191;241;281;341},1),"North","NorthEast","East","SouthEast","South","SouthWest","West","NorthWest","North")</f>
        <v>NorthWest</v>
      </c>
      <c r="AA531" s="4">
        <f>CHOOSE(MATCH(Z531,{"South";"SouthEast";"SouthWest";"North";"NorthEast";"East";"West";"NorthWest"},0),1,2,3,4,5,6,7,8)</f>
        <v>8</v>
      </c>
      <c r="AB531" s="2">
        <f t="shared" si="86"/>
        <v>1</v>
      </c>
      <c r="AC531">
        <v>1003.9</v>
      </c>
      <c r="AD531" t="s">
        <v>844</v>
      </c>
      <c r="AE531" s="2">
        <f t="shared" si="87"/>
        <v>1</v>
      </c>
      <c r="AF531" t="s">
        <v>845</v>
      </c>
      <c r="AG531" s="2">
        <f t="shared" si="88"/>
        <v>7</v>
      </c>
      <c r="AH531" s="2">
        <f t="shared" si="89"/>
        <v>1</v>
      </c>
      <c r="AI531" s="3">
        <v>830.00000000232831</v>
      </c>
      <c r="AJ531" s="2">
        <v>1</v>
      </c>
      <c r="AK531">
        <v>0</v>
      </c>
      <c r="AL531">
        <v>10</v>
      </c>
      <c r="AM531">
        <v>0</v>
      </c>
      <c r="AN531" s="2">
        <f>IF((2*G531+M531-O531+3*V531+2*AB531+2*AE531+2*AH531+3*AJ531)&gt;=7,1,0)</f>
        <v>1</v>
      </c>
    </row>
    <row r="532" spans="1:40" x14ac:dyDescent="0.25">
      <c r="A532" t="s">
        <v>27</v>
      </c>
      <c r="B532" s="1">
        <v>38546</v>
      </c>
      <c r="C532" s="6">
        <f t="shared" si="80"/>
        <v>2005</v>
      </c>
      <c r="D532">
        <v>84.3</v>
      </c>
      <c r="E532">
        <v>69.900000000000006</v>
      </c>
      <c r="F532">
        <v>77.900000000000006</v>
      </c>
      <c r="G532" s="2">
        <f t="shared" si="81"/>
        <v>1</v>
      </c>
      <c r="H532">
        <v>86.6</v>
      </c>
      <c r="I532">
        <v>69.900000000000006</v>
      </c>
      <c r="J532">
        <v>78.7</v>
      </c>
      <c r="K532">
        <v>63.8</v>
      </c>
      <c r="L532">
        <v>63.2</v>
      </c>
      <c r="M532" s="2">
        <f t="shared" si="82"/>
        <v>1</v>
      </c>
      <c r="N532">
        <v>0</v>
      </c>
      <c r="O532" s="2">
        <f t="shared" si="83"/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 s="2">
        <f t="shared" si="84"/>
        <v>0</v>
      </c>
      <c r="W532">
        <v>24.2</v>
      </c>
      <c r="X532" s="2">
        <f t="shared" si="85"/>
        <v>1</v>
      </c>
      <c r="Y532">
        <v>304.5</v>
      </c>
      <c r="Z532" s="2" t="str">
        <f>CHOOSE(MATCH(Y532,{0;11;80;111;161;191;241;281;341},1),"North","NorthEast","East","SouthEast","South","SouthWest","West","NorthWest","North")</f>
        <v>NorthWest</v>
      </c>
      <c r="AA532" s="4">
        <f>CHOOSE(MATCH(Z532,{"South";"SouthEast";"SouthWest";"North";"NorthEast";"East";"West";"NorthWest"},0),1,2,3,4,5,6,7,8)</f>
        <v>8</v>
      </c>
      <c r="AB532" s="2">
        <f t="shared" si="86"/>
        <v>1</v>
      </c>
      <c r="AC532">
        <v>1009.7</v>
      </c>
      <c r="AD532" t="s">
        <v>846</v>
      </c>
      <c r="AE532" s="2">
        <f t="shared" si="87"/>
        <v>1</v>
      </c>
      <c r="AF532" t="s">
        <v>847</v>
      </c>
      <c r="AG532" s="2">
        <f t="shared" si="88"/>
        <v>7</v>
      </c>
      <c r="AH532" s="2">
        <f t="shared" si="89"/>
        <v>1</v>
      </c>
      <c r="AI532" s="3">
        <v>2715.9999999997672</v>
      </c>
      <c r="AJ532" s="2">
        <v>1</v>
      </c>
      <c r="AK532">
        <v>0</v>
      </c>
      <c r="AL532">
        <v>50</v>
      </c>
      <c r="AM532">
        <v>0</v>
      </c>
      <c r="AN532" s="2">
        <f>IF((2*G532+M532-O532+3*V532+2*AB532+2*AE532+2*AH532+3*AJ532)&gt;=7,1,0)</f>
        <v>1</v>
      </c>
    </row>
    <row r="533" spans="1:40" x14ac:dyDescent="0.25">
      <c r="A533" t="s">
        <v>27</v>
      </c>
      <c r="B533" s="1">
        <v>38557</v>
      </c>
      <c r="C533" s="6">
        <f t="shared" si="80"/>
        <v>2005</v>
      </c>
      <c r="D533">
        <v>86.1</v>
      </c>
      <c r="E533">
        <v>69.900000000000006</v>
      </c>
      <c r="F533">
        <v>77.599999999999994</v>
      </c>
      <c r="G533" s="2">
        <f t="shared" si="81"/>
        <v>1</v>
      </c>
      <c r="H533">
        <v>89.8</v>
      </c>
      <c r="I533">
        <v>69.900000000000006</v>
      </c>
      <c r="J533">
        <v>79.2</v>
      </c>
      <c r="K533">
        <v>65.2</v>
      </c>
      <c r="L533">
        <v>66.400000000000006</v>
      </c>
      <c r="M533" s="2">
        <f t="shared" si="82"/>
        <v>0</v>
      </c>
      <c r="N533">
        <v>0</v>
      </c>
      <c r="O533" s="2">
        <f t="shared" si="83"/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 s="2">
        <f t="shared" si="84"/>
        <v>0</v>
      </c>
      <c r="W533">
        <v>21.9</v>
      </c>
      <c r="X533" s="2">
        <f t="shared" si="85"/>
        <v>1</v>
      </c>
      <c r="Y533">
        <v>301.3</v>
      </c>
      <c r="Z533" s="2" t="str">
        <f>CHOOSE(MATCH(Y533,{0;11;80;111;161;191;241;281;341},1),"North","NorthEast","East","SouthEast","South","SouthWest","West","NorthWest","North")</f>
        <v>NorthWest</v>
      </c>
      <c r="AA533" s="4">
        <f>CHOOSE(MATCH(Z533,{"South";"SouthEast";"SouthWest";"North";"NorthEast";"East";"West";"NorthWest"},0),1,2,3,4,5,6,7,8)</f>
        <v>8</v>
      </c>
      <c r="AB533" s="2">
        <f t="shared" si="86"/>
        <v>1</v>
      </c>
      <c r="AC533">
        <v>1008.8</v>
      </c>
      <c r="AD533" t="s">
        <v>59</v>
      </c>
      <c r="AE533" s="2">
        <f t="shared" si="87"/>
        <v>0</v>
      </c>
      <c r="AF533" t="s">
        <v>848</v>
      </c>
      <c r="AG533" s="2">
        <f t="shared" si="88"/>
        <v>7</v>
      </c>
      <c r="AH533" s="2">
        <f t="shared" si="89"/>
        <v>1</v>
      </c>
      <c r="AI533" s="3">
        <v>720</v>
      </c>
      <c r="AJ533" s="2">
        <v>1</v>
      </c>
      <c r="AK533">
        <v>0</v>
      </c>
      <c r="AL533">
        <v>30</v>
      </c>
      <c r="AM533">
        <v>0</v>
      </c>
      <c r="AN533" s="2">
        <f>IF((2*G533+M533-O533+3*V533+2*AB533+2*AE533+2*AH533+3*AJ533)&gt;=7,1,0)</f>
        <v>1</v>
      </c>
    </row>
    <row r="534" spans="1:40" x14ac:dyDescent="0.25">
      <c r="A534" t="s">
        <v>27</v>
      </c>
      <c r="B534" s="1">
        <v>38557</v>
      </c>
      <c r="C534" s="6">
        <f t="shared" si="80"/>
        <v>2005</v>
      </c>
      <c r="D534">
        <v>86.1</v>
      </c>
      <c r="E534">
        <v>69.900000000000006</v>
      </c>
      <c r="F534">
        <v>77.599999999999994</v>
      </c>
      <c r="G534" s="2">
        <f t="shared" si="81"/>
        <v>1</v>
      </c>
      <c r="H534">
        <v>89.8</v>
      </c>
      <c r="I534">
        <v>69.900000000000006</v>
      </c>
      <c r="J534">
        <v>79.2</v>
      </c>
      <c r="K534">
        <v>65.2</v>
      </c>
      <c r="L534">
        <v>66.400000000000006</v>
      </c>
      <c r="M534" s="2">
        <f t="shared" si="82"/>
        <v>0</v>
      </c>
      <c r="N534">
        <v>0</v>
      </c>
      <c r="O534" s="2">
        <f t="shared" si="83"/>
        <v>1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 s="2">
        <f t="shared" si="84"/>
        <v>0</v>
      </c>
      <c r="W534">
        <v>21.9</v>
      </c>
      <c r="X534" s="2">
        <f t="shared" si="85"/>
        <v>1</v>
      </c>
      <c r="Y534">
        <v>301.3</v>
      </c>
      <c r="Z534" s="2" t="str">
        <f>CHOOSE(MATCH(Y534,{0;11;80;111;161;191;241;281;341},1),"North","NorthEast","East","SouthEast","South","SouthWest","West","NorthWest","North")</f>
        <v>NorthWest</v>
      </c>
      <c r="AA534" s="4">
        <f>CHOOSE(MATCH(Z534,{"South";"SouthEast";"SouthWest";"North";"NorthEast";"East";"West";"NorthWest"},0),1,2,3,4,5,6,7,8)</f>
        <v>8</v>
      </c>
      <c r="AB534" s="2">
        <f t="shared" si="86"/>
        <v>1</v>
      </c>
      <c r="AC534">
        <v>1008.8</v>
      </c>
      <c r="AD534" t="s">
        <v>849</v>
      </c>
      <c r="AE534" s="2">
        <f t="shared" si="87"/>
        <v>0</v>
      </c>
      <c r="AF534" t="s">
        <v>850</v>
      </c>
      <c r="AG534" s="2">
        <f t="shared" si="88"/>
        <v>7</v>
      </c>
      <c r="AH534" s="2">
        <f t="shared" si="89"/>
        <v>1</v>
      </c>
      <c r="AI534" s="3">
        <v>680.99999999860302</v>
      </c>
      <c r="AJ534" s="2">
        <v>1</v>
      </c>
      <c r="AK534">
        <v>0</v>
      </c>
      <c r="AL534">
        <v>7</v>
      </c>
      <c r="AM534">
        <v>0</v>
      </c>
      <c r="AN534" s="2">
        <f>IF((2*G534+M534-O534+3*V534+2*AB534+2*AE534+2*AH534+3*AJ534)&gt;=7,1,0)</f>
        <v>1</v>
      </c>
    </row>
    <row r="535" spans="1:40" x14ac:dyDescent="0.25">
      <c r="A535" t="s">
        <v>27</v>
      </c>
      <c r="B535" s="1">
        <v>38559</v>
      </c>
      <c r="C535" s="6">
        <f t="shared" si="80"/>
        <v>2005</v>
      </c>
      <c r="D535">
        <v>86.1</v>
      </c>
      <c r="E535">
        <v>73.5</v>
      </c>
      <c r="F535">
        <v>81.5</v>
      </c>
      <c r="G535" s="2">
        <f t="shared" si="81"/>
        <v>1</v>
      </c>
      <c r="H535">
        <v>87.6</v>
      </c>
      <c r="I535">
        <v>73.5</v>
      </c>
      <c r="J535">
        <v>82.4</v>
      </c>
      <c r="K535">
        <v>64.5</v>
      </c>
      <c r="L535">
        <v>57.6</v>
      </c>
      <c r="M535" s="2">
        <f t="shared" si="82"/>
        <v>1</v>
      </c>
      <c r="N535">
        <v>0</v>
      </c>
      <c r="O535" s="2">
        <f t="shared" si="83"/>
        <v>1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s="2">
        <f t="shared" si="84"/>
        <v>0</v>
      </c>
      <c r="W535">
        <v>20.8</v>
      </c>
      <c r="X535" s="2">
        <f t="shared" si="85"/>
        <v>1</v>
      </c>
      <c r="Y535">
        <v>309.8</v>
      </c>
      <c r="Z535" s="2" t="str">
        <f>CHOOSE(MATCH(Y535,{0;11;80;111;161;191;241;281;341},1),"North","NorthEast","East","SouthEast","South","SouthWest","West","NorthWest","North")</f>
        <v>NorthWest</v>
      </c>
      <c r="AA535" s="4">
        <f>CHOOSE(MATCH(Z535,{"South";"SouthEast";"SouthWest";"North";"NorthEast";"East";"West";"NorthWest"},0),1,2,3,4,5,6,7,8)</f>
        <v>8</v>
      </c>
      <c r="AB535" s="2">
        <f t="shared" si="86"/>
        <v>1</v>
      </c>
      <c r="AC535">
        <v>1010.5</v>
      </c>
      <c r="AD535" t="s">
        <v>851</v>
      </c>
      <c r="AE535" s="2">
        <f t="shared" si="87"/>
        <v>1</v>
      </c>
      <c r="AF535" t="s">
        <v>852</v>
      </c>
      <c r="AG535" s="2">
        <f t="shared" si="88"/>
        <v>7</v>
      </c>
      <c r="AH535" s="2">
        <f t="shared" si="89"/>
        <v>1</v>
      </c>
      <c r="AI535" s="3">
        <v>895.99999999743886</v>
      </c>
      <c r="AJ535" s="2">
        <v>1</v>
      </c>
      <c r="AK535">
        <v>0</v>
      </c>
      <c r="AL535">
        <v>10</v>
      </c>
      <c r="AM535">
        <v>0</v>
      </c>
      <c r="AN535" s="2">
        <f>IF((2*G535+M535-O535+3*V535+2*AB535+2*AE535+2*AH535+3*AJ535)&gt;=7,1,0)</f>
        <v>1</v>
      </c>
    </row>
    <row r="536" spans="1:40" x14ac:dyDescent="0.25">
      <c r="A536" t="s">
        <v>27</v>
      </c>
      <c r="B536" s="1">
        <v>38562</v>
      </c>
      <c r="C536" s="6">
        <f t="shared" si="80"/>
        <v>2005</v>
      </c>
      <c r="D536">
        <v>82.5</v>
      </c>
      <c r="E536">
        <v>78.900000000000006</v>
      </c>
      <c r="F536">
        <v>79.900000000000006</v>
      </c>
      <c r="G536" s="2">
        <f t="shared" si="81"/>
        <v>1</v>
      </c>
      <c r="H536">
        <v>86.4</v>
      </c>
      <c r="I536">
        <v>78.900000000000006</v>
      </c>
      <c r="J536">
        <v>81</v>
      </c>
      <c r="K536">
        <v>67.3</v>
      </c>
      <c r="L536">
        <v>65.599999999999994</v>
      </c>
      <c r="M536" s="2">
        <f t="shared" si="82"/>
        <v>1</v>
      </c>
      <c r="N536">
        <v>0</v>
      </c>
      <c r="O536" s="2">
        <f t="shared" si="83"/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 s="2">
        <f t="shared" si="84"/>
        <v>0</v>
      </c>
      <c r="W536">
        <v>23</v>
      </c>
      <c r="X536" s="2">
        <f t="shared" si="85"/>
        <v>1</v>
      </c>
      <c r="Y536">
        <v>304.7</v>
      </c>
      <c r="Z536" s="2" t="str">
        <f>CHOOSE(MATCH(Y536,{0;11;80;111;161;191;241;281;341},1),"North","NorthEast","East","SouthEast","South","SouthWest","West","NorthWest","North")</f>
        <v>NorthWest</v>
      </c>
      <c r="AA536" s="4">
        <f>CHOOSE(MATCH(Z536,{"South";"SouthEast";"SouthWest";"North";"NorthEast";"East";"West";"NorthWest"},0),1,2,3,4,5,6,7,8)</f>
        <v>8</v>
      </c>
      <c r="AB536" s="2">
        <f t="shared" si="86"/>
        <v>1</v>
      </c>
      <c r="AC536">
        <v>1008.3</v>
      </c>
      <c r="AD536" t="s">
        <v>153</v>
      </c>
      <c r="AE536" s="2">
        <f t="shared" si="87"/>
        <v>1</v>
      </c>
      <c r="AF536" t="s">
        <v>853</v>
      </c>
      <c r="AG536" s="2">
        <f t="shared" si="88"/>
        <v>7</v>
      </c>
      <c r="AH536" s="2">
        <f t="shared" si="89"/>
        <v>1</v>
      </c>
      <c r="AI536" s="3">
        <v>10.00000000116415</v>
      </c>
      <c r="AJ536" s="2">
        <v>0</v>
      </c>
      <c r="AK536">
        <v>0</v>
      </c>
      <c r="AL536">
        <v>0</v>
      </c>
      <c r="AM536">
        <v>0.05</v>
      </c>
      <c r="AN536" s="2">
        <f>IF((2*G536+M536-O536+3*V536+2*AB536+2*AE536+2*AH536+3*AJ536)&gt;=7,1,0)</f>
        <v>1</v>
      </c>
    </row>
    <row r="537" spans="1:40" x14ac:dyDescent="0.25">
      <c r="A537" t="s">
        <v>27</v>
      </c>
      <c r="B537" s="1">
        <v>38563</v>
      </c>
      <c r="C537" s="6">
        <f t="shared" si="80"/>
        <v>2005</v>
      </c>
      <c r="D537">
        <v>84.3</v>
      </c>
      <c r="E537">
        <v>80.7</v>
      </c>
      <c r="F537">
        <v>82.1</v>
      </c>
      <c r="G537" s="2">
        <f t="shared" si="81"/>
        <v>1</v>
      </c>
      <c r="H537">
        <v>87.6</v>
      </c>
      <c r="I537">
        <v>82.4</v>
      </c>
      <c r="J537">
        <v>84.3</v>
      </c>
      <c r="K537">
        <v>66.099999999999994</v>
      </c>
      <c r="L537">
        <v>58.5</v>
      </c>
      <c r="M537" s="2">
        <f t="shared" si="82"/>
        <v>1</v>
      </c>
      <c r="N537">
        <v>0</v>
      </c>
      <c r="O537" s="2">
        <f t="shared" si="83"/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s="2">
        <f t="shared" si="84"/>
        <v>0</v>
      </c>
      <c r="W537">
        <v>23</v>
      </c>
      <c r="X537" s="2">
        <f t="shared" si="85"/>
        <v>1</v>
      </c>
      <c r="Y537">
        <v>310.5</v>
      </c>
      <c r="Z537" s="2" t="str">
        <f>CHOOSE(MATCH(Y537,{0;11;80;111;161;191;241;281;341},1),"North","NorthEast","East","SouthEast","South","SouthWest","West","NorthWest","North")</f>
        <v>NorthWest</v>
      </c>
      <c r="AA537" s="4">
        <f>CHOOSE(MATCH(Z537,{"South";"SouthEast";"SouthWest";"North";"NorthEast";"East";"West";"NorthWest"},0),1,2,3,4,5,6,7,8)</f>
        <v>8</v>
      </c>
      <c r="AB537" s="2">
        <f t="shared" si="86"/>
        <v>1</v>
      </c>
      <c r="AC537">
        <v>1006.8</v>
      </c>
      <c r="AD537" t="s">
        <v>854</v>
      </c>
      <c r="AE537" s="2">
        <f t="shared" si="87"/>
        <v>0</v>
      </c>
      <c r="AF537" t="s">
        <v>855</v>
      </c>
      <c r="AG537" s="2">
        <f t="shared" si="88"/>
        <v>7</v>
      </c>
      <c r="AH537" s="2">
        <f t="shared" si="89"/>
        <v>1</v>
      </c>
      <c r="AI537" s="3">
        <v>66.999999998370185</v>
      </c>
      <c r="AJ537" s="2">
        <v>0</v>
      </c>
      <c r="AK537">
        <v>0</v>
      </c>
      <c r="AL537">
        <v>0.1</v>
      </c>
      <c r="AM537">
        <v>0</v>
      </c>
      <c r="AN537" s="2">
        <f>IF((2*G537+M537-O537+3*V537+2*AB537+2*AE537+2*AH537+3*AJ537)&gt;=7,1,0)</f>
        <v>0</v>
      </c>
    </row>
    <row r="538" spans="1:40" x14ac:dyDescent="0.25">
      <c r="A538" t="s">
        <v>27</v>
      </c>
      <c r="B538" s="1">
        <v>38566</v>
      </c>
      <c r="C538" s="6">
        <f t="shared" si="80"/>
        <v>2005</v>
      </c>
      <c r="D538">
        <v>87.9</v>
      </c>
      <c r="E538">
        <v>80.7</v>
      </c>
      <c r="F538">
        <v>84.3</v>
      </c>
      <c r="G538" s="2">
        <f t="shared" si="81"/>
        <v>1</v>
      </c>
      <c r="H538">
        <v>91.6</v>
      </c>
      <c r="I538">
        <v>81.900000000000006</v>
      </c>
      <c r="J538">
        <v>86.4</v>
      </c>
      <c r="K538">
        <v>65.3</v>
      </c>
      <c r="L538">
        <v>53.3</v>
      </c>
      <c r="M538" s="2">
        <f t="shared" si="82"/>
        <v>1</v>
      </c>
      <c r="N538">
        <v>0</v>
      </c>
      <c r="O538" s="2">
        <f t="shared" si="83"/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s="2">
        <f t="shared" si="84"/>
        <v>0</v>
      </c>
      <c r="W538">
        <v>21.9</v>
      </c>
      <c r="X538" s="2">
        <f t="shared" si="85"/>
        <v>1</v>
      </c>
      <c r="Y538">
        <v>309.8</v>
      </c>
      <c r="Z538" s="2" t="str">
        <f>CHOOSE(MATCH(Y538,{0;11;80;111;161;191;241;281;341},1),"North","NorthEast","East","SouthEast","South","SouthWest","West","NorthWest","North")</f>
        <v>NorthWest</v>
      </c>
      <c r="AA538" s="4">
        <f>CHOOSE(MATCH(Z538,{"South";"SouthEast";"SouthWest";"North";"NorthEast";"East";"West";"NorthWest"},0),1,2,3,4,5,6,7,8)</f>
        <v>8</v>
      </c>
      <c r="AB538" s="2">
        <f t="shared" si="86"/>
        <v>1</v>
      </c>
      <c r="AC538">
        <v>1008.7</v>
      </c>
      <c r="AD538" t="s">
        <v>99</v>
      </c>
      <c r="AE538" s="2">
        <f t="shared" si="87"/>
        <v>1</v>
      </c>
      <c r="AF538" t="s">
        <v>856</v>
      </c>
      <c r="AG538" s="2">
        <f t="shared" si="88"/>
        <v>8</v>
      </c>
      <c r="AH538" s="2">
        <f t="shared" si="89"/>
        <v>1</v>
      </c>
      <c r="AI538" s="3">
        <v>865.00000000116415</v>
      </c>
      <c r="AJ538" s="2">
        <v>1</v>
      </c>
      <c r="AK538">
        <v>5</v>
      </c>
      <c r="AL538">
        <v>0</v>
      </c>
      <c r="AM538">
        <v>0</v>
      </c>
      <c r="AN538" s="2">
        <f>IF((2*G538+M538-O538+3*V538+2*AB538+2*AE538+2*AH538+3*AJ538)&gt;=7,1,0)</f>
        <v>1</v>
      </c>
    </row>
    <row r="539" spans="1:40" x14ac:dyDescent="0.25">
      <c r="A539" t="s">
        <v>27</v>
      </c>
      <c r="B539" s="1">
        <v>38566</v>
      </c>
      <c r="C539" s="6">
        <f t="shared" si="80"/>
        <v>2005</v>
      </c>
      <c r="D539">
        <v>87.9</v>
      </c>
      <c r="E539">
        <v>80.7</v>
      </c>
      <c r="F539">
        <v>84.3</v>
      </c>
      <c r="G539" s="2">
        <f t="shared" si="81"/>
        <v>1</v>
      </c>
      <c r="H539">
        <v>91.6</v>
      </c>
      <c r="I539">
        <v>81.900000000000006</v>
      </c>
      <c r="J539">
        <v>86.4</v>
      </c>
      <c r="K539">
        <v>65.3</v>
      </c>
      <c r="L539">
        <v>53.3</v>
      </c>
      <c r="M539" s="2">
        <f t="shared" si="82"/>
        <v>1</v>
      </c>
      <c r="N539">
        <v>0</v>
      </c>
      <c r="O539" s="2">
        <f t="shared" si="83"/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 s="2">
        <f t="shared" si="84"/>
        <v>0</v>
      </c>
      <c r="W539">
        <v>21.9</v>
      </c>
      <c r="X539" s="2">
        <f t="shared" si="85"/>
        <v>1</v>
      </c>
      <c r="Y539">
        <v>309.8</v>
      </c>
      <c r="Z539" s="2" t="str">
        <f>CHOOSE(MATCH(Y539,{0;11;80;111;161;191;241;281;341},1),"North","NorthEast","East","SouthEast","South","SouthWest","West","NorthWest","North")</f>
        <v>NorthWest</v>
      </c>
      <c r="AA539" s="4">
        <f>CHOOSE(MATCH(Z539,{"South";"SouthEast";"SouthWest";"North";"NorthEast";"East";"West";"NorthWest"},0),1,2,3,4,5,6,7,8)</f>
        <v>8</v>
      </c>
      <c r="AB539" s="2">
        <f t="shared" si="86"/>
        <v>1</v>
      </c>
      <c r="AC539">
        <v>1008.7</v>
      </c>
      <c r="AD539" t="s">
        <v>857</v>
      </c>
      <c r="AE539" s="2">
        <f t="shared" si="87"/>
        <v>0</v>
      </c>
      <c r="AF539" t="s">
        <v>858</v>
      </c>
      <c r="AG539" s="2">
        <f t="shared" si="88"/>
        <v>8</v>
      </c>
      <c r="AH539" s="2">
        <f t="shared" si="89"/>
        <v>1</v>
      </c>
      <c r="AI539" s="3">
        <v>656.00000000093132</v>
      </c>
      <c r="AJ539" s="2">
        <v>1</v>
      </c>
      <c r="AK539">
        <v>30</v>
      </c>
      <c r="AL539">
        <v>0</v>
      </c>
      <c r="AM539">
        <v>0</v>
      </c>
      <c r="AN539" s="2">
        <f>IF((2*G539+M539-O539+3*V539+2*AB539+2*AE539+2*AH539+3*AJ539)&gt;=7,1,0)</f>
        <v>1</v>
      </c>
    </row>
    <row r="540" spans="1:40" x14ac:dyDescent="0.25">
      <c r="A540" t="s">
        <v>27</v>
      </c>
      <c r="B540" s="1">
        <v>38566</v>
      </c>
      <c r="C540" s="6">
        <f t="shared" si="80"/>
        <v>2005</v>
      </c>
      <c r="D540">
        <v>87.9</v>
      </c>
      <c r="E540">
        <v>80.7</v>
      </c>
      <c r="F540">
        <v>84.3</v>
      </c>
      <c r="G540" s="2">
        <f t="shared" si="81"/>
        <v>1</v>
      </c>
      <c r="H540">
        <v>91.6</v>
      </c>
      <c r="I540">
        <v>81.900000000000006</v>
      </c>
      <c r="J540">
        <v>86.4</v>
      </c>
      <c r="K540">
        <v>65.3</v>
      </c>
      <c r="L540">
        <v>53.3</v>
      </c>
      <c r="M540" s="2">
        <f t="shared" si="82"/>
        <v>1</v>
      </c>
      <c r="N540">
        <v>0</v>
      </c>
      <c r="O540" s="2">
        <f t="shared" si="83"/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s="2">
        <f t="shared" si="84"/>
        <v>0</v>
      </c>
      <c r="W540">
        <v>21.9</v>
      </c>
      <c r="X540" s="2">
        <f t="shared" si="85"/>
        <v>1</v>
      </c>
      <c r="Y540">
        <v>309.8</v>
      </c>
      <c r="Z540" s="2" t="str">
        <f>CHOOSE(MATCH(Y540,{0;11;80;111;161;191;241;281;341},1),"North","NorthEast","East","SouthEast","South","SouthWest","West","NorthWest","North")</f>
        <v>NorthWest</v>
      </c>
      <c r="AA540" s="4">
        <f>CHOOSE(MATCH(Z540,{"South";"SouthEast";"SouthWest";"North";"NorthEast";"East";"West";"NorthWest"},0),1,2,3,4,5,6,7,8)</f>
        <v>8</v>
      </c>
      <c r="AB540" s="2">
        <f t="shared" si="86"/>
        <v>1</v>
      </c>
      <c r="AC540">
        <v>1008.7</v>
      </c>
      <c r="AD540" t="s">
        <v>248</v>
      </c>
      <c r="AE540" s="2">
        <f t="shared" si="87"/>
        <v>1</v>
      </c>
      <c r="AF540" t="s">
        <v>859</v>
      </c>
      <c r="AG540" s="2">
        <f t="shared" si="88"/>
        <v>8</v>
      </c>
      <c r="AH540" s="2">
        <f t="shared" si="89"/>
        <v>1</v>
      </c>
      <c r="AI540" s="3">
        <v>1836.000000002095</v>
      </c>
      <c r="AJ540" s="2">
        <v>1</v>
      </c>
      <c r="AK540">
        <v>0</v>
      </c>
      <c r="AL540">
        <v>10</v>
      </c>
      <c r="AM540">
        <v>0</v>
      </c>
      <c r="AN540" s="2">
        <f>IF((2*G540+M540-O540+3*V540+2*AB540+2*AE540+2*AH540+3*AJ540)&gt;=7,1,0)</f>
        <v>1</v>
      </c>
    </row>
    <row r="541" spans="1:40" x14ac:dyDescent="0.25">
      <c r="A541" t="s">
        <v>27</v>
      </c>
      <c r="B541" s="1">
        <v>38569</v>
      </c>
      <c r="C541" s="6">
        <f t="shared" si="80"/>
        <v>2005</v>
      </c>
      <c r="D541">
        <v>84.3</v>
      </c>
      <c r="E541">
        <v>73.5</v>
      </c>
      <c r="F541">
        <v>80.2</v>
      </c>
      <c r="G541" s="2">
        <f t="shared" si="81"/>
        <v>1</v>
      </c>
      <c r="H541">
        <v>88.6</v>
      </c>
      <c r="I541">
        <v>73.5</v>
      </c>
      <c r="J541">
        <v>81.400000000000006</v>
      </c>
      <c r="K541">
        <v>63.8</v>
      </c>
      <c r="L541">
        <v>57.9</v>
      </c>
      <c r="M541" s="2">
        <f t="shared" si="82"/>
        <v>1</v>
      </c>
      <c r="N541">
        <v>0</v>
      </c>
      <c r="O541" s="2">
        <f t="shared" si="83"/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s="2">
        <f t="shared" si="84"/>
        <v>0</v>
      </c>
      <c r="W541">
        <v>23</v>
      </c>
      <c r="X541" s="2">
        <f t="shared" si="85"/>
        <v>1</v>
      </c>
      <c r="Y541">
        <v>305.2</v>
      </c>
      <c r="Z541" s="2" t="str">
        <f>CHOOSE(MATCH(Y541,{0;11;80;111;161;191;241;281;341},1),"North","NorthEast","East","SouthEast","South","SouthWest","West","NorthWest","North")</f>
        <v>NorthWest</v>
      </c>
      <c r="AA541" s="4">
        <f>CHOOSE(MATCH(Z541,{"South";"SouthEast";"SouthWest";"North";"NorthEast";"East";"West";"NorthWest"},0),1,2,3,4,5,6,7,8)</f>
        <v>8</v>
      </c>
      <c r="AB541" s="2">
        <f t="shared" si="86"/>
        <v>1</v>
      </c>
      <c r="AC541">
        <v>1003.8</v>
      </c>
      <c r="AD541" t="s">
        <v>860</v>
      </c>
      <c r="AE541" s="2">
        <f t="shared" si="87"/>
        <v>0</v>
      </c>
      <c r="AF541" t="s">
        <v>861</v>
      </c>
      <c r="AG541" s="2">
        <f t="shared" si="88"/>
        <v>8</v>
      </c>
      <c r="AH541" s="2">
        <f t="shared" si="89"/>
        <v>1</v>
      </c>
      <c r="AI541" s="3">
        <v>265.00000000465661</v>
      </c>
      <c r="AJ541" s="2">
        <v>0</v>
      </c>
      <c r="AK541">
        <v>0</v>
      </c>
      <c r="AL541">
        <v>0.2</v>
      </c>
      <c r="AM541">
        <v>0</v>
      </c>
      <c r="AN541" s="2">
        <f>IF((2*G541+M541-O541+3*V541+2*AB541+2*AE541+2*AH541+3*AJ541)&gt;=7,1,0)</f>
        <v>0</v>
      </c>
    </row>
    <row r="542" spans="1:40" x14ac:dyDescent="0.25">
      <c r="A542" t="s">
        <v>27</v>
      </c>
      <c r="B542" s="1">
        <v>38569</v>
      </c>
      <c r="C542" s="6">
        <f t="shared" si="80"/>
        <v>2005</v>
      </c>
      <c r="D542">
        <v>84.3</v>
      </c>
      <c r="E542">
        <v>73.5</v>
      </c>
      <c r="F542">
        <v>80.2</v>
      </c>
      <c r="G542" s="2">
        <f t="shared" si="81"/>
        <v>1</v>
      </c>
      <c r="H542">
        <v>88.6</v>
      </c>
      <c r="I542">
        <v>73.5</v>
      </c>
      <c r="J542">
        <v>81.400000000000006</v>
      </c>
      <c r="K542">
        <v>63.8</v>
      </c>
      <c r="L542">
        <v>57.9</v>
      </c>
      <c r="M542" s="2">
        <f t="shared" si="82"/>
        <v>1</v>
      </c>
      <c r="N542">
        <v>0</v>
      </c>
      <c r="O542" s="2">
        <f t="shared" si="83"/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 s="2">
        <f t="shared" si="84"/>
        <v>0</v>
      </c>
      <c r="W542">
        <v>23</v>
      </c>
      <c r="X542" s="2">
        <f t="shared" si="85"/>
        <v>1</v>
      </c>
      <c r="Y542">
        <v>305.2</v>
      </c>
      <c r="Z542" s="2" t="str">
        <f>CHOOSE(MATCH(Y542,{0;11;80;111;161;191;241;281;341},1),"North","NorthEast","East","SouthEast","South","SouthWest","West","NorthWest","North")</f>
        <v>NorthWest</v>
      </c>
      <c r="AA542" s="4">
        <f>CHOOSE(MATCH(Z542,{"South";"SouthEast";"SouthWest";"North";"NorthEast";"East";"West";"NorthWest"},0),1,2,3,4,5,6,7,8)</f>
        <v>8</v>
      </c>
      <c r="AB542" s="2">
        <f t="shared" si="86"/>
        <v>1</v>
      </c>
      <c r="AC542">
        <v>1003.8</v>
      </c>
      <c r="AD542" t="s">
        <v>129</v>
      </c>
      <c r="AE542" s="2">
        <f t="shared" si="87"/>
        <v>1</v>
      </c>
      <c r="AF542" t="s">
        <v>862</v>
      </c>
      <c r="AG542" s="2">
        <f t="shared" si="88"/>
        <v>8</v>
      </c>
      <c r="AH542" s="2">
        <f t="shared" si="89"/>
        <v>1</v>
      </c>
      <c r="AI542" s="3">
        <v>3460.0000000046571</v>
      </c>
      <c r="AJ542" s="2">
        <v>1</v>
      </c>
      <c r="AK542">
        <v>0</v>
      </c>
      <c r="AL542">
        <v>100</v>
      </c>
      <c r="AM542">
        <v>0</v>
      </c>
      <c r="AN542" s="2">
        <f>IF((2*G542+M542-O542+3*V542+2*AB542+2*AE542+2*AH542+3*AJ542)&gt;=7,1,0)</f>
        <v>1</v>
      </c>
    </row>
    <row r="543" spans="1:40" x14ac:dyDescent="0.25">
      <c r="A543" t="s">
        <v>27</v>
      </c>
      <c r="B543" s="1">
        <v>38572</v>
      </c>
      <c r="C543" s="6">
        <f t="shared" si="80"/>
        <v>2005</v>
      </c>
      <c r="D543">
        <v>84.3</v>
      </c>
      <c r="E543">
        <v>68.099999999999994</v>
      </c>
      <c r="F543">
        <v>77.400000000000006</v>
      </c>
      <c r="G543" s="2">
        <f t="shared" si="81"/>
        <v>1</v>
      </c>
      <c r="H543">
        <v>88.6</v>
      </c>
      <c r="I543">
        <v>68.099999999999994</v>
      </c>
      <c r="J543">
        <v>78.599999999999994</v>
      </c>
      <c r="K543">
        <v>66.3</v>
      </c>
      <c r="L543">
        <v>69.5</v>
      </c>
      <c r="M543" s="2">
        <f t="shared" si="82"/>
        <v>0</v>
      </c>
      <c r="N543">
        <v>0</v>
      </c>
      <c r="O543" s="2">
        <f t="shared" si="83"/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s="2">
        <f t="shared" si="84"/>
        <v>0</v>
      </c>
      <c r="W543">
        <v>12.8</v>
      </c>
      <c r="X543" s="2">
        <f t="shared" si="85"/>
        <v>0</v>
      </c>
      <c r="Y543">
        <v>73.599999999999994</v>
      </c>
      <c r="Z543" s="2" t="str">
        <f>CHOOSE(MATCH(Y543,{0;11;80;111;161;191;241;281;341},1),"North","NorthEast","East","SouthEast","South","SouthWest","West","NorthWest","North")</f>
        <v>NorthEast</v>
      </c>
      <c r="AA543" s="4">
        <f>CHOOSE(MATCH(Z543,{"South";"SouthEast";"SouthWest";"North";"NorthEast";"East";"West";"NorthWest"},0),1,2,3,4,5,6,7,8)</f>
        <v>5</v>
      </c>
      <c r="AB543" s="2">
        <f t="shared" si="86"/>
        <v>1</v>
      </c>
      <c r="AC543">
        <v>1009.4</v>
      </c>
      <c r="AD543" t="s">
        <v>135</v>
      </c>
      <c r="AE543" s="2">
        <f t="shared" si="87"/>
        <v>0</v>
      </c>
      <c r="AF543" t="s">
        <v>863</v>
      </c>
      <c r="AG543" s="2">
        <f t="shared" si="88"/>
        <v>8</v>
      </c>
      <c r="AH543" s="2">
        <f t="shared" si="89"/>
        <v>1</v>
      </c>
      <c r="AI543" s="3">
        <v>2980.9999999939459</v>
      </c>
      <c r="AJ543" s="2">
        <v>1</v>
      </c>
      <c r="AK543">
        <v>5</v>
      </c>
      <c r="AL543">
        <v>0</v>
      </c>
      <c r="AM543">
        <v>0</v>
      </c>
      <c r="AN543" s="2">
        <f>IF((2*G543+M543-O543+3*V543+2*AB543+2*AE543+2*AH543+3*AJ543)&gt;=7,1,0)</f>
        <v>1</v>
      </c>
    </row>
    <row r="544" spans="1:40" x14ac:dyDescent="0.25">
      <c r="A544" t="s">
        <v>27</v>
      </c>
      <c r="B544" s="1">
        <v>38583</v>
      </c>
      <c r="C544" s="6">
        <f t="shared" si="80"/>
        <v>2005</v>
      </c>
      <c r="D544">
        <v>82.5</v>
      </c>
      <c r="E544">
        <v>69.900000000000006</v>
      </c>
      <c r="F544">
        <v>76.3</v>
      </c>
      <c r="G544" s="2">
        <f t="shared" si="81"/>
        <v>1</v>
      </c>
      <c r="H544">
        <v>86.4</v>
      </c>
      <c r="I544">
        <v>69.900000000000006</v>
      </c>
      <c r="J544">
        <v>77.5</v>
      </c>
      <c r="K544">
        <v>67.099999999999994</v>
      </c>
      <c r="L544">
        <v>74</v>
      </c>
      <c r="M544" s="2">
        <f t="shared" si="82"/>
        <v>0</v>
      </c>
      <c r="N544">
        <v>0</v>
      </c>
      <c r="O544" s="2">
        <f t="shared" si="83"/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s="2">
        <f t="shared" si="84"/>
        <v>0</v>
      </c>
      <c r="W544">
        <v>12.8</v>
      </c>
      <c r="X544" s="2">
        <f t="shared" si="85"/>
        <v>0</v>
      </c>
      <c r="Y544">
        <v>307.3</v>
      </c>
      <c r="Z544" s="2" t="str">
        <f>CHOOSE(MATCH(Y544,{0;11;80;111;161;191;241;281;341},1),"North","NorthEast","East","SouthEast","South","SouthWest","West","NorthWest","North")</f>
        <v>NorthWest</v>
      </c>
      <c r="AA544" s="4">
        <f>CHOOSE(MATCH(Z544,{"South";"SouthEast";"SouthWest";"North";"NorthEast";"East";"West";"NorthWest"},0),1,2,3,4,5,6,7,8)</f>
        <v>8</v>
      </c>
      <c r="AB544" s="2">
        <f t="shared" si="86"/>
        <v>1</v>
      </c>
      <c r="AC544">
        <v>1013.1</v>
      </c>
      <c r="AD544" t="s">
        <v>864</v>
      </c>
      <c r="AE544" s="2">
        <f t="shared" si="87"/>
        <v>0</v>
      </c>
      <c r="AF544" t="s">
        <v>865</v>
      </c>
      <c r="AG544" s="2">
        <f t="shared" si="88"/>
        <v>8</v>
      </c>
      <c r="AH544" s="2">
        <f t="shared" si="89"/>
        <v>1</v>
      </c>
      <c r="AI544" s="3">
        <v>75.00000000349246</v>
      </c>
      <c r="AJ544" s="2">
        <v>0</v>
      </c>
      <c r="AK544">
        <v>0</v>
      </c>
      <c r="AL544">
        <v>0.2</v>
      </c>
      <c r="AM544">
        <v>0</v>
      </c>
      <c r="AN544" s="2">
        <f>IF((2*G544+M544-O544+3*V544+2*AB544+2*AE544+2*AH544+3*AJ544)&gt;=7,1,0)</f>
        <v>0</v>
      </c>
    </row>
    <row r="545" spans="1:40" x14ac:dyDescent="0.25">
      <c r="A545" t="s">
        <v>27</v>
      </c>
      <c r="B545" s="1">
        <v>38584</v>
      </c>
      <c r="C545" s="6">
        <f t="shared" si="80"/>
        <v>2005</v>
      </c>
      <c r="D545">
        <v>84.3</v>
      </c>
      <c r="E545">
        <v>69.900000000000006</v>
      </c>
      <c r="F545">
        <v>76.900000000000006</v>
      </c>
      <c r="G545" s="2">
        <f t="shared" si="81"/>
        <v>1</v>
      </c>
      <c r="H545">
        <v>88.5</v>
      </c>
      <c r="I545">
        <v>69.900000000000006</v>
      </c>
      <c r="J545">
        <v>78.2</v>
      </c>
      <c r="K545">
        <v>61.8</v>
      </c>
      <c r="L545">
        <v>60.3</v>
      </c>
      <c r="M545" s="2">
        <f t="shared" si="82"/>
        <v>1</v>
      </c>
      <c r="N545">
        <v>0</v>
      </c>
      <c r="O545" s="2">
        <f t="shared" si="83"/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 s="2">
        <f t="shared" si="84"/>
        <v>0</v>
      </c>
      <c r="W545">
        <v>20.8</v>
      </c>
      <c r="X545" s="2">
        <f t="shared" si="85"/>
        <v>1</v>
      </c>
      <c r="Y545">
        <v>300</v>
      </c>
      <c r="Z545" s="2" t="str">
        <f>CHOOSE(MATCH(Y545,{0;11;80;111;161;191;241;281;341},1),"North","NorthEast","East","SouthEast","South","SouthWest","West","NorthWest","North")</f>
        <v>NorthWest</v>
      </c>
      <c r="AA545" s="4">
        <f>CHOOSE(MATCH(Z545,{"South";"SouthEast";"SouthWest";"North";"NorthEast";"East";"West";"NorthWest"},0),1,2,3,4,5,6,7,8)</f>
        <v>8</v>
      </c>
      <c r="AB545" s="2">
        <f t="shared" si="86"/>
        <v>1</v>
      </c>
      <c r="AC545">
        <v>1011</v>
      </c>
      <c r="AD545" t="s">
        <v>866</v>
      </c>
      <c r="AE545" s="2">
        <f t="shared" si="87"/>
        <v>1</v>
      </c>
      <c r="AF545" t="s">
        <v>867</v>
      </c>
      <c r="AG545" s="2">
        <f t="shared" si="88"/>
        <v>8</v>
      </c>
      <c r="AH545" s="2">
        <f t="shared" si="89"/>
        <v>1</v>
      </c>
      <c r="AI545" s="3">
        <v>46.000000003259629</v>
      </c>
      <c r="AJ545" s="2">
        <v>0</v>
      </c>
      <c r="AK545">
        <v>0</v>
      </c>
      <c r="AL545">
        <v>0.05</v>
      </c>
      <c r="AM545">
        <v>0</v>
      </c>
      <c r="AN545" s="2">
        <f>IF((2*G545+M545-O545+3*V545+2*AB545+2*AE545+2*AH545+3*AJ545)&gt;=7,1,0)</f>
        <v>1</v>
      </c>
    </row>
    <row r="546" spans="1:40" x14ac:dyDescent="0.25">
      <c r="A546" t="s">
        <v>27</v>
      </c>
      <c r="B546" s="1">
        <v>38584</v>
      </c>
      <c r="C546" s="6">
        <f t="shared" si="80"/>
        <v>2005</v>
      </c>
      <c r="D546">
        <v>84.3</v>
      </c>
      <c r="E546">
        <v>69.900000000000006</v>
      </c>
      <c r="F546">
        <v>76.900000000000006</v>
      </c>
      <c r="G546" s="2">
        <f t="shared" si="81"/>
        <v>1</v>
      </c>
      <c r="H546">
        <v>88.5</v>
      </c>
      <c r="I546">
        <v>69.900000000000006</v>
      </c>
      <c r="J546">
        <v>78.2</v>
      </c>
      <c r="K546">
        <v>61.8</v>
      </c>
      <c r="L546">
        <v>60.3</v>
      </c>
      <c r="M546" s="2">
        <f t="shared" si="82"/>
        <v>1</v>
      </c>
      <c r="N546">
        <v>0</v>
      </c>
      <c r="O546" s="2">
        <f t="shared" si="83"/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s="2">
        <f t="shared" si="84"/>
        <v>0</v>
      </c>
      <c r="W546">
        <v>20.8</v>
      </c>
      <c r="X546" s="2">
        <f t="shared" si="85"/>
        <v>1</v>
      </c>
      <c r="Y546">
        <v>300</v>
      </c>
      <c r="Z546" s="2" t="str">
        <f>CHOOSE(MATCH(Y546,{0;11;80;111;161;191;241;281;341},1),"North","NorthEast","East","SouthEast","South","SouthWest","West","NorthWest","North")</f>
        <v>NorthWest</v>
      </c>
      <c r="AA546" s="4">
        <f>CHOOSE(MATCH(Z546,{"South";"SouthEast";"SouthWest";"North";"NorthEast";"East";"West";"NorthWest"},0),1,2,3,4,5,6,7,8)</f>
        <v>8</v>
      </c>
      <c r="AB546" s="2">
        <f t="shared" si="86"/>
        <v>1</v>
      </c>
      <c r="AC546">
        <v>1011</v>
      </c>
      <c r="AD546" t="s">
        <v>868</v>
      </c>
      <c r="AE546" s="2">
        <f t="shared" si="87"/>
        <v>1</v>
      </c>
      <c r="AF546" t="s">
        <v>869</v>
      </c>
      <c r="AG546" s="2">
        <f t="shared" si="88"/>
        <v>8</v>
      </c>
      <c r="AH546" s="2">
        <f t="shared" si="89"/>
        <v>1</v>
      </c>
      <c r="AI546" s="3">
        <v>1307.999999999302</v>
      </c>
      <c r="AJ546" s="2">
        <v>1</v>
      </c>
      <c r="AK546">
        <v>0</v>
      </c>
      <c r="AL546">
        <v>2</v>
      </c>
      <c r="AM546">
        <v>0</v>
      </c>
      <c r="AN546" s="2">
        <f>IF((2*G546+M546-O546+3*V546+2*AB546+2*AE546+2*AH546+3*AJ546)&gt;=7,1,0)</f>
        <v>1</v>
      </c>
    </row>
    <row r="547" spans="1:40" x14ac:dyDescent="0.25">
      <c r="A547" t="s">
        <v>27</v>
      </c>
      <c r="B547" s="1">
        <v>38586</v>
      </c>
      <c r="C547" s="6">
        <f t="shared" si="80"/>
        <v>2005</v>
      </c>
      <c r="D547">
        <v>84.3</v>
      </c>
      <c r="E547">
        <v>77.099999999999994</v>
      </c>
      <c r="F547">
        <v>80.7</v>
      </c>
      <c r="G547" s="2">
        <f t="shared" si="81"/>
        <v>1</v>
      </c>
      <c r="H547">
        <v>87.6</v>
      </c>
      <c r="I547">
        <v>77.099999999999994</v>
      </c>
      <c r="J547">
        <v>82.1</v>
      </c>
      <c r="K547">
        <v>65.5</v>
      </c>
      <c r="L547">
        <v>60.3</v>
      </c>
      <c r="M547" s="2">
        <f t="shared" si="82"/>
        <v>1</v>
      </c>
      <c r="N547">
        <v>0</v>
      </c>
      <c r="O547" s="2">
        <f t="shared" si="83"/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s="2">
        <f t="shared" si="84"/>
        <v>0</v>
      </c>
      <c r="W547">
        <v>12.8</v>
      </c>
      <c r="X547" s="2">
        <f t="shared" si="85"/>
        <v>0</v>
      </c>
      <c r="Y547">
        <v>323.5</v>
      </c>
      <c r="Z547" s="2" t="str">
        <f>CHOOSE(MATCH(Y547,{0;11;80;111;161;191;241;281;341},1),"North","NorthEast","East","SouthEast","South","SouthWest","West","NorthWest","North")</f>
        <v>NorthWest</v>
      </c>
      <c r="AA547" s="4">
        <f>CHOOSE(MATCH(Z547,{"South";"SouthEast";"SouthWest";"North";"NorthEast";"East";"West";"NorthWest"},0),1,2,3,4,5,6,7,8)</f>
        <v>8</v>
      </c>
      <c r="AB547" s="2">
        <f t="shared" si="86"/>
        <v>1</v>
      </c>
      <c r="AC547">
        <v>1010.5</v>
      </c>
      <c r="AD547" t="s">
        <v>410</v>
      </c>
      <c r="AE547" s="2">
        <f t="shared" si="87"/>
        <v>1</v>
      </c>
      <c r="AF547" t="s">
        <v>870</v>
      </c>
      <c r="AG547" s="2">
        <f t="shared" si="88"/>
        <v>8</v>
      </c>
      <c r="AH547" s="2">
        <f t="shared" si="89"/>
        <v>1</v>
      </c>
      <c r="AI547" s="3">
        <v>566.00000000093132</v>
      </c>
      <c r="AJ547" s="2">
        <v>1</v>
      </c>
      <c r="AK547">
        <v>0</v>
      </c>
      <c r="AL547">
        <v>0.15</v>
      </c>
      <c r="AM547">
        <v>0</v>
      </c>
      <c r="AN547" s="2">
        <f>IF((2*G547+M547-O547+3*V547+2*AB547+2*AE547+2*AH547+3*AJ547)&gt;=7,1,0)</f>
        <v>1</v>
      </c>
    </row>
    <row r="548" spans="1:40" x14ac:dyDescent="0.25">
      <c r="A548" t="s">
        <v>27</v>
      </c>
      <c r="B548" s="1">
        <v>38590</v>
      </c>
      <c r="C548" s="6">
        <f t="shared" si="80"/>
        <v>2005</v>
      </c>
      <c r="D548">
        <v>82.5</v>
      </c>
      <c r="E548">
        <v>68.099999999999994</v>
      </c>
      <c r="F548">
        <v>77</v>
      </c>
      <c r="G548" s="2">
        <f t="shared" si="81"/>
        <v>1</v>
      </c>
      <c r="H548">
        <v>84.8</v>
      </c>
      <c r="I548">
        <v>68.099999999999994</v>
      </c>
      <c r="J548">
        <v>77.8</v>
      </c>
      <c r="K548">
        <v>66.2</v>
      </c>
      <c r="L548">
        <v>70.099999999999994</v>
      </c>
      <c r="M548" s="2">
        <f t="shared" si="82"/>
        <v>0</v>
      </c>
      <c r="N548">
        <v>0</v>
      </c>
      <c r="O548" s="2">
        <f t="shared" si="83"/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 s="2">
        <f t="shared" si="84"/>
        <v>0</v>
      </c>
      <c r="W548">
        <v>17.2</v>
      </c>
      <c r="X548" s="2">
        <f t="shared" si="85"/>
        <v>1</v>
      </c>
      <c r="Y548">
        <v>305.5</v>
      </c>
      <c r="Z548" s="2" t="str">
        <f>CHOOSE(MATCH(Y548,{0;11;80;111;161;191;241;281;341},1),"North","NorthEast","East","SouthEast","South","SouthWest","West","NorthWest","North")</f>
        <v>NorthWest</v>
      </c>
      <c r="AA548" s="4">
        <f>CHOOSE(MATCH(Z548,{"South";"SouthEast";"SouthWest";"North";"NorthEast";"East";"West";"NorthWest"},0),1,2,3,4,5,6,7,8)</f>
        <v>8</v>
      </c>
      <c r="AB548" s="2">
        <f t="shared" si="86"/>
        <v>1</v>
      </c>
      <c r="AC548">
        <v>1011.7</v>
      </c>
      <c r="AD548" t="s">
        <v>871</v>
      </c>
      <c r="AE548" s="2">
        <f t="shared" si="87"/>
        <v>1</v>
      </c>
      <c r="AF548" t="s">
        <v>872</v>
      </c>
      <c r="AG548" s="2">
        <f t="shared" si="88"/>
        <v>8</v>
      </c>
      <c r="AH548" s="2">
        <f t="shared" si="89"/>
        <v>1</v>
      </c>
      <c r="AI548" s="3">
        <v>374.99999999650748</v>
      </c>
      <c r="AJ548" s="2">
        <v>1</v>
      </c>
      <c r="AK548">
        <v>0</v>
      </c>
      <c r="AL548">
        <v>0.02</v>
      </c>
      <c r="AM548">
        <v>0</v>
      </c>
      <c r="AN548" s="2">
        <f>IF((2*G548+M548-O548+3*V548+2*AB548+2*AE548+2*AH548+3*AJ548)&gt;=7,1,0)</f>
        <v>1</v>
      </c>
    </row>
    <row r="549" spans="1:40" x14ac:dyDescent="0.25">
      <c r="A549" t="s">
        <v>27</v>
      </c>
      <c r="B549" s="1">
        <v>38590</v>
      </c>
      <c r="C549" s="6">
        <f t="shared" si="80"/>
        <v>2005</v>
      </c>
      <c r="D549">
        <v>82.5</v>
      </c>
      <c r="E549">
        <v>68.099999999999994</v>
      </c>
      <c r="F549">
        <v>77</v>
      </c>
      <c r="G549" s="2">
        <f t="shared" si="81"/>
        <v>1</v>
      </c>
      <c r="H549">
        <v>84.8</v>
      </c>
      <c r="I549">
        <v>68.099999999999994</v>
      </c>
      <c r="J549">
        <v>77.8</v>
      </c>
      <c r="K549">
        <v>66.2</v>
      </c>
      <c r="L549">
        <v>70.099999999999994</v>
      </c>
      <c r="M549" s="2">
        <f t="shared" si="82"/>
        <v>0</v>
      </c>
      <c r="N549">
        <v>0</v>
      </c>
      <c r="O549" s="2">
        <f t="shared" si="83"/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s="2">
        <f t="shared" si="84"/>
        <v>0</v>
      </c>
      <c r="W549">
        <v>17.2</v>
      </c>
      <c r="X549" s="2">
        <f t="shared" si="85"/>
        <v>1</v>
      </c>
      <c r="Y549">
        <v>305.5</v>
      </c>
      <c r="Z549" s="2" t="str">
        <f>CHOOSE(MATCH(Y549,{0;11;80;111;161;191;241;281;341},1),"North","NorthEast","East","SouthEast","South","SouthWest","West","NorthWest","North")</f>
        <v>NorthWest</v>
      </c>
      <c r="AA549" s="4">
        <f>CHOOSE(MATCH(Z549,{"South";"SouthEast";"SouthWest";"North";"NorthEast";"East";"West";"NorthWest"},0),1,2,3,4,5,6,7,8)</f>
        <v>8</v>
      </c>
      <c r="AB549" s="2">
        <f t="shared" si="86"/>
        <v>1</v>
      </c>
      <c r="AC549">
        <v>1011.7</v>
      </c>
      <c r="AD549" t="s">
        <v>873</v>
      </c>
      <c r="AE549" s="2">
        <f t="shared" si="87"/>
        <v>0</v>
      </c>
      <c r="AF549" t="s">
        <v>874</v>
      </c>
      <c r="AG549" s="2">
        <f t="shared" si="88"/>
        <v>8</v>
      </c>
      <c r="AH549" s="2">
        <f t="shared" si="89"/>
        <v>1</v>
      </c>
      <c r="AI549" s="3">
        <v>50.999999998603023</v>
      </c>
      <c r="AJ549" s="2">
        <v>0</v>
      </c>
      <c r="AK549">
        <v>0</v>
      </c>
      <c r="AL549">
        <v>0.02</v>
      </c>
      <c r="AM549">
        <v>0</v>
      </c>
      <c r="AN549" s="2">
        <f>IF((2*G549+M549-O549+3*V549+2*AB549+2*AE549+2*AH549+3*AJ549)&gt;=7,1,0)</f>
        <v>0</v>
      </c>
    </row>
    <row r="550" spans="1:40" x14ac:dyDescent="0.25">
      <c r="A550" t="s">
        <v>27</v>
      </c>
      <c r="B550" s="1">
        <v>38590</v>
      </c>
      <c r="C550" s="6">
        <f t="shared" si="80"/>
        <v>2005</v>
      </c>
      <c r="D550">
        <v>82.5</v>
      </c>
      <c r="E550">
        <v>68.099999999999994</v>
      </c>
      <c r="F550">
        <v>77</v>
      </c>
      <c r="G550" s="2">
        <f t="shared" si="81"/>
        <v>1</v>
      </c>
      <c r="H550">
        <v>84.8</v>
      </c>
      <c r="I550">
        <v>68.099999999999994</v>
      </c>
      <c r="J550">
        <v>77.8</v>
      </c>
      <c r="K550">
        <v>66.2</v>
      </c>
      <c r="L550">
        <v>70.099999999999994</v>
      </c>
      <c r="M550" s="2">
        <f t="shared" si="82"/>
        <v>0</v>
      </c>
      <c r="N550">
        <v>0</v>
      </c>
      <c r="O550" s="2">
        <f t="shared" si="83"/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s="2">
        <f t="shared" si="84"/>
        <v>0</v>
      </c>
      <c r="W550">
        <v>17.2</v>
      </c>
      <c r="X550" s="2">
        <f t="shared" si="85"/>
        <v>1</v>
      </c>
      <c r="Y550">
        <v>305.5</v>
      </c>
      <c r="Z550" s="2" t="str">
        <f>CHOOSE(MATCH(Y550,{0;11;80;111;161;191;241;281;341},1),"North","NorthEast","East","SouthEast","South","SouthWest","West","NorthWest","North")</f>
        <v>NorthWest</v>
      </c>
      <c r="AA550" s="4">
        <f>CHOOSE(MATCH(Z550,{"South";"SouthEast";"SouthWest";"North";"NorthEast";"East";"West";"NorthWest"},0),1,2,3,4,5,6,7,8)</f>
        <v>8</v>
      </c>
      <c r="AB550" s="2">
        <f t="shared" si="86"/>
        <v>1</v>
      </c>
      <c r="AC550">
        <v>1011.7</v>
      </c>
      <c r="AD550" t="s">
        <v>342</v>
      </c>
      <c r="AE550" s="2">
        <f t="shared" si="87"/>
        <v>1</v>
      </c>
      <c r="AF550" t="s">
        <v>875</v>
      </c>
      <c r="AG550" s="2">
        <f t="shared" si="88"/>
        <v>8</v>
      </c>
      <c r="AH550" s="2">
        <f t="shared" si="89"/>
        <v>1</v>
      </c>
      <c r="AI550" s="3">
        <v>1030.0000000046571</v>
      </c>
      <c r="AJ550" s="2">
        <v>1</v>
      </c>
      <c r="AK550">
        <v>0</v>
      </c>
      <c r="AL550">
        <v>2</v>
      </c>
      <c r="AM550">
        <v>0</v>
      </c>
      <c r="AN550" s="2">
        <f>IF((2*G550+M550-O550+3*V550+2*AB550+2*AE550+2*AH550+3*AJ550)&gt;=7,1,0)</f>
        <v>1</v>
      </c>
    </row>
    <row r="551" spans="1:40" x14ac:dyDescent="0.25">
      <c r="A551" t="s">
        <v>27</v>
      </c>
      <c r="B551" s="1">
        <v>38595</v>
      </c>
      <c r="C551" s="6">
        <f t="shared" si="80"/>
        <v>2005</v>
      </c>
      <c r="D551">
        <v>82.5</v>
      </c>
      <c r="E551">
        <v>75.3</v>
      </c>
      <c r="F551">
        <v>78.7</v>
      </c>
      <c r="G551" s="2">
        <f t="shared" si="81"/>
        <v>1</v>
      </c>
      <c r="H551">
        <v>85.5</v>
      </c>
      <c r="I551">
        <v>75.3</v>
      </c>
      <c r="J551">
        <v>79.599999999999994</v>
      </c>
      <c r="K551">
        <v>65.5</v>
      </c>
      <c r="L551">
        <v>64.099999999999994</v>
      </c>
      <c r="M551" s="2">
        <f t="shared" si="82"/>
        <v>1</v>
      </c>
      <c r="N551">
        <v>0</v>
      </c>
      <c r="O551" s="2">
        <f t="shared" si="83"/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s="2">
        <f t="shared" si="84"/>
        <v>0</v>
      </c>
      <c r="W551">
        <v>18.3</v>
      </c>
      <c r="X551" s="2">
        <f t="shared" si="85"/>
        <v>1</v>
      </c>
      <c r="Y551">
        <v>310.10000000000002</v>
      </c>
      <c r="Z551" s="2" t="str">
        <f>CHOOSE(MATCH(Y551,{0;11;80;111;161;191;241;281;341},1),"North","NorthEast","East","SouthEast","South","SouthWest","West","NorthWest","North")</f>
        <v>NorthWest</v>
      </c>
      <c r="AA551" s="4">
        <f>CHOOSE(MATCH(Z551,{"South";"SouthEast";"SouthWest";"North";"NorthEast";"East";"West";"NorthWest"},0),1,2,3,4,5,6,7,8)</f>
        <v>8</v>
      </c>
      <c r="AB551" s="2">
        <f t="shared" si="86"/>
        <v>1</v>
      </c>
      <c r="AC551">
        <v>1011.7</v>
      </c>
      <c r="AD551" t="s">
        <v>876</v>
      </c>
      <c r="AE551" s="2">
        <f t="shared" si="87"/>
        <v>1</v>
      </c>
      <c r="AF551" t="s">
        <v>877</v>
      </c>
      <c r="AG551" s="2">
        <f t="shared" si="88"/>
        <v>8</v>
      </c>
      <c r="AH551" s="2">
        <f t="shared" si="89"/>
        <v>1</v>
      </c>
      <c r="AI551" s="3">
        <v>1100.0000000023281</v>
      </c>
      <c r="AJ551" s="2">
        <v>1</v>
      </c>
      <c r="AK551">
        <v>0</v>
      </c>
      <c r="AL551">
        <v>3</v>
      </c>
      <c r="AM551">
        <v>0</v>
      </c>
      <c r="AN551" s="2">
        <f>IF((2*G551+M551-O551+3*V551+2*AB551+2*AE551+2*AH551+3*AJ551)&gt;=7,1,0)</f>
        <v>1</v>
      </c>
    </row>
    <row r="552" spans="1:40" x14ac:dyDescent="0.25">
      <c r="A552" t="s">
        <v>27</v>
      </c>
      <c r="B552" s="1">
        <v>38595</v>
      </c>
      <c r="C552" s="6">
        <f t="shared" si="80"/>
        <v>2005</v>
      </c>
      <c r="D552">
        <v>82.5</v>
      </c>
      <c r="E552">
        <v>75.3</v>
      </c>
      <c r="F552">
        <v>78.7</v>
      </c>
      <c r="G552" s="2">
        <f t="shared" si="81"/>
        <v>1</v>
      </c>
      <c r="H552">
        <v>85.5</v>
      </c>
      <c r="I552">
        <v>75.3</v>
      </c>
      <c r="J552">
        <v>79.599999999999994</v>
      </c>
      <c r="K552">
        <v>65.5</v>
      </c>
      <c r="L552">
        <v>64.099999999999994</v>
      </c>
      <c r="M552" s="2">
        <f t="shared" si="82"/>
        <v>1</v>
      </c>
      <c r="N552">
        <v>0</v>
      </c>
      <c r="O552" s="2">
        <f t="shared" si="83"/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s="2">
        <f t="shared" si="84"/>
        <v>0</v>
      </c>
      <c r="W552">
        <v>18.3</v>
      </c>
      <c r="X552" s="2">
        <f t="shared" si="85"/>
        <v>1</v>
      </c>
      <c r="Y552">
        <v>310.10000000000002</v>
      </c>
      <c r="Z552" s="2" t="str">
        <f>CHOOSE(MATCH(Y552,{0;11;80;111;161;191;241;281;341},1),"North","NorthEast","East","SouthEast","South","SouthWest","West","NorthWest","North")</f>
        <v>NorthWest</v>
      </c>
      <c r="AA552" s="4">
        <f>CHOOSE(MATCH(Z552,{"South";"SouthEast";"SouthWest";"North";"NorthEast";"East";"West";"NorthWest"},0),1,2,3,4,5,6,7,8)</f>
        <v>8</v>
      </c>
      <c r="AB552" s="2">
        <f t="shared" si="86"/>
        <v>1</v>
      </c>
      <c r="AC552">
        <v>1011.7</v>
      </c>
      <c r="AD552" t="s">
        <v>63</v>
      </c>
      <c r="AE552" s="2">
        <f t="shared" si="87"/>
        <v>0</v>
      </c>
      <c r="AF552" t="s">
        <v>878</v>
      </c>
      <c r="AG552" s="2">
        <f t="shared" si="88"/>
        <v>8</v>
      </c>
      <c r="AH552" s="2">
        <f t="shared" si="89"/>
        <v>1</v>
      </c>
      <c r="AI552" s="3">
        <v>195.9999999997672</v>
      </c>
      <c r="AJ552" s="2">
        <v>0</v>
      </c>
      <c r="AK552">
        <v>0</v>
      </c>
      <c r="AL552">
        <v>0</v>
      </c>
      <c r="AM552">
        <v>1</v>
      </c>
      <c r="AN552" s="2">
        <f>IF((2*G552+M552-O552+3*V552+2*AB552+2*AE552+2*AH552+3*AJ552)&gt;=7,1,0)</f>
        <v>0</v>
      </c>
    </row>
    <row r="553" spans="1:40" x14ac:dyDescent="0.25">
      <c r="A553" t="s">
        <v>27</v>
      </c>
      <c r="B553" s="1">
        <v>38596</v>
      </c>
      <c r="C553" s="6">
        <f t="shared" si="80"/>
        <v>2005</v>
      </c>
      <c r="D553">
        <v>82.5</v>
      </c>
      <c r="E553">
        <v>75.3</v>
      </c>
      <c r="F553">
        <v>79.2</v>
      </c>
      <c r="G553" s="2">
        <f t="shared" si="81"/>
        <v>1</v>
      </c>
      <c r="H553">
        <v>85.5</v>
      </c>
      <c r="I553">
        <v>75.3</v>
      </c>
      <c r="J553">
        <v>80.2</v>
      </c>
      <c r="K553">
        <v>65.599999999999994</v>
      </c>
      <c r="L553">
        <v>63.4</v>
      </c>
      <c r="M553" s="2">
        <f t="shared" si="82"/>
        <v>1</v>
      </c>
      <c r="N553">
        <v>0</v>
      </c>
      <c r="O553" s="2">
        <f t="shared" si="83"/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 s="2">
        <f t="shared" si="84"/>
        <v>0</v>
      </c>
      <c r="W553">
        <v>17.2</v>
      </c>
      <c r="X553" s="2">
        <f t="shared" si="85"/>
        <v>1</v>
      </c>
      <c r="Y553">
        <v>313.10000000000002</v>
      </c>
      <c r="Z553" s="2" t="str">
        <f>CHOOSE(MATCH(Y553,{0;11;80;111;161;191;241;281;341},1),"North","NorthEast","East","SouthEast","South","SouthWest","West","NorthWest","North")</f>
        <v>NorthWest</v>
      </c>
      <c r="AA553" s="4">
        <f>CHOOSE(MATCH(Z553,{"South";"SouthEast";"SouthWest";"North";"NorthEast";"East";"West";"NorthWest"},0),1,2,3,4,5,6,7,8)</f>
        <v>8</v>
      </c>
      <c r="AB553" s="2">
        <f t="shared" si="86"/>
        <v>1</v>
      </c>
      <c r="AC553">
        <v>1011.3</v>
      </c>
      <c r="AD553" t="s">
        <v>666</v>
      </c>
      <c r="AE553" s="2">
        <f t="shared" si="87"/>
        <v>1</v>
      </c>
      <c r="AF553" t="s">
        <v>879</v>
      </c>
      <c r="AG553" s="2">
        <f t="shared" si="88"/>
        <v>9</v>
      </c>
      <c r="AH553" s="2">
        <f t="shared" si="89"/>
        <v>0</v>
      </c>
      <c r="AI553" s="3">
        <v>2650.9999999974389</v>
      </c>
      <c r="AJ553" s="2">
        <v>1</v>
      </c>
      <c r="AK553">
        <v>0</v>
      </c>
      <c r="AL553">
        <v>20</v>
      </c>
      <c r="AM553">
        <v>0</v>
      </c>
      <c r="AN553" s="2">
        <f>IF((2*G553+M553-O553+3*V553+2*AB553+2*AE553+2*AH553+3*AJ553)&gt;=7,1,0)</f>
        <v>1</v>
      </c>
    </row>
    <row r="554" spans="1:40" x14ac:dyDescent="0.25">
      <c r="A554" t="s">
        <v>27</v>
      </c>
      <c r="B554" s="1">
        <v>38596</v>
      </c>
      <c r="C554" s="6">
        <f t="shared" si="80"/>
        <v>2005</v>
      </c>
      <c r="D554">
        <v>82.5</v>
      </c>
      <c r="E554">
        <v>75.3</v>
      </c>
      <c r="F554">
        <v>79.2</v>
      </c>
      <c r="G554" s="2">
        <f t="shared" si="81"/>
        <v>1</v>
      </c>
      <c r="H554">
        <v>85.5</v>
      </c>
      <c r="I554">
        <v>75.3</v>
      </c>
      <c r="J554">
        <v>80.2</v>
      </c>
      <c r="K554">
        <v>65.599999999999994</v>
      </c>
      <c r="L554">
        <v>63.4</v>
      </c>
      <c r="M554" s="2">
        <f t="shared" si="82"/>
        <v>1</v>
      </c>
      <c r="N554">
        <v>0</v>
      </c>
      <c r="O554" s="2">
        <f t="shared" si="83"/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 s="2">
        <f t="shared" si="84"/>
        <v>0</v>
      </c>
      <c r="W554">
        <v>17.2</v>
      </c>
      <c r="X554" s="2">
        <f t="shared" si="85"/>
        <v>1</v>
      </c>
      <c r="Y554">
        <v>313.10000000000002</v>
      </c>
      <c r="Z554" s="2" t="str">
        <f>CHOOSE(MATCH(Y554,{0;11;80;111;161;191;241;281;341},1),"North","NorthEast","East","SouthEast","South","SouthWest","West","NorthWest","North")</f>
        <v>NorthWest</v>
      </c>
      <c r="AA554" s="4">
        <f>CHOOSE(MATCH(Z554,{"South";"SouthEast";"SouthWest";"North";"NorthEast";"East";"West";"NorthWest"},0),1,2,3,4,5,6,7,8)</f>
        <v>8</v>
      </c>
      <c r="AB554" s="2">
        <f t="shared" si="86"/>
        <v>1</v>
      </c>
      <c r="AC554">
        <v>1011.3</v>
      </c>
      <c r="AD554" t="s">
        <v>844</v>
      </c>
      <c r="AE554" s="2">
        <f t="shared" si="87"/>
        <v>1</v>
      </c>
      <c r="AF554" t="s">
        <v>880</v>
      </c>
      <c r="AG554" s="2">
        <f t="shared" si="88"/>
        <v>9</v>
      </c>
      <c r="AH554" s="2">
        <f t="shared" si="89"/>
        <v>0</v>
      </c>
      <c r="AI554" s="3">
        <v>249.99999999767169</v>
      </c>
      <c r="AJ554" s="2">
        <v>0</v>
      </c>
      <c r="AK554">
        <v>0</v>
      </c>
      <c r="AL554">
        <v>5</v>
      </c>
      <c r="AM554">
        <v>0</v>
      </c>
      <c r="AN554" s="2">
        <f>IF((2*G554+M554-O554+3*V554+2*AB554+2*AE554+2*AH554+3*AJ554)&gt;=7,1,0)</f>
        <v>0</v>
      </c>
    </row>
    <row r="555" spans="1:40" x14ac:dyDescent="0.25">
      <c r="A555" t="s">
        <v>27</v>
      </c>
      <c r="B555" s="1">
        <v>38597</v>
      </c>
      <c r="C555" s="6">
        <f t="shared" si="80"/>
        <v>2005</v>
      </c>
      <c r="D555">
        <v>82.5</v>
      </c>
      <c r="E555">
        <v>68.099999999999994</v>
      </c>
      <c r="F555">
        <v>76.7</v>
      </c>
      <c r="G555" s="2">
        <f t="shared" si="81"/>
        <v>1</v>
      </c>
      <c r="H555">
        <v>84.1</v>
      </c>
      <c r="I555">
        <v>68.099999999999994</v>
      </c>
      <c r="J555">
        <v>77.3</v>
      </c>
      <c r="K555">
        <v>63.1</v>
      </c>
      <c r="L555">
        <v>63.3</v>
      </c>
      <c r="M555" s="2">
        <f t="shared" si="82"/>
        <v>1</v>
      </c>
      <c r="N555">
        <v>0</v>
      </c>
      <c r="O555" s="2">
        <f t="shared" si="83"/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 s="2">
        <f t="shared" si="84"/>
        <v>0</v>
      </c>
      <c r="W555">
        <v>13.9</v>
      </c>
      <c r="X555" s="2">
        <f t="shared" si="85"/>
        <v>0</v>
      </c>
      <c r="Y555">
        <v>317</v>
      </c>
      <c r="Z555" s="2" t="str">
        <f>CHOOSE(MATCH(Y555,{0;11;80;111;161;191;241;281;341},1),"North","NorthEast","East","SouthEast","South","SouthWest","West","NorthWest","North")</f>
        <v>NorthWest</v>
      </c>
      <c r="AA555" s="4">
        <f>CHOOSE(MATCH(Z555,{"South";"SouthEast";"SouthWest";"North";"NorthEast";"East";"West";"NorthWest"},0),1,2,3,4,5,6,7,8)</f>
        <v>8</v>
      </c>
      <c r="AB555" s="2">
        <f t="shared" si="86"/>
        <v>1</v>
      </c>
      <c r="AC555">
        <v>1014.2</v>
      </c>
      <c r="AD555" t="s">
        <v>327</v>
      </c>
      <c r="AE555" s="2">
        <f t="shared" si="87"/>
        <v>0</v>
      </c>
      <c r="AF555" t="s">
        <v>881</v>
      </c>
      <c r="AG555" s="2">
        <f t="shared" si="88"/>
        <v>9</v>
      </c>
      <c r="AH555" s="2">
        <f t="shared" si="89"/>
        <v>0</v>
      </c>
      <c r="AI555" s="3">
        <v>280.00000000116421</v>
      </c>
      <c r="AJ555" s="2">
        <v>0</v>
      </c>
      <c r="AK555">
        <v>0</v>
      </c>
      <c r="AL555">
        <v>0</v>
      </c>
      <c r="AM555">
        <v>8</v>
      </c>
      <c r="AN555" s="2">
        <f>IF((2*G555+M555-O555+3*V555+2*AB555+2*AE555+2*AH555+3*AJ555)&gt;=7,1,0)</f>
        <v>0</v>
      </c>
    </row>
    <row r="556" spans="1:40" x14ac:dyDescent="0.25">
      <c r="A556" t="s">
        <v>27</v>
      </c>
      <c r="B556" s="1">
        <v>38599</v>
      </c>
      <c r="C556" s="6">
        <f t="shared" si="80"/>
        <v>2005</v>
      </c>
      <c r="D556">
        <v>78.900000000000006</v>
      </c>
      <c r="E556">
        <v>71.7</v>
      </c>
      <c r="F556">
        <v>75.2</v>
      </c>
      <c r="G556" s="2">
        <f t="shared" si="81"/>
        <v>1</v>
      </c>
      <c r="H556">
        <v>78.900000000000006</v>
      </c>
      <c r="I556">
        <v>71.7</v>
      </c>
      <c r="J556">
        <v>75.2</v>
      </c>
      <c r="K556">
        <v>54.2</v>
      </c>
      <c r="L556">
        <v>48.3</v>
      </c>
      <c r="M556" s="2">
        <f t="shared" si="82"/>
        <v>1</v>
      </c>
      <c r="N556">
        <v>0</v>
      </c>
      <c r="O556" s="2">
        <f t="shared" si="83"/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s="2">
        <f t="shared" si="84"/>
        <v>0</v>
      </c>
      <c r="W556">
        <v>20.8</v>
      </c>
      <c r="X556" s="2">
        <f t="shared" si="85"/>
        <v>1</v>
      </c>
      <c r="Y556">
        <v>336.7</v>
      </c>
      <c r="Z556" s="2" t="str">
        <f>CHOOSE(MATCH(Y556,{0;11;80;111;161;191;241;281;341},1),"North","NorthEast","East","SouthEast","South","SouthWest","West","NorthWest","North")</f>
        <v>NorthWest</v>
      </c>
      <c r="AA556" s="4">
        <f>CHOOSE(MATCH(Z556,{"South";"SouthEast";"SouthWest";"North";"NorthEast";"East";"West";"NorthWest"},0),1,2,3,4,5,6,7,8)</f>
        <v>8</v>
      </c>
      <c r="AB556" s="2">
        <f t="shared" si="86"/>
        <v>1</v>
      </c>
      <c r="AC556">
        <v>1018.5</v>
      </c>
      <c r="AD556" t="s">
        <v>882</v>
      </c>
      <c r="AE556" s="2">
        <f t="shared" si="87"/>
        <v>0</v>
      </c>
      <c r="AF556" t="s">
        <v>883</v>
      </c>
      <c r="AG556" s="2">
        <f t="shared" si="88"/>
        <v>9</v>
      </c>
      <c r="AH556" s="2">
        <f t="shared" si="89"/>
        <v>0</v>
      </c>
      <c r="AI556" s="3">
        <v>84.999999994179234</v>
      </c>
      <c r="AJ556" s="2">
        <v>0</v>
      </c>
      <c r="AK556">
        <v>0</v>
      </c>
      <c r="AL556">
        <v>0.5</v>
      </c>
      <c r="AM556">
        <v>0</v>
      </c>
      <c r="AN556" s="2">
        <f>IF((2*G556+M556-O556+3*V556+2*AB556+2*AE556+2*AH556+3*AJ556)&gt;=7,1,0)</f>
        <v>0</v>
      </c>
    </row>
    <row r="557" spans="1:40" x14ac:dyDescent="0.25">
      <c r="A557" t="s">
        <v>27</v>
      </c>
      <c r="B557" s="1">
        <v>38599</v>
      </c>
      <c r="C557" s="6">
        <f t="shared" si="80"/>
        <v>2005</v>
      </c>
      <c r="D557">
        <v>78.900000000000006</v>
      </c>
      <c r="E557">
        <v>71.7</v>
      </c>
      <c r="F557">
        <v>75.2</v>
      </c>
      <c r="G557" s="2">
        <f t="shared" si="81"/>
        <v>1</v>
      </c>
      <c r="H557">
        <v>78.900000000000006</v>
      </c>
      <c r="I557">
        <v>71.7</v>
      </c>
      <c r="J557">
        <v>75.2</v>
      </c>
      <c r="K557">
        <v>54.2</v>
      </c>
      <c r="L557">
        <v>48.3</v>
      </c>
      <c r="M557" s="2">
        <f t="shared" si="82"/>
        <v>1</v>
      </c>
      <c r="N557">
        <v>0</v>
      </c>
      <c r="O557" s="2">
        <f t="shared" si="83"/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 s="2">
        <f t="shared" si="84"/>
        <v>0</v>
      </c>
      <c r="W557">
        <v>20.8</v>
      </c>
      <c r="X557" s="2">
        <f t="shared" si="85"/>
        <v>1</v>
      </c>
      <c r="Y557">
        <v>336.7</v>
      </c>
      <c r="Z557" s="2" t="str">
        <f>CHOOSE(MATCH(Y557,{0;11;80;111;161;191;241;281;341},1),"North","NorthEast","East","SouthEast","South","SouthWest","West","NorthWest","North")</f>
        <v>NorthWest</v>
      </c>
      <c r="AA557" s="4">
        <f>CHOOSE(MATCH(Z557,{"South";"SouthEast";"SouthWest";"North";"NorthEast";"East";"West";"NorthWest"},0),1,2,3,4,5,6,7,8)</f>
        <v>8</v>
      </c>
      <c r="AB557" s="2">
        <f t="shared" si="86"/>
        <v>1</v>
      </c>
      <c r="AC557">
        <v>1018.5</v>
      </c>
      <c r="AD557" t="s">
        <v>209</v>
      </c>
      <c r="AE557" s="2">
        <f t="shared" si="87"/>
        <v>0</v>
      </c>
      <c r="AF557" t="s">
        <v>884</v>
      </c>
      <c r="AG557" s="2">
        <f t="shared" si="88"/>
        <v>9</v>
      </c>
      <c r="AH557" s="2">
        <f t="shared" si="89"/>
        <v>0</v>
      </c>
      <c r="AI557" s="3">
        <v>410.99999999860302</v>
      </c>
      <c r="AJ557" s="2">
        <v>1</v>
      </c>
      <c r="AK557">
        <v>0</v>
      </c>
      <c r="AL557">
        <v>5</v>
      </c>
      <c r="AM557">
        <v>0</v>
      </c>
      <c r="AN557" s="2">
        <f>IF((2*G557+M557-O557+3*V557+2*AB557+2*AE557+2*AH557+3*AJ557)&gt;=7,1,0)</f>
        <v>1</v>
      </c>
    </row>
    <row r="558" spans="1:40" x14ac:dyDescent="0.25">
      <c r="A558" t="s">
        <v>27</v>
      </c>
      <c r="B558" s="1">
        <v>38599</v>
      </c>
      <c r="C558" s="6">
        <f t="shared" si="80"/>
        <v>2005</v>
      </c>
      <c r="D558">
        <v>78.900000000000006</v>
      </c>
      <c r="E558">
        <v>71.7</v>
      </c>
      <c r="F558">
        <v>75.2</v>
      </c>
      <c r="G558" s="2">
        <f t="shared" si="81"/>
        <v>1</v>
      </c>
      <c r="H558">
        <v>78.900000000000006</v>
      </c>
      <c r="I558">
        <v>71.7</v>
      </c>
      <c r="J558">
        <v>75.2</v>
      </c>
      <c r="K558">
        <v>54.2</v>
      </c>
      <c r="L558">
        <v>48.3</v>
      </c>
      <c r="M558" s="2">
        <f t="shared" si="82"/>
        <v>1</v>
      </c>
      <c r="N558">
        <v>0</v>
      </c>
      <c r="O558" s="2">
        <f t="shared" si="83"/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s="2">
        <f t="shared" si="84"/>
        <v>0</v>
      </c>
      <c r="W558">
        <v>20.8</v>
      </c>
      <c r="X558" s="2">
        <f t="shared" si="85"/>
        <v>1</v>
      </c>
      <c r="Y558">
        <v>336.7</v>
      </c>
      <c r="Z558" s="2" t="str">
        <f>CHOOSE(MATCH(Y558,{0;11;80;111;161;191;241;281;341},1),"North","NorthEast","East","SouthEast","South","SouthWest","West","NorthWest","North")</f>
        <v>NorthWest</v>
      </c>
      <c r="AA558" s="4">
        <f>CHOOSE(MATCH(Z558,{"South";"SouthEast";"SouthWest";"North";"NorthEast";"East";"West";"NorthWest"},0),1,2,3,4,5,6,7,8)</f>
        <v>8</v>
      </c>
      <c r="AB558" s="2">
        <f t="shared" si="86"/>
        <v>1</v>
      </c>
      <c r="AC558">
        <v>1018.5</v>
      </c>
      <c r="AD558" t="s">
        <v>885</v>
      </c>
      <c r="AE558" s="2">
        <f t="shared" si="87"/>
        <v>1</v>
      </c>
      <c r="AF558" t="s">
        <v>886</v>
      </c>
      <c r="AG558" s="2">
        <f t="shared" si="88"/>
        <v>9</v>
      </c>
      <c r="AH558" s="2">
        <f t="shared" si="89"/>
        <v>0</v>
      </c>
      <c r="AI558" s="3">
        <v>84.000000001396984</v>
      </c>
      <c r="AJ558" s="2">
        <v>0</v>
      </c>
      <c r="AK558">
        <v>0</v>
      </c>
      <c r="AL558">
        <v>1</v>
      </c>
      <c r="AM558">
        <v>0</v>
      </c>
      <c r="AN558" s="2">
        <f>IF((2*G558+M558-O558+3*V558+2*AB558+2*AE558+2*AH558+3*AJ558)&gt;=7,1,0)</f>
        <v>0</v>
      </c>
    </row>
    <row r="559" spans="1:40" x14ac:dyDescent="0.25">
      <c r="A559" t="s">
        <v>27</v>
      </c>
      <c r="B559" s="1">
        <v>38605</v>
      </c>
      <c r="C559" s="6">
        <f t="shared" si="80"/>
        <v>2005</v>
      </c>
      <c r="D559">
        <v>80.7</v>
      </c>
      <c r="E559">
        <v>71.7</v>
      </c>
      <c r="F559">
        <v>76.099999999999994</v>
      </c>
      <c r="G559" s="2">
        <f t="shared" si="81"/>
        <v>1</v>
      </c>
      <c r="H559">
        <v>81.5</v>
      </c>
      <c r="I559">
        <v>71.7</v>
      </c>
      <c r="J559">
        <v>76.2</v>
      </c>
      <c r="K559">
        <v>59.6</v>
      </c>
      <c r="L559">
        <v>56.7</v>
      </c>
      <c r="M559" s="2">
        <f t="shared" si="82"/>
        <v>1</v>
      </c>
      <c r="N559">
        <v>0</v>
      </c>
      <c r="O559" s="2">
        <f t="shared" si="83"/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s="2">
        <f t="shared" si="84"/>
        <v>0</v>
      </c>
      <c r="W559">
        <v>17.2</v>
      </c>
      <c r="X559" s="2">
        <f t="shared" si="85"/>
        <v>1</v>
      </c>
      <c r="Y559">
        <v>306.3</v>
      </c>
      <c r="Z559" s="2" t="str">
        <f>CHOOSE(MATCH(Y559,{0;11;80;111;161;191;241;281;341},1),"North","NorthEast","East","SouthEast","South","SouthWest","West","NorthWest","North")</f>
        <v>NorthWest</v>
      </c>
      <c r="AA559" s="4">
        <f>CHOOSE(MATCH(Z559,{"South";"SouthEast";"SouthWest";"North";"NorthEast";"East";"West";"NorthWest"},0),1,2,3,4,5,6,7,8)</f>
        <v>8</v>
      </c>
      <c r="AB559" s="2">
        <f t="shared" si="86"/>
        <v>1</v>
      </c>
      <c r="AC559">
        <v>1013.9</v>
      </c>
      <c r="AD559" t="s">
        <v>189</v>
      </c>
      <c r="AE559" s="2">
        <f t="shared" si="87"/>
        <v>1</v>
      </c>
      <c r="AF559" t="s">
        <v>887</v>
      </c>
      <c r="AG559" s="2">
        <f t="shared" si="88"/>
        <v>9</v>
      </c>
      <c r="AH559" s="2">
        <f t="shared" si="89"/>
        <v>0</v>
      </c>
      <c r="AI559" s="3">
        <v>206.00000000093129</v>
      </c>
      <c r="AJ559" s="2">
        <v>0</v>
      </c>
      <c r="AK559">
        <v>0</v>
      </c>
      <c r="AL559">
        <v>10</v>
      </c>
      <c r="AM559">
        <v>0</v>
      </c>
      <c r="AN559" s="2">
        <f>IF((2*G559+M559-O559+3*V559+2*AB559+2*AE559+2*AH559+3*AJ559)&gt;=7,1,0)</f>
        <v>0</v>
      </c>
    </row>
    <row r="560" spans="1:40" x14ac:dyDescent="0.25">
      <c r="A560" t="s">
        <v>27</v>
      </c>
      <c r="B560" s="1">
        <v>38606</v>
      </c>
      <c r="C560" s="6">
        <f t="shared" si="80"/>
        <v>2005</v>
      </c>
      <c r="D560">
        <v>82.5</v>
      </c>
      <c r="E560">
        <v>68.099999999999994</v>
      </c>
      <c r="F560">
        <v>74.599999999999994</v>
      </c>
      <c r="G560" s="2">
        <f t="shared" si="81"/>
        <v>1</v>
      </c>
      <c r="H560">
        <v>83</v>
      </c>
      <c r="I560">
        <v>68.099999999999994</v>
      </c>
      <c r="J560">
        <v>74.900000000000006</v>
      </c>
      <c r="K560">
        <v>57.4</v>
      </c>
      <c r="L560">
        <v>55.6</v>
      </c>
      <c r="M560" s="2">
        <f t="shared" si="82"/>
        <v>1</v>
      </c>
      <c r="N560">
        <v>0</v>
      </c>
      <c r="O560" s="2">
        <f t="shared" si="83"/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 s="2">
        <f t="shared" si="84"/>
        <v>0</v>
      </c>
      <c r="W560">
        <v>9.1999999999999993</v>
      </c>
      <c r="X560" s="2">
        <f t="shared" si="85"/>
        <v>0</v>
      </c>
      <c r="Y560">
        <v>154.1</v>
      </c>
      <c r="Z560" s="2" t="str">
        <f>CHOOSE(MATCH(Y560,{0;11;80;111;161;191;241;281;341},1),"North","NorthEast","East","SouthEast","South","SouthWest","West","NorthWest","North")</f>
        <v>SouthEast</v>
      </c>
      <c r="AA560" s="4">
        <f>CHOOSE(MATCH(Z560,{"South";"SouthEast";"SouthWest";"North";"NorthEast";"East";"West";"NorthWest"},0),1,2,3,4,5,6,7,8)</f>
        <v>2</v>
      </c>
      <c r="AB560" s="2">
        <f t="shared" si="86"/>
        <v>0</v>
      </c>
      <c r="AC560">
        <v>1011.3</v>
      </c>
      <c r="AD560" t="s">
        <v>888</v>
      </c>
      <c r="AE560" s="2">
        <f t="shared" si="87"/>
        <v>1</v>
      </c>
      <c r="AF560" t="s">
        <v>889</v>
      </c>
      <c r="AG560" s="2">
        <f t="shared" si="88"/>
        <v>9</v>
      </c>
      <c r="AH560" s="2">
        <f t="shared" si="89"/>
        <v>0</v>
      </c>
      <c r="AI560" s="3">
        <v>1185.9999999997669</v>
      </c>
      <c r="AJ560" s="2">
        <v>1</v>
      </c>
      <c r="AK560">
        <v>0</v>
      </c>
      <c r="AL560">
        <v>4</v>
      </c>
      <c r="AM560">
        <v>0</v>
      </c>
      <c r="AN560" s="2">
        <f>IF((2*G560+M560-O560+3*V560+2*AB560+2*AE560+2*AH560+3*AJ560)&gt;=7,1,0)</f>
        <v>1</v>
      </c>
    </row>
    <row r="561" spans="1:40" x14ac:dyDescent="0.25">
      <c r="A561" t="s">
        <v>27</v>
      </c>
      <c r="B561" s="1">
        <v>38610</v>
      </c>
      <c r="C561" s="6">
        <f t="shared" si="80"/>
        <v>2005</v>
      </c>
      <c r="D561">
        <v>87.9</v>
      </c>
      <c r="E561">
        <v>71.7</v>
      </c>
      <c r="F561">
        <v>77.3</v>
      </c>
      <c r="G561" s="2">
        <f t="shared" si="81"/>
        <v>1</v>
      </c>
      <c r="H561">
        <v>86.4</v>
      </c>
      <c r="I561">
        <v>71.7</v>
      </c>
      <c r="J561">
        <v>77.7</v>
      </c>
      <c r="K561">
        <v>58.9</v>
      </c>
      <c r="L561">
        <v>55.7</v>
      </c>
      <c r="M561" s="2">
        <f t="shared" si="82"/>
        <v>1</v>
      </c>
      <c r="N561">
        <v>1.2E-2</v>
      </c>
      <c r="O561" s="2">
        <f t="shared" si="83"/>
        <v>0</v>
      </c>
      <c r="P561">
        <v>100</v>
      </c>
      <c r="Q561">
        <v>4.17</v>
      </c>
      <c r="R561" t="s">
        <v>182</v>
      </c>
      <c r="S561">
        <v>0</v>
      </c>
      <c r="T561">
        <v>0</v>
      </c>
      <c r="U561">
        <v>0</v>
      </c>
      <c r="V561" s="2">
        <f t="shared" si="84"/>
        <v>0</v>
      </c>
      <c r="W561">
        <v>17.2</v>
      </c>
      <c r="X561" s="2">
        <f t="shared" si="85"/>
        <v>1</v>
      </c>
      <c r="Y561">
        <v>292.39999999999998</v>
      </c>
      <c r="Z561" s="2" t="str">
        <f>CHOOSE(MATCH(Y561,{0;11;80;111;161;191;241;281;341},1),"North","NorthEast","East","SouthEast","South","SouthWest","West","NorthWest","North")</f>
        <v>NorthWest</v>
      </c>
      <c r="AA561" s="4">
        <f>CHOOSE(MATCH(Z561,{"South";"SouthEast";"SouthWest";"North";"NorthEast";"East";"West";"NorthWest"},0),1,2,3,4,5,6,7,8)</f>
        <v>8</v>
      </c>
      <c r="AB561" s="2">
        <f t="shared" si="86"/>
        <v>1</v>
      </c>
      <c r="AC561">
        <v>1006.5</v>
      </c>
      <c r="AD561" t="s">
        <v>609</v>
      </c>
      <c r="AE561" s="2">
        <f t="shared" si="87"/>
        <v>1</v>
      </c>
      <c r="AF561" t="s">
        <v>890</v>
      </c>
      <c r="AG561" s="2">
        <f t="shared" si="88"/>
        <v>9</v>
      </c>
      <c r="AH561" s="2">
        <f t="shared" si="89"/>
        <v>0</v>
      </c>
      <c r="AI561" s="3">
        <v>374.99999999650748</v>
      </c>
      <c r="AJ561" s="2">
        <v>1</v>
      </c>
      <c r="AK561">
        <v>0</v>
      </c>
      <c r="AL561">
        <v>0.02</v>
      </c>
      <c r="AM561">
        <v>0</v>
      </c>
      <c r="AN561" s="2">
        <f>IF((2*G561+M561-O561+3*V561+2*AB561+2*AE561+2*AH561+3*AJ561)&gt;=7,1,0)</f>
        <v>1</v>
      </c>
    </row>
    <row r="562" spans="1:40" x14ac:dyDescent="0.25">
      <c r="A562" t="s">
        <v>27</v>
      </c>
      <c r="B562" s="1">
        <v>38610</v>
      </c>
      <c r="C562" s="6">
        <f t="shared" si="80"/>
        <v>2005</v>
      </c>
      <c r="D562">
        <v>87.9</v>
      </c>
      <c r="E562">
        <v>71.7</v>
      </c>
      <c r="F562">
        <v>77.3</v>
      </c>
      <c r="G562" s="2">
        <f t="shared" si="81"/>
        <v>1</v>
      </c>
      <c r="H562">
        <v>86.4</v>
      </c>
      <c r="I562">
        <v>71.7</v>
      </c>
      <c r="J562">
        <v>77.7</v>
      </c>
      <c r="K562">
        <v>58.9</v>
      </c>
      <c r="L562">
        <v>55.7</v>
      </c>
      <c r="M562" s="2">
        <f t="shared" si="82"/>
        <v>1</v>
      </c>
      <c r="N562">
        <v>1.2E-2</v>
      </c>
      <c r="O562" s="2">
        <f t="shared" si="83"/>
        <v>0</v>
      </c>
      <c r="P562">
        <v>100</v>
      </c>
      <c r="Q562">
        <v>4.17</v>
      </c>
      <c r="R562" t="s">
        <v>182</v>
      </c>
      <c r="S562">
        <v>0</v>
      </c>
      <c r="T562">
        <v>0</v>
      </c>
      <c r="U562">
        <v>0</v>
      </c>
      <c r="V562" s="2">
        <f t="shared" si="84"/>
        <v>0</v>
      </c>
      <c r="W562">
        <v>17.2</v>
      </c>
      <c r="X562" s="2">
        <f t="shared" si="85"/>
        <v>1</v>
      </c>
      <c r="Y562">
        <v>292.39999999999998</v>
      </c>
      <c r="Z562" s="2" t="str">
        <f>CHOOSE(MATCH(Y562,{0;11;80;111;161;191;241;281;341},1),"North","NorthEast","East","SouthEast","South","SouthWest","West","NorthWest","North")</f>
        <v>NorthWest</v>
      </c>
      <c r="AA562" s="4">
        <f>CHOOSE(MATCH(Z562,{"South";"SouthEast";"SouthWest";"North";"NorthEast";"East";"West";"NorthWest"},0),1,2,3,4,5,6,7,8)</f>
        <v>8</v>
      </c>
      <c r="AB562" s="2">
        <f t="shared" si="86"/>
        <v>1</v>
      </c>
      <c r="AC562">
        <v>1006.5</v>
      </c>
      <c r="AD562" t="s">
        <v>631</v>
      </c>
      <c r="AE562" s="2">
        <f t="shared" si="87"/>
        <v>1</v>
      </c>
      <c r="AF562" t="s">
        <v>891</v>
      </c>
      <c r="AG562" s="2">
        <f t="shared" si="88"/>
        <v>9</v>
      </c>
      <c r="AH562" s="2">
        <f t="shared" si="89"/>
        <v>0</v>
      </c>
      <c r="AI562" s="3">
        <v>169.99999999883579</v>
      </c>
      <c r="AJ562" s="2">
        <v>0</v>
      </c>
      <c r="AK562">
        <v>3</v>
      </c>
      <c r="AL562">
        <v>0</v>
      </c>
      <c r="AM562">
        <v>0</v>
      </c>
      <c r="AN562" s="2">
        <f>IF((2*G562+M562-O562+3*V562+2*AB562+2*AE562+2*AH562+3*AJ562)&gt;=7,1,0)</f>
        <v>1</v>
      </c>
    </row>
    <row r="563" spans="1:40" x14ac:dyDescent="0.25">
      <c r="A563" t="s">
        <v>27</v>
      </c>
      <c r="B563" s="1">
        <v>38619</v>
      </c>
      <c r="C563" s="6">
        <f t="shared" si="80"/>
        <v>2005</v>
      </c>
      <c r="D563">
        <v>78.900000000000006</v>
      </c>
      <c r="E563">
        <v>64.5</v>
      </c>
      <c r="F563">
        <v>72.400000000000006</v>
      </c>
      <c r="G563" s="2">
        <f t="shared" si="81"/>
        <v>1</v>
      </c>
      <c r="H563">
        <v>78.900000000000006</v>
      </c>
      <c r="I563">
        <v>64.5</v>
      </c>
      <c r="J563">
        <v>72.400000000000006</v>
      </c>
      <c r="K563">
        <v>60.6</v>
      </c>
      <c r="L563">
        <v>67.900000000000006</v>
      </c>
      <c r="M563" s="2">
        <f t="shared" si="82"/>
        <v>0</v>
      </c>
      <c r="N563">
        <v>0</v>
      </c>
      <c r="O563" s="2">
        <f t="shared" si="83"/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 s="2">
        <f t="shared" si="84"/>
        <v>0</v>
      </c>
      <c r="W563">
        <v>11.4</v>
      </c>
      <c r="X563" s="2">
        <f t="shared" si="85"/>
        <v>0</v>
      </c>
      <c r="Y563">
        <v>159.19999999999999</v>
      </c>
      <c r="Z563" s="2" t="str">
        <f>CHOOSE(MATCH(Y563,{0;11;80;111;161;191;241;281;341},1),"North","NorthEast","East","SouthEast","South","SouthWest","West","NorthWest","North")</f>
        <v>SouthEast</v>
      </c>
      <c r="AA563" s="4">
        <f>CHOOSE(MATCH(Z563,{"South";"SouthEast";"SouthWest";"North";"NorthEast";"East";"West";"NorthWest"},0),1,2,3,4,5,6,7,8)</f>
        <v>2</v>
      </c>
      <c r="AB563" s="2">
        <f t="shared" si="86"/>
        <v>0</v>
      </c>
      <c r="AC563">
        <v>1013</v>
      </c>
      <c r="AD563" t="s">
        <v>892</v>
      </c>
      <c r="AE563" s="2">
        <f t="shared" si="87"/>
        <v>0</v>
      </c>
      <c r="AF563" t="s">
        <v>893</v>
      </c>
      <c r="AG563" s="2">
        <f t="shared" si="88"/>
        <v>9</v>
      </c>
      <c r="AH563" s="2">
        <f t="shared" si="89"/>
        <v>0</v>
      </c>
      <c r="AI563" s="3">
        <v>289.99999999185093</v>
      </c>
      <c r="AJ563" s="2">
        <v>0</v>
      </c>
      <c r="AK563">
        <v>0</v>
      </c>
      <c r="AL563">
        <v>0.05</v>
      </c>
      <c r="AM563">
        <v>0</v>
      </c>
      <c r="AN563" s="2">
        <f>IF((2*G563+M563-O563+3*V563+2*AB563+2*AE563+2*AH563+3*AJ563)&gt;=7,1,0)</f>
        <v>0</v>
      </c>
    </row>
    <row r="564" spans="1:40" x14ac:dyDescent="0.25">
      <c r="A564" t="s">
        <v>27</v>
      </c>
      <c r="B564" s="1">
        <v>38632</v>
      </c>
      <c r="C564" s="6">
        <f t="shared" si="80"/>
        <v>2005</v>
      </c>
      <c r="D564">
        <v>75.3</v>
      </c>
      <c r="E564">
        <v>69.900000000000006</v>
      </c>
      <c r="F564">
        <v>71.599999999999994</v>
      </c>
      <c r="G564" s="2">
        <f t="shared" si="81"/>
        <v>1</v>
      </c>
      <c r="H564">
        <v>75.3</v>
      </c>
      <c r="I564">
        <v>69.900000000000006</v>
      </c>
      <c r="J564">
        <v>71.599999999999994</v>
      </c>
      <c r="K564">
        <v>58.2</v>
      </c>
      <c r="L564">
        <v>62.7</v>
      </c>
      <c r="M564" s="2">
        <f t="shared" si="82"/>
        <v>1</v>
      </c>
      <c r="N564">
        <v>0</v>
      </c>
      <c r="O564" s="2">
        <f t="shared" si="83"/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 s="2">
        <f t="shared" si="84"/>
        <v>0</v>
      </c>
      <c r="W564">
        <v>17.2</v>
      </c>
      <c r="X564" s="2">
        <f t="shared" si="85"/>
        <v>1</v>
      </c>
      <c r="Y564">
        <v>326.7</v>
      </c>
      <c r="Z564" s="2" t="str">
        <f>CHOOSE(MATCH(Y564,{0;11;80;111;161;191;241;281;341},1),"North","NorthEast","East","SouthEast","South","SouthWest","West","NorthWest","North")</f>
        <v>NorthWest</v>
      </c>
      <c r="AA564" s="4">
        <f>CHOOSE(MATCH(Z564,{"South";"SouthEast";"SouthWest";"North";"NorthEast";"East";"West";"NorthWest"},0),1,2,3,4,5,6,7,8)</f>
        <v>8</v>
      </c>
      <c r="AB564" s="2">
        <f t="shared" si="86"/>
        <v>1</v>
      </c>
      <c r="AC564">
        <v>1019.5</v>
      </c>
      <c r="AD564" t="s">
        <v>305</v>
      </c>
      <c r="AE564" s="2">
        <f t="shared" si="87"/>
        <v>1</v>
      </c>
      <c r="AF564" t="s">
        <v>894</v>
      </c>
      <c r="AG564" s="2">
        <f t="shared" si="88"/>
        <v>10</v>
      </c>
      <c r="AH564" s="2">
        <f t="shared" si="89"/>
        <v>0</v>
      </c>
      <c r="AI564" s="3">
        <v>1240.0000000081491</v>
      </c>
      <c r="AJ564" s="2">
        <v>1</v>
      </c>
      <c r="AK564">
        <v>0</v>
      </c>
      <c r="AL564">
        <v>2.5</v>
      </c>
      <c r="AM564">
        <v>0</v>
      </c>
      <c r="AN564" s="2">
        <f>IF((2*G564+M564-O564+3*V564+2*AB564+2*AE564+2*AH564+3*AJ564)&gt;=7,1,0)</f>
        <v>1</v>
      </c>
    </row>
    <row r="565" spans="1:40" x14ac:dyDescent="0.25">
      <c r="A565" t="s">
        <v>27</v>
      </c>
      <c r="B565" s="1">
        <v>38632</v>
      </c>
      <c r="C565" s="6">
        <f t="shared" si="80"/>
        <v>2005</v>
      </c>
      <c r="D565">
        <v>75.3</v>
      </c>
      <c r="E565">
        <v>69.900000000000006</v>
      </c>
      <c r="F565">
        <v>71.599999999999994</v>
      </c>
      <c r="G565" s="2">
        <f t="shared" si="81"/>
        <v>1</v>
      </c>
      <c r="H565">
        <v>75.3</v>
      </c>
      <c r="I565">
        <v>69.900000000000006</v>
      </c>
      <c r="J565">
        <v>71.599999999999994</v>
      </c>
      <c r="K565">
        <v>58.2</v>
      </c>
      <c r="L565">
        <v>62.7</v>
      </c>
      <c r="M565" s="2">
        <f t="shared" si="82"/>
        <v>1</v>
      </c>
      <c r="N565">
        <v>0</v>
      </c>
      <c r="O565" s="2">
        <f t="shared" si="83"/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 s="2">
        <f t="shared" si="84"/>
        <v>0</v>
      </c>
      <c r="W565">
        <v>17.2</v>
      </c>
      <c r="X565" s="2">
        <f t="shared" si="85"/>
        <v>1</v>
      </c>
      <c r="Y565">
        <v>326.7</v>
      </c>
      <c r="Z565" s="2" t="str">
        <f>CHOOSE(MATCH(Y565,{0;11;80;111;161;191;241;281;341},1),"North","NorthEast","East","SouthEast","South","SouthWest","West","NorthWest","North")</f>
        <v>NorthWest</v>
      </c>
      <c r="AA565" s="4">
        <f>CHOOSE(MATCH(Z565,{"South";"SouthEast";"SouthWest";"North";"NorthEast";"East";"West";"NorthWest"},0),1,2,3,4,5,6,7,8)</f>
        <v>8</v>
      </c>
      <c r="AB565" s="2">
        <f t="shared" si="86"/>
        <v>1</v>
      </c>
      <c r="AC565">
        <v>1019.5</v>
      </c>
      <c r="AD565" t="s">
        <v>666</v>
      </c>
      <c r="AE565" s="2">
        <f t="shared" si="87"/>
        <v>1</v>
      </c>
      <c r="AF565" t="s">
        <v>895</v>
      </c>
      <c r="AG565" s="2">
        <f t="shared" si="88"/>
        <v>10</v>
      </c>
      <c r="AH565" s="2">
        <f t="shared" si="89"/>
        <v>0</v>
      </c>
      <c r="AI565" s="3">
        <v>191.00000000442381</v>
      </c>
      <c r="AJ565" s="2">
        <v>0</v>
      </c>
      <c r="AK565">
        <v>0</v>
      </c>
      <c r="AL565">
        <v>10</v>
      </c>
      <c r="AM565">
        <v>0</v>
      </c>
      <c r="AN565" s="2">
        <f>IF((2*G565+M565-O565+3*V565+2*AB565+2*AE565+2*AH565+3*AJ565)&gt;=7,1,0)</f>
        <v>0</v>
      </c>
    </row>
    <row r="566" spans="1:40" x14ac:dyDescent="0.25">
      <c r="A566" t="s">
        <v>27</v>
      </c>
      <c r="B566" s="1">
        <v>38633</v>
      </c>
      <c r="C566" s="6">
        <f t="shared" si="80"/>
        <v>2005</v>
      </c>
      <c r="D566">
        <v>73.5</v>
      </c>
      <c r="E566">
        <v>68.099999999999994</v>
      </c>
      <c r="F566">
        <v>70.3</v>
      </c>
      <c r="G566" s="2">
        <f t="shared" si="81"/>
        <v>1</v>
      </c>
      <c r="H566">
        <v>73.5</v>
      </c>
      <c r="I566">
        <v>68.099999999999994</v>
      </c>
      <c r="J566">
        <v>70.3</v>
      </c>
      <c r="K566">
        <v>56.5</v>
      </c>
      <c r="L566">
        <v>61.8</v>
      </c>
      <c r="M566" s="2">
        <f t="shared" si="82"/>
        <v>1</v>
      </c>
      <c r="N566">
        <v>0</v>
      </c>
      <c r="O566" s="2">
        <f t="shared" si="83"/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s="2">
        <f t="shared" si="84"/>
        <v>0</v>
      </c>
      <c r="W566">
        <v>18.3</v>
      </c>
      <c r="X566" s="2">
        <f t="shared" si="85"/>
        <v>1</v>
      </c>
      <c r="Y566">
        <v>321.60000000000002</v>
      </c>
      <c r="Z566" s="2" t="str">
        <f>CHOOSE(MATCH(Y566,{0;11;80;111;161;191;241;281;341},1),"North","NorthEast","East","SouthEast","South","SouthWest","West","NorthWest","North")</f>
        <v>NorthWest</v>
      </c>
      <c r="AA566" s="4">
        <f>CHOOSE(MATCH(Z566,{"South";"SouthEast";"SouthWest";"North";"NorthEast";"East";"West";"NorthWest"},0),1,2,3,4,5,6,7,8)</f>
        <v>8</v>
      </c>
      <c r="AB566" s="2">
        <f t="shared" si="86"/>
        <v>1</v>
      </c>
      <c r="AC566">
        <v>1019.7</v>
      </c>
      <c r="AD566" t="s">
        <v>753</v>
      </c>
      <c r="AE566" s="2">
        <f t="shared" si="87"/>
        <v>1</v>
      </c>
      <c r="AF566" t="s">
        <v>896</v>
      </c>
      <c r="AG566" s="2">
        <f t="shared" si="88"/>
        <v>10</v>
      </c>
      <c r="AH566" s="2">
        <f t="shared" si="89"/>
        <v>0</v>
      </c>
      <c r="AI566" s="3">
        <v>190.00000000116421</v>
      </c>
      <c r="AJ566" s="2">
        <v>0</v>
      </c>
      <c r="AK566">
        <v>0</v>
      </c>
      <c r="AL566">
        <v>1</v>
      </c>
      <c r="AM566">
        <v>0</v>
      </c>
      <c r="AN566" s="2">
        <f>IF((2*G566+M566-O566+3*V566+2*AB566+2*AE566+2*AH566+3*AJ566)&gt;=7,1,0)</f>
        <v>0</v>
      </c>
    </row>
    <row r="567" spans="1:40" x14ac:dyDescent="0.25">
      <c r="A567" t="s">
        <v>27</v>
      </c>
      <c r="B567" s="1">
        <v>38645</v>
      </c>
      <c r="C567" s="6">
        <f t="shared" si="80"/>
        <v>2005</v>
      </c>
      <c r="D567">
        <v>66.3</v>
      </c>
      <c r="E567">
        <v>60.9</v>
      </c>
      <c r="F567">
        <v>62.9</v>
      </c>
      <c r="G567" s="2">
        <f t="shared" si="81"/>
        <v>0</v>
      </c>
      <c r="H567">
        <v>66.3</v>
      </c>
      <c r="I567">
        <v>60.9</v>
      </c>
      <c r="J567">
        <v>62.9</v>
      </c>
      <c r="K567">
        <v>43.6</v>
      </c>
      <c r="L567">
        <v>49.4</v>
      </c>
      <c r="M567" s="2">
        <f t="shared" si="82"/>
        <v>1</v>
      </c>
      <c r="N567">
        <v>0</v>
      </c>
      <c r="O567" s="2">
        <f t="shared" si="83"/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s="2">
        <f t="shared" si="84"/>
        <v>0</v>
      </c>
      <c r="W567">
        <v>18.3</v>
      </c>
      <c r="X567" s="2">
        <f t="shared" si="85"/>
        <v>1</v>
      </c>
      <c r="Y567">
        <v>347.5</v>
      </c>
      <c r="Z567" s="2" t="str">
        <f>CHOOSE(MATCH(Y567,{0;11;80;111;161;191;241;281;341},1),"North","NorthEast","East","SouthEast","South","SouthWest","West","NorthWest","North")</f>
        <v>North</v>
      </c>
      <c r="AA567" s="4">
        <f>CHOOSE(MATCH(Z567,{"South";"SouthEast";"SouthWest";"North";"NorthEast";"East";"West";"NorthWest"},0),1,2,3,4,5,6,7,8)</f>
        <v>4</v>
      </c>
      <c r="AB567" s="2">
        <f t="shared" si="86"/>
        <v>1</v>
      </c>
      <c r="AC567">
        <v>1021.8</v>
      </c>
      <c r="AD567" t="s">
        <v>57</v>
      </c>
      <c r="AE567" s="2">
        <f t="shared" si="87"/>
        <v>1</v>
      </c>
      <c r="AF567" t="s">
        <v>897</v>
      </c>
      <c r="AG567" s="2">
        <f t="shared" si="88"/>
        <v>10</v>
      </c>
      <c r="AH567" s="2">
        <f t="shared" si="89"/>
        <v>0</v>
      </c>
      <c r="AI567" s="3">
        <v>370.9999999939464</v>
      </c>
      <c r="AJ567" s="2">
        <v>1</v>
      </c>
      <c r="AK567">
        <v>0</v>
      </c>
      <c r="AL567">
        <v>1</v>
      </c>
      <c r="AM567">
        <v>0</v>
      </c>
      <c r="AN567" s="2">
        <f>IF((2*G567+M567-O567+3*V567+2*AB567+2*AE567+2*AH567+3*AJ567)&gt;=7,1,0)</f>
        <v>1</v>
      </c>
    </row>
    <row r="568" spans="1:40" x14ac:dyDescent="0.25">
      <c r="A568" t="s">
        <v>27</v>
      </c>
      <c r="B568" s="1">
        <v>38649</v>
      </c>
      <c r="C568" s="6">
        <f t="shared" si="80"/>
        <v>2005</v>
      </c>
      <c r="D568">
        <v>73.5</v>
      </c>
      <c r="E568">
        <v>59.1</v>
      </c>
      <c r="F568">
        <v>66.099999999999994</v>
      </c>
      <c r="G568" s="2">
        <f t="shared" si="81"/>
        <v>0</v>
      </c>
      <c r="H568">
        <v>73.5</v>
      </c>
      <c r="I568">
        <v>59.1</v>
      </c>
      <c r="J568">
        <v>66.099999999999994</v>
      </c>
      <c r="K568">
        <v>57.5</v>
      </c>
      <c r="L568">
        <v>74.7</v>
      </c>
      <c r="M568" s="2">
        <f t="shared" si="82"/>
        <v>0</v>
      </c>
      <c r="N568">
        <v>0</v>
      </c>
      <c r="O568" s="2">
        <f t="shared" si="83"/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 s="2">
        <f t="shared" si="84"/>
        <v>0</v>
      </c>
      <c r="W568">
        <v>10.3</v>
      </c>
      <c r="X568" s="2">
        <f t="shared" si="85"/>
        <v>0</v>
      </c>
      <c r="Y568">
        <v>153</v>
      </c>
      <c r="Z568" s="2" t="str">
        <f>CHOOSE(MATCH(Y568,{0;11;80;111;161;191;241;281;341},1),"North","NorthEast","East","SouthEast","South","SouthWest","West","NorthWest","North")</f>
        <v>SouthEast</v>
      </c>
      <c r="AA568" s="4">
        <f>CHOOSE(MATCH(Z568,{"South";"SouthEast";"SouthWest";"North";"NorthEast";"East";"West";"NorthWest"},0),1,2,3,4,5,6,7,8)</f>
        <v>2</v>
      </c>
      <c r="AB568" s="2">
        <f t="shared" si="86"/>
        <v>0</v>
      </c>
      <c r="AC568">
        <v>1020.9</v>
      </c>
      <c r="AD568" t="s">
        <v>631</v>
      </c>
      <c r="AE568" s="2">
        <f t="shared" si="87"/>
        <v>1</v>
      </c>
      <c r="AF568" t="s">
        <v>898</v>
      </c>
      <c r="AG568" s="2">
        <f t="shared" si="88"/>
        <v>10</v>
      </c>
      <c r="AH568" s="2">
        <f t="shared" si="89"/>
        <v>0</v>
      </c>
      <c r="AI568" s="3">
        <v>300.00000000349252</v>
      </c>
      <c r="AJ568" s="2">
        <v>0</v>
      </c>
      <c r="AK568">
        <v>0</v>
      </c>
      <c r="AL568">
        <v>2</v>
      </c>
      <c r="AM568">
        <v>0</v>
      </c>
      <c r="AN568" s="2">
        <f>IF((2*G568+M568-O568+3*V568+2*AB568+2*AE568+2*AH568+3*AJ568)&gt;=7,1,0)</f>
        <v>0</v>
      </c>
    </row>
    <row r="569" spans="1:40" x14ac:dyDescent="0.25">
      <c r="A569" t="s">
        <v>27</v>
      </c>
      <c r="B569" s="1">
        <v>38651</v>
      </c>
      <c r="C569" s="6">
        <f t="shared" si="80"/>
        <v>2005</v>
      </c>
      <c r="D569">
        <v>71.7</v>
      </c>
      <c r="E569">
        <v>59.1</v>
      </c>
      <c r="F569">
        <v>66.5</v>
      </c>
      <c r="G569" s="2">
        <f t="shared" si="81"/>
        <v>0</v>
      </c>
      <c r="H569">
        <v>71.7</v>
      </c>
      <c r="I569">
        <v>59.1</v>
      </c>
      <c r="J569">
        <v>66.5</v>
      </c>
      <c r="K569">
        <v>59</v>
      </c>
      <c r="L569">
        <v>77.2</v>
      </c>
      <c r="M569" s="2">
        <f t="shared" si="82"/>
        <v>0</v>
      </c>
      <c r="N569">
        <v>0</v>
      </c>
      <c r="O569" s="2">
        <f t="shared" si="83"/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 s="2">
        <f t="shared" si="84"/>
        <v>0</v>
      </c>
      <c r="W569">
        <v>15</v>
      </c>
      <c r="X569" s="2">
        <f t="shared" si="85"/>
        <v>0</v>
      </c>
      <c r="Y569">
        <v>320.89999999999998</v>
      </c>
      <c r="Z569" s="2" t="str">
        <f>CHOOSE(MATCH(Y569,{0;11;80;111;161;191;241;281;341},1),"North","NorthEast","East","SouthEast","South","SouthWest","West","NorthWest","North")</f>
        <v>NorthWest</v>
      </c>
      <c r="AA569" s="4">
        <f>CHOOSE(MATCH(Z569,{"South";"SouthEast";"SouthWest";"North";"NorthEast";"East";"West";"NorthWest"},0),1,2,3,4,5,6,7,8)</f>
        <v>8</v>
      </c>
      <c r="AB569" s="2">
        <f t="shared" si="86"/>
        <v>1</v>
      </c>
      <c r="AC569">
        <v>1021.3</v>
      </c>
      <c r="AD569" t="s">
        <v>899</v>
      </c>
      <c r="AE569" s="2">
        <f t="shared" si="87"/>
        <v>0</v>
      </c>
      <c r="AF569" t="s">
        <v>900</v>
      </c>
      <c r="AG569" s="2">
        <f t="shared" si="88"/>
        <v>10</v>
      </c>
      <c r="AH569" s="2">
        <f t="shared" si="89"/>
        <v>0</v>
      </c>
      <c r="AI569" s="3">
        <v>90</v>
      </c>
      <c r="AJ569" s="2">
        <v>0</v>
      </c>
      <c r="AK569">
        <v>0.2</v>
      </c>
      <c r="AL569">
        <v>0</v>
      </c>
      <c r="AM569">
        <v>0</v>
      </c>
      <c r="AN569" s="2">
        <f>IF((2*G569+M569-O569+3*V569+2*AB569+2*AE569+2*AH569+3*AJ569)&gt;=7,1,0)</f>
        <v>0</v>
      </c>
    </row>
    <row r="570" spans="1:40" x14ac:dyDescent="0.25">
      <c r="A570" t="s">
        <v>27</v>
      </c>
      <c r="B570" s="1">
        <v>38655</v>
      </c>
      <c r="C570" s="6">
        <f t="shared" si="80"/>
        <v>2005</v>
      </c>
      <c r="D570">
        <v>64.5</v>
      </c>
      <c r="E570">
        <v>59.1</v>
      </c>
      <c r="F570">
        <v>61.3</v>
      </c>
      <c r="G570" s="2">
        <f t="shared" si="81"/>
        <v>0</v>
      </c>
      <c r="H570">
        <v>64.5</v>
      </c>
      <c r="I570">
        <v>59.1</v>
      </c>
      <c r="J570">
        <v>61.3</v>
      </c>
      <c r="K570">
        <v>43.5</v>
      </c>
      <c r="L570">
        <v>52</v>
      </c>
      <c r="M570" s="2">
        <f t="shared" si="82"/>
        <v>1</v>
      </c>
      <c r="N570">
        <v>0</v>
      </c>
      <c r="O570" s="2">
        <f t="shared" si="83"/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 s="2">
        <f t="shared" si="84"/>
        <v>0</v>
      </c>
      <c r="W570">
        <v>26.4</v>
      </c>
      <c r="X570" s="2">
        <f t="shared" si="85"/>
        <v>1</v>
      </c>
      <c r="Y570">
        <v>349.8</v>
      </c>
      <c r="Z570" s="2" t="str">
        <f>CHOOSE(MATCH(Y570,{0;11;80;111;161;191;241;281;341},1),"North","NorthEast","East","SouthEast","South","SouthWest","West","NorthWest","North")</f>
        <v>North</v>
      </c>
      <c r="AA570" s="4">
        <f>CHOOSE(MATCH(Z570,{"South";"SouthEast";"SouthWest";"North";"NorthEast";"East";"West";"NorthWest"},0),1,2,3,4,5,6,7,8)</f>
        <v>4</v>
      </c>
      <c r="AB570" s="2">
        <f t="shared" si="86"/>
        <v>1</v>
      </c>
      <c r="AC570">
        <v>1021.5</v>
      </c>
      <c r="AD570" t="s">
        <v>775</v>
      </c>
      <c r="AE570" s="2">
        <f t="shared" si="87"/>
        <v>0</v>
      </c>
      <c r="AF570" t="s">
        <v>901</v>
      </c>
      <c r="AG570" s="2">
        <f t="shared" si="88"/>
        <v>10</v>
      </c>
      <c r="AH570" s="2">
        <f t="shared" si="89"/>
        <v>0</v>
      </c>
      <c r="AI570" s="3">
        <v>110.00000000232831</v>
      </c>
      <c r="AJ570" s="2">
        <v>0</v>
      </c>
      <c r="AK570">
        <v>0</v>
      </c>
      <c r="AL570">
        <v>1</v>
      </c>
      <c r="AM570">
        <v>0</v>
      </c>
      <c r="AN570" s="2">
        <f>IF((2*G570+M570-O570+3*V570+2*AB570+2*AE570+2*AH570+3*AJ570)&gt;=7,1,0)</f>
        <v>0</v>
      </c>
    </row>
    <row r="571" spans="1:40" x14ac:dyDescent="0.25">
      <c r="A571" t="s">
        <v>27</v>
      </c>
      <c r="B571" s="1">
        <v>38655</v>
      </c>
      <c r="C571" s="6">
        <f t="shared" si="80"/>
        <v>2005</v>
      </c>
      <c r="D571">
        <v>64.5</v>
      </c>
      <c r="E571">
        <v>59.1</v>
      </c>
      <c r="F571">
        <v>61.3</v>
      </c>
      <c r="G571" s="2">
        <f t="shared" si="81"/>
        <v>0</v>
      </c>
      <c r="H571">
        <v>64.5</v>
      </c>
      <c r="I571">
        <v>59.1</v>
      </c>
      <c r="J571">
        <v>61.3</v>
      </c>
      <c r="K571">
        <v>43.5</v>
      </c>
      <c r="L571">
        <v>52</v>
      </c>
      <c r="M571" s="2">
        <f t="shared" si="82"/>
        <v>1</v>
      </c>
      <c r="N571">
        <v>0</v>
      </c>
      <c r="O571" s="2">
        <f t="shared" si="83"/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 s="2">
        <f t="shared" si="84"/>
        <v>0</v>
      </c>
      <c r="W571">
        <v>26.4</v>
      </c>
      <c r="X571" s="2">
        <f t="shared" si="85"/>
        <v>1</v>
      </c>
      <c r="Y571">
        <v>349.8</v>
      </c>
      <c r="Z571" s="2" t="str">
        <f>CHOOSE(MATCH(Y571,{0;11;80;111;161;191;241;281;341},1),"North","NorthEast","East","SouthEast","South","SouthWest","West","NorthWest","North")</f>
        <v>North</v>
      </c>
      <c r="AA571" s="4">
        <f>CHOOSE(MATCH(Z571,{"South";"SouthEast";"SouthWest";"North";"NorthEast";"East";"West";"NorthWest"},0),1,2,3,4,5,6,7,8)</f>
        <v>4</v>
      </c>
      <c r="AB571" s="2">
        <f t="shared" si="86"/>
        <v>1</v>
      </c>
      <c r="AC571">
        <v>1021.5</v>
      </c>
      <c r="AD571" t="s">
        <v>298</v>
      </c>
      <c r="AE571" s="2">
        <f t="shared" si="87"/>
        <v>1</v>
      </c>
      <c r="AF571" t="s">
        <v>902</v>
      </c>
      <c r="AG571" s="2">
        <f t="shared" si="88"/>
        <v>10</v>
      </c>
      <c r="AH571" s="2">
        <f t="shared" si="89"/>
        <v>0</v>
      </c>
      <c r="AI571" s="3">
        <v>1064.9999999930151</v>
      </c>
      <c r="AJ571" s="2">
        <v>1</v>
      </c>
      <c r="AK571">
        <v>0</v>
      </c>
      <c r="AL571">
        <v>40</v>
      </c>
      <c r="AM571">
        <v>0</v>
      </c>
      <c r="AN571" s="2">
        <f>IF((2*G571+M571-O571+3*V571+2*AB571+2*AE571+2*AH571+3*AJ571)&gt;=7,1,0)</f>
        <v>1</v>
      </c>
    </row>
    <row r="572" spans="1:40" x14ac:dyDescent="0.25">
      <c r="A572" t="s">
        <v>27</v>
      </c>
      <c r="B572" s="1">
        <v>38659</v>
      </c>
      <c r="C572" s="6">
        <f t="shared" si="80"/>
        <v>2005</v>
      </c>
      <c r="D572">
        <v>64.5</v>
      </c>
      <c r="E572">
        <v>59.1</v>
      </c>
      <c r="F572">
        <v>61.5</v>
      </c>
      <c r="G572" s="2">
        <f t="shared" si="81"/>
        <v>0</v>
      </c>
      <c r="H572">
        <v>64.5</v>
      </c>
      <c r="I572">
        <v>59.1</v>
      </c>
      <c r="J572">
        <v>61.5</v>
      </c>
      <c r="K572">
        <v>53.3</v>
      </c>
      <c r="L572">
        <v>74.900000000000006</v>
      </c>
      <c r="M572" s="2">
        <f t="shared" si="82"/>
        <v>0</v>
      </c>
      <c r="N572">
        <v>0.11799999999999999</v>
      </c>
      <c r="O572" s="2">
        <f t="shared" si="83"/>
        <v>0</v>
      </c>
      <c r="P572">
        <v>100</v>
      </c>
      <c r="Q572">
        <v>8.33</v>
      </c>
      <c r="R572" t="s">
        <v>182</v>
      </c>
      <c r="S572">
        <v>0</v>
      </c>
      <c r="T572">
        <v>0</v>
      </c>
      <c r="U572">
        <v>0</v>
      </c>
      <c r="V572" s="2">
        <f t="shared" si="84"/>
        <v>0</v>
      </c>
      <c r="W572">
        <v>20.8</v>
      </c>
      <c r="X572" s="2">
        <f t="shared" si="85"/>
        <v>1</v>
      </c>
      <c r="Y572">
        <v>350.5</v>
      </c>
      <c r="Z572" s="2" t="str">
        <f>CHOOSE(MATCH(Y572,{0;11;80;111;161;191;241;281;341},1),"North","NorthEast","East","SouthEast","South","SouthWest","West","NorthWest","North")</f>
        <v>North</v>
      </c>
      <c r="AA572" s="4">
        <f>CHOOSE(MATCH(Z572,{"South";"SouthEast";"SouthWest";"North";"NorthEast";"East";"West";"NorthWest"},0),1,2,3,4,5,6,7,8)</f>
        <v>4</v>
      </c>
      <c r="AB572" s="2">
        <f t="shared" si="86"/>
        <v>1</v>
      </c>
      <c r="AC572">
        <v>1017.5</v>
      </c>
      <c r="AD572" t="s">
        <v>903</v>
      </c>
      <c r="AE572" s="2">
        <f t="shared" si="87"/>
        <v>1</v>
      </c>
      <c r="AF572" t="s">
        <v>904</v>
      </c>
      <c r="AG572" s="2">
        <f t="shared" si="88"/>
        <v>11</v>
      </c>
      <c r="AH572" s="2">
        <f t="shared" si="89"/>
        <v>0</v>
      </c>
      <c r="AI572" s="3">
        <v>132.00000000069849</v>
      </c>
      <c r="AJ572" s="2">
        <v>0</v>
      </c>
      <c r="AK572">
        <v>0</v>
      </c>
      <c r="AL572">
        <v>3</v>
      </c>
      <c r="AM572">
        <v>0</v>
      </c>
      <c r="AN572" s="2">
        <f>IF((2*G572+M572-O572+3*V572+2*AB572+2*AE572+2*AH572+3*AJ572)&gt;=7,1,0)</f>
        <v>0</v>
      </c>
    </row>
    <row r="573" spans="1:40" x14ac:dyDescent="0.25">
      <c r="A573" t="s">
        <v>27</v>
      </c>
      <c r="B573" s="1">
        <v>38660</v>
      </c>
      <c r="C573" s="6">
        <f t="shared" si="80"/>
        <v>2005</v>
      </c>
      <c r="D573">
        <v>62.7</v>
      </c>
      <c r="E573">
        <v>59.1</v>
      </c>
      <c r="F573">
        <v>60.7</v>
      </c>
      <c r="G573" s="2">
        <f t="shared" si="81"/>
        <v>0</v>
      </c>
      <c r="H573">
        <v>62.7</v>
      </c>
      <c r="I573">
        <v>59.1</v>
      </c>
      <c r="J573">
        <v>60.7</v>
      </c>
      <c r="K573">
        <v>44.6</v>
      </c>
      <c r="L573">
        <v>55.4</v>
      </c>
      <c r="M573" s="2">
        <f t="shared" si="82"/>
        <v>1</v>
      </c>
      <c r="N573">
        <v>0</v>
      </c>
      <c r="O573" s="2">
        <f t="shared" si="83"/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 s="2">
        <f t="shared" si="84"/>
        <v>0</v>
      </c>
      <c r="W573">
        <v>19.5</v>
      </c>
      <c r="X573" s="2">
        <f t="shared" si="85"/>
        <v>1</v>
      </c>
      <c r="Y573">
        <v>343.6</v>
      </c>
      <c r="Z573" s="2" t="str">
        <f>CHOOSE(MATCH(Y573,{0;11;80;111;161;191;241;281;341},1),"North","NorthEast","East","SouthEast","South","SouthWest","West","NorthWest","North")</f>
        <v>North</v>
      </c>
      <c r="AA573" s="4">
        <f>CHOOSE(MATCH(Z573,{"South";"SouthEast";"SouthWest";"North";"NorthEast";"East";"West";"NorthWest"},0),1,2,3,4,5,6,7,8)</f>
        <v>4</v>
      </c>
      <c r="AB573" s="2">
        <f t="shared" si="86"/>
        <v>1</v>
      </c>
      <c r="AC573">
        <v>1021.4</v>
      </c>
      <c r="AD573" t="s">
        <v>112</v>
      </c>
      <c r="AE573" s="2">
        <f t="shared" si="87"/>
        <v>1</v>
      </c>
      <c r="AF573" t="s">
        <v>905</v>
      </c>
      <c r="AG573" s="2">
        <f t="shared" si="88"/>
        <v>11</v>
      </c>
      <c r="AH573" s="2">
        <f t="shared" si="89"/>
        <v>0</v>
      </c>
      <c r="AI573" s="3">
        <v>225</v>
      </c>
      <c r="AJ573" s="2">
        <v>0</v>
      </c>
      <c r="AK573">
        <v>0</v>
      </c>
      <c r="AL573">
        <v>1</v>
      </c>
      <c r="AM573">
        <v>0</v>
      </c>
      <c r="AN573" s="2">
        <f>IF((2*G573+M573-O573+3*V573+2*AB573+2*AE573+2*AH573+3*AJ573)&gt;=7,1,0)</f>
        <v>0</v>
      </c>
    </row>
    <row r="574" spans="1:40" x14ac:dyDescent="0.25">
      <c r="A574" t="s">
        <v>27</v>
      </c>
      <c r="B574" s="1">
        <v>38662</v>
      </c>
      <c r="C574" s="6">
        <f t="shared" si="80"/>
        <v>2005</v>
      </c>
      <c r="D574">
        <v>64.5</v>
      </c>
      <c r="E574">
        <v>60.9</v>
      </c>
      <c r="F574">
        <v>61.7</v>
      </c>
      <c r="G574" s="2">
        <f t="shared" si="81"/>
        <v>0</v>
      </c>
      <c r="H574">
        <v>64.5</v>
      </c>
      <c r="I574">
        <v>60.9</v>
      </c>
      <c r="J574">
        <v>61.7</v>
      </c>
      <c r="K574">
        <v>46.5</v>
      </c>
      <c r="L574">
        <v>57.5</v>
      </c>
      <c r="M574" s="2">
        <f t="shared" si="82"/>
        <v>1</v>
      </c>
      <c r="N574">
        <v>0</v>
      </c>
      <c r="O574" s="2">
        <f t="shared" si="83"/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 s="2">
        <f t="shared" si="84"/>
        <v>0</v>
      </c>
      <c r="W574">
        <v>23</v>
      </c>
      <c r="X574" s="2">
        <f t="shared" si="85"/>
        <v>1</v>
      </c>
      <c r="Y574">
        <v>343.7</v>
      </c>
      <c r="Z574" s="2" t="str">
        <f>CHOOSE(MATCH(Y574,{0;11;80;111;161;191;241;281;341},1),"North","NorthEast","East","SouthEast","South","SouthWest","West","NorthWest","North")</f>
        <v>North</v>
      </c>
      <c r="AA574" s="4">
        <f>CHOOSE(MATCH(Z574,{"South";"SouthEast";"SouthWest";"North";"NorthEast";"East";"West";"NorthWest"},0),1,2,3,4,5,6,7,8)</f>
        <v>4</v>
      </c>
      <c r="AB574" s="2">
        <f t="shared" si="86"/>
        <v>1</v>
      </c>
      <c r="AC574">
        <v>1022.9</v>
      </c>
      <c r="AD574" t="s">
        <v>823</v>
      </c>
      <c r="AE574" s="2">
        <f t="shared" si="87"/>
        <v>0</v>
      </c>
      <c r="AF574" t="s">
        <v>906</v>
      </c>
      <c r="AG574" s="2">
        <f t="shared" si="88"/>
        <v>11</v>
      </c>
      <c r="AH574" s="2">
        <f t="shared" si="89"/>
        <v>0</v>
      </c>
      <c r="AI574" s="3">
        <v>524.99999999301508</v>
      </c>
      <c r="AJ574" s="2">
        <v>1</v>
      </c>
      <c r="AK574">
        <v>0</v>
      </c>
      <c r="AL574">
        <v>400</v>
      </c>
      <c r="AM574">
        <v>0</v>
      </c>
      <c r="AN574" s="2">
        <f>IF((2*G574+M574-O574+3*V574+2*AB574+2*AE574+2*AH574+3*AJ574)&gt;=7,1,0)</f>
        <v>0</v>
      </c>
    </row>
    <row r="575" spans="1:40" x14ac:dyDescent="0.25">
      <c r="A575" t="s">
        <v>27</v>
      </c>
      <c r="B575" s="1">
        <v>38664</v>
      </c>
      <c r="C575" s="6">
        <f t="shared" si="80"/>
        <v>2005</v>
      </c>
      <c r="D575">
        <v>64.5</v>
      </c>
      <c r="E575">
        <v>60.9</v>
      </c>
      <c r="F575">
        <v>62.3</v>
      </c>
      <c r="G575" s="2">
        <f t="shared" si="81"/>
        <v>0</v>
      </c>
      <c r="H575">
        <v>64.5</v>
      </c>
      <c r="I575">
        <v>60.9</v>
      </c>
      <c r="J575">
        <v>62.3</v>
      </c>
      <c r="K575">
        <v>49.6</v>
      </c>
      <c r="L575">
        <v>63.3</v>
      </c>
      <c r="M575" s="2">
        <f t="shared" si="82"/>
        <v>1</v>
      </c>
      <c r="N575">
        <v>0</v>
      </c>
      <c r="O575" s="2">
        <f t="shared" si="83"/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 s="2">
        <f t="shared" si="84"/>
        <v>0</v>
      </c>
      <c r="W575">
        <v>15</v>
      </c>
      <c r="X575" s="2">
        <f t="shared" si="85"/>
        <v>0</v>
      </c>
      <c r="Y575">
        <v>326.2</v>
      </c>
      <c r="Z575" s="2" t="str">
        <f>CHOOSE(MATCH(Y575,{0;11;80;111;161;191;241;281;341},1),"North","NorthEast","East","SouthEast","South","SouthWest","West","NorthWest","North")</f>
        <v>NorthWest</v>
      </c>
      <c r="AA575" s="4">
        <f>CHOOSE(MATCH(Z575,{"South";"SouthEast";"SouthWest";"North";"NorthEast";"East";"West";"NorthWest"},0),1,2,3,4,5,6,7,8)</f>
        <v>8</v>
      </c>
      <c r="AB575" s="2">
        <f t="shared" si="86"/>
        <v>1</v>
      </c>
      <c r="AC575">
        <v>1023.6</v>
      </c>
      <c r="AD575" t="s">
        <v>296</v>
      </c>
      <c r="AE575" s="2">
        <f t="shared" si="87"/>
        <v>1</v>
      </c>
      <c r="AF575" t="s">
        <v>907</v>
      </c>
      <c r="AG575" s="2">
        <f t="shared" si="88"/>
        <v>11</v>
      </c>
      <c r="AH575" s="2">
        <f t="shared" si="89"/>
        <v>0</v>
      </c>
      <c r="AI575" s="3">
        <v>1049.999999996508</v>
      </c>
      <c r="AJ575" s="2">
        <v>1</v>
      </c>
      <c r="AK575">
        <v>0</v>
      </c>
      <c r="AL575">
        <v>4</v>
      </c>
      <c r="AM575">
        <v>0</v>
      </c>
      <c r="AN575" s="2">
        <f>IF((2*G575+M575-O575+3*V575+2*AB575+2*AE575+2*AH575+3*AJ575)&gt;=7,1,0)</f>
        <v>1</v>
      </c>
    </row>
    <row r="576" spans="1:40" x14ac:dyDescent="0.25">
      <c r="A576" t="s">
        <v>27</v>
      </c>
      <c r="B576" s="1">
        <v>38665</v>
      </c>
      <c r="C576" s="6">
        <f t="shared" si="80"/>
        <v>2005</v>
      </c>
      <c r="D576">
        <v>66.3</v>
      </c>
      <c r="E576">
        <v>53.7</v>
      </c>
      <c r="F576">
        <v>61.6</v>
      </c>
      <c r="G576" s="2">
        <f t="shared" si="81"/>
        <v>0</v>
      </c>
      <c r="H576">
        <v>66.3</v>
      </c>
      <c r="I576">
        <v>53.7</v>
      </c>
      <c r="J576">
        <v>61.6</v>
      </c>
      <c r="K576">
        <v>48.5</v>
      </c>
      <c r="L576">
        <v>62.6</v>
      </c>
      <c r="M576" s="2">
        <f t="shared" si="82"/>
        <v>1</v>
      </c>
      <c r="N576">
        <v>0</v>
      </c>
      <c r="O576" s="2">
        <f t="shared" si="83"/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 s="2">
        <f t="shared" si="84"/>
        <v>0</v>
      </c>
      <c r="W576">
        <v>10.3</v>
      </c>
      <c r="X576" s="2">
        <f t="shared" si="85"/>
        <v>0</v>
      </c>
      <c r="Y576">
        <v>336.2</v>
      </c>
      <c r="Z576" s="2" t="str">
        <f>CHOOSE(MATCH(Y576,{0;11;80;111;161;191;241;281;341},1),"North","NorthEast","East","SouthEast","South","SouthWest","West","NorthWest","North")</f>
        <v>NorthWest</v>
      </c>
      <c r="AA576" s="4">
        <f>CHOOSE(MATCH(Z576,{"South";"SouthEast";"SouthWest";"North";"NorthEast";"East";"West";"NorthWest"},0),1,2,3,4,5,6,7,8)</f>
        <v>8</v>
      </c>
      <c r="AB576" s="2">
        <f t="shared" si="86"/>
        <v>1</v>
      </c>
      <c r="AC576">
        <v>1023.5</v>
      </c>
      <c r="AD576" t="s">
        <v>330</v>
      </c>
      <c r="AE576" s="2">
        <f t="shared" si="87"/>
        <v>1</v>
      </c>
      <c r="AF576" t="s">
        <v>908</v>
      </c>
      <c r="AG576" s="2">
        <f t="shared" si="88"/>
        <v>11</v>
      </c>
      <c r="AH576" s="2">
        <f t="shared" si="89"/>
        <v>0</v>
      </c>
      <c r="AI576" s="3">
        <v>211.00000000675209</v>
      </c>
      <c r="AJ576" s="2">
        <v>0</v>
      </c>
      <c r="AK576">
        <v>0</v>
      </c>
      <c r="AL576">
        <v>0.5</v>
      </c>
      <c r="AM576">
        <v>0</v>
      </c>
      <c r="AN576" s="2">
        <f>IF((2*G576+M576-O576+3*V576+2*AB576+2*AE576+2*AH576+3*AJ576)&gt;=7,1,0)</f>
        <v>0</v>
      </c>
    </row>
    <row r="577" spans="1:40" x14ac:dyDescent="0.25">
      <c r="A577" t="s">
        <v>27</v>
      </c>
      <c r="B577" s="1">
        <v>38665</v>
      </c>
      <c r="C577" s="6">
        <f t="shared" si="80"/>
        <v>2005</v>
      </c>
      <c r="D577">
        <v>66.3</v>
      </c>
      <c r="E577">
        <v>53.7</v>
      </c>
      <c r="F577">
        <v>61.6</v>
      </c>
      <c r="G577" s="2">
        <f t="shared" si="81"/>
        <v>0</v>
      </c>
      <c r="H577">
        <v>66.3</v>
      </c>
      <c r="I577">
        <v>53.7</v>
      </c>
      <c r="J577">
        <v>61.6</v>
      </c>
      <c r="K577">
        <v>48.5</v>
      </c>
      <c r="L577">
        <v>62.6</v>
      </c>
      <c r="M577" s="2">
        <f t="shared" si="82"/>
        <v>1</v>
      </c>
      <c r="N577">
        <v>0</v>
      </c>
      <c r="O577" s="2">
        <f t="shared" si="83"/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 s="2">
        <f t="shared" si="84"/>
        <v>0</v>
      </c>
      <c r="W577">
        <v>10.3</v>
      </c>
      <c r="X577" s="2">
        <f t="shared" si="85"/>
        <v>0</v>
      </c>
      <c r="Y577">
        <v>336.2</v>
      </c>
      <c r="Z577" s="2" t="str">
        <f>CHOOSE(MATCH(Y577,{0;11;80;111;161;191;241;281;341},1),"North","NorthEast","East","SouthEast","South","SouthWest","West","NorthWest","North")</f>
        <v>NorthWest</v>
      </c>
      <c r="AA577" s="4">
        <f>CHOOSE(MATCH(Z577,{"South";"SouthEast";"SouthWest";"North";"NorthEast";"East";"West";"NorthWest"},0),1,2,3,4,5,6,7,8)</f>
        <v>8</v>
      </c>
      <c r="AB577" s="2">
        <f t="shared" si="86"/>
        <v>1</v>
      </c>
      <c r="AC577">
        <v>1023.5</v>
      </c>
      <c r="AD577" t="s">
        <v>670</v>
      </c>
      <c r="AE577" s="2">
        <f t="shared" si="87"/>
        <v>0</v>
      </c>
      <c r="AF577" t="s">
        <v>909</v>
      </c>
      <c r="AG577" s="2">
        <f t="shared" si="88"/>
        <v>11</v>
      </c>
      <c r="AH577" s="2">
        <f t="shared" si="89"/>
        <v>0</v>
      </c>
      <c r="AI577" s="3">
        <v>240.9999999997672</v>
      </c>
      <c r="AJ577" s="2">
        <v>0</v>
      </c>
      <c r="AK577">
        <v>0</v>
      </c>
      <c r="AL577">
        <v>7</v>
      </c>
      <c r="AM577">
        <v>0</v>
      </c>
      <c r="AN577" s="2">
        <f>IF((2*G577+M577-O577+3*V577+2*AB577+2*AE577+2*AH577+3*AJ577)&gt;=7,1,0)</f>
        <v>0</v>
      </c>
    </row>
    <row r="578" spans="1:40" x14ac:dyDescent="0.25">
      <c r="A578" t="s">
        <v>27</v>
      </c>
      <c r="B578" s="1">
        <v>38666</v>
      </c>
      <c r="C578" s="6">
        <f t="shared" si="80"/>
        <v>2005</v>
      </c>
      <c r="D578">
        <v>64.5</v>
      </c>
      <c r="E578">
        <v>60.9</v>
      </c>
      <c r="F578">
        <v>62.5</v>
      </c>
      <c r="G578" s="2">
        <f t="shared" si="81"/>
        <v>0</v>
      </c>
      <c r="H578">
        <v>64.5</v>
      </c>
      <c r="I578">
        <v>60.9</v>
      </c>
      <c r="J578">
        <v>62.5</v>
      </c>
      <c r="K578">
        <v>49.8</v>
      </c>
      <c r="L578">
        <v>63.4</v>
      </c>
      <c r="M578" s="2">
        <f t="shared" si="82"/>
        <v>1</v>
      </c>
      <c r="N578">
        <v>0</v>
      </c>
      <c r="O578" s="2">
        <f t="shared" si="83"/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 s="2">
        <f t="shared" si="84"/>
        <v>0</v>
      </c>
      <c r="W578">
        <v>12.8</v>
      </c>
      <c r="X578" s="2">
        <f t="shared" si="85"/>
        <v>0</v>
      </c>
      <c r="Y578">
        <v>352.9</v>
      </c>
      <c r="Z578" s="2" t="str">
        <f>CHOOSE(MATCH(Y578,{0;11;80;111;161;191;241;281;341},1),"North","NorthEast","East","SouthEast","South","SouthWest","West","NorthWest","North")</f>
        <v>North</v>
      </c>
      <c r="AA578" s="4">
        <f>CHOOSE(MATCH(Z578,{"South";"SouthEast";"SouthWest";"North";"NorthEast";"East";"West";"NorthWest"},0),1,2,3,4,5,6,7,8)</f>
        <v>4</v>
      </c>
      <c r="AB578" s="2">
        <f t="shared" si="86"/>
        <v>1</v>
      </c>
      <c r="AC578">
        <v>1024.3</v>
      </c>
      <c r="AD578" t="s">
        <v>53</v>
      </c>
      <c r="AE578" s="2">
        <f t="shared" si="87"/>
        <v>0</v>
      </c>
      <c r="AF578" t="s">
        <v>910</v>
      </c>
      <c r="AG578" s="2">
        <f t="shared" si="88"/>
        <v>11</v>
      </c>
      <c r="AH578" s="2">
        <f t="shared" si="89"/>
        <v>0</v>
      </c>
      <c r="AI578" s="3">
        <v>46.000000003259629</v>
      </c>
      <c r="AJ578" s="2">
        <v>0</v>
      </c>
      <c r="AK578">
        <v>0</v>
      </c>
      <c r="AL578">
        <v>1.5</v>
      </c>
      <c r="AM578">
        <v>0</v>
      </c>
      <c r="AN578" s="2">
        <f>IF((2*G578+M578-O578+3*V578+2*AB578+2*AE578+2*AH578+3*AJ578)&gt;=7,1,0)</f>
        <v>0</v>
      </c>
    </row>
    <row r="579" spans="1:40" x14ac:dyDescent="0.25">
      <c r="A579" t="s">
        <v>27</v>
      </c>
      <c r="B579" s="1">
        <v>38668</v>
      </c>
      <c r="C579" s="6">
        <f t="shared" ref="C579:C642" si="90">YEAR(B579)</f>
        <v>2005</v>
      </c>
      <c r="D579">
        <v>62.7</v>
      </c>
      <c r="E579">
        <v>59.1</v>
      </c>
      <c r="F579">
        <v>61.4</v>
      </c>
      <c r="G579" s="2">
        <f t="shared" ref="G579:G642" si="91">IF(F579&lt;=70,0,1)</f>
        <v>0</v>
      </c>
      <c r="H579">
        <v>62.7</v>
      </c>
      <c r="I579">
        <v>59.1</v>
      </c>
      <c r="J579">
        <v>61.4</v>
      </c>
      <c r="K579">
        <v>48.8</v>
      </c>
      <c r="L579">
        <v>63.3</v>
      </c>
      <c r="M579" s="2">
        <f t="shared" ref="M579:M642" si="92">IF(L579&lt;=66,1,0)</f>
        <v>1</v>
      </c>
      <c r="N579">
        <v>0</v>
      </c>
      <c r="O579" s="2">
        <f t="shared" ref="O579:O642" si="93">IF(N579&lt;=0.01,1,0)</f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s="2">
        <f t="shared" ref="V579:V642" si="94">IF(U579&lt;=9,0,1)</f>
        <v>0</v>
      </c>
      <c r="W579">
        <v>16.100000000000001</v>
      </c>
      <c r="X579" s="2">
        <f t="shared" ref="X579:X642" si="95">IF(W579&gt;=16,1,0)</f>
        <v>1</v>
      </c>
      <c r="Y579">
        <v>332.8</v>
      </c>
      <c r="Z579" s="2" t="str">
        <f>CHOOSE(MATCH(Y579,{0;11;80;111;161;191;241;281;341},1),"North","NorthEast","East","SouthEast","South","SouthWest","West","NorthWest","North")</f>
        <v>NorthWest</v>
      </c>
      <c r="AA579" s="4">
        <f>CHOOSE(MATCH(Z579,{"South";"SouthEast";"SouthWest";"North";"NorthEast";"East";"West";"NorthWest"},0),1,2,3,4,5,6,7,8)</f>
        <v>8</v>
      </c>
      <c r="AB579" s="2">
        <f t="shared" ref="AB579:AB642" si="96">IF(OR(AA579=4,AA579=5,AA579=8),1,0)</f>
        <v>1</v>
      </c>
      <c r="AC579">
        <v>1020.8</v>
      </c>
      <c r="AD579" t="s">
        <v>685</v>
      </c>
      <c r="AE579" s="2">
        <f t="shared" ref="AE579:AE642" si="97">IF(TIMEVALUE(AD579)&lt;=TIME(12,30,0),0,1)</f>
        <v>1</v>
      </c>
      <c r="AF579" t="s">
        <v>911</v>
      </c>
      <c r="AG579" s="2">
        <f t="shared" ref="AG579:AG642" si="98">MONTH(AF579)</f>
        <v>11</v>
      </c>
      <c r="AH579" s="2">
        <f t="shared" ref="AH579:AH642" si="99">IF(OR(AG579=6,AG579=7,AG579=8),1,0)</f>
        <v>0</v>
      </c>
      <c r="AI579" s="3">
        <v>2100.9999999962752</v>
      </c>
      <c r="AJ579" s="2">
        <v>1</v>
      </c>
      <c r="AK579">
        <v>0</v>
      </c>
      <c r="AL579">
        <v>20</v>
      </c>
      <c r="AM579">
        <v>0</v>
      </c>
      <c r="AN579" s="2">
        <f>IF((2*G579+M579-O579+3*V579+2*AB579+2*AE579+2*AH579+3*AJ579)&gt;=7,1,0)</f>
        <v>1</v>
      </c>
    </row>
    <row r="580" spans="1:40" x14ac:dyDescent="0.25">
      <c r="A580" t="s">
        <v>27</v>
      </c>
      <c r="B580" s="1">
        <v>38670</v>
      </c>
      <c r="C580" s="6">
        <f t="shared" si="90"/>
        <v>2005</v>
      </c>
      <c r="D580">
        <v>62.7</v>
      </c>
      <c r="E580">
        <v>57.3</v>
      </c>
      <c r="F580">
        <v>60.1</v>
      </c>
      <c r="G580" s="2">
        <f t="shared" si="91"/>
        <v>0</v>
      </c>
      <c r="H580">
        <v>62.7</v>
      </c>
      <c r="I580">
        <v>57.3</v>
      </c>
      <c r="J580">
        <v>60.1</v>
      </c>
      <c r="K580">
        <v>46.9</v>
      </c>
      <c r="L580">
        <v>61.9</v>
      </c>
      <c r="M580" s="2">
        <f t="shared" si="92"/>
        <v>1</v>
      </c>
      <c r="N580">
        <v>0</v>
      </c>
      <c r="O580" s="2">
        <f t="shared" si="93"/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s="2">
        <f t="shared" si="94"/>
        <v>0</v>
      </c>
      <c r="W580">
        <v>15</v>
      </c>
      <c r="X580" s="2">
        <f t="shared" si="95"/>
        <v>0</v>
      </c>
      <c r="Y580">
        <v>336.4</v>
      </c>
      <c r="Z580" s="2" t="str">
        <f>CHOOSE(MATCH(Y580,{0;11;80;111;161;191;241;281;341},1),"North","NorthEast","East","SouthEast","South","SouthWest","West","NorthWest","North")</f>
        <v>NorthWest</v>
      </c>
      <c r="AA580" s="4">
        <f>CHOOSE(MATCH(Z580,{"South";"SouthEast";"SouthWest";"North";"NorthEast";"East";"West";"NorthWest"},0),1,2,3,4,5,6,7,8)</f>
        <v>8</v>
      </c>
      <c r="AB580" s="2">
        <f t="shared" si="96"/>
        <v>1</v>
      </c>
      <c r="AC580">
        <v>1022.7</v>
      </c>
      <c r="AD580" t="s">
        <v>527</v>
      </c>
      <c r="AE580" s="2">
        <f t="shared" si="97"/>
        <v>1</v>
      </c>
      <c r="AF580" t="s">
        <v>912</v>
      </c>
      <c r="AG580" s="2">
        <f t="shared" si="98"/>
        <v>11</v>
      </c>
      <c r="AH580" s="2">
        <f t="shared" si="99"/>
        <v>0</v>
      </c>
      <c r="AI580" s="3">
        <v>306.00000000209548</v>
      </c>
      <c r="AJ580" s="2">
        <v>0</v>
      </c>
      <c r="AK580">
        <v>0</v>
      </c>
      <c r="AL580">
        <v>6</v>
      </c>
      <c r="AM580">
        <v>0</v>
      </c>
      <c r="AN580" s="2">
        <f>IF((2*G580+M580-O580+3*V580+2*AB580+2*AE580+2*AH580+3*AJ580)&gt;=7,1,0)</f>
        <v>0</v>
      </c>
    </row>
    <row r="581" spans="1:40" x14ac:dyDescent="0.25">
      <c r="A581" t="s">
        <v>27</v>
      </c>
      <c r="B581" s="1">
        <v>38670</v>
      </c>
      <c r="C581" s="6">
        <f t="shared" si="90"/>
        <v>2005</v>
      </c>
      <c r="D581">
        <v>62.7</v>
      </c>
      <c r="E581">
        <v>57.3</v>
      </c>
      <c r="F581">
        <v>60.1</v>
      </c>
      <c r="G581" s="2">
        <f t="shared" si="91"/>
        <v>0</v>
      </c>
      <c r="H581">
        <v>62.7</v>
      </c>
      <c r="I581">
        <v>57.3</v>
      </c>
      <c r="J581">
        <v>60.1</v>
      </c>
      <c r="K581">
        <v>46.9</v>
      </c>
      <c r="L581">
        <v>61.9</v>
      </c>
      <c r="M581" s="2">
        <f t="shared" si="92"/>
        <v>1</v>
      </c>
      <c r="N581">
        <v>0</v>
      </c>
      <c r="O581" s="2">
        <f t="shared" si="93"/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s="2">
        <f t="shared" si="94"/>
        <v>0</v>
      </c>
      <c r="W581">
        <v>15</v>
      </c>
      <c r="X581" s="2">
        <f t="shared" si="95"/>
        <v>0</v>
      </c>
      <c r="Y581">
        <v>336.4</v>
      </c>
      <c r="Z581" s="2" t="str">
        <f>CHOOSE(MATCH(Y581,{0;11;80;111;161;191;241;281;341},1),"North","NorthEast","East","SouthEast","South","SouthWest","West","NorthWest","North")</f>
        <v>NorthWest</v>
      </c>
      <c r="AA581" s="4">
        <f>CHOOSE(MATCH(Z581,{"South";"SouthEast";"SouthWest";"North";"NorthEast";"East";"West";"NorthWest"},0),1,2,3,4,5,6,7,8)</f>
        <v>8</v>
      </c>
      <c r="AB581" s="2">
        <f t="shared" si="96"/>
        <v>1</v>
      </c>
      <c r="AC581">
        <v>1022.7</v>
      </c>
      <c r="AD581" t="s">
        <v>913</v>
      </c>
      <c r="AE581" s="2">
        <f t="shared" si="97"/>
        <v>1</v>
      </c>
      <c r="AF581" t="s">
        <v>914</v>
      </c>
      <c r="AG581" s="2">
        <f t="shared" si="98"/>
        <v>11</v>
      </c>
      <c r="AH581" s="2">
        <f t="shared" si="99"/>
        <v>0</v>
      </c>
      <c r="AI581" s="3">
        <v>1070.9999999916181</v>
      </c>
      <c r="AJ581" s="2">
        <v>1</v>
      </c>
      <c r="AK581">
        <v>0</v>
      </c>
      <c r="AL581">
        <v>10</v>
      </c>
      <c r="AM581">
        <v>0</v>
      </c>
      <c r="AN581" s="2">
        <f>IF((2*G581+M581-O581+3*V581+2*AB581+2*AE581+2*AH581+3*AJ581)&gt;=7,1,0)</f>
        <v>1</v>
      </c>
    </row>
    <row r="582" spans="1:40" x14ac:dyDescent="0.25">
      <c r="A582" t="s">
        <v>27</v>
      </c>
      <c r="B582" s="1">
        <v>38670</v>
      </c>
      <c r="C582" s="6">
        <f t="shared" si="90"/>
        <v>2005</v>
      </c>
      <c r="D582">
        <v>62.7</v>
      </c>
      <c r="E582">
        <v>57.3</v>
      </c>
      <c r="F582">
        <v>60.1</v>
      </c>
      <c r="G582" s="2">
        <f t="shared" si="91"/>
        <v>0</v>
      </c>
      <c r="H582">
        <v>62.7</v>
      </c>
      <c r="I582">
        <v>57.3</v>
      </c>
      <c r="J582">
        <v>60.1</v>
      </c>
      <c r="K582">
        <v>46.9</v>
      </c>
      <c r="L582">
        <v>61.9</v>
      </c>
      <c r="M582" s="2">
        <f t="shared" si="92"/>
        <v>1</v>
      </c>
      <c r="N582">
        <v>0</v>
      </c>
      <c r="O582" s="2">
        <f t="shared" si="93"/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 s="2">
        <f t="shared" si="94"/>
        <v>0</v>
      </c>
      <c r="W582">
        <v>15</v>
      </c>
      <c r="X582" s="2">
        <f t="shared" si="95"/>
        <v>0</v>
      </c>
      <c r="Y582">
        <v>336.4</v>
      </c>
      <c r="Z582" s="2" t="str">
        <f>CHOOSE(MATCH(Y582,{0;11;80;111;161;191;241;281;341},1),"North","NorthEast","East","SouthEast","South","SouthWest","West","NorthWest","North")</f>
        <v>NorthWest</v>
      </c>
      <c r="AA582" s="4">
        <f>CHOOSE(MATCH(Z582,{"South";"SouthEast";"SouthWest";"North";"NorthEast";"East";"West";"NorthWest"},0),1,2,3,4,5,6,7,8)</f>
        <v>8</v>
      </c>
      <c r="AB582" s="2">
        <f t="shared" si="96"/>
        <v>1</v>
      </c>
      <c r="AC582">
        <v>1022.7</v>
      </c>
      <c r="AD582" t="s">
        <v>346</v>
      </c>
      <c r="AE582" s="2">
        <f t="shared" si="97"/>
        <v>1</v>
      </c>
      <c r="AF582" t="s">
        <v>915</v>
      </c>
      <c r="AG582" s="2">
        <f t="shared" si="98"/>
        <v>11</v>
      </c>
      <c r="AH582" s="2">
        <f t="shared" si="99"/>
        <v>0</v>
      </c>
      <c r="AI582" s="3">
        <v>104.9999999965075</v>
      </c>
      <c r="AJ582" s="2">
        <v>0</v>
      </c>
      <c r="AK582">
        <v>0</v>
      </c>
      <c r="AL582">
        <v>1</v>
      </c>
      <c r="AM582">
        <v>0</v>
      </c>
      <c r="AN582" s="2">
        <f>IF((2*G582+M582-O582+3*V582+2*AB582+2*AE582+2*AH582+3*AJ582)&gt;=7,1,0)</f>
        <v>0</v>
      </c>
    </row>
    <row r="583" spans="1:40" x14ac:dyDescent="0.25">
      <c r="A583" t="s">
        <v>27</v>
      </c>
      <c r="B583" s="1">
        <v>38680</v>
      </c>
      <c r="C583" s="6">
        <f t="shared" si="90"/>
        <v>2005</v>
      </c>
      <c r="D583">
        <v>66.3</v>
      </c>
      <c r="E583">
        <v>62.7</v>
      </c>
      <c r="F583">
        <v>64.7</v>
      </c>
      <c r="G583" s="2">
        <f t="shared" si="91"/>
        <v>0</v>
      </c>
      <c r="H583">
        <v>66.3</v>
      </c>
      <c r="I583">
        <v>62.7</v>
      </c>
      <c r="J583">
        <v>64.7</v>
      </c>
      <c r="K583">
        <v>53.7</v>
      </c>
      <c r="L583">
        <v>67.7</v>
      </c>
      <c r="M583" s="2">
        <f t="shared" si="92"/>
        <v>0</v>
      </c>
      <c r="N583">
        <v>0</v>
      </c>
      <c r="O583" s="2">
        <f t="shared" si="93"/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s="2">
        <f t="shared" si="94"/>
        <v>0</v>
      </c>
      <c r="W583">
        <v>32.200000000000003</v>
      </c>
      <c r="X583" s="2">
        <f t="shared" si="95"/>
        <v>1</v>
      </c>
      <c r="Y583">
        <v>174.7</v>
      </c>
      <c r="Z583" s="2" t="str">
        <f>CHOOSE(MATCH(Y583,{0;11;80;111;161;191;241;281;341},1),"North","NorthEast","East","SouthEast","South","SouthWest","West","NorthWest","North")</f>
        <v>South</v>
      </c>
      <c r="AA583" s="4">
        <f>CHOOSE(MATCH(Z583,{"South";"SouthEast";"SouthWest";"North";"NorthEast";"East";"West";"NorthWest"},0),1,2,3,4,5,6,7,8)</f>
        <v>1</v>
      </c>
      <c r="AB583" s="2">
        <f t="shared" si="96"/>
        <v>0</v>
      </c>
      <c r="AC583">
        <v>1015.7</v>
      </c>
      <c r="AD583" t="s">
        <v>787</v>
      </c>
      <c r="AE583" s="2">
        <f t="shared" si="97"/>
        <v>0</v>
      </c>
      <c r="AF583" t="s">
        <v>916</v>
      </c>
      <c r="AG583" s="2">
        <f t="shared" si="98"/>
        <v>11</v>
      </c>
      <c r="AH583" s="2">
        <f t="shared" si="99"/>
        <v>0</v>
      </c>
      <c r="AI583" s="3">
        <v>135</v>
      </c>
      <c r="AJ583" s="2">
        <v>0</v>
      </c>
      <c r="AK583">
        <v>0</v>
      </c>
      <c r="AL583">
        <v>0.7</v>
      </c>
      <c r="AM583">
        <v>0</v>
      </c>
      <c r="AN583" s="2">
        <f>IF((2*G583+M583-O583+3*V583+2*AB583+2*AE583+2*AH583+3*AJ583)&gt;=7,1,0)</f>
        <v>0</v>
      </c>
    </row>
    <row r="584" spans="1:40" x14ac:dyDescent="0.25">
      <c r="A584" t="s">
        <v>27</v>
      </c>
      <c r="B584" s="1">
        <v>38684</v>
      </c>
      <c r="C584" s="6">
        <f t="shared" si="90"/>
        <v>2005</v>
      </c>
      <c r="D584">
        <v>69.900000000000006</v>
      </c>
      <c r="E584">
        <v>57.3</v>
      </c>
      <c r="F584">
        <v>64</v>
      </c>
      <c r="G584" s="2">
        <f t="shared" si="91"/>
        <v>0</v>
      </c>
      <c r="H584">
        <v>69.900000000000006</v>
      </c>
      <c r="I584">
        <v>57.3</v>
      </c>
      <c r="J584">
        <v>64</v>
      </c>
      <c r="K584">
        <v>55.9</v>
      </c>
      <c r="L584">
        <v>75.7</v>
      </c>
      <c r="M584" s="2">
        <f t="shared" si="92"/>
        <v>0</v>
      </c>
      <c r="N584">
        <v>0</v>
      </c>
      <c r="O584" s="2">
        <f t="shared" si="93"/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s="2">
        <f t="shared" si="94"/>
        <v>0</v>
      </c>
      <c r="W584">
        <v>12.8</v>
      </c>
      <c r="X584" s="2">
        <f t="shared" si="95"/>
        <v>0</v>
      </c>
      <c r="Y584">
        <v>187.1</v>
      </c>
      <c r="Z584" s="2" t="str">
        <f>CHOOSE(MATCH(Y584,{0;11;80;111;161;191;241;281;341},1),"North","NorthEast","East","SouthEast","South","SouthWest","West","NorthWest","North")</f>
        <v>South</v>
      </c>
      <c r="AA584" s="4">
        <f>CHOOSE(MATCH(Z584,{"South";"SouthEast";"SouthWest";"North";"NorthEast";"East";"West";"NorthWest"},0),1,2,3,4,5,6,7,8)</f>
        <v>1</v>
      </c>
      <c r="AB584" s="2">
        <f t="shared" si="96"/>
        <v>0</v>
      </c>
      <c r="AC584">
        <v>1011.5</v>
      </c>
      <c r="AD584" t="s">
        <v>346</v>
      </c>
      <c r="AE584" s="2">
        <f t="shared" si="97"/>
        <v>1</v>
      </c>
      <c r="AF584" t="s">
        <v>917</v>
      </c>
      <c r="AG584" s="2">
        <f t="shared" si="98"/>
        <v>11</v>
      </c>
      <c r="AH584" s="2">
        <f t="shared" si="99"/>
        <v>0</v>
      </c>
      <c r="AI584" s="3">
        <v>30.00000000349246</v>
      </c>
      <c r="AJ584" s="2">
        <v>0</v>
      </c>
      <c r="AK584">
        <v>0</v>
      </c>
      <c r="AL584">
        <v>0.5</v>
      </c>
      <c r="AM584">
        <v>0</v>
      </c>
      <c r="AN584" s="2">
        <f>IF((2*G584+M584-O584+3*V584+2*AB584+2*AE584+2*AH584+3*AJ584)&gt;=7,1,0)</f>
        <v>0</v>
      </c>
    </row>
    <row r="585" spans="1:40" x14ac:dyDescent="0.25">
      <c r="A585" t="s">
        <v>27</v>
      </c>
      <c r="B585" s="1">
        <v>38688</v>
      </c>
      <c r="C585" s="6">
        <f t="shared" si="90"/>
        <v>2005</v>
      </c>
      <c r="D585">
        <v>78.900000000000006</v>
      </c>
      <c r="E585">
        <v>64.5</v>
      </c>
      <c r="F585">
        <v>73.5</v>
      </c>
      <c r="G585" s="2">
        <f t="shared" si="91"/>
        <v>1</v>
      </c>
      <c r="H585">
        <v>78.900000000000006</v>
      </c>
      <c r="I585">
        <v>64.5</v>
      </c>
      <c r="J585">
        <v>73.5</v>
      </c>
      <c r="K585">
        <v>53.1</v>
      </c>
      <c r="L585">
        <v>50.2</v>
      </c>
      <c r="M585" s="2">
        <f t="shared" si="92"/>
        <v>1</v>
      </c>
      <c r="N585">
        <v>0</v>
      </c>
      <c r="O585" s="2">
        <f t="shared" si="93"/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s="2">
        <f t="shared" si="94"/>
        <v>0</v>
      </c>
      <c r="W585">
        <v>38</v>
      </c>
      <c r="X585" s="2">
        <f t="shared" si="95"/>
        <v>1</v>
      </c>
      <c r="Y585">
        <v>171.5</v>
      </c>
      <c r="Z585" s="2" t="str">
        <f>CHOOSE(MATCH(Y585,{0;11;80;111;161;191;241;281;341},1),"North","NorthEast","East","SouthEast","South","SouthWest","West","NorthWest","North")</f>
        <v>South</v>
      </c>
      <c r="AA585" s="4">
        <f>CHOOSE(MATCH(Z585,{"South";"SouthEast";"SouthWest";"North";"NorthEast";"East";"West";"NorthWest"},0),1,2,3,4,5,6,7,8)</f>
        <v>1</v>
      </c>
      <c r="AB585" s="2">
        <f t="shared" si="96"/>
        <v>0</v>
      </c>
      <c r="AC585">
        <v>1012.5</v>
      </c>
      <c r="AD585" t="s">
        <v>918</v>
      </c>
      <c r="AE585" s="2">
        <f t="shared" si="97"/>
        <v>1</v>
      </c>
      <c r="AF585" t="s">
        <v>919</v>
      </c>
      <c r="AG585" s="2">
        <f t="shared" si="98"/>
        <v>12</v>
      </c>
      <c r="AH585" s="2">
        <f t="shared" si="99"/>
        <v>0</v>
      </c>
      <c r="AI585" s="3">
        <v>233.9999999979045</v>
      </c>
      <c r="AJ585" s="2">
        <v>0</v>
      </c>
      <c r="AK585">
        <v>0</v>
      </c>
      <c r="AL585">
        <v>2</v>
      </c>
      <c r="AM585">
        <v>0</v>
      </c>
      <c r="AN585" s="2">
        <f>IF((2*G585+M585-O585+3*V585+2*AB585+2*AE585+2*AH585+3*AJ585)&gt;=7,1,0)</f>
        <v>0</v>
      </c>
    </row>
    <row r="586" spans="1:40" x14ac:dyDescent="0.25">
      <c r="A586" t="s">
        <v>27</v>
      </c>
      <c r="B586" s="1">
        <v>38705</v>
      </c>
      <c r="C586" s="6">
        <f t="shared" si="90"/>
        <v>2005</v>
      </c>
      <c r="D586">
        <v>57.3</v>
      </c>
      <c r="E586">
        <v>46.5</v>
      </c>
      <c r="F586">
        <v>51.2</v>
      </c>
      <c r="G586" s="2">
        <f t="shared" si="91"/>
        <v>0</v>
      </c>
      <c r="H586">
        <v>57.3</v>
      </c>
      <c r="I586">
        <v>38.4</v>
      </c>
      <c r="J586">
        <v>48</v>
      </c>
      <c r="K586">
        <v>40.4</v>
      </c>
      <c r="L586">
        <v>67.900000000000006</v>
      </c>
      <c r="M586" s="2">
        <f t="shared" si="92"/>
        <v>0</v>
      </c>
      <c r="N586">
        <v>1.571</v>
      </c>
      <c r="O586" s="2">
        <f t="shared" si="93"/>
        <v>0</v>
      </c>
      <c r="P586">
        <v>100</v>
      </c>
      <c r="Q586">
        <v>12.5</v>
      </c>
      <c r="R586" t="s">
        <v>182</v>
      </c>
      <c r="S586">
        <v>0</v>
      </c>
      <c r="T586">
        <v>0</v>
      </c>
      <c r="U586">
        <v>0</v>
      </c>
      <c r="V586" s="2">
        <f t="shared" si="94"/>
        <v>0</v>
      </c>
      <c r="W586">
        <v>26.4</v>
      </c>
      <c r="X586" s="2">
        <f t="shared" si="95"/>
        <v>1</v>
      </c>
      <c r="Y586">
        <v>318.5</v>
      </c>
      <c r="Z586" s="2" t="str">
        <f>CHOOSE(MATCH(Y586,{0;11;80;111;161;191;241;281;341},1),"North","NorthEast","East","SouthEast","South","SouthWest","West","NorthWest","North")</f>
        <v>NorthWest</v>
      </c>
      <c r="AA586" s="4">
        <f>CHOOSE(MATCH(Z586,{"South";"SouthEast";"SouthWest";"North";"NorthEast";"East";"West";"NorthWest"},0),1,2,3,4,5,6,7,8)</f>
        <v>8</v>
      </c>
      <c r="AB586" s="2">
        <f t="shared" si="96"/>
        <v>1</v>
      </c>
      <c r="AC586">
        <v>1014.6</v>
      </c>
      <c r="AD586" t="s">
        <v>37</v>
      </c>
      <c r="AE586" s="2">
        <f t="shared" si="97"/>
        <v>1</v>
      </c>
      <c r="AF586" t="s">
        <v>920</v>
      </c>
      <c r="AG586" s="2">
        <f t="shared" si="98"/>
        <v>12</v>
      </c>
      <c r="AH586" s="2">
        <f t="shared" si="99"/>
        <v>0</v>
      </c>
      <c r="AI586" s="3">
        <v>166.00000000675209</v>
      </c>
      <c r="AJ586" s="2">
        <v>0</v>
      </c>
      <c r="AK586">
        <v>0</v>
      </c>
      <c r="AL586">
        <v>2</v>
      </c>
      <c r="AM586">
        <v>0</v>
      </c>
      <c r="AN586" s="2">
        <f>IF((2*G586+M586-O586+3*V586+2*AB586+2*AE586+2*AH586+3*AJ586)&gt;=7,1,0)</f>
        <v>0</v>
      </c>
    </row>
    <row r="587" spans="1:40" x14ac:dyDescent="0.25">
      <c r="A587" t="s">
        <v>27</v>
      </c>
      <c r="B587" s="1">
        <v>38729</v>
      </c>
      <c r="C587" s="6">
        <f t="shared" si="90"/>
        <v>2006</v>
      </c>
      <c r="D587">
        <v>50.1</v>
      </c>
      <c r="E587">
        <v>46.5</v>
      </c>
      <c r="F587">
        <v>49.3</v>
      </c>
      <c r="G587" s="2">
        <f t="shared" si="91"/>
        <v>0</v>
      </c>
      <c r="H587">
        <v>50.1</v>
      </c>
      <c r="I587">
        <v>40.799999999999997</v>
      </c>
      <c r="J587">
        <v>46.6</v>
      </c>
      <c r="K587">
        <v>37.700000000000003</v>
      </c>
      <c r="L587">
        <v>64.599999999999994</v>
      </c>
      <c r="M587" s="2">
        <f t="shared" si="92"/>
        <v>1</v>
      </c>
      <c r="N587">
        <v>5.0999999999999997E-2</v>
      </c>
      <c r="O587" s="2">
        <f t="shared" si="93"/>
        <v>0</v>
      </c>
      <c r="P587">
        <v>100</v>
      </c>
      <c r="Q587">
        <v>8.33</v>
      </c>
      <c r="R587" t="s">
        <v>182</v>
      </c>
      <c r="S587">
        <v>0</v>
      </c>
      <c r="T587">
        <v>0</v>
      </c>
      <c r="U587">
        <v>0</v>
      </c>
      <c r="V587" s="2">
        <f t="shared" si="94"/>
        <v>0</v>
      </c>
      <c r="W587">
        <v>23</v>
      </c>
      <c r="X587" s="2">
        <f t="shared" si="95"/>
        <v>1</v>
      </c>
      <c r="Y587">
        <v>328.8</v>
      </c>
      <c r="Z587" s="2" t="str">
        <f>CHOOSE(MATCH(Y587,{0;11;80;111;161;191;241;281;341},1),"North","NorthEast","East","SouthEast","South","SouthWest","West","NorthWest","North")</f>
        <v>NorthWest</v>
      </c>
      <c r="AA587" s="4">
        <f>CHOOSE(MATCH(Z587,{"South";"SouthEast";"SouthWest";"North";"NorthEast";"East";"West";"NorthWest"},0),1,2,3,4,5,6,7,8)</f>
        <v>8</v>
      </c>
      <c r="AB587" s="2">
        <f t="shared" si="96"/>
        <v>1</v>
      </c>
      <c r="AC587">
        <v>1018.4</v>
      </c>
      <c r="AD587" t="s">
        <v>799</v>
      </c>
      <c r="AE587" s="2">
        <f t="shared" si="97"/>
        <v>1</v>
      </c>
      <c r="AF587" t="s">
        <v>921</v>
      </c>
      <c r="AG587" s="2">
        <f t="shared" si="98"/>
        <v>1</v>
      </c>
      <c r="AH587" s="2">
        <f t="shared" si="99"/>
        <v>0</v>
      </c>
      <c r="AI587" s="3">
        <v>124.9999999988358</v>
      </c>
      <c r="AJ587" s="2">
        <v>0</v>
      </c>
      <c r="AK587">
        <v>0</v>
      </c>
      <c r="AL587">
        <v>0.5</v>
      </c>
      <c r="AM587">
        <v>0</v>
      </c>
      <c r="AN587" s="2">
        <f>IF((2*G587+M587-O587+3*V587+2*AB587+2*AE587+2*AH587+3*AJ587)&gt;=7,1,0)</f>
        <v>0</v>
      </c>
    </row>
    <row r="588" spans="1:40" x14ac:dyDescent="0.25">
      <c r="A588" t="s">
        <v>27</v>
      </c>
      <c r="B588" s="1">
        <v>38734</v>
      </c>
      <c r="C588" s="6">
        <f t="shared" si="90"/>
        <v>2006</v>
      </c>
      <c r="D588">
        <v>55.5</v>
      </c>
      <c r="E588">
        <v>41.1</v>
      </c>
      <c r="F588">
        <v>49.7</v>
      </c>
      <c r="G588" s="2">
        <f t="shared" si="91"/>
        <v>0</v>
      </c>
      <c r="H588">
        <v>55.5</v>
      </c>
      <c r="I588">
        <v>35.4</v>
      </c>
      <c r="J588">
        <v>48.2</v>
      </c>
      <c r="K588">
        <v>40.9</v>
      </c>
      <c r="L588">
        <v>72.599999999999994</v>
      </c>
      <c r="M588" s="2">
        <f t="shared" si="92"/>
        <v>0</v>
      </c>
      <c r="N588">
        <v>0</v>
      </c>
      <c r="O588" s="2">
        <f t="shared" si="93"/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 s="2">
        <f t="shared" si="94"/>
        <v>0</v>
      </c>
      <c r="W588">
        <v>9.1999999999999993</v>
      </c>
      <c r="X588" s="2">
        <f t="shared" si="95"/>
        <v>0</v>
      </c>
      <c r="Y588">
        <v>181.8</v>
      </c>
      <c r="Z588" s="2" t="str">
        <f>CHOOSE(MATCH(Y588,{0;11;80;111;161;191;241;281;341},1),"North","NorthEast","East","SouthEast","South","SouthWest","West","NorthWest","North")</f>
        <v>South</v>
      </c>
      <c r="AA588" s="4">
        <f>CHOOSE(MATCH(Z588,{"South";"SouthEast";"SouthWest";"North";"NorthEast";"East";"West";"NorthWest"},0),1,2,3,4,5,6,7,8)</f>
        <v>1</v>
      </c>
      <c r="AB588" s="2">
        <f t="shared" si="96"/>
        <v>0</v>
      </c>
      <c r="AC588">
        <v>1024</v>
      </c>
      <c r="AD588" t="s">
        <v>287</v>
      </c>
      <c r="AE588" s="2">
        <f t="shared" si="97"/>
        <v>1</v>
      </c>
      <c r="AF588" t="s">
        <v>922</v>
      </c>
      <c r="AG588" s="2">
        <f t="shared" si="98"/>
        <v>1</v>
      </c>
      <c r="AH588" s="2">
        <f t="shared" si="99"/>
        <v>0</v>
      </c>
      <c r="AI588" s="3">
        <v>165.00000000349249</v>
      </c>
      <c r="AJ588" s="2">
        <v>0</v>
      </c>
      <c r="AK588">
        <v>0</v>
      </c>
      <c r="AL588">
        <v>15</v>
      </c>
      <c r="AM588">
        <v>0</v>
      </c>
      <c r="AN588" s="2">
        <f>IF((2*G588+M588-O588+3*V588+2*AB588+2*AE588+2*AH588+3*AJ588)&gt;=7,1,0)</f>
        <v>0</v>
      </c>
    </row>
    <row r="589" spans="1:40" x14ac:dyDescent="0.25">
      <c r="A589" t="s">
        <v>27</v>
      </c>
      <c r="B589" s="1">
        <v>38752</v>
      </c>
      <c r="C589" s="6">
        <f t="shared" si="90"/>
        <v>2006</v>
      </c>
      <c r="D589">
        <v>60.9</v>
      </c>
      <c r="E589">
        <v>44.7</v>
      </c>
      <c r="F589">
        <v>52.4</v>
      </c>
      <c r="G589" s="2">
        <f t="shared" si="91"/>
        <v>0</v>
      </c>
      <c r="H589">
        <v>60.9</v>
      </c>
      <c r="I589">
        <v>39.299999999999997</v>
      </c>
      <c r="J589">
        <v>50.6</v>
      </c>
      <c r="K589">
        <v>43.8</v>
      </c>
      <c r="L589">
        <v>73.900000000000006</v>
      </c>
      <c r="M589" s="2">
        <f t="shared" si="92"/>
        <v>0</v>
      </c>
      <c r="N589">
        <v>0</v>
      </c>
      <c r="O589" s="2">
        <f t="shared" si="93"/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s="2">
        <f t="shared" si="94"/>
        <v>0</v>
      </c>
      <c r="W589">
        <v>11.4</v>
      </c>
      <c r="X589" s="2">
        <f t="shared" si="95"/>
        <v>0</v>
      </c>
      <c r="Y589">
        <v>182.2</v>
      </c>
      <c r="Z589" s="2" t="str">
        <f>CHOOSE(MATCH(Y589,{0;11;80;111;161;191;241;281;341},1),"North","NorthEast","East","SouthEast","South","SouthWest","West","NorthWest","North")</f>
        <v>South</v>
      </c>
      <c r="AA589" s="4">
        <f>CHOOSE(MATCH(Z589,{"South";"SouthEast";"SouthWest";"North";"NorthEast";"East";"West";"NorthWest"},0),1,2,3,4,5,6,7,8)</f>
        <v>1</v>
      </c>
      <c r="AB589" s="2">
        <f t="shared" si="96"/>
        <v>0</v>
      </c>
      <c r="AC589">
        <v>1014.7</v>
      </c>
      <c r="AD589" t="s">
        <v>209</v>
      </c>
      <c r="AE589" s="2">
        <f t="shared" si="97"/>
        <v>0</v>
      </c>
      <c r="AF589" t="s">
        <v>923</v>
      </c>
      <c r="AG589" s="2">
        <f t="shared" si="98"/>
        <v>2</v>
      </c>
      <c r="AH589" s="2">
        <f t="shared" si="99"/>
        <v>0</v>
      </c>
      <c r="AI589" s="3">
        <v>110.9999999951106</v>
      </c>
      <c r="AJ589" s="2">
        <v>0</v>
      </c>
      <c r="AK589">
        <v>0</v>
      </c>
      <c r="AL589">
        <v>1.5</v>
      </c>
      <c r="AM589">
        <v>0</v>
      </c>
      <c r="AN589" s="2">
        <f>IF((2*G589+M589-O589+3*V589+2*AB589+2*AE589+2*AH589+3*AJ589)&gt;=7,1,0)</f>
        <v>0</v>
      </c>
    </row>
    <row r="590" spans="1:40" x14ac:dyDescent="0.25">
      <c r="A590" t="s">
        <v>27</v>
      </c>
      <c r="B590" s="1">
        <v>38758</v>
      </c>
      <c r="C590" s="6">
        <f t="shared" si="90"/>
        <v>2006</v>
      </c>
      <c r="D590">
        <v>64.5</v>
      </c>
      <c r="E590">
        <v>51.9</v>
      </c>
      <c r="F590">
        <v>59.3</v>
      </c>
      <c r="G590" s="2">
        <f t="shared" si="91"/>
        <v>0</v>
      </c>
      <c r="H590">
        <v>64.5</v>
      </c>
      <c r="I590">
        <v>51.9</v>
      </c>
      <c r="J590">
        <v>59.3</v>
      </c>
      <c r="K590">
        <v>42.2</v>
      </c>
      <c r="L590">
        <v>53.7</v>
      </c>
      <c r="M590" s="2">
        <f t="shared" si="92"/>
        <v>1</v>
      </c>
      <c r="N590">
        <v>0</v>
      </c>
      <c r="O590" s="2">
        <f t="shared" si="93"/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 s="2">
        <f t="shared" si="94"/>
        <v>0</v>
      </c>
      <c r="W590">
        <v>26.4</v>
      </c>
      <c r="X590" s="2">
        <f t="shared" si="95"/>
        <v>1</v>
      </c>
      <c r="Y590">
        <v>200.6</v>
      </c>
      <c r="Z590" s="2" t="str">
        <f>CHOOSE(MATCH(Y590,{0;11;80;111;161;191;241;281;341},1),"North","NorthEast","East","SouthEast","South","SouthWest","West","NorthWest","North")</f>
        <v>SouthWest</v>
      </c>
      <c r="AA590" s="4">
        <f>CHOOSE(MATCH(Z590,{"South";"SouthEast";"SouthWest";"North";"NorthEast";"East";"West";"NorthWest"},0),1,2,3,4,5,6,7,8)</f>
        <v>3</v>
      </c>
      <c r="AB590" s="2">
        <f t="shared" si="96"/>
        <v>0</v>
      </c>
      <c r="AC590">
        <v>1013.2</v>
      </c>
      <c r="AD590" t="s">
        <v>616</v>
      </c>
      <c r="AE590" s="2">
        <f t="shared" si="97"/>
        <v>1</v>
      </c>
      <c r="AF590" t="s">
        <v>924</v>
      </c>
      <c r="AG590" s="2">
        <f t="shared" si="98"/>
        <v>2</v>
      </c>
      <c r="AH590" s="2">
        <f t="shared" si="99"/>
        <v>0</v>
      </c>
      <c r="AI590" s="3">
        <v>79.999999998835847</v>
      </c>
      <c r="AJ590" s="2">
        <v>0</v>
      </c>
      <c r="AK590">
        <v>0</v>
      </c>
      <c r="AL590">
        <v>1</v>
      </c>
      <c r="AM590">
        <v>0</v>
      </c>
      <c r="AN590" s="2">
        <f>IF((2*G590+M590-O590+3*V590+2*AB590+2*AE590+2*AH590+3*AJ590)&gt;=7,1,0)</f>
        <v>0</v>
      </c>
    </row>
    <row r="591" spans="1:40" x14ac:dyDescent="0.25">
      <c r="A591" t="s">
        <v>27</v>
      </c>
      <c r="B591" s="1">
        <v>38771</v>
      </c>
      <c r="C591" s="6">
        <f t="shared" si="90"/>
        <v>2006</v>
      </c>
      <c r="D591">
        <v>66.3</v>
      </c>
      <c r="E591">
        <v>51.9</v>
      </c>
      <c r="F591">
        <v>59</v>
      </c>
      <c r="G591" s="2">
        <f t="shared" si="91"/>
        <v>0</v>
      </c>
      <c r="H591">
        <v>66.3</v>
      </c>
      <c r="I591">
        <v>51.9</v>
      </c>
      <c r="J591">
        <v>59</v>
      </c>
      <c r="K591">
        <v>41.2</v>
      </c>
      <c r="L591">
        <v>53.9</v>
      </c>
      <c r="M591" s="2">
        <f t="shared" si="92"/>
        <v>1</v>
      </c>
      <c r="N591">
        <v>0</v>
      </c>
      <c r="O591" s="2">
        <f t="shared" si="93"/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 s="2">
        <f t="shared" si="94"/>
        <v>0</v>
      </c>
      <c r="W591">
        <v>20.8</v>
      </c>
      <c r="X591" s="2">
        <f t="shared" si="95"/>
        <v>1</v>
      </c>
      <c r="Y591">
        <v>171</v>
      </c>
      <c r="Z591" s="2" t="str">
        <f>CHOOSE(MATCH(Y591,{0;11;80;111;161;191;241;281;341},1),"North","NorthEast","East","SouthEast","South","SouthWest","West","NorthWest","North")</f>
        <v>South</v>
      </c>
      <c r="AA591" s="4">
        <f>CHOOSE(MATCH(Z591,{"South";"SouthEast";"SouthWest";"North";"NorthEast";"East";"West";"NorthWest"},0),1,2,3,4,5,6,7,8)</f>
        <v>1</v>
      </c>
      <c r="AB591" s="2">
        <f t="shared" si="96"/>
        <v>0</v>
      </c>
      <c r="AC591">
        <v>1013.4</v>
      </c>
      <c r="AD591" t="s">
        <v>925</v>
      </c>
      <c r="AE591" s="2">
        <f t="shared" si="97"/>
        <v>1</v>
      </c>
      <c r="AF591" t="s">
        <v>926</v>
      </c>
      <c r="AG591" s="2">
        <f t="shared" si="98"/>
        <v>2</v>
      </c>
      <c r="AH591" s="2">
        <f t="shared" si="99"/>
        <v>0</v>
      </c>
      <c r="AI591" s="3">
        <v>158.00000000162979</v>
      </c>
      <c r="AJ591" s="2">
        <v>0</v>
      </c>
      <c r="AK591">
        <v>0</v>
      </c>
      <c r="AL591">
        <v>8</v>
      </c>
      <c r="AM591">
        <v>0</v>
      </c>
      <c r="AN591" s="2">
        <f>IF((2*G591+M591-O591+3*V591+2*AB591+2*AE591+2*AH591+3*AJ591)&gt;=7,1,0)</f>
        <v>0</v>
      </c>
    </row>
    <row r="592" spans="1:40" x14ac:dyDescent="0.25">
      <c r="A592" t="s">
        <v>27</v>
      </c>
      <c r="B592" s="1">
        <v>38778</v>
      </c>
      <c r="C592" s="6">
        <f t="shared" si="90"/>
        <v>2006</v>
      </c>
      <c r="D592">
        <v>68.099999999999994</v>
      </c>
      <c r="E592">
        <v>48.3</v>
      </c>
      <c r="F592">
        <v>57.2</v>
      </c>
      <c r="G592" s="2">
        <f t="shared" si="91"/>
        <v>0</v>
      </c>
      <c r="H592">
        <v>68.099999999999994</v>
      </c>
      <c r="I592">
        <v>45.7</v>
      </c>
      <c r="J592">
        <v>57</v>
      </c>
      <c r="K592">
        <v>43.4</v>
      </c>
      <c r="L592">
        <v>61.7</v>
      </c>
      <c r="M592" s="2">
        <f t="shared" si="92"/>
        <v>1</v>
      </c>
      <c r="N592">
        <v>0</v>
      </c>
      <c r="O592" s="2">
        <f t="shared" si="93"/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 s="2">
        <f t="shared" si="94"/>
        <v>0</v>
      </c>
      <c r="W592">
        <v>20.8</v>
      </c>
      <c r="X592" s="2">
        <f t="shared" si="95"/>
        <v>1</v>
      </c>
      <c r="Y592">
        <v>177.5</v>
      </c>
      <c r="Z592" s="2" t="str">
        <f>CHOOSE(MATCH(Y592,{0;11;80;111;161;191;241;281;341},1),"North","NorthEast","East","SouthEast","South","SouthWest","West","NorthWest","North")</f>
        <v>South</v>
      </c>
      <c r="AA592" s="4">
        <f>CHOOSE(MATCH(Z592,{"South";"SouthEast";"SouthWest";"North";"NorthEast";"East";"West";"NorthWest"},0),1,2,3,4,5,6,7,8)</f>
        <v>1</v>
      </c>
      <c r="AB592" s="2">
        <f t="shared" si="96"/>
        <v>0</v>
      </c>
      <c r="AC592">
        <v>1013.4</v>
      </c>
      <c r="AD592" t="s">
        <v>871</v>
      </c>
      <c r="AE592" s="2">
        <f t="shared" si="97"/>
        <v>1</v>
      </c>
      <c r="AF592" t="s">
        <v>927</v>
      </c>
      <c r="AG592" s="2">
        <f t="shared" si="98"/>
        <v>3</v>
      </c>
      <c r="AH592" s="2">
        <f t="shared" si="99"/>
        <v>0</v>
      </c>
      <c r="AI592" s="3">
        <v>184.99999999534339</v>
      </c>
      <c r="AJ592" s="2">
        <v>0</v>
      </c>
      <c r="AK592">
        <v>0</v>
      </c>
      <c r="AL592">
        <v>2</v>
      </c>
      <c r="AM592">
        <v>0</v>
      </c>
      <c r="AN592" s="2">
        <f>IF((2*G592+M592-O592+3*V592+2*AB592+2*AE592+2*AH592+3*AJ592)&gt;=7,1,0)</f>
        <v>0</v>
      </c>
    </row>
    <row r="593" spans="1:40" x14ac:dyDescent="0.25">
      <c r="A593" t="s">
        <v>27</v>
      </c>
      <c r="B593" s="1">
        <v>38779</v>
      </c>
      <c r="C593" s="6">
        <f t="shared" si="90"/>
        <v>2006</v>
      </c>
      <c r="D593">
        <v>66.3</v>
      </c>
      <c r="E593">
        <v>48.3</v>
      </c>
      <c r="F593">
        <v>60.4</v>
      </c>
      <c r="G593" s="2">
        <f t="shared" si="91"/>
        <v>0</v>
      </c>
      <c r="H593">
        <v>66.3</v>
      </c>
      <c r="I593">
        <v>45.7</v>
      </c>
      <c r="J593">
        <v>60.3</v>
      </c>
      <c r="K593">
        <v>44.3</v>
      </c>
      <c r="L593">
        <v>57.7</v>
      </c>
      <c r="M593" s="2">
        <f t="shared" si="92"/>
        <v>1</v>
      </c>
      <c r="N593">
        <v>0</v>
      </c>
      <c r="O593" s="2">
        <f t="shared" si="93"/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s="2">
        <f t="shared" si="94"/>
        <v>0</v>
      </c>
      <c r="W593">
        <v>27.5</v>
      </c>
      <c r="X593" s="2">
        <f t="shared" si="95"/>
        <v>1</v>
      </c>
      <c r="Y593">
        <v>267.39999999999998</v>
      </c>
      <c r="Z593" s="2" t="str">
        <f>CHOOSE(MATCH(Y593,{0;11;80;111;161;191;241;281;341},1),"North","NorthEast","East","SouthEast","South","SouthWest","West","NorthWest","North")</f>
        <v>West</v>
      </c>
      <c r="AA593" s="4">
        <f>CHOOSE(MATCH(Z593,{"South";"SouthEast";"SouthWest";"North";"NorthEast";"East";"West";"NorthWest"},0),1,2,3,4,5,6,7,8)</f>
        <v>7</v>
      </c>
      <c r="AB593" s="2">
        <f t="shared" si="96"/>
        <v>0</v>
      </c>
      <c r="AC593">
        <v>1012.1</v>
      </c>
      <c r="AD593" t="s">
        <v>305</v>
      </c>
      <c r="AE593" s="2">
        <f t="shared" si="97"/>
        <v>1</v>
      </c>
      <c r="AF593" t="s">
        <v>928</v>
      </c>
      <c r="AG593" s="2">
        <f t="shared" si="98"/>
        <v>3</v>
      </c>
      <c r="AH593" s="2">
        <f t="shared" si="99"/>
        <v>0</v>
      </c>
      <c r="AI593" s="3">
        <v>130.00000000465661</v>
      </c>
      <c r="AJ593" s="2">
        <v>0</v>
      </c>
      <c r="AK593">
        <v>0</v>
      </c>
      <c r="AL593">
        <v>8</v>
      </c>
      <c r="AM593">
        <v>0</v>
      </c>
      <c r="AN593" s="2">
        <f>IF((2*G593+M593-O593+3*V593+2*AB593+2*AE593+2*AH593+3*AJ593)&gt;=7,1,0)</f>
        <v>0</v>
      </c>
    </row>
    <row r="594" spans="1:40" x14ac:dyDescent="0.25">
      <c r="A594" t="s">
        <v>27</v>
      </c>
      <c r="B594" s="1">
        <v>38780</v>
      </c>
      <c r="C594" s="6">
        <f t="shared" si="90"/>
        <v>2006</v>
      </c>
      <c r="D594">
        <v>60.9</v>
      </c>
      <c r="E594">
        <v>44.7</v>
      </c>
      <c r="F594">
        <v>53.8</v>
      </c>
      <c r="G594" s="2">
        <f t="shared" si="91"/>
        <v>0</v>
      </c>
      <c r="H594">
        <v>60.9</v>
      </c>
      <c r="I594">
        <v>39.799999999999997</v>
      </c>
      <c r="J594">
        <v>52.2</v>
      </c>
      <c r="K594">
        <v>44.3</v>
      </c>
      <c r="L594">
        <v>71.400000000000006</v>
      </c>
      <c r="M594" s="2">
        <f t="shared" si="92"/>
        <v>0</v>
      </c>
      <c r="N594">
        <v>0</v>
      </c>
      <c r="O594" s="2">
        <f t="shared" si="93"/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 s="2">
        <f t="shared" si="94"/>
        <v>0</v>
      </c>
      <c r="W594">
        <v>13.9</v>
      </c>
      <c r="X594" s="2">
        <f t="shared" si="95"/>
        <v>0</v>
      </c>
      <c r="Y594">
        <v>274.5</v>
      </c>
      <c r="Z594" s="2" t="str">
        <f>CHOOSE(MATCH(Y594,{0;11;80;111;161;191;241;281;341},1),"North","NorthEast","East","SouthEast","South","SouthWest","West","NorthWest","North")</f>
        <v>West</v>
      </c>
      <c r="AA594" s="4">
        <f>CHOOSE(MATCH(Z594,{"South";"SouthEast";"SouthWest";"North";"NorthEast";"East";"West";"NorthWest"},0),1,2,3,4,5,6,7,8)</f>
        <v>7</v>
      </c>
      <c r="AB594" s="2">
        <f t="shared" si="96"/>
        <v>0</v>
      </c>
      <c r="AC594">
        <v>1016.2</v>
      </c>
      <c r="AD594" t="s">
        <v>814</v>
      </c>
      <c r="AE594" s="2">
        <f t="shared" si="97"/>
        <v>1</v>
      </c>
      <c r="AF594" t="s">
        <v>929</v>
      </c>
      <c r="AG594" s="2">
        <f t="shared" si="98"/>
        <v>3</v>
      </c>
      <c r="AH594" s="2">
        <f t="shared" si="99"/>
        <v>0</v>
      </c>
      <c r="AI594" s="3">
        <v>570.99999999627471</v>
      </c>
      <c r="AJ594" s="2">
        <v>1</v>
      </c>
      <c r="AK594">
        <v>0</v>
      </c>
      <c r="AL594">
        <v>25</v>
      </c>
      <c r="AM594">
        <v>0</v>
      </c>
      <c r="AN594" s="2">
        <f>IF((2*G594+M594-O594+3*V594+2*AB594+2*AE594+2*AH594+3*AJ594)&gt;=7,1,0)</f>
        <v>0</v>
      </c>
    </row>
    <row r="595" spans="1:40" x14ac:dyDescent="0.25">
      <c r="A595" t="s">
        <v>27</v>
      </c>
      <c r="B595" s="1">
        <v>38780</v>
      </c>
      <c r="C595" s="6">
        <f t="shared" si="90"/>
        <v>2006</v>
      </c>
      <c r="D595">
        <v>60.9</v>
      </c>
      <c r="E595">
        <v>44.7</v>
      </c>
      <c r="F595">
        <v>53.8</v>
      </c>
      <c r="G595" s="2">
        <f t="shared" si="91"/>
        <v>0</v>
      </c>
      <c r="H595">
        <v>60.9</v>
      </c>
      <c r="I595">
        <v>39.799999999999997</v>
      </c>
      <c r="J595">
        <v>52.2</v>
      </c>
      <c r="K595">
        <v>44.3</v>
      </c>
      <c r="L595">
        <v>71.400000000000006</v>
      </c>
      <c r="M595" s="2">
        <f t="shared" si="92"/>
        <v>0</v>
      </c>
      <c r="N595">
        <v>0</v>
      </c>
      <c r="O595" s="2">
        <f t="shared" si="93"/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s="2">
        <f t="shared" si="94"/>
        <v>0</v>
      </c>
      <c r="W595">
        <v>13.9</v>
      </c>
      <c r="X595" s="2">
        <f t="shared" si="95"/>
        <v>0</v>
      </c>
      <c r="Y595">
        <v>274.5</v>
      </c>
      <c r="Z595" s="2" t="str">
        <f>CHOOSE(MATCH(Y595,{0;11;80;111;161;191;241;281;341},1),"North","NorthEast","East","SouthEast","South","SouthWest","West","NorthWest","North")</f>
        <v>West</v>
      </c>
      <c r="AA595" s="4">
        <f>CHOOSE(MATCH(Z595,{"South";"SouthEast";"SouthWest";"North";"NorthEast";"East";"West";"NorthWest"},0),1,2,3,4,5,6,7,8)</f>
        <v>7</v>
      </c>
      <c r="AB595" s="2">
        <f t="shared" si="96"/>
        <v>0</v>
      </c>
      <c r="AC595">
        <v>1016.2</v>
      </c>
      <c r="AD595" t="s">
        <v>930</v>
      </c>
      <c r="AE595" s="2">
        <f t="shared" si="97"/>
        <v>1</v>
      </c>
      <c r="AF595" t="s">
        <v>931</v>
      </c>
      <c r="AG595" s="2">
        <f t="shared" si="98"/>
        <v>3</v>
      </c>
      <c r="AH595" s="2">
        <f t="shared" si="99"/>
        <v>0</v>
      </c>
      <c r="AI595" s="3">
        <v>515.00000000232831</v>
      </c>
      <c r="AJ595" s="2">
        <v>1</v>
      </c>
      <c r="AK595">
        <v>0</v>
      </c>
      <c r="AL595">
        <v>5</v>
      </c>
      <c r="AM595">
        <v>0</v>
      </c>
      <c r="AN595" s="2">
        <f>IF((2*G595+M595-O595+3*V595+2*AB595+2*AE595+2*AH595+3*AJ595)&gt;=7,1,0)</f>
        <v>0</v>
      </c>
    </row>
    <row r="596" spans="1:40" x14ac:dyDescent="0.25">
      <c r="A596" t="s">
        <v>27</v>
      </c>
      <c r="B596" s="1">
        <v>38780</v>
      </c>
      <c r="C596" s="6">
        <f t="shared" si="90"/>
        <v>2006</v>
      </c>
      <c r="D596">
        <v>60.9</v>
      </c>
      <c r="E596">
        <v>44.7</v>
      </c>
      <c r="F596">
        <v>53.8</v>
      </c>
      <c r="G596" s="2">
        <f t="shared" si="91"/>
        <v>0</v>
      </c>
      <c r="H596">
        <v>60.9</v>
      </c>
      <c r="I596">
        <v>39.799999999999997</v>
      </c>
      <c r="J596">
        <v>52.2</v>
      </c>
      <c r="K596">
        <v>44.3</v>
      </c>
      <c r="L596">
        <v>71.400000000000006</v>
      </c>
      <c r="M596" s="2">
        <f t="shared" si="92"/>
        <v>0</v>
      </c>
      <c r="N596">
        <v>0</v>
      </c>
      <c r="O596" s="2">
        <f t="shared" si="93"/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 s="2">
        <f t="shared" si="94"/>
        <v>0</v>
      </c>
      <c r="W596">
        <v>13.9</v>
      </c>
      <c r="X596" s="2">
        <f t="shared" si="95"/>
        <v>0</v>
      </c>
      <c r="Y596">
        <v>274.5</v>
      </c>
      <c r="Z596" s="2" t="str">
        <f>CHOOSE(MATCH(Y596,{0;11;80;111;161;191;241;281;341},1),"North","NorthEast","East","SouthEast","South","SouthWest","West","NorthWest","North")</f>
        <v>West</v>
      </c>
      <c r="AA596" s="4">
        <f>CHOOSE(MATCH(Z596,{"South";"SouthEast";"SouthWest";"North";"NorthEast";"East";"West";"NorthWest"},0),1,2,3,4,5,6,7,8)</f>
        <v>7</v>
      </c>
      <c r="AB596" s="2">
        <f t="shared" si="96"/>
        <v>0</v>
      </c>
      <c r="AC596">
        <v>1016.2</v>
      </c>
      <c r="AD596" t="s">
        <v>809</v>
      </c>
      <c r="AE596" s="2">
        <f t="shared" si="97"/>
        <v>1</v>
      </c>
      <c r="AF596" t="s">
        <v>932</v>
      </c>
      <c r="AG596" s="2">
        <f t="shared" si="98"/>
        <v>3</v>
      </c>
      <c r="AH596" s="2">
        <f t="shared" si="99"/>
        <v>0</v>
      </c>
      <c r="AI596" s="3">
        <v>91.999999996041879</v>
      </c>
      <c r="AJ596" s="2">
        <v>0</v>
      </c>
      <c r="AK596">
        <v>0</v>
      </c>
      <c r="AL596">
        <v>0</v>
      </c>
      <c r="AM596">
        <v>1</v>
      </c>
      <c r="AN596" s="2">
        <f>IF((2*G596+M596-O596+3*V596+2*AB596+2*AE596+2*AH596+3*AJ596)&gt;=7,1,0)</f>
        <v>0</v>
      </c>
    </row>
    <row r="597" spans="1:40" x14ac:dyDescent="0.25">
      <c r="A597" t="s">
        <v>27</v>
      </c>
      <c r="B597" s="1">
        <v>38781</v>
      </c>
      <c r="C597" s="6">
        <f t="shared" si="90"/>
        <v>2006</v>
      </c>
      <c r="D597">
        <v>62.7</v>
      </c>
      <c r="E597">
        <v>46.5</v>
      </c>
      <c r="F597">
        <v>56</v>
      </c>
      <c r="G597" s="2">
        <f t="shared" si="91"/>
        <v>0</v>
      </c>
      <c r="H597">
        <v>62.7</v>
      </c>
      <c r="I597">
        <v>42.5</v>
      </c>
      <c r="J597">
        <v>55.6</v>
      </c>
      <c r="K597">
        <v>45.3</v>
      </c>
      <c r="L597">
        <v>68.2</v>
      </c>
      <c r="M597" s="2">
        <f t="shared" si="92"/>
        <v>0</v>
      </c>
      <c r="N597">
        <v>0</v>
      </c>
      <c r="O597" s="2">
        <f t="shared" si="93"/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 s="2">
        <f t="shared" si="94"/>
        <v>0</v>
      </c>
      <c r="W597">
        <v>13.9</v>
      </c>
      <c r="X597" s="2">
        <f t="shared" si="95"/>
        <v>0</v>
      </c>
      <c r="Y597">
        <v>212.8</v>
      </c>
      <c r="Z597" s="2" t="str">
        <f>CHOOSE(MATCH(Y597,{0;11;80;111;161;191;241;281;341},1),"North","NorthEast","East","SouthEast","South","SouthWest","West","NorthWest","North")</f>
        <v>SouthWest</v>
      </c>
      <c r="AA597" s="4">
        <f>CHOOSE(MATCH(Z597,{"South";"SouthEast";"SouthWest";"North";"NorthEast";"East";"West";"NorthWest"},0),1,2,3,4,5,6,7,8)</f>
        <v>3</v>
      </c>
      <c r="AB597" s="2">
        <f t="shared" si="96"/>
        <v>0</v>
      </c>
      <c r="AC597">
        <v>1015.4</v>
      </c>
      <c r="AD597" t="s">
        <v>251</v>
      </c>
      <c r="AE597" s="2">
        <f t="shared" si="97"/>
        <v>1</v>
      </c>
      <c r="AF597" t="s">
        <v>933</v>
      </c>
      <c r="AG597" s="2">
        <f t="shared" si="98"/>
        <v>3</v>
      </c>
      <c r="AH597" s="2">
        <f t="shared" si="99"/>
        <v>0</v>
      </c>
      <c r="AI597" s="3">
        <v>259.99999999883579</v>
      </c>
      <c r="AJ597" s="2">
        <v>0</v>
      </c>
      <c r="AK597">
        <v>0</v>
      </c>
      <c r="AL597">
        <v>5</v>
      </c>
      <c r="AM597">
        <v>0</v>
      </c>
      <c r="AN597" s="2">
        <f>IF((2*G597+M597-O597+3*V597+2*AB597+2*AE597+2*AH597+3*AJ597)&gt;=7,1,0)</f>
        <v>0</v>
      </c>
    </row>
    <row r="598" spans="1:40" x14ac:dyDescent="0.25">
      <c r="A598" t="s">
        <v>27</v>
      </c>
      <c r="B598" s="1">
        <v>38783</v>
      </c>
      <c r="C598" s="6">
        <f t="shared" si="90"/>
        <v>2006</v>
      </c>
      <c r="D598">
        <v>62.7</v>
      </c>
      <c r="E598">
        <v>51.9</v>
      </c>
      <c r="F598">
        <v>58</v>
      </c>
      <c r="G598" s="2">
        <f t="shared" si="91"/>
        <v>0</v>
      </c>
      <c r="H598">
        <v>62.7</v>
      </c>
      <c r="I598">
        <v>51.9</v>
      </c>
      <c r="J598">
        <v>58</v>
      </c>
      <c r="K598">
        <v>47.4</v>
      </c>
      <c r="L598">
        <v>68.7</v>
      </c>
      <c r="M598" s="2">
        <f t="shared" si="92"/>
        <v>0</v>
      </c>
      <c r="N598">
        <v>0.20100000000000001</v>
      </c>
      <c r="O598" s="2">
        <f t="shared" si="93"/>
        <v>0</v>
      </c>
      <c r="P598">
        <v>100</v>
      </c>
      <c r="Q598">
        <v>4.17</v>
      </c>
      <c r="R598" t="s">
        <v>182</v>
      </c>
      <c r="S598">
        <v>0</v>
      </c>
      <c r="T598">
        <v>0</v>
      </c>
      <c r="U598">
        <v>0</v>
      </c>
      <c r="V598" s="2">
        <f t="shared" si="94"/>
        <v>0</v>
      </c>
      <c r="W598">
        <v>32.200000000000003</v>
      </c>
      <c r="X598" s="2">
        <f t="shared" si="95"/>
        <v>1</v>
      </c>
      <c r="Y598">
        <v>195.9</v>
      </c>
      <c r="Z598" s="2" t="str">
        <f>CHOOSE(MATCH(Y598,{0;11;80;111;161;191;241;281;341},1),"North","NorthEast","East","SouthEast","South","SouthWest","West","NorthWest","North")</f>
        <v>SouthWest</v>
      </c>
      <c r="AA598" s="4">
        <f>CHOOSE(MATCH(Z598,{"South";"SouthEast";"SouthWest";"North";"NorthEast";"East";"West";"NorthWest"},0),1,2,3,4,5,6,7,8)</f>
        <v>3</v>
      </c>
      <c r="AB598" s="2">
        <f t="shared" si="96"/>
        <v>0</v>
      </c>
      <c r="AC598">
        <v>1001.5</v>
      </c>
      <c r="AD598" t="s">
        <v>934</v>
      </c>
      <c r="AE598" s="2">
        <f t="shared" si="97"/>
        <v>0</v>
      </c>
      <c r="AF598" t="s">
        <v>935</v>
      </c>
      <c r="AG598" s="2">
        <f t="shared" si="98"/>
        <v>3</v>
      </c>
      <c r="AH598" s="2">
        <f t="shared" si="99"/>
        <v>0</v>
      </c>
      <c r="AI598" s="3">
        <v>135</v>
      </c>
      <c r="AJ598" s="2">
        <v>0</v>
      </c>
      <c r="AK598">
        <v>0</v>
      </c>
      <c r="AL598">
        <v>1</v>
      </c>
      <c r="AM598">
        <v>0</v>
      </c>
      <c r="AN598" s="2">
        <f>IF((2*G598+M598-O598+3*V598+2*AB598+2*AE598+2*AH598+3*AJ598)&gt;=7,1,0)</f>
        <v>0</v>
      </c>
    </row>
    <row r="599" spans="1:40" x14ac:dyDescent="0.25">
      <c r="A599" t="s">
        <v>27</v>
      </c>
      <c r="B599" s="1">
        <v>38800</v>
      </c>
      <c r="C599" s="6">
        <f t="shared" si="90"/>
        <v>2006</v>
      </c>
      <c r="D599">
        <v>64.5</v>
      </c>
      <c r="E599">
        <v>51.9</v>
      </c>
      <c r="F599">
        <v>57.1</v>
      </c>
      <c r="G599" s="2">
        <f t="shared" si="91"/>
        <v>0</v>
      </c>
      <c r="H599">
        <v>64.5</v>
      </c>
      <c r="I599">
        <v>51.9</v>
      </c>
      <c r="J599">
        <v>57.1</v>
      </c>
      <c r="K599">
        <v>47.7</v>
      </c>
      <c r="L599">
        <v>71.5</v>
      </c>
      <c r="M599" s="2">
        <f t="shared" si="92"/>
        <v>0</v>
      </c>
      <c r="N599">
        <v>0.11799999999999999</v>
      </c>
      <c r="O599" s="2">
        <f t="shared" si="93"/>
        <v>0</v>
      </c>
      <c r="P599">
        <v>100</v>
      </c>
      <c r="Q599">
        <v>4.17</v>
      </c>
      <c r="R599" t="s">
        <v>182</v>
      </c>
      <c r="S599">
        <v>0</v>
      </c>
      <c r="T599">
        <v>0</v>
      </c>
      <c r="U599">
        <v>0</v>
      </c>
      <c r="V599" s="2">
        <f t="shared" si="94"/>
        <v>0</v>
      </c>
      <c r="W599">
        <v>20.8</v>
      </c>
      <c r="X599" s="2">
        <f t="shared" si="95"/>
        <v>1</v>
      </c>
      <c r="Y599">
        <v>258.5</v>
      </c>
      <c r="Z599" s="2" t="str">
        <f>CHOOSE(MATCH(Y599,{0;11;80;111;161;191;241;281;341},1),"North","NorthEast","East","SouthEast","South","SouthWest","West","NorthWest","North")</f>
        <v>West</v>
      </c>
      <c r="AA599" s="4">
        <f>CHOOSE(MATCH(Z599,{"South";"SouthEast";"SouthWest";"North";"NorthEast";"East";"West";"NorthWest"},0),1,2,3,4,5,6,7,8)</f>
        <v>7</v>
      </c>
      <c r="AB599" s="2">
        <f t="shared" si="96"/>
        <v>0</v>
      </c>
      <c r="AC599">
        <v>1010.6</v>
      </c>
      <c r="AD599" t="s">
        <v>274</v>
      </c>
      <c r="AE599" s="2">
        <f t="shared" si="97"/>
        <v>1</v>
      </c>
      <c r="AF599" t="s">
        <v>936</v>
      </c>
      <c r="AG599" s="2">
        <f t="shared" si="98"/>
        <v>3</v>
      </c>
      <c r="AH599" s="2">
        <f t="shared" si="99"/>
        <v>0</v>
      </c>
      <c r="AI599" s="3">
        <v>210.99999999627471</v>
      </c>
      <c r="AJ599" s="2">
        <v>0</v>
      </c>
      <c r="AK599">
        <v>0</v>
      </c>
      <c r="AL599">
        <v>1</v>
      </c>
      <c r="AM599">
        <v>0</v>
      </c>
      <c r="AN599" s="2">
        <f>IF((2*G599+M599-O599+3*V599+2*AB599+2*AE599+2*AH599+3*AJ599)&gt;=7,1,0)</f>
        <v>0</v>
      </c>
    </row>
    <row r="600" spans="1:40" x14ac:dyDescent="0.25">
      <c r="A600" t="s">
        <v>27</v>
      </c>
      <c r="B600" s="1">
        <v>38804</v>
      </c>
      <c r="C600" s="6">
        <f t="shared" si="90"/>
        <v>2006</v>
      </c>
      <c r="D600">
        <v>66.3</v>
      </c>
      <c r="E600">
        <v>46.5</v>
      </c>
      <c r="F600">
        <v>56.9</v>
      </c>
      <c r="G600" s="2">
        <f t="shared" si="91"/>
        <v>0</v>
      </c>
      <c r="H600">
        <v>66.3</v>
      </c>
      <c r="I600">
        <v>41.6</v>
      </c>
      <c r="J600">
        <v>55.7</v>
      </c>
      <c r="K600">
        <v>40</v>
      </c>
      <c r="L600">
        <v>55.7</v>
      </c>
      <c r="M600" s="2">
        <f t="shared" si="92"/>
        <v>1</v>
      </c>
      <c r="N600">
        <v>0</v>
      </c>
      <c r="O600" s="2">
        <f t="shared" si="93"/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s="2">
        <f t="shared" si="94"/>
        <v>0</v>
      </c>
      <c r="W600">
        <v>10.3</v>
      </c>
      <c r="X600" s="2">
        <f t="shared" si="95"/>
        <v>0</v>
      </c>
      <c r="Y600">
        <v>179.6</v>
      </c>
      <c r="Z600" s="2" t="str">
        <f>CHOOSE(MATCH(Y600,{0;11;80;111;161;191;241;281;341},1),"North","NorthEast","East","SouthEast","South","SouthWest","West","NorthWest","North")</f>
        <v>South</v>
      </c>
      <c r="AA600" s="4">
        <f>CHOOSE(MATCH(Z600,{"South";"SouthEast";"SouthWest";"North";"NorthEast";"East";"West";"NorthWest"},0),1,2,3,4,5,6,7,8)</f>
        <v>1</v>
      </c>
      <c r="AB600" s="2">
        <f t="shared" si="96"/>
        <v>0</v>
      </c>
      <c r="AC600">
        <v>1015.7</v>
      </c>
      <c r="AD600" t="s">
        <v>607</v>
      </c>
      <c r="AE600" s="2">
        <f t="shared" si="97"/>
        <v>1</v>
      </c>
      <c r="AF600" t="s">
        <v>937</v>
      </c>
      <c r="AG600" s="2">
        <f t="shared" si="98"/>
        <v>3</v>
      </c>
      <c r="AH600" s="2">
        <f t="shared" si="99"/>
        <v>0</v>
      </c>
      <c r="AI600" s="3">
        <v>249.99999999767169</v>
      </c>
      <c r="AJ600" s="2">
        <v>0</v>
      </c>
      <c r="AK600">
        <v>0</v>
      </c>
      <c r="AL600">
        <v>1</v>
      </c>
      <c r="AM600">
        <v>0</v>
      </c>
      <c r="AN600" s="2">
        <f>IF((2*G600+M600-O600+3*V600+2*AB600+2*AE600+2*AH600+3*AJ600)&gt;=7,1,0)</f>
        <v>0</v>
      </c>
    </row>
    <row r="601" spans="1:40" x14ac:dyDescent="0.25">
      <c r="A601" t="s">
        <v>27</v>
      </c>
      <c r="B601" s="1">
        <v>38805</v>
      </c>
      <c r="C601" s="6">
        <f t="shared" si="90"/>
        <v>2006</v>
      </c>
      <c r="D601">
        <v>68.099999999999994</v>
      </c>
      <c r="E601">
        <v>53.7</v>
      </c>
      <c r="F601">
        <v>60</v>
      </c>
      <c r="G601" s="2">
        <f t="shared" si="91"/>
        <v>0</v>
      </c>
      <c r="H601">
        <v>68.099999999999994</v>
      </c>
      <c r="I601">
        <v>53.7</v>
      </c>
      <c r="J601">
        <v>60</v>
      </c>
      <c r="K601">
        <v>48.1</v>
      </c>
      <c r="L601">
        <v>65.3</v>
      </c>
      <c r="M601" s="2">
        <f t="shared" si="92"/>
        <v>1</v>
      </c>
      <c r="N601">
        <v>0</v>
      </c>
      <c r="O601" s="2">
        <f t="shared" si="93"/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s="2">
        <f t="shared" si="94"/>
        <v>0</v>
      </c>
      <c r="W601">
        <v>20.8</v>
      </c>
      <c r="X601" s="2">
        <f t="shared" si="95"/>
        <v>1</v>
      </c>
      <c r="Y601">
        <v>169.5</v>
      </c>
      <c r="Z601" s="2" t="str">
        <f>CHOOSE(MATCH(Y601,{0;11;80;111;161;191;241;281;341},1),"North","NorthEast","East","SouthEast","South","SouthWest","West","NorthWest","North")</f>
        <v>South</v>
      </c>
      <c r="AA601" s="4">
        <f>CHOOSE(MATCH(Z601,{"South";"SouthEast";"SouthWest";"North";"NorthEast";"East";"West";"NorthWest"},0),1,2,3,4,5,6,7,8)</f>
        <v>1</v>
      </c>
      <c r="AB601" s="2">
        <f t="shared" si="96"/>
        <v>0</v>
      </c>
      <c r="AC601">
        <v>1014.7</v>
      </c>
      <c r="AD601" t="s">
        <v>465</v>
      </c>
      <c r="AE601" s="2">
        <f t="shared" si="97"/>
        <v>1</v>
      </c>
      <c r="AF601" t="s">
        <v>938</v>
      </c>
      <c r="AG601" s="2">
        <f t="shared" si="98"/>
        <v>3</v>
      </c>
      <c r="AH601" s="2">
        <f t="shared" si="99"/>
        <v>0</v>
      </c>
      <c r="AI601" s="3">
        <v>1654.9999999988361</v>
      </c>
      <c r="AJ601" s="2">
        <v>1</v>
      </c>
      <c r="AK601">
        <v>0</v>
      </c>
      <c r="AL601">
        <v>30</v>
      </c>
      <c r="AM601">
        <v>0</v>
      </c>
      <c r="AN601" s="2">
        <f>IF((2*G601+M601-O601+3*V601+2*AB601+2*AE601+2*AH601+3*AJ601)&gt;=7,1,0)</f>
        <v>0</v>
      </c>
    </row>
    <row r="602" spans="1:40" x14ac:dyDescent="0.25">
      <c r="A602" t="s">
        <v>27</v>
      </c>
      <c r="B602" s="1">
        <v>38806</v>
      </c>
      <c r="C602" s="6">
        <f t="shared" si="90"/>
        <v>2006</v>
      </c>
      <c r="D602">
        <v>64.5</v>
      </c>
      <c r="E602">
        <v>57.3</v>
      </c>
      <c r="F602">
        <v>60.8</v>
      </c>
      <c r="G602" s="2">
        <f t="shared" si="91"/>
        <v>0</v>
      </c>
      <c r="H602">
        <v>64.5</v>
      </c>
      <c r="I602">
        <v>57.3</v>
      </c>
      <c r="J602">
        <v>60.8</v>
      </c>
      <c r="K602">
        <v>52.1</v>
      </c>
      <c r="L602">
        <v>73.400000000000006</v>
      </c>
      <c r="M602" s="2">
        <f t="shared" si="92"/>
        <v>0</v>
      </c>
      <c r="N602">
        <v>0</v>
      </c>
      <c r="O602" s="2">
        <f t="shared" si="93"/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s="2">
        <f t="shared" si="94"/>
        <v>0</v>
      </c>
      <c r="W602">
        <v>20.8</v>
      </c>
      <c r="X602" s="2">
        <f t="shared" si="95"/>
        <v>1</v>
      </c>
      <c r="Y602">
        <v>172.7</v>
      </c>
      <c r="Z602" s="2" t="str">
        <f>CHOOSE(MATCH(Y602,{0;11;80;111;161;191;241;281;341},1),"North","NorthEast","East","SouthEast","South","SouthWest","West","NorthWest","North")</f>
        <v>South</v>
      </c>
      <c r="AA602" s="4">
        <f>CHOOSE(MATCH(Z602,{"South";"SouthEast";"SouthWest";"North";"NorthEast";"East";"West";"NorthWest"},0),1,2,3,4,5,6,7,8)</f>
        <v>1</v>
      </c>
      <c r="AB602" s="2">
        <f t="shared" si="96"/>
        <v>0</v>
      </c>
      <c r="AC602">
        <v>1014.6</v>
      </c>
      <c r="AD602" t="s">
        <v>939</v>
      </c>
      <c r="AE602" s="2">
        <f t="shared" si="97"/>
        <v>1</v>
      </c>
      <c r="AF602" t="s">
        <v>940</v>
      </c>
      <c r="AG602" s="2">
        <f t="shared" si="98"/>
        <v>3</v>
      </c>
      <c r="AH602" s="2">
        <f t="shared" si="99"/>
        <v>0</v>
      </c>
      <c r="AI602" s="3">
        <v>210.00000000349249</v>
      </c>
      <c r="AJ602" s="2">
        <v>0</v>
      </c>
      <c r="AK602">
        <v>0</v>
      </c>
      <c r="AL602">
        <v>2</v>
      </c>
      <c r="AM602">
        <v>0</v>
      </c>
      <c r="AN602" s="2">
        <f>IF((2*G602+M602-O602+3*V602+2*AB602+2*AE602+2*AH602+3*AJ602)&gt;=7,1,0)</f>
        <v>0</v>
      </c>
    </row>
    <row r="603" spans="1:40" x14ac:dyDescent="0.25">
      <c r="A603" t="s">
        <v>27</v>
      </c>
      <c r="B603" s="1">
        <v>38807</v>
      </c>
      <c r="C603" s="6">
        <f t="shared" si="90"/>
        <v>2006</v>
      </c>
      <c r="D603">
        <v>64.5</v>
      </c>
      <c r="E603">
        <v>51.9</v>
      </c>
      <c r="F603">
        <v>59</v>
      </c>
      <c r="G603" s="2">
        <f t="shared" si="91"/>
        <v>0</v>
      </c>
      <c r="H603">
        <v>64.5</v>
      </c>
      <c r="I603">
        <v>51.9</v>
      </c>
      <c r="J603">
        <v>59</v>
      </c>
      <c r="K603">
        <v>49.7</v>
      </c>
      <c r="L603">
        <v>72.400000000000006</v>
      </c>
      <c r="M603" s="2">
        <f t="shared" si="92"/>
        <v>0</v>
      </c>
      <c r="N603">
        <v>0</v>
      </c>
      <c r="O603" s="2">
        <f t="shared" si="93"/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 s="2">
        <f t="shared" si="94"/>
        <v>0</v>
      </c>
      <c r="W603">
        <v>15</v>
      </c>
      <c r="X603" s="2">
        <f t="shared" si="95"/>
        <v>0</v>
      </c>
      <c r="Y603">
        <v>306.60000000000002</v>
      </c>
      <c r="Z603" s="2" t="str">
        <f>CHOOSE(MATCH(Y603,{0;11;80;111;161;191;241;281;341},1),"North","NorthEast","East","SouthEast","South","SouthWest","West","NorthWest","North")</f>
        <v>NorthWest</v>
      </c>
      <c r="AA603" s="4">
        <f>CHOOSE(MATCH(Z603,{"South";"SouthEast";"SouthWest";"North";"NorthEast";"East";"West";"NorthWest"},0),1,2,3,4,5,6,7,8)</f>
        <v>8</v>
      </c>
      <c r="AB603" s="2">
        <f t="shared" si="96"/>
        <v>1</v>
      </c>
      <c r="AC603">
        <v>1016.8</v>
      </c>
      <c r="AD603" t="s">
        <v>237</v>
      </c>
      <c r="AE603" s="2">
        <f t="shared" si="97"/>
        <v>1</v>
      </c>
      <c r="AF603" t="s">
        <v>941</v>
      </c>
      <c r="AG603" s="2">
        <f t="shared" si="98"/>
        <v>3</v>
      </c>
      <c r="AH603" s="2">
        <f t="shared" si="99"/>
        <v>0</v>
      </c>
      <c r="AI603" s="3">
        <v>2435.999999998603</v>
      </c>
      <c r="AJ603" s="2">
        <v>1</v>
      </c>
      <c r="AK603">
        <v>0</v>
      </c>
      <c r="AL603">
        <v>25</v>
      </c>
      <c r="AM603">
        <v>0</v>
      </c>
      <c r="AN603" s="2">
        <f>IF((2*G603+M603-O603+3*V603+2*AB603+2*AE603+2*AH603+3*AJ603)&gt;=7,1,0)</f>
        <v>0</v>
      </c>
    </row>
    <row r="604" spans="1:40" x14ac:dyDescent="0.25">
      <c r="A604" t="s">
        <v>27</v>
      </c>
      <c r="B604" s="1">
        <v>38809</v>
      </c>
      <c r="C604" s="6">
        <f t="shared" si="90"/>
        <v>2006</v>
      </c>
      <c r="D604">
        <v>68.099999999999994</v>
      </c>
      <c r="E604">
        <v>50.1</v>
      </c>
      <c r="F604">
        <v>58.7</v>
      </c>
      <c r="G604" s="2">
        <f t="shared" si="91"/>
        <v>0</v>
      </c>
      <c r="H604">
        <v>68.099999999999994</v>
      </c>
      <c r="I604">
        <v>50.1</v>
      </c>
      <c r="J604">
        <v>58.7</v>
      </c>
      <c r="K604">
        <v>43.7</v>
      </c>
      <c r="L604">
        <v>58.8</v>
      </c>
      <c r="M604" s="2">
        <f t="shared" si="92"/>
        <v>1</v>
      </c>
      <c r="N604">
        <v>0</v>
      </c>
      <c r="O604" s="2">
        <f t="shared" si="93"/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s="2">
        <f t="shared" si="94"/>
        <v>0</v>
      </c>
      <c r="W604">
        <v>9.1999999999999993</v>
      </c>
      <c r="X604" s="2">
        <f t="shared" si="95"/>
        <v>0</v>
      </c>
      <c r="Y604">
        <v>182.5</v>
      </c>
      <c r="Z604" s="2" t="str">
        <f>CHOOSE(MATCH(Y604,{0;11;80;111;161;191;241;281;341},1),"North","NorthEast","East","SouthEast","South","SouthWest","West","NorthWest","North")</f>
        <v>South</v>
      </c>
      <c r="AA604" s="4">
        <f>CHOOSE(MATCH(Z604,{"South";"SouthEast";"SouthWest";"North";"NorthEast";"East";"West";"NorthWest"},0),1,2,3,4,5,6,7,8)</f>
        <v>1</v>
      </c>
      <c r="AB604" s="2">
        <f t="shared" si="96"/>
        <v>0</v>
      </c>
      <c r="AC604">
        <v>1015</v>
      </c>
      <c r="AD604" t="s">
        <v>942</v>
      </c>
      <c r="AE604" s="2">
        <f t="shared" si="97"/>
        <v>1</v>
      </c>
      <c r="AF604" t="s">
        <v>943</v>
      </c>
      <c r="AG604" s="2">
        <f t="shared" si="98"/>
        <v>4</v>
      </c>
      <c r="AH604" s="2">
        <f t="shared" si="99"/>
        <v>0</v>
      </c>
      <c r="AI604" s="3">
        <v>304.99999999883579</v>
      </c>
      <c r="AJ604" s="2">
        <v>0</v>
      </c>
      <c r="AK604">
        <v>0</v>
      </c>
      <c r="AL604">
        <v>1.5</v>
      </c>
      <c r="AM604">
        <v>0</v>
      </c>
      <c r="AN604" s="2">
        <f>IF((2*G604+M604-O604+3*V604+2*AB604+2*AE604+2*AH604+3*AJ604)&gt;=7,1,0)</f>
        <v>0</v>
      </c>
    </row>
    <row r="605" spans="1:40" x14ac:dyDescent="0.25">
      <c r="A605" t="s">
        <v>27</v>
      </c>
      <c r="B605" s="1">
        <v>38809</v>
      </c>
      <c r="C605" s="6">
        <f t="shared" si="90"/>
        <v>2006</v>
      </c>
      <c r="D605">
        <v>68.099999999999994</v>
      </c>
      <c r="E605">
        <v>50.1</v>
      </c>
      <c r="F605">
        <v>58.7</v>
      </c>
      <c r="G605" s="2">
        <f t="shared" si="91"/>
        <v>0</v>
      </c>
      <c r="H605">
        <v>68.099999999999994</v>
      </c>
      <c r="I605">
        <v>50.1</v>
      </c>
      <c r="J605">
        <v>58.7</v>
      </c>
      <c r="K605">
        <v>43.7</v>
      </c>
      <c r="L605">
        <v>58.8</v>
      </c>
      <c r="M605" s="2">
        <f t="shared" si="92"/>
        <v>1</v>
      </c>
      <c r="N605">
        <v>0</v>
      </c>
      <c r="O605" s="2">
        <f t="shared" si="93"/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s="2">
        <f t="shared" si="94"/>
        <v>0</v>
      </c>
      <c r="W605">
        <v>9.1999999999999993</v>
      </c>
      <c r="X605" s="2">
        <f t="shared" si="95"/>
        <v>0</v>
      </c>
      <c r="Y605">
        <v>182.5</v>
      </c>
      <c r="Z605" s="2" t="str">
        <f>CHOOSE(MATCH(Y605,{0;11;80;111;161;191;241;281;341},1),"North","NorthEast","East","SouthEast","South","SouthWest","West","NorthWest","North")</f>
        <v>South</v>
      </c>
      <c r="AA605" s="4">
        <f>CHOOSE(MATCH(Z605,{"South";"SouthEast";"SouthWest";"North";"NorthEast";"East";"West";"NorthWest"},0),1,2,3,4,5,6,7,8)</f>
        <v>1</v>
      </c>
      <c r="AB605" s="2">
        <f t="shared" si="96"/>
        <v>0</v>
      </c>
      <c r="AC605">
        <v>1015</v>
      </c>
      <c r="AD605" t="s">
        <v>231</v>
      </c>
      <c r="AE605" s="2">
        <f t="shared" si="97"/>
        <v>1</v>
      </c>
      <c r="AF605" t="s">
        <v>944</v>
      </c>
      <c r="AG605" s="2">
        <f t="shared" si="98"/>
        <v>4</v>
      </c>
      <c r="AH605" s="2">
        <f t="shared" si="99"/>
        <v>0</v>
      </c>
      <c r="AI605" s="3">
        <v>1871.0000000009311</v>
      </c>
      <c r="AJ605" s="2">
        <v>1</v>
      </c>
      <c r="AK605">
        <v>0</v>
      </c>
      <c r="AL605">
        <v>2</v>
      </c>
      <c r="AM605">
        <v>0</v>
      </c>
      <c r="AN605" s="2">
        <f>IF((2*G605+M605-O605+3*V605+2*AB605+2*AE605+2*AH605+3*AJ605)&gt;=7,1,0)</f>
        <v>0</v>
      </c>
    </row>
    <row r="606" spans="1:40" x14ac:dyDescent="0.25">
      <c r="A606" t="s">
        <v>27</v>
      </c>
      <c r="B606" s="1">
        <v>38809</v>
      </c>
      <c r="C606" s="6">
        <f t="shared" si="90"/>
        <v>2006</v>
      </c>
      <c r="D606">
        <v>68.099999999999994</v>
      </c>
      <c r="E606">
        <v>50.1</v>
      </c>
      <c r="F606">
        <v>58.7</v>
      </c>
      <c r="G606" s="2">
        <f t="shared" si="91"/>
        <v>0</v>
      </c>
      <c r="H606">
        <v>68.099999999999994</v>
      </c>
      <c r="I606">
        <v>50.1</v>
      </c>
      <c r="J606">
        <v>58.7</v>
      </c>
      <c r="K606">
        <v>43.7</v>
      </c>
      <c r="L606">
        <v>58.8</v>
      </c>
      <c r="M606" s="2">
        <f t="shared" si="92"/>
        <v>1</v>
      </c>
      <c r="N606">
        <v>0</v>
      </c>
      <c r="O606" s="2">
        <f t="shared" si="93"/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 s="2">
        <f t="shared" si="94"/>
        <v>0</v>
      </c>
      <c r="W606">
        <v>9.1999999999999993</v>
      </c>
      <c r="X606" s="2">
        <f t="shared" si="95"/>
        <v>0</v>
      </c>
      <c r="Y606">
        <v>182.5</v>
      </c>
      <c r="Z606" s="2" t="str">
        <f>CHOOSE(MATCH(Y606,{0;11;80;111;161;191;241;281;341},1),"North","NorthEast","East","SouthEast","South","SouthWest","West","NorthWest","North")</f>
        <v>South</v>
      </c>
      <c r="AA606" s="4">
        <f>CHOOSE(MATCH(Z606,{"South";"SouthEast";"SouthWest";"North";"NorthEast";"East";"West";"NorthWest"},0),1,2,3,4,5,6,7,8)</f>
        <v>1</v>
      </c>
      <c r="AB606" s="2">
        <f t="shared" si="96"/>
        <v>0</v>
      </c>
      <c r="AC606">
        <v>1015</v>
      </c>
      <c r="AD606" t="s">
        <v>251</v>
      </c>
      <c r="AE606" s="2">
        <f t="shared" si="97"/>
        <v>1</v>
      </c>
      <c r="AF606" t="s">
        <v>945</v>
      </c>
      <c r="AG606" s="2">
        <f t="shared" si="98"/>
        <v>4</v>
      </c>
      <c r="AH606" s="2">
        <f t="shared" si="99"/>
        <v>0</v>
      </c>
      <c r="AI606" s="3">
        <v>59.99999999650754</v>
      </c>
      <c r="AJ606" s="2">
        <v>0</v>
      </c>
      <c r="AK606">
        <v>0</v>
      </c>
      <c r="AL606">
        <v>0.2</v>
      </c>
      <c r="AM606">
        <v>0</v>
      </c>
      <c r="AN606" s="2">
        <f>IF((2*G606+M606-O606+3*V606+2*AB606+2*AE606+2*AH606+3*AJ606)&gt;=7,1,0)</f>
        <v>0</v>
      </c>
    </row>
    <row r="607" spans="1:40" x14ac:dyDescent="0.25">
      <c r="A607" t="s">
        <v>27</v>
      </c>
      <c r="B607" s="1">
        <v>38812</v>
      </c>
      <c r="C607" s="6">
        <f t="shared" si="90"/>
        <v>2006</v>
      </c>
      <c r="D607">
        <v>62.7</v>
      </c>
      <c r="E607">
        <v>55.5</v>
      </c>
      <c r="F607">
        <v>58.6</v>
      </c>
      <c r="G607" s="2">
        <f t="shared" si="91"/>
        <v>0</v>
      </c>
      <c r="H607">
        <v>62.7</v>
      </c>
      <c r="I607">
        <v>55.5</v>
      </c>
      <c r="J607">
        <v>58.6</v>
      </c>
      <c r="K607">
        <v>45.1</v>
      </c>
      <c r="L607">
        <v>61.2</v>
      </c>
      <c r="M607" s="2">
        <f t="shared" si="92"/>
        <v>1</v>
      </c>
      <c r="N607">
        <v>0</v>
      </c>
      <c r="O607" s="2">
        <f t="shared" si="93"/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s="2">
        <f t="shared" si="94"/>
        <v>0</v>
      </c>
      <c r="W607">
        <v>19.5</v>
      </c>
      <c r="X607" s="2">
        <f t="shared" si="95"/>
        <v>1</v>
      </c>
      <c r="Y607">
        <v>319.3</v>
      </c>
      <c r="Z607" s="2" t="str">
        <f>CHOOSE(MATCH(Y607,{0;11;80;111;161;191;241;281;341},1),"North","NorthEast","East","SouthEast","South","SouthWest","West","NorthWest","North")</f>
        <v>NorthWest</v>
      </c>
      <c r="AA607" s="4">
        <f>CHOOSE(MATCH(Z607,{"South";"SouthEast";"SouthWest";"North";"NorthEast";"East";"West";"NorthWest"},0),1,2,3,4,5,6,7,8)</f>
        <v>8</v>
      </c>
      <c r="AB607" s="2">
        <f t="shared" si="96"/>
        <v>1</v>
      </c>
      <c r="AC607">
        <v>1013.4</v>
      </c>
      <c r="AD607" t="s">
        <v>266</v>
      </c>
      <c r="AE607" s="2">
        <f t="shared" si="97"/>
        <v>1</v>
      </c>
      <c r="AF607" t="s">
        <v>946</v>
      </c>
      <c r="AG607" s="2">
        <f t="shared" si="98"/>
        <v>4</v>
      </c>
      <c r="AH607" s="2">
        <f t="shared" si="99"/>
        <v>0</v>
      </c>
      <c r="AI607" s="3">
        <v>1339.9999999988361</v>
      </c>
      <c r="AJ607" s="2">
        <v>1</v>
      </c>
      <c r="AK607">
        <v>0</v>
      </c>
      <c r="AL607">
        <v>3</v>
      </c>
      <c r="AM607">
        <v>0</v>
      </c>
      <c r="AN607" s="2">
        <f>IF((2*G607+M607-O607+3*V607+2*AB607+2*AE607+2*AH607+3*AJ607)&gt;=7,1,0)</f>
        <v>1</v>
      </c>
    </row>
    <row r="608" spans="1:40" x14ac:dyDescent="0.25">
      <c r="A608" t="s">
        <v>27</v>
      </c>
      <c r="B608" s="1">
        <v>38817</v>
      </c>
      <c r="C608" s="6">
        <f t="shared" si="90"/>
        <v>2006</v>
      </c>
      <c r="D608">
        <v>62.7</v>
      </c>
      <c r="E608">
        <v>51.9</v>
      </c>
      <c r="F608">
        <v>58.7</v>
      </c>
      <c r="G608" s="2">
        <f t="shared" si="91"/>
        <v>0</v>
      </c>
      <c r="H608">
        <v>62.7</v>
      </c>
      <c r="I608">
        <v>51.9</v>
      </c>
      <c r="J608">
        <v>58.7</v>
      </c>
      <c r="K608">
        <v>45.6</v>
      </c>
      <c r="L608">
        <v>62.3</v>
      </c>
      <c r="M608" s="2">
        <f t="shared" si="92"/>
        <v>1</v>
      </c>
      <c r="N608">
        <v>0</v>
      </c>
      <c r="O608" s="2">
        <f t="shared" si="93"/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 s="2">
        <f t="shared" si="94"/>
        <v>0</v>
      </c>
      <c r="W608">
        <v>21.9</v>
      </c>
      <c r="X608" s="2">
        <f t="shared" si="95"/>
        <v>1</v>
      </c>
      <c r="Y608">
        <v>315.7</v>
      </c>
      <c r="Z608" s="2" t="str">
        <f>CHOOSE(MATCH(Y608,{0;11;80;111;161;191;241;281;341},1),"North","NorthEast","East","SouthEast","South","SouthWest","West","NorthWest","North")</f>
        <v>NorthWest</v>
      </c>
      <c r="AA608" s="4">
        <f>CHOOSE(MATCH(Z608,{"South";"SouthEast";"SouthWest";"North";"NorthEast";"East";"West";"NorthWest"},0),1,2,3,4,5,6,7,8)</f>
        <v>8</v>
      </c>
      <c r="AB608" s="2">
        <f t="shared" si="96"/>
        <v>1</v>
      </c>
      <c r="AC608">
        <v>1018.4</v>
      </c>
      <c r="AD608" t="s">
        <v>947</v>
      </c>
      <c r="AE608" s="2">
        <f t="shared" si="97"/>
        <v>1</v>
      </c>
      <c r="AF608" t="s">
        <v>948</v>
      </c>
      <c r="AG608" s="2">
        <f t="shared" si="98"/>
        <v>4</v>
      </c>
      <c r="AH608" s="2">
        <f t="shared" si="99"/>
        <v>0</v>
      </c>
      <c r="AI608" s="3">
        <v>1270.0000000011639</v>
      </c>
      <c r="AJ608" s="2">
        <v>1</v>
      </c>
      <c r="AK608">
        <v>0</v>
      </c>
      <c r="AL608">
        <v>25</v>
      </c>
      <c r="AM608">
        <v>0</v>
      </c>
      <c r="AN608" s="2">
        <f>IF((2*G608+M608-O608+3*V608+2*AB608+2*AE608+2*AH608+3*AJ608)&gt;=7,1,0)</f>
        <v>1</v>
      </c>
    </row>
    <row r="609" spans="1:40" x14ac:dyDescent="0.25">
      <c r="A609" t="s">
        <v>27</v>
      </c>
      <c r="B609" s="1">
        <v>38818</v>
      </c>
      <c r="C609" s="6">
        <f t="shared" si="90"/>
        <v>2006</v>
      </c>
      <c r="D609">
        <v>71.7</v>
      </c>
      <c r="E609">
        <v>50.1</v>
      </c>
      <c r="F609">
        <v>59.7</v>
      </c>
      <c r="G609" s="2">
        <f t="shared" si="91"/>
        <v>0</v>
      </c>
      <c r="H609">
        <v>71.7</v>
      </c>
      <c r="I609">
        <v>50.1</v>
      </c>
      <c r="J609">
        <v>59.7</v>
      </c>
      <c r="K609">
        <v>40.200000000000003</v>
      </c>
      <c r="L609">
        <v>51.1</v>
      </c>
      <c r="M609" s="2">
        <f t="shared" si="92"/>
        <v>1</v>
      </c>
      <c r="N609">
        <v>0</v>
      </c>
      <c r="O609" s="2">
        <f t="shared" si="93"/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 s="2">
        <f t="shared" si="94"/>
        <v>0</v>
      </c>
      <c r="W609">
        <v>17.2</v>
      </c>
      <c r="X609" s="2">
        <f t="shared" si="95"/>
        <v>1</v>
      </c>
      <c r="Y609">
        <v>171.7</v>
      </c>
      <c r="Z609" s="2" t="str">
        <f>CHOOSE(MATCH(Y609,{0;11;80;111;161;191;241;281;341},1),"North","NorthEast","East","SouthEast","South","SouthWest","West","NorthWest","North")</f>
        <v>South</v>
      </c>
      <c r="AA609" s="4">
        <f>CHOOSE(MATCH(Z609,{"South";"SouthEast";"SouthWest";"North";"NorthEast";"East";"West";"NorthWest"},0),1,2,3,4,5,6,7,8)</f>
        <v>1</v>
      </c>
      <c r="AB609" s="2">
        <f t="shared" si="96"/>
        <v>0</v>
      </c>
      <c r="AC609">
        <v>1016.7</v>
      </c>
      <c r="AD609" t="s">
        <v>639</v>
      </c>
      <c r="AE609" s="2">
        <f t="shared" si="97"/>
        <v>1</v>
      </c>
      <c r="AF609" t="s">
        <v>949</v>
      </c>
      <c r="AG609" s="2">
        <f t="shared" si="98"/>
        <v>4</v>
      </c>
      <c r="AH609" s="2">
        <f t="shared" si="99"/>
        <v>0</v>
      </c>
      <c r="AI609" s="3">
        <v>985.00000000465661</v>
      </c>
      <c r="AJ609" s="2">
        <v>1</v>
      </c>
      <c r="AK609">
        <v>0</v>
      </c>
      <c r="AL609">
        <v>3</v>
      </c>
      <c r="AM609">
        <v>0</v>
      </c>
      <c r="AN609" s="2">
        <f>IF((2*G609+M609-O609+3*V609+2*AB609+2*AE609+2*AH609+3*AJ609)&gt;=7,1,0)</f>
        <v>0</v>
      </c>
    </row>
    <row r="610" spans="1:40" x14ac:dyDescent="0.25">
      <c r="A610" t="s">
        <v>27</v>
      </c>
      <c r="B610" s="1">
        <v>38819</v>
      </c>
      <c r="C610" s="6">
        <f t="shared" si="90"/>
        <v>2006</v>
      </c>
      <c r="D610">
        <v>80.7</v>
      </c>
      <c r="E610">
        <v>60.9</v>
      </c>
      <c r="F610">
        <v>72.900000000000006</v>
      </c>
      <c r="G610" s="2">
        <f t="shared" si="91"/>
        <v>1</v>
      </c>
      <c r="H610">
        <v>78.900000000000006</v>
      </c>
      <c r="I610">
        <v>60.9</v>
      </c>
      <c r="J610">
        <v>72.7</v>
      </c>
      <c r="K610">
        <v>28.7</v>
      </c>
      <c r="L610">
        <v>26.9</v>
      </c>
      <c r="M610" s="2">
        <f t="shared" si="92"/>
        <v>1</v>
      </c>
      <c r="N610">
        <v>0</v>
      </c>
      <c r="O610" s="2">
        <f t="shared" si="93"/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s="2">
        <f t="shared" si="94"/>
        <v>0</v>
      </c>
      <c r="W610">
        <v>32.200000000000003</v>
      </c>
      <c r="X610" s="2">
        <f t="shared" si="95"/>
        <v>1</v>
      </c>
      <c r="Y610">
        <v>201.2</v>
      </c>
      <c r="Z610" s="2" t="str">
        <f>CHOOSE(MATCH(Y610,{0;11;80;111;161;191;241;281;341},1),"North","NorthEast","East","SouthEast","South","SouthWest","West","NorthWest","North")</f>
        <v>SouthWest</v>
      </c>
      <c r="AA610" s="4">
        <f>CHOOSE(MATCH(Z610,{"South";"SouthEast";"SouthWest";"North";"NorthEast";"East";"West";"NorthWest"},0),1,2,3,4,5,6,7,8)</f>
        <v>3</v>
      </c>
      <c r="AB610" s="2">
        <f t="shared" si="96"/>
        <v>0</v>
      </c>
      <c r="AC610">
        <v>1007.6</v>
      </c>
      <c r="AD610" t="s">
        <v>291</v>
      </c>
      <c r="AE610" s="2">
        <f t="shared" si="97"/>
        <v>1</v>
      </c>
      <c r="AF610" t="s">
        <v>950</v>
      </c>
      <c r="AG610" s="2">
        <f t="shared" si="98"/>
        <v>4</v>
      </c>
      <c r="AH610" s="2">
        <f t="shared" si="99"/>
        <v>0</v>
      </c>
      <c r="AI610" s="3">
        <v>95.999999998603016</v>
      </c>
      <c r="AJ610" s="2">
        <v>0</v>
      </c>
      <c r="AK610">
        <v>0</v>
      </c>
      <c r="AL610">
        <v>0.02</v>
      </c>
      <c r="AM610">
        <v>0</v>
      </c>
      <c r="AN610" s="2">
        <f>IF((2*G610+M610-O610+3*V610+2*AB610+2*AE610+2*AH610+3*AJ610)&gt;=7,1,0)</f>
        <v>0</v>
      </c>
    </row>
    <row r="611" spans="1:40" x14ac:dyDescent="0.25">
      <c r="A611" t="s">
        <v>27</v>
      </c>
      <c r="B611" s="1">
        <v>38819</v>
      </c>
      <c r="C611" s="6">
        <f t="shared" si="90"/>
        <v>2006</v>
      </c>
      <c r="D611">
        <v>80.7</v>
      </c>
      <c r="E611">
        <v>60.9</v>
      </c>
      <c r="F611">
        <v>72.900000000000006</v>
      </c>
      <c r="G611" s="2">
        <f t="shared" si="91"/>
        <v>1</v>
      </c>
      <c r="H611">
        <v>78.900000000000006</v>
      </c>
      <c r="I611">
        <v>60.9</v>
      </c>
      <c r="J611">
        <v>72.7</v>
      </c>
      <c r="K611">
        <v>28.7</v>
      </c>
      <c r="L611">
        <v>26.9</v>
      </c>
      <c r="M611" s="2">
        <f t="shared" si="92"/>
        <v>1</v>
      </c>
      <c r="N611">
        <v>0</v>
      </c>
      <c r="O611" s="2">
        <f t="shared" si="93"/>
        <v>1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 s="2">
        <f t="shared" si="94"/>
        <v>0</v>
      </c>
      <c r="W611">
        <v>32.200000000000003</v>
      </c>
      <c r="X611" s="2">
        <f t="shared" si="95"/>
        <v>1</v>
      </c>
      <c r="Y611">
        <v>201.2</v>
      </c>
      <c r="Z611" s="2" t="str">
        <f>CHOOSE(MATCH(Y611,{0;11;80;111;161;191;241;281;341},1),"North","NorthEast","East","SouthEast","South","SouthWest","West","NorthWest","North")</f>
        <v>SouthWest</v>
      </c>
      <c r="AA611" s="4">
        <f>CHOOSE(MATCH(Z611,{"South";"SouthEast";"SouthWest";"North";"NorthEast";"East";"West";"NorthWest"},0),1,2,3,4,5,6,7,8)</f>
        <v>3</v>
      </c>
      <c r="AB611" s="2">
        <f t="shared" si="96"/>
        <v>0</v>
      </c>
      <c r="AC611">
        <v>1007.6</v>
      </c>
      <c r="AD611" t="s">
        <v>951</v>
      </c>
      <c r="AE611" s="2">
        <f t="shared" si="97"/>
        <v>1</v>
      </c>
      <c r="AF611" t="s">
        <v>952</v>
      </c>
      <c r="AG611" s="2">
        <f t="shared" si="98"/>
        <v>4</v>
      </c>
      <c r="AH611" s="2">
        <f t="shared" si="99"/>
        <v>0</v>
      </c>
      <c r="AI611" s="3">
        <v>74.999999993015081</v>
      </c>
      <c r="AJ611" s="2">
        <v>0</v>
      </c>
      <c r="AK611">
        <v>0</v>
      </c>
      <c r="AL611">
        <v>3</v>
      </c>
      <c r="AM611">
        <v>0</v>
      </c>
      <c r="AN611" s="2">
        <f>IF((2*G611+M611-O611+3*V611+2*AB611+2*AE611+2*AH611+3*AJ611)&gt;=7,1,0)</f>
        <v>0</v>
      </c>
    </row>
    <row r="612" spans="1:40" x14ac:dyDescent="0.25">
      <c r="A612" t="s">
        <v>27</v>
      </c>
      <c r="B612" s="1">
        <v>38825</v>
      </c>
      <c r="C612" s="6">
        <f t="shared" si="90"/>
        <v>2006</v>
      </c>
      <c r="D612">
        <v>73.5</v>
      </c>
      <c r="E612">
        <v>55.5</v>
      </c>
      <c r="F612">
        <v>63.2</v>
      </c>
      <c r="G612" s="2">
        <f t="shared" si="91"/>
        <v>0</v>
      </c>
      <c r="H612">
        <v>73.5</v>
      </c>
      <c r="I612">
        <v>55.5</v>
      </c>
      <c r="J612">
        <v>63.2</v>
      </c>
      <c r="K612">
        <v>51.4</v>
      </c>
      <c r="L612">
        <v>66.400000000000006</v>
      </c>
      <c r="M612" s="2">
        <f t="shared" si="92"/>
        <v>0</v>
      </c>
      <c r="N612">
        <v>0</v>
      </c>
      <c r="O612" s="2">
        <f t="shared" si="93"/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s="2">
        <f t="shared" si="94"/>
        <v>0</v>
      </c>
      <c r="W612">
        <v>18.3</v>
      </c>
      <c r="X612" s="2">
        <f t="shared" si="95"/>
        <v>1</v>
      </c>
      <c r="Y612">
        <v>153.5</v>
      </c>
      <c r="Z612" s="2" t="str">
        <f>CHOOSE(MATCH(Y612,{0;11;80;111;161;191;241;281;341},1),"North","NorthEast","East","SouthEast","South","SouthWest","West","NorthWest","North")</f>
        <v>SouthEast</v>
      </c>
      <c r="AA612" s="4">
        <f>CHOOSE(MATCH(Z612,{"South";"SouthEast";"SouthWest";"North";"NorthEast";"East";"West";"NorthWest"},0),1,2,3,4,5,6,7,8)</f>
        <v>2</v>
      </c>
      <c r="AB612" s="2">
        <f t="shared" si="96"/>
        <v>0</v>
      </c>
      <c r="AC612">
        <v>1010.9</v>
      </c>
      <c r="AD612" t="s">
        <v>939</v>
      </c>
      <c r="AE612" s="2">
        <f t="shared" si="97"/>
        <v>1</v>
      </c>
      <c r="AF612" t="s">
        <v>953</v>
      </c>
      <c r="AG612" s="2">
        <f t="shared" si="98"/>
        <v>4</v>
      </c>
      <c r="AH612" s="2">
        <f t="shared" si="99"/>
        <v>0</v>
      </c>
      <c r="AI612" s="3">
        <v>1184.999999996508</v>
      </c>
      <c r="AJ612" s="2">
        <v>1</v>
      </c>
      <c r="AK612">
        <v>0</v>
      </c>
      <c r="AL612">
        <v>3</v>
      </c>
      <c r="AM612">
        <v>0</v>
      </c>
      <c r="AN612" s="2">
        <f>IF((2*G612+M612-O612+3*V612+2*AB612+2*AE612+2*AH612+3*AJ612)&gt;=7,1,0)</f>
        <v>0</v>
      </c>
    </row>
    <row r="613" spans="1:40" x14ac:dyDescent="0.25">
      <c r="A613" t="s">
        <v>27</v>
      </c>
      <c r="B613" s="1">
        <v>38826</v>
      </c>
      <c r="C613" s="6">
        <f t="shared" si="90"/>
        <v>2006</v>
      </c>
      <c r="D613">
        <v>78.900000000000006</v>
      </c>
      <c r="E613">
        <v>59.1</v>
      </c>
      <c r="F613">
        <v>69.599999999999994</v>
      </c>
      <c r="G613" s="2">
        <f t="shared" si="91"/>
        <v>0</v>
      </c>
      <c r="H613">
        <v>78.900000000000006</v>
      </c>
      <c r="I613">
        <v>59.1</v>
      </c>
      <c r="J613">
        <v>69.599999999999994</v>
      </c>
      <c r="K613">
        <v>39.4</v>
      </c>
      <c r="L613">
        <v>41.8</v>
      </c>
      <c r="M613" s="2">
        <f t="shared" si="92"/>
        <v>1</v>
      </c>
      <c r="N613">
        <v>0</v>
      </c>
      <c r="O613" s="2">
        <f t="shared" si="93"/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 s="2">
        <f t="shared" si="94"/>
        <v>0</v>
      </c>
      <c r="W613">
        <v>21.9</v>
      </c>
      <c r="X613" s="2">
        <f t="shared" si="95"/>
        <v>1</v>
      </c>
      <c r="Y613">
        <v>164.3</v>
      </c>
      <c r="Z613" s="2" t="str">
        <f>CHOOSE(MATCH(Y613,{0;11;80;111;161;191;241;281;341},1),"North","NorthEast","East","SouthEast","South","SouthWest","West","NorthWest","North")</f>
        <v>South</v>
      </c>
      <c r="AA613" s="4">
        <f>CHOOSE(MATCH(Z613,{"South";"SouthEast";"SouthWest";"North";"NorthEast";"East";"West";"NorthWest"},0),1,2,3,4,5,6,7,8)</f>
        <v>1</v>
      </c>
      <c r="AB613" s="2">
        <f t="shared" si="96"/>
        <v>0</v>
      </c>
      <c r="AC613">
        <v>1009.7</v>
      </c>
      <c r="AD613" t="s">
        <v>954</v>
      </c>
      <c r="AE613" s="2">
        <f t="shared" si="97"/>
        <v>0</v>
      </c>
      <c r="AF613" t="s">
        <v>955</v>
      </c>
      <c r="AG613" s="2">
        <f t="shared" si="98"/>
        <v>4</v>
      </c>
      <c r="AH613" s="2">
        <f t="shared" si="99"/>
        <v>0</v>
      </c>
      <c r="AI613" s="3">
        <v>300.00000000349252</v>
      </c>
      <c r="AJ613" s="2">
        <v>0</v>
      </c>
      <c r="AK613">
        <v>0</v>
      </c>
      <c r="AL613">
        <v>1</v>
      </c>
      <c r="AM613">
        <v>0</v>
      </c>
      <c r="AN613" s="2">
        <f>IF((2*G613+M613-O613+3*V613+2*AB613+2*AE613+2*AH613+3*AJ613)&gt;=7,1,0)</f>
        <v>0</v>
      </c>
    </row>
    <row r="614" spans="1:40" x14ac:dyDescent="0.25">
      <c r="A614" t="s">
        <v>27</v>
      </c>
      <c r="B614" s="1">
        <v>38845</v>
      </c>
      <c r="C614" s="6">
        <f t="shared" si="90"/>
        <v>2006</v>
      </c>
      <c r="D614">
        <v>68.099999999999994</v>
      </c>
      <c r="E614">
        <v>51.9</v>
      </c>
      <c r="F614">
        <v>60.6</v>
      </c>
      <c r="G614" s="2">
        <f t="shared" si="91"/>
        <v>0</v>
      </c>
      <c r="H614">
        <v>68.099999999999994</v>
      </c>
      <c r="I614">
        <v>51.9</v>
      </c>
      <c r="J614">
        <v>60.6</v>
      </c>
      <c r="K614">
        <v>46.7</v>
      </c>
      <c r="L614">
        <v>61.1</v>
      </c>
      <c r="M614" s="2">
        <f t="shared" si="92"/>
        <v>1</v>
      </c>
      <c r="N614">
        <v>0</v>
      </c>
      <c r="O614" s="2">
        <f t="shared" si="93"/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s="2">
        <f t="shared" si="94"/>
        <v>0</v>
      </c>
      <c r="W614">
        <v>21.9</v>
      </c>
      <c r="X614" s="2">
        <f t="shared" si="95"/>
        <v>1</v>
      </c>
      <c r="Y614">
        <v>292.2</v>
      </c>
      <c r="Z614" s="2" t="str">
        <f>CHOOSE(MATCH(Y614,{0;11;80;111;161;191;241;281;341},1),"North","NorthEast","East","SouthEast","South","SouthWest","West","NorthWest","North")</f>
        <v>NorthWest</v>
      </c>
      <c r="AA614" s="4">
        <f>CHOOSE(MATCH(Z614,{"South";"SouthEast";"SouthWest";"North";"NorthEast";"East";"West";"NorthWest"},0),1,2,3,4,5,6,7,8)</f>
        <v>8</v>
      </c>
      <c r="AB614" s="2">
        <f t="shared" si="96"/>
        <v>1</v>
      </c>
      <c r="AC614">
        <v>1015.2</v>
      </c>
      <c r="AD614" t="s">
        <v>956</v>
      </c>
      <c r="AE614" s="2">
        <f t="shared" si="97"/>
        <v>0</v>
      </c>
      <c r="AF614" t="s">
        <v>957</v>
      </c>
      <c r="AG614" s="2">
        <f t="shared" si="98"/>
        <v>5</v>
      </c>
      <c r="AH614" s="2">
        <f t="shared" si="99"/>
        <v>0</v>
      </c>
      <c r="AI614" s="3">
        <v>56.999999997206032</v>
      </c>
      <c r="AJ614" s="2">
        <v>0</v>
      </c>
      <c r="AK614">
        <v>0</v>
      </c>
      <c r="AL614">
        <v>0.1</v>
      </c>
      <c r="AM614">
        <v>0</v>
      </c>
      <c r="AN614" s="2">
        <f>IF((2*G614+M614-O614+3*V614+2*AB614+2*AE614+2*AH614+3*AJ614)&gt;=7,1,0)</f>
        <v>0</v>
      </c>
    </row>
    <row r="615" spans="1:40" x14ac:dyDescent="0.25">
      <c r="A615" t="s">
        <v>27</v>
      </c>
      <c r="B615" s="1">
        <v>38854</v>
      </c>
      <c r="C615" s="6">
        <f t="shared" si="90"/>
        <v>2006</v>
      </c>
      <c r="D615">
        <v>73.5</v>
      </c>
      <c r="E615">
        <v>62.7</v>
      </c>
      <c r="F615">
        <v>67.7</v>
      </c>
      <c r="G615" s="2">
        <f t="shared" si="91"/>
        <v>0</v>
      </c>
      <c r="H615">
        <v>73.5</v>
      </c>
      <c r="I615">
        <v>62.7</v>
      </c>
      <c r="J615">
        <v>67.7</v>
      </c>
      <c r="K615">
        <v>49.6</v>
      </c>
      <c r="L615">
        <v>52.8</v>
      </c>
      <c r="M615" s="2">
        <f t="shared" si="92"/>
        <v>1</v>
      </c>
      <c r="N615">
        <v>0</v>
      </c>
      <c r="O615" s="2">
        <f t="shared" si="93"/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 s="2">
        <f t="shared" si="94"/>
        <v>0</v>
      </c>
      <c r="W615">
        <v>19.5</v>
      </c>
      <c r="X615" s="2">
        <f t="shared" si="95"/>
        <v>1</v>
      </c>
      <c r="Y615">
        <v>303</v>
      </c>
      <c r="Z615" s="2" t="str">
        <f>CHOOSE(MATCH(Y615,{0;11;80;111;161;191;241;281;341},1),"North","NorthEast","East","SouthEast","South","SouthWest","West","NorthWest","North")</f>
        <v>NorthWest</v>
      </c>
      <c r="AA615" s="4">
        <f>CHOOSE(MATCH(Z615,{"South";"SouthEast";"SouthWest";"North";"NorthEast";"East";"West";"NorthWest"},0),1,2,3,4,5,6,7,8)</f>
        <v>8</v>
      </c>
      <c r="AB615" s="2">
        <f t="shared" si="96"/>
        <v>1</v>
      </c>
      <c r="AC615">
        <v>1016.5</v>
      </c>
      <c r="AD615" t="s">
        <v>958</v>
      </c>
      <c r="AE615" s="2">
        <f t="shared" si="97"/>
        <v>1</v>
      </c>
      <c r="AF615" t="s">
        <v>959</v>
      </c>
      <c r="AG615" s="2">
        <f t="shared" si="98"/>
        <v>5</v>
      </c>
      <c r="AH615" s="2">
        <f t="shared" si="99"/>
        <v>0</v>
      </c>
      <c r="AI615" s="3">
        <v>331.99999999254942</v>
      </c>
      <c r="AJ615" s="2">
        <v>0</v>
      </c>
      <c r="AK615">
        <v>0</v>
      </c>
      <c r="AL615">
        <v>2</v>
      </c>
      <c r="AM615">
        <v>0</v>
      </c>
      <c r="AN615" s="2">
        <f>IF((2*G615+M615-O615+3*V615+2*AB615+2*AE615+2*AH615+3*AJ615)&gt;=7,1,0)</f>
        <v>0</v>
      </c>
    </row>
    <row r="616" spans="1:40" x14ac:dyDescent="0.25">
      <c r="A616" t="s">
        <v>27</v>
      </c>
      <c r="B616" s="1">
        <v>38862</v>
      </c>
      <c r="C616" s="6">
        <f t="shared" si="90"/>
        <v>2006</v>
      </c>
      <c r="D616">
        <v>78.900000000000006</v>
      </c>
      <c r="E616">
        <v>66.3</v>
      </c>
      <c r="F616">
        <v>73</v>
      </c>
      <c r="G616" s="2">
        <f t="shared" si="91"/>
        <v>1</v>
      </c>
      <c r="H616">
        <v>78.900000000000006</v>
      </c>
      <c r="I616">
        <v>66.3</v>
      </c>
      <c r="J616">
        <v>73</v>
      </c>
      <c r="K616">
        <v>55.4</v>
      </c>
      <c r="L616">
        <v>54.5</v>
      </c>
      <c r="M616" s="2">
        <f t="shared" si="92"/>
        <v>1</v>
      </c>
      <c r="N616">
        <v>0</v>
      </c>
      <c r="O616" s="2">
        <f t="shared" si="93"/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s="2">
        <f t="shared" si="94"/>
        <v>0</v>
      </c>
      <c r="W616">
        <v>11.4</v>
      </c>
      <c r="X616" s="2">
        <f t="shared" si="95"/>
        <v>0</v>
      </c>
      <c r="Y616">
        <v>171.7</v>
      </c>
      <c r="Z616" s="2" t="str">
        <f>CHOOSE(MATCH(Y616,{0;11;80;111;161;191;241;281;341},1),"North","NorthEast","East","SouthEast","South","SouthWest","West","NorthWest","North")</f>
        <v>South</v>
      </c>
      <c r="AA616" s="4">
        <f>CHOOSE(MATCH(Z616,{"South";"SouthEast";"SouthWest";"North";"NorthEast";"East";"West";"NorthWest"},0),1,2,3,4,5,6,7,8)</f>
        <v>1</v>
      </c>
      <c r="AB616" s="2">
        <f t="shared" si="96"/>
        <v>0</v>
      </c>
      <c r="AC616">
        <v>1011.5</v>
      </c>
      <c r="AD616" t="s">
        <v>960</v>
      </c>
      <c r="AE616" s="2">
        <f t="shared" si="97"/>
        <v>1</v>
      </c>
      <c r="AF616" t="s">
        <v>961</v>
      </c>
      <c r="AG616" s="2">
        <f t="shared" si="98"/>
        <v>5</v>
      </c>
      <c r="AH616" s="2">
        <f t="shared" si="99"/>
        <v>0</v>
      </c>
      <c r="AI616" s="3">
        <v>55.999999993946403</v>
      </c>
      <c r="AJ616" s="2">
        <v>0</v>
      </c>
      <c r="AK616">
        <v>1</v>
      </c>
      <c r="AL616">
        <v>0</v>
      </c>
      <c r="AM616">
        <v>0</v>
      </c>
      <c r="AN616" s="2">
        <f>IF((2*G616+M616-O616+3*V616+2*AB616+2*AE616+2*AH616+3*AJ616)&gt;=7,1,0)</f>
        <v>0</v>
      </c>
    </row>
    <row r="617" spans="1:40" x14ac:dyDescent="0.25">
      <c r="A617" t="s">
        <v>27</v>
      </c>
      <c r="B617" s="1">
        <v>38865</v>
      </c>
      <c r="C617" s="6">
        <f t="shared" si="90"/>
        <v>2006</v>
      </c>
      <c r="D617">
        <v>77.099999999999994</v>
      </c>
      <c r="E617">
        <v>62.7</v>
      </c>
      <c r="F617">
        <v>71.599999999999994</v>
      </c>
      <c r="G617" s="2">
        <f t="shared" si="91"/>
        <v>1</v>
      </c>
      <c r="H617">
        <v>77.099999999999994</v>
      </c>
      <c r="I617">
        <v>62.7</v>
      </c>
      <c r="J617">
        <v>71.599999999999994</v>
      </c>
      <c r="K617">
        <v>58.5</v>
      </c>
      <c r="L617">
        <v>63.8</v>
      </c>
      <c r="M617" s="2">
        <f t="shared" si="92"/>
        <v>1</v>
      </c>
      <c r="N617">
        <v>0</v>
      </c>
      <c r="O617" s="2">
        <f t="shared" si="93"/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s="2">
        <f t="shared" si="94"/>
        <v>0</v>
      </c>
      <c r="W617">
        <v>11.4</v>
      </c>
      <c r="X617" s="2">
        <f t="shared" si="95"/>
        <v>0</v>
      </c>
      <c r="Y617">
        <v>325.7</v>
      </c>
      <c r="Z617" s="2" t="str">
        <f>CHOOSE(MATCH(Y617,{0;11;80;111;161;191;241;281;341},1),"North","NorthEast","East","SouthEast","South","SouthWest","West","NorthWest","North")</f>
        <v>NorthWest</v>
      </c>
      <c r="AA617" s="4">
        <f>CHOOSE(MATCH(Z617,{"South";"SouthEast";"SouthWest";"North";"NorthEast";"East";"West";"NorthWest"},0),1,2,3,4,5,6,7,8)</f>
        <v>8</v>
      </c>
      <c r="AB617" s="2">
        <f t="shared" si="96"/>
        <v>1</v>
      </c>
      <c r="AC617">
        <v>1016.6</v>
      </c>
      <c r="AD617" t="s">
        <v>892</v>
      </c>
      <c r="AE617" s="2">
        <f t="shared" si="97"/>
        <v>0</v>
      </c>
      <c r="AF617" t="s">
        <v>962</v>
      </c>
      <c r="AG617" s="2">
        <f t="shared" si="98"/>
        <v>5</v>
      </c>
      <c r="AH617" s="2">
        <f t="shared" si="99"/>
        <v>0</v>
      </c>
      <c r="AI617" s="3">
        <v>74.999999993015081</v>
      </c>
      <c r="AJ617" s="2">
        <v>0</v>
      </c>
      <c r="AK617">
        <v>2</v>
      </c>
      <c r="AL617">
        <v>0</v>
      </c>
      <c r="AM617">
        <v>0</v>
      </c>
      <c r="AN617" s="2">
        <f>IF((2*G617+M617-O617+3*V617+2*AB617+2*AE617+2*AH617+3*AJ617)&gt;=7,1,0)</f>
        <v>0</v>
      </c>
    </row>
    <row r="618" spans="1:40" x14ac:dyDescent="0.25">
      <c r="A618" t="s">
        <v>27</v>
      </c>
      <c r="B618" s="1">
        <v>38872</v>
      </c>
      <c r="C618" s="6">
        <f t="shared" si="90"/>
        <v>2006</v>
      </c>
      <c r="D618">
        <v>73.5</v>
      </c>
      <c r="E618">
        <v>66.3</v>
      </c>
      <c r="F618">
        <v>70.3</v>
      </c>
      <c r="G618" s="2">
        <f t="shared" si="91"/>
        <v>1</v>
      </c>
      <c r="H618">
        <v>73.5</v>
      </c>
      <c r="I618">
        <v>66.3</v>
      </c>
      <c r="J618">
        <v>70.3</v>
      </c>
      <c r="K618">
        <v>56.3</v>
      </c>
      <c r="L618">
        <v>61.5</v>
      </c>
      <c r="M618" s="2">
        <f t="shared" si="92"/>
        <v>1</v>
      </c>
      <c r="N618">
        <v>0</v>
      </c>
      <c r="O618" s="2">
        <f t="shared" si="93"/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s="2">
        <f t="shared" si="94"/>
        <v>0</v>
      </c>
      <c r="W618">
        <v>17.2</v>
      </c>
      <c r="X618" s="2">
        <f t="shared" si="95"/>
        <v>1</v>
      </c>
      <c r="Y618">
        <v>311.89999999999998</v>
      </c>
      <c r="Z618" s="2" t="str">
        <f>CHOOSE(MATCH(Y618,{0;11;80;111;161;191;241;281;341},1),"North","NorthEast","East","SouthEast","South","SouthWest","West","NorthWest","North")</f>
        <v>NorthWest</v>
      </c>
      <c r="AA618" s="4">
        <f>CHOOSE(MATCH(Z618,{"South";"SouthEast";"SouthWest";"North";"NorthEast";"East";"West";"NorthWest"},0),1,2,3,4,5,6,7,8)</f>
        <v>8</v>
      </c>
      <c r="AB618" s="2">
        <f t="shared" si="96"/>
        <v>1</v>
      </c>
      <c r="AC618">
        <v>1014.3</v>
      </c>
      <c r="AD618" t="s">
        <v>627</v>
      </c>
      <c r="AE618" s="2">
        <f t="shared" si="97"/>
        <v>0</v>
      </c>
      <c r="AF618" t="s">
        <v>963</v>
      </c>
      <c r="AG618" s="2">
        <f t="shared" si="98"/>
        <v>6</v>
      </c>
      <c r="AH618" s="2">
        <f t="shared" si="99"/>
        <v>1</v>
      </c>
      <c r="AI618" s="3">
        <v>744.99999999767169</v>
      </c>
      <c r="AJ618" s="2">
        <v>1</v>
      </c>
      <c r="AK618">
        <v>0</v>
      </c>
      <c r="AL618">
        <v>1</v>
      </c>
      <c r="AM618">
        <v>0</v>
      </c>
      <c r="AN618" s="2">
        <f>IF((2*G618+M618-O618+3*V618+2*AB618+2*AE618+2*AH618+3*AJ618)&gt;=7,1,0)</f>
        <v>1</v>
      </c>
    </row>
    <row r="619" spans="1:40" x14ac:dyDescent="0.25">
      <c r="A619" t="s">
        <v>27</v>
      </c>
      <c r="B619" s="1">
        <v>38876</v>
      </c>
      <c r="C619" s="6">
        <f t="shared" si="90"/>
        <v>2006</v>
      </c>
      <c r="D619">
        <v>75.3</v>
      </c>
      <c r="E619">
        <v>60.9</v>
      </c>
      <c r="F619">
        <v>70.5</v>
      </c>
      <c r="G619" s="2">
        <f t="shared" si="91"/>
        <v>1</v>
      </c>
      <c r="H619">
        <v>75.3</v>
      </c>
      <c r="I619">
        <v>60.9</v>
      </c>
      <c r="J619">
        <v>70.5</v>
      </c>
      <c r="K619">
        <v>52.3</v>
      </c>
      <c r="L619">
        <v>53.3</v>
      </c>
      <c r="M619" s="2">
        <f t="shared" si="92"/>
        <v>1</v>
      </c>
      <c r="N619">
        <v>0</v>
      </c>
      <c r="O619" s="2">
        <f t="shared" si="93"/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 s="2">
        <f t="shared" si="94"/>
        <v>0</v>
      </c>
      <c r="W619">
        <v>26.4</v>
      </c>
      <c r="X619" s="2">
        <f t="shared" si="95"/>
        <v>1</v>
      </c>
      <c r="Y619">
        <v>304</v>
      </c>
      <c r="Z619" s="2" t="str">
        <f>CHOOSE(MATCH(Y619,{0;11;80;111;161;191;241;281;341},1),"North","NorthEast","East","SouthEast","South","SouthWest","West","NorthWest","North")</f>
        <v>NorthWest</v>
      </c>
      <c r="AA619" s="4">
        <f>CHOOSE(MATCH(Z619,{"South";"SouthEast";"SouthWest";"North";"NorthEast";"East";"West";"NorthWest"},0),1,2,3,4,5,6,7,8)</f>
        <v>8</v>
      </c>
      <c r="AB619" s="2">
        <f t="shared" si="96"/>
        <v>1</v>
      </c>
      <c r="AC619">
        <v>1015</v>
      </c>
      <c r="AD619" t="s">
        <v>639</v>
      </c>
      <c r="AE619" s="2">
        <f t="shared" si="97"/>
        <v>1</v>
      </c>
      <c r="AF619" t="s">
        <v>964</v>
      </c>
      <c r="AG619" s="2">
        <f t="shared" si="98"/>
        <v>6</v>
      </c>
      <c r="AH619" s="2">
        <f t="shared" si="99"/>
        <v>1</v>
      </c>
      <c r="AI619" s="3">
        <v>1955.0000000023281</v>
      </c>
      <c r="AJ619" s="2">
        <v>1</v>
      </c>
      <c r="AK619">
        <v>0</v>
      </c>
      <c r="AL619">
        <v>110</v>
      </c>
      <c r="AM619">
        <v>0</v>
      </c>
      <c r="AN619" s="2">
        <f>IF((2*G619+M619-O619+3*V619+2*AB619+2*AE619+2*AH619+3*AJ619)&gt;=7,1,0)</f>
        <v>1</v>
      </c>
    </row>
    <row r="620" spans="1:40" x14ac:dyDescent="0.25">
      <c r="A620" t="s">
        <v>27</v>
      </c>
      <c r="B620" s="1">
        <v>38878</v>
      </c>
      <c r="C620" s="6">
        <f t="shared" si="90"/>
        <v>2006</v>
      </c>
      <c r="D620">
        <v>71.7</v>
      </c>
      <c r="E620">
        <v>64.5</v>
      </c>
      <c r="F620">
        <v>68.400000000000006</v>
      </c>
      <c r="G620" s="2">
        <f t="shared" si="91"/>
        <v>0</v>
      </c>
      <c r="H620">
        <v>71.7</v>
      </c>
      <c r="I620">
        <v>64.5</v>
      </c>
      <c r="J620">
        <v>68.400000000000006</v>
      </c>
      <c r="K620">
        <v>54.2</v>
      </c>
      <c r="L620">
        <v>60.7</v>
      </c>
      <c r="M620" s="2">
        <f t="shared" si="92"/>
        <v>1</v>
      </c>
      <c r="N620">
        <v>0</v>
      </c>
      <c r="O620" s="2">
        <f t="shared" si="93"/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 s="2">
        <f t="shared" si="94"/>
        <v>0</v>
      </c>
      <c r="W620">
        <v>16.100000000000001</v>
      </c>
      <c r="X620" s="2">
        <f t="shared" si="95"/>
        <v>1</v>
      </c>
      <c r="Y620">
        <v>314.60000000000002</v>
      </c>
      <c r="Z620" s="2" t="str">
        <f>CHOOSE(MATCH(Y620,{0;11;80;111;161;191;241;281;341},1),"North","NorthEast","East","SouthEast","South","SouthWest","West","NorthWest","North")</f>
        <v>NorthWest</v>
      </c>
      <c r="AA620" s="4">
        <f>CHOOSE(MATCH(Z620,{"South";"SouthEast";"SouthWest";"North";"NorthEast";"East";"West";"NorthWest"},0),1,2,3,4,5,6,7,8)</f>
        <v>8</v>
      </c>
      <c r="AB620" s="2">
        <f t="shared" si="96"/>
        <v>1</v>
      </c>
      <c r="AC620">
        <v>1017.4</v>
      </c>
      <c r="AD620" t="s">
        <v>71</v>
      </c>
      <c r="AE620" s="2">
        <f t="shared" si="97"/>
        <v>1</v>
      </c>
      <c r="AF620" t="s">
        <v>965</v>
      </c>
      <c r="AG620" s="2">
        <f t="shared" si="98"/>
        <v>6</v>
      </c>
      <c r="AH620" s="2">
        <f t="shared" si="99"/>
        <v>1</v>
      </c>
      <c r="AI620" s="3">
        <v>309.99999999417918</v>
      </c>
      <c r="AJ620" s="2">
        <v>0</v>
      </c>
      <c r="AK620">
        <v>0</v>
      </c>
      <c r="AL620">
        <v>0.01</v>
      </c>
      <c r="AM620">
        <v>0</v>
      </c>
      <c r="AN620" s="2">
        <f>IF((2*G620+M620-O620+3*V620+2*AB620+2*AE620+2*AH620+3*AJ620)&gt;=7,1,0)</f>
        <v>0</v>
      </c>
    </row>
    <row r="621" spans="1:40" x14ac:dyDescent="0.25">
      <c r="A621" t="s">
        <v>27</v>
      </c>
      <c r="B621" s="1">
        <v>38878</v>
      </c>
      <c r="C621" s="6">
        <f t="shared" si="90"/>
        <v>2006</v>
      </c>
      <c r="D621">
        <v>71.7</v>
      </c>
      <c r="E621">
        <v>64.5</v>
      </c>
      <c r="F621">
        <v>68.400000000000006</v>
      </c>
      <c r="G621" s="2">
        <f t="shared" si="91"/>
        <v>0</v>
      </c>
      <c r="H621">
        <v>71.7</v>
      </c>
      <c r="I621">
        <v>64.5</v>
      </c>
      <c r="J621">
        <v>68.400000000000006</v>
      </c>
      <c r="K621">
        <v>54.2</v>
      </c>
      <c r="L621">
        <v>60.7</v>
      </c>
      <c r="M621" s="2">
        <f t="shared" si="92"/>
        <v>1</v>
      </c>
      <c r="N621">
        <v>0</v>
      </c>
      <c r="O621" s="2">
        <f t="shared" si="93"/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 s="2">
        <f t="shared" si="94"/>
        <v>0</v>
      </c>
      <c r="W621">
        <v>16.100000000000001</v>
      </c>
      <c r="X621" s="2">
        <f t="shared" si="95"/>
        <v>1</v>
      </c>
      <c r="Y621">
        <v>314.60000000000002</v>
      </c>
      <c r="Z621" s="2" t="str">
        <f>CHOOSE(MATCH(Y621,{0;11;80;111;161;191;241;281;341},1),"North","NorthEast","East","SouthEast","South","SouthWest","West","NorthWest","North")</f>
        <v>NorthWest</v>
      </c>
      <c r="AA621" s="4">
        <f>CHOOSE(MATCH(Z621,{"South";"SouthEast";"SouthWest";"North";"NorthEast";"East";"West";"NorthWest"},0),1,2,3,4,5,6,7,8)</f>
        <v>8</v>
      </c>
      <c r="AB621" s="2">
        <f t="shared" si="96"/>
        <v>1</v>
      </c>
      <c r="AC621">
        <v>1017.4</v>
      </c>
      <c r="AD621" t="s">
        <v>966</v>
      </c>
      <c r="AE621" s="2">
        <f t="shared" si="97"/>
        <v>1</v>
      </c>
      <c r="AF621" t="s">
        <v>967</v>
      </c>
      <c r="AG621" s="2">
        <f t="shared" si="98"/>
        <v>6</v>
      </c>
      <c r="AH621" s="2">
        <f t="shared" si="99"/>
        <v>1</v>
      </c>
      <c r="AI621" s="3">
        <v>349.99999999883579</v>
      </c>
      <c r="AJ621" s="2">
        <v>0</v>
      </c>
      <c r="AK621">
        <v>0</v>
      </c>
      <c r="AL621">
        <v>0.01</v>
      </c>
      <c r="AM621">
        <v>0</v>
      </c>
      <c r="AN621" s="2">
        <f>IF((2*G621+M621-O621+3*V621+2*AB621+2*AE621+2*AH621+3*AJ621)&gt;=7,1,0)</f>
        <v>0</v>
      </c>
    </row>
    <row r="622" spans="1:40" x14ac:dyDescent="0.25">
      <c r="A622" t="s">
        <v>27</v>
      </c>
      <c r="B622" s="1">
        <v>38878</v>
      </c>
      <c r="C622" s="6">
        <f t="shared" si="90"/>
        <v>2006</v>
      </c>
      <c r="D622">
        <v>71.7</v>
      </c>
      <c r="E622">
        <v>64.5</v>
      </c>
      <c r="F622">
        <v>68.400000000000006</v>
      </c>
      <c r="G622" s="2">
        <f t="shared" si="91"/>
        <v>0</v>
      </c>
      <c r="H622">
        <v>71.7</v>
      </c>
      <c r="I622">
        <v>64.5</v>
      </c>
      <c r="J622">
        <v>68.400000000000006</v>
      </c>
      <c r="K622">
        <v>54.2</v>
      </c>
      <c r="L622">
        <v>60.7</v>
      </c>
      <c r="M622" s="2">
        <f t="shared" si="92"/>
        <v>1</v>
      </c>
      <c r="N622">
        <v>0</v>
      </c>
      <c r="O622" s="2">
        <f t="shared" si="93"/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s="2">
        <f t="shared" si="94"/>
        <v>0</v>
      </c>
      <c r="W622">
        <v>16.100000000000001</v>
      </c>
      <c r="X622" s="2">
        <f t="shared" si="95"/>
        <v>1</v>
      </c>
      <c r="Y622">
        <v>314.60000000000002</v>
      </c>
      <c r="Z622" s="2" t="str">
        <f>CHOOSE(MATCH(Y622,{0;11;80;111;161;191;241;281;341},1),"North","NorthEast","East","SouthEast","South","SouthWest","West","NorthWest","North")</f>
        <v>NorthWest</v>
      </c>
      <c r="AA622" s="4">
        <f>CHOOSE(MATCH(Z622,{"South";"SouthEast";"SouthWest";"North";"NorthEast";"East";"West";"NorthWest"},0),1,2,3,4,5,6,7,8)</f>
        <v>8</v>
      </c>
      <c r="AB622" s="2">
        <f t="shared" si="96"/>
        <v>1</v>
      </c>
      <c r="AC622">
        <v>1017.4</v>
      </c>
      <c r="AD622" t="s">
        <v>30</v>
      </c>
      <c r="AE622" s="2">
        <f t="shared" si="97"/>
        <v>1</v>
      </c>
      <c r="AF622" t="s">
        <v>968</v>
      </c>
      <c r="AG622" s="2">
        <f t="shared" si="98"/>
        <v>6</v>
      </c>
      <c r="AH622" s="2">
        <f t="shared" si="99"/>
        <v>1</v>
      </c>
      <c r="AI622" s="3">
        <v>765.99999999278225</v>
      </c>
      <c r="AJ622" s="2">
        <v>1</v>
      </c>
      <c r="AK622">
        <v>0</v>
      </c>
      <c r="AL622">
        <v>0.05</v>
      </c>
      <c r="AM622">
        <v>0</v>
      </c>
      <c r="AN622" s="2">
        <f>IF((2*G622+M622-O622+3*V622+2*AB622+2*AE622+2*AH622+3*AJ622)&gt;=7,1,0)</f>
        <v>1</v>
      </c>
    </row>
    <row r="623" spans="1:40" x14ac:dyDescent="0.25">
      <c r="A623" t="s">
        <v>27</v>
      </c>
      <c r="B623" s="1">
        <v>38893</v>
      </c>
      <c r="C623" s="6">
        <f t="shared" si="90"/>
        <v>2006</v>
      </c>
      <c r="D623">
        <v>82.5</v>
      </c>
      <c r="E623">
        <v>71.7</v>
      </c>
      <c r="F623">
        <v>78.599999999999994</v>
      </c>
      <c r="G623" s="2">
        <f t="shared" si="91"/>
        <v>1</v>
      </c>
      <c r="H623">
        <v>84.1</v>
      </c>
      <c r="I623">
        <v>71.7</v>
      </c>
      <c r="J623">
        <v>79.2</v>
      </c>
      <c r="K623">
        <v>65</v>
      </c>
      <c r="L623">
        <v>63.9</v>
      </c>
      <c r="M623" s="2">
        <f t="shared" si="92"/>
        <v>1</v>
      </c>
      <c r="N623">
        <v>0</v>
      </c>
      <c r="O623" s="2">
        <f t="shared" si="93"/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s="2">
        <f t="shared" si="94"/>
        <v>0</v>
      </c>
      <c r="W623">
        <v>20.8</v>
      </c>
      <c r="X623" s="2">
        <f t="shared" si="95"/>
        <v>1</v>
      </c>
      <c r="Y623">
        <v>306</v>
      </c>
      <c r="Z623" s="2" t="str">
        <f>CHOOSE(MATCH(Y623,{0;11;80;111;161;191;241;281;341},1),"North","NorthEast","East","SouthEast","South","SouthWest","West","NorthWest","North")</f>
        <v>NorthWest</v>
      </c>
      <c r="AA623" s="4">
        <f>CHOOSE(MATCH(Z623,{"South";"SouthEast";"SouthWest";"North";"NorthEast";"East";"West";"NorthWest"},0),1,2,3,4,5,6,7,8)</f>
        <v>8</v>
      </c>
      <c r="AB623" s="2">
        <f t="shared" si="96"/>
        <v>1</v>
      </c>
      <c r="AC623">
        <v>1010.4</v>
      </c>
      <c r="AD623" t="s">
        <v>969</v>
      </c>
      <c r="AE623" s="2">
        <f t="shared" si="97"/>
        <v>1</v>
      </c>
      <c r="AF623" t="s">
        <v>970</v>
      </c>
      <c r="AG623" s="2">
        <f t="shared" si="98"/>
        <v>6</v>
      </c>
      <c r="AH623" s="2">
        <f t="shared" si="99"/>
        <v>1</v>
      </c>
      <c r="AI623" s="3">
        <v>205.0000000081491</v>
      </c>
      <c r="AJ623" s="2">
        <v>0</v>
      </c>
      <c r="AK623">
        <v>0</v>
      </c>
      <c r="AL623">
        <v>0.01</v>
      </c>
      <c r="AM623">
        <v>0</v>
      </c>
      <c r="AN623" s="2">
        <f>IF((2*G623+M623-O623+3*V623+2*AB623+2*AE623+2*AH623+3*AJ623)&gt;=7,1,0)</f>
        <v>1</v>
      </c>
    </row>
    <row r="624" spans="1:40" x14ac:dyDescent="0.25">
      <c r="A624" t="s">
        <v>27</v>
      </c>
      <c r="B624" s="1">
        <v>38895</v>
      </c>
      <c r="C624" s="6">
        <f t="shared" si="90"/>
        <v>2006</v>
      </c>
      <c r="D624">
        <v>82.5</v>
      </c>
      <c r="E624">
        <v>77.099999999999994</v>
      </c>
      <c r="F624">
        <v>79.5</v>
      </c>
      <c r="G624" s="2">
        <f t="shared" si="91"/>
        <v>1</v>
      </c>
      <c r="H624">
        <v>84.1</v>
      </c>
      <c r="I624">
        <v>77.099999999999994</v>
      </c>
      <c r="J624">
        <v>80.2</v>
      </c>
      <c r="K624">
        <v>64</v>
      </c>
      <c r="L624">
        <v>59.3</v>
      </c>
      <c r="M624" s="2">
        <f t="shared" si="92"/>
        <v>1</v>
      </c>
      <c r="N624">
        <v>0</v>
      </c>
      <c r="O624" s="2">
        <f t="shared" si="93"/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 s="2">
        <f t="shared" si="94"/>
        <v>0</v>
      </c>
      <c r="W624">
        <v>24.2</v>
      </c>
      <c r="X624" s="2">
        <f t="shared" si="95"/>
        <v>1</v>
      </c>
      <c r="Y624">
        <v>298.7</v>
      </c>
      <c r="Z624" s="2" t="str">
        <f>CHOOSE(MATCH(Y624,{0;11;80;111;161;191;241;281;341},1),"North","NorthEast","East","SouthEast","South","SouthWest","West","NorthWest","North")</f>
        <v>NorthWest</v>
      </c>
      <c r="AA624" s="4">
        <f>CHOOSE(MATCH(Z624,{"South";"SouthEast";"SouthWest";"North";"NorthEast";"East";"West";"NorthWest"},0),1,2,3,4,5,6,7,8)</f>
        <v>8</v>
      </c>
      <c r="AB624" s="2">
        <f t="shared" si="96"/>
        <v>1</v>
      </c>
      <c r="AC624">
        <v>1010.5</v>
      </c>
      <c r="AD624" t="s">
        <v>721</v>
      </c>
      <c r="AE624" s="2">
        <f t="shared" si="97"/>
        <v>1</v>
      </c>
      <c r="AF624" t="s">
        <v>971</v>
      </c>
      <c r="AG624" s="2">
        <f t="shared" si="98"/>
        <v>6</v>
      </c>
      <c r="AH624" s="2">
        <f t="shared" si="99"/>
        <v>1</v>
      </c>
      <c r="AI624" s="3">
        <v>1299.999999994179</v>
      </c>
      <c r="AJ624" s="2">
        <v>1</v>
      </c>
      <c r="AK624">
        <v>0</v>
      </c>
      <c r="AL624">
        <v>5</v>
      </c>
      <c r="AM624">
        <v>0</v>
      </c>
      <c r="AN624" s="2">
        <f>IF((2*G624+M624-O624+3*V624+2*AB624+2*AE624+2*AH624+3*AJ624)&gt;=7,1,0)</f>
        <v>1</v>
      </c>
    </row>
    <row r="625" spans="1:40" x14ac:dyDescent="0.25">
      <c r="A625" t="s">
        <v>27</v>
      </c>
      <c r="B625" s="1">
        <v>38899</v>
      </c>
      <c r="C625" s="6">
        <f t="shared" si="90"/>
        <v>2006</v>
      </c>
      <c r="D625">
        <v>86.1</v>
      </c>
      <c r="E625">
        <v>78.900000000000006</v>
      </c>
      <c r="F625">
        <v>82.6</v>
      </c>
      <c r="G625" s="2">
        <f t="shared" si="91"/>
        <v>1</v>
      </c>
      <c r="H625">
        <v>90.8</v>
      </c>
      <c r="I625">
        <v>78.900000000000006</v>
      </c>
      <c r="J625">
        <v>84.6</v>
      </c>
      <c r="K625">
        <v>66</v>
      </c>
      <c r="L625">
        <v>57.7</v>
      </c>
      <c r="M625" s="2">
        <f t="shared" si="92"/>
        <v>1</v>
      </c>
      <c r="N625">
        <v>0</v>
      </c>
      <c r="O625" s="2">
        <f t="shared" si="93"/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s="2">
        <f t="shared" si="94"/>
        <v>0</v>
      </c>
      <c r="W625">
        <v>21.9</v>
      </c>
      <c r="X625" s="2">
        <f t="shared" si="95"/>
        <v>1</v>
      </c>
      <c r="Y625">
        <v>312.10000000000002</v>
      </c>
      <c r="Z625" s="2" t="str">
        <f>CHOOSE(MATCH(Y625,{0;11;80;111;161;191;241;281;341},1),"North","NorthEast","East","SouthEast","South","SouthWest","West","NorthWest","North")</f>
        <v>NorthWest</v>
      </c>
      <c r="AA625" s="4">
        <f>CHOOSE(MATCH(Z625,{"South";"SouthEast";"SouthWest";"North";"NorthEast";"East";"West";"NorthWest"},0),1,2,3,4,5,6,7,8)</f>
        <v>8</v>
      </c>
      <c r="AB625" s="2">
        <f t="shared" si="96"/>
        <v>1</v>
      </c>
      <c r="AC625">
        <v>1010.6</v>
      </c>
      <c r="AD625" t="s">
        <v>769</v>
      </c>
      <c r="AE625" s="2">
        <f t="shared" si="97"/>
        <v>1</v>
      </c>
      <c r="AF625" t="s">
        <v>972</v>
      </c>
      <c r="AG625" s="2">
        <f t="shared" si="98"/>
        <v>7</v>
      </c>
      <c r="AH625" s="2">
        <f t="shared" si="99"/>
        <v>1</v>
      </c>
      <c r="AI625" s="3">
        <v>435.99999999627471</v>
      </c>
      <c r="AJ625" s="2">
        <v>1</v>
      </c>
      <c r="AK625">
        <v>0</v>
      </c>
      <c r="AL625">
        <v>2</v>
      </c>
      <c r="AM625">
        <v>0</v>
      </c>
      <c r="AN625" s="2">
        <f>IF((2*G625+M625-O625+3*V625+2*AB625+2*AE625+2*AH625+3*AJ625)&gt;=7,1,0)</f>
        <v>1</v>
      </c>
    </row>
    <row r="626" spans="1:40" x14ac:dyDescent="0.25">
      <c r="A626" t="s">
        <v>27</v>
      </c>
      <c r="B626" s="1">
        <v>38900</v>
      </c>
      <c r="C626" s="6">
        <f t="shared" si="90"/>
        <v>2006</v>
      </c>
      <c r="D626">
        <v>86.1</v>
      </c>
      <c r="E626">
        <v>73.5</v>
      </c>
      <c r="F626">
        <v>79.400000000000006</v>
      </c>
      <c r="G626" s="2">
        <f t="shared" si="91"/>
        <v>1</v>
      </c>
      <c r="H626">
        <v>88.6</v>
      </c>
      <c r="I626">
        <v>73.5</v>
      </c>
      <c r="J626">
        <v>80.900000000000006</v>
      </c>
      <c r="K626">
        <v>66.3</v>
      </c>
      <c r="L626">
        <v>65.099999999999994</v>
      </c>
      <c r="M626" s="2">
        <f t="shared" si="92"/>
        <v>1</v>
      </c>
      <c r="N626">
        <v>0</v>
      </c>
      <c r="O626" s="2">
        <f t="shared" si="93"/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s="2">
        <f t="shared" si="94"/>
        <v>0</v>
      </c>
      <c r="W626">
        <v>11.4</v>
      </c>
      <c r="X626" s="2">
        <f t="shared" si="95"/>
        <v>0</v>
      </c>
      <c r="Y626">
        <v>307.89999999999998</v>
      </c>
      <c r="Z626" s="2" t="str">
        <f>CHOOSE(MATCH(Y626,{0;11;80;111;161;191;241;281;341},1),"North","NorthEast","East","SouthEast","South","SouthWest","West","NorthWest","North")</f>
        <v>NorthWest</v>
      </c>
      <c r="AA626" s="4">
        <f>CHOOSE(MATCH(Z626,{"South";"SouthEast";"SouthWest";"North";"NorthEast";"East";"West";"NorthWest"},0),1,2,3,4,5,6,7,8)</f>
        <v>8</v>
      </c>
      <c r="AB626" s="2">
        <f t="shared" si="96"/>
        <v>1</v>
      </c>
      <c r="AC626">
        <v>1009</v>
      </c>
      <c r="AD626" t="s">
        <v>973</v>
      </c>
      <c r="AE626" s="2">
        <f t="shared" si="97"/>
        <v>1</v>
      </c>
      <c r="AF626" t="s">
        <v>974</v>
      </c>
      <c r="AG626" s="2">
        <f t="shared" si="98"/>
        <v>7</v>
      </c>
      <c r="AH626" s="2">
        <f t="shared" si="99"/>
        <v>1</v>
      </c>
      <c r="AI626" s="3">
        <v>1236.0000000055879</v>
      </c>
      <c r="AJ626" s="2">
        <v>1</v>
      </c>
      <c r="AK626">
        <v>0.01</v>
      </c>
      <c r="AL626">
        <v>0</v>
      </c>
      <c r="AM626">
        <v>0</v>
      </c>
      <c r="AN626" s="2">
        <f>IF((2*G626+M626-O626+3*V626+2*AB626+2*AE626+2*AH626+3*AJ626)&gt;=7,1,0)</f>
        <v>1</v>
      </c>
    </row>
    <row r="627" spans="1:40" x14ac:dyDescent="0.25">
      <c r="A627" t="s">
        <v>27</v>
      </c>
      <c r="B627" s="1">
        <v>38901</v>
      </c>
      <c r="C627" s="6">
        <f t="shared" si="90"/>
        <v>2006</v>
      </c>
      <c r="D627">
        <v>80.7</v>
      </c>
      <c r="E627">
        <v>71.7</v>
      </c>
      <c r="F627">
        <v>77.3</v>
      </c>
      <c r="G627" s="2">
        <f t="shared" si="91"/>
        <v>1</v>
      </c>
      <c r="H627">
        <v>83.4</v>
      </c>
      <c r="I627">
        <v>71.7</v>
      </c>
      <c r="J627">
        <v>78</v>
      </c>
      <c r="K627">
        <v>66.900000000000006</v>
      </c>
      <c r="L627">
        <v>70.599999999999994</v>
      </c>
      <c r="M627" s="2">
        <f t="shared" si="92"/>
        <v>0</v>
      </c>
      <c r="N627">
        <v>0</v>
      </c>
      <c r="O627" s="2">
        <f t="shared" si="93"/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 s="2">
        <f t="shared" si="94"/>
        <v>0</v>
      </c>
      <c r="W627">
        <v>21.9</v>
      </c>
      <c r="X627" s="2">
        <f t="shared" si="95"/>
        <v>1</v>
      </c>
      <c r="Y627">
        <v>317.89999999999998</v>
      </c>
      <c r="Z627" s="2" t="str">
        <f>CHOOSE(MATCH(Y627,{0;11;80;111;161;191;241;281;341},1),"North","NorthEast","East","SouthEast","South","SouthWest","West","NorthWest","North")</f>
        <v>NorthWest</v>
      </c>
      <c r="AA627" s="4">
        <f>CHOOSE(MATCH(Z627,{"South";"SouthEast";"SouthWest";"North";"NorthEast";"East";"West";"NorthWest"},0),1,2,3,4,5,6,7,8)</f>
        <v>8</v>
      </c>
      <c r="AB627" s="2">
        <f t="shared" si="96"/>
        <v>1</v>
      </c>
      <c r="AC627">
        <v>1008.1</v>
      </c>
      <c r="AD627" t="s">
        <v>866</v>
      </c>
      <c r="AE627" s="2">
        <f t="shared" si="97"/>
        <v>1</v>
      </c>
      <c r="AF627" t="s">
        <v>975</v>
      </c>
      <c r="AG627" s="2">
        <f t="shared" si="98"/>
        <v>7</v>
      </c>
      <c r="AH627" s="2">
        <f t="shared" si="99"/>
        <v>1</v>
      </c>
      <c r="AI627" s="3">
        <v>256.00000000675209</v>
      </c>
      <c r="AJ627" s="2">
        <v>0</v>
      </c>
      <c r="AK627">
        <v>0</v>
      </c>
      <c r="AL627">
        <v>0.1</v>
      </c>
      <c r="AM627">
        <v>0</v>
      </c>
      <c r="AN627" s="2">
        <f>IF((2*G627+M627-O627+3*V627+2*AB627+2*AE627+2*AH627+3*AJ627)&gt;=7,1,0)</f>
        <v>1</v>
      </c>
    </row>
    <row r="628" spans="1:40" x14ac:dyDescent="0.25">
      <c r="A628" t="s">
        <v>27</v>
      </c>
      <c r="B628" s="1">
        <v>38901</v>
      </c>
      <c r="C628" s="6">
        <f t="shared" si="90"/>
        <v>2006</v>
      </c>
      <c r="D628">
        <v>80.7</v>
      </c>
      <c r="E628">
        <v>71.7</v>
      </c>
      <c r="F628">
        <v>77.3</v>
      </c>
      <c r="G628" s="2">
        <f t="shared" si="91"/>
        <v>1</v>
      </c>
      <c r="H628">
        <v>83.4</v>
      </c>
      <c r="I628">
        <v>71.7</v>
      </c>
      <c r="J628">
        <v>78</v>
      </c>
      <c r="K628">
        <v>66.900000000000006</v>
      </c>
      <c r="L628">
        <v>70.599999999999994</v>
      </c>
      <c r="M628" s="2">
        <f t="shared" si="92"/>
        <v>0</v>
      </c>
      <c r="N628">
        <v>0</v>
      </c>
      <c r="O628" s="2">
        <f t="shared" si="93"/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 s="2">
        <f t="shared" si="94"/>
        <v>0</v>
      </c>
      <c r="W628">
        <v>21.9</v>
      </c>
      <c r="X628" s="2">
        <f t="shared" si="95"/>
        <v>1</v>
      </c>
      <c r="Y628">
        <v>317.89999999999998</v>
      </c>
      <c r="Z628" s="2" t="str">
        <f>CHOOSE(MATCH(Y628,{0;11;80;111;161;191;241;281;341},1),"North","NorthEast","East","SouthEast","South","SouthWest","West","NorthWest","North")</f>
        <v>NorthWest</v>
      </c>
      <c r="AA628" s="4">
        <f>CHOOSE(MATCH(Z628,{"South";"SouthEast";"SouthWest";"North";"NorthEast";"East";"West";"NorthWest"},0),1,2,3,4,5,6,7,8)</f>
        <v>8</v>
      </c>
      <c r="AB628" s="2">
        <f t="shared" si="96"/>
        <v>1</v>
      </c>
      <c r="AC628">
        <v>1008.1</v>
      </c>
      <c r="AD628" t="s">
        <v>296</v>
      </c>
      <c r="AE628" s="2">
        <f t="shared" si="97"/>
        <v>1</v>
      </c>
      <c r="AF628" t="s">
        <v>976</v>
      </c>
      <c r="AG628" s="2">
        <f t="shared" si="98"/>
        <v>7</v>
      </c>
      <c r="AH628" s="2">
        <f t="shared" si="99"/>
        <v>1</v>
      </c>
      <c r="AI628" s="3">
        <v>1879.9999999988361</v>
      </c>
      <c r="AJ628" s="2">
        <v>1</v>
      </c>
      <c r="AK628">
        <v>0</v>
      </c>
      <c r="AL628">
        <v>150</v>
      </c>
      <c r="AM628">
        <v>0</v>
      </c>
      <c r="AN628" s="2">
        <f>IF((2*G628+M628-O628+3*V628+2*AB628+2*AE628+2*AH628+3*AJ628)&gt;=7,1,0)</f>
        <v>1</v>
      </c>
    </row>
    <row r="629" spans="1:40" x14ac:dyDescent="0.25">
      <c r="A629" t="s">
        <v>27</v>
      </c>
      <c r="B629" s="1">
        <v>38902</v>
      </c>
      <c r="C629" s="6">
        <f t="shared" si="90"/>
        <v>2006</v>
      </c>
      <c r="D629">
        <v>77.099999999999994</v>
      </c>
      <c r="E629">
        <v>71.7</v>
      </c>
      <c r="F629">
        <v>74.599999999999994</v>
      </c>
      <c r="G629" s="2">
        <f t="shared" si="91"/>
        <v>1</v>
      </c>
      <c r="H629">
        <v>77.099999999999994</v>
      </c>
      <c r="I629">
        <v>71.7</v>
      </c>
      <c r="J629">
        <v>74.599999999999994</v>
      </c>
      <c r="K629">
        <v>60.3</v>
      </c>
      <c r="L629">
        <v>61.8</v>
      </c>
      <c r="M629" s="2">
        <f t="shared" si="92"/>
        <v>1</v>
      </c>
      <c r="N629">
        <v>0</v>
      </c>
      <c r="O629" s="2">
        <f t="shared" si="93"/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s="2">
        <f t="shared" si="94"/>
        <v>0</v>
      </c>
      <c r="W629">
        <v>28.9</v>
      </c>
      <c r="X629" s="2">
        <f t="shared" si="95"/>
        <v>1</v>
      </c>
      <c r="Y629">
        <v>316.2</v>
      </c>
      <c r="Z629" s="2" t="str">
        <f>CHOOSE(MATCH(Y629,{0;11;80;111;161;191;241;281;341},1),"North","NorthEast","East","SouthEast","South","SouthWest","West","NorthWest","North")</f>
        <v>NorthWest</v>
      </c>
      <c r="AA629" s="4">
        <f>CHOOSE(MATCH(Z629,{"South";"SouthEast";"SouthWest";"North";"NorthEast";"East";"West";"NorthWest"},0),1,2,3,4,5,6,7,8)</f>
        <v>8</v>
      </c>
      <c r="AB629" s="2">
        <f t="shared" si="96"/>
        <v>1</v>
      </c>
      <c r="AC629">
        <v>1010</v>
      </c>
      <c r="AD629" t="s">
        <v>85</v>
      </c>
      <c r="AE629" s="2">
        <f t="shared" si="97"/>
        <v>0</v>
      </c>
      <c r="AF629" t="s">
        <v>977</v>
      </c>
      <c r="AG629" s="2">
        <f t="shared" si="98"/>
        <v>7</v>
      </c>
      <c r="AH629" s="2">
        <f t="shared" si="99"/>
        <v>1</v>
      </c>
      <c r="AI629" s="3">
        <v>355.99999999743892</v>
      </c>
      <c r="AJ629" s="2">
        <v>0</v>
      </c>
      <c r="AK629">
        <v>0.01</v>
      </c>
      <c r="AL629">
        <v>0</v>
      </c>
      <c r="AM629">
        <v>0</v>
      </c>
      <c r="AN629" s="2">
        <f>IF((2*G629+M629-O629+3*V629+2*AB629+2*AE629+2*AH629+3*AJ629)&gt;=7,1,0)</f>
        <v>0</v>
      </c>
    </row>
    <row r="630" spans="1:40" x14ac:dyDescent="0.25">
      <c r="A630" t="s">
        <v>27</v>
      </c>
      <c r="B630" s="1">
        <v>38905</v>
      </c>
      <c r="C630" s="6">
        <f t="shared" si="90"/>
        <v>2006</v>
      </c>
      <c r="D630">
        <v>78.900000000000006</v>
      </c>
      <c r="E630">
        <v>71.7</v>
      </c>
      <c r="F630">
        <v>74.8</v>
      </c>
      <c r="G630" s="2">
        <f t="shared" si="91"/>
        <v>1</v>
      </c>
      <c r="H630">
        <v>78.900000000000006</v>
      </c>
      <c r="I630">
        <v>71.7</v>
      </c>
      <c r="J630">
        <v>74.8</v>
      </c>
      <c r="K630">
        <v>55.7</v>
      </c>
      <c r="L630">
        <v>51.9</v>
      </c>
      <c r="M630" s="2">
        <f t="shared" si="92"/>
        <v>1</v>
      </c>
      <c r="N630">
        <v>0</v>
      </c>
      <c r="O630" s="2">
        <f t="shared" si="93"/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 s="2">
        <f t="shared" si="94"/>
        <v>0</v>
      </c>
      <c r="W630">
        <v>24.2</v>
      </c>
      <c r="X630" s="2">
        <f t="shared" si="95"/>
        <v>1</v>
      </c>
      <c r="Y630">
        <v>314</v>
      </c>
      <c r="Z630" s="2" t="str">
        <f>CHOOSE(MATCH(Y630,{0;11;80;111;161;191;241;281;341},1),"North","NorthEast","East","SouthEast","South","SouthWest","West","NorthWest","North")</f>
        <v>NorthWest</v>
      </c>
      <c r="AA630" s="4">
        <f>CHOOSE(MATCH(Z630,{"South";"SouthEast";"SouthWest";"North";"NorthEast";"East";"West";"NorthWest"},0),1,2,3,4,5,6,7,8)</f>
        <v>8</v>
      </c>
      <c r="AB630" s="2">
        <f t="shared" si="96"/>
        <v>1</v>
      </c>
      <c r="AC630">
        <v>1013.9</v>
      </c>
      <c r="AD630" t="s">
        <v>699</v>
      </c>
      <c r="AE630" s="2">
        <f t="shared" si="97"/>
        <v>1</v>
      </c>
      <c r="AF630" t="s">
        <v>978</v>
      </c>
      <c r="AG630" s="2">
        <f t="shared" si="98"/>
        <v>7</v>
      </c>
      <c r="AH630" s="2">
        <f t="shared" si="99"/>
        <v>1</v>
      </c>
      <c r="AI630" s="3">
        <v>209.99999999301511</v>
      </c>
      <c r="AJ630" s="2">
        <v>0</v>
      </c>
      <c r="AK630">
        <v>0</v>
      </c>
      <c r="AL630">
        <v>1</v>
      </c>
      <c r="AM630">
        <v>0</v>
      </c>
      <c r="AN630" s="2">
        <f>IF((2*G630+M630-O630+3*V630+2*AB630+2*AE630+2*AH630+3*AJ630)&gt;=7,1,0)</f>
        <v>1</v>
      </c>
    </row>
    <row r="631" spans="1:40" x14ac:dyDescent="0.25">
      <c r="A631" t="s">
        <v>27</v>
      </c>
      <c r="B631" s="1">
        <v>38910</v>
      </c>
      <c r="C631" s="6">
        <f t="shared" si="90"/>
        <v>2006</v>
      </c>
      <c r="D631">
        <v>78.900000000000006</v>
      </c>
      <c r="E631">
        <v>68.099999999999994</v>
      </c>
      <c r="F631">
        <v>75.3</v>
      </c>
      <c r="G631" s="2">
        <f t="shared" si="91"/>
        <v>1</v>
      </c>
      <c r="H631">
        <v>78.900000000000006</v>
      </c>
      <c r="I631">
        <v>68.099999999999994</v>
      </c>
      <c r="J631">
        <v>75.3</v>
      </c>
      <c r="K631">
        <v>61.7</v>
      </c>
      <c r="L631">
        <v>63.2</v>
      </c>
      <c r="M631" s="2">
        <f t="shared" si="92"/>
        <v>1</v>
      </c>
      <c r="N631">
        <v>0</v>
      </c>
      <c r="O631" s="2">
        <f t="shared" si="93"/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 s="2">
        <f t="shared" si="94"/>
        <v>0</v>
      </c>
      <c r="W631">
        <v>27.5</v>
      </c>
      <c r="X631" s="2">
        <f t="shared" si="95"/>
        <v>1</v>
      </c>
      <c r="Y631">
        <v>306.5</v>
      </c>
      <c r="Z631" s="2" t="str">
        <f>CHOOSE(MATCH(Y631,{0;11;80;111;161;191;241;281;341},1),"North","NorthEast","East","SouthEast","South","SouthWest","West","NorthWest","North")</f>
        <v>NorthWest</v>
      </c>
      <c r="AA631" s="4">
        <f>CHOOSE(MATCH(Z631,{"South";"SouthEast";"SouthWest";"North";"NorthEast";"East";"West";"NorthWest"},0),1,2,3,4,5,6,7,8)</f>
        <v>8</v>
      </c>
      <c r="AB631" s="2">
        <f t="shared" si="96"/>
        <v>1</v>
      </c>
      <c r="AC631">
        <v>1011</v>
      </c>
      <c r="AD631" t="s">
        <v>979</v>
      </c>
      <c r="AE631" s="2">
        <f t="shared" si="97"/>
        <v>1</v>
      </c>
      <c r="AF631" t="s">
        <v>980</v>
      </c>
      <c r="AG631" s="2">
        <f t="shared" si="98"/>
        <v>7</v>
      </c>
      <c r="AH631" s="2">
        <f t="shared" si="99"/>
        <v>1</v>
      </c>
      <c r="AI631" s="3">
        <v>370.00000000116421</v>
      </c>
      <c r="AJ631" s="2">
        <v>1</v>
      </c>
      <c r="AK631">
        <v>0</v>
      </c>
      <c r="AL631">
        <v>2</v>
      </c>
      <c r="AM631">
        <v>0</v>
      </c>
      <c r="AN631" s="2">
        <f>IF((2*G631+M631-O631+3*V631+2*AB631+2*AE631+2*AH631+3*AJ631)&gt;=7,1,0)</f>
        <v>1</v>
      </c>
    </row>
    <row r="632" spans="1:40" x14ac:dyDescent="0.25">
      <c r="A632" t="s">
        <v>27</v>
      </c>
      <c r="B632" s="1">
        <v>38912</v>
      </c>
      <c r="C632" s="6">
        <f t="shared" si="90"/>
        <v>2006</v>
      </c>
      <c r="D632">
        <v>82.5</v>
      </c>
      <c r="E632">
        <v>73.5</v>
      </c>
      <c r="F632">
        <v>78.5</v>
      </c>
      <c r="G632" s="2">
        <f t="shared" si="91"/>
        <v>1</v>
      </c>
      <c r="H632">
        <v>84.8</v>
      </c>
      <c r="I632">
        <v>73.5</v>
      </c>
      <c r="J632">
        <v>79.099999999999994</v>
      </c>
      <c r="K632">
        <v>63.8</v>
      </c>
      <c r="L632">
        <v>61.2</v>
      </c>
      <c r="M632" s="2">
        <f t="shared" si="92"/>
        <v>1</v>
      </c>
      <c r="N632">
        <v>0</v>
      </c>
      <c r="O632" s="2">
        <f t="shared" si="93"/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 s="2">
        <f t="shared" si="94"/>
        <v>0</v>
      </c>
      <c r="W632">
        <v>21.9</v>
      </c>
      <c r="X632" s="2">
        <f t="shared" si="95"/>
        <v>1</v>
      </c>
      <c r="Y632">
        <v>307.10000000000002</v>
      </c>
      <c r="Z632" s="2" t="str">
        <f>CHOOSE(MATCH(Y632,{0;11;80;111;161;191;241;281;341},1),"North","NorthEast","East","SouthEast","South","SouthWest","West","NorthWest","North")</f>
        <v>NorthWest</v>
      </c>
      <c r="AA632" s="4">
        <f>CHOOSE(MATCH(Z632,{"South";"SouthEast";"SouthWest";"North";"NorthEast";"East";"West";"NorthWest"},0),1,2,3,4,5,6,7,8)</f>
        <v>8</v>
      </c>
      <c r="AB632" s="2">
        <f t="shared" si="96"/>
        <v>1</v>
      </c>
      <c r="AC632">
        <v>1010.7</v>
      </c>
      <c r="AD632" t="s">
        <v>934</v>
      </c>
      <c r="AE632" s="2">
        <f t="shared" si="97"/>
        <v>0</v>
      </c>
      <c r="AF632" t="s">
        <v>981</v>
      </c>
      <c r="AG632" s="2">
        <f t="shared" si="98"/>
        <v>7</v>
      </c>
      <c r="AH632" s="2">
        <f t="shared" si="99"/>
        <v>1</v>
      </c>
      <c r="AI632" s="3">
        <v>734.99999999650754</v>
      </c>
      <c r="AJ632" s="2">
        <v>1</v>
      </c>
      <c r="AK632">
        <v>0</v>
      </c>
      <c r="AL632">
        <v>4</v>
      </c>
      <c r="AM632">
        <v>0</v>
      </c>
      <c r="AN632" s="2">
        <f>IF((2*G632+M632-O632+3*V632+2*AB632+2*AE632+2*AH632+3*AJ632)&gt;=7,1,0)</f>
        <v>1</v>
      </c>
    </row>
    <row r="633" spans="1:40" x14ac:dyDescent="0.25">
      <c r="A633" t="s">
        <v>27</v>
      </c>
      <c r="B633" s="1">
        <v>38913</v>
      </c>
      <c r="C633" s="6">
        <f t="shared" si="90"/>
        <v>2006</v>
      </c>
      <c r="D633">
        <v>84.3</v>
      </c>
      <c r="E633">
        <v>75.3</v>
      </c>
      <c r="F633">
        <v>79.900000000000006</v>
      </c>
      <c r="G633" s="2">
        <f t="shared" si="91"/>
        <v>1</v>
      </c>
      <c r="H633">
        <v>85.2</v>
      </c>
      <c r="I633">
        <v>75.3</v>
      </c>
      <c r="J633">
        <v>80.3</v>
      </c>
      <c r="K633">
        <v>62</v>
      </c>
      <c r="L633">
        <v>54.9</v>
      </c>
      <c r="M633" s="2">
        <f t="shared" si="92"/>
        <v>1</v>
      </c>
      <c r="N633">
        <v>0</v>
      </c>
      <c r="O633" s="2">
        <f t="shared" si="93"/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 s="2">
        <f t="shared" si="94"/>
        <v>0</v>
      </c>
      <c r="W633">
        <v>19.5</v>
      </c>
      <c r="X633" s="2">
        <f t="shared" si="95"/>
        <v>1</v>
      </c>
      <c r="Y633">
        <v>302.89999999999998</v>
      </c>
      <c r="Z633" s="2" t="str">
        <f>CHOOSE(MATCH(Y633,{0;11;80;111;161;191;241;281;341},1),"North","NorthEast","East","SouthEast","South","SouthWest","West","NorthWest","North")</f>
        <v>NorthWest</v>
      </c>
      <c r="AA633" s="4">
        <f>CHOOSE(MATCH(Z633,{"South";"SouthEast";"SouthWest";"North";"NorthEast";"East";"West";"NorthWest"},0),1,2,3,4,5,6,7,8)</f>
        <v>8</v>
      </c>
      <c r="AB633" s="2">
        <f t="shared" si="96"/>
        <v>1</v>
      </c>
      <c r="AC633">
        <v>1010.7</v>
      </c>
      <c r="AD633" t="s">
        <v>305</v>
      </c>
      <c r="AE633" s="2">
        <f t="shared" si="97"/>
        <v>1</v>
      </c>
      <c r="AF633" t="s">
        <v>982</v>
      </c>
      <c r="AG633" s="2">
        <f t="shared" si="98"/>
        <v>7</v>
      </c>
      <c r="AH633" s="2">
        <f t="shared" si="99"/>
        <v>1</v>
      </c>
      <c r="AI633" s="3">
        <v>290.00000000232831</v>
      </c>
      <c r="AJ633" s="2">
        <v>0</v>
      </c>
      <c r="AK633">
        <v>1</v>
      </c>
      <c r="AL633">
        <v>0</v>
      </c>
      <c r="AM633">
        <v>0</v>
      </c>
      <c r="AN633" s="2">
        <f>IF((2*G633+M633-O633+3*V633+2*AB633+2*AE633+2*AH633+3*AJ633)&gt;=7,1,0)</f>
        <v>1</v>
      </c>
    </row>
    <row r="634" spans="1:40" x14ac:dyDescent="0.25">
      <c r="A634" t="s">
        <v>27</v>
      </c>
      <c r="B634" s="1">
        <v>38914</v>
      </c>
      <c r="C634" s="6">
        <f t="shared" si="90"/>
        <v>2006</v>
      </c>
      <c r="D634">
        <v>84.3</v>
      </c>
      <c r="E634">
        <v>77.099999999999994</v>
      </c>
      <c r="F634">
        <v>80.400000000000006</v>
      </c>
      <c r="G634" s="2">
        <f t="shared" si="91"/>
        <v>1</v>
      </c>
      <c r="H634">
        <v>85.8</v>
      </c>
      <c r="I634">
        <v>77.099999999999994</v>
      </c>
      <c r="J634">
        <v>80.7</v>
      </c>
      <c r="K634">
        <v>62.9</v>
      </c>
      <c r="L634">
        <v>56</v>
      </c>
      <c r="M634" s="2">
        <f t="shared" si="92"/>
        <v>1</v>
      </c>
      <c r="N634">
        <v>0</v>
      </c>
      <c r="O634" s="2">
        <f t="shared" si="93"/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 s="2">
        <f t="shared" si="94"/>
        <v>0</v>
      </c>
      <c r="W634">
        <v>19.5</v>
      </c>
      <c r="X634" s="2">
        <f t="shared" si="95"/>
        <v>1</v>
      </c>
      <c r="Y634">
        <v>306.60000000000002</v>
      </c>
      <c r="Z634" s="2" t="str">
        <f>CHOOSE(MATCH(Y634,{0;11;80;111;161;191;241;281;341},1),"North","NorthEast","East","SouthEast","South","SouthWest","West","NorthWest","North")</f>
        <v>NorthWest</v>
      </c>
      <c r="AA634" s="4">
        <f>CHOOSE(MATCH(Z634,{"South";"SouthEast";"SouthWest";"North";"NorthEast";"East";"West";"NorthWest"},0),1,2,3,4,5,6,7,8)</f>
        <v>8</v>
      </c>
      <c r="AB634" s="2">
        <f t="shared" si="96"/>
        <v>1</v>
      </c>
      <c r="AC634">
        <v>1011.7</v>
      </c>
      <c r="AD634" t="s">
        <v>983</v>
      </c>
      <c r="AE634" s="2">
        <f t="shared" si="97"/>
        <v>1</v>
      </c>
      <c r="AF634" t="s">
        <v>984</v>
      </c>
      <c r="AG634" s="2">
        <f t="shared" si="98"/>
        <v>7</v>
      </c>
      <c r="AH634" s="2">
        <f t="shared" si="99"/>
        <v>1</v>
      </c>
      <c r="AI634" s="3">
        <v>1914.000000004889</v>
      </c>
      <c r="AJ634" s="2">
        <v>1</v>
      </c>
      <c r="AK634">
        <v>0</v>
      </c>
      <c r="AL634">
        <v>2</v>
      </c>
      <c r="AM634">
        <v>0</v>
      </c>
      <c r="AN634" s="2">
        <f>IF((2*G634+M634-O634+3*V634+2*AB634+2*AE634+2*AH634+3*AJ634)&gt;=7,1,0)</f>
        <v>1</v>
      </c>
    </row>
    <row r="635" spans="1:40" x14ac:dyDescent="0.25">
      <c r="A635" t="s">
        <v>27</v>
      </c>
      <c r="B635" s="1">
        <v>38917</v>
      </c>
      <c r="C635" s="6">
        <f t="shared" si="90"/>
        <v>2006</v>
      </c>
      <c r="D635">
        <v>78.900000000000006</v>
      </c>
      <c r="E635">
        <v>73.5</v>
      </c>
      <c r="F635">
        <v>76</v>
      </c>
      <c r="G635" s="2">
        <f t="shared" si="91"/>
        <v>1</v>
      </c>
      <c r="H635">
        <v>78.900000000000006</v>
      </c>
      <c r="I635">
        <v>73.5</v>
      </c>
      <c r="J635">
        <v>76</v>
      </c>
      <c r="K635">
        <v>59.8</v>
      </c>
      <c r="L635">
        <v>57.4</v>
      </c>
      <c r="M635" s="2">
        <f t="shared" si="92"/>
        <v>1</v>
      </c>
      <c r="N635">
        <v>0</v>
      </c>
      <c r="O635" s="2">
        <f t="shared" si="93"/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 s="2">
        <f t="shared" si="94"/>
        <v>0</v>
      </c>
      <c r="W635">
        <v>26.4</v>
      </c>
      <c r="X635" s="2">
        <f t="shared" si="95"/>
        <v>1</v>
      </c>
      <c r="Y635">
        <v>307.89999999999998</v>
      </c>
      <c r="Z635" s="2" t="str">
        <f>CHOOSE(MATCH(Y635,{0;11;80;111;161;191;241;281;341},1),"North","NorthEast","East","SouthEast","South","SouthWest","West","NorthWest","North")</f>
        <v>NorthWest</v>
      </c>
      <c r="AA635" s="4">
        <f>CHOOSE(MATCH(Z635,{"South";"SouthEast";"SouthWest";"North";"NorthEast";"East";"West";"NorthWest"},0),1,2,3,4,5,6,7,8)</f>
        <v>8</v>
      </c>
      <c r="AB635" s="2">
        <f t="shared" si="96"/>
        <v>1</v>
      </c>
      <c r="AC635">
        <v>1013.1</v>
      </c>
      <c r="AD635" t="s">
        <v>449</v>
      </c>
      <c r="AE635" s="2">
        <f t="shared" si="97"/>
        <v>1</v>
      </c>
      <c r="AF635" t="s">
        <v>985</v>
      </c>
      <c r="AG635" s="2">
        <f t="shared" si="98"/>
        <v>7</v>
      </c>
      <c r="AH635" s="2">
        <f t="shared" si="99"/>
        <v>1</v>
      </c>
      <c r="AI635" s="3">
        <v>815.99999999860302</v>
      </c>
      <c r="AJ635" s="2">
        <v>1</v>
      </c>
      <c r="AK635">
        <v>0</v>
      </c>
      <c r="AL635">
        <v>10</v>
      </c>
      <c r="AM635">
        <v>0</v>
      </c>
      <c r="AN635" s="2">
        <f>IF((2*G635+M635-O635+3*V635+2*AB635+2*AE635+2*AH635+3*AJ635)&gt;=7,1,0)</f>
        <v>1</v>
      </c>
    </row>
    <row r="636" spans="1:40" x14ac:dyDescent="0.25">
      <c r="A636" t="s">
        <v>27</v>
      </c>
      <c r="B636" s="1">
        <v>38917</v>
      </c>
      <c r="C636" s="6">
        <f t="shared" si="90"/>
        <v>2006</v>
      </c>
      <c r="D636">
        <v>78.900000000000006</v>
      </c>
      <c r="E636">
        <v>73.5</v>
      </c>
      <c r="F636">
        <v>76</v>
      </c>
      <c r="G636" s="2">
        <f t="shared" si="91"/>
        <v>1</v>
      </c>
      <c r="H636">
        <v>78.900000000000006</v>
      </c>
      <c r="I636">
        <v>73.5</v>
      </c>
      <c r="J636">
        <v>76</v>
      </c>
      <c r="K636">
        <v>59.8</v>
      </c>
      <c r="L636">
        <v>57.4</v>
      </c>
      <c r="M636" s="2">
        <f t="shared" si="92"/>
        <v>1</v>
      </c>
      <c r="N636">
        <v>0</v>
      </c>
      <c r="O636" s="2">
        <f t="shared" si="93"/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 s="2">
        <f t="shared" si="94"/>
        <v>0</v>
      </c>
      <c r="W636">
        <v>26.4</v>
      </c>
      <c r="X636" s="2">
        <f t="shared" si="95"/>
        <v>1</v>
      </c>
      <c r="Y636">
        <v>307.89999999999998</v>
      </c>
      <c r="Z636" s="2" t="str">
        <f>CHOOSE(MATCH(Y636,{0;11;80;111;161;191;241;281;341},1),"North","NorthEast","East","SouthEast","South","SouthWest","West","NorthWest","North")</f>
        <v>NorthWest</v>
      </c>
      <c r="AA636" s="4">
        <f>CHOOSE(MATCH(Z636,{"South";"SouthEast";"SouthWest";"North";"NorthEast";"East";"West";"NorthWest"},0),1,2,3,4,5,6,7,8)</f>
        <v>8</v>
      </c>
      <c r="AB636" s="2">
        <f t="shared" si="96"/>
        <v>1</v>
      </c>
      <c r="AC636">
        <v>1013.1</v>
      </c>
      <c r="AD636" t="s">
        <v>607</v>
      </c>
      <c r="AE636" s="2">
        <f t="shared" si="97"/>
        <v>1</v>
      </c>
      <c r="AF636" t="s">
        <v>986</v>
      </c>
      <c r="AG636" s="2">
        <f t="shared" si="98"/>
        <v>7</v>
      </c>
      <c r="AH636" s="2">
        <f t="shared" si="99"/>
        <v>1</v>
      </c>
      <c r="AI636" s="3">
        <v>474.99999999767169</v>
      </c>
      <c r="AJ636" s="2">
        <v>1</v>
      </c>
      <c r="AK636">
        <v>0</v>
      </c>
      <c r="AL636">
        <v>4</v>
      </c>
      <c r="AM636">
        <v>0</v>
      </c>
      <c r="AN636" s="2">
        <f>IF((2*G636+M636-O636+3*V636+2*AB636+2*AE636+2*AH636+3*AJ636)&gt;=7,1,0)</f>
        <v>1</v>
      </c>
    </row>
    <row r="637" spans="1:40" x14ac:dyDescent="0.25">
      <c r="A637" t="s">
        <v>27</v>
      </c>
      <c r="B637" s="1">
        <v>38917</v>
      </c>
      <c r="C637" s="6">
        <f t="shared" si="90"/>
        <v>2006</v>
      </c>
      <c r="D637">
        <v>78.900000000000006</v>
      </c>
      <c r="E637">
        <v>73.5</v>
      </c>
      <c r="F637">
        <v>76</v>
      </c>
      <c r="G637" s="2">
        <f t="shared" si="91"/>
        <v>1</v>
      </c>
      <c r="H637">
        <v>78.900000000000006</v>
      </c>
      <c r="I637">
        <v>73.5</v>
      </c>
      <c r="J637">
        <v>76</v>
      </c>
      <c r="K637">
        <v>59.8</v>
      </c>
      <c r="L637">
        <v>57.4</v>
      </c>
      <c r="M637" s="2">
        <f t="shared" si="92"/>
        <v>1</v>
      </c>
      <c r="N637">
        <v>0</v>
      </c>
      <c r="O637" s="2">
        <f t="shared" si="93"/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 s="2">
        <f t="shared" si="94"/>
        <v>0</v>
      </c>
      <c r="W637">
        <v>26.4</v>
      </c>
      <c r="X637" s="2">
        <f t="shared" si="95"/>
        <v>1</v>
      </c>
      <c r="Y637">
        <v>307.89999999999998</v>
      </c>
      <c r="Z637" s="2" t="str">
        <f>CHOOSE(MATCH(Y637,{0;11;80;111;161;191;241;281;341},1),"North","NorthEast","East","SouthEast","South","SouthWest","West","NorthWest","North")</f>
        <v>NorthWest</v>
      </c>
      <c r="AA637" s="4">
        <f>CHOOSE(MATCH(Z637,{"South";"SouthEast";"SouthWest";"North";"NorthEast";"East";"West";"NorthWest"},0),1,2,3,4,5,6,7,8)</f>
        <v>8</v>
      </c>
      <c r="AB637" s="2">
        <f t="shared" si="96"/>
        <v>1</v>
      </c>
      <c r="AC637">
        <v>1013.1</v>
      </c>
      <c r="AD637" t="s">
        <v>753</v>
      </c>
      <c r="AE637" s="2">
        <f t="shared" si="97"/>
        <v>1</v>
      </c>
      <c r="AF637" t="s">
        <v>987</v>
      </c>
      <c r="AG637" s="2">
        <f t="shared" si="98"/>
        <v>7</v>
      </c>
      <c r="AH637" s="2">
        <f t="shared" si="99"/>
        <v>1</v>
      </c>
      <c r="AI637" s="3">
        <v>979.99999999883585</v>
      </c>
      <c r="AJ637" s="2">
        <v>1</v>
      </c>
      <c r="AK637">
        <v>0</v>
      </c>
      <c r="AL637">
        <v>20</v>
      </c>
      <c r="AM637">
        <v>0</v>
      </c>
      <c r="AN637" s="2">
        <f>IF((2*G637+M637-O637+3*V637+2*AB637+2*AE637+2*AH637+3*AJ637)&gt;=7,1,0)</f>
        <v>1</v>
      </c>
    </row>
    <row r="638" spans="1:40" x14ac:dyDescent="0.25">
      <c r="A638" t="s">
        <v>27</v>
      </c>
      <c r="B638" s="1">
        <v>38923</v>
      </c>
      <c r="C638" s="6">
        <f t="shared" si="90"/>
        <v>2006</v>
      </c>
      <c r="D638">
        <v>82.5</v>
      </c>
      <c r="E638">
        <v>66.3</v>
      </c>
      <c r="F638">
        <v>76.3</v>
      </c>
      <c r="G638" s="2">
        <f t="shared" si="91"/>
        <v>1</v>
      </c>
      <c r="H638">
        <v>83</v>
      </c>
      <c r="I638">
        <v>66.3</v>
      </c>
      <c r="J638">
        <v>76.7</v>
      </c>
      <c r="K638">
        <v>59.9</v>
      </c>
      <c r="L638">
        <v>57.4</v>
      </c>
      <c r="M638" s="2">
        <f t="shared" si="92"/>
        <v>1</v>
      </c>
      <c r="N638">
        <v>0</v>
      </c>
      <c r="O638" s="2">
        <f t="shared" si="93"/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s="2">
        <f t="shared" si="94"/>
        <v>0</v>
      </c>
      <c r="W638">
        <v>21.9</v>
      </c>
      <c r="X638" s="2">
        <f t="shared" si="95"/>
        <v>1</v>
      </c>
      <c r="Y638">
        <v>317</v>
      </c>
      <c r="Z638" s="2" t="str">
        <f>CHOOSE(MATCH(Y638,{0;11;80;111;161;191;241;281;341},1),"North","NorthEast","East","SouthEast","South","SouthWest","West","NorthWest","North")</f>
        <v>NorthWest</v>
      </c>
      <c r="AA638" s="4">
        <f>CHOOSE(MATCH(Z638,{"South";"SouthEast";"SouthWest";"North";"NorthEast";"East";"West";"NorthWest"},0),1,2,3,4,5,6,7,8)</f>
        <v>8</v>
      </c>
      <c r="AB638" s="2">
        <f t="shared" si="96"/>
        <v>1</v>
      </c>
      <c r="AC638">
        <v>1010.6</v>
      </c>
      <c r="AD638" t="s">
        <v>158</v>
      </c>
      <c r="AE638" s="2">
        <f t="shared" si="97"/>
        <v>1</v>
      </c>
      <c r="AF638" t="s">
        <v>988</v>
      </c>
      <c r="AG638" s="2">
        <f t="shared" si="98"/>
        <v>7</v>
      </c>
      <c r="AH638" s="2">
        <f t="shared" si="99"/>
        <v>1</v>
      </c>
      <c r="AI638" s="3">
        <v>2880</v>
      </c>
      <c r="AJ638" s="2">
        <v>1</v>
      </c>
      <c r="AK638">
        <v>0</v>
      </c>
      <c r="AL638">
        <v>150</v>
      </c>
      <c r="AM638">
        <v>0</v>
      </c>
      <c r="AN638" s="2">
        <f>IF((2*G638+M638-O638+3*V638+2*AB638+2*AE638+2*AH638+3*AJ638)&gt;=7,1,0)</f>
        <v>1</v>
      </c>
    </row>
    <row r="639" spans="1:40" x14ac:dyDescent="0.25">
      <c r="A639" t="s">
        <v>27</v>
      </c>
      <c r="B639" s="1">
        <v>38926</v>
      </c>
      <c r="C639" s="6">
        <f t="shared" si="90"/>
        <v>2006</v>
      </c>
      <c r="D639">
        <v>82.5</v>
      </c>
      <c r="E639">
        <v>69.900000000000006</v>
      </c>
      <c r="F639">
        <v>78.5</v>
      </c>
      <c r="G639" s="2">
        <f t="shared" si="91"/>
        <v>1</v>
      </c>
      <c r="H639">
        <v>84.8</v>
      </c>
      <c r="I639">
        <v>69.900000000000006</v>
      </c>
      <c r="J639">
        <v>78.900000000000006</v>
      </c>
      <c r="K639">
        <v>60</v>
      </c>
      <c r="L639">
        <v>54</v>
      </c>
      <c r="M639" s="2">
        <f t="shared" si="92"/>
        <v>1</v>
      </c>
      <c r="N639">
        <v>0</v>
      </c>
      <c r="O639" s="2">
        <f t="shared" si="93"/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s="2">
        <f t="shared" si="94"/>
        <v>0</v>
      </c>
      <c r="W639">
        <v>23</v>
      </c>
      <c r="X639" s="2">
        <f t="shared" si="95"/>
        <v>1</v>
      </c>
      <c r="Y639">
        <v>302</v>
      </c>
      <c r="Z639" s="2" t="str">
        <f>CHOOSE(MATCH(Y639,{0;11;80;111;161;191;241;281;341},1),"North","NorthEast","East","SouthEast","South","SouthWest","West","NorthWest","North")</f>
        <v>NorthWest</v>
      </c>
      <c r="AA639" s="4">
        <f>CHOOSE(MATCH(Z639,{"South";"SouthEast";"SouthWest";"North";"NorthEast";"East";"West";"NorthWest"},0),1,2,3,4,5,6,7,8)</f>
        <v>8</v>
      </c>
      <c r="AB639" s="2">
        <f t="shared" si="96"/>
        <v>1</v>
      </c>
      <c r="AC639">
        <v>1007.1</v>
      </c>
      <c r="AD639" t="s">
        <v>71</v>
      </c>
      <c r="AE639" s="2">
        <f t="shared" si="97"/>
        <v>1</v>
      </c>
      <c r="AF639" t="s">
        <v>989</v>
      </c>
      <c r="AG639" s="2">
        <f t="shared" si="98"/>
        <v>7</v>
      </c>
      <c r="AH639" s="2">
        <f t="shared" si="99"/>
        <v>1</v>
      </c>
      <c r="AI639" s="3">
        <v>270</v>
      </c>
      <c r="AJ639" s="2">
        <v>0</v>
      </c>
      <c r="AK639">
        <v>0</v>
      </c>
      <c r="AL639">
        <v>7</v>
      </c>
      <c r="AM639">
        <v>0</v>
      </c>
      <c r="AN639" s="2">
        <f>IF((2*G639+M639-O639+3*V639+2*AB639+2*AE639+2*AH639+3*AJ639)&gt;=7,1,0)</f>
        <v>1</v>
      </c>
    </row>
    <row r="640" spans="1:40" x14ac:dyDescent="0.25">
      <c r="A640" t="s">
        <v>27</v>
      </c>
      <c r="B640" s="1">
        <v>38926</v>
      </c>
      <c r="C640" s="6">
        <f t="shared" si="90"/>
        <v>2006</v>
      </c>
      <c r="D640">
        <v>82.5</v>
      </c>
      <c r="E640">
        <v>69.900000000000006</v>
      </c>
      <c r="F640">
        <v>78.5</v>
      </c>
      <c r="G640" s="2">
        <f t="shared" si="91"/>
        <v>1</v>
      </c>
      <c r="H640">
        <v>84.8</v>
      </c>
      <c r="I640">
        <v>69.900000000000006</v>
      </c>
      <c r="J640">
        <v>78.900000000000006</v>
      </c>
      <c r="K640">
        <v>60</v>
      </c>
      <c r="L640">
        <v>54</v>
      </c>
      <c r="M640" s="2">
        <f t="shared" si="92"/>
        <v>1</v>
      </c>
      <c r="N640">
        <v>0</v>
      </c>
      <c r="O640" s="2">
        <f t="shared" si="93"/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 s="2">
        <f t="shared" si="94"/>
        <v>0</v>
      </c>
      <c r="W640">
        <v>23</v>
      </c>
      <c r="X640" s="2">
        <f t="shared" si="95"/>
        <v>1</v>
      </c>
      <c r="Y640">
        <v>302</v>
      </c>
      <c r="Z640" s="2" t="str">
        <f>CHOOSE(MATCH(Y640,{0;11;80;111;161;191;241;281;341},1),"North","NorthEast","East","SouthEast","South","SouthWest","West","NorthWest","North")</f>
        <v>NorthWest</v>
      </c>
      <c r="AA640" s="4">
        <f>CHOOSE(MATCH(Z640,{"South";"SouthEast";"SouthWest";"North";"NorthEast";"East";"West";"NorthWest"},0),1,2,3,4,5,6,7,8)</f>
        <v>8</v>
      </c>
      <c r="AB640" s="2">
        <f t="shared" si="96"/>
        <v>1</v>
      </c>
      <c r="AC640">
        <v>1007.1</v>
      </c>
      <c r="AD640" t="s">
        <v>39</v>
      </c>
      <c r="AE640" s="2">
        <f t="shared" si="97"/>
        <v>1</v>
      </c>
      <c r="AF640" t="s">
        <v>990</v>
      </c>
      <c r="AG640" s="2">
        <f t="shared" si="98"/>
        <v>7</v>
      </c>
      <c r="AH640" s="2">
        <f t="shared" si="99"/>
        <v>1</v>
      </c>
      <c r="AI640" s="3">
        <v>2855.999999995111</v>
      </c>
      <c r="AJ640" s="2">
        <v>1</v>
      </c>
      <c r="AK640">
        <v>0</v>
      </c>
      <c r="AL640">
        <v>120</v>
      </c>
      <c r="AM640">
        <v>0</v>
      </c>
      <c r="AN640" s="2">
        <f>IF((2*G640+M640-O640+3*V640+2*AB640+2*AE640+2*AH640+3*AJ640)&gt;=7,1,0)</f>
        <v>1</v>
      </c>
    </row>
    <row r="641" spans="1:40" x14ac:dyDescent="0.25">
      <c r="A641" t="s">
        <v>27</v>
      </c>
      <c r="B641" s="1">
        <v>38930</v>
      </c>
      <c r="C641" s="6">
        <f t="shared" si="90"/>
        <v>2006</v>
      </c>
      <c r="D641">
        <v>86.1</v>
      </c>
      <c r="E641">
        <v>73.5</v>
      </c>
      <c r="F641">
        <v>80.900000000000006</v>
      </c>
      <c r="G641" s="2">
        <f t="shared" si="91"/>
        <v>1</v>
      </c>
      <c r="H641">
        <v>87.6</v>
      </c>
      <c r="I641">
        <v>73.5</v>
      </c>
      <c r="J641">
        <v>81.900000000000006</v>
      </c>
      <c r="K641">
        <v>65.400000000000006</v>
      </c>
      <c r="L641">
        <v>60</v>
      </c>
      <c r="M641" s="2">
        <f t="shared" si="92"/>
        <v>1</v>
      </c>
      <c r="N641">
        <v>0</v>
      </c>
      <c r="O641" s="2">
        <f t="shared" si="93"/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 s="2">
        <f t="shared" si="94"/>
        <v>0</v>
      </c>
      <c r="W641">
        <v>19.5</v>
      </c>
      <c r="X641" s="2">
        <f t="shared" si="95"/>
        <v>1</v>
      </c>
      <c r="Y641">
        <v>308.2</v>
      </c>
      <c r="Z641" s="2" t="str">
        <f>CHOOSE(MATCH(Y641,{0;11;80;111;161;191;241;281;341},1),"North","NorthEast","East","SouthEast","South","SouthWest","West","NorthWest","North")</f>
        <v>NorthWest</v>
      </c>
      <c r="AA641" s="4">
        <f>CHOOSE(MATCH(Z641,{"South";"SouthEast";"SouthWest";"North";"NorthEast";"East";"West";"NorthWest"},0),1,2,3,4,5,6,7,8)</f>
        <v>8</v>
      </c>
      <c r="AB641" s="2">
        <f t="shared" si="96"/>
        <v>1</v>
      </c>
      <c r="AC641">
        <v>1007.1</v>
      </c>
      <c r="AD641" t="s">
        <v>73</v>
      </c>
      <c r="AE641" s="2">
        <f t="shared" si="97"/>
        <v>1</v>
      </c>
      <c r="AF641" t="s">
        <v>991</v>
      </c>
      <c r="AG641" s="2">
        <f t="shared" si="98"/>
        <v>8</v>
      </c>
      <c r="AH641" s="2">
        <f t="shared" si="99"/>
        <v>1</v>
      </c>
      <c r="AI641" s="3">
        <v>194.99999999650751</v>
      </c>
      <c r="AJ641" s="2">
        <v>0</v>
      </c>
      <c r="AK641">
        <v>0</v>
      </c>
      <c r="AL641">
        <v>10</v>
      </c>
      <c r="AM641">
        <v>0</v>
      </c>
      <c r="AN641" s="2">
        <f>IF((2*G641+M641-O641+3*V641+2*AB641+2*AE641+2*AH641+3*AJ641)&gt;=7,1,0)</f>
        <v>1</v>
      </c>
    </row>
    <row r="642" spans="1:40" x14ac:dyDescent="0.25">
      <c r="A642" t="s">
        <v>27</v>
      </c>
      <c r="B642" s="1">
        <v>38935</v>
      </c>
      <c r="C642" s="6">
        <f t="shared" si="90"/>
        <v>2006</v>
      </c>
      <c r="D642">
        <v>86.1</v>
      </c>
      <c r="E642">
        <v>73.5</v>
      </c>
      <c r="F642">
        <v>81.5</v>
      </c>
      <c r="G642" s="2">
        <f t="shared" si="91"/>
        <v>1</v>
      </c>
      <c r="H642">
        <v>95.4</v>
      </c>
      <c r="I642">
        <v>73.5</v>
      </c>
      <c r="J642">
        <v>85.1</v>
      </c>
      <c r="K642">
        <v>65.8</v>
      </c>
      <c r="L642">
        <v>60.4</v>
      </c>
      <c r="M642" s="2">
        <f t="shared" si="92"/>
        <v>1</v>
      </c>
      <c r="N642">
        <v>0</v>
      </c>
      <c r="O642" s="2">
        <f t="shared" si="93"/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 s="2">
        <f t="shared" si="94"/>
        <v>0</v>
      </c>
      <c r="W642">
        <v>16.100000000000001</v>
      </c>
      <c r="X642" s="2">
        <f t="shared" si="95"/>
        <v>1</v>
      </c>
      <c r="Y642">
        <v>293.8</v>
      </c>
      <c r="Z642" s="2" t="str">
        <f>CHOOSE(MATCH(Y642,{0;11;80;111;161;191;241;281;341},1),"North","NorthEast","East","SouthEast","South","SouthWest","West","NorthWest","North")</f>
        <v>NorthWest</v>
      </c>
      <c r="AA642" s="4">
        <f>CHOOSE(MATCH(Z642,{"South";"SouthEast";"SouthWest";"North";"NorthEast";"East";"West";"NorthWest"},0),1,2,3,4,5,6,7,8)</f>
        <v>8</v>
      </c>
      <c r="AB642" s="2">
        <f t="shared" si="96"/>
        <v>1</v>
      </c>
      <c r="AC642">
        <v>1007.7</v>
      </c>
      <c r="AD642" t="s">
        <v>992</v>
      </c>
      <c r="AE642" s="2">
        <f t="shared" si="97"/>
        <v>1</v>
      </c>
      <c r="AF642" t="s">
        <v>993</v>
      </c>
      <c r="AG642" s="2">
        <f t="shared" si="98"/>
        <v>8</v>
      </c>
      <c r="AH642" s="2">
        <f t="shared" si="99"/>
        <v>1</v>
      </c>
      <c r="AI642" s="3">
        <v>1345.0000000046571</v>
      </c>
      <c r="AJ642" s="2">
        <v>1</v>
      </c>
      <c r="AK642">
        <v>0</v>
      </c>
      <c r="AL642">
        <v>30</v>
      </c>
      <c r="AM642">
        <v>0</v>
      </c>
      <c r="AN642" s="2">
        <f>IF((2*G642+M642-O642+3*V642+2*AB642+2*AE642+2*AH642+3*AJ642)&gt;=7,1,0)</f>
        <v>1</v>
      </c>
    </row>
    <row r="643" spans="1:40" x14ac:dyDescent="0.25">
      <c r="A643" t="s">
        <v>27</v>
      </c>
      <c r="B643" s="1">
        <v>38937</v>
      </c>
      <c r="C643" s="6">
        <f t="shared" ref="C643:C706" si="100">YEAR(B643)</f>
        <v>2006</v>
      </c>
      <c r="D643">
        <v>82.5</v>
      </c>
      <c r="E643">
        <v>75.3</v>
      </c>
      <c r="F643">
        <v>79.3</v>
      </c>
      <c r="G643" s="2">
        <f t="shared" ref="G643:G706" si="101">IF(F643&lt;=70,0,1)</f>
        <v>1</v>
      </c>
      <c r="H643">
        <v>84.1</v>
      </c>
      <c r="I643">
        <v>75.3</v>
      </c>
      <c r="J643">
        <v>80</v>
      </c>
      <c r="K643">
        <v>62.4</v>
      </c>
      <c r="L643">
        <v>56.8</v>
      </c>
      <c r="M643" s="2">
        <f t="shared" ref="M643:M706" si="102">IF(L643&lt;=66,1,0)</f>
        <v>1</v>
      </c>
      <c r="N643">
        <v>0</v>
      </c>
      <c r="O643" s="2">
        <f t="shared" ref="O643:O706" si="103">IF(N643&lt;=0.01,1,0)</f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 s="2">
        <f t="shared" ref="V643:V706" si="104">IF(U643&lt;=9,0,1)</f>
        <v>0</v>
      </c>
      <c r="W643">
        <v>23</v>
      </c>
      <c r="X643" s="2">
        <f t="shared" ref="X643:X706" si="105">IF(W643&gt;=16,1,0)</f>
        <v>1</v>
      </c>
      <c r="Y643">
        <v>303.39999999999998</v>
      </c>
      <c r="Z643" s="2" t="str">
        <f>CHOOSE(MATCH(Y643,{0;11;80;111;161;191;241;281;341},1),"North","NorthEast","East","SouthEast","South","SouthWest","West","NorthWest","North")</f>
        <v>NorthWest</v>
      </c>
      <c r="AA643" s="4">
        <f>CHOOSE(MATCH(Z643,{"South";"SouthEast";"SouthWest";"North";"NorthEast";"East";"West";"NorthWest"},0),1,2,3,4,5,6,7,8)</f>
        <v>8</v>
      </c>
      <c r="AB643" s="2">
        <f t="shared" ref="AB643:AB706" si="106">IF(OR(AA643=4,AA643=5,AA643=8),1,0)</f>
        <v>1</v>
      </c>
      <c r="AC643">
        <v>1005.9</v>
      </c>
      <c r="AD643" t="s">
        <v>298</v>
      </c>
      <c r="AE643" s="2">
        <f t="shared" ref="AE643:AE706" si="107">IF(TIMEVALUE(AD643)&lt;=TIME(12,30,0),0,1)</f>
        <v>1</v>
      </c>
      <c r="AF643" t="s">
        <v>994</v>
      </c>
      <c r="AG643" s="2">
        <f t="shared" ref="AG643:AG706" si="108">MONTH(AF643)</f>
        <v>8</v>
      </c>
      <c r="AH643" s="2">
        <f t="shared" ref="AH643:AH706" si="109">IF(OR(AG643=6,AG643=7,AG643=8),1,0)</f>
        <v>1</v>
      </c>
      <c r="AI643" s="3">
        <v>119.99999999301509</v>
      </c>
      <c r="AJ643" s="2">
        <v>0</v>
      </c>
      <c r="AK643">
        <v>0</v>
      </c>
      <c r="AL643">
        <v>0.05</v>
      </c>
      <c r="AM643">
        <v>0</v>
      </c>
      <c r="AN643" s="2">
        <f>IF((2*G643+M643-O643+3*V643+2*AB643+2*AE643+2*AH643+3*AJ643)&gt;=7,1,0)</f>
        <v>1</v>
      </c>
    </row>
    <row r="644" spans="1:40" x14ac:dyDescent="0.25">
      <c r="A644" t="s">
        <v>27</v>
      </c>
      <c r="B644" s="1">
        <v>38940</v>
      </c>
      <c r="C644" s="6">
        <f t="shared" si="100"/>
        <v>2006</v>
      </c>
      <c r="D644">
        <v>84.3</v>
      </c>
      <c r="E644">
        <v>71.7</v>
      </c>
      <c r="F644">
        <v>79.400000000000006</v>
      </c>
      <c r="G644" s="2">
        <f t="shared" si="101"/>
        <v>1</v>
      </c>
      <c r="H644">
        <v>87.4</v>
      </c>
      <c r="I644">
        <v>71.7</v>
      </c>
      <c r="J644">
        <v>80.8</v>
      </c>
      <c r="K644">
        <v>68.400000000000006</v>
      </c>
      <c r="L644">
        <v>70.2</v>
      </c>
      <c r="M644" s="2">
        <f t="shared" si="102"/>
        <v>0</v>
      </c>
      <c r="N644">
        <v>0</v>
      </c>
      <c r="O644" s="2">
        <f t="shared" si="103"/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s="2">
        <f t="shared" si="104"/>
        <v>0</v>
      </c>
      <c r="W644">
        <v>26.4</v>
      </c>
      <c r="X644" s="2">
        <f t="shared" si="105"/>
        <v>1</v>
      </c>
      <c r="Y644">
        <v>318.2</v>
      </c>
      <c r="Z644" s="2" t="str">
        <f>CHOOSE(MATCH(Y644,{0;11;80;111;161;191;241;281;341},1),"North","NorthEast","East","SouthEast","South","SouthWest","West","NorthWest","North")</f>
        <v>NorthWest</v>
      </c>
      <c r="AA644" s="4">
        <f>CHOOSE(MATCH(Z644,{"South";"SouthEast";"SouthWest";"North";"NorthEast";"East";"West";"NorthWest"},0),1,2,3,4,5,6,7,8)</f>
        <v>8</v>
      </c>
      <c r="AB644" s="2">
        <f t="shared" si="106"/>
        <v>1</v>
      </c>
      <c r="AC644">
        <v>1007.7</v>
      </c>
      <c r="AD644" t="s">
        <v>995</v>
      </c>
      <c r="AE644" s="2">
        <f t="shared" si="107"/>
        <v>1</v>
      </c>
      <c r="AF644" t="s">
        <v>996</v>
      </c>
      <c r="AG644" s="2">
        <f t="shared" si="108"/>
        <v>8</v>
      </c>
      <c r="AH644" s="2">
        <f t="shared" si="109"/>
        <v>1</v>
      </c>
      <c r="AI644" s="3">
        <v>1650.000000003492</v>
      </c>
      <c r="AJ644" s="2">
        <v>1</v>
      </c>
      <c r="AK644">
        <v>0</v>
      </c>
      <c r="AL644">
        <v>15</v>
      </c>
      <c r="AM644">
        <v>0</v>
      </c>
      <c r="AN644" s="2">
        <f>IF((2*G644+M644-O644+3*V644+2*AB644+2*AE644+2*AH644+3*AJ644)&gt;=7,1,0)</f>
        <v>1</v>
      </c>
    </row>
    <row r="645" spans="1:40" x14ac:dyDescent="0.25">
      <c r="A645" t="s">
        <v>27</v>
      </c>
      <c r="B645" s="1">
        <v>38943</v>
      </c>
      <c r="C645" s="6">
        <f t="shared" si="100"/>
        <v>2006</v>
      </c>
      <c r="D645">
        <v>89.7</v>
      </c>
      <c r="E645">
        <v>69.900000000000006</v>
      </c>
      <c r="F645">
        <v>80.3</v>
      </c>
      <c r="G645" s="2">
        <f t="shared" si="101"/>
        <v>1</v>
      </c>
      <c r="H645">
        <v>90.5</v>
      </c>
      <c r="I645">
        <v>69.900000000000006</v>
      </c>
      <c r="J645">
        <v>80.900000000000006</v>
      </c>
      <c r="K645">
        <v>62.2</v>
      </c>
      <c r="L645">
        <v>55.9</v>
      </c>
      <c r="M645" s="2">
        <f t="shared" si="102"/>
        <v>1</v>
      </c>
      <c r="N645">
        <v>0</v>
      </c>
      <c r="O645" s="2">
        <f t="shared" si="103"/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 s="2">
        <f t="shared" si="104"/>
        <v>0</v>
      </c>
      <c r="W645">
        <v>10.3</v>
      </c>
      <c r="X645" s="2">
        <f t="shared" si="105"/>
        <v>0</v>
      </c>
      <c r="Y645">
        <v>141.5</v>
      </c>
      <c r="Z645" s="2" t="str">
        <f>CHOOSE(MATCH(Y645,{0;11;80;111;161;191;241;281;341},1),"North","NorthEast","East","SouthEast","South","SouthWest","West","NorthWest","North")</f>
        <v>SouthEast</v>
      </c>
      <c r="AA645" s="4">
        <f>CHOOSE(MATCH(Z645,{"South";"SouthEast";"SouthWest";"North";"NorthEast";"East";"West";"NorthWest"},0),1,2,3,4,5,6,7,8)</f>
        <v>2</v>
      </c>
      <c r="AB645" s="2">
        <f t="shared" si="106"/>
        <v>0</v>
      </c>
      <c r="AC645">
        <v>1010.6</v>
      </c>
      <c r="AD645" t="s">
        <v>997</v>
      </c>
      <c r="AE645" s="2">
        <f t="shared" si="107"/>
        <v>0</v>
      </c>
      <c r="AF645" t="s">
        <v>998</v>
      </c>
      <c r="AG645" s="2">
        <f t="shared" si="108"/>
        <v>8</v>
      </c>
      <c r="AH645" s="2">
        <f t="shared" si="109"/>
        <v>1</v>
      </c>
      <c r="AI645" s="3">
        <v>1005.9999999997671</v>
      </c>
      <c r="AJ645" s="2">
        <v>1</v>
      </c>
      <c r="AK645">
        <v>0</v>
      </c>
      <c r="AL645">
        <v>15</v>
      </c>
      <c r="AM645">
        <v>0</v>
      </c>
      <c r="AN645" s="2">
        <f>IF((2*G645+M645-O645+3*V645+2*AB645+2*AE645+2*AH645+3*AJ645)&gt;=7,1,0)</f>
        <v>1</v>
      </c>
    </row>
    <row r="646" spans="1:40" x14ac:dyDescent="0.25">
      <c r="A646" t="s">
        <v>27</v>
      </c>
      <c r="B646" s="1">
        <v>38944</v>
      </c>
      <c r="C646" s="6">
        <f t="shared" si="100"/>
        <v>2006</v>
      </c>
      <c r="D646">
        <v>84.3</v>
      </c>
      <c r="E646">
        <v>71.7</v>
      </c>
      <c r="F646">
        <v>78.400000000000006</v>
      </c>
      <c r="G646" s="2">
        <f t="shared" si="101"/>
        <v>1</v>
      </c>
      <c r="H646">
        <v>91.1</v>
      </c>
      <c r="I646">
        <v>71.7</v>
      </c>
      <c r="J646">
        <v>81.099999999999994</v>
      </c>
      <c r="K646">
        <v>68.400000000000006</v>
      </c>
      <c r="L646">
        <v>71.599999999999994</v>
      </c>
      <c r="M646" s="2">
        <f t="shared" si="102"/>
        <v>0</v>
      </c>
      <c r="N646">
        <v>0</v>
      </c>
      <c r="O646" s="2">
        <f t="shared" si="103"/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 s="2">
        <f t="shared" si="104"/>
        <v>0</v>
      </c>
      <c r="W646">
        <v>20.8</v>
      </c>
      <c r="X646" s="2">
        <f t="shared" si="105"/>
        <v>1</v>
      </c>
      <c r="Y646">
        <v>302.3</v>
      </c>
      <c r="Z646" s="2" t="str">
        <f>CHOOSE(MATCH(Y646,{0;11;80;111;161;191;241;281;341},1),"North","NorthEast","East","SouthEast","South","SouthWest","West","NorthWest","North")</f>
        <v>NorthWest</v>
      </c>
      <c r="AA646" s="4">
        <f>CHOOSE(MATCH(Z646,{"South";"SouthEast";"SouthWest";"North";"NorthEast";"East";"West";"NorthWest"},0),1,2,3,4,5,6,7,8)</f>
        <v>8</v>
      </c>
      <c r="AB646" s="2">
        <f t="shared" si="106"/>
        <v>1</v>
      </c>
      <c r="AC646">
        <v>1009.3</v>
      </c>
      <c r="AD646" t="s">
        <v>99</v>
      </c>
      <c r="AE646" s="2">
        <f t="shared" si="107"/>
        <v>1</v>
      </c>
      <c r="AF646" t="s">
        <v>999</v>
      </c>
      <c r="AG646" s="2">
        <f t="shared" si="108"/>
        <v>8</v>
      </c>
      <c r="AH646" s="2">
        <f t="shared" si="109"/>
        <v>1</v>
      </c>
      <c r="AI646" s="3">
        <v>940.00000000465661</v>
      </c>
      <c r="AJ646" s="2">
        <v>1</v>
      </c>
      <c r="AK646">
        <v>0</v>
      </c>
      <c r="AL646">
        <v>40</v>
      </c>
      <c r="AM646">
        <v>0</v>
      </c>
      <c r="AN646" s="2">
        <f>IF((2*G646+M646-O646+3*V646+2*AB646+2*AE646+2*AH646+3*AJ646)&gt;=7,1,0)</f>
        <v>1</v>
      </c>
    </row>
    <row r="647" spans="1:40" x14ac:dyDescent="0.25">
      <c r="A647" t="s">
        <v>27</v>
      </c>
      <c r="B647" s="1">
        <v>38945</v>
      </c>
      <c r="C647" s="6">
        <f t="shared" si="100"/>
        <v>2006</v>
      </c>
      <c r="D647">
        <v>87.9</v>
      </c>
      <c r="E647">
        <v>73.5</v>
      </c>
      <c r="F647">
        <v>81.400000000000006</v>
      </c>
      <c r="G647" s="2">
        <f t="shared" si="101"/>
        <v>1</v>
      </c>
      <c r="H647">
        <v>89.6</v>
      </c>
      <c r="I647">
        <v>73.5</v>
      </c>
      <c r="J647">
        <v>82.7</v>
      </c>
      <c r="K647">
        <v>65.3</v>
      </c>
      <c r="L647">
        <v>59.1</v>
      </c>
      <c r="M647" s="2">
        <f t="shared" si="102"/>
        <v>1</v>
      </c>
      <c r="N647">
        <v>0</v>
      </c>
      <c r="O647" s="2">
        <f t="shared" si="103"/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 s="2">
        <f t="shared" si="104"/>
        <v>0</v>
      </c>
      <c r="W647">
        <v>23</v>
      </c>
      <c r="X647" s="2">
        <f t="shared" si="105"/>
        <v>1</v>
      </c>
      <c r="Y647">
        <v>307.3</v>
      </c>
      <c r="Z647" s="2" t="str">
        <f>CHOOSE(MATCH(Y647,{0;11;80;111;161;191;241;281;341},1),"North","NorthEast","East","SouthEast","South","SouthWest","West","NorthWest","North")</f>
        <v>NorthWest</v>
      </c>
      <c r="AA647" s="4">
        <f>CHOOSE(MATCH(Z647,{"South";"SouthEast";"SouthWest";"North";"NorthEast";"East";"West";"NorthWest"},0),1,2,3,4,5,6,7,8)</f>
        <v>8</v>
      </c>
      <c r="AB647" s="2">
        <f t="shared" si="106"/>
        <v>1</v>
      </c>
      <c r="AC647">
        <v>1008.5</v>
      </c>
      <c r="AD647" t="s">
        <v>439</v>
      </c>
      <c r="AE647" s="2">
        <f t="shared" si="107"/>
        <v>1</v>
      </c>
      <c r="AF647" t="s">
        <v>1000</v>
      </c>
      <c r="AG647" s="2">
        <f t="shared" si="108"/>
        <v>8</v>
      </c>
      <c r="AH647" s="2">
        <f t="shared" si="109"/>
        <v>1</v>
      </c>
      <c r="AI647" s="3">
        <v>1685.999999995111</v>
      </c>
      <c r="AJ647" s="2">
        <v>1</v>
      </c>
      <c r="AK647">
        <v>0</v>
      </c>
      <c r="AL647">
        <v>15</v>
      </c>
      <c r="AM647">
        <v>0</v>
      </c>
      <c r="AN647" s="2">
        <f>IF((2*G647+M647-O647+3*V647+2*AB647+2*AE647+2*AH647+3*AJ647)&gt;=7,1,0)</f>
        <v>1</v>
      </c>
    </row>
    <row r="648" spans="1:40" x14ac:dyDescent="0.25">
      <c r="A648" t="s">
        <v>27</v>
      </c>
      <c r="B648" s="1">
        <v>38946</v>
      </c>
      <c r="C648" s="6">
        <f t="shared" si="100"/>
        <v>2006</v>
      </c>
      <c r="D648">
        <v>86.1</v>
      </c>
      <c r="E648">
        <v>78.900000000000006</v>
      </c>
      <c r="F648">
        <v>82.9</v>
      </c>
      <c r="G648" s="2">
        <f t="shared" si="101"/>
        <v>1</v>
      </c>
      <c r="H648">
        <v>89.6</v>
      </c>
      <c r="I648">
        <v>78.900000000000006</v>
      </c>
      <c r="J648">
        <v>84.3</v>
      </c>
      <c r="K648">
        <v>64</v>
      </c>
      <c r="L648">
        <v>53.2</v>
      </c>
      <c r="M648" s="2">
        <f t="shared" si="102"/>
        <v>1</v>
      </c>
      <c r="N648">
        <v>0</v>
      </c>
      <c r="O648" s="2">
        <f t="shared" si="103"/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 s="2">
        <f t="shared" si="104"/>
        <v>0</v>
      </c>
      <c r="W648">
        <v>19.5</v>
      </c>
      <c r="X648" s="2">
        <f t="shared" si="105"/>
        <v>1</v>
      </c>
      <c r="Y648">
        <v>306.39999999999998</v>
      </c>
      <c r="Z648" s="2" t="str">
        <f>CHOOSE(MATCH(Y648,{0;11;80;111;161;191;241;281;341},1),"North","NorthEast","East","SouthEast","South","SouthWest","West","NorthWest","North")</f>
        <v>NorthWest</v>
      </c>
      <c r="AA648" s="4">
        <f>CHOOSE(MATCH(Z648,{"South";"SouthEast";"SouthWest";"North";"NorthEast";"East";"West";"NorthWest"},0),1,2,3,4,5,6,7,8)</f>
        <v>8</v>
      </c>
      <c r="AB648" s="2">
        <f t="shared" si="106"/>
        <v>1</v>
      </c>
      <c r="AC648">
        <v>1008.6</v>
      </c>
      <c r="AD648" t="s">
        <v>180</v>
      </c>
      <c r="AE648" s="2">
        <f t="shared" si="107"/>
        <v>1</v>
      </c>
      <c r="AF648" t="s">
        <v>1001</v>
      </c>
      <c r="AG648" s="2">
        <f t="shared" si="108"/>
        <v>8</v>
      </c>
      <c r="AH648" s="2">
        <f t="shared" si="109"/>
        <v>1</v>
      </c>
      <c r="AI648" s="3">
        <v>1016.000000000931</v>
      </c>
      <c r="AJ648" s="2">
        <v>1</v>
      </c>
      <c r="AK648">
        <v>0</v>
      </c>
      <c r="AL648">
        <v>30</v>
      </c>
      <c r="AM648">
        <v>0</v>
      </c>
      <c r="AN648" s="2">
        <f>IF((2*G648+M648-O648+3*V648+2*AB648+2*AE648+2*AH648+3*AJ648)&gt;=7,1,0)</f>
        <v>1</v>
      </c>
    </row>
    <row r="649" spans="1:40" x14ac:dyDescent="0.25">
      <c r="A649" t="s">
        <v>27</v>
      </c>
      <c r="B649" s="1">
        <v>38947</v>
      </c>
      <c r="C649" s="6">
        <f t="shared" si="100"/>
        <v>2006</v>
      </c>
      <c r="D649">
        <v>86.1</v>
      </c>
      <c r="E649">
        <v>78.900000000000006</v>
      </c>
      <c r="F649">
        <v>83.7</v>
      </c>
      <c r="G649" s="2">
        <f t="shared" si="101"/>
        <v>1</v>
      </c>
      <c r="H649">
        <v>90.8</v>
      </c>
      <c r="I649">
        <v>78.900000000000006</v>
      </c>
      <c r="J649">
        <v>86</v>
      </c>
      <c r="K649">
        <v>66.099999999999994</v>
      </c>
      <c r="L649">
        <v>55.7</v>
      </c>
      <c r="M649" s="2">
        <f t="shared" si="102"/>
        <v>1</v>
      </c>
      <c r="N649">
        <v>0</v>
      </c>
      <c r="O649" s="2">
        <f t="shared" si="103"/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 s="2">
        <f t="shared" si="104"/>
        <v>0</v>
      </c>
      <c r="W649">
        <v>23</v>
      </c>
      <c r="X649" s="2">
        <f t="shared" si="105"/>
        <v>1</v>
      </c>
      <c r="Y649">
        <v>310.7</v>
      </c>
      <c r="Z649" s="2" t="str">
        <f>CHOOSE(MATCH(Y649,{0;11;80;111;161;191;241;281;341},1),"North","NorthEast","East","SouthEast","South","SouthWest","West","NorthWest","North")</f>
        <v>NorthWest</v>
      </c>
      <c r="AA649" s="4">
        <f>CHOOSE(MATCH(Z649,{"South";"SouthEast";"SouthWest";"North";"NorthEast";"East";"West";"NorthWest"},0),1,2,3,4,5,6,7,8)</f>
        <v>8</v>
      </c>
      <c r="AB649" s="2">
        <f t="shared" si="106"/>
        <v>1</v>
      </c>
      <c r="AC649">
        <v>1010.1</v>
      </c>
      <c r="AD649" t="s">
        <v>525</v>
      </c>
      <c r="AE649" s="2">
        <f t="shared" si="107"/>
        <v>1</v>
      </c>
      <c r="AF649" t="s">
        <v>1002</v>
      </c>
      <c r="AG649" s="2">
        <f t="shared" si="108"/>
        <v>8</v>
      </c>
      <c r="AH649" s="2">
        <f t="shared" si="109"/>
        <v>1</v>
      </c>
      <c r="AI649" s="3">
        <v>1435.9999999974391</v>
      </c>
      <c r="AJ649" s="2">
        <v>1</v>
      </c>
      <c r="AK649">
        <v>0</v>
      </c>
      <c r="AL649">
        <v>100</v>
      </c>
      <c r="AM649">
        <v>0</v>
      </c>
      <c r="AN649" s="2">
        <f>IF((2*G649+M649-O649+3*V649+2*AB649+2*AE649+2*AH649+3*AJ649)&gt;=7,1,0)</f>
        <v>1</v>
      </c>
    </row>
    <row r="650" spans="1:40" x14ac:dyDescent="0.25">
      <c r="A650" t="s">
        <v>27</v>
      </c>
      <c r="B650" s="1">
        <v>38948</v>
      </c>
      <c r="C650" s="6">
        <f t="shared" si="100"/>
        <v>2006</v>
      </c>
      <c r="D650">
        <v>87.9</v>
      </c>
      <c r="E650">
        <v>80.7</v>
      </c>
      <c r="F650">
        <v>84.2</v>
      </c>
      <c r="G650" s="2">
        <f t="shared" si="101"/>
        <v>1</v>
      </c>
      <c r="H650">
        <v>90.8</v>
      </c>
      <c r="I650">
        <v>82.4</v>
      </c>
      <c r="J650">
        <v>86.4</v>
      </c>
      <c r="K650">
        <v>65.5</v>
      </c>
      <c r="L650">
        <v>53.6</v>
      </c>
      <c r="M650" s="2">
        <f t="shared" si="102"/>
        <v>1</v>
      </c>
      <c r="N650">
        <v>0</v>
      </c>
      <c r="O650" s="2">
        <f t="shared" si="103"/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 s="2">
        <f t="shared" si="104"/>
        <v>0</v>
      </c>
      <c r="W650">
        <v>19.5</v>
      </c>
      <c r="X650" s="2">
        <f t="shared" si="105"/>
        <v>1</v>
      </c>
      <c r="Y650">
        <v>308.10000000000002</v>
      </c>
      <c r="Z650" s="2" t="str">
        <f>CHOOSE(MATCH(Y650,{0;11;80;111;161;191;241;281;341},1),"North","NorthEast","East","SouthEast","South","SouthWest","West","NorthWest","North")</f>
        <v>NorthWest</v>
      </c>
      <c r="AA650" s="4">
        <f>CHOOSE(MATCH(Z650,{"South";"SouthEast";"SouthWest";"North";"NorthEast";"East";"West";"NorthWest"},0),1,2,3,4,5,6,7,8)</f>
        <v>8</v>
      </c>
      <c r="AB650" s="2">
        <f t="shared" si="106"/>
        <v>1</v>
      </c>
      <c r="AC650">
        <v>1011.7</v>
      </c>
      <c r="AD650" t="s">
        <v>717</v>
      </c>
      <c r="AE650" s="2">
        <f t="shared" si="107"/>
        <v>1</v>
      </c>
      <c r="AF650" t="s">
        <v>1003</v>
      </c>
      <c r="AG650" s="2">
        <f t="shared" si="108"/>
        <v>8</v>
      </c>
      <c r="AH650" s="2">
        <f t="shared" si="109"/>
        <v>1</v>
      </c>
      <c r="AI650" s="3">
        <v>59.99999999650754</v>
      </c>
      <c r="AJ650" s="2">
        <v>0</v>
      </c>
      <c r="AK650">
        <v>0.02</v>
      </c>
      <c r="AL650">
        <v>0</v>
      </c>
      <c r="AM650">
        <v>0</v>
      </c>
      <c r="AN650" s="2">
        <f>IF((2*G650+M650-O650+3*V650+2*AB650+2*AE650+2*AH650+3*AJ650)&gt;=7,1,0)</f>
        <v>1</v>
      </c>
    </row>
    <row r="651" spans="1:40" x14ac:dyDescent="0.25">
      <c r="A651" t="s">
        <v>27</v>
      </c>
      <c r="B651" s="1">
        <v>38948</v>
      </c>
      <c r="C651" s="6">
        <f t="shared" si="100"/>
        <v>2006</v>
      </c>
      <c r="D651">
        <v>87.9</v>
      </c>
      <c r="E651">
        <v>80.7</v>
      </c>
      <c r="F651">
        <v>84.2</v>
      </c>
      <c r="G651" s="2">
        <f t="shared" si="101"/>
        <v>1</v>
      </c>
      <c r="H651">
        <v>90.8</v>
      </c>
      <c r="I651">
        <v>82.4</v>
      </c>
      <c r="J651">
        <v>86.4</v>
      </c>
      <c r="K651">
        <v>65.5</v>
      </c>
      <c r="L651">
        <v>53.6</v>
      </c>
      <c r="M651" s="2">
        <f t="shared" si="102"/>
        <v>1</v>
      </c>
      <c r="N651">
        <v>0</v>
      </c>
      <c r="O651" s="2">
        <f t="shared" si="103"/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 s="2">
        <f t="shared" si="104"/>
        <v>0</v>
      </c>
      <c r="W651">
        <v>19.5</v>
      </c>
      <c r="X651" s="2">
        <f t="shared" si="105"/>
        <v>1</v>
      </c>
      <c r="Y651">
        <v>308.10000000000002</v>
      </c>
      <c r="Z651" s="2" t="str">
        <f>CHOOSE(MATCH(Y651,{0;11;80;111;161;191;241;281;341},1),"North","NorthEast","East","SouthEast","South","SouthWest","West","NorthWest","North")</f>
        <v>NorthWest</v>
      </c>
      <c r="AA651" s="4">
        <f>CHOOSE(MATCH(Z651,{"South";"SouthEast";"SouthWest";"North";"NorthEast";"East";"West";"NorthWest"},0),1,2,3,4,5,6,7,8)</f>
        <v>8</v>
      </c>
      <c r="AB651" s="2">
        <f t="shared" si="106"/>
        <v>1</v>
      </c>
      <c r="AC651">
        <v>1011.7</v>
      </c>
      <c r="AD651" t="s">
        <v>71</v>
      </c>
      <c r="AE651" s="2">
        <f t="shared" si="107"/>
        <v>1</v>
      </c>
      <c r="AF651" t="s">
        <v>1004</v>
      </c>
      <c r="AG651" s="2">
        <f t="shared" si="108"/>
        <v>8</v>
      </c>
      <c r="AH651" s="2">
        <f t="shared" si="109"/>
        <v>1</v>
      </c>
      <c r="AI651" s="3">
        <v>2229.9999999976721</v>
      </c>
      <c r="AJ651" s="2">
        <v>1</v>
      </c>
      <c r="AK651">
        <v>0</v>
      </c>
      <c r="AL651">
        <v>6</v>
      </c>
      <c r="AM651">
        <v>0</v>
      </c>
      <c r="AN651" s="2">
        <f>IF((2*G651+M651-O651+3*V651+2*AB651+2*AE651+2*AH651+3*AJ651)&gt;=7,1,0)</f>
        <v>1</v>
      </c>
    </row>
    <row r="652" spans="1:40" x14ac:dyDescent="0.25">
      <c r="A652" t="s">
        <v>27</v>
      </c>
      <c r="B652" s="1">
        <v>38950</v>
      </c>
      <c r="C652" s="6">
        <f t="shared" si="100"/>
        <v>2006</v>
      </c>
      <c r="D652">
        <v>86.1</v>
      </c>
      <c r="E652">
        <v>77.099999999999994</v>
      </c>
      <c r="F652">
        <v>82.8</v>
      </c>
      <c r="G652" s="2">
        <f t="shared" si="101"/>
        <v>1</v>
      </c>
      <c r="H652">
        <v>92.1</v>
      </c>
      <c r="I652">
        <v>77.099999999999994</v>
      </c>
      <c r="J652">
        <v>85.7</v>
      </c>
      <c r="K652">
        <v>66.8</v>
      </c>
      <c r="L652">
        <v>59</v>
      </c>
      <c r="M652" s="2">
        <f t="shared" si="102"/>
        <v>1</v>
      </c>
      <c r="N652">
        <v>0</v>
      </c>
      <c r="O652" s="2">
        <f t="shared" si="103"/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 s="2">
        <f t="shared" si="104"/>
        <v>0</v>
      </c>
      <c r="W652">
        <v>17.2</v>
      </c>
      <c r="X652" s="2">
        <f t="shared" si="105"/>
        <v>1</v>
      </c>
      <c r="Y652">
        <v>316</v>
      </c>
      <c r="Z652" s="2" t="str">
        <f>CHOOSE(MATCH(Y652,{0;11;80;111;161;191;241;281;341},1),"North","NorthEast","East","SouthEast","South","SouthWest","West","NorthWest","North")</f>
        <v>NorthWest</v>
      </c>
      <c r="AA652" s="4">
        <f>CHOOSE(MATCH(Z652,{"South";"SouthEast";"SouthWest";"North";"NorthEast";"East";"West";"NorthWest"},0),1,2,3,4,5,6,7,8)</f>
        <v>8</v>
      </c>
      <c r="AB652" s="2">
        <f t="shared" si="106"/>
        <v>1</v>
      </c>
      <c r="AC652">
        <v>1010.1</v>
      </c>
      <c r="AD652" t="s">
        <v>1005</v>
      </c>
      <c r="AE652" s="2">
        <f t="shared" si="107"/>
        <v>0</v>
      </c>
      <c r="AF652" t="s">
        <v>1006</v>
      </c>
      <c r="AG652" s="2">
        <f t="shared" si="108"/>
        <v>8</v>
      </c>
      <c r="AH652" s="2">
        <f t="shared" si="109"/>
        <v>1</v>
      </c>
      <c r="AI652" s="3">
        <v>4255.0000000081491</v>
      </c>
      <c r="AJ652" s="2">
        <v>1</v>
      </c>
      <c r="AK652">
        <v>0</v>
      </c>
      <c r="AL652">
        <v>2000</v>
      </c>
      <c r="AM652">
        <v>0</v>
      </c>
      <c r="AN652" s="2">
        <f>IF((2*G652+M652-O652+3*V652+2*AB652+2*AE652+2*AH652+3*AJ652)&gt;=7,1,0)</f>
        <v>1</v>
      </c>
    </row>
    <row r="653" spans="1:40" x14ac:dyDescent="0.25">
      <c r="A653" t="s">
        <v>27</v>
      </c>
      <c r="B653" s="1">
        <v>38951</v>
      </c>
      <c r="C653" s="6">
        <f t="shared" si="100"/>
        <v>2006</v>
      </c>
      <c r="D653">
        <v>91.5</v>
      </c>
      <c r="E653">
        <v>75.3</v>
      </c>
      <c r="F653">
        <v>83.2</v>
      </c>
      <c r="G653" s="2">
        <f t="shared" si="101"/>
        <v>1</v>
      </c>
      <c r="H653">
        <v>95</v>
      </c>
      <c r="I653">
        <v>75.3</v>
      </c>
      <c r="J653">
        <v>84.9</v>
      </c>
      <c r="K653">
        <v>62.1</v>
      </c>
      <c r="L653">
        <v>49.4</v>
      </c>
      <c r="M653" s="2">
        <f t="shared" si="102"/>
        <v>1</v>
      </c>
      <c r="N653">
        <v>0</v>
      </c>
      <c r="O653" s="2">
        <f t="shared" si="103"/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 s="2">
        <f t="shared" si="104"/>
        <v>0</v>
      </c>
      <c r="W653">
        <v>9.1999999999999993</v>
      </c>
      <c r="X653" s="2">
        <f t="shared" si="105"/>
        <v>0</v>
      </c>
      <c r="Y653">
        <v>185.3</v>
      </c>
      <c r="Z653" s="2" t="str">
        <f>CHOOSE(MATCH(Y653,{0;11;80;111;161;191;241;281;341},1),"North","NorthEast","East","SouthEast","South","SouthWest","West","NorthWest","North")</f>
        <v>South</v>
      </c>
      <c r="AA653" s="4">
        <f>CHOOSE(MATCH(Z653,{"South";"SouthEast";"SouthWest";"North";"NorthEast";"East";"West";"NorthWest"},0),1,2,3,4,5,6,7,8)</f>
        <v>1</v>
      </c>
      <c r="AB653" s="2">
        <f t="shared" si="106"/>
        <v>0</v>
      </c>
      <c r="AC653">
        <v>1008.9</v>
      </c>
      <c r="AD653" t="s">
        <v>251</v>
      </c>
      <c r="AE653" s="2">
        <f t="shared" si="107"/>
        <v>1</v>
      </c>
      <c r="AF653" t="s">
        <v>1007</v>
      </c>
      <c r="AG653" s="2">
        <f t="shared" si="108"/>
        <v>8</v>
      </c>
      <c r="AH653" s="2">
        <f t="shared" si="109"/>
        <v>1</v>
      </c>
      <c r="AI653" s="3">
        <v>4169.9999999930151</v>
      </c>
      <c r="AJ653" s="2">
        <v>1</v>
      </c>
      <c r="AK653">
        <v>0</v>
      </c>
      <c r="AL653">
        <v>3000</v>
      </c>
      <c r="AM653">
        <v>0</v>
      </c>
      <c r="AN653" s="2">
        <f>IF((2*G653+M653-O653+3*V653+2*AB653+2*AE653+2*AH653+3*AJ653)&gt;=7,1,0)</f>
        <v>1</v>
      </c>
    </row>
    <row r="654" spans="1:40" x14ac:dyDescent="0.25">
      <c r="A654" t="s">
        <v>27</v>
      </c>
      <c r="B654" s="1">
        <v>38952</v>
      </c>
      <c r="C654" s="6">
        <f t="shared" si="100"/>
        <v>2006</v>
      </c>
      <c r="D654">
        <v>84.3</v>
      </c>
      <c r="E654">
        <v>77.099999999999994</v>
      </c>
      <c r="F654">
        <v>81.599999999999994</v>
      </c>
      <c r="G654" s="2">
        <f t="shared" si="101"/>
        <v>1</v>
      </c>
      <c r="H654">
        <v>92.7</v>
      </c>
      <c r="I654">
        <v>77.099999999999994</v>
      </c>
      <c r="J654">
        <v>84.5</v>
      </c>
      <c r="K654">
        <v>64.7</v>
      </c>
      <c r="L654">
        <v>58.2</v>
      </c>
      <c r="M654" s="2">
        <f t="shared" si="102"/>
        <v>1</v>
      </c>
      <c r="N654">
        <v>0</v>
      </c>
      <c r="O654" s="2">
        <f t="shared" si="103"/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 s="2">
        <f t="shared" si="104"/>
        <v>0</v>
      </c>
      <c r="W654">
        <v>21.9</v>
      </c>
      <c r="X654" s="2">
        <f t="shared" si="105"/>
        <v>1</v>
      </c>
      <c r="Y654">
        <v>308.2</v>
      </c>
      <c r="Z654" s="2" t="str">
        <f>CHOOSE(MATCH(Y654,{0;11;80;111;161;191;241;281;341},1),"North","NorthEast","East","SouthEast","South","SouthWest","West","NorthWest","North")</f>
        <v>NorthWest</v>
      </c>
      <c r="AA654" s="4">
        <f>CHOOSE(MATCH(Z654,{"South";"SouthEast";"SouthWest";"North";"NorthEast";"East";"West";"NorthWest"},0),1,2,3,4,5,6,7,8)</f>
        <v>8</v>
      </c>
      <c r="AB654" s="2">
        <f t="shared" si="106"/>
        <v>1</v>
      </c>
      <c r="AC654">
        <v>1007.9</v>
      </c>
      <c r="AD654" t="s">
        <v>291</v>
      </c>
      <c r="AE654" s="2">
        <f t="shared" si="107"/>
        <v>1</v>
      </c>
      <c r="AF654" t="s">
        <v>1008</v>
      </c>
      <c r="AG654" s="2">
        <f t="shared" si="108"/>
        <v>8</v>
      </c>
      <c r="AH654" s="2">
        <f t="shared" si="109"/>
        <v>1</v>
      </c>
      <c r="AI654" s="3">
        <v>1175.999999998603</v>
      </c>
      <c r="AJ654" s="2">
        <v>1</v>
      </c>
      <c r="AK654">
        <v>0</v>
      </c>
      <c r="AL654">
        <v>170</v>
      </c>
      <c r="AM654">
        <v>0</v>
      </c>
      <c r="AN654" s="2">
        <f>IF((2*G654+M654-O654+3*V654+2*AB654+2*AE654+2*AH654+3*AJ654)&gt;=7,1,0)</f>
        <v>1</v>
      </c>
    </row>
    <row r="655" spans="1:40" x14ac:dyDescent="0.25">
      <c r="A655" t="s">
        <v>27</v>
      </c>
      <c r="B655" s="1">
        <v>38952</v>
      </c>
      <c r="C655" s="6">
        <f t="shared" si="100"/>
        <v>2006</v>
      </c>
      <c r="D655">
        <v>84.3</v>
      </c>
      <c r="E655">
        <v>77.099999999999994</v>
      </c>
      <c r="F655">
        <v>81.599999999999994</v>
      </c>
      <c r="G655" s="2">
        <f t="shared" si="101"/>
        <v>1</v>
      </c>
      <c r="H655">
        <v>92.7</v>
      </c>
      <c r="I655">
        <v>77.099999999999994</v>
      </c>
      <c r="J655">
        <v>84.5</v>
      </c>
      <c r="K655">
        <v>64.7</v>
      </c>
      <c r="L655">
        <v>58.2</v>
      </c>
      <c r="M655" s="2">
        <f t="shared" si="102"/>
        <v>1</v>
      </c>
      <c r="N655">
        <v>0</v>
      </c>
      <c r="O655" s="2">
        <f t="shared" si="103"/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 s="2">
        <f t="shared" si="104"/>
        <v>0</v>
      </c>
      <c r="W655">
        <v>21.9</v>
      </c>
      <c r="X655" s="2">
        <f t="shared" si="105"/>
        <v>1</v>
      </c>
      <c r="Y655">
        <v>308.2</v>
      </c>
      <c r="Z655" s="2" t="str">
        <f>CHOOSE(MATCH(Y655,{0;11;80;111;161;191;241;281;341},1),"North","NorthEast","East","SouthEast","South","SouthWest","West","NorthWest","North")</f>
        <v>NorthWest</v>
      </c>
      <c r="AA655" s="4">
        <f>CHOOSE(MATCH(Z655,{"South";"SouthEast";"SouthWest";"North";"NorthEast";"East";"West";"NorthWest"},0),1,2,3,4,5,6,7,8)</f>
        <v>8</v>
      </c>
      <c r="AB655" s="2">
        <f t="shared" si="106"/>
        <v>1</v>
      </c>
      <c r="AC655">
        <v>1007.9</v>
      </c>
      <c r="AD655" t="s">
        <v>325</v>
      </c>
      <c r="AE655" s="2">
        <f t="shared" si="107"/>
        <v>0</v>
      </c>
      <c r="AF655" t="s">
        <v>1009</v>
      </c>
      <c r="AG655" s="2">
        <f t="shared" si="108"/>
        <v>8</v>
      </c>
      <c r="AH655" s="2">
        <f t="shared" si="109"/>
        <v>1</v>
      </c>
      <c r="AI655" s="3">
        <v>120.9999999962747</v>
      </c>
      <c r="AJ655" s="2">
        <v>0</v>
      </c>
      <c r="AK655">
        <v>0</v>
      </c>
      <c r="AL655">
        <v>0.01</v>
      </c>
      <c r="AM655">
        <v>0</v>
      </c>
      <c r="AN655" s="2">
        <f>IF((2*G655+M655-O655+3*V655+2*AB655+2*AE655+2*AH655+3*AJ655)&gt;=7,1,0)</f>
        <v>0</v>
      </c>
    </row>
    <row r="656" spans="1:40" x14ac:dyDescent="0.25">
      <c r="A656" t="s">
        <v>27</v>
      </c>
      <c r="B656" s="1">
        <v>38952</v>
      </c>
      <c r="C656" s="6">
        <f t="shared" si="100"/>
        <v>2006</v>
      </c>
      <c r="D656">
        <v>84.3</v>
      </c>
      <c r="E656">
        <v>77.099999999999994</v>
      </c>
      <c r="F656">
        <v>81.599999999999994</v>
      </c>
      <c r="G656" s="2">
        <f t="shared" si="101"/>
        <v>1</v>
      </c>
      <c r="H656">
        <v>92.7</v>
      </c>
      <c r="I656">
        <v>77.099999999999994</v>
      </c>
      <c r="J656">
        <v>84.5</v>
      </c>
      <c r="K656">
        <v>64.7</v>
      </c>
      <c r="L656">
        <v>58.2</v>
      </c>
      <c r="M656" s="2">
        <f t="shared" si="102"/>
        <v>1</v>
      </c>
      <c r="N656">
        <v>0</v>
      </c>
      <c r="O656" s="2">
        <f t="shared" si="103"/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 s="2">
        <f t="shared" si="104"/>
        <v>0</v>
      </c>
      <c r="W656">
        <v>21.9</v>
      </c>
      <c r="X656" s="2">
        <f t="shared" si="105"/>
        <v>1</v>
      </c>
      <c r="Y656">
        <v>308.2</v>
      </c>
      <c r="Z656" s="2" t="str">
        <f>CHOOSE(MATCH(Y656,{0;11;80;111;161;191;241;281;341},1),"North","NorthEast","East","SouthEast","South","SouthWest","West","NorthWest","North")</f>
        <v>NorthWest</v>
      </c>
      <c r="AA656" s="4">
        <f>CHOOSE(MATCH(Z656,{"South";"SouthEast";"SouthWest";"North";"NorthEast";"East";"West";"NorthWest"},0),1,2,3,4,5,6,7,8)</f>
        <v>8</v>
      </c>
      <c r="AB656" s="2">
        <f t="shared" si="106"/>
        <v>1</v>
      </c>
      <c r="AC656">
        <v>1007.9</v>
      </c>
      <c r="AD656" t="s">
        <v>122</v>
      </c>
      <c r="AE656" s="2">
        <f t="shared" si="107"/>
        <v>1</v>
      </c>
      <c r="AF656" t="s">
        <v>1010</v>
      </c>
      <c r="AG656" s="2">
        <f t="shared" si="108"/>
        <v>8</v>
      </c>
      <c r="AH656" s="2">
        <f t="shared" si="109"/>
        <v>1</v>
      </c>
      <c r="AI656" s="3">
        <v>360</v>
      </c>
      <c r="AJ656" s="2">
        <v>0</v>
      </c>
      <c r="AK656">
        <v>0</v>
      </c>
      <c r="AL656">
        <v>3</v>
      </c>
      <c r="AM656">
        <v>0</v>
      </c>
      <c r="AN656" s="2">
        <f>IF((2*G656+M656-O656+3*V656+2*AB656+2*AE656+2*AH656+3*AJ656)&gt;=7,1,0)</f>
        <v>1</v>
      </c>
    </row>
    <row r="657" spans="1:40" x14ac:dyDescent="0.25">
      <c r="A657" t="s">
        <v>27</v>
      </c>
      <c r="B657" s="1">
        <v>38953</v>
      </c>
      <c r="C657" s="6">
        <f t="shared" si="100"/>
        <v>2006</v>
      </c>
      <c r="D657">
        <v>84.3</v>
      </c>
      <c r="E657">
        <v>73.5</v>
      </c>
      <c r="F657">
        <v>80.900000000000006</v>
      </c>
      <c r="G657" s="2">
        <f t="shared" si="101"/>
        <v>1</v>
      </c>
      <c r="H657">
        <v>89.8</v>
      </c>
      <c r="I657">
        <v>73.5</v>
      </c>
      <c r="J657">
        <v>82.8</v>
      </c>
      <c r="K657">
        <v>68.099999999999994</v>
      </c>
      <c r="L657">
        <v>66</v>
      </c>
      <c r="M657" s="2">
        <f t="shared" si="102"/>
        <v>1</v>
      </c>
      <c r="N657">
        <v>0</v>
      </c>
      <c r="O657" s="2">
        <f t="shared" si="103"/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 s="2">
        <f t="shared" si="104"/>
        <v>0</v>
      </c>
      <c r="W657">
        <v>19.5</v>
      </c>
      <c r="X657" s="2">
        <f t="shared" si="105"/>
        <v>1</v>
      </c>
      <c r="Y657">
        <v>307.8</v>
      </c>
      <c r="Z657" s="2" t="str">
        <f>CHOOSE(MATCH(Y657,{0;11;80;111;161;191;241;281;341},1),"North","NorthEast","East","SouthEast","South","SouthWest","West","NorthWest","North")</f>
        <v>NorthWest</v>
      </c>
      <c r="AA657" s="4">
        <f>CHOOSE(MATCH(Z657,{"South";"SouthEast";"SouthWest";"North";"NorthEast";"East";"West";"NorthWest"},0),1,2,3,4,5,6,7,8)</f>
        <v>8</v>
      </c>
      <c r="AB657" s="2">
        <f t="shared" si="106"/>
        <v>1</v>
      </c>
      <c r="AC657">
        <v>1009.3</v>
      </c>
      <c r="AD657" t="s">
        <v>1011</v>
      </c>
      <c r="AE657" s="2">
        <f t="shared" si="107"/>
        <v>1</v>
      </c>
      <c r="AF657" t="s">
        <v>1012</v>
      </c>
      <c r="AG657" s="2">
        <f t="shared" si="108"/>
        <v>8</v>
      </c>
      <c r="AH657" s="2">
        <f t="shared" si="109"/>
        <v>1</v>
      </c>
      <c r="AI657" s="3">
        <v>3295.0000000011642</v>
      </c>
      <c r="AJ657" s="2">
        <v>1</v>
      </c>
      <c r="AK657">
        <v>0</v>
      </c>
      <c r="AL657">
        <v>300</v>
      </c>
      <c r="AM657">
        <v>0</v>
      </c>
      <c r="AN657" s="2">
        <f>IF((2*G657+M657-O657+3*V657+2*AB657+2*AE657+2*AH657+3*AJ657)&gt;=7,1,0)</f>
        <v>1</v>
      </c>
    </row>
    <row r="658" spans="1:40" x14ac:dyDescent="0.25">
      <c r="A658" t="s">
        <v>27</v>
      </c>
      <c r="B658" s="1">
        <v>38953</v>
      </c>
      <c r="C658" s="6">
        <f t="shared" si="100"/>
        <v>2006</v>
      </c>
      <c r="D658">
        <v>84.3</v>
      </c>
      <c r="E658">
        <v>73.5</v>
      </c>
      <c r="F658">
        <v>80.900000000000006</v>
      </c>
      <c r="G658" s="2">
        <f t="shared" si="101"/>
        <v>1</v>
      </c>
      <c r="H658">
        <v>89.8</v>
      </c>
      <c r="I658">
        <v>73.5</v>
      </c>
      <c r="J658">
        <v>82.8</v>
      </c>
      <c r="K658">
        <v>68.099999999999994</v>
      </c>
      <c r="L658">
        <v>66</v>
      </c>
      <c r="M658" s="2">
        <f t="shared" si="102"/>
        <v>1</v>
      </c>
      <c r="N658">
        <v>0</v>
      </c>
      <c r="O658" s="2">
        <f t="shared" si="103"/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 s="2">
        <f t="shared" si="104"/>
        <v>0</v>
      </c>
      <c r="W658">
        <v>19.5</v>
      </c>
      <c r="X658" s="2">
        <f t="shared" si="105"/>
        <v>1</v>
      </c>
      <c r="Y658">
        <v>307.8</v>
      </c>
      <c r="Z658" s="2" t="str">
        <f>CHOOSE(MATCH(Y658,{0;11;80;111;161;191;241;281;341},1),"North","NorthEast","East","SouthEast","South","SouthWest","West","NorthWest","North")</f>
        <v>NorthWest</v>
      </c>
      <c r="AA658" s="4">
        <f>CHOOSE(MATCH(Z658,{"South";"SouthEast";"SouthWest";"North";"NorthEast";"East";"West";"NorthWest"},0),1,2,3,4,5,6,7,8)</f>
        <v>8</v>
      </c>
      <c r="AB658" s="2">
        <f t="shared" si="106"/>
        <v>1</v>
      </c>
      <c r="AC658">
        <v>1009.3</v>
      </c>
      <c r="AD658" t="s">
        <v>969</v>
      </c>
      <c r="AE658" s="2">
        <f t="shared" si="107"/>
        <v>1</v>
      </c>
      <c r="AF658" t="s">
        <v>1013</v>
      </c>
      <c r="AG658" s="2">
        <f t="shared" si="108"/>
        <v>8</v>
      </c>
      <c r="AH658" s="2">
        <f t="shared" si="109"/>
        <v>1</v>
      </c>
      <c r="AI658" s="3">
        <v>925.00000000814907</v>
      </c>
      <c r="AJ658" s="2">
        <v>1</v>
      </c>
      <c r="AK658">
        <v>0</v>
      </c>
      <c r="AL658">
        <v>2</v>
      </c>
      <c r="AM658">
        <v>0</v>
      </c>
      <c r="AN658" s="2">
        <f>IF((2*G658+M658-O658+3*V658+2*AB658+2*AE658+2*AH658+3*AJ658)&gt;=7,1,0)</f>
        <v>1</v>
      </c>
    </row>
    <row r="659" spans="1:40" x14ac:dyDescent="0.25">
      <c r="A659" t="s">
        <v>27</v>
      </c>
      <c r="B659" s="1">
        <v>38954</v>
      </c>
      <c r="C659" s="6">
        <f t="shared" si="100"/>
        <v>2006</v>
      </c>
      <c r="D659">
        <v>84.3</v>
      </c>
      <c r="E659">
        <v>71.7</v>
      </c>
      <c r="F659">
        <v>79.3</v>
      </c>
      <c r="G659" s="2">
        <f t="shared" si="101"/>
        <v>1</v>
      </c>
      <c r="H659">
        <v>87.6</v>
      </c>
      <c r="I659">
        <v>71.7</v>
      </c>
      <c r="J659">
        <v>79.900000000000006</v>
      </c>
      <c r="K659">
        <v>62.2</v>
      </c>
      <c r="L659">
        <v>56.7</v>
      </c>
      <c r="M659" s="2">
        <f t="shared" si="102"/>
        <v>1</v>
      </c>
      <c r="N659">
        <v>0</v>
      </c>
      <c r="O659" s="2">
        <f t="shared" si="103"/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 s="2">
        <f t="shared" si="104"/>
        <v>0</v>
      </c>
      <c r="W659">
        <v>15</v>
      </c>
      <c r="X659" s="2">
        <f t="shared" si="105"/>
        <v>0</v>
      </c>
      <c r="Y659">
        <v>313.10000000000002</v>
      </c>
      <c r="Z659" s="2" t="str">
        <f>CHOOSE(MATCH(Y659,{0;11;80;111;161;191;241;281;341},1),"North","NorthEast","East","SouthEast","South","SouthWest","West","NorthWest","North")</f>
        <v>NorthWest</v>
      </c>
      <c r="AA659" s="4">
        <f>CHOOSE(MATCH(Z659,{"South";"SouthEast";"SouthWest";"North";"NorthEast";"East";"West";"NorthWest"},0),1,2,3,4,5,6,7,8)</f>
        <v>8</v>
      </c>
      <c r="AB659" s="2">
        <f t="shared" si="106"/>
        <v>1</v>
      </c>
      <c r="AC659">
        <v>1008.8</v>
      </c>
      <c r="AD659" t="s">
        <v>1014</v>
      </c>
      <c r="AE659" s="2">
        <f t="shared" si="107"/>
        <v>1</v>
      </c>
      <c r="AF659" t="s">
        <v>1015</v>
      </c>
      <c r="AG659" s="2">
        <f t="shared" si="108"/>
        <v>8</v>
      </c>
      <c r="AH659" s="2">
        <f t="shared" si="109"/>
        <v>1</v>
      </c>
      <c r="AI659" s="3">
        <v>560.00000000232831</v>
      </c>
      <c r="AJ659" s="2">
        <v>1</v>
      </c>
      <c r="AK659">
        <v>0</v>
      </c>
      <c r="AL659">
        <v>1</v>
      </c>
      <c r="AM659">
        <v>0</v>
      </c>
      <c r="AN659" s="2">
        <f>IF((2*G659+M659-O659+3*V659+2*AB659+2*AE659+2*AH659+3*AJ659)&gt;=7,1,0)</f>
        <v>1</v>
      </c>
    </row>
    <row r="660" spans="1:40" x14ac:dyDescent="0.25">
      <c r="A660" t="s">
        <v>27</v>
      </c>
      <c r="B660" s="1">
        <v>38955</v>
      </c>
      <c r="C660" s="6">
        <f t="shared" si="100"/>
        <v>2006</v>
      </c>
      <c r="D660">
        <v>87.9</v>
      </c>
      <c r="E660">
        <v>69.900000000000006</v>
      </c>
      <c r="F660">
        <v>79.2</v>
      </c>
      <c r="G660" s="2">
        <f t="shared" si="101"/>
        <v>1</v>
      </c>
      <c r="H660">
        <v>92.1</v>
      </c>
      <c r="I660">
        <v>69.900000000000006</v>
      </c>
      <c r="J660">
        <v>80.5</v>
      </c>
      <c r="K660">
        <v>60.9</v>
      </c>
      <c r="L660">
        <v>54.4</v>
      </c>
      <c r="M660" s="2">
        <f t="shared" si="102"/>
        <v>1</v>
      </c>
      <c r="N660">
        <v>0</v>
      </c>
      <c r="O660" s="2">
        <f t="shared" si="103"/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 s="2">
        <f t="shared" si="104"/>
        <v>0</v>
      </c>
      <c r="W660">
        <v>11.4</v>
      </c>
      <c r="X660" s="2">
        <f t="shared" si="105"/>
        <v>0</v>
      </c>
      <c r="Y660">
        <v>168</v>
      </c>
      <c r="Z660" s="2" t="str">
        <f>CHOOSE(MATCH(Y660,{0;11;80;111;161;191;241;281;341},1),"North","NorthEast","East","SouthEast","South","SouthWest","West","NorthWest","North")</f>
        <v>South</v>
      </c>
      <c r="AA660" s="4">
        <f>CHOOSE(MATCH(Z660,{"South";"SouthEast";"SouthWest";"North";"NorthEast";"East";"West";"NorthWest"},0),1,2,3,4,5,6,7,8)</f>
        <v>1</v>
      </c>
      <c r="AB660" s="2">
        <f t="shared" si="106"/>
        <v>0</v>
      </c>
      <c r="AC660">
        <v>1009.4</v>
      </c>
      <c r="AD660" t="s">
        <v>939</v>
      </c>
      <c r="AE660" s="2">
        <f t="shared" si="107"/>
        <v>1</v>
      </c>
      <c r="AF660" t="s">
        <v>1016</v>
      </c>
      <c r="AG660" s="2">
        <f t="shared" si="108"/>
        <v>8</v>
      </c>
      <c r="AH660" s="2">
        <f t="shared" si="109"/>
        <v>1</v>
      </c>
      <c r="AI660" s="3">
        <v>2530.0000000011642</v>
      </c>
      <c r="AJ660" s="2">
        <v>1</v>
      </c>
      <c r="AK660">
        <v>0</v>
      </c>
      <c r="AL660">
        <v>10</v>
      </c>
      <c r="AM660">
        <v>0</v>
      </c>
      <c r="AN660" s="2">
        <f>IF((2*G660+M660-O660+3*V660+2*AB660+2*AE660+2*AH660+3*AJ660)&gt;=7,1,0)</f>
        <v>1</v>
      </c>
    </row>
    <row r="661" spans="1:40" x14ac:dyDescent="0.25">
      <c r="A661" t="s">
        <v>27</v>
      </c>
      <c r="B661" s="1">
        <v>38957</v>
      </c>
      <c r="C661" s="6">
        <f t="shared" si="100"/>
        <v>2006</v>
      </c>
      <c r="D661">
        <v>87.9</v>
      </c>
      <c r="E661">
        <v>75.3</v>
      </c>
      <c r="F661">
        <v>82.2</v>
      </c>
      <c r="G661" s="2">
        <f t="shared" si="101"/>
        <v>1</v>
      </c>
      <c r="H661">
        <v>91.1</v>
      </c>
      <c r="I661">
        <v>75.3</v>
      </c>
      <c r="J661">
        <v>83.5</v>
      </c>
      <c r="K661">
        <v>66.400000000000006</v>
      </c>
      <c r="L661">
        <v>62.6</v>
      </c>
      <c r="M661" s="2">
        <f t="shared" si="102"/>
        <v>1</v>
      </c>
      <c r="N661">
        <v>0</v>
      </c>
      <c r="O661" s="2">
        <f t="shared" si="103"/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s="2">
        <f t="shared" si="104"/>
        <v>0</v>
      </c>
      <c r="W661">
        <v>25.3</v>
      </c>
      <c r="X661" s="2">
        <f t="shared" si="105"/>
        <v>1</v>
      </c>
      <c r="Y661">
        <v>304.5</v>
      </c>
      <c r="Z661" s="2" t="str">
        <f>CHOOSE(MATCH(Y661,{0;11;80;111;161;191;241;281;341},1),"North","NorthEast","East","SouthEast","South","SouthWest","West","NorthWest","North")</f>
        <v>NorthWest</v>
      </c>
      <c r="AA661" s="4">
        <f>CHOOSE(MATCH(Z661,{"South";"SouthEast";"SouthWest";"North";"NorthEast";"East";"West";"NorthWest"},0),1,2,3,4,5,6,7,8)</f>
        <v>8</v>
      </c>
      <c r="AB661" s="2">
        <f t="shared" si="106"/>
        <v>1</v>
      </c>
      <c r="AC661">
        <v>1007.9</v>
      </c>
      <c r="AD661" t="s">
        <v>1017</v>
      </c>
      <c r="AE661" s="2">
        <f t="shared" si="107"/>
        <v>1</v>
      </c>
      <c r="AF661" t="s">
        <v>1018</v>
      </c>
      <c r="AG661" s="2">
        <f t="shared" si="108"/>
        <v>8</v>
      </c>
      <c r="AH661" s="2">
        <f t="shared" si="109"/>
        <v>1</v>
      </c>
      <c r="AI661" s="3">
        <v>983.00000000861473</v>
      </c>
      <c r="AJ661" s="2">
        <v>1</v>
      </c>
      <c r="AK661">
        <v>0</v>
      </c>
      <c r="AL661">
        <v>5</v>
      </c>
      <c r="AM661">
        <v>0</v>
      </c>
      <c r="AN661" s="2">
        <f>IF((2*G661+M661-O661+3*V661+2*AB661+2*AE661+2*AH661+3*AJ661)&gt;=7,1,0)</f>
        <v>1</v>
      </c>
    </row>
    <row r="662" spans="1:40" x14ac:dyDescent="0.25">
      <c r="A662" t="s">
        <v>27</v>
      </c>
      <c r="B662" s="1">
        <v>38958</v>
      </c>
      <c r="C662" s="6">
        <f t="shared" si="100"/>
        <v>2006</v>
      </c>
      <c r="D662">
        <v>82.5</v>
      </c>
      <c r="E662">
        <v>71.7</v>
      </c>
      <c r="F662">
        <v>78.400000000000006</v>
      </c>
      <c r="G662" s="2">
        <f t="shared" si="101"/>
        <v>1</v>
      </c>
      <c r="H662">
        <v>84.8</v>
      </c>
      <c r="I662">
        <v>71.7</v>
      </c>
      <c r="J662">
        <v>79.099999999999994</v>
      </c>
      <c r="K662">
        <v>61.4</v>
      </c>
      <c r="L662">
        <v>56.2</v>
      </c>
      <c r="M662" s="2">
        <f t="shared" si="102"/>
        <v>1</v>
      </c>
      <c r="N662">
        <v>0</v>
      </c>
      <c r="O662" s="2">
        <f t="shared" si="103"/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 s="2">
        <f t="shared" si="104"/>
        <v>0</v>
      </c>
      <c r="W662">
        <v>23</v>
      </c>
      <c r="X662" s="2">
        <f t="shared" si="105"/>
        <v>1</v>
      </c>
      <c r="Y662">
        <v>299.5</v>
      </c>
      <c r="Z662" s="2" t="str">
        <f>CHOOSE(MATCH(Y662,{0;11;80;111;161;191;241;281;341},1),"North","NorthEast","East","SouthEast","South","SouthWest","West","NorthWest","North")</f>
        <v>NorthWest</v>
      </c>
      <c r="AA662" s="4">
        <f>CHOOSE(MATCH(Z662,{"South";"SouthEast";"SouthWest";"North";"NorthEast";"East";"West";"NorthWest"},0),1,2,3,4,5,6,7,8)</f>
        <v>8</v>
      </c>
      <c r="AB662" s="2">
        <f t="shared" si="106"/>
        <v>1</v>
      </c>
      <c r="AC662">
        <v>1009.8</v>
      </c>
      <c r="AD662" t="s">
        <v>1019</v>
      </c>
      <c r="AE662" s="2">
        <f t="shared" si="107"/>
        <v>1</v>
      </c>
      <c r="AF662" t="s">
        <v>1020</v>
      </c>
      <c r="AG662" s="2">
        <f t="shared" si="108"/>
        <v>8</v>
      </c>
      <c r="AH662" s="2">
        <f t="shared" si="109"/>
        <v>1</v>
      </c>
      <c r="AI662" s="3">
        <v>10445.000000005821</v>
      </c>
      <c r="AJ662" s="2">
        <v>1</v>
      </c>
      <c r="AK662">
        <v>0</v>
      </c>
      <c r="AL662">
        <v>600</v>
      </c>
      <c r="AM662">
        <v>0</v>
      </c>
      <c r="AN662" s="2">
        <f>IF((2*G662+M662-O662+3*V662+2*AB662+2*AE662+2*AH662+3*AJ662)&gt;=7,1,0)</f>
        <v>1</v>
      </c>
    </row>
    <row r="663" spans="1:40" x14ac:dyDescent="0.25">
      <c r="A663" t="s">
        <v>27</v>
      </c>
      <c r="B663" s="1">
        <v>38958</v>
      </c>
      <c r="C663" s="6">
        <f t="shared" si="100"/>
        <v>2006</v>
      </c>
      <c r="D663">
        <v>82.5</v>
      </c>
      <c r="E663">
        <v>71.7</v>
      </c>
      <c r="F663">
        <v>78.400000000000006</v>
      </c>
      <c r="G663" s="2">
        <f t="shared" si="101"/>
        <v>1</v>
      </c>
      <c r="H663">
        <v>84.8</v>
      </c>
      <c r="I663">
        <v>71.7</v>
      </c>
      <c r="J663">
        <v>79.099999999999994</v>
      </c>
      <c r="K663">
        <v>61.4</v>
      </c>
      <c r="L663">
        <v>56.2</v>
      </c>
      <c r="M663" s="2">
        <f t="shared" si="102"/>
        <v>1</v>
      </c>
      <c r="N663">
        <v>0</v>
      </c>
      <c r="O663" s="2">
        <f t="shared" si="103"/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 s="2">
        <f t="shared" si="104"/>
        <v>0</v>
      </c>
      <c r="W663">
        <v>23</v>
      </c>
      <c r="X663" s="2">
        <f t="shared" si="105"/>
        <v>1</v>
      </c>
      <c r="Y663">
        <v>299.5</v>
      </c>
      <c r="Z663" s="2" t="str">
        <f>CHOOSE(MATCH(Y663,{0;11;80;111;161;191;241;281;341},1),"North","NorthEast","East","SouthEast","South","SouthWest","West","NorthWest","North")</f>
        <v>NorthWest</v>
      </c>
      <c r="AA663" s="4">
        <f>CHOOSE(MATCH(Z663,{"South";"SouthEast";"SouthWest";"North";"NorthEast";"East";"West";"NorthWest"},0),1,2,3,4,5,6,7,8)</f>
        <v>8</v>
      </c>
      <c r="AB663" s="2">
        <f t="shared" si="106"/>
        <v>1</v>
      </c>
      <c r="AC663">
        <v>1009.8</v>
      </c>
      <c r="AD663" t="s">
        <v>158</v>
      </c>
      <c r="AE663" s="2">
        <f t="shared" si="107"/>
        <v>1</v>
      </c>
      <c r="AF663" t="s">
        <v>1021</v>
      </c>
      <c r="AG663" s="2">
        <f t="shared" si="108"/>
        <v>8</v>
      </c>
      <c r="AH663" s="2">
        <f t="shared" si="109"/>
        <v>1</v>
      </c>
      <c r="AI663" s="3">
        <v>255.00000000349249</v>
      </c>
      <c r="AJ663" s="2">
        <v>0</v>
      </c>
      <c r="AK663">
        <v>2</v>
      </c>
      <c r="AL663">
        <v>0</v>
      </c>
      <c r="AM663">
        <v>0</v>
      </c>
      <c r="AN663" s="2">
        <f>IF((2*G663+M663-O663+3*V663+2*AB663+2*AE663+2*AH663+3*AJ663)&gt;=7,1,0)</f>
        <v>1</v>
      </c>
    </row>
    <row r="664" spans="1:40" x14ac:dyDescent="0.25">
      <c r="A664" t="s">
        <v>27</v>
      </c>
      <c r="B664" s="1">
        <v>38962</v>
      </c>
      <c r="C664" s="6">
        <f t="shared" si="100"/>
        <v>2006</v>
      </c>
      <c r="D664">
        <v>78.900000000000006</v>
      </c>
      <c r="E664">
        <v>71.7</v>
      </c>
      <c r="F664">
        <v>74.400000000000006</v>
      </c>
      <c r="G664" s="2">
        <f t="shared" si="101"/>
        <v>1</v>
      </c>
      <c r="H664">
        <v>78.900000000000006</v>
      </c>
      <c r="I664">
        <v>71.7</v>
      </c>
      <c r="J664">
        <v>74.400000000000006</v>
      </c>
      <c r="K664">
        <v>55.4</v>
      </c>
      <c r="L664">
        <v>51.9</v>
      </c>
      <c r="M664" s="2">
        <f t="shared" si="102"/>
        <v>1</v>
      </c>
      <c r="N664">
        <v>0</v>
      </c>
      <c r="O664" s="2">
        <f t="shared" si="103"/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 s="2">
        <f t="shared" si="104"/>
        <v>0</v>
      </c>
      <c r="W664">
        <v>24.2</v>
      </c>
      <c r="X664" s="2">
        <f t="shared" si="105"/>
        <v>1</v>
      </c>
      <c r="Y664">
        <v>339.6</v>
      </c>
      <c r="Z664" s="2" t="str">
        <f>CHOOSE(MATCH(Y664,{0;11;80;111;161;191;241;281;341},1),"North","NorthEast","East","SouthEast","South","SouthWest","West","NorthWest","North")</f>
        <v>NorthWest</v>
      </c>
      <c r="AA664" s="4">
        <f>CHOOSE(MATCH(Z664,{"South";"SouthEast";"SouthWest";"North";"NorthEast";"East";"West";"NorthWest"},0),1,2,3,4,5,6,7,8)</f>
        <v>8</v>
      </c>
      <c r="AB664" s="2">
        <f t="shared" si="106"/>
        <v>1</v>
      </c>
      <c r="AC664">
        <v>1012.6</v>
      </c>
      <c r="AD664" t="s">
        <v>1022</v>
      </c>
      <c r="AE664" s="2">
        <f t="shared" si="107"/>
        <v>1</v>
      </c>
      <c r="AF664" t="s">
        <v>1023</v>
      </c>
      <c r="AG664" s="2">
        <f t="shared" si="108"/>
        <v>9</v>
      </c>
      <c r="AH664" s="2">
        <f t="shared" si="109"/>
        <v>0</v>
      </c>
      <c r="AI664" s="3">
        <v>1384.9999999988361</v>
      </c>
      <c r="AJ664" s="2">
        <v>1</v>
      </c>
      <c r="AK664">
        <v>0</v>
      </c>
      <c r="AL664">
        <v>100</v>
      </c>
      <c r="AM664">
        <v>0</v>
      </c>
      <c r="AN664" s="2">
        <f>IF((2*G664+M664-O664+3*V664+2*AB664+2*AE664+2*AH664+3*AJ664)&gt;=7,1,0)</f>
        <v>1</v>
      </c>
    </row>
    <row r="665" spans="1:40" x14ac:dyDescent="0.25">
      <c r="A665" t="s">
        <v>27</v>
      </c>
      <c r="B665" s="1">
        <v>38963</v>
      </c>
      <c r="C665" s="6">
        <f t="shared" si="100"/>
        <v>2006</v>
      </c>
      <c r="D665">
        <v>78.900000000000006</v>
      </c>
      <c r="E665">
        <v>71.7</v>
      </c>
      <c r="F665">
        <v>75.400000000000006</v>
      </c>
      <c r="G665" s="2">
        <f t="shared" si="101"/>
        <v>1</v>
      </c>
      <c r="H665">
        <v>78.900000000000006</v>
      </c>
      <c r="I665">
        <v>71.7</v>
      </c>
      <c r="J665">
        <v>75.400000000000006</v>
      </c>
      <c r="K665">
        <v>57.4</v>
      </c>
      <c r="L665">
        <v>53.7</v>
      </c>
      <c r="M665" s="2">
        <f t="shared" si="102"/>
        <v>1</v>
      </c>
      <c r="N665">
        <v>0</v>
      </c>
      <c r="O665" s="2">
        <f t="shared" si="103"/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 s="2">
        <f t="shared" si="104"/>
        <v>0</v>
      </c>
      <c r="W665">
        <v>17.2</v>
      </c>
      <c r="X665" s="2">
        <f t="shared" si="105"/>
        <v>1</v>
      </c>
      <c r="Y665">
        <v>330</v>
      </c>
      <c r="Z665" s="2" t="str">
        <f>CHOOSE(MATCH(Y665,{0;11;80;111;161;191;241;281;341},1),"North","NorthEast","East","SouthEast","South","SouthWest","West","NorthWest","North")</f>
        <v>NorthWest</v>
      </c>
      <c r="AA665" s="4">
        <f>CHOOSE(MATCH(Z665,{"South";"SouthEast";"SouthWest";"North";"NorthEast";"East";"West";"NorthWest"},0),1,2,3,4,5,6,7,8)</f>
        <v>8</v>
      </c>
      <c r="AB665" s="2">
        <f t="shared" si="106"/>
        <v>1</v>
      </c>
      <c r="AC665">
        <v>1016.3</v>
      </c>
      <c r="AD665" t="s">
        <v>1024</v>
      </c>
      <c r="AE665" s="2">
        <f t="shared" si="107"/>
        <v>1</v>
      </c>
      <c r="AF665" t="s">
        <v>1025</v>
      </c>
      <c r="AG665" s="2">
        <f t="shared" si="108"/>
        <v>9</v>
      </c>
      <c r="AH665" s="2">
        <f t="shared" si="109"/>
        <v>0</v>
      </c>
      <c r="AI665" s="3">
        <v>1145.0000000023281</v>
      </c>
      <c r="AJ665" s="2">
        <v>1</v>
      </c>
      <c r="AK665">
        <v>0</v>
      </c>
      <c r="AL665">
        <v>50</v>
      </c>
      <c r="AM665">
        <v>0</v>
      </c>
      <c r="AN665" s="2">
        <f>IF((2*G665+M665-O665+3*V665+2*AB665+2*AE665+2*AH665+3*AJ665)&gt;=7,1,0)</f>
        <v>1</v>
      </c>
    </row>
    <row r="666" spans="1:40" x14ac:dyDescent="0.25">
      <c r="A666" t="s">
        <v>27</v>
      </c>
      <c r="B666" s="1">
        <v>38967</v>
      </c>
      <c r="C666" s="6">
        <f t="shared" si="100"/>
        <v>2006</v>
      </c>
      <c r="D666">
        <v>80.7</v>
      </c>
      <c r="E666">
        <v>75.3</v>
      </c>
      <c r="F666">
        <v>78.2</v>
      </c>
      <c r="G666" s="2">
        <f t="shared" si="101"/>
        <v>1</v>
      </c>
      <c r="H666">
        <v>81.900000000000006</v>
      </c>
      <c r="I666">
        <v>75.3</v>
      </c>
      <c r="J666">
        <v>78.5</v>
      </c>
      <c r="K666">
        <v>60.7</v>
      </c>
      <c r="L666">
        <v>55.1</v>
      </c>
      <c r="M666" s="2">
        <f t="shared" si="102"/>
        <v>1</v>
      </c>
      <c r="N666">
        <v>0</v>
      </c>
      <c r="O666" s="2">
        <f t="shared" si="103"/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 s="2">
        <f t="shared" si="104"/>
        <v>0</v>
      </c>
      <c r="W666">
        <v>19.5</v>
      </c>
      <c r="X666" s="2">
        <f t="shared" si="105"/>
        <v>1</v>
      </c>
      <c r="Y666">
        <v>314.39999999999998</v>
      </c>
      <c r="Z666" s="2" t="str">
        <f>CHOOSE(MATCH(Y666,{0;11;80;111;161;191;241;281;341},1),"North","NorthEast","East","SouthEast","South","SouthWest","West","NorthWest","North")</f>
        <v>NorthWest</v>
      </c>
      <c r="AA666" s="4">
        <f>CHOOSE(MATCH(Z666,{"South";"SouthEast";"SouthWest";"North";"NorthEast";"East";"West";"NorthWest"},0),1,2,3,4,5,6,7,8)</f>
        <v>8</v>
      </c>
      <c r="AB666" s="2">
        <f t="shared" si="106"/>
        <v>1</v>
      </c>
      <c r="AC666">
        <v>1011.8</v>
      </c>
      <c r="AD666" t="s">
        <v>954</v>
      </c>
      <c r="AE666" s="2">
        <f t="shared" si="107"/>
        <v>0</v>
      </c>
      <c r="AF666" t="s">
        <v>1026</v>
      </c>
      <c r="AG666" s="2">
        <f t="shared" si="108"/>
        <v>9</v>
      </c>
      <c r="AH666" s="2">
        <f t="shared" si="109"/>
        <v>0</v>
      </c>
      <c r="AI666" s="3">
        <v>640.00000000116415</v>
      </c>
      <c r="AJ666" s="2">
        <v>1</v>
      </c>
      <c r="AK666">
        <v>0</v>
      </c>
      <c r="AL666">
        <v>2</v>
      </c>
      <c r="AM666">
        <v>0</v>
      </c>
      <c r="AN666" s="2">
        <f>IF((2*G666+M666-O666+3*V666+2*AB666+2*AE666+2*AH666+3*AJ666)&gt;=7,1,0)</f>
        <v>1</v>
      </c>
    </row>
    <row r="667" spans="1:40" x14ac:dyDescent="0.25">
      <c r="A667" t="s">
        <v>27</v>
      </c>
      <c r="B667" s="1">
        <v>38967</v>
      </c>
      <c r="C667" s="6">
        <f t="shared" si="100"/>
        <v>2006</v>
      </c>
      <c r="D667">
        <v>80.7</v>
      </c>
      <c r="E667">
        <v>75.3</v>
      </c>
      <c r="F667">
        <v>78.2</v>
      </c>
      <c r="G667" s="2">
        <f t="shared" si="101"/>
        <v>1</v>
      </c>
      <c r="H667">
        <v>81.900000000000006</v>
      </c>
      <c r="I667">
        <v>75.3</v>
      </c>
      <c r="J667">
        <v>78.5</v>
      </c>
      <c r="K667">
        <v>60.7</v>
      </c>
      <c r="L667">
        <v>55.1</v>
      </c>
      <c r="M667" s="2">
        <f t="shared" si="102"/>
        <v>1</v>
      </c>
      <c r="N667">
        <v>0</v>
      </c>
      <c r="O667" s="2">
        <f t="shared" si="103"/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 s="2">
        <f t="shared" si="104"/>
        <v>0</v>
      </c>
      <c r="W667">
        <v>19.5</v>
      </c>
      <c r="X667" s="2">
        <f t="shared" si="105"/>
        <v>1</v>
      </c>
      <c r="Y667">
        <v>314.39999999999998</v>
      </c>
      <c r="Z667" s="2" t="str">
        <f>CHOOSE(MATCH(Y667,{0;11;80;111;161;191;241;281;341},1),"North","NorthEast","East","SouthEast","South","SouthWest","West","NorthWest","North")</f>
        <v>NorthWest</v>
      </c>
      <c r="AA667" s="4">
        <f>CHOOSE(MATCH(Z667,{"South";"SouthEast";"SouthWest";"North";"NorthEast";"East";"West";"NorthWest"},0),1,2,3,4,5,6,7,8)</f>
        <v>8</v>
      </c>
      <c r="AB667" s="2">
        <f t="shared" si="106"/>
        <v>1</v>
      </c>
      <c r="AC667">
        <v>1011.8</v>
      </c>
      <c r="AD667" t="s">
        <v>59</v>
      </c>
      <c r="AE667" s="2">
        <f t="shared" si="107"/>
        <v>0</v>
      </c>
      <c r="AF667" t="s">
        <v>1027</v>
      </c>
      <c r="AG667" s="2">
        <f t="shared" si="108"/>
        <v>9</v>
      </c>
      <c r="AH667" s="2">
        <f t="shared" si="109"/>
        <v>0</v>
      </c>
      <c r="AI667" s="3">
        <v>209.99999999301511</v>
      </c>
      <c r="AJ667" s="2">
        <v>0</v>
      </c>
      <c r="AK667">
        <v>2</v>
      </c>
      <c r="AL667">
        <v>0</v>
      </c>
      <c r="AM667">
        <v>0</v>
      </c>
      <c r="AN667" s="2">
        <f>IF((2*G667+M667-O667+3*V667+2*AB667+2*AE667+2*AH667+3*AJ667)&gt;=7,1,0)</f>
        <v>0</v>
      </c>
    </row>
    <row r="668" spans="1:40" x14ac:dyDescent="0.25">
      <c r="A668" t="s">
        <v>27</v>
      </c>
      <c r="B668" s="1">
        <v>38968</v>
      </c>
      <c r="C668" s="6">
        <f t="shared" si="100"/>
        <v>2006</v>
      </c>
      <c r="D668">
        <v>80.7</v>
      </c>
      <c r="E668">
        <v>68.099999999999994</v>
      </c>
      <c r="F668">
        <v>75</v>
      </c>
      <c r="G668" s="2">
        <f t="shared" si="101"/>
        <v>1</v>
      </c>
      <c r="H668">
        <v>82.4</v>
      </c>
      <c r="I668">
        <v>68.099999999999994</v>
      </c>
      <c r="J668">
        <v>75.099999999999994</v>
      </c>
      <c r="K668">
        <v>61.8</v>
      </c>
      <c r="L668">
        <v>63.8</v>
      </c>
      <c r="M668" s="2">
        <f t="shared" si="102"/>
        <v>1</v>
      </c>
      <c r="N668">
        <v>0</v>
      </c>
      <c r="O668" s="2">
        <f t="shared" si="103"/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 s="2">
        <f t="shared" si="104"/>
        <v>0</v>
      </c>
      <c r="W668">
        <v>13.9</v>
      </c>
      <c r="X668" s="2">
        <f t="shared" si="105"/>
        <v>0</v>
      </c>
      <c r="Y668">
        <v>322.3</v>
      </c>
      <c r="Z668" s="2" t="str">
        <f>CHOOSE(MATCH(Y668,{0;11;80;111;161;191;241;281;341},1),"North","NorthEast","East","SouthEast","South","SouthWest","West","NorthWest","North")</f>
        <v>NorthWest</v>
      </c>
      <c r="AA668" s="4">
        <f>CHOOSE(MATCH(Z668,{"South";"SouthEast";"SouthWest";"North";"NorthEast";"East";"West";"NorthWest"},0),1,2,3,4,5,6,7,8)</f>
        <v>8</v>
      </c>
      <c r="AB668" s="2">
        <f t="shared" si="106"/>
        <v>1</v>
      </c>
      <c r="AC668">
        <v>1013</v>
      </c>
      <c r="AD668" t="s">
        <v>162</v>
      </c>
      <c r="AE668" s="2">
        <f t="shared" si="107"/>
        <v>1</v>
      </c>
      <c r="AF668" t="s">
        <v>1028</v>
      </c>
      <c r="AG668" s="2">
        <f t="shared" si="108"/>
        <v>9</v>
      </c>
      <c r="AH668" s="2">
        <f t="shared" si="109"/>
        <v>0</v>
      </c>
      <c r="AI668" s="3">
        <v>1170.999999992782</v>
      </c>
      <c r="AJ668" s="2">
        <v>1</v>
      </c>
      <c r="AK668">
        <v>0</v>
      </c>
      <c r="AL668">
        <v>30</v>
      </c>
      <c r="AM668">
        <v>0</v>
      </c>
      <c r="AN668" s="2">
        <f>IF((2*G668+M668-O668+3*V668+2*AB668+2*AE668+2*AH668+3*AJ668)&gt;=7,1,0)</f>
        <v>1</v>
      </c>
    </row>
    <row r="669" spans="1:40" x14ac:dyDescent="0.25">
      <c r="A669" t="s">
        <v>27</v>
      </c>
      <c r="B669" s="1">
        <v>38968</v>
      </c>
      <c r="C669" s="6">
        <f t="shared" si="100"/>
        <v>2006</v>
      </c>
      <c r="D669">
        <v>80.7</v>
      </c>
      <c r="E669">
        <v>68.099999999999994</v>
      </c>
      <c r="F669">
        <v>75</v>
      </c>
      <c r="G669" s="2">
        <f t="shared" si="101"/>
        <v>1</v>
      </c>
      <c r="H669">
        <v>82.4</v>
      </c>
      <c r="I669">
        <v>68.099999999999994</v>
      </c>
      <c r="J669">
        <v>75.099999999999994</v>
      </c>
      <c r="K669">
        <v>61.8</v>
      </c>
      <c r="L669">
        <v>63.8</v>
      </c>
      <c r="M669" s="2">
        <f t="shared" si="102"/>
        <v>1</v>
      </c>
      <c r="N669">
        <v>0</v>
      </c>
      <c r="O669" s="2">
        <f t="shared" si="103"/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 s="2">
        <f t="shared" si="104"/>
        <v>0</v>
      </c>
      <c r="W669">
        <v>13.9</v>
      </c>
      <c r="X669" s="2">
        <f t="shared" si="105"/>
        <v>0</v>
      </c>
      <c r="Y669">
        <v>322.3</v>
      </c>
      <c r="Z669" s="2" t="str">
        <f>CHOOSE(MATCH(Y669,{0;11;80;111;161;191;241;281;341},1),"North","NorthEast","East","SouthEast","South","SouthWest","West","NorthWest","North")</f>
        <v>NorthWest</v>
      </c>
      <c r="AA669" s="4">
        <f>CHOOSE(MATCH(Z669,{"South";"SouthEast";"SouthWest";"North";"NorthEast";"East";"West";"NorthWest"},0),1,2,3,4,5,6,7,8)</f>
        <v>8</v>
      </c>
      <c r="AB669" s="2">
        <f t="shared" si="106"/>
        <v>1</v>
      </c>
      <c r="AC669">
        <v>1013</v>
      </c>
      <c r="AD669" t="s">
        <v>357</v>
      </c>
      <c r="AE669" s="2">
        <f t="shared" si="107"/>
        <v>1</v>
      </c>
      <c r="AF669" t="s">
        <v>1029</v>
      </c>
      <c r="AG669" s="2">
        <f t="shared" si="108"/>
        <v>9</v>
      </c>
      <c r="AH669" s="2">
        <f t="shared" si="109"/>
        <v>0</v>
      </c>
      <c r="AI669" s="3">
        <v>220.00000000465661</v>
      </c>
      <c r="AJ669" s="2">
        <v>0</v>
      </c>
      <c r="AK669">
        <v>0</v>
      </c>
      <c r="AL669">
        <v>8</v>
      </c>
      <c r="AM669">
        <v>0</v>
      </c>
      <c r="AN669" s="2">
        <f>IF((2*G669+M669-O669+3*V669+2*AB669+2*AE669+2*AH669+3*AJ669)&gt;=7,1,0)</f>
        <v>0</v>
      </c>
    </row>
    <row r="670" spans="1:40" x14ac:dyDescent="0.25">
      <c r="A670" t="s">
        <v>27</v>
      </c>
      <c r="B670" s="1">
        <v>38970</v>
      </c>
      <c r="C670" s="6">
        <f t="shared" si="100"/>
        <v>2006</v>
      </c>
      <c r="D670">
        <v>78.900000000000006</v>
      </c>
      <c r="E670">
        <v>68.099999999999994</v>
      </c>
      <c r="F670">
        <v>74.2</v>
      </c>
      <c r="G670" s="2">
        <f t="shared" si="101"/>
        <v>1</v>
      </c>
      <c r="H670">
        <v>78.900000000000006</v>
      </c>
      <c r="I670">
        <v>68.099999999999994</v>
      </c>
      <c r="J670">
        <v>74.2</v>
      </c>
      <c r="K670">
        <v>64.3</v>
      </c>
      <c r="L670">
        <v>71.5</v>
      </c>
      <c r="M670" s="2">
        <f t="shared" si="102"/>
        <v>0</v>
      </c>
      <c r="N670">
        <v>0</v>
      </c>
      <c r="O670" s="2">
        <f t="shared" si="103"/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 s="2">
        <f t="shared" si="104"/>
        <v>0</v>
      </c>
      <c r="W670">
        <v>19.5</v>
      </c>
      <c r="X670" s="2">
        <f t="shared" si="105"/>
        <v>1</v>
      </c>
      <c r="Y670">
        <v>313</v>
      </c>
      <c r="Z670" s="2" t="str">
        <f>CHOOSE(MATCH(Y670,{0;11;80;111;161;191;241;281;341},1),"North","NorthEast","East","SouthEast","South","SouthWest","West","NorthWest","North")</f>
        <v>NorthWest</v>
      </c>
      <c r="AA670" s="4">
        <f>CHOOSE(MATCH(Z670,{"South";"SouthEast";"SouthWest";"North";"NorthEast";"East";"West";"NorthWest"},0),1,2,3,4,5,6,7,8)</f>
        <v>8</v>
      </c>
      <c r="AB670" s="2">
        <f t="shared" si="106"/>
        <v>1</v>
      </c>
      <c r="AC670">
        <v>1015.9</v>
      </c>
      <c r="AD670" t="s">
        <v>287</v>
      </c>
      <c r="AE670" s="2">
        <f t="shared" si="107"/>
        <v>1</v>
      </c>
      <c r="AF670" t="s">
        <v>1030</v>
      </c>
      <c r="AG670" s="2">
        <f t="shared" si="108"/>
        <v>9</v>
      </c>
      <c r="AH670" s="2">
        <f t="shared" si="109"/>
        <v>0</v>
      </c>
      <c r="AI670" s="3">
        <v>7300.0000000011642</v>
      </c>
      <c r="AJ670" s="2">
        <v>1</v>
      </c>
      <c r="AK670">
        <v>0</v>
      </c>
      <c r="AL670">
        <v>450</v>
      </c>
      <c r="AM670">
        <v>0</v>
      </c>
      <c r="AN670" s="2">
        <f>IF((2*G670+M670-O670+3*V670+2*AB670+2*AE670+2*AH670+3*AJ670)&gt;=7,1,0)</f>
        <v>1</v>
      </c>
    </row>
    <row r="671" spans="1:40" x14ac:dyDescent="0.25">
      <c r="A671" t="s">
        <v>27</v>
      </c>
      <c r="B671" s="1">
        <v>38970</v>
      </c>
      <c r="C671" s="6">
        <f t="shared" si="100"/>
        <v>2006</v>
      </c>
      <c r="D671">
        <v>78.900000000000006</v>
      </c>
      <c r="E671">
        <v>68.099999999999994</v>
      </c>
      <c r="F671">
        <v>74.2</v>
      </c>
      <c r="G671" s="2">
        <f t="shared" si="101"/>
        <v>1</v>
      </c>
      <c r="H671">
        <v>78.900000000000006</v>
      </c>
      <c r="I671">
        <v>68.099999999999994</v>
      </c>
      <c r="J671">
        <v>74.2</v>
      </c>
      <c r="K671">
        <v>64.3</v>
      </c>
      <c r="L671">
        <v>71.5</v>
      </c>
      <c r="M671" s="2">
        <f t="shared" si="102"/>
        <v>0</v>
      </c>
      <c r="N671">
        <v>0</v>
      </c>
      <c r="O671" s="2">
        <f t="shared" si="103"/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 s="2">
        <f t="shared" si="104"/>
        <v>0</v>
      </c>
      <c r="W671">
        <v>19.5</v>
      </c>
      <c r="X671" s="2">
        <f t="shared" si="105"/>
        <v>1</v>
      </c>
      <c r="Y671">
        <v>313</v>
      </c>
      <c r="Z671" s="2" t="str">
        <f>CHOOSE(MATCH(Y671,{0;11;80;111;161;191;241;281;341},1),"North","NorthEast","East","SouthEast","South","SouthWest","West","NorthWest","North")</f>
        <v>NorthWest</v>
      </c>
      <c r="AA671" s="4">
        <f>CHOOSE(MATCH(Z671,{"South";"SouthEast";"SouthWest";"North";"NorthEast";"East";"West";"NorthWest"},0),1,2,3,4,5,6,7,8)</f>
        <v>8</v>
      </c>
      <c r="AB671" s="2">
        <f t="shared" si="106"/>
        <v>1</v>
      </c>
      <c r="AC671">
        <v>1015.9</v>
      </c>
      <c r="AD671" t="s">
        <v>1031</v>
      </c>
      <c r="AE671" s="2">
        <f t="shared" si="107"/>
        <v>0</v>
      </c>
      <c r="AF671" t="s">
        <v>1032</v>
      </c>
      <c r="AG671" s="2">
        <f t="shared" si="108"/>
        <v>9</v>
      </c>
      <c r="AH671" s="2">
        <f t="shared" si="109"/>
        <v>0</v>
      </c>
      <c r="AI671" s="3">
        <v>261.00000000209548</v>
      </c>
      <c r="AJ671" s="2">
        <v>0</v>
      </c>
      <c r="AK671">
        <v>0</v>
      </c>
      <c r="AL671">
        <v>10</v>
      </c>
      <c r="AM671">
        <v>0</v>
      </c>
      <c r="AN671" s="2">
        <f>IF((2*G671+M671-O671+3*V671+2*AB671+2*AE671+2*AH671+3*AJ671)&gt;=7,1,0)</f>
        <v>0</v>
      </c>
    </row>
    <row r="672" spans="1:40" x14ac:dyDescent="0.25">
      <c r="A672" t="s">
        <v>27</v>
      </c>
      <c r="B672" s="1">
        <v>38971</v>
      </c>
      <c r="C672" s="6">
        <f t="shared" si="100"/>
        <v>2006</v>
      </c>
      <c r="D672">
        <v>77.099999999999994</v>
      </c>
      <c r="E672">
        <v>71.7</v>
      </c>
      <c r="F672">
        <v>73.8</v>
      </c>
      <c r="G672" s="2">
        <f t="shared" si="101"/>
        <v>1</v>
      </c>
      <c r="H672">
        <v>77.099999999999994</v>
      </c>
      <c r="I672">
        <v>71.7</v>
      </c>
      <c r="J672">
        <v>73.8</v>
      </c>
      <c r="K672">
        <v>62</v>
      </c>
      <c r="L672">
        <v>66.8</v>
      </c>
      <c r="M672" s="2">
        <f t="shared" si="102"/>
        <v>0</v>
      </c>
      <c r="N672">
        <v>0</v>
      </c>
      <c r="O672" s="2">
        <f t="shared" si="103"/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 s="2">
        <f t="shared" si="104"/>
        <v>0</v>
      </c>
      <c r="W672">
        <v>20.8</v>
      </c>
      <c r="X672" s="2">
        <f t="shared" si="105"/>
        <v>1</v>
      </c>
      <c r="Y672">
        <v>318</v>
      </c>
      <c r="Z672" s="2" t="str">
        <f>CHOOSE(MATCH(Y672,{0;11;80;111;161;191;241;281;341},1),"North","NorthEast","East","SouthEast","South","SouthWest","West","NorthWest","North")</f>
        <v>NorthWest</v>
      </c>
      <c r="AA672" s="4">
        <f>CHOOSE(MATCH(Z672,{"South";"SouthEast";"SouthWest";"North";"NorthEast";"East";"West";"NorthWest"},0),1,2,3,4,5,6,7,8)</f>
        <v>8</v>
      </c>
      <c r="AB672" s="2">
        <f t="shared" si="106"/>
        <v>1</v>
      </c>
      <c r="AC672">
        <v>1018.6</v>
      </c>
      <c r="AD672" t="s">
        <v>644</v>
      </c>
      <c r="AE672" s="2">
        <f t="shared" si="107"/>
        <v>1</v>
      </c>
      <c r="AF672" t="s">
        <v>1033</v>
      </c>
      <c r="AG672" s="2">
        <f t="shared" si="108"/>
        <v>9</v>
      </c>
      <c r="AH672" s="2">
        <f t="shared" si="109"/>
        <v>0</v>
      </c>
      <c r="AI672" s="3">
        <v>715.00000000465661</v>
      </c>
      <c r="AJ672" s="2">
        <v>1</v>
      </c>
      <c r="AK672">
        <v>0</v>
      </c>
      <c r="AL672">
        <v>100</v>
      </c>
      <c r="AM672">
        <v>0</v>
      </c>
      <c r="AN672" s="2">
        <f>IF((2*G672+M672-O672+3*V672+2*AB672+2*AE672+2*AH672+3*AJ672)&gt;=7,1,0)</f>
        <v>1</v>
      </c>
    </row>
    <row r="673" spans="1:40" x14ac:dyDescent="0.25">
      <c r="A673" t="s">
        <v>27</v>
      </c>
      <c r="B673" s="1">
        <v>38971</v>
      </c>
      <c r="C673" s="6">
        <f t="shared" si="100"/>
        <v>2006</v>
      </c>
      <c r="D673">
        <v>77.099999999999994</v>
      </c>
      <c r="E673">
        <v>71.7</v>
      </c>
      <c r="F673">
        <v>73.8</v>
      </c>
      <c r="G673" s="2">
        <f t="shared" si="101"/>
        <v>1</v>
      </c>
      <c r="H673">
        <v>77.099999999999994</v>
      </c>
      <c r="I673">
        <v>71.7</v>
      </c>
      <c r="J673">
        <v>73.8</v>
      </c>
      <c r="K673">
        <v>62</v>
      </c>
      <c r="L673">
        <v>66.8</v>
      </c>
      <c r="M673" s="2">
        <f t="shared" si="102"/>
        <v>0</v>
      </c>
      <c r="N673">
        <v>0</v>
      </c>
      <c r="O673" s="2">
        <f t="shared" si="103"/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 s="2">
        <f t="shared" si="104"/>
        <v>0</v>
      </c>
      <c r="W673">
        <v>20.8</v>
      </c>
      <c r="X673" s="2">
        <f t="shared" si="105"/>
        <v>1</v>
      </c>
      <c r="Y673">
        <v>318</v>
      </c>
      <c r="Z673" s="2" t="str">
        <f>CHOOSE(MATCH(Y673,{0;11;80;111;161;191;241;281;341},1),"North","NorthEast","East","SouthEast","South","SouthWest","West","NorthWest","North")</f>
        <v>NorthWest</v>
      </c>
      <c r="AA673" s="4">
        <f>CHOOSE(MATCH(Z673,{"South";"SouthEast";"SouthWest";"North";"NorthEast";"East";"West";"NorthWest"},0),1,2,3,4,5,6,7,8)</f>
        <v>8</v>
      </c>
      <c r="AB673" s="2">
        <f t="shared" si="106"/>
        <v>1</v>
      </c>
      <c r="AC673">
        <v>1018.6</v>
      </c>
      <c r="AD673" t="s">
        <v>131</v>
      </c>
      <c r="AE673" s="2">
        <f t="shared" si="107"/>
        <v>0</v>
      </c>
      <c r="AF673" t="s">
        <v>1034</v>
      </c>
      <c r="AG673" s="2">
        <f t="shared" si="108"/>
        <v>9</v>
      </c>
      <c r="AH673" s="2">
        <f t="shared" si="109"/>
        <v>0</v>
      </c>
      <c r="AI673" s="3">
        <v>1170</v>
      </c>
      <c r="AJ673" s="2">
        <v>1</v>
      </c>
      <c r="AK673">
        <v>0</v>
      </c>
      <c r="AL673">
        <v>3</v>
      </c>
      <c r="AM673">
        <v>0</v>
      </c>
      <c r="AN673" s="2">
        <f>IF((2*G673+M673-O673+3*V673+2*AB673+2*AE673+2*AH673+3*AJ673)&gt;=7,1,0)</f>
        <v>0</v>
      </c>
    </row>
    <row r="674" spans="1:40" x14ac:dyDescent="0.25">
      <c r="A674" t="s">
        <v>27</v>
      </c>
      <c r="B674" s="1">
        <v>38973</v>
      </c>
      <c r="C674" s="6">
        <f t="shared" si="100"/>
        <v>2006</v>
      </c>
      <c r="D674">
        <v>77.099999999999994</v>
      </c>
      <c r="E674">
        <v>69.900000000000006</v>
      </c>
      <c r="F674">
        <v>73.3</v>
      </c>
      <c r="G674" s="2">
        <f t="shared" si="101"/>
        <v>1</v>
      </c>
      <c r="H674">
        <v>77.099999999999994</v>
      </c>
      <c r="I674">
        <v>69.900000000000006</v>
      </c>
      <c r="J674">
        <v>73.3</v>
      </c>
      <c r="K674">
        <v>60</v>
      </c>
      <c r="L674">
        <v>63.3</v>
      </c>
      <c r="M674" s="2">
        <f t="shared" si="102"/>
        <v>1</v>
      </c>
      <c r="N674">
        <v>0</v>
      </c>
      <c r="O674" s="2">
        <f t="shared" si="103"/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 s="2">
        <f t="shared" si="104"/>
        <v>0</v>
      </c>
      <c r="W674">
        <v>24.2</v>
      </c>
      <c r="X674" s="2">
        <f t="shared" si="105"/>
        <v>1</v>
      </c>
      <c r="Y674">
        <v>306.2</v>
      </c>
      <c r="Z674" s="2" t="str">
        <f>CHOOSE(MATCH(Y674,{0;11;80;111;161;191;241;281;341},1),"North","NorthEast","East","SouthEast","South","SouthWest","West","NorthWest","North")</f>
        <v>NorthWest</v>
      </c>
      <c r="AA674" s="4">
        <f>CHOOSE(MATCH(Z674,{"South";"SouthEast";"SouthWest";"North";"NorthEast";"East";"West";"NorthWest"},0),1,2,3,4,5,6,7,8)</f>
        <v>8</v>
      </c>
      <c r="AB674" s="2">
        <f t="shared" si="106"/>
        <v>1</v>
      </c>
      <c r="AC674">
        <v>1018</v>
      </c>
      <c r="AD674" t="s">
        <v>708</v>
      </c>
      <c r="AE674" s="2">
        <f t="shared" si="107"/>
        <v>1</v>
      </c>
      <c r="AF674" t="s">
        <v>1035</v>
      </c>
      <c r="AG674" s="2">
        <f t="shared" si="108"/>
        <v>9</v>
      </c>
      <c r="AH674" s="2">
        <f t="shared" si="109"/>
        <v>0</v>
      </c>
      <c r="AI674" s="3">
        <v>320.00000000582082</v>
      </c>
      <c r="AJ674" s="2">
        <v>0</v>
      </c>
      <c r="AK674">
        <v>0</v>
      </c>
      <c r="AL674">
        <v>3</v>
      </c>
      <c r="AM674">
        <v>0</v>
      </c>
      <c r="AN674" s="2">
        <f>IF((2*G674+M674-O674+3*V674+2*AB674+2*AE674+2*AH674+3*AJ674)&gt;=7,1,0)</f>
        <v>0</v>
      </c>
    </row>
    <row r="675" spans="1:40" x14ac:dyDescent="0.25">
      <c r="A675" t="s">
        <v>27</v>
      </c>
      <c r="B675" s="1">
        <v>38974</v>
      </c>
      <c r="C675" s="6">
        <f t="shared" si="100"/>
        <v>2006</v>
      </c>
      <c r="D675">
        <v>78.900000000000006</v>
      </c>
      <c r="E675">
        <v>71.7</v>
      </c>
      <c r="F675">
        <v>74</v>
      </c>
      <c r="G675" s="2">
        <f t="shared" si="101"/>
        <v>1</v>
      </c>
      <c r="H675">
        <v>78.900000000000006</v>
      </c>
      <c r="I675">
        <v>71.7</v>
      </c>
      <c r="J675">
        <v>74</v>
      </c>
      <c r="K675">
        <v>58.4</v>
      </c>
      <c r="L675">
        <v>58.6</v>
      </c>
      <c r="M675" s="2">
        <f t="shared" si="102"/>
        <v>1</v>
      </c>
      <c r="N675">
        <v>0</v>
      </c>
      <c r="O675" s="2">
        <f t="shared" si="103"/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 s="2">
        <f t="shared" si="104"/>
        <v>0</v>
      </c>
      <c r="W675">
        <v>18.3</v>
      </c>
      <c r="X675" s="2">
        <f t="shared" si="105"/>
        <v>1</v>
      </c>
      <c r="Y675">
        <v>315</v>
      </c>
      <c r="Z675" s="2" t="str">
        <f>CHOOSE(MATCH(Y675,{0;11;80;111;161;191;241;281;341},1),"North","NorthEast","East","SouthEast","South","SouthWest","West","NorthWest","North")</f>
        <v>NorthWest</v>
      </c>
      <c r="AA675" s="4">
        <f>CHOOSE(MATCH(Z675,{"South";"SouthEast";"SouthWest";"North";"NorthEast";"East";"West";"NorthWest"},0),1,2,3,4,5,6,7,8)</f>
        <v>8</v>
      </c>
      <c r="AB675" s="2">
        <f t="shared" si="106"/>
        <v>1</v>
      </c>
      <c r="AC675">
        <v>1017</v>
      </c>
      <c r="AD675" t="s">
        <v>695</v>
      </c>
      <c r="AE675" s="2">
        <f t="shared" si="107"/>
        <v>0</v>
      </c>
      <c r="AF675" t="s">
        <v>1036</v>
      </c>
      <c r="AG675" s="2">
        <f t="shared" si="108"/>
        <v>9</v>
      </c>
      <c r="AH675" s="2">
        <f t="shared" si="109"/>
        <v>0</v>
      </c>
      <c r="AI675" s="3">
        <v>1985.999999998603</v>
      </c>
      <c r="AJ675" s="2">
        <v>1</v>
      </c>
      <c r="AK675">
        <v>0</v>
      </c>
      <c r="AL675">
        <v>380</v>
      </c>
      <c r="AM675">
        <v>0</v>
      </c>
      <c r="AN675" s="2">
        <f>IF((2*G675+M675-O675+3*V675+2*AB675+2*AE675+2*AH675+3*AJ675)&gt;=7,1,0)</f>
        <v>1</v>
      </c>
    </row>
    <row r="676" spans="1:40" x14ac:dyDescent="0.25">
      <c r="A676" t="s">
        <v>27</v>
      </c>
      <c r="B676" s="1">
        <v>38977</v>
      </c>
      <c r="C676" s="6">
        <f t="shared" si="100"/>
        <v>2006</v>
      </c>
      <c r="D676">
        <v>78.900000000000006</v>
      </c>
      <c r="E676">
        <v>66.3</v>
      </c>
      <c r="F676">
        <v>73.099999999999994</v>
      </c>
      <c r="G676" s="2">
        <f t="shared" si="101"/>
        <v>1</v>
      </c>
      <c r="H676">
        <v>78.900000000000006</v>
      </c>
      <c r="I676">
        <v>66.3</v>
      </c>
      <c r="J676">
        <v>73.099999999999994</v>
      </c>
      <c r="K676">
        <v>62.1</v>
      </c>
      <c r="L676">
        <v>68.900000000000006</v>
      </c>
      <c r="M676" s="2">
        <f t="shared" si="102"/>
        <v>0</v>
      </c>
      <c r="N676">
        <v>0</v>
      </c>
      <c r="O676" s="2">
        <f t="shared" si="103"/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 s="2">
        <f t="shared" si="104"/>
        <v>0</v>
      </c>
      <c r="W676">
        <v>13.9</v>
      </c>
      <c r="X676" s="2">
        <f t="shared" si="105"/>
        <v>0</v>
      </c>
      <c r="Y676">
        <v>111</v>
      </c>
      <c r="Z676" s="2" t="str">
        <f>CHOOSE(MATCH(Y676,{0;11;80;111;161;191;241;281;341},1),"North","NorthEast","East","SouthEast","South","SouthWest","West","NorthWest","North")</f>
        <v>SouthEast</v>
      </c>
      <c r="AA676" s="4">
        <f>CHOOSE(MATCH(Z676,{"South";"SouthEast";"SouthWest";"North";"NorthEast";"East";"West";"NorthWest"},0),1,2,3,4,5,6,7,8)</f>
        <v>2</v>
      </c>
      <c r="AB676" s="2">
        <f t="shared" si="106"/>
        <v>0</v>
      </c>
      <c r="AC676">
        <v>1014.8</v>
      </c>
      <c r="AD676" t="s">
        <v>237</v>
      </c>
      <c r="AE676" s="2">
        <f t="shared" si="107"/>
        <v>1</v>
      </c>
      <c r="AF676" t="s">
        <v>1037</v>
      </c>
      <c r="AG676" s="2">
        <f t="shared" si="108"/>
        <v>9</v>
      </c>
      <c r="AH676" s="2">
        <f t="shared" si="109"/>
        <v>0</v>
      </c>
      <c r="AI676" s="3">
        <v>145.9999999939464</v>
      </c>
      <c r="AJ676" s="2">
        <v>0</v>
      </c>
      <c r="AK676">
        <v>0</v>
      </c>
      <c r="AL676">
        <v>0.01</v>
      </c>
      <c r="AM676">
        <v>0</v>
      </c>
      <c r="AN676" s="2">
        <f>IF((2*G676+M676-O676+3*V676+2*AB676+2*AE676+2*AH676+3*AJ676)&gt;=7,1,0)</f>
        <v>0</v>
      </c>
    </row>
    <row r="677" spans="1:40" x14ac:dyDescent="0.25">
      <c r="A677" t="s">
        <v>27</v>
      </c>
      <c r="B677" s="1">
        <v>38977</v>
      </c>
      <c r="C677" s="6">
        <f t="shared" si="100"/>
        <v>2006</v>
      </c>
      <c r="D677">
        <v>78.900000000000006</v>
      </c>
      <c r="E677">
        <v>66.3</v>
      </c>
      <c r="F677">
        <v>73.099999999999994</v>
      </c>
      <c r="G677" s="2">
        <f t="shared" si="101"/>
        <v>1</v>
      </c>
      <c r="H677">
        <v>78.900000000000006</v>
      </c>
      <c r="I677">
        <v>66.3</v>
      </c>
      <c r="J677">
        <v>73.099999999999994</v>
      </c>
      <c r="K677">
        <v>62.1</v>
      </c>
      <c r="L677">
        <v>68.900000000000006</v>
      </c>
      <c r="M677" s="2">
        <f t="shared" si="102"/>
        <v>0</v>
      </c>
      <c r="N677">
        <v>0</v>
      </c>
      <c r="O677" s="2">
        <f t="shared" si="103"/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 s="2">
        <f t="shared" si="104"/>
        <v>0</v>
      </c>
      <c r="W677">
        <v>13.9</v>
      </c>
      <c r="X677" s="2">
        <f t="shared" si="105"/>
        <v>0</v>
      </c>
      <c r="Y677">
        <v>111</v>
      </c>
      <c r="Z677" s="2" t="str">
        <f>CHOOSE(MATCH(Y677,{0;11;80;111;161;191;241;281;341},1),"North","NorthEast","East","SouthEast","South","SouthWest","West","NorthWest","North")</f>
        <v>SouthEast</v>
      </c>
      <c r="AA677" s="4">
        <f>CHOOSE(MATCH(Z677,{"South";"SouthEast";"SouthWest";"North";"NorthEast";"East";"West";"NorthWest"},0),1,2,3,4,5,6,7,8)</f>
        <v>2</v>
      </c>
      <c r="AB677" s="2">
        <f t="shared" si="106"/>
        <v>0</v>
      </c>
      <c r="AC677">
        <v>1014.8</v>
      </c>
      <c r="AD677" t="s">
        <v>1019</v>
      </c>
      <c r="AE677" s="2">
        <f t="shared" si="107"/>
        <v>1</v>
      </c>
      <c r="AF677" t="s">
        <v>1038</v>
      </c>
      <c r="AG677" s="2">
        <f t="shared" si="108"/>
        <v>9</v>
      </c>
      <c r="AH677" s="2">
        <f t="shared" si="109"/>
        <v>0</v>
      </c>
      <c r="AI677" s="3">
        <v>320.00000000582082</v>
      </c>
      <c r="AJ677" s="2">
        <v>0</v>
      </c>
      <c r="AK677">
        <v>0</v>
      </c>
      <c r="AL677">
        <v>20</v>
      </c>
      <c r="AM677">
        <v>0</v>
      </c>
      <c r="AN677" s="2">
        <f>IF((2*G677+M677-O677+3*V677+2*AB677+2*AE677+2*AH677+3*AJ677)&gt;=7,1,0)</f>
        <v>0</v>
      </c>
    </row>
    <row r="678" spans="1:40" x14ac:dyDescent="0.25">
      <c r="A678" t="s">
        <v>27</v>
      </c>
      <c r="B678" s="1">
        <v>38977</v>
      </c>
      <c r="C678" s="6">
        <f t="shared" si="100"/>
        <v>2006</v>
      </c>
      <c r="D678">
        <v>78.900000000000006</v>
      </c>
      <c r="E678">
        <v>66.3</v>
      </c>
      <c r="F678">
        <v>73.099999999999994</v>
      </c>
      <c r="G678" s="2">
        <f t="shared" si="101"/>
        <v>1</v>
      </c>
      <c r="H678">
        <v>78.900000000000006</v>
      </c>
      <c r="I678">
        <v>66.3</v>
      </c>
      <c r="J678">
        <v>73.099999999999994</v>
      </c>
      <c r="K678">
        <v>62.1</v>
      </c>
      <c r="L678">
        <v>68.900000000000006</v>
      </c>
      <c r="M678" s="2">
        <f t="shared" si="102"/>
        <v>0</v>
      </c>
      <c r="N678">
        <v>0</v>
      </c>
      <c r="O678" s="2">
        <f t="shared" si="103"/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 s="2">
        <f t="shared" si="104"/>
        <v>0</v>
      </c>
      <c r="W678">
        <v>13.9</v>
      </c>
      <c r="X678" s="2">
        <f t="shared" si="105"/>
        <v>0</v>
      </c>
      <c r="Y678">
        <v>111</v>
      </c>
      <c r="Z678" s="2" t="str">
        <f>CHOOSE(MATCH(Y678,{0;11;80;111;161;191;241;281;341},1),"North","NorthEast","East","SouthEast","South","SouthWest","West","NorthWest","North")</f>
        <v>SouthEast</v>
      </c>
      <c r="AA678" s="4">
        <f>CHOOSE(MATCH(Z678,{"South";"SouthEast";"SouthWest";"North";"NorthEast";"East";"West";"NorthWest"},0),1,2,3,4,5,6,7,8)</f>
        <v>2</v>
      </c>
      <c r="AB678" s="2">
        <f t="shared" si="106"/>
        <v>0</v>
      </c>
      <c r="AC678">
        <v>1014.8</v>
      </c>
      <c r="AD678" t="s">
        <v>287</v>
      </c>
      <c r="AE678" s="2">
        <f t="shared" si="107"/>
        <v>1</v>
      </c>
      <c r="AF678" t="s">
        <v>1039</v>
      </c>
      <c r="AG678" s="2">
        <f t="shared" si="108"/>
        <v>9</v>
      </c>
      <c r="AH678" s="2">
        <f t="shared" si="109"/>
        <v>0</v>
      </c>
      <c r="AI678" s="3">
        <v>1095.0000000069849</v>
      </c>
      <c r="AJ678" s="2">
        <v>1</v>
      </c>
      <c r="AK678">
        <v>0</v>
      </c>
      <c r="AL678">
        <v>50</v>
      </c>
      <c r="AM678">
        <v>0</v>
      </c>
      <c r="AN678" s="2">
        <f>IF((2*G678+M678-O678+3*V678+2*AB678+2*AE678+2*AH678+3*AJ678)&gt;=7,1,0)</f>
        <v>0</v>
      </c>
    </row>
    <row r="679" spans="1:40" x14ac:dyDescent="0.25">
      <c r="A679" t="s">
        <v>27</v>
      </c>
      <c r="B679" s="1">
        <v>38981</v>
      </c>
      <c r="C679" s="6">
        <f t="shared" si="100"/>
        <v>2006</v>
      </c>
      <c r="D679">
        <v>78.900000000000006</v>
      </c>
      <c r="E679">
        <v>66.3</v>
      </c>
      <c r="F679">
        <v>72.099999999999994</v>
      </c>
      <c r="G679" s="2">
        <f t="shared" si="101"/>
        <v>1</v>
      </c>
      <c r="H679">
        <v>78.900000000000006</v>
      </c>
      <c r="I679">
        <v>66.3</v>
      </c>
      <c r="J679">
        <v>72.099999999999994</v>
      </c>
      <c r="K679">
        <v>62.9</v>
      </c>
      <c r="L679">
        <v>73.099999999999994</v>
      </c>
      <c r="M679" s="2">
        <f t="shared" si="102"/>
        <v>0</v>
      </c>
      <c r="N679">
        <v>7.9000000000000001E-2</v>
      </c>
      <c r="O679" s="2">
        <f t="shared" si="103"/>
        <v>0</v>
      </c>
      <c r="P679">
        <v>100</v>
      </c>
      <c r="Q679">
        <v>4.17</v>
      </c>
      <c r="R679" t="s">
        <v>182</v>
      </c>
      <c r="S679">
        <v>0</v>
      </c>
      <c r="T679">
        <v>0</v>
      </c>
      <c r="U679">
        <v>0</v>
      </c>
      <c r="V679" s="2">
        <f t="shared" si="104"/>
        <v>0</v>
      </c>
      <c r="W679">
        <v>12.8</v>
      </c>
      <c r="X679" s="2">
        <f t="shared" si="105"/>
        <v>0</v>
      </c>
      <c r="Y679">
        <v>317.10000000000002</v>
      </c>
      <c r="Z679" s="2" t="str">
        <f>CHOOSE(MATCH(Y679,{0;11;80;111;161;191;241;281;341},1),"North","NorthEast","East","SouthEast","South","SouthWest","West","NorthWest","North")</f>
        <v>NorthWest</v>
      </c>
      <c r="AA679" s="4">
        <f>CHOOSE(MATCH(Z679,{"South";"SouthEast";"SouthWest";"North";"NorthEast";"East";"West";"NorthWest"},0),1,2,3,4,5,6,7,8)</f>
        <v>8</v>
      </c>
      <c r="AB679" s="2">
        <f t="shared" si="106"/>
        <v>1</v>
      </c>
      <c r="AC679">
        <v>1012.9</v>
      </c>
      <c r="AD679" t="s">
        <v>124</v>
      </c>
      <c r="AE679" s="2">
        <f t="shared" si="107"/>
        <v>1</v>
      </c>
      <c r="AF679" t="s">
        <v>1040</v>
      </c>
      <c r="AG679" s="2">
        <f t="shared" si="108"/>
        <v>9</v>
      </c>
      <c r="AH679" s="2">
        <f t="shared" si="109"/>
        <v>0</v>
      </c>
      <c r="AI679" s="3">
        <v>136.0000000032596</v>
      </c>
      <c r="AJ679" s="2">
        <v>0</v>
      </c>
      <c r="AK679">
        <v>0</v>
      </c>
      <c r="AL679">
        <v>7</v>
      </c>
      <c r="AM679">
        <v>0</v>
      </c>
      <c r="AN679" s="2">
        <f>IF((2*G679+M679-O679+3*V679+2*AB679+2*AE679+2*AH679+3*AJ679)&gt;=7,1,0)</f>
        <v>0</v>
      </c>
    </row>
    <row r="680" spans="1:40" x14ac:dyDescent="0.25">
      <c r="A680" t="s">
        <v>27</v>
      </c>
      <c r="B680" s="1">
        <v>38983</v>
      </c>
      <c r="C680" s="6">
        <f t="shared" si="100"/>
        <v>2006</v>
      </c>
      <c r="D680">
        <v>78.900000000000006</v>
      </c>
      <c r="E680">
        <v>62.7</v>
      </c>
      <c r="F680">
        <v>70.900000000000006</v>
      </c>
      <c r="G680" s="2">
        <f t="shared" si="101"/>
        <v>1</v>
      </c>
      <c r="H680">
        <v>78.900000000000006</v>
      </c>
      <c r="I680">
        <v>62.7</v>
      </c>
      <c r="J680">
        <v>70.900000000000006</v>
      </c>
      <c r="K680">
        <v>61.1</v>
      </c>
      <c r="L680">
        <v>72.099999999999994</v>
      </c>
      <c r="M680" s="2">
        <f t="shared" si="102"/>
        <v>0</v>
      </c>
      <c r="N680">
        <v>0</v>
      </c>
      <c r="O680" s="2">
        <f t="shared" si="103"/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 s="2">
        <f t="shared" si="104"/>
        <v>0</v>
      </c>
      <c r="W680">
        <v>9.1999999999999993</v>
      </c>
      <c r="X680" s="2">
        <f t="shared" si="105"/>
        <v>0</v>
      </c>
      <c r="Y680">
        <v>147.9</v>
      </c>
      <c r="Z680" s="2" t="str">
        <f>CHOOSE(MATCH(Y680,{0;11;80;111;161;191;241;281;341},1),"North","NorthEast","East","SouthEast","South","SouthWest","West","NorthWest","North")</f>
        <v>SouthEast</v>
      </c>
      <c r="AA680" s="4">
        <f>CHOOSE(MATCH(Z680,{"South";"SouthEast";"SouthWest";"North";"NorthEast";"East";"West";"NorthWest"},0),1,2,3,4,5,6,7,8)</f>
        <v>2</v>
      </c>
      <c r="AB680" s="2">
        <f t="shared" si="106"/>
        <v>0</v>
      </c>
      <c r="AC680">
        <v>1010</v>
      </c>
      <c r="AD680" t="s">
        <v>499</v>
      </c>
      <c r="AE680" s="2">
        <f t="shared" si="107"/>
        <v>1</v>
      </c>
      <c r="AF680" t="s">
        <v>1041</v>
      </c>
      <c r="AG680" s="2">
        <f t="shared" si="108"/>
        <v>9</v>
      </c>
      <c r="AH680" s="2">
        <f t="shared" si="109"/>
        <v>0</v>
      </c>
      <c r="AI680" s="3">
        <v>44100</v>
      </c>
      <c r="AJ680" s="2">
        <v>1</v>
      </c>
      <c r="AK680">
        <v>0</v>
      </c>
      <c r="AL680">
        <v>5</v>
      </c>
      <c r="AM680">
        <v>0</v>
      </c>
      <c r="AN680" s="2">
        <f>IF((2*G680+M680-O680+3*V680+2*AB680+2*AE680+2*AH680+3*AJ680)&gt;=7,1,0)</f>
        <v>0</v>
      </c>
    </row>
    <row r="681" spans="1:40" x14ac:dyDescent="0.25">
      <c r="A681" t="s">
        <v>27</v>
      </c>
      <c r="B681" s="1">
        <v>38985</v>
      </c>
      <c r="C681" s="6">
        <f t="shared" si="100"/>
        <v>2006</v>
      </c>
      <c r="D681">
        <v>75.3</v>
      </c>
      <c r="E681">
        <v>64.5</v>
      </c>
      <c r="F681">
        <v>69.8</v>
      </c>
      <c r="G681" s="2">
        <f t="shared" si="101"/>
        <v>0</v>
      </c>
      <c r="H681">
        <v>75.3</v>
      </c>
      <c r="I681">
        <v>64.5</v>
      </c>
      <c r="J681">
        <v>69.8</v>
      </c>
      <c r="K681">
        <v>58.3</v>
      </c>
      <c r="L681">
        <v>67.3</v>
      </c>
      <c r="M681" s="2">
        <f t="shared" si="102"/>
        <v>0</v>
      </c>
      <c r="N681">
        <v>0</v>
      </c>
      <c r="O681" s="2">
        <f t="shared" si="103"/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 s="2">
        <f t="shared" si="104"/>
        <v>0</v>
      </c>
      <c r="W681">
        <v>10.3</v>
      </c>
      <c r="X681" s="2">
        <f t="shared" si="105"/>
        <v>0</v>
      </c>
      <c r="Y681">
        <v>329</v>
      </c>
      <c r="Z681" s="2" t="str">
        <f>CHOOSE(MATCH(Y681,{0;11;80;111;161;191;241;281;341},1),"North","NorthEast","East","SouthEast","South","SouthWest","West","NorthWest","North")</f>
        <v>NorthWest</v>
      </c>
      <c r="AA681" s="4">
        <f>CHOOSE(MATCH(Z681,{"South";"SouthEast";"SouthWest";"North";"NorthEast";"East";"West";"NorthWest"},0),1,2,3,4,5,6,7,8)</f>
        <v>8</v>
      </c>
      <c r="AB681" s="2">
        <f t="shared" si="106"/>
        <v>1</v>
      </c>
      <c r="AC681">
        <v>1015.2</v>
      </c>
      <c r="AD681" t="s">
        <v>966</v>
      </c>
      <c r="AE681" s="2">
        <f t="shared" si="107"/>
        <v>1</v>
      </c>
      <c r="AF681" t="s">
        <v>1042</v>
      </c>
      <c r="AG681" s="2">
        <f t="shared" si="108"/>
        <v>9</v>
      </c>
      <c r="AH681" s="2">
        <f t="shared" si="109"/>
        <v>0</v>
      </c>
      <c r="AI681" s="3">
        <v>319.99999999534339</v>
      </c>
      <c r="AJ681" s="2">
        <v>0</v>
      </c>
      <c r="AK681">
        <v>0</v>
      </c>
      <c r="AL681">
        <v>30</v>
      </c>
      <c r="AM681">
        <v>0</v>
      </c>
      <c r="AN681" s="2">
        <f>IF((2*G681+M681-O681+3*V681+2*AB681+2*AE681+2*AH681+3*AJ681)&gt;=7,1,0)</f>
        <v>0</v>
      </c>
    </row>
    <row r="682" spans="1:40" x14ac:dyDescent="0.25">
      <c r="A682" t="s">
        <v>27</v>
      </c>
      <c r="B682" s="1">
        <v>38986</v>
      </c>
      <c r="C682" s="6">
        <f t="shared" si="100"/>
        <v>2006</v>
      </c>
      <c r="D682">
        <v>86.1</v>
      </c>
      <c r="E682">
        <v>60.9</v>
      </c>
      <c r="F682">
        <v>72.599999999999994</v>
      </c>
      <c r="G682" s="2">
        <f t="shared" si="101"/>
        <v>1</v>
      </c>
      <c r="H682">
        <v>84.3</v>
      </c>
      <c r="I682">
        <v>60.9</v>
      </c>
      <c r="J682">
        <v>72.3</v>
      </c>
      <c r="K682">
        <v>55.7</v>
      </c>
      <c r="L682">
        <v>59.7</v>
      </c>
      <c r="M682" s="2">
        <f t="shared" si="102"/>
        <v>1</v>
      </c>
      <c r="N682">
        <v>0</v>
      </c>
      <c r="O682" s="2">
        <f t="shared" si="103"/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 s="2">
        <f t="shared" si="104"/>
        <v>0</v>
      </c>
      <c r="W682">
        <v>25.3</v>
      </c>
      <c r="X682" s="2">
        <f t="shared" si="105"/>
        <v>1</v>
      </c>
      <c r="Y682">
        <v>169.4</v>
      </c>
      <c r="Z682" s="2" t="str">
        <f>CHOOSE(MATCH(Y682,{0;11;80;111;161;191;241;281;341},1),"North","NorthEast","East","SouthEast","South","SouthWest","West","NorthWest","North")</f>
        <v>South</v>
      </c>
      <c r="AA682" s="4">
        <f>CHOOSE(MATCH(Z682,{"South";"SouthEast";"SouthWest";"North";"NorthEast";"East";"West";"NorthWest"},0),1,2,3,4,5,6,7,8)</f>
        <v>1</v>
      </c>
      <c r="AB682" s="2">
        <f t="shared" si="106"/>
        <v>0</v>
      </c>
      <c r="AC682">
        <v>1010.5</v>
      </c>
      <c r="AD682" t="s">
        <v>791</v>
      </c>
      <c r="AE682" s="2">
        <f t="shared" si="107"/>
        <v>1</v>
      </c>
      <c r="AF682" t="s">
        <v>1043</v>
      </c>
      <c r="AG682" s="2">
        <f t="shared" si="108"/>
        <v>9</v>
      </c>
      <c r="AH682" s="2">
        <f t="shared" si="109"/>
        <v>0</v>
      </c>
      <c r="AI682" s="3">
        <v>145.00000000116421</v>
      </c>
      <c r="AJ682" s="2">
        <v>0</v>
      </c>
      <c r="AK682">
        <v>0</v>
      </c>
      <c r="AL682">
        <v>0.5</v>
      </c>
      <c r="AM682">
        <v>0</v>
      </c>
      <c r="AN682" s="2">
        <f>IF((2*G682+M682-O682+3*V682+2*AB682+2*AE682+2*AH682+3*AJ682)&gt;=7,1,0)</f>
        <v>0</v>
      </c>
    </row>
    <row r="683" spans="1:40" x14ac:dyDescent="0.25">
      <c r="A683" t="s">
        <v>27</v>
      </c>
      <c r="B683" s="1">
        <v>38986</v>
      </c>
      <c r="C683" s="6">
        <f t="shared" si="100"/>
        <v>2006</v>
      </c>
      <c r="D683">
        <v>86.1</v>
      </c>
      <c r="E683">
        <v>60.9</v>
      </c>
      <c r="F683">
        <v>72.599999999999994</v>
      </c>
      <c r="G683" s="2">
        <f t="shared" si="101"/>
        <v>1</v>
      </c>
      <c r="H683">
        <v>84.3</v>
      </c>
      <c r="I683">
        <v>60.9</v>
      </c>
      <c r="J683">
        <v>72.3</v>
      </c>
      <c r="K683">
        <v>55.7</v>
      </c>
      <c r="L683">
        <v>59.7</v>
      </c>
      <c r="M683" s="2">
        <f t="shared" si="102"/>
        <v>1</v>
      </c>
      <c r="N683">
        <v>0</v>
      </c>
      <c r="O683" s="2">
        <f t="shared" si="103"/>
        <v>1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 s="2">
        <f t="shared" si="104"/>
        <v>0</v>
      </c>
      <c r="W683">
        <v>25.3</v>
      </c>
      <c r="X683" s="2">
        <f t="shared" si="105"/>
        <v>1</v>
      </c>
      <c r="Y683">
        <v>169.4</v>
      </c>
      <c r="Z683" s="2" t="str">
        <f>CHOOSE(MATCH(Y683,{0;11;80;111;161;191;241;281;341},1),"North","NorthEast","East","SouthEast","South","SouthWest","West","NorthWest","North")</f>
        <v>South</v>
      </c>
      <c r="AA683" s="4">
        <f>CHOOSE(MATCH(Z683,{"South";"SouthEast";"SouthWest";"North";"NorthEast";"East";"West";"NorthWest"},0),1,2,3,4,5,6,7,8)</f>
        <v>1</v>
      </c>
      <c r="AB683" s="2">
        <f t="shared" si="106"/>
        <v>0</v>
      </c>
      <c r="AC683">
        <v>1010.5</v>
      </c>
      <c r="AD683" t="s">
        <v>1044</v>
      </c>
      <c r="AE683" s="2">
        <f t="shared" si="107"/>
        <v>1</v>
      </c>
      <c r="AF683" t="s">
        <v>1045</v>
      </c>
      <c r="AG683" s="2">
        <f t="shared" si="108"/>
        <v>9</v>
      </c>
      <c r="AH683" s="2">
        <f t="shared" si="109"/>
        <v>0</v>
      </c>
      <c r="AI683" s="3">
        <v>102.0000000076834</v>
      </c>
      <c r="AJ683" s="2">
        <v>0</v>
      </c>
      <c r="AK683">
        <v>0</v>
      </c>
      <c r="AL683">
        <v>0.01</v>
      </c>
      <c r="AM683">
        <v>0</v>
      </c>
      <c r="AN683" s="2">
        <f>IF((2*G683+M683-O683+3*V683+2*AB683+2*AE683+2*AH683+3*AJ683)&gt;=7,1,0)</f>
        <v>0</v>
      </c>
    </row>
    <row r="684" spans="1:40" x14ac:dyDescent="0.25">
      <c r="A684" t="s">
        <v>27</v>
      </c>
      <c r="B684" s="1">
        <v>38988</v>
      </c>
      <c r="C684" s="6">
        <f t="shared" si="100"/>
        <v>2006</v>
      </c>
      <c r="D684">
        <v>82.5</v>
      </c>
      <c r="E684">
        <v>68.099999999999994</v>
      </c>
      <c r="F684">
        <v>73.900000000000006</v>
      </c>
      <c r="G684" s="2">
        <f t="shared" si="101"/>
        <v>1</v>
      </c>
      <c r="H684">
        <v>83.4</v>
      </c>
      <c r="I684">
        <v>68.099999999999994</v>
      </c>
      <c r="J684">
        <v>74.2</v>
      </c>
      <c r="K684">
        <v>63.2</v>
      </c>
      <c r="L684">
        <v>70.2</v>
      </c>
      <c r="M684" s="2">
        <f t="shared" si="102"/>
        <v>0</v>
      </c>
      <c r="N684">
        <v>0</v>
      </c>
      <c r="O684" s="2">
        <f t="shared" si="103"/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 s="2">
        <f t="shared" si="104"/>
        <v>0</v>
      </c>
      <c r="W684">
        <v>9.1999999999999993</v>
      </c>
      <c r="X684" s="2">
        <f t="shared" si="105"/>
        <v>0</v>
      </c>
      <c r="Y684">
        <v>83.2</v>
      </c>
      <c r="Z684" s="2" t="str">
        <f>CHOOSE(MATCH(Y684,{0;11;80;111;161;191;241;281;341},1),"North","NorthEast","East","SouthEast","South","SouthWest","West","NorthWest","North")</f>
        <v>East</v>
      </c>
      <c r="AA684" s="4">
        <f>CHOOSE(MATCH(Z684,{"South";"SouthEast";"SouthWest";"North";"NorthEast";"East";"West";"NorthWest"},0),1,2,3,4,5,6,7,8)</f>
        <v>6</v>
      </c>
      <c r="AB684" s="2">
        <f t="shared" si="106"/>
        <v>0</v>
      </c>
      <c r="AC684">
        <v>1008.5</v>
      </c>
      <c r="AD684" t="s">
        <v>491</v>
      </c>
      <c r="AE684" s="2">
        <f t="shared" si="107"/>
        <v>0</v>
      </c>
      <c r="AF684" t="s">
        <v>1046</v>
      </c>
      <c r="AG684" s="2">
        <f t="shared" si="108"/>
        <v>9</v>
      </c>
      <c r="AH684" s="2">
        <f t="shared" si="109"/>
        <v>0</v>
      </c>
      <c r="AI684" s="3">
        <v>119.99999999301509</v>
      </c>
      <c r="AJ684" s="2">
        <v>0</v>
      </c>
      <c r="AK684">
        <v>8</v>
      </c>
      <c r="AL684">
        <v>0</v>
      </c>
      <c r="AM684">
        <v>0</v>
      </c>
      <c r="AN684" s="2">
        <f>IF((2*G684+M684-O684+3*V684+2*AB684+2*AE684+2*AH684+3*AJ684)&gt;=7,1,0)</f>
        <v>0</v>
      </c>
    </row>
    <row r="685" spans="1:40" x14ac:dyDescent="0.25">
      <c r="A685" t="s">
        <v>27</v>
      </c>
      <c r="B685" s="1">
        <v>38988</v>
      </c>
      <c r="C685" s="6">
        <f t="shared" si="100"/>
        <v>2006</v>
      </c>
      <c r="D685">
        <v>82.5</v>
      </c>
      <c r="E685">
        <v>68.099999999999994</v>
      </c>
      <c r="F685">
        <v>73.900000000000006</v>
      </c>
      <c r="G685" s="2">
        <f t="shared" si="101"/>
        <v>1</v>
      </c>
      <c r="H685">
        <v>83.4</v>
      </c>
      <c r="I685">
        <v>68.099999999999994</v>
      </c>
      <c r="J685">
        <v>74.2</v>
      </c>
      <c r="K685">
        <v>63.2</v>
      </c>
      <c r="L685">
        <v>70.2</v>
      </c>
      <c r="M685" s="2">
        <f t="shared" si="102"/>
        <v>0</v>
      </c>
      <c r="N685">
        <v>0</v>
      </c>
      <c r="O685" s="2">
        <f t="shared" si="103"/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 s="2">
        <f t="shared" si="104"/>
        <v>0</v>
      </c>
      <c r="W685">
        <v>9.1999999999999993</v>
      </c>
      <c r="X685" s="2">
        <f t="shared" si="105"/>
        <v>0</v>
      </c>
      <c r="Y685">
        <v>83.2</v>
      </c>
      <c r="Z685" s="2" t="str">
        <f>CHOOSE(MATCH(Y685,{0;11;80;111;161;191;241;281;341},1),"North","NorthEast","East","SouthEast","South","SouthWest","West","NorthWest","North")</f>
        <v>East</v>
      </c>
      <c r="AA685" s="4">
        <f>CHOOSE(MATCH(Z685,{"South";"SouthEast";"SouthWest";"North";"NorthEast";"East";"West";"NorthWest"},0),1,2,3,4,5,6,7,8)</f>
        <v>6</v>
      </c>
      <c r="AB685" s="2">
        <f t="shared" si="106"/>
        <v>0</v>
      </c>
      <c r="AC685">
        <v>1008.5</v>
      </c>
      <c r="AD685" t="s">
        <v>699</v>
      </c>
      <c r="AE685" s="2">
        <f t="shared" si="107"/>
        <v>1</v>
      </c>
      <c r="AF685" t="s">
        <v>1047</v>
      </c>
      <c r="AG685" s="2">
        <f t="shared" si="108"/>
        <v>9</v>
      </c>
      <c r="AH685" s="2">
        <f t="shared" si="109"/>
        <v>0</v>
      </c>
      <c r="AI685" s="3">
        <v>209.99999999301511</v>
      </c>
      <c r="AJ685" s="2">
        <v>0</v>
      </c>
      <c r="AK685">
        <v>0</v>
      </c>
      <c r="AL685">
        <v>1</v>
      </c>
      <c r="AM685">
        <v>0</v>
      </c>
      <c r="AN685" s="2">
        <f>IF((2*G685+M685-O685+3*V685+2*AB685+2*AE685+2*AH685+3*AJ685)&gt;=7,1,0)</f>
        <v>0</v>
      </c>
    </row>
    <row r="686" spans="1:40" x14ac:dyDescent="0.25">
      <c r="A686" t="s">
        <v>27</v>
      </c>
      <c r="B686" s="1">
        <v>38992</v>
      </c>
      <c r="C686" s="6">
        <f t="shared" si="100"/>
        <v>2006</v>
      </c>
      <c r="D686">
        <v>82.5</v>
      </c>
      <c r="E686">
        <v>71.7</v>
      </c>
      <c r="F686">
        <v>73.8</v>
      </c>
      <c r="G686" s="2">
        <f t="shared" si="101"/>
        <v>1</v>
      </c>
      <c r="H686">
        <v>82.2</v>
      </c>
      <c r="I686">
        <v>71.7</v>
      </c>
      <c r="J686">
        <v>73.8</v>
      </c>
      <c r="K686">
        <v>58.3</v>
      </c>
      <c r="L686">
        <v>58.8</v>
      </c>
      <c r="M686" s="2">
        <f t="shared" si="102"/>
        <v>1</v>
      </c>
      <c r="N686">
        <v>0</v>
      </c>
      <c r="O686" s="2">
        <f t="shared" si="103"/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 s="2">
        <f t="shared" si="104"/>
        <v>0</v>
      </c>
      <c r="W686">
        <v>21.9</v>
      </c>
      <c r="X686" s="2">
        <f t="shared" si="105"/>
        <v>1</v>
      </c>
      <c r="Y686">
        <v>319.39999999999998</v>
      </c>
      <c r="Z686" s="2" t="str">
        <f>CHOOSE(MATCH(Y686,{0;11;80;111;161;191;241;281;341},1),"North","NorthEast","East","SouthEast","South","SouthWest","West","NorthWest","North")</f>
        <v>NorthWest</v>
      </c>
      <c r="AA686" s="4">
        <f>CHOOSE(MATCH(Z686,{"South";"SouthEast";"SouthWest";"North";"NorthEast";"East";"West";"NorthWest"},0),1,2,3,4,5,6,7,8)</f>
        <v>8</v>
      </c>
      <c r="AB686" s="2">
        <f t="shared" si="106"/>
        <v>1</v>
      </c>
      <c r="AC686">
        <v>1015.8</v>
      </c>
      <c r="AD686" t="s">
        <v>775</v>
      </c>
      <c r="AE686" s="2">
        <f t="shared" si="107"/>
        <v>0</v>
      </c>
      <c r="AF686" t="s">
        <v>1048</v>
      </c>
      <c r="AG686" s="2">
        <f t="shared" si="108"/>
        <v>10</v>
      </c>
      <c r="AH686" s="2">
        <f t="shared" si="109"/>
        <v>0</v>
      </c>
      <c r="AI686" s="3">
        <v>135</v>
      </c>
      <c r="AJ686" s="2">
        <v>0</v>
      </c>
      <c r="AK686">
        <v>0</v>
      </c>
      <c r="AL686">
        <v>2</v>
      </c>
      <c r="AM686">
        <v>0</v>
      </c>
      <c r="AN686" s="2">
        <f>IF((2*G686+M686-O686+3*V686+2*AB686+2*AE686+2*AH686+3*AJ686)&gt;=7,1,0)</f>
        <v>0</v>
      </c>
    </row>
    <row r="687" spans="1:40" x14ac:dyDescent="0.25">
      <c r="A687" t="s">
        <v>27</v>
      </c>
      <c r="B687" s="1">
        <v>38992</v>
      </c>
      <c r="C687" s="6">
        <f t="shared" si="100"/>
        <v>2006</v>
      </c>
      <c r="D687">
        <v>82.5</v>
      </c>
      <c r="E687">
        <v>71.7</v>
      </c>
      <c r="F687">
        <v>73.8</v>
      </c>
      <c r="G687" s="2">
        <f t="shared" si="101"/>
        <v>1</v>
      </c>
      <c r="H687">
        <v>82.2</v>
      </c>
      <c r="I687">
        <v>71.7</v>
      </c>
      <c r="J687">
        <v>73.8</v>
      </c>
      <c r="K687">
        <v>58.3</v>
      </c>
      <c r="L687">
        <v>58.8</v>
      </c>
      <c r="M687" s="2">
        <f t="shared" si="102"/>
        <v>1</v>
      </c>
      <c r="N687">
        <v>0</v>
      </c>
      <c r="O687" s="2">
        <f t="shared" si="103"/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 s="2">
        <f t="shared" si="104"/>
        <v>0</v>
      </c>
      <c r="W687">
        <v>21.9</v>
      </c>
      <c r="X687" s="2">
        <f t="shared" si="105"/>
        <v>1</v>
      </c>
      <c r="Y687">
        <v>319.39999999999998</v>
      </c>
      <c r="Z687" s="2" t="str">
        <f>CHOOSE(MATCH(Y687,{0;11;80;111;161;191;241;281;341},1),"North","NorthEast","East","SouthEast","South","SouthWest","West","NorthWest","North")</f>
        <v>NorthWest</v>
      </c>
      <c r="AA687" s="4">
        <f>CHOOSE(MATCH(Z687,{"South";"SouthEast";"SouthWest";"North";"NorthEast";"East";"West";"NorthWest"},0),1,2,3,4,5,6,7,8)</f>
        <v>8</v>
      </c>
      <c r="AB687" s="2">
        <f t="shared" si="106"/>
        <v>1</v>
      </c>
      <c r="AC687">
        <v>1015.8</v>
      </c>
      <c r="AD687" t="s">
        <v>594</v>
      </c>
      <c r="AE687" s="2">
        <f t="shared" si="107"/>
        <v>1</v>
      </c>
      <c r="AF687" t="s">
        <v>1049</v>
      </c>
      <c r="AG687" s="2">
        <f t="shared" si="108"/>
        <v>10</v>
      </c>
      <c r="AH687" s="2">
        <f t="shared" si="109"/>
        <v>0</v>
      </c>
      <c r="AI687" s="3">
        <v>274.99999999534339</v>
      </c>
      <c r="AJ687" s="2">
        <v>0</v>
      </c>
      <c r="AK687">
        <v>1</v>
      </c>
      <c r="AL687">
        <v>0</v>
      </c>
      <c r="AM687">
        <v>0</v>
      </c>
      <c r="AN687" s="2">
        <f>IF((2*G687+M687-O687+3*V687+2*AB687+2*AE687+2*AH687+3*AJ687)&gt;=7,1,0)</f>
        <v>0</v>
      </c>
    </row>
    <row r="688" spans="1:40" x14ac:dyDescent="0.25">
      <c r="A688" t="s">
        <v>27</v>
      </c>
      <c r="B688" s="1">
        <v>38994</v>
      </c>
      <c r="C688" s="6">
        <f t="shared" si="100"/>
        <v>2006</v>
      </c>
      <c r="D688">
        <v>78.900000000000006</v>
      </c>
      <c r="E688">
        <v>60.9</v>
      </c>
      <c r="F688">
        <v>70.099999999999994</v>
      </c>
      <c r="G688" s="2">
        <f t="shared" si="101"/>
        <v>1</v>
      </c>
      <c r="H688">
        <v>78.900000000000006</v>
      </c>
      <c r="I688">
        <v>60.9</v>
      </c>
      <c r="J688">
        <v>70.099999999999994</v>
      </c>
      <c r="K688">
        <v>53</v>
      </c>
      <c r="L688">
        <v>56.6</v>
      </c>
      <c r="M688" s="2">
        <f t="shared" si="102"/>
        <v>1</v>
      </c>
      <c r="N688">
        <v>0</v>
      </c>
      <c r="O688" s="2">
        <f t="shared" si="103"/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 s="2">
        <f t="shared" si="104"/>
        <v>0</v>
      </c>
      <c r="W688">
        <v>9.1999999999999993</v>
      </c>
      <c r="X688" s="2">
        <f t="shared" si="105"/>
        <v>0</v>
      </c>
      <c r="Y688">
        <v>156.69999999999999</v>
      </c>
      <c r="Z688" s="2" t="str">
        <f>CHOOSE(MATCH(Y688,{0;11;80;111;161;191;241;281;341},1),"North","NorthEast","East","SouthEast","South","SouthWest","West","NorthWest","North")</f>
        <v>SouthEast</v>
      </c>
      <c r="AA688" s="4">
        <f>CHOOSE(MATCH(Z688,{"South";"SouthEast";"SouthWest";"North";"NorthEast";"East";"West";"NorthWest"},0),1,2,3,4,5,6,7,8)</f>
        <v>2</v>
      </c>
      <c r="AB688" s="2">
        <f t="shared" si="106"/>
        <v>0</v>
      </c>
      <c r="AC688">
        <v>1016.2</v>
      </c>
      <c r="AD688" t="s">
        <v>625</v>
      </c>
      <c r="AE688" s="2">
        <f t="shared" si="107"/>
        <v>1</v>
      </c>
      <c r="AF688" t="s">
        <v>1050</v>
      </c>
      <c r="AG688" s="2">
        <f t="shared" si="108"/>
        <v>10</v>
      </c>
      <c r="AH688" s="2">
        <f t="shared" si="109"/>
        <v>0</v>
      </c>
      <c r="AI688" s="3">
        <v>1245.000000003492</v>
      </c>
      <c r="AJ688" s="2">
        <v>1</v>
      </c>
      <c r="AK688">
        <v>0</v>
      </c>
      <c r="AL688">
        <v>0.5</v>
      </c>
      <c r="AM688">
        <v>0</v>
      </c>
      <c r="AN688" s="2">
        <f>IF((2*G688+M688-O688+3*V688+2*AB688+2*AE688+2*AH688+3*AJ688)&gt;=7,1,0)</f>
        <v>1</v>
      </c>
    </row>
    <row r="689" spans="1:40" x14ac:dyDescent="0.25">
      <c r="A689" t="s">
        <v>27</v>
      </c>
      <c r="B689" s="1">
        <v>38994</v>
      </c>
      <c r="C689" s="6">
        <f t="shared" si="100"/>
        <v>2006</v>
      </c>
      <c r="D689">
        <v>78.900000000000006</v>
      </c>
      <c r="E689">
        <v>60.9</v>
      </c>
      <c r="F689">
        <v>70.099999999999994</v>
      </c>
      <c r="G689" s="2">
        <f t="shared" si="101"/>
        <v>1</v>
      </c>
      <c r="H689">
        <v>78.900000000000006</v>
      </c>
      <c r="I689">
        <v>60.9</v>
      </c>
      <c r="J689">
        <v>70.099999999999994</v>
      </c>
      <c r="K689">
        <v>53</v>
      </c>
      <c r="L689">
        <v>56.6</v>
      </c>
      <c r="M689" s="2">
        <f t="shared" si="102"/>
        <v>1</v>
      </c>
      <c r="N689">
        <v>0</v>
      </c>
      <c r="O689" s="2">
        <f t="shared" si="103"/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s="2">
        <f t="shared" si="104"/>
        <v>0</v>
      </c>
      <c r="W689">
        <v>9.1999999999999993</v>
      </c>
      <c r="X689" s="2">
        <f t="shared" si="105"/>
        <v>0</v>
      </c>
      <c r="Y689">
        <v>156.69999999999999</v>
      </c>
      <c r="Z689" s="2" t="str">
        <f>CHOOSE(MATCH(Y689,{0;11;80;111;161;191;241;281;341},1),"North","NorthEast","East","SouthEast","South","SouthWest","West","NorthWest","North")</f>
        <v>SouthEast</v>
      </c>
      <c r="AA689" s="4">
        <f>CHOOSE(MATCH(Z689,{"South";"SouthEast";"SouthWest";"North";"NorthEast";"East";"West";"NorthWest"},0),1,2,3,4,5,6,7,8)</f>
        <v>2</v>
      </c>
      <c r="AB689" s="2">
        <f t="shared" si="106"/>
        <v>0</v>
      </c>
      <c r="AC689">
        <v>1016.2</v>
      </c>
      <c r="AD689" t="s">
        <v>631</v>
      </c>
      <c r="AE689" s="2">
        <f t="shared" si="107"/>
        <v>1</v>
      </c>
      <c r="AF689" t="s">
        <v>1051</v>
      </c>
      <c r="AG689" s="2">
        <f t="shared" si="108"/>
        <v>10</v>
      </c>
      <c r="AH689" s="2">
        <f t="shared" si="109"/>
        <v>0</v>
      </c>
      <c r="AI689" s="3">
        <v>225</v>
      </c>
      <c r="AJ689" s="2">
        <v>0</v>
      </c>
      <c r="AK689">
        <v>0</v>
      </c>
      <c r="AL689">
        <v>6</v>
      </c>
      <c r="AM689">
        <v>0</v>
      </c>
      <c r="AN689" s="2">
        <f>IF((2*G689+M689-O689+3*V689+2*AB689+2*AE689+2*AH689+3*AJ689)&gt;=7,1,0)</f>
        <v>0</v>
      </c>
    </row>
    <row r="690" spans="1:40" x14ac:dyDescent="0.25">
      <c r="A690" t="s">
        <v>27</v>
      </c>
      <c r="B690" s="1">
        <v>38994</v>
      </c>
      <c r="C690" s="6">
        <f t="shared" si="100"/>
        <v>2006</v>
      </c>
      <c r="D690">
        <v>78.900000000000006</v>
      </c>
      <c r="E690">
        <v>60.9</v>
      </c>
      <c r="F690">
        <v>70.099999999999994</v>
      </c>
      <c r="G690" s="2">
        <f t="shared" si="101"/>
        <v>1</v>
      </c>
      <c r="H690">
        <v>78.900000000000006</v>
      </c>
      <c r="I690">
        <v>60.9</v>
      </c>
      <c r="J690">
        <v>70.099999999999994</v>
      </c>
      <c r="K690">
        <v>53</v>
      </c>
      <c r="L690">
        <v>56.6</v>
      </c>
      <c r="M690" s="2">
        <f t="shared" si="102"/>
        <v>1</v>
      </c>
      <c r="N690">
        <v>0</v>
      </c>
      <c r="O690" s="2">
        <f t="shared" si="103"/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 s="2">
        <f t="shared" si="104"/>
        <v>0</v>
      </c>
      <c r="W690">
        <v>9.1999999999999993</v>
      </c>
      <c r="X690" s="2">
        <f t="shared" si="105"/>
        <v>0</v>
      </c>
      <c r="Y690">
        <v>156.69999999999999</v>
      </c>
      <c r="Z690" s="2" t="str">
        <f>CHOOSE(MATCH(Y690,{0;11;80;111;161;191;241;281;341},1),"North","NorthEast","East","SouthEast","South","SouthWest","West","NorthWest","North")</f>
        <v>SouthEast</v>
      </c>
      <c r="AA690" s="4">
        <f>CHOOSE(MATCH(Z690,{"South";"SouthEast";"SouthWest";"North";"NorthEast";"East";"West";"NorthWest"},0),1,2,3,4,5,6,7,8)</f>
        <v>2</v>
      </c>
      <c r="AB690" s="2">
        <f t="shared" si="106"/>
        <v>0</v>
      </c>
      <c r="AC690">
        <v>1016.2</v>
      </c>
      <c r="AD690" t="s">
        <v>357</v>
      </c>
      <c r="AE690" s="2">
        <f t="shared" si="107"/>
        <v>1</v>
      </c>
      <c r="AF690" t="s">
        <v>1052</v>
      </c>
      <c r="AG690" s="2">
        <f t="shared" si="108"/>
        <v>10</v>
      </c>
      <c r="AH690" s="2">
        <f t="shared" si="109"/>
        <v>0</v>
      </c>
      <c r="AI690" s="3">
        <v>355.00000000465661</v>
      </c>
      <c r="AJ690" s="2">
        <v>0</v>
      </c>
      <c r="AK690">
        <v>30</v>
      </c>
      <c r="AL690">
        <v>0</v>
      </c>
      <c r="AM690">
        <v>0</v>
      </c>
      <c r="AN690" s="2">
        <f>IF((2*G690+M690-O690+3*V690+2*AB690+2*AE690+2*AH690+3*AJ690)&gt;=7,1,0)</f>
        <v>0</v>
      </c>
    </row>
    <row r="691" spans="1:40" x14ac:dyDescent="0.25">
      <c r="A691" t="s">
        <v>27</v>
      </c>
      <c r="B691" s="1">
        <v>38995</v>
      </c>
      <c r="C691" s="6">
        <f t="shared" si="100"/>
        <v>2006</v>
      </c>
      <c r="D691">
        <v>77.099999999999994</v>
      </c>
      <c r="E691">
        <v>62.7</v>
      </c>
      <c r="F691">
        <v>69.599999999999994</v>
      </c>
      <c r="G691" s="2">
        <f t="shared" si="101"/>
        <v>0</v>
      </c>
      <c r="H691">
        <v>77.099999999999994</v>
      </c>
      <c r="I691">
        <v>62.7</v>
      </c>
      <c r="J691">
        <v>69.599999999999994</v>
      </c>
      <c r="K691">
        <v>57.1</v>
      </c>
      <c r="L691">
        <v>65.5</v>
      </c>
      <c r="M691" s="2">
        <f t="shared" si="102"/>
        <v>1</v>
      </c>
      <c r="N691">
        <v>0</v>
      </c>
      <c r="O691" s="2">
        <f t="shared" si="103"/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s="2">
        <f t="shared" si="104"/>
        <v>0</v>
      </c>
      <c r="W691">
        <v>11.4</v>
      </c>
      <c r="X691" s="2">
        <f t="shared" si="105"/>
        <v>0</v>
      </c>
      <c r="Y691">
        <v>156.80000000000001</v>
      </c>
      <c r="Z691" s="2" t="str">
        <f>CHOOSE(MATCH(Y691,{0;11;80;111;161;191;241;281;341},1),"North","NorthEast","East","SouthEast","South","SouthWest","West","NorthWest","North")</f>
        <v>SouthEast</v>
      </c>
      <c r="AA691" s="4">
        <f>CHOOSE(MATCH(Z691,{"South";"SouthEast";"SouthWest";"North";"NorthEast";"East";"West";"NorthWest"},0),1,2,3,4,5,6,7,8)</f>
        <v>2</v>
      </c>
      <c r="AB691" s="2">
        <f t="shared" si="106"/>
        <v>0</v>
      </c>
      <c r="AC691">
        <v>1015.8</v>
      </c>
      <c r="AD691" t="s">
        <v>1053</v>
      </c>
      <c r="AE691" s="2">
        <f t="shared" si="107"/>
        <v>0</v>
      </c>
      <c r="AF691" t="s">
        <v>1054</v>
      </c>
      <c r="AG691" s="2">
        <f t="shared" si="108"/>
        <v>10</v>
      </c>
      <c r="AH691" s="2">
        <f t="shared" si="109"/>
        <v>0</v>
      </c>
      <c r="AI691" s="3">
        <v>525.99999999627471</v>
      </c>
      <c r="AJ691" s="2">
        <v>1</v>
      </c>
      <c r="AK691">
        <v>0</v>
      </c>
      <c r="AL691">
        <v>3</v>
      </c>
      <c r="AM691">
        <v>0</v>
      </c>
      <c r="AN691" s="2">
        <f>IF((2*G691+M691-O691+3*V691+2*AB691+2*AE691+2*AH691+3*AJ691)&gt;=7,1,0)</f>
        <v>0</v>
      </c>
    </row>
    <row r="692" spans="1:40" x14ac:dyDescent="0.25">
      <c r="A692" t="s">
        <v>27</v>
      </c>
      <c r="B692" s="1">
        <v>38995</v>
      </c>
      <c r="C692" s="6">
        <f t="shared" si="100"/>
        <v>2006</v>
      </c>
      <c r="D692">
        <v>77.099999999999994</v>
      </c>
      <c r="E692">
        <v>62.7</v>
      </c>
      <c r="F692">
        <v>69.599999999999994</v>
      </c>
      <c r="G692" s="2">
        <f t="shared" si="101"/>
        <v>0</v>
      </c>
      <c r="H692">
        <v>77.099999999999994</v>
      </c>
      <c r="I692">
        <v>62.7</v>
      </c>
      <c r="J692">
        <v>69.599999999999994</v>
      </c>
      <c r="K692">
        <v>57.1</v>
      </c>
      <c r="L692">
        <v>65.5</v>
      </c>
      <c r="M692" s="2">
        <f t="shared" si="102"/>
        <v>1</v>
      </c>
      <c r="N692">
        <v>0</v>
      </c>
      <c r="O692" s="2">
        <f t="shared" si="103"/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 s="2">
        <f t="shared" si="104"/>
        <v>0</v>
      </c>
      <c r="W692">
        <v>11.4</v>
      </c>
      <c r="X692" s="2">
        <f t="shared" si="105"/>
        <v>0</v>
      </c>
      <c r="Y692">
        <v>156.80000000000001</v>
      </c>
      <c r="Z692" s="2" t="str">
        <f>CHOOSE(MATCH(Y692,{0;11;80;111;161;191;241;281;341},1),"North","NorthEast","East","SouthEast","South","SouthWest","West","NorthWest","North")</f>
        <v>SouthEast</v>
      </c>
      <c r="AA692" s="4">
        <f>CHOOSE(MATCH(Z692,{"South";"SouthEast";"SouthWest";"North";"NorthEast";"East";"West";"NorthWest"},0),1,2,3,4,5,6,7,8)</f>
        <v>2</v>
      </c>
      <c r="AB692" s="2">
        <f t="shared" si="106"/>
        <v>0</v>
      </c>
      <c r="AC692">
        <v>1015.8</v>
      </c>
      <c r="AD692" t="s">
        <v>979</v>
      </c>
      <c r="AE692" s="2">
        <f t="shared" si="107"/>
        <v>1</v>
      </c>
      <c r="AF692" t="s">
        <v>1055</v>
      </c>
      <c r="AG692" s="2">
        <f t="shared" si="108"/>
        <v>10</v>
      </c>
      <c r="AH692" s="2">
        <f t="shared" si="109"/>
        <v>0</v>
      </c>
      <c r="AI692" s="3">
        <v>174.99999999417921</v>
      </c>
      <c r="AJ692" s="2">
        <v>0</v>
      </c>
      <c r="AK692">
        <v>0</v>
      </c>
      <c r="AL692">
        <v>2</v>
      </c>
      <c r="AM692">
        <v>0</v>
      </c>
      <c r="AN692" s="2">
        <f>IF((2*G692+M692-O692+3*V692+2*AB692+2*AE692+2*AH692+3*AJ692)&gt;=7,1,0)</f>
        <v>0</v>
      </c>
    </row>
    <row r="693" spans="1:40" x14ac:dyDescent="0.25">
      <c r="A693" t="s">
        <v>27</v>
      </c>
      <c r="B693" s="1">
        <v>38997</v>
      </c>
      <c r="C693" s="6">
        <f t="shared" si="100"/>
        <v>2006</v>
      </c>
      <c r="D693">
        <v>77.099999999999994</v>
      </c>
      <c r="E693">
        <v>64.5</v>
      </c>
      <c r="F693">
        <v>70.900000000000006</v>
      </c>
      <c r="G693" s="2">
        <f t="shared" si="101"/>
        <v>1</v>
      </c>
      <c r="H693">
        <v>77.099999999999994</v>
      </c>
      <c r="I693">
        <v>64.5</v>
      </c>
      <c r="J693">
        <v>70.900000000000006</v>
      </c>
      <c r="K693">
        <v>63.5</v>
      </c>
      <c r="L693">
        <v>78.099999999999994</v>
      </c>
      <c r="M693" s="2">
        <f t="shared" si="102"/>
        <v>0</v>
      </c>
      <c r="N693">
        <v>0</v>
      </c>
      <c r="O693" s="2">
        <f t="shared" si="103"/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s="2">
        <f t="shared" si="104"/>
        <v>0</v>
      </c>
      <c r="W693">
        <v>8.1</v>
      </c>
      <c r="X693" s="2">
        <f t="shared" si="105"/>
        <v>0</v>
      </c>
      <c r="Y693">
        <v>168.2</v>
      </c>
      <c r="Z693" s="2" t="str">
        <f>CHOOSE(MATCH(Y693,{0;11;80;111;161;191;241;281;341},1),"North","NorthEast","East","SouthEast","South","SouthWest","West","NorthWest","North")</f>
        <v>South</v>
      </c>
      <c r="AA693" s="4">
        <f>CHOOSE(MATCH(Z693,{"South";"SouthEast";"SouthWest";"North";"NorthEast";"East";"West";"NorthWest"},0),1,2,3,4,5,6,7,8)</f>
        <v>1</v>
      </c>
      <c r="AB693" s="2">
        <f t="shared" si="106"/>
        <v>0</v>
      </c>
      <c r="AC693">
        <v>1012.1</v>
      </c>
      <c r="AD693" t="s">
        <v>296</v>
      </c>
      <c r="AE693" s="2">
        <f t="shared" si="107"/>
        <v>1</v>
      </c>
      <c r="AF693" t="s">
        <v>1056</v>
      </c>
      <c r="AG693" s="2">
        <f t="shared" si="108"/>
        <v>10</v>
      </c>
      <c r="AH693" s="2">
        <f t="shared" si="109"/>
        <v>0</v>
      </c>
      <c r="AI693" s="3">
        <v>654.99999999767169</v>
      </c>
      <c r="AJ693" s="2">
        <v>1</v>
      </c>
      <c r="AK693">
        <v>0</v>
      </c>
      <c r="AL693">
        <v>10</v>
      </c>
      <c r="AM693">
        <v>0</v>
      </c>
      <c r="AN693" s="2">
        <f>IF((2*G693+M693-O693+3*V693+2*AB693+2*AE693+2*AH693+3*AJ693)&gt;=7,1,0)</f>
        <v>0</v>
      </c>
    </row>
    <row r="694" spans="1:40" x14ac:dyDescent="0.25">
      <c r="A694" t="s">
        <v>27</v>
      </c>
      <c r="B694" s="1">
        <v>39018</v>
      </c>
      <c r="C694" s="6">
        <f t="shared" si="100"/>
        <v>2006</v>
      </c>
      <c r="D694">
        <v>66.3</v>
      </c>
      <c r="E694">
        <v>64.5</v>
      </c>
      <c r="F694">
        <v>65.400000000000006</v>
      </c>
      <c r="G694" s="2">
        <f t="shared" si="101"/>
        <v>0</v>
      </c>
      <c r="H694">
        <v>66.3</v>
      </c>
      <c r="I694">
        <v>64.5</v>
      </c>
      <c r="J694">
        <v>65.400000000000006</v>
      </c>
      <c r="K694">
        <v>51.5</v>
      </c>
      <c r="L694">
        <v>60.9</v>
      </c>
      <c r="M694" s="2">
        <f t="shared" si="102"/>
        <v>1</v>
      </c>
      <c r="N694">
        <v>0</v>
      </c>
      <c r="O694" s="2">
        <f t="shared" si="103"/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 s="2">
        <f t="shared" si="104"/>
        <v>0</v>
      </c>
      <c r="W694">
        <v>21.9</v>
      </c>
      <c r="X694" s="2">
        <f t="shared" si="105"/>
        <v>1</v>
      </c>
      <c r="Y694">
        <v>329.2</v>
      </c>
      <c r="Z694" s="2" t="str">
        <f>CHOOSE(MATCH(Y694,{0;11;80;111;161;191;241;281;341},1),"North","NorthEast","East","SouthEast","South","SouthWest","West","NorthWest","North")</f>
        <v>NorthWest</v>
      </c>
      <c r="AA694" s="4">
        <f>CHOOSE(MATCH(Z694,{"South";"SouthEast";"SouthWest";"North";"NorthEast";"East";"West";"NorthWest"},0),1,2,3,4,5,6,7,8)</f>
        <v>8</v>
      </c>
      <c r="AB694" s="2">
        <f t="shared" si="106"/>
        <v>1</v>
      </c>
      <c r="AC694">
        <v>1016.8</v>
      </c>
      <c r="AD694" t="s">
        <v>1057</v>
      </c>
      <c r="AE694" s="2">
        <f t="shared" si="107"/>
        <v>0</v>
      </c>
      <c r="AF694" t="s">
        <v>1058</v>
      </c>
      <c r="AG694" s="2">
        <f t="shared" si="108"/>
        <v>10</v>
      </c>
      <c r="AH694" s="2">
        <f t="shared" si="109"/>
        <v>0</v>
      </c>
      <c r="AI694" s="3">
        <v>105.9999999997672</v>
      </c>
      <c r="AJ694" s="2">
        <v>0</v>
      </c>
      <c r="AK694">
        <v>0</v>
      </c>
      <c r="AL694">
        <v>0.4</v>
      </c>
      <c r="AM694">
        <v>0</v>
      </c>
      <c r="AN694" s="2">
        <f>IF((2*G694+M694-O694+3*V694+2*AB694+2*AE694+2*AH694+3*AJ694)&gt;=7,1,0)</f>
        <v>0</v>
      </c>
    </row>
    <row r="695" spans="1:40" x14ac:dyDescent="0.25">
      <c r="A695" t="s">
        <v>27</v>
      </c>
      <c r="B695" s="1">
        <v>39018</v>
      </c>
      <c r="C695" s="6">
        <f t="shared" si="100"/>
        <v>2006</v>
      </c>
      <c r="D695">
        <v>66.3</v>
      </c>
      <c r="E695">
        <v>64.5</v>
      </c>
      <c r="F695">
        <v>65.400000000000006</v>
      </c>
      <c r="G695" s="2">
        <f t="shared" si="101"/>
        <v>0</v>
      </c>
      <c r="H695">
        <v>66.3</v>
      </c>
      <c r="I695">
        <v>64.5</v>
      </c>
      <c r="J695">
        <v>65.400000000000006</v>
      </c>
      <c r="K695">
        <v>51.5</v>
      </c>
      <c r="L695">
        <v>60.9</v>
      </c>
      <c r="M695" s="2">
        <f t="shared" si="102"/>
        <v>1</v>
      </c>
      <c r="N695">
        <v>0</v>
      </c>
      <c r="O695" s="2">
        <f t="shared" si="103"/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 s="2">
        <f t="shared" si="104"/>
        <v>0</v>
      </c>
      <c r="W695">
        <v>21.9</v>
      </c>
      <c r="X695" s="2">
        <f t="shared" si="105"/>
        <v>1</v>
      </c>
      <c r="Y695">
        <v>329.2</v>
      </c>
      <c r="Z695" s="2" t="str">
        <f>CHOOSE(MATCH(Y695,{0;11;80;111;161;191;241;281;341},1),"North","NorthEast","East","SouthEast","South","SouthWest","West","NorthWest","North")</f>
        <v>NorthWest</v>
      </c>
      <c r="AA695" s="4">
        <f>CHOOSE(MATCH(Z695,{"South";"SouthEast";"SouthWest";"North";"NorthEast";"East";"West";"NorthWest"},0),1,2,3,4,5,6,7,8)</f>
        <v>8</v>
      </c>
      <c r="AB695" s="2">
        <f t="shared" si="106"/>
        <v>1</v>
      </c>
      <c r="AC695">
        <v>1016.8</v>
      </c>
      <c r="AD695" t="s">
        <v>59</v>
      </c>
      <c r="AE695" s="2">
        <f t="shared" si="107"/>
        <v>0</v>
      </c>
      <c r="AF695" t="s">
        <v>1059</v>
      </c>
      <c r="AG695" s="2">
        <f t="shared" si="108"/>
        <v>10</v>
      </c>
      <c r="AH695" s="2">
        <f t="shared" si="109"/>
        <v>0</v>
      </c>
      <c r="AI695" s="3">
        <v>90</v>
      </c>
      <c r="AJ695" s="2">
        <v>0</v>
      </c>
      <c r="AK695">
        <v>0</v>
      </c>
      <c r="AL695">
        <v>0.3</v>
      </c>
      <c r="AM695">
        <v>0</v>
      </c>
      <c r="AN695" s="2">
        <f>IF((2*G695+M695-O695+3*V695+2*AB695+2*AE695+2*AH695+3*AJ695)&gt;=7,1,0)</f>
        <v>0</v>
      </c>
    </row>
    <row r="696" spans="1:40" x14ac:dyDescent="0.25">
      <c r="A696" t="s">
        <v>27</v>
      </c>
      <c r="B696" s="1">
        <v>39023</v>
      </c>
      <c r="C696" s="6">
        <f t="shared" si="100"/>
        <v>2006</v>
      </c>
      <c r="D696">
        <v>75.3</v>
      </c>
      <c r="E696">
        <v>57.3</v>
      </c>
      <c r="F696">
        <v>65.599999999999994</v>
      </c>
      <c r="G696" s="2">
        <f t="shared" si="101"/>
        <v>0</v>
      </c>
      <c r="H696">
        <v>75.3</v>
      </c>
      <c r="I696">
        <v>57.3</v>
      </c>
      <c r="J696">
        <v>65.599999999999994</v>
      </c>
      <c r="K696">
        <v>54.5</v>
      </c>
      <c r="L696">
        <v>67.8</v>
      </c>
      <c r="M696" s="2">
        <f t="shared" si="102"/>
        <v>0</v>
      </c>
      <c r="N696">
        <v>0</v>
      </c>
      <c r="O696" s="2">
        <f t="shared" si="103"/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 s="2">
        <f t="shared" si="104"/>
        <v>0</v>
      </c>
      <c r="W696">
        <v>12.8</v>
      </c>
      <c r="X696" s="2">
        <f t="shared" si="105"/>
        <v>0</v>
      </c>
      <c r="Y696">
        <v>176.7</v>
      </c>
      <c r="Z696" s="2" t="str">
        <f>CHOOSE(MATCH(Y696,{0;11;80;111;161;191;241;281;341},1),"North","NorthEast","East","SouthEast","South","SouthWest","West","NorthWest","North")</f>
        <v>South</v>
      </c>
      <c r="AA696" s="4">
        <f>CHOOSE(MATCH(Z696,{"South";"SouthEast";"SouthWest";"North";"NorthEast";"East";"West";"NorthWest"},0),1,2,3,4,5,6,7,8)</f>
        <v>1</v>
      </c>
      <c r="AB696" s="2">
        <f t="shared" si="106"/>
        <v>0</v>
      </c>
      <c r="AC696">
        <v>1009.7</v>
      </c>
      <c r="AD696" t="s">
        <v>1060</v>
      </c>
      <c r="AE696" s="2">
        <f t="shared" si="107"/>
        <v>1</v>
      </c>
      <c r="AF696" t="s">
        <v>1061</v>
      </c>
      <c r="AG696" s="2">
        <f t="shared" si="108"/>
        <v>11</v>
      </c>
      <c r="AH696" s="2">
        <f t="shared" si="109"/>
        <v>0</v>
      </c>
      <c r="AI696" s="3">
        <v>191.00000000442381</v>
      </c>
      <c r="AJ696" s="2">
        <v>0</v>
      </c>
      <c r="AK696">
        <v>0</v>
      </c>
      <c r="AL696">
        <v>0.5</v>
      </c>
      <c r="AM696">
        <v>0</v>
      </c>
      <c r="AN696" s="2">
        <f>IF((2*G696+M696-O696+3*V696+2*AB696+2*AE696+2*AH696+3*AJ696)&gt;=7,1,0)</f>
        <v>0</v>
      </c>
    </row>
    <row r="697" spans="1:40" x14ac:dyDescent="0.25">
      <c r="A697" t="s">
        <v>27</v>
      </c>
      <c r="B697" s="1">
        <v>39030</v>
      </c>
      <c r="C697" s="6">
        <f t="shared" si="100"/>
        <v>2006</v>
      </c>
      <c r="D697">
        <v>66.3</v>
      </c>
      <c r="E697">
        <v>50.1</v>
      </c>
      <c r="F697">
        <v>58.2</v>
      </c>
      <c r="G697" s="2">
        <f t="shared" si="101"/>
        <v>0</v>
      </c>
      <c r="H697">
        <v>66.3</v>
      </c>
      <c r="I697">
        <v>50.1</v>
      </c>
      <c r="J697">
        <v>58.2</v>
      </c>
      <c r="K697">
        <v>48.8</v>
      </c>
      <c r="L697">
        <v>71.5</v>
      </c>
      <c r="M697" s="2">
        <f t="shared" si="102"/>
        <v>0</v>
      </c>
      <c r="N697">
        <v>0</v>
      </c>
      <c r="O697" s="2">
        <f t="shared" si="103"/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 s="2">
        <f t="shared" si="104"/>
        <v>0</v>
      </c>
      <c r="W697">
        <v>10.3</v>
      </c>
      <c r="X697" s="2">
        <f t="shared" si="105"/>
        <v>0</v>
      </c>
      <c r="Y697">
        <v>177.4</v>
      </c>
      <c r="Z697" s="2" t="str">
        <f>CHOOSE(MATCH(Y697,{0;11;80;111;161;191;241;281;341},1),"North","NorthEast","East","SouthEast","South","SouthWest","West","NorthWest","North")</f>
        <v>South</v>
      </c>
      <c r="AA697" s="4">
        <f>CHOOSE(MATCH(Z697,{"South";"SouthEast";"SouthWest";"North";"NorthEast";"East";"West";"NorthWest"},0),1,2,3,4,5,6,7,8)</f>
        <v>1</v>
      </c>
      <c r="AB697" s="2">
        <f t="shared" si="106"/>
        <v>0</v>
      </c>
      <c r="AC697">
        <v>1025.0999999999999</v>
      </c>
      <c r="AD697" t="s">
        <v>631</v>
      </c>
      <c r="AE697" s="2">
        <f t="shared" si="107"/>
        <v>1</v>
      </c>
      <c r="AF697" t="s">
        <v>1062</v>
      </c>
      <c r="AG697" s="2">
        <f t="shared" si="108"/>
        <v>11</v>
      </c>
      <c r="AH697" s="2">
        <f t="shared" si="109"/>
        <v>0</v>
      </c>
      <c r="AI697" s="3">
        <v>49.999999995343387</v>
      </c>
      <c r="AJ697" s="2">
        <v>0</v>
      </c>
      <c r="AK697">
        <v>0</v>
      </c>
      <c r="AL697">
        <v>0.5</v>
      </c>
      <c r="AM697">
        <v>0</v>
      </c>
      <c r="AN697" s="2">
        <f>IF((2*G697+M697-O697+3*V697+2*AB697+2*AE697+2*AH697+3*AJ697)&gt;=7,1,0)</f>
        <v>0</v>
      </c>
    </row>
    <row r="698" spans="1:40" x14ac:dyDescent="0.25">
      <c r="A698" t="s">
        <v>27</v>
      </c>
      <c r="B698" s="1">
        <v>39051</v>
      </c>
      <c r="C698" s="6">
        <f t="shared" si="100"/>
        <v>2006</v>
      </c>
      <c r="D698">
        <v>60.9</v>
      </c>
      <c r="E698">
        <v>59.1</v>
      </c>
      <c r="F698">
        <v>59.6</v>
      </c>
      <c r="G698" s="2">
        <f t="shared" si="101"/>
        <v>0</v>
      </c>
      <c r="H698">
        <v>60.9</v>
      </c>
      <c r="I698">
        <v>59.1</v>
      </c>
      <c r="J698">
        <v>59.6</v>
      </c>
      <c r="K698">
        <v>50.3</v>
      </c>
      <c r="L698">
        <v>71.2</v>
      </c>
      <c r="M698" s="2">
        <f t="shared" si="102"/>
        <v>0</v>
      </c>
      <c r="N698">
        <v>0</v>
      </c>
      <c r="O698" s="2">
        <f t="shared" si="103"/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 s="2">
        <f t="shared" si="104"/>
        <v>0</v>
      </c>
      <c r="W698">
        <v>18.3</v>
      </c>
      <c r="X698" s="2">
        <f t="shared" si="105"/>
        <v>1</v>
      </c>
      <c r="Y698">
        <v>351</v>
      </c>
      <c r="Z698" s="2" t="str">
        <f>CHOOSE(MATCH(Y698,{0;11;80;111;161;191;241;281;341},1),"North","NorthEast","East","SouthEast","South","SouthWest","West","NorthWest","North")</f>
        <v>North</v>
      </c>
      <c r="AA698" s="4">
        <f>CHOOSE(MATCH(Z698,{"South";"SouthEast";"SouthWest";"North";"NorthEast";"East";"West";"NorthWest"},0),1,2,3,4,5,6,7,8)</f>
        <v>4</v>
      </c>
      <c r="AB698" s="2">
        <f t="shared" si="106"/>
        <v>1</v>
      </c>
      <c r="AC698">
        <v>1021.9</v>
      </c>
      <c r="AD698" t="s">
        <v>1063</v>
      </c>
      <c r="AE698" s="2">
        <f t="shared" si="107"/>
        <v>1</v>
      </c>
      <c r="AF698" t="s">
        <v>1064</v>
      </c>
      <c r="AG698" s="2">
        <f t="shared" si="108"/>
        <v>11</v>
      </c>
      <c r="AH698" s="2">
        <f t="shared" si="109"/>
        <v>0</v>
      </c>
      <c r="AI698" s="3">
        <v>243.0000000062864</v>
      </c>
      <c r="AJ698" s="2">
        <v>0</v>
      </c>
      <c r="AK698">
        <v>0</v>
      </c>
      <c r="AL698">
        <v>4</v>
      </c>
      <c r="AM698">
        <v>0</v>
      </c>
      <c r="AN698" s="2">
        <f>IF((2*G698+M698-O698+3*V698+2*AB698+2*AE698+2*AH698+3*AJ698)&gt;=7,1,0)</f>
        <v>0</v>
      </c>
    </row>
    <row r="699" spans="1:40" x14ac:dyDescent="0.25">
      <c r="A699" t="s">
        <v>27</v>
      </c>
      <c r="B699" s="1">
        <v>39060</v>
      </c>
      <c r="C699" s="6">
        <f t="shared" si="100"/>
        <v>2006</v>
      </c>
      <c r="D699">
        <v>64.5</v>
      </c>
      <c r="E699">
        <v>53.7</v>
      </c>
      <c r="F699">
        <v>56.9</v>
      </c>
      <c r="G699" s="2">
        <f t="shared" si="101"/>
        <v>0</v>
      </c>
      <c r="H699">
        <v>64.5</v>
      </c>
      <c r="I699">
        <v>53.7</v>
      </c>
      <c r="J699">
        <v>56.9</v>
      </c>
      <c r="K699">
        <v>50.7</v>
      </c>
      <c r="L699">
        <v>80.099999999999994</v>
      </c>
      <c r="M699" s="2">
        <f t="shared" si="102"/>
        <v>0</v>
      </c>
      <c r="N699">
        <v>0</v>
      </c>
      <c r="O699" s="2">
        <f t="shared" si="103"/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 s="2">
        <f t="shared" si="104"/>
        <v>0</v>
      </c>
      <c r="W699">
        <v>8.1</v>
      </c>
      <c r="X699" s="2">
        <f t="shared" si="105"/>
        <v>0</v>
      </c>
      <c r="Y699">
        <v>177.9</v>
      </c>
      <c r="Z699" s="2" t="str">
        <f>CHOOSE(MATCH(Y699,{0;11;80;111;161;191;241;281;341},1),"North","NorthEast","East","SouthEast","South","SouthWest","West","NorthWest","North")</f>
        <v>South</v>
      </c>
      <c r="AA699" s="4">
        <f>CHOOSE(MATCH(Z699,{"South";"SouthEast";"SouthWest";"North";"NorthEast";"East";"West";"NorthWest"},0),1,2,3,4,5,6,7,8)</f>
        <v>1</v>
      </c>
      <c r="AB699" s="2">
        <f t="shared" si="106"/>
        <v>0</v>
      </c>
      <c r="AC699">
        <v>1021.1</v>
      </c>
      <c r="AD699" t="s">
        <v>99</v>
      </c>
      <c r="AE699" s="2">
        <f t="shared" si="107"/>
        <v>1</v>
      </c>
      <c r="AF699" t="s">
        <v>1065</v>
      </c>
      <c r="AG699" s="2">
        <f t="shared" si="108"/>
        <v>12</v>
      </c>
      <c r="AH699" s="2">
        <f t="shared" si="109"/>
        <v>0</v>
      </c>
      <c r="AI699" s="3">
        <v>1250.000000009313</v>
      </c>
      <c r="AJ699" s="2">
        <v>1</v>
      </c>
      <c r="AK699">
        <v>0.01</v>
      </c>
      <c r="AL699">
        <v>0</v>
      </c>
      <c r="AM699">
        <v>0</v>
      </c>
      <c r="AN699" s="2">
        <f>IF((2*G699+M699-O699+3*V699+2*AB699+2*AE699+2*AH699+3*AJ699)&gt;=7,1,0)</f>
        <v>0</v>
      </c>
    </row>
    <row r="700" spans="1:40" x14ac:dyDescent="0.25">
      <c r="A700" t="s">
        <v>27</v>
      </c>
      <c r="B700" s="1">
        <v>39075</v>
      </c>
      <c r="C700" s="6">
        <f t="shared" si="100"/>
        <v>2006</v>
      </c>
      <c r="D700">
        <v>55.5</v>
      </c>
      <c r="E700">
        <v>53.7</v>
      </c>
      <c r="F700">
        <v>54.2</v>
      </c>
      <c r="G700" s="2">
        <f t="shared" si="101"/>
        <v>0</v>
      </c>
      <c r="H700">
        <v>55.5</v>
      </c>
      <c r="I700">
        <v>53.7</v>
      </c>
      <c r="J700">
        <v>54.2</v>
      </c>
      <c r="K700">
        <v>40.9</v>
      </c>
      <c r="L700">
        <v>61</v>
      </c>
      <c r="M700" s="2">
        <f t="shared" si="102"/>
        <v>1</v>
      </c>
      <c r="N700">
        <v>0</v>
      </c>
      <c r="O700" s="2">
        <f t="shared" si="103"/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s="2">
        <f t="shared" si="104"/>
        <v>0</v>
      </c>
      <c r="W700">
        <v>17.2</v>
      </c>
      <c r="X700" s="2">
        <f t="shared" si="105"/>
        <v>1</v>
      </c>
      <c r="Y700">
        <v>344.5</v>
      </c>
      <c r="Z700" s="2" t="str">
        <f>CHOOSE(MATCH(Y700,{0;11;80;111;161;191;241;281;341},1),"North","NorthEast","East","SouthEast","South","SouthWest","West","NorthWest","North")</f>
        <v>North</v>
      </c>
      <c r="AA700" s="4">
        <f>CHOOSE(MATCH(Z700,{"South";"SouthEast";"SouthWest";"North";"NorthEast";"East";"West";"NorthWest"},0),1,2,3,4,5,6,7,8)</f>
        <v>4</v>
      </c>
      <c r="AB700" s="2">
        <f t="shared" si="106"/>
        <v>1</v>
      </c>
      <c r="AC700">
        <v>1026.9000000000001</v>
      </c>
      <c r="AD700" t="s">
        <v>708</v>
      </c>
      <c r="AE700" s="2">
        <f t="shared" si="107"/>
        <v>1</v>
      </c>
      <c r="AF700" t="s">
        <v>1066</v>
      </c>
      <c r="AG700" s="2">
        <f t="shared" si="108"/>
        <v>12</v>
      </c>
      <c r="AH700" s="2">
        <f t="shared" si="109"/>
        <v>0</v>
      </c>
      <c r="AI700" s="3">
        <v>1000.000000001164</v>
      </c>
      <c r="AJ700" s="2">
        <v>1</v>
      </c>
      <c r="AK700">
        <v>0</v>
      </c>
      <c r="AL700">
        <v>2</v>
      </c>
      <c r="AM700">
        <v>0</v>
      </c>
      <c r="AN700" s="2">
        <f>IF((2*G700+M700-O700+3*V700+2*AB700+2*AE700+2*AH700+3*AJ700)&gt;=7,1,0)</f>
        <v>1</v>
      </c>
    </row>
    <row r="701" spans="1:40" x14ac:dyDescent="0.25">
      <c r="A701" t="s">
        <v>27</v>
      </c>
      <c r="B701" s="1">
        <v>39076</v>
      </c>
      <c r="C701" s="6">
        <f t="shared" si="100"/>
        <v>2006</v>
      </c>
      <c r="D701">
        <v>57.3</v>
      </c>
      <c r="E701">
        <v>50.1</v>
      </c>
      <c r="F701">
        <v>53.8</v>
      </c>
      <c r="G701" s="2">
        <f t="shared" si="101"/>
        <v>0</v>
      </c>
      <c r="H701">
        <v>57.3</v>
      </c>
      <c r="I701">
        <v>50.1</v>
      </c>
      <c r="J701">
        <v>53.8</v>
      </c>
      <c r="K701">
        <v>43.1</v>
      </c>
      <c r="L701">
        <v>67.5</v>
      </c>
      <c r="M701" s="2">
        <f t="shared" si="102"/>
        <v>0</v>
      </c>
      <c r="N701">
        <v>0</v>
      </c>
      <c r="O701" s="2">
        <f t="shared" si="103"/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 s="2">
        <f t="shared" si="104"/>
        <v>0</v>
      </c>
      <c r="W701">
        <v>11.4</v>
      </c>
      <c r="X701" s="2">
        <f t="shared" si="105"/>
        <v>0</v>
      </c>
      <c r="Y701">
        <v>4.4000000000000004</v>
      </c>
      <c r="Z701" s="2" t="str">
        <f>CHOOSE(MATCH(Y701,{0;11;80;111;161;191;241;281;341},1),"North","NorthEast","East","SouthEast","South","SouthWest","West","NorthWest","North")</f>
        <v>North</v>
      </c>
      <c r="AA701" s="4">
        <f>CHOOSE(MATCH(Z701,{"South";"SouthEast";"SouthWest";"North";"NorthEast";"East";"West";"NorthWest"},0),1,2,3,4,5,6,7,8)</f>
        <v>4</v>
      </c>
      <c r="AB701" s="2">
        <f t="shared" si="106"/>
        <v>1</v>
      </c>
      <c r="AC701">
        <v>1019.2</v>
      </c>
      <c r="AD701" t="s">
        <v>1067</v>
      </c>
      <c r="AE701" s="2">
        <f t="shared" si="107"/>
        <v>1</v>
      </c>
      <c r="AF701" t="s">
        <v>1068</v>
      </c>
      <c r="AG701" s="2">
        <f t="shared" si="108"/>
        <v>12</v>
      </c>
      <c r="AH701" s="2">
        <f t="shared" si="109"/>
        <v>0</v>
      </c>
      <c r="AI701" s="3">
        <v>75.00000000349246</v>
      </c>
      <c r="AJ701" s="2">
        <v>0</v>
      </c>
      <c r="AK701">
        <v>0</v>
      </c>
      <c r="AL701">
        <v>1</v>
      </c>
      <c r="AM701">
        <v>0</v>
      </c>
      <c r="AN701" s="2">
        <f>IF((2*G701+M701-O701+3*V701+2*AB701+2*AE701+2*AH701+3*AJ701)&gt;=7,1,0)</f>
        <v>0</v>
      </c>
    </row>
    <row r="702" spans="1:40" x14ac:dyDescent="0.25">
      <c r="A702" t="s">
        <v>27</v>
      </c>
      <c r="B702" s="1">
        <v>39101</v>
      </c>
      <c r="C702" s="6">
        <f t="shared" si="100"/>
        <v>2007</v>
      </c>
      <c r="D702">
        <v>64.5</v>
      </c>
      <c r="E702">
        <v>51.9</v>
      </c>
      <c r="F702">
        <v>57</v>
      </c>
      <c r="G702" s="2">
        <f t="shared" si="101"/>
        <v>0</v>
      </c>
      <c r="H702">
        <v>64.5</v>
      </c>
      <c r="I702">
        <v>51.9</v>
      </c>
      <c r="J702">
        <v>57</v>
      </c>
      <c r="K702">
        <v>48.1</v>
      </c>
      <c r="L702">
        <v>72.900000000000006</v>
      </c>
      <c r="M702" s="2">
        <f t="shared" si="102"/>
        <v>0</v>
      </c>
      <c r="N702">
        <v>0</v>
      </c>
      <c r="O702" s="2">
        <f t="shared" si="103"/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 s="2">
        <f t="shared" si="104"/>
        <v>0</v>
      </c>
      <c r="W702">
        <v>8.1</v>
      </c>
      <c r="X702" s="2">
        <f t="shared" si="105"/>
        <v>0</v>
      </c>
      <c r="Y702">
        <v>214.6</v>
      </c>
      <c r="Z702" s="2" t="str">
        <f>CHOOSE(MATCH(Y702,{0;11;80;111;161;191;241;281;341},1),"North","NorthEast","East","SouthEast","South","SouthWest","West","NorthWest","North")</f>
        <v>SouthWest</v>
      </c>
      <c r="AA702" s="4">
        <f>CHOOSE(MATCH(Z702,{"South";"SouthEast";"SouthWest";"North";"NorthEast";"East";"West";"NorthWest"},0),1,2,3,4,5,6,7,8)</f>
        <v>3</v>
      </c>
      <c r="AB702" s="2">
        <f t="shared" si="106"/>
        <v>0</v>
      </c>
      <c r="AC702">
        <v>1019.6</v>
      </c>
      <c r="AD702" t="s">
        <v>1069</v>
      </c>
      <c r="AE702" s="2">
        <f t="shared" si="107"/>
        <v>1</v>
      </c>
      <c r="AF702" t="s">
        <v>1070</v>
      </c>
      <c r="AG702" s="2">
        <f t="shared" si="108"/>
        <v>1</v>
      </c>
      <c r="AH702" s="2">
        <f t="shared" si="109"/>
        <v>0</v>
      </c>
      <c r="AI702" s="3">
        <v>174.99999999417921</v>
      </c>
      <c r="AJ702" s="2">
        <v>0</v>
      </c>
      <c r="AK702">
        <v>0</v>
      </c>
      <c r="AL702">
        <v>3</v>
      </c>
      <c r="AM702">
        <v>0</v>
      </c>
      <c r="AN702" s="2">
        <f>IF((2*G702+M702-O702+3*V702+2*AB702+2*AE702+2*AH702+3*AJ702)&gt;=7,1,0)</f>
        <v>0</v>
      </c>
    </row>
    <row r="703" spans="1:40" x14ac:dyDescent="0.25">
      <c r="A703" t="s">
        <v>27</v>
      </c>
      <c r="B703" s="1">
        <v>39102</v>
      </c>
      <c r="C703" s="6">
        <f t="shared" si="100"/>
        <v>2007</v>
      </c>
      <c r="D703">
        <v>64.5</v>
      </c>
      <c r="E703">
        <v>50.1</v>
      </c>
      <c r="F703">
        <v>58.7</v>
      </c>
      <c r="G703" s="2">
        <f t="shared" si="101"/>
        <v>0</v>
      </c>
      <c r="H703">
        <v>64.5</v>
      </c>
      <c r="I703">
        <v>50.1</v>
      </c>
      <c r="J703">
        <v>58.7</v>
      </c>
      <c r="K703">
        <v>46.2</v>
      </c>
      <c r="L703">
        <v>64.099999999999994</v>
      </c>
      <c r="M703" s="2">
        <f t="shared" si="102"/>
        <v>1</v>
      </c>
      <c r="N703">
        <v>0</v>
      </c>
      <c r="O703" s="2">
        <f t="shared" si="103"/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s="2">
        <f t="shared" si="104"/>
        <v>0</v>
      </c>
      <c r="W703">
        <v>16.100000000000001</v>
      </c>
      <c r="X703" s="2">
        <f t="shared" si="105"/>
        <v>1</v>
      </c>
      <c r="Y703">
        <v>315.60000000000002</v>
      </c>
      <c r="Z703" s="2" t="str">
        <f>CHOOSE(MATCH(Y703,{0;11;80;111;161;191;241;281;341},1),"North","NorthEast","East","SouthEast","South","SouthWest","West","NorthWest","North")</f>
        <v>NorthWest</v>
      </c>
      <c r="AA703" s="4">
        <f>CHOOSE(MATCH(Z703,{"South";"SouthEast";"SouthWest";"North";"NorthEast";"East";"West";"NorthWest"},0),1,2,3,4,5,6,7,8)</f>
        <v>8</v>
      </c>
      <c r="AB703" s="2">
        <f t="shared" si="106"/>
        <v>1</v>
      </c>
      <c r="AC703">
        <v>1017.6</v>
      </c>
      <c r="AD703" t="s">
        <v>1071</v>
      </c>
      <c r="AE703" s="2">
        <f t="shared" si="107"/>
        <v>0</v>
      </c>
      <c r="AF703" t="s">
        <v>1072</v>
      </c>
      <c r="AG703" s="2">
        <f t="shared" si="108"/>
        <v>1</v>
      </c>
      <c r="AH703" s="2">
        <f t="shared" si="109"/>
        <v>0</v>
      </c>
      <c r="AI703" s="3">
        <v>69.999999997671694</v>
      </c>
      <c r="AJ703" s="2">
        <v>0</v>
      </c>
      <c r="AK703">
        <v>0</v>
      </c>
      <c r="AL703">
        <v>0.01</v>
      </c>
      <c r="AM703">
        <v>0</v>
      </c>
      <c r="AN703" s="2">
        <f>IF((2*G703+M703-O703+3*V703+2*AB703+2*AE703+2*AH703+3*AJ703)&gt;=7,1,0)</f>
        <v>0</v>
      </c>
    </row>
    <row r="704" spans="1:40" x14ac:dyDescent="0.25">
      <c r="A704" t="s">
        <v>27</v>
      </c>
      <c r="B704" s="1">
        <v>39108</v>
      </c>
      <c r="C704" s="6">
        <f t="shared" si="100"/>
        <v>2007</v>
      </c>
      <c r="D704">
        <v>69.900000000000006</v>
      </c>
      <c r="E704">
        <v>57.3</v>
      </c>
      <c r="F704">
        <v>62.6</v>
      </c>
      <c r="G704" s="2">
        <f t="shared" si="101"/>
        <v>0</v>
      </c>
      <c r="H704">
        <v>69.900000000000006</v>
      </c>
      <c r="I704">
        <v>57.3</v>
      </c>
      <c r="J704">
        <v>62.6</v>
      </c>
      <c r="K704">
        <v>41.4</v>
      </c>
      <c r="L704">
        <v>47.8</v>
      </c>
      <c r="M704" s="2">
        <f t="shared" si="102"/>
        <v>1</v>
      </c>
      <c r="N704">
        <v>0</v>
      </c>
      <c r="O704" s="2">
        <f t="shared" si="103"/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s="2">
        <f t="shared" si="104"/>
        <v>0</v>
      </c>
      <c r="W704">
        <v>24.2</v>
      </c>
      <c r="X704" s="2">
        <f t="shared" si="105"/>
        <v>1</v>
      </c>
      <c r="Y704">
        <v>171.2</v>
      </c>
      <c r="Z704" s="2" t="str">
        <f>CHOOSE(MATCH(Y704,{0;11;80;111;161;191;241;281;341},1),"North","NorthEast","East","SouthEast","South","SouthWest","West","NorthWest","North")</f>
        <v>South</v>
      </c>
      <c r="AA704" s="4">
        <f>CHOOSE(MATCH(Z704,{"South";"SouthEast";"SouthWest";"North";"NorthEast";"East";"West";"NorthWest"},0),1,2,3,4,5,6,7,8)</f>
        <v>1</v>
      </c>
      <c r="AB704" s="2">
        <f t="shared" si="106"/>
        <v>0</v>
      </c>
      <c r="AC704">
        <v>1017.7</v>
      </c>
      <c r="AD704" t="s">
        <v>1073</v>
      </c>
      <c r="AE704" s="2">
        <f t="shared" si="107"/>
        <v>1</v>
      </c>
      <c r="AF704" t="s">
        <v>1074</v>
      </c>
      <c r="AG704" s="2">
        <f t="shared" si="108"/>
        <v>1</v>
      </c>
      <c r="AH704" s="2">
        <f t="shared" si="109"/>
        <v>0</v>
      </c>
      <c r="AI704" s="3">
        <v>169.99999999883579</v>
      </c>
      <c r="AJ704" s="2">
        <v>0</v>
      </c>
      <c r="AK704">
        <v>0</v>
      </c>
      <c r="AL704">
        <v>2</v>
      </c>
      <c r="AM704">
        <v>0</v>
      </c>
      <c r="AN704" s="2">
        <f>IF((2*G704+M704-O704+3*V704+2*AB704+2*AE704+2*AH704+3*AJ704)&gt;=7,1,0)</f>
        <v>0</v>
      </c>
    </row>
    <row r="705" spans="1:40" x14ac:dyDescent="0.25">
      <c r="A705" t="s">
        <v>27</v>
      </c>
      <c r="B705" s="1">
        <v>39110</v>
      </c>
      <c r="C705" s="6">
        <f t="shared" si="100"/>
        <v>2007</v>
      </c>
      <c r="D705">
        <v>68.099999999999994</v>
      </c>
      <c r="E705">
        <v>48.3</v>
      </c>
      <c r="F705">
        <v>55.6</v>
      </c>
      <c r="G705" s="2">
        <f t="shared" si="101"/>
        <v>0</v>
      </c>
      <c r="H705">
        <v>68.099999999999994</v>
      </c>
      <c r="I705">
        <v>40.6</v>
      </c>
      <c r="J705">
        <v>53.9</v>
      </c>
      <c r="K705">
        <v>35.799999999999997</v>
      </c>
      <c r="L705">
        <v>47.7</v>
      </c>
      <c r="M705" s="2">
        <f t="shared" si="102"/>
        <v>1</v>
      </c>
      <c r="N705">
        <v>0</v>
      </c>
      <c r="O705" s="2">
        <f t="shared" si="103"/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s="2">
        <f t="shared" si="104"/>
        <v>0</v>
      </c>
      <c r="W705">
        <v>28.9</v>
      </c>
      <c r="X705" s="2">
        <f t="shared" si="105"/>
        <v>1</v>
      </c>
      <c r="Y705">
        <v>328.3</v>
      </c>
      <c r="Z705" s="2" t="str">
        <f>CHOOSE(MATCH(Y705,{0;11;80;111;161;191;241;281;341},1),"North","NorthEast","East","SouthEast","South","SouthWest","West","NorthWest","North")</f>
        <v>NorthWest</v>
      </c>
      <c r="AA705" s="4">
        <f>CHOOSE(MATCH(Z705,{"South";"SouthEast";"SouthWest";"North";"NorthEast";"East";"West";"NorthWest"},0),1,2,3,4,5,6,7,8)</f>
        <v>8</v>
      </c>
      <c r="AB705" s="2">
        <f t="shared" si="106"/>
        <v>1</v>
      </c>
      <c r="AC705">
        <v>1018.4</v>
      </c>
      <c r="AD705" t="s">
        <v>1075</v>
      </c>
      <c r="AE705" s="2">
        <f t="shared" si="107"/>
        <v>1</v>
      </c>
      <c r="AF705" t="s">
        <v>1076</v>
      </c>
      <c r="AG705" s="2">
        <f t="shared" si="108"/>
        <v>1</v>
      </c>
      <c r="AH705" s="2">
        <f t="shared" si="109"/>
        <v>0</v>
      </c>
      <c r="AI705" s="3">
        <v>1540.0000000011639</v>
      </c>
      <c r="AJ705" s="2">
        <v>1</v>
      </c>
      <c r="AK705">
        <v>0</v>
      </c>
      <c r="AL705">
        <v>60</v>
      </c>
      <c r="AM705">
        <v>0</v>
      </c>
      <c r="AN705" s="2">
        <f>IF((2*G705+M705-O705+3*V705+2*AB705+2*AE705+2*AH705+3*AJ705)&gt;=7,1,0)</f>
        <v>1</v>
      </c>
    </row>
    <row r="706" spans="1:40" x14ac:dyDescent="0.25">
      <c r="A706" t="s">
        <v>27</v>
      </c>
      <c r="B706" s="1">
        <v>39111</v>
      </c>
      <c r="C706" s="6">
        <f t="shared" si="100"/>
        <v>2007</v>
      </c>
      <c r="D706">
        <v>57.3</v>
      </c>
      <c r="E706">
        <v>42.9</v>
      </c>
      <c r="F706">
        <v>51.5</v>
      </c>
      <c r="G706" s="2">
        <f t="shared" si="101"/>
        <v>0</v>
      </c>
      <c r="H706">
        <v>57.3</v>
      </c>
      <c r="I706">
        <v>38.700000000000003</v>
      </c>
      <c r="J706">
        <v>50</v>
      </c>
      <c r="K706">
        <v>35</v>
      </c>
      <c r="L706">
        <v>53.6</v>
      </c>
      <c r="M706" s="2">
        <f t="shared" si="102"/>
        <v>1</v>
      </c>
      <c r="N706">
        <v>0</v>
      </c>
      <c r="O706" s="2">
        <f t="shared" si="103"/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 s="2">
        <f t="shared" si="104"/>
        <v>0</v>
      </c>
      <c r="W706">
        <v>18.3</v>
      </c>
      <c r="X706" s="2">
        <f t="shared" si="105"/>
        <v>1</v>
      </c>
      <c r="Y706">
        <v>293.7</v>
      </c>
      <c r="Z706" s="2" t="str">
        <f>CHOOSE(MATCH(Y706,{0;11;80;111;161;191;241;281;341},1),"North","NorthEast","East","SouthEast","South","SouthWest","West","NorthWest","North")</f>
        <v>NorthWest</v>
      </c>
      <c r="AA706" s="4">
        <f>CHOOSE(MATCH(Z706,{"South";"SouthEast";"SouthWest";"North";"NorthEast";"East";"West";"NorthWest"},0),1,2,3,4,5,6,7,8)</f>
        <v>8</v>
      </c>
      <c r="AB706" s="2">
        <f t="shared" si="106"/>
        <v>1</v>
      </c>
      <c r="AC706">
        <v>1019.2</v>
      </c>
      <c r="AD706" t="s">
        <v>1077</v>
      </c>
      <c r="AE706" s="2">
        <f t="shared" si="107"/>
        <v>1</v>
      </c>
      <c r="AF706" t="s">
        <v>1078</v>
      </c>
      <c r="AG706" s="2">
        <f t="shared" si="108"/>
        <v>1</v>
      </c>
      <c r="AH706" s="2">
        <f t="shared" si="109"/>
        <v>0</v>
      </c>
      <c r="AI706" s="3">
        <v>50.000000005820773</v>
      </c>
      <c r="AJ706" s="2">
        <v>0</v>
      </c>
      <c r="AK706">
        <v>0</v>
      </c>
      <c r="AL706">
        <v>0.2</v>
      </c>
      <c r="AM706">
        <v>0</v>
      </c>
      <c r="AN706" s="2">
        <f>IF((2*G706+M706-O706+3*V706+2*AB706+2*AE706+2*AH706+3*AJ706)&gt;=7,1,0)</f>
        <v>0</v>
      </c>
    </row>
    <row r="707" spans="1:40" x14ac:dyDescent="0.25">
      <c r="A707" t="s">
        <v>27</v>
      </c>
      <c r="B707" s="1">
        <v>39111</v>
      </c>
      <c r="C707" s="6">
        <f t="shared" ref="C707:C770" si="110">YEAR(B707)</f>
        <v>2007</v>
      </c>
      <c r="D707">
        <v>57.3</v>
      </c>
      <c r="E707">
        <v>42.9</v>
      </c>
      <c r="F707">
        <v>51.5</v>
      </c>
      <c r="G707" s="2">
        <f t="shared" ref="G707:G770" si="111">IF(F707&lt;=70,0,1)</f>
        <v>0</v>
      </c>
      <c r="H707">
        <v>57.3</v>
      </c>
      <c r="I707">
        <v>38.700000000000003</v>
      </c>
      <c r="J707">
        <v>50</v>
      </c>
      <c r="K707">
        <v>35</v>
      </c>
      <c r="L707">
        <v>53.6</v>
      </c>
      <c r="M707" s="2">
        <f t="shared" ref="M707:M770" si="112">IF(L707&lt;=66,1,0)</f>
        <v>1</v>
      </c>
      <c r="N707">
        <v>0</v>
      </c>
      <c r="O707" s="2">
        <f t="shared" ref="O707:O770" si="113">IF(N707&lt;=0.01,1,0)</f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s="2">
        <f t="shared" ref="V707:V770" si="114">IF(U707&lt;=9,0,1)</f>
        <v>0</v>
      </c>
      <c r="W707">
        <v>18.3</v>
      </c>
      <c r="X707" s="2">
        <f t="shared" ref="X707:X770" si="115">IF(W707&gt;=16,1,0)</f>
        <v>1</v>
      </c>
      <c r="Y707">
        <v>293.7</v>
      </c>
      <c r="Z707" s="2" t="str">
        <f>CHOOSE(MATCH(Y707,{0;11;80;111;161;191;241;281;341},1),"North","NorthEast","East","SouthEast","South","SouthWest","West","NorthWest","North")</f>
        <v>NorthWest</v>
      </c>
      <c r="AA707" s="4">
        <f>CHOOSE(MATCH(Z707,{"South";"SouthEast";"SouthWest";"North";"NorthEast";"East";"West";"NorthWest"},0),1,2,3,4,5,6,7,8)</f>
        <v>8</v>
      </c>
      <c r="AB707" s="2">
        <f t="shared" ref="AB707:AB770" si="116">IF(OR(AA707=4,AA707=5,AA707=8),1,0)</f>
        <v>1</v>
      </c>
      <c r="AC707">
        <v>1019.2</v>
      </c>
      <c r="AD707" t="s">
        <v>1079</v>
      </c>
      <c r="AE707" s="2">
        <f t="shared" ref="AE707:AE770" si="117">IF(TIMEVALUE(AD707)&lt;=TIME(12,30,0),0,1)</f>
        <v>1</v>
      </c>
      <c r="AF707" t="s">
        <v>1080</v>
      </c>
      <c r="AG707" s="2">
        <f t="shared" ref="AG707:AG770" si="118">MONTH(AF707)</f>
        <v>1</v>
      </c>
      <c r="AH707" s="2">
        <f t="shared" ref="AH707:AH770" si="119">IF(OR(AG707=6,AG707=7,AG707=8),1,0)</f>
        <v>0</v>
      </c>
      <c r="AI707" s="3">
        <v>65.000000002328306</v>
      </c>
      <c r="AJ707" s="2">
        <v>0</v>
      </c>
      <c r="AK707">
        <v>0</v>
      </c>
      <c r="AL707">
        <v>1</v>
      </c>
      <c r="AM707">
        <v>0</v>
      </c>
      <c r="AN707" s="2">
        <f>IF((2*G707+M707-O707+3*V707+2*AB707+2*AE707+2*AH707+3*AJ707)&gt;=7,1,0)</f>
        <v>0</v>
      </c>
    </row>
    <row r="708" spans="1:40" x14ac:dyDescent="0.25">
      <c r="A708" t="s">
        <v>27</v>
      </c>
      <c r="B708" s="1">
        <v>39111</v>
      </c>
      <c r="C708" s="6">
        <f t="shared" si="110"/>
        <v>2007</v>
      </c>
      <c r="D708">
        <v>57.3</v>
      </c>
      <c r="E708">
        <v>42.9</v>
      </c>
      <c r="F708">
        <v>51.5</v>
      </c>
      <c r="G708" s="2">
        <f t="shared" si="111"/>
        <v>0</v>
      </c>
      <c r="H708">
        <v>57.3</v>
      </c>
      <c r="I708">
        <v>38.700000000000003</v>
      </c>
      <c r="J708">
        <v>50</v>
      </c>
      <c r="K708">
        <v>35</v>
      </c>
      <c r="L708">
        <v>53.6</v>
      </c>
      <c r="M708" s="2">
        <f t="shared" si="112"/>
        <v>1</v>
      </c>
      <c r="N708">
        <v>0</v>
      </c>
      <c r="O708" s="2">
        <f t="shared" si="113"/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 s="2">
        <f t="shared" si="114"/>
        <v>0</v>
      </c>
      <c r="W708">
        <v>18.3</v>
      </c>
      <c r="X708" s="2">
        <f t="shared" si="115"/>
        <v>1</v>
      </c>
      <c r="Y708">
        <v>293.7</v>
      </c>
      <c r="Z708" s="2" t="str">
        <f>CHOOSE(MATCH(Y708,{0;11;80;111;161;191;241;281;341},1),"North","NorthEast","East","SouthEast","South","SouthWest","West","NorthWest","North")</f>
        <v>NorthWest</v>
      </c>
      <c r="AA708" s="4">
        <f>CHOOSE(MATCH(Z708,{"South";"SouthEast";"SouthWest";"North";"NorthEast";"East";"West";"NorthWest"},0),1,2,3,4,5,6,7,8)</f>
        <v>8</v>
      </c>
      <c r="AB708" s="2">
        <f t="shared" si="116"/>
        <v>1</v>
      </c>
      <c r="AC708">
        <v>1019.2</v>
      </c>
      <c r="AD708" t="s">
        <v>1081</v>
      </c>
      <c r="AE708" s="2">
        <f t="shared" si="117"/>
        <v>0</v>
      </c>
      <c r="AF708" t="s">
        <v>1082</v>
      </c>
      <c r="AG708" s="2">
        <f t="shared" si="118"/>
        <v>1</v>
      </c>
      <c r="AH708" s="2">
        <f t="shared" si="119"/>
        <v>0</v>
      </c>
      <c r="AI708" s="3">
        <v>130.99999999743889</v>
      </c>
      <c r="AJ708" s="2">
        <v>0</v>
      </c>
      <c r="AK708">
        <v>0</v>
      </c>
      <c r="AL708">
        <v>1</v>
      </c>
      <c r="AM708">
        <v>0</v>
      </c>
      <c r="AN708" s="2">
        <f>IF((2*G708+M708-O708+3*V708+2*AB708+2*AE708+2*AH708+3*AJ708)&gt;=7,1,0)</f>
        <v>0</v>
      </c>
    </row>
    <row r="709" spans="1:40" x14ac:dyDescent="0.25">
      <c r="A709" t="s">
        <v>27</v>
      </c>
      <c r="B709" s="1">
        <v>39112</v>
      </c>
      <c r="C709" s="6">
        <f t="shared" si="110"/>
        <v>2007</v>
      </c>
      <c r="D709">
        <v>59.1</v>
      </c>
      <c r="E709">
        <v>44.7</v>
      </c>
      <c r="F709">
        <v>55.6</v>
      </c>
      <c r="G709" s="2">
        <f t="shared" si="111"/>
        <v>0</v>
      </c>
      <c r="H709">
        <v>59.1</v>
      </c>
      <c r="I709">
        <v>41.5</v>
      </c>
      <c r="J709">
        <v>55.4</v>
      </c>
      <c r="K709">
        <v>38.4</v>
      </c>
      <c r="L709">
        <v>52.9</v>
      </c>
      <c r="M709" s="2">
        <f t="shared" si="112"/>
        <v>1</v>
      </c>
      <c r="N709">
        <v>0</v>
      </c>
      <c r="O709" s="2">
        <f t="shared" si="113"/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s="2">
        <f t="shared" si="114"/>
        <v>0</v>
      </c>
      <c r="W709">
        <v>24.2</v>
      </c>
      <c r="X709" s="2">
        <f t="shared" si="115"/>
        <v>1</v>
      </c>
      <c r="Y709">
        <v>326</v>
      </c>
      <c r="Z709" s="2" t="str">
        <f>CHOOSE(MATCH(Y709,{0;11;80;111;161;191;241;281;341},1),"North","NorthEast","East","SouthEast","South","SouthWest","West","NorthWest","North")</f>
        <v>NorthWest</v>
      </c>
      <c r="AA709" s="4">
        <f>CHOOSE(MATCH(Z709,{"South";"SouthEast";"SouthWest";"North";"NorthEast";"East";"West";"NorthWest"},0),1,2,3,4,5,6,7,8)</f>
        <v>8</v>
      </c>
      <c r="AB709" s="2">
        <f t="shared" si="116"/>
        <v>1</v>
      </c>
      <c r="AC709">
        <v>1016.9</v>
      </c>
      <c r="AD709" t="s">
        <v>1083</v>
      </c>
      <c r="AE709" s="2">
        <f t="shared" si="117"/>
        <v>1</v>
      </c>
      <c r="AF709" t="s">
        <v>1084</v>
      </c>
      <c r="AG709" s="2">
        <f t="shared" si="118"/>
        <v>1</v>
      </c>
      <c r="AH709" s="2">
        <f t="shared" si="119"/>
        <v>0</v>
      </c>
      <c r="AI709" s="3">
        <v>140.99999999860299</v>
      </c>
      <c r="AJ709" s="2">
        <v>0</v>
      </c>
      <c r="AK709">
        <v>0</v>
      </c>
      <c r="AL709">
        <v>2</v>
      </c>
      <c r="AM709">
        <v>0</v>
      </c>
      <c r="AN709" s="2">
        <f>IF((2*G709+M709-O709+3*V709+2*AB709+2*AE709+2*AH709+3*AJ709)&gt;=7,1,0)</f>
        <v>0</v>
      </c>
    </row>
    <row r="710" spans="1:40" x14ac:dyDescent="0.25">
      <c r="A710" t="s">
        <v>27</v>
      </c>
      <c r="B710" s="1">
        <v>39114</v>
      </c>
      <c r="C710" s="6">
        <f t="shared" si="110"/>
        <v>2007</v>
      </c>
      <c r="D710">
        <v>66.3</v>
      </c>
      <c r="E710">
        <v>42.9</v>
      </c>
      <c r="F710">
        <v>53.5</v>
      </c>
      <c r="G710" s="2">
        <f t="shared" si="111"/>
        <v>0</v>
      </c>
      <c r="H710">
        <v>66.3</v>
      </c>
      <c r="I710">
        <v>37.6</v>
      </c>
      <c r="J710">
        <v>52.1</v>
      </c>
      <c r="K710">
        <v>41.9</v>
      </c>
      <c r="L710">
        <v>65.8</v>
      </c>
      <c r="M710" s="2">
        <f t="shared" si="112"/>
        <v>1</v>
      </c>
      <c r="N710">
        <v>0</v>
      </c>
      <c r="O710" s="2">
        <f t="shared" si="113"/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 s="2">
        <f t="shared" si="114"/>
        <v>0</v>
      </c>
      <c r="W710">
        <v>19.5</v>
      </c>
      <c r="X710" s="2">
        <f t="shared" si="115"/>
        <v>1</v>
      </c>
      <c r="Y710">
        <v>183</v>
      </c>
      <c r="Z710" s="2" t="str">
        <f>CHOOSE(MATCH(Y710,{0;11;80;111;161;191;241;281;341},1),"North","NorthEast","East","SouthEast","South","SouthWest","West","NorthWest","North")</f>
        <v>South</v>
      </c>
      <c r="AA710" s="4">
        <f>CHOOSE(MATCH(Z710,{"South";"SouthEast";"SouthWest";"North";"NorthEast";"East";"West";"NorthWest"},0),1,2,3,4,5,6,7,8)</f>
        <v>1</v>
      </c>
      <c r="AB710" s="2">
        <f t="shared" si="116"/>
        <v>0</v>
      </c>
      <c r="AC710">
        <v>1019.8</v>
      </c>
      <c r="AD710" t="s">
        <v>1085</v>
      </c>
      <c r="AE710" s="2">
        <f t="shared" si="117"/>
        <v>1</v>
      </c>
      <c r="AF710" t="s">
        <v>1086</v>
      </c>
      <c r="AG710" s="2">
        <f t="shared" si="118"/>
        <v>2</v>
      </c>
      <c r="AH710" s="2">
        <f t="shared" si="119"/>
        <v>0</v>
      </c>
      <c r="AI710" s="3">
        <v>429.99999999767169</v>
      </c>
      <c r="AJ710" s="2">
        <v>1</v>
      </c>
      <c r="AK710">
        <v>0</v>
      </c>
      <c r="AL710">
        <v>5</v>
      </c>
      <c r="AM710">
        <v>0</v>
      </c>
      <c r="AN710" s="2">
        <f>IF((2*G710+M710-O710+3*V710+2*AB710+2*AE710+2*AH710+3*AJ710)&gt;=7,1,0)</f>
        <v>0</v>
      </c>
    </row>
    <row r="711" spans="1:40" x14ac:dyDescent="0.25">
      <c r="A711" t="s">
        <v>27</v>
      </c>
      <c r="B711" s="1">
        <v>39131</v>
      </c>
      <c r="C711" s="6">
        <f t="shared" si="110"/>
        <v>2007</v>
      </c>
      <c r="D711">
        <v>55.5</v>
      </c>
      <c r="E711">
        <v>50.1</v>
      </c>
      <c r="F711">
        <v>54.2</v>
      </c>
      <c r="G711" s="2">
        <f t="shared" si="111"/>
        <v>0</v>
      </c>
      <c r="H711">
        <v>55.5</v>
      </c>
      <c r="I711">
        <v>50.1</v>
      </c>
      <c r="J711">
        <v>54.2</v>
      </c>
      <c r="K711">
        <v>44.5</v>
      </c>
      <c r="L711">
        <v>70</v>
      </c>
      <c r="M711" s="2">
        <f t="shared" si="112"/>
        <v>0</v>
      </c>
      <c r="N711">
        <v>0</v>
      </c>
      <c r="O711" s="2">
        <f t="shared" si="113"/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 s="2">
        <f t="shared" si="114"/>
        <v>0</v>
      </c>
      <c r="W711">
        <v>32.200000000000003</v>
      </c>
      <c r="X711" s="2">
        <f t="shared" si="115"/>
        <v>1</v>
      </c>
      <c r="Y711">
        <v>329.8</v>
      </c>
      <c r="Z711" s="2" t="str">
        <f>CHOOSE(MATCH(Y711,{0;11;80;111;161;191;241;281;341},1),"North","NorthEast","East","SouthEast","South","SouthWest","West","NorthWest","North")</f>
        <v>NorthWest</v>
      </c>
      <c r="AA711" s="4">
        <f>CHOOSE(MATCH(Z711,{"South";"SouthEast";"SouthWest";"North";"NorthEast";"East";"West";"NorthWest"},0),1,2,3,4,5,6,7,8)</f>
        <v>8</v>
      </c>
      <c r="AB711" s="2">
        <f t="shared" si="116"/>
        <v>1</v>
      </c>
      <c r="AC711">
        <v>1019.8</v>
      </c>
      <c r="AD711" t="s">
        <v>1087</v>
      </c>
      <c r="AE711" s="2">
        <f t="shared" si="117"/>
        <v>0</v>
      </c>
      <c r="AF711" t="s">
        <v>1088</v>
      </c>
      <c r="AG711" s="2">
        <f t="shared" si="118"/>
        <v>2</v>
      </c>
      <c r="AH711" s="2">
        <f t="shared" si="119"/>
        <v>0</v>
      </c>
      <c r="AI711" s="3">
        <v>99.999999990686774</v>
      </c>
      <c r="AJ711" s="2">
        <v>0</v>
      </c>
      <c r="AK711">
        <v>0</v>
      </c>
      <c r="AL711">
        <v>0.01</v>
      </c>
      <c r="AM711">
        <v>0</v>
      </c>
      <c r="AN711" s="2">
        <f>IF((2*G711+M711-O711+3*V711+2*AB711+2*AE711+2*AH711+3*AJ711)&gt;=7,1,0)</f>
        <v>0</v>
      </c>
    </row>
    <row r="712" spans="1:40" x14ac:dyDescent="0.25">
      <c r="A712" t="s">
        <v>27</v>
      </c>
      <c r="B712" s="1">
        <v>39144</v>
      </c>
      <c r="C712" s="6">
        <f t="shared" si="110"/>
        <v>2007</v>
      </c>
      <c r="D712">
        <v>68.099999999999994</v>
      </c>
      <c r="E712">
        <v>55.5</v>
      </c>
      <c r="F712">
        <v>60.9</v>
      </c>
      <c r="G712" s="2">
        <f t="shared" si="111"/>
        <v>0</v>
      </c>
      <c r="H712">
        <v>68.099999999999994</v>
      </c>
      <c r="I712">
        <v>55.5</v>
      </c>
      <c r="J712">
        <v>60.9</v>
      </c>
      <c r="K712">
        <v>50.2</v>
      </c>
      <c r="L712">
        <v>69</v>
      </c>
      <c r="M712" s="2">
        <f t="shared" si="112"/>
        <v>0</v>
      </c>
      <c r="N712">
        <v>0</v>
      </c>
      <c r="O712" s="2">
        <f t="shared" si="113"/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s="2">
        <f t="shared" si="114"/>
        <v>0</v>
      </c>
      <c r="W712">
        <v>13.9</v>
      </c>
      <c r="X712" s="2">
        <f t="shared" si="115"/>
        <v>0</v>
      </c>
      <c r="Y712">
        <v>171.6</v>
      </c>
      <c r="Z712" s="2" t="str">
        <f>CHOOSE(MATCH(Y712,{0;11;80;111;161;191;241;281;341},1),"North","NorthEast","East","SouthEast","South","SouthWest","West","NorthWest","North")</f>
        <v>South</v>
      </c>
      <c r="AA712" s="4">
        <f>CHOOSE(MATCH(Z712,{"South";"SouthEast";"SouthWest";"North";"NorthEast";"East";"West";"NorthWest"},0),1,2,3,4,5,6,7,8)</f>
        <v>1</v>
      </c>
      <c r="AB712" s="2">
        <f t="shared" si="116"/>
        <v>0</v>
      </c>
      <c r="AC712">
        <v>1015.7</v>
      </c>
      <c r="AD712" t="s">
        <v>1089</v>
      </c>
      <c r="AE712" s="2">
        <f t="shared" si="117"/>
        <v>1</v>
      </c>
      <c r="AF712" t="s">
        <v>1090</v>
      </c>
      <c r="AG712" s="2">
        <f t="shared" si="118"/>
        <v>3</v>
      </c>
      <c r="AH712" s="2">
        <f t="shared" si="119"/>
        <v>0</v>
      </c>
      <c r="AI712" s="3">
        <v>209.99999999301511</v>
      </c>
      <c r="AJ712" s="2">
        <v>0</v>
      </c>
      <c r="AK712">
        <v>0</v>
      </c>
      <c r="AL712">
        <v>10</v>
      </c>
      <c r="AM712">
        <v>0</v>
      </c>
      <c r="AN712" s="2">
        <f>IF((2*G712+M712-O712+3*V712+2*AB712+2*AE712+2*AH712+3*AJ712)&gt;=7,1,0)</f>
        <v>0</v>
      </c>
    </row>
    <row r="713" spans="1:40" x14ac:dyDescent="0.25">
      <c r="A713" t="s">
        <v>27</v>
      </c>
      <c r="B713" s="1">
        <v>39144</v>
      </c>
      <c r="C713" s="6">
        <f t="shared" si="110"/>
        <v>2007</v>
      </c>
      <c r="D713">
        <v>68.099999999999994</v>
      </c>
      <c r="E713">
        <v>55.5</v>
      </c>
      <c r="F713">
        <v>60.9</v>
      </c>
      <c r="G713" s="2">
        <f t="shared" si="111"/>
        <v>0</v>
      </c>
      <c r="H713">
        <v>68.099999999999994</v>
      </c>
      <c r="I713">
        <v>55.5</v>
      </c>
      <c r="J713">
        <v>60.9</v>
      </c>
      <c r="K713">
        <v>50.2</v>
      </c>
      <c r="L713">
        <v>69</v>
      </c>
      <c r="M713" s="2">
        <f t="shared" si="112"/>
        <v>0</v>
      </c>
      <c r="N713">
        <v>0</v>
      </c>
      <c r="O713" s="2">
        <f t="shared" si="113"/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 s="2">
        <f t="shared" si="114"/>
        <v>0</v>
      </c>
      <c r="W713">
        <v>13.9</v>
      </c>
      <c r="X713" s="2">
        <f t="shared" si="115"/>
        <v>0</v>
      </c>
      <c r="Y713">
        <v>171.6</v>
      </c>
      <c r="Z713" s="2" t="str">
        <f>CHOOSE(MATCH(Y713,{0;11;80;111;161;191;241;281;341},1),"North","NorthEast","East","SouthEast","South","SouthWest","West","NorthWest","North")</f>
        <v>South</v>
      </c>
      <c r="AA713" s="4">
        <f>CHOOSE(MATCH(Z713,{"South";"SouthEast";"SouthWest";"North";"NorthEast";"East";"West";"NorthWest"},0),1,2,3,4,5,6,7,8)</f>
        <v>1</v>
      </c>
      <c r="AB713" s="2">
        <f t="shared" si="116"/>
        <v>0</v>
      </c>
      <c r="AC713">
        <v>1015.7</v>
      </c>
      <c r="AD713" t="s">
        <v>1091</v>
      </c>
      <c r="AE713" s="2">
        <f t="shared" si="117"/>
        <v>1</v>
      </c>
      <c r="AF713" t="s">
        <v>1092</v>
      </c>
      <c r="AG713" s="2">
        <f t="shared" si="118"/>
        <v>3</v>
      </c>
      <c r="AH713" s="2">
        <f t="shared" si="119"/>
        <v>0</v>
      </c>
      <c r="AI713" s="3">
        <v>109.9999999918509</v>
      </c>
      <c r="AJ713" s="2">
        <v>0</v>
      </c>
      <c r="AK713">
        <v>0</v>
      </c>
      <c r="AL713">
        <v>2</v>
      </c>
      <c r="AM713">
        <v>0</v>
      </c>
      <c r="AN713" s="2">
        <f>IF((2*G713+M713-O713+3*V713+2*AB713+2*AE713+2*AH713+3*AJ713)&gt;=7,1,0)</f>
        <v>0</v>
      </c>
    </row>
    <row r="714" spans="1:40" x14ac:dyDescent="0.25">
      <c r="A714" t="s">
        <v>27</v>
      </c>
      <c r="B714" s="1">
        <v>39147</v>
      </c>
      <c r="C714" s="6">
        <f t="shared" si="110"/>
        <v>2007</v>
      </c>
      <c r="D714">
        <v>59.1</v>
      </c>
      <c r="E714">
        <v>50.1</v>
      </c>
      <c r="F714">
        <v>56.4</v>
      </c>
      <c r="G714" s="2">
        <f t="shared" si="111"/>
        <v>0</v>
      </c>
      <c r="H714">
        <v>59.1</v>
      </c>
      <c r="I714">
        <v>50.1</v>
      </c>
      <c r="J714">
        <v>56.4</v>
      </c>
      <c r="K714">
        <v>41.5</v>
      </c>
      <c r="L714">
        <v>57.7</v>
      </c>
      <c r="M714" s="2">
        <f t="shared" si="112"/>
        <v>1</v>
      </c>
      <c r="N714">
        <v>0</v>
      </c>
      <c r="O714" s="2">
        <f t="shared" si="113"/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s="2">
        <f t="shared" si="114"/>
        <v>0</v>
      </c>
      <c r="W714">
        <v>12.8</v>
      </c>
      <c r="X714" s="2">
        <f t="shared" si="115"/>
        <v>0</v>
      </c>
      <c r="Y714">
        <v>339.4</v>
      </c>
      <c r="Z714" s="2" t="str">
        <f>CHOOSE(MATCH(Y714,{0;11;80;111;161;191;241;281;341},1),"North","NorthEast","East","SouthEast","South","SouthWest","West","NorthWest","North")</f>
        <v>NorthWest</v>
      </c>
      <c r="AA714" s="4">
        <f>CHOOSE(MATCH(Z714,{"South";"SouthEast";"SouthWest";"North";"NorthEast";"East";"West";"NorthWest"},0),1,2,3,4,5,6,7,8)</f>
        <v>8</v>
      </c>
      <c r="AB714" s="2">
        <f t="shared" si="116"/>
        <v>1</v>
      </c>
      <c r="AC714">
        <v>1025.2</v>
      </c>
      <c r="AD714" t="s">
        <v>1093</v>
      </c>
      <c r="AE714" s="2">
        <f t="shared" si="117"/>
        <v>1</v>
      </c>
      <c r="AF714" t="s">
        <v>1094</v>
      </c>
      <c r="AG714" s="2">
        <f t="shared" si="118"/>
        <v>3</v>
      </c>
      <c r="AH714" s="2">
        <f t="shared" si="119"/>
        <v>0</v>
      </c>
      <c r="AI714" s="3">
        <v>240.00000000698489</v>
      </c>
      <c r="AJ714" s="2">
        <v>0</v>
      </c>
      <c r="AK714">
        <v>0</v>
      </c>
      <c r="AL714">
        <v>10</v>
      </c>
      <c r="AM714">
        <v>0</v>
      </c>
      <c r="AN714" s="2">
        <f>IF((2*G714+M714-O714+3*V714+2*AB714+2*AE714+2*AH714+3*AJ714)&gt;=7,1,0)</f>
        <v>0</v>
      </c>
    </row>
    <row r="715" spans="1:40" x14ac:dyDescent="0.25">
      <c r="A715" t="s">
        <v>27</v>
      </c>
      <c r="B715" s="1">
        <v>39150</v>
      </c>
      <c r="C715" s="6">
        <f t="shared" si="110"/>
        <v>2007</v>
      </c>
      <c r="D715">
        <v>60.9</v>
      </c>
      <c r="E715">
        <v>48.3</v>
      </c>
      <c r="F715">
        <v>54.8</v>
      </c>
      <c r="G715" s="2">
        <f t="shared" si="111"/>
        <v>0</v>
      </c>
      <c r="H715">
        <v>60.9</v>
      </c>
      <c r="I715">
        <v>45.7</v>
      </c>
      <c r="J715">
        <v>54.6</v>
      </c>
      <c r="K715">
        <v>47.2</v>
      </c>
      <c r="L715">
        <v>76.2</v>
      </c>
      <c r="M715" s="2">
        <f t="shared" si="112"/>
        <v>0</v>
      </c>
      <c r="N715">
        <v>0</v>
      </c>
      <c r="O715" s="2">
        <f t="shared" si="113"/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s="2">
        <f t="shared" si="114"/>
        <v>0</v>
      </c>
      <c r="W715">
        <v>6.9</v>
      </c>
      <c r="X715" s="2">
        <f t="shared" si="115"/>
        <v>0</v>
      </c>
      <c r="Y715">
        <v>104.7</v>
      </c>
      <c r="Z715" s="2" t="str">
        <f>CHOOSE(MATCH(Y715,{0;11;80;111;161;191;241;281;341},1),"North","NorthEast","East","SouthEast","South","SouthWest","West","NorthWest","North")</f>
        <v>East</v>
      </c>
      <c r="AA715" s="4">
        <f>CHOOSE(MATCH(Z715,{"South";"SouthEast";"SouthWest";"North";"NorthEast";"East";"West";"NorthWest"},0),1,2,3,4,5,6,7,8)</f>
        <v>6</v>
      </c>
      <c r="AB715" s="2">
        <f t="shared" si="116"/>
        <v>0</v>
      </c>
      <c r="AC715">
        <v>1015.4</v>
      </c>
      <c r="AD715" t="s">
        <v>1095</v>
      </c>
      <c r="AE715" s="2">
        <f t="shared" si="117"/>
        <v>1</v>
      </c>
      <c r="AF715" t="s">
        <v>1096</v>
      </c>
      <c r="AG715" s="2">
        <f t="shared" si="118"/>
        <v>3</v>
      </c>
      <c r="AH715" s="2">
        <f t="shared" si="119"/>
        <v>0</v>
      </c>
      <c r="AI715" s="3">
        <v>761.00000000791624</v>
      </c>
      <c r="AJ715" s="2">
        <v>1</v>
      </c>
      <c r="AK715">
        <v>0</v>
      </c>
      <c r="AL715">
        <v>28</v>
      </c>
      <c r="AM715">
        <v>0</v>
      </c>
      <c r="AN715" s="2">
        <f>IF((2*G715+M715-O715+3*V715+2*AB715+2*AE715+2*AH715+3*AJ715)&gt;=7,1,0)</f>
        <v>0</v>
      </c>
    </row>
    <row r="716" spans="1:40" x14ac:dyDescent="0.25">
      <c r="A716" t="s">
        <v>27</v>
      </c>
      <c r="B716" s="1">
        <v>39159</v>
      </c>
      <c r="C716" s="6">
        <f t="shared" si="110"/>
        <v>2007</v>
      </c>
      <c r="D716">
        <v>64.5</v>
      </c>
      <c r="E716">
        <v>46.5</v>
      </c>
      <c r="F716">
        <v>56.1</v>
      </c>
      <c r="G716" s="2">
        <f t="shared" si="111"/>
        <v>0</v>
      </c>
      <c r="H716">
        <v>64.5</v>
      </c>
      <c r="I716">
        <v>43</v>
      </c>
      <c r="J716">
        <v>55.1</v>
      </c>
      <c r="K716">
        <v>42.7</v>
      </c>
      <c r="L716">
        <v>61.9</v>
      </c>
      <c r="M716" s="2">
        <f t="shared" si="112"/>
        <v>1</v>
      </c>
      <c r="N716">
        <v>0</v>
      </c>
      <c r="O716" s="2">
        <f t="shared" si="113"/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s="2">
        <f t="shared" si="114"/>
        <v>0</v>
      </c>
      <c r="W716">
        <v>20.8</v>
      </c>
      <c r="X716" s="2">
        <f t="shared" si="115"/>
        <v>1</v>
      </c>
      <c r="Y716">
        <v>263</v>
      </c>
      <c r="Z716" s="2" t="str">
        <f>CHOOSE(MATCH(Y716,{0;11;80;111;161;191;241;281;341},1),"North","NorthEast","East","SouthEast","South","SouthWest","West","NorthWest","North")</f>
        <v>West</v>
      </c>
      <c r="AA716" s="4">
        <f>CHOOSE(MATCH(Z716,{"South";"SouthEast";"SouthWest";"North";"NorthEast";"East";"West";"NorthWest"},0),1,2,3,4,5,6,7,8)</f>
        <v>7</v>
      </c>
      <c r="AB716" s="2">
        <f t="shared" si="116"/>
        <v>0</v>
      </c>
      <c r="AC716">
        <v>1015.9</v>
      </c>
      <c r="AD716" t="s">
        <v>1097</v>
      </c>
      <c r="AE716" s="2">
        <f t="shared" si="117"/>
        <v>1</v>
      </c>
      <c r="AF716" t="s">
        <v>1098</v>
      </c>
      <c r="AG716" s="2">
        <f t="shared" si="118"/>
        <v>3</v>
      </c>
      <c r="AH716" s="2">
        <f t="shared" si="119"/>
        <v>0</v>
      </c>
      <c r="AI716" s="3">
        <v>950.99999999860302</v>
      </c>
      <c r="AJ716" s="2">
        <v>1</v>
      </c>
      <c r="AK716">
        <v>0</v>
      </c>
      <c r="AL716">
        <v>28</v>
      </c>
      <c r="AM716">
        <v>0</v>
      </c>
      <c r="AN716" s="2">
        <f>IF((2*G716+M716-O716+3*V716+2*AB716+2*AE716+2*AH716+3*AJ716)&gt;=7,1,0)</f>
        <v>0</v>
      </c>
    </row>
    <row r="717" spans="1:40" x14ac:dyDescent="0.25">
      <c r="A717" t="s">
        <v>27</v>
      </c>
      <c r="B717" s="1">
        <v>39159</v>
      </c>
      <c r="C717" s="6">
        <f t="shared" si="110"/>
        <v>2007</v>
      </c>
      <c r="D717">
        <v>64.5</v>
      </c>
      <c r="E717">
        <v>46.5</v>
      </c>
      <c r="F717">
        <v>56.1</v>
      </c>
      <c r="G717" s="2">
        <f t="shared" si="111"/>
        <v>0</v>
      </c>
      <c r="H717">
        <v>64.5</v>
      </c>
      <c r="I717">
        <v>43</v>
      </c>
      <c r="J717">
        <v>55.1</v>
      </c>
      <c r="K717">
        <v>42.7</v>
      </c>
      <c r="L717">
        <v>61.9</v>
      </c>
      <c r="M717" s="2">
        <f t="shared" si="112"/>
        <v>1</v>
      </c>
      <c r="N717">
        <v>0</v>
      </c>
      <c r="O717" s="2">
        <f t="shared" si="113"/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 s="2">
        <f t="shared" si="114"/>
        <v>0</v>
      </c>
      <c r="W717">
        <v>20.8</v>
      </c>
      <c r="X717" s="2">
        <f t="shared" si="115"/>
        <v>1</v>
      </c>
      <c r="Y717">
        <v>263</v>
      </c>
      <c r="Z717" s="2" t="str">
        <f>CHOOSE(MATCH(Y717,{0;11;80;111;161;191;241;281;341},1),"North","NorthEast","East","SouthEast","South","SouthWest","West","NorthWest","North")</f>
        <v>West</v>
      </c>
      <c r="AA717" s="4">
        <f>CHOOSE(MATCH(Z717,{"South";"SouthEast";"SouthWest";"North";"NorthEast";"East";"West";"NorthWest"},0),1,2,3,4,5,6,7,8)</f>
        <v>7</v>
      </c>
      <c r="AB717" s="2">
        <f t="shared" si="116"/>
        <v>0</v>
      </c>
      <c r="AC717">
        <v>1015.9</v>
      </c>
      <c r="AD717" t="s">
        <v>1099</v>
      </c>
      <c r="AE717" s="2">
        <f t="shared" si="117"/>
        <v>1</v>
      </c>
      <c r="AF717" t="s">
        <v>1100</v>
      </c>
      <c r="AG717" s="2">
        <f t="shared" si="118"/>
        <v>3</v>
      </c>
      <c r="AH717" s="2">
        <f t="shared" si="119"/>
        <v>0</v>
      </c>
      <c r="AI717" s="3">
        <v>181.0000000032596</v>
      </c>
      <c r="AJ717" s="2">
        <v>0</v>
      </c>
      <c r="AK717">
        <v>0</v>
      </c>
      <c r="AL717">
        <v>2</v>
      </c>
      <c r="AM717">
        <v>0</v>
      </c>
      <c r="AN717" s="2">
        <f>IF((2*G717+M717-O717+3*V717+2*AB717+2*AE717+2*AH717+3*AJ717)&gt;=7,1,0)</f>
        <v>0</v>
      </c>
    </row>
    <row r="718" spans="1:40" x14ac:dyDescent="0.25">
      <c r="A718" t="s">
        <v>27</v>
      </c>
      <c r="B718" s="1">
        <v>39162</v>
      </c>
      <c r="C718" s="6">
        <f t="shared" si="110"/>
        <v>2007</v>
      </c>
      <c r="D718">
        <v>73.5</v>
      </c>
      <c r="E718">
        <v>57.3</v>
      </c>
      <c r="F718">
        <v>64.8</v>
      </c>
      <c r="G718" s="2">
        <f t="shared" si="111"/>
        <v>0</v>
      </c>
      <c r="H718">
        <v>73.5</v>
      </c>
      <c r="I718">
        <v>57.3</v>
      </c>
      <c r="J718">
        <v>64.8</v>
      </c>
      <c r="K718">
        <v>46.1</v>
      </c>
      <c r="L718">
        <v>51.6</v>
      </c>
      <c r="M718" s="2">
        <f t="shared" si="112"/>
        <v>1</v>
      </c>
      <c r="N718">
        <v>0</v>
      </c>
      <c r="O718" s="2">
        <f t="shared" si="113"/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 s="2">
        <f t="shared" si="114"/>
        <v>0</v>
      </c>
      <c r="W718">
        <v>36.9</v>
      </c>
      <c r="X718" s="2">
        <f t="shared" si="115"/>
        <v>1</v>
      </c>
      <c r="Y718">
        <v>179.5</v>
      </c>
      <c r="Z718" s="2" t="str">
        <f>CHOOSE(MATCH(Y718,{0;11;80;111;161;191;241;281;341},1),"North","NorthEast","East","SouthEast","South","SouthWest","West","NorthWest","North")</f>
        <v>South</v>
      </c>
      <c r="AA718" s="4">
        <f>CHOOSE(MATCH(Z718,{"South";"SouthEast";"SouthWest";"North";"NorthEast";"East";"West";"NorthWest"},0),1,2,3,4,5,6,7,8)</f>
        <v>1</v>
      </c>
      <c r="AB718" s="2">
        <f t="shared" si="116"/>
        <v>0</v>
      </c>
      <c r="AC718">
        <v>1005.5</v>
      </c>
      <c r="AD718" t="s">
        <v>1101</v>
      </c>
      <c r="AE718" s="2">
        <f t="shared" si="117"/>
        <v>1</v>
      </c>
      <c r="AF718" t="s">
        <v>1102</v>
      </c>
      <c r="AG718" s="2">
        <f t="shared" si="118"/>
        <v>3</v>
      </c>
      <c r="AH718" s="2">
        <f t="shared" si="119"/>
        <v>0</v>
      </c>
      <c r="AI718" s="3">
        <v>115.0000000081491</v>
      </c>
      <c r="AJ718" s="2">
        <v>0</v>
      </c>
      <c r="AK718">
        <v>0</v>
      </c>
      <c r="AL718">
        <v>1</v>
      </c>
      <c r="AM718">
        <v>0</v>
      </c>
      <c r="AN718" s="2">
        <f>IF((2*G718+M718-O718+3*V718+2*AB718+2*AE718+2*AH718+3*AJ718)&gt;=7,1,0)</f>
        <v>0</v>
      </c>
    </row>
    <row r="719" spans="1:40" x14ac:dyDescent="0.25">
      <c r="A719" t="s">
        <v>27</v>
      </c>
      <c r="B719" s="1">
        <v>39167</v>
      </c>
      <c r="C719" s="6">
        <f t="shared" si="110"/>
        <v>2007</v>
      </c>
      <c r="D719">
        <v>62.7</v>
      </c>
      <c r="E719">
        <v>48.3</v>
      </c>
      <c r="F719">
        <v>54.9</v>
      </c>
      <c r="G719" s="2">
        <f t="shared" si="111"/>
        <v>0</v>
      </c>
      <c r="H719">
        <v>62.7</v>
      </c>
      <c r="I719">
        <v>44.7</v>
      </c>
      <c r="J719">
        <v>54.4</v>
      </c>
      <c r="K719">
        <v>48.6</v>
      </c>
      <c r="L719">
        <v>79.7</v>
      </c>
      <c r="M719" s="2">
        <f t="shared" si="112"/>
        <v>0</v>
      </c>
      <c r="N719">
        <v>0</v>
      </c>
      <c r="O719" s="2">
        <f t="shared" si="113"/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 s="2">
        <f t="shared" si="114"/>
        <v>0</v>
      </c>
      <c r="W719">
        <v>8.1</v>
      </c>
      <c r="X719" s="2">
        <f t="shared" si="115"/>
        <v>0</v>
      </c>
      <c r="Y719">
        <v>162.6</v>
      </c>
      <c r="Z719" s="2" t="str">
        <f>CHOOSE(MATCH(Y719,{0;11;80;111;161;191;241;281;341},1),"North","NorthEast","East","SouthEast","South","SouthWest","West","NorthWest","North")</f>
        <v>South</v>
      </c>
      <c r="AA719" s="4">
        <f>CHOOSE(MATCH(Z719,{"South";"SouthEast";"SouthWest";"North";"NorthEast";"East";"West";"NorthWest"},0),1,2,3,4,5,6,7,8)</f>
        <v>1</v>
      </c>
      <c r="AB719" s="2">
        <f t="shared" si="116"/>
        <v>0</v>
      </c>
      <c r="AC719">
        <v>1016.2</v>
      </c>
      <c r="AD719" t="s">
        <v>1103</v>
      </c>
      <c r="AE719" s="2">
        <f t="shared" si="117"/>
        <v>1</v>
      </c>
      <c r="AF719" t="s">
        <v>1104</v>
      </c>
      <c r="AG719" s="2">
        <f t="shared" si="118"/>
        <v>3</v>
      </c>
      <c r="AH719" s="2">
        <f t="shared" si="119"/>
        <v>0</v>
      </c>
      <c r="AI719" s="3">
        <v>139.99999999534339</v>
      </c>
      <c r="AJ719" s="2">
        <v>0</v>
      </c>
      <c r="AK719">
        <v>0</v>
      </c>
      <c r="AL719">
        <v>2</v>
      </c>
      <c r="AM719">
        <v>0</v>
      </c>
      <c r="AN719" s="2">
        <f>IF((2*G719+M719-O719+3*V719+2*AB719+2*AE719+2*AH719+3*AJ719)&gt;=7,1,0)</f>
        <v>0</v>
      </c>
    </row>
    <row r="720" spans="1:40" x14ac:dyDescent="0.25">
      <c r="A720" t="s">
        <v>27</v>
      </c>
      <c r="B720" s="1">
        <v>39167</v>
      </c>
      <c r="C720" s="6">
        <f t="shared" si="110"/>
        <v>2007</v>
      </c>
      <c r="D720">
        <v>62.7</v>
      </c>
      <c r="E720">
        <v>48.3</v>
      </c>
      <c r="F720">
        <v>54.9</v>
      </c>
      <c r="G720" s="2">
        <f t="shared" si="111"/>
        <v>0</v>
      </c>
      <c r="H720">
        <v>62.7</v>
      </c>
      <c r="I720">
        <v>44.7</v>
      </c>
      <c r="J720">
        <v>54.4</v>
      </c>
      <c r="K720">
        <v>48.6</v>
      </c>
      <c r="L720">
        <v>79.7</v>
      </c>
      <c r="M720" s="2">
        <f t="shared" si="112"/>
        <v>0</v>
      </c>
      <c r="N720">
        <v>0</v>
      </c>
      <c r="O720" s="2">
        <f t="shared" si="113"/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s="2">
        <f t="shared" si="114"/>
        <v>0</v>
      </c>
      <c r="W720">
        <v>8.1</v>
      </c>
      <c r="X720" s="2">
        <f t="shared" si="115"/>
        <v>0</v>
      </c>
      <c r="Y720">
        <v>162.6</v>
      </c>
      <c r="Z720" s="2" t="str">
        <f>CHOOSE(MATCH(Y720,{0;11;80;111;161;191;241;281;341},1),"North","NorthEast","East","SouthEast","South","SouthWest","West","NorthWest","North")</f>
        <v>South</v>
      </c>
      <c r="AA720" s="4">
        <f>CHOOSE(MATCH(Z720,{"South";"SouthEast";"SouthWest";"North";"NorthEast";"East";"West";"NorthWest"},0),1,2,3,4,5,6,7,8)</f>
        <v>1</v>
      </c>
      <c r="AB720" s="2">
        <f t="shared" si="116"/>
        <v>0</v>
      </c>
      <c r="AC720">
        <v>1016.2</v>
      </c>
      <c r="AD720" t="s">
        <v>1105</v>
      </c>
      <c r="AE720" s="2">
        <f t="shared" si="117"/>
        <v>1</v>
      </c>
      <c r="AF720" t="s">
        <v>1106</v>
      </c>
      <c r="AG720" s="2">
        <f t="shared" si="118"/>
        <v>3</v>
      </c>
      <c r="AH720" s="2">
        <f t="shared" si="119"/>
        <v>0</v>
      </c>
      <c r="AI720" s="3">
        <v>139.99999999534339</v>
      </c>
      <c r="AJ720" s="2">
        <v>0</v>
      </c>
      <c r="AK720">
        <v>0</v>
      </c>
      <c r="AL720">
        <v>1</v>
      </c>
      <c r="AM720">
        <v>0</v>
      </c>
      <c r="AN720" s="2">
        <f>IF((2*G720+M720-O720+3*V720+2*AB720+2*AE720+2*AH720+3*AJ720)&gt;=7,1,0)</f>
        <v>0</v>
      </c>
    </row>
    <row r="721" spans="1:40" x14ac:dyDescent="0.25">
      <c r="A721" t="s">
        <v>27</v>
      </c>
      <c r="B721" s="1">
        <v>39169</v>
      </c>
      <c r="C721" s="6">
        <f t="shared" si="110"/>
        <v>2007</v>
      </c>
      <c r="D721">
        <v>59.1</v>
      </c>
      <c r="E721">
        <v>50.1</v>
      </c>
      <c r="F721">
        <v>55</v>
      </c>
      <c r="G721" s="2">
        <f t="shared" si="111"/>
        <v>0</v>
      </c>
      <c r="H721">
        <v>59.1</v>
      </c>
      <c r="I721">
        <v>50.1</v>
      </c>
      <c r="J721">
        <v>55</v>
      </c>
      <c r="K721">
        <v>47.6</v>
      </c>
      <c r="L721">
        <v>76.400000000000006</v>
      </c>
      <c r="M721" s="2">
        <f t="shared" si="112"/>
        <v>0</v>
      </c>
      <c r="N721">
        <v>0</v>
      </c>
      <c r="O721" s="2">
        <f t="shared" si="113"/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s="2">
        <f t="shared" si="114"/>
        <v>0</v>
      </c>
      <c r="W721">
        <v>13.9</v>
      </c>
      <c r="X721" s="2">
        <f t="shared" si="115"/>
        <v>0</v>
      </c>
      <c r="Y721">
        <v>58.5</v>
      </c>
      <c r="Z721" s="2" t="str">
        <f>CHOOSE(MATCH(Y721,{0;11;80;111;161;191;241;281;341},1),"North","NorthEast","East","SouthEast","South","SouthWest","West","NorthWest","North")</f>
        <v>NorthEast</v>
      </c>
      <c r="AA721" s="4">
        <f>CHOOSE(MATCH(Z721,{"South";"SouthEast";"SouthWest";"North";"NorthEast";"East";"West";"NorthWest"},0),1,2,3,4,5,6,7,8)</f>
        <v>5</v>
      </c>
      <c r="AB721" s="2">
        <f t="shared" si="116"/>
        <v>1</v>
      </c>
      <c r="AC721">
        <v>1018.8</v>
      </c>
      <c r="AD721" t="s">
        <v>1107</v>
      </c>
      <c r="AE721" s="2">
        <f t="shared" si="117"/>
        <v>1</v>
      </c>
      <c r="AF721" t="s">
        <v>1108</v>
      </c>
      <c r="AG721" s="2">
        <f t="shared" si="118"/>
        <v>3</v>
      </c>
      <c r="AH721" s="2">
        <f t="shared" si="119"/>
        <v>0</v>
      </c>
      <c r="AI721" s="3">
        <v>469.99999999185093</v>
      </c>
      <c r="AJ721" s="2">
        <v>1</v>
      </c>
      <c r="AK721">
        <v>0</v>
      </c>
      <c r="AL721">
        <v>4</v>
      </c>
      <c r="AM721">
        <v>0</v>
      </c>
      <c r="AN721" s="2">
        <f>IF((2*G721+M721-O721+3*V721+2*AB721+2*AE721+2*AH721+3*AJ721)&gt;=7,1,0)</f>
        <v>0</v>
      </c>
    </row>
    <row r="722" spans="1:40" x14ac:dyDescent="0.25">
      <c r="A722" t="s">
        <v>27</v>
      </c>
      <c r="B722" s="1">
        <v>39170</v>
      </c>
      <c r="C722" s="6">
        <f t="shared" si="110"/>
        <v>2007</v>
      </c>
      <c r="D722">
        <v>62.7</v>
      </c>
      <c r="E722">
        <v>46.5</v>
      </c>
      <c r="F722">
        <v>54.7</v>
      </c>
      <c r="G722" s="2">
        <f t="shared" si="111"/>
        <v>0</v>
      </c>
      <c r="H722">
        <v>62.7</v>
      </c>
      <c r="I722">
        <v>43.6</v>
      </c>
      <c r="J722">
        <v>54.1</v>
      </c>
      <c r="K722">
        <v>49.7</v>
      </c>
      <c r="L722">
        <v>83.6</v>
      </c>
      <c r="M722" s="2">
        <f t="shared" si="112"/>
        <v>0</v>
      </c>
      <c r="N722">
        <v>0</v>
      </c>
      <c r="O722" s="2">
        <f t="shared" si="113"/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s="2">
        <f t="shared" si="114"/>
        <v>0</v>
      </c>
      <c r="W722">
        <v>54.1</v>
      </c>
      <c r="X722" s="2">
        <f t="shared" si="115"/>
        <v>1</v>
      </c>
      <c r="Y722">
        <v>97.8</v>
      </c>
      <c r="Z722" s="2" t="str">
        <f>CHOOSE(MATCH(Y722,{0;11;80;111;161;191;241;281;341},1),"North","NorthEast","East","SouthEast","South","SouthWest","West","NorthWest","North")</f>
        <v>East</v>
      </c>
      <c r="AA722" s="4">
        <f>CHOOSE(MATCH(Z722,{"South";"SouthEast";"SouthWest";"North";"NorthEast";"East";"West";"NorthWest"},0),1,2,3,4,5,6,7,8)</f>
        <v>6</v>
      </c>
      <c r="AB722" s="2">
        <f t="shared" si="116"/>
        <v>0</v>
      </c>
      <c r="AC722">
        <v>1017.8</v>
      </c>
      <c r="AD722" t="s">
        <v>1109</v>
      </c>
      <c r="AE722" s="2">
        <f t="shared" si="117"/>
        <v>1</v>
      </c>
      <c r="AF722" t="s">
        <v>1110</v>
      </c>
      <c r="AG722" s="2">
        <f t="shared" si="118"/>
        <v>3</v>
      </c>
      <c r="AH722" s="2">
        <f t="shared" si="119"/>
        <v>0</v>
      </c>
      <c r="AI722" s="3">
        <v>155.00000000232831</v>
      </c>
      <c r="AJ722" s="2">
        <v>0</v>
      </c>
      <c r="AK722">
        <v>0</v>
      </c>
      <c r="AL722">
        <v>0.5</v>
      </c>
      <c r="AM722">
        <v>0</v>
      </c>
      <c r="AN722" s="2">
        <f>IF((2*G722+M722-O722+3*V722+2*AB722+2*AE722+2*AH722+3*AJ722)&gt;=7,1,0)</f>
        <v>0</v>
      </c>
    </row>
    <row r="723" spans="1:40" x14ac:dyDescent="0.25">
      <c r="A723" t="s">
        <v>27</v>
      </c>
      <c r="B723" s="1">
        <v>39174</v>
      </c>
      <c r="C723" s="6">
        <f t="shared" si="110"/>
        <v>2007</v>
      </c>
      <c r="D723">
        <v>59.1</v>
      </c>
      <c r="E723">
        <v>55.5</v>
      </c>
      <c r="F723">
        <v>57.1</v>
      </c>
      <c r="G723" s="2">
        <f t="shared" si="111"/>
        <v>0</v>
      </c>
      <c r="H723">
        <v>59.1</v>
      </c>
      <c r="I723">
        <v>55.5</v>
      </c>
      <c r="J723">
        <v>57.1</v>
      </c>
      <c r="K723">
        <v>44.1</v>
      </c>
      <c r="L723">
        <v>62</v>
      </c>
      <c r="M723" s="2">
        <f t="shared" si="112"/>
        <v>1</v>
      </c>
      <c r="N723">
        <v>0</v>
      </c>
      <c r="O723" s="2">
        <f t="shared" si="113"/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 s="2">
        <f t="shared" si="114"/>
        <v>0</v>
      </c>
      <c r="W723">
        <v>19.5</v>
      </c>
      <c r="X723" s="2">
        <f t="shared" si="115"/>
        <v>1</v>
      </c>
      <c r="Y723">
        <v>332.7</v>
      </c>
      <c r="Z723" s="2" t="str">
        <f>CHOOSE(MATCH(Y723,{0;11;80;111;161;191;241;281;341},1),"North","NorthEast","East","SouthEast","South","SouthWest","West","NorthWest","North")</f>
        <v>NorthWest</v>
      </c>
      <c r="AA723" s="4">
        <f>CHOOSE(MATCH(Z723,{"South";"SouthEast";"SouthWest";"North";"NorthEast";"East";"West";"NorthWest"},0),1,2,3,4,5,6,7,8)</f>
        <v>8</v>
      </c>
      <c r="AB723" s="2">
        <f t="shared" si="116"/>
        <v>1</v>
      </c>
      <c r="AC723">
        <v>1022.3</v>
      </c>
      <c r="AD723" t="s">
        <v>1111</v>
      </c>
      <c r="AE723" s="2">
        <f t="shared" si="117"/>
        <v>1</v>
      </c>
      <c r="AF723" t="s">
        <v>1112</v>
      </c>
      <c r="AG723" s="2">
        <f t="shared" si="118"/>
        <v>4</v>
      </c>
      <c r="AH723" s="2">
        <f t="shared" si="119"/>
        <v>0</v>
      </c>
      <c r="AI723" s="3">
        <v>79.999999998835847</v>
      </c>
      <c r="AJ723" s="2">
        <v>0</v>
      </c>
      <c r="AK723">
        <v>0</v>
      </c>
      <c r="AL723">
        <v>1</v>
      </c>
      <c r="AM723">
        <v>0</v>
      </c>
      <c r="AN723" s="2">
        <f>IF((2*G723+M723-O723+3*V723+2*AB723+2*AE723+2*AH723+3*AJ723)&gt;=7,1,0)</f>
        <v>0</v>
      </c>
    </row>
    <row r="724" spans="1:40" x14ac:dyDescent="0.25">
      <c r="A724" t="s">
        <v>27</v>
      </c>
      <c r="B724" s="1">
        <v>39175</v>
      </c>
      <c r="C724" s="6">
        <f t="shared" si="110"/>
        <v>2007</v>
      </c>
      <c r="D724">
        <v>60.9</v>
      </c>
      <c r="E724">
        <v>51.9</v>
      </c>
      <c r="F724">
        <v>56.8</v>
      </c>
      <c r="G724" s="2">
        <f t="shared" si="111"/>
        <v>0</v>
      </c>
      <c r="H724">
        <v>60.9</v>
      </c>
      <c r="I724">
        <v>51.9</v>
      </c>
      <c r="J724">
        <v>56.8</v>
      </c>
      <c r="K724">
        <v>46.6</v>
      </c>
      <c r="L724">
        <v>69.099999999999994</v>
      </c>
      <c r="M724" s="2">
        <f t="shared" si="112"/>
        <v>0</v>
      </c>
      <c r="N724">
        <v>0</v>
      </c>
      <c r="O724" s="2">
        <f t="shared" si="113"/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 s="2">
        <f t="shared" si="114"/>
        <v>0</v>
      </c>
      <c r="W724">
        <v>13.9</v>
      </c>
      <c r="X724" s="2">
        <f t="shared" si="115"/>
        <v>0</v>
      </c>
      <c r="Y724">
        <v>347.9</v>
      </c>
      <c r="Z724" s="2" t="str">
        <f>CHOOSE(MATCH(Y724,{0;11;80;111;161;191;241;281;341},1),"North","NorthEast","East","SouthEast","South","SouthWest","West","NorthWest","North")</f>
        <v>North</v>
      </c>
      <c r="AA724" s="4">
        <f>CHOOSE(MATCH(Z724,{"South";"SouthEast";"SouthWest";"North";"NorthEast";"East";"West";"NorthWest"},0),1,2,3,4,5,6,7,8)</f>
        <v>4</v>
      </c>
      <c r="AB724" s="2">
        <f t="shared" si="116"/>
        <v>1</v>
      </c>
      <c r="AC724">
        <v>1015.4</v>
      </c>
      <c r="AD724" t="s">
        <v>1113</v>
      </c>
      <c r="AE724" s="2">
        <f t="shared" si="117"/>
        <v>1</v>
      </c>
      <c r="AF724" t="s">
        <v>1114</v>
      </c>
      <c r="AG724" s="2">
        <f t="shared" si="118"/>
        <v>4</v>
      </c>
      <c r="AH724" s="2">
        <f t="shared" si="119"/>
        <v>0</v>
      </c>
      <c r="AI724" s="3">
        <v>139.99999999534339</v>
      </c>
      <c r="AJ724" s="2">
        <v>0</v>
      </c>
      <c r="AK724">
        <v>0</v>
      </c>
      <c r="AL724">
        <v>1</v>
      </c>
      <c r="AM724">
        <v>0</v>
      </c>
      <c r="AN724" s="2">
        <f>IF((2*G724+M724-O724+3*V724+2*AB724+2*AE724+2*AH724+3*AJ724)&gt;=7,1,0)</f>
        <v>0</v>
      </c>
    </row>
    <row r="725" spans="1:40" x14ac:dyDescent="0.25">
      <c r="A725" t="s">
        <v>27</v>
      </c>
      <c r="B725" s="1">
        <v>39176</v>
      </c>
      <c r="C725" s="6">
        <f t="shared" si="110"/>
        <v>2007</v>
      </c>
      <c r="D725">
        <v>69.900000000000006</v>
      </c>
      <c r="E725">
        <v>50.1</v>
      </c>
      <c r="F725">
        <v>60.3</v>
      </c>
      <c r="G725" s="2">
        <f t="shared" si="111"/>
        <v>0</v>
      </c>
      <c r="H725">
        <v>69.900000000000006</v>
      </c>
      <c r="I725">
        <v>50.1</v>
      </c>
      <c r="J725">
        <v>60.3</v>
      </c>
      <c r="K725">
        <v>45.8</v>
      </c>
      <c r="L725">
        <v>59.8</v>
      </c>
      <c r="M725" s="2">
        <f t="shared" si="112"/>
        <v>1</v>
      </c>
      <c r="N725">
        <v>0</v>
      </c>
      <c r="O725" s="2">
        <f t="shared" si="113"/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 s="2">
        <f t="shared" si="114"/>
        <v>0</v>
      </c>
      <c r="W725">
        <v>30</v>
      </c>
      <c r="X725" s="2">
        <f t="shared" si="115"/>
        <v>1</v>
      </c>
      <c r="Y725">
        <v>172.4</v>
      </c>
      <c r="Z725" s="2" t="str">
        <f>CHOOSE(MATCH(Y725,{0;11;80;111;161;191;241;281;341},1),"North","NorthEast","East","SouthEast","South","SouthWest","West","NorthWest","North")</f>
        <v>South</v>
      </c>
      <c r="AA725" s="4">
        <f>CHOOSE(MATCH(Z725,{"South";"SouthEast";"SouthWest";"North";"NorthEast";"East";"West";"NorthWest"},0),1,2,3,4,5,6,7,8)</f>
        <v>1</v>
      </c>
      <c r="AB725" s="2">
        <f t="shared" si="116"/>
        <v>0</v>
      </c>
      <c r="AC725">
        <v>1008.1</v>
      </c>
      <c r="AD725" t="s">
        <v>1115</v>
      </c>
      <c r="AE725" s="2">
        <f t="shared" si="117"/>
        <v>0</v>
      </c>
      <c r="AF725" t="s">
        <v>1116</v>
      </c>
      <c r="AG725" s="2">
        <f t="shared" si="118"/>
        <v>4</v>
      </c>
      <c r="AH725" s="2">
        <f t="shared" si="119"/>
        <v>0</v>
      </c>
      <c r="AI725" s="3">
        <v>235.00000000116421</v>
      </c>
      <c r="AJ725" s="2">
        <v>0</v>
      </c>
      <c r="AK725">
        <v>0</v>
      </c>
      <c r="AL725">
        <v>0.5</v>
      </c>
      <c r="AM725">
        <v>0</v>
      </c>
      <c r="AN725" s="2">
        <f>IF((2*G725+M725-O725+3*V725+2*AB725+2*AE725+2*AH725+3*AJ725)&gt;=7,1,0)</f>
        <v>0</v>
      </c>
    </row>
    <row r="726" spans="1:40" x14ac:dyDescent="0.25">
      <c r="A726" t="s">
        <v>27</v>
      </c>
      <c r="B726" s="1">
        <v>39181</v>
      </c>
      <c r="C726" s="6">
        <f t="shared" si="110"/>
        <v>2007</v>
      </c>
      <c r="D726">
        <v>66.3</v>
      </c>
      <c r="E726">
        <v>50.1</v>
      </c>
      <c r="F726">
        <v>59.3</v>
      </c>
      <c r="G726" s="2">
        <f t="shared" si="111"/>
        <v>0</v>
      </c>
      <c r="H726">
        <v>66.3</v>
      </c>
      <c r="I726">
        <v>50.1</v>
      </c>
      <c r="J726">
        <v>59.3</v>
      </c>
      <c r="K726">
        <v>48.3</v>
      </c>
      <c r="L726">
        <v>67.2</v>
      </c>
      <c r="M726" s="2">
        <f t="shared" si="112"/>
        <v>0</v>
      </c>
      <c r="N726">
        <v>0</v>
      </c>
      <c r="O726" s="2">
        <f t="shared" si="113"/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 s="2">
        <f t="shared" si="114"/>
        <v>0</v>
      </c>
      <c r="W726">
        <v>19.5</v>
      </c>
      <c r="X726" s="2">
        <f t="shared" si="115"/>
        <v>1</v>
      </c>
      <c r="Y726">
        <v>301.5</v>
      </c>
      <c r="Z726" s="2" t="str">
        <f>CHOOSE(MATCH(Y726,{0;11;80;111;161;191;241;281;341},1),"North","NorthEast","East","SouthEast","South","SouthWest","West","NorthWest","North")</f>
        <v>NorthWest</v>
      </c>
      <c r="AA726" s="4">
        <f>CHOOSE(MATCH(Z726,{"South";"SouthEast";"SouthWest";"North";"NorthEast";"East";"West";"NorthWest"},0),1,2,3,4,5,6,7,8)</f>
        <v>8</v>
      </c>
      <c r="AB726" s="2">
        <f t="shared" si="116"/>
        <v>1</v>
      </c>
      <c r="AC726">
        <v>1014.2</v>
      </c>
      <c r="AD726" t="s">
        <v>1117</v>
      </c>
      <c r="AE726" s="2">
        <f t="shared" si="117"/>
        <v>0</v>
      </c>
      <c r="AF726" t="s">
        <v>1118</v>
      </c>
      <c r="AG726" s="2">
        <f t="shared" si="118"/>
        <v>4</v>
      </c>
      <c r="AH726" s="2">
        <f t="shared" si="119"/>
        <v>0</v>
      </c>
      <c r="AI726" s="3">
        <v>280.00000000116421</v>
      </c>
      <c r="AJ726" s="2">
        <v>0</v>
      </c>
      <c r="AK726">
        <v>0</v>
      </c>
      <c r="AL726">
        <v>4</v>
      </c>
      <c r="AM726">
        <v>0</v>
      </c>
      <c r="AN726" s="2">
        <f>IF((2*G726+M726-O726+3*V726+2*AB726+2*AE726+2*AH726+3*AJ726)&gt;=7,1,0)</f>
        <v>0</v>
      </c>
    </row>
    <row r="727" spans="1:40" x14ac:dyDescent="0.25">
      <c r="A727" t="s">
        <v>27</v>
      </c>
      <c r="B727" s="1">
        <v>39186</v>
      </c>
      <c r="C727" s="6">
        <f t="shared" si="110"/>
        <v>2007</v>
      </c>
      <c r="D727">
        <v>68.099999999999994</v>
      </c>
      <c r="E727">
        <v>51.9</v>
      </c>
      <c r="F727">
        <v>60.4</v>
      </c>
      <c r="G727" s="2">
        <f t="shared" si="111"/>
        <v>0</v>
      </c>
      <c r="H727">
        <v>68.099999999999994</v>
      </c>
      <c r="I727">
        <v>51.9</v>
      </c>
      <c r="J727">
        <v>60.4</v>
      </c>
      <c r="K727">
        <v>49</v>
      </c>
      <c r="L727">
        <v>67.2</v>
      </c>
      <c r="M727" s="2">
        <f t="shared" si="112"/>
        <v>0</v>
      </c>
      <c r="N727">
        <v>0</v>
      </c>
      <c r="O727" s="2">
        <f t="shared" si="113"/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 s="2">
        <f t="shared" si="114"/>
        <v>0</v>
      </c>
      <c r="W727">
        <v>11.4</v>
      </c>
      <c r="X727" s="2">
        <f t="shared" si="115"/>
        <v>0</v>
      </c>
      <c r="Y727">
        <v>306.7</v>
      </c>
      <c r="Z727" s="2" t="str">
        <f>CHOOSE(MATCH(Y727,{0;11;80;111;161;191;241;281;341},1),"North","NorthEast","East","SouthEast","South","SouthWest","West","NorthWest","North")</f>
        <v>NorthWest</v>
      </c>
      <c r="AA727" s="4">
        <f>CHOOSE(MATCH(Z727,{"South";"SouthEast";"SouthWest";"North";"NorthEast";"East";"West";"NorthWest"},0),1,2,3,4,5,6,7,8)</f>
        <v>8</v>
      </c>
      <c r="AB727" s="2">
        <f t="shared" si="116"/>
        <v>1</v>
      </c>
      <c r="AC727">
        <v>1019</v>
      </c>
      <c r="AD727" t="s">
        <v>1119</v>
      </c>
      <c r="AE727" s="2">
        <f t="shared" si="117"/>
        <v>0</v>
      </c>
      <c r="AF727" t="s">
        <v>1120</v>
      </c>
      <c r="AG727" s="2">
        <f t="shared" si="118"/>
        <v>4</v>
      </c>
      <c r="AH727" s="2">
        <f t="shared" si="119"/>
        <v>0</v>
      </c>
      <c r="AI727" s="3">
        <v>434.99999999301508</v>
      </c>
      <c r="AJ727" s="2">
        <v>1</v>
      </c>
      <c r="AK727">
        <v>0</v>
      </c>
      <c r="AL727">
        <v>1</v>
      </c>
      <c r="AM727">
        <v>0</v>
      </c>
      <c r="AN727" s="2">
        <f>IF((2*G727+M727-O727+3*V727+2*AB727+2*AE727+2*AH727+3*AJ727)&gt;=7,1,0)</f>
        <v>0</v>
      </c>
    </row>
    <row r="728" spans="1:40" x14ac:dyDescent="0.25">
      <c r="A728" t="s">
        <v>27</v>
      </c>
      <c r="B728" s="1">
        <v>39186</v>
      </c>
      <c r="C728" s="6">
        <f t="shared" si="110"/>
        <v>2007</v>
      </c>
      <c r="D728">
        <v>68.099999999999994</v>
      </c>
      <c r="E728">
        <v>51.9</v>
      </c>
      <c r="F728">
        <v>60.4</v>
      </c>
      <c r="G728" s="2">
        <f t="shared" si="111"/>
        <v>0</v>
      </c>
      <c r="H728">
        <v>68.099999999999994</v>
      </c>
      <c r="I728">
        <v>51.9</v>
      </c>
      <c r="J728">
        <v>60.4</v>
      </c>
      <c r="K728">
        <v>49</v>
      </c>
      <c r="L728">
        <v>67.2</v>
      </c>
      <c r="M728" s="2">
        <f t="shared" si="112"/>
        <v>0</v>
      </c>
      <c r="N728">
        <v>0</v>
      </c>
      <c r="O728" s="2">
        <f t="shared" si="113"/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 s="2">
        <f t="shared" si="114"/>
        <v>0</v>
      </c>
      <c r="W728">
        <v>11.4</v>
      </c>
      <c r="X728" s="2">
        <f t="shared" si="115"/>
        <v>0</v>
      </c>
      <c r="Y728">
        <v>306.7</v>
      </c>
      <c r="Z728" s="2" t="str">
        <f>CHOOSE(MATCH(Y728,{0;11;80;111;161;191;241;281;341},1),"North","NorthEast","East","SouthEast","South","SouthWest","West","NorthWest","North")</f>
        <v>NorthWest</v>
      </c>
      <c r="AA728" s="4">
        <f>CHOOSE(MATCH(Z728,{"South";"SouthEast";"SouthWest";"North";"NorthEast";"East";"West";"NorthWest"},0),1,2,3,4,5,6,7,8)</f>
        <v>8</v>
      </c>
      <c r="AB728" s="2">
        <f t="shared" si="116"/>
        <v>1</v>
      </c>
      <c r="AC728">
        <v>1019</v>
      </c>
      <c r="AD728" t="s">
        <v>1121</v>
      </c>
      <c r="AE728" s="2">
        <f t="shared" si="117"/>
        <v>1</v>
      </c>
      <c r="AF728" t="s">
        <v>1122</v>
      </c>
      <c r="AG728" s="2">
        <f t="shared" si="118"/>
        <v>4</v>
      </c>
      <c r="AH728" s="2">
        <f t="shared" si="119"/>
        <v>0</v>
      </c>
      <c r="AI728" s="3">
        <v>135</v>
      </c>
      <c r="AJ728" s="2">
        <v>0</v>
      </c>
      <c r="AK728">
        <v>0</v>
      </c>
      <c r="AL728">
        <v>0</v>
      </c>
      <c r="AM728">
        <v>1</v>
      </c>
      <c r="AN728" s="2">
        <f>IF((2*G728+M728-O728+3*V728+2*AB728+2*AE728+2*AH728+3*AJ728)&gt;=7,1,0)</f>
        <v>0</v>
      </c>
    </row>
    <row r="729" spans="1:40" x14ac:dyDescent="0.25">
      <c r="A729" t="s">
        <v>27</v>
      </c>
      <c r="B729" s="1">
        <v>39188</v>
      </c>
      <c r="C729" s="6">
        <f t="shared" si="110"/>
        <v>2007</v>
      </c>
      <c r="D729">
        <v>64.5</v>
      </c>
      <c r="E729">
        <v>53.7</v>
      </c>
      <c r="F729">
        <v>59.7</v>
      </c>
      <c r="G729" s="2">
        <f t="shared" si="111"/>
        <v>0</v>
      </c>
      <c r="H729">
        <v>64.5</v>
      </c>
      <c r="I729">
        <v>53.7</v>
      </c>
      <c r="J729">
        <v>59.7</v>
      </c>
      <c r="K729">
        <v>51.2</v>
      </c>
      <c r="L729">
        <v>73.5</v>
      </c>
      <c r="M729" s="2">
        <f t="shared" si="112"/>
        <v>0</v>
      </c>
      <c r="N729">
        <v>0</v>
      </c>
      <c r="O729" s="2">
        <f t="shared" si="113"/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 s="2">
        <f t="shared" si="114"/>
        <v>0</v>
      </c>
      <c r="W729">
        <v>12.8</v>
      </c>
      <c r="X729" s="2">
        <f t="shared" si="115"/>
        <v>0</v>
      </c>
      <c r="Y729">
        <v>80.7</v>
      </c>
      <c r="Z729" s="2" t="str">
        <f>CHOOSE(MATCH(Y729,{0;11;80;111;161;191;241;281;341},1),"North","NorthEast","East","SouthEast","South","SouthWest","West","NorthWest","North")</f>
        <v>East</v>
      </c>
      <c r="AA729" s="4">
        <f>CHOOSE(MATCH(Z729,{"South";"SouthEast";"SouthWest";"North";"NorthEast";"East";"West";"NorthWest"},0),1,2,3,4,5,6,7,8)</f>
        <v>6</v>
      </c>
      <c r="AB729" s="2">
        <f t="shared" si="116"/>
        <v>0</v>
      </c>
      <c r="AC729">
        <v>1015.7</v>
      </c>
      <c r="AD729" t="s">
        <v>1123</v>
      </c>
      <c r="AE729" s="2">
        <f t="shared" si="117"/>
        <v>1</v>
      </c>
      <c r="AF729" t="s">
        <v>1124</v>
      </c>
      <c r="AG729" s="2">
        <f t="shared" si="118"/>
        <v>4</v>
      </c>
      <c r="AH729" s="2">
        <f t="shared" si="119"/>
        <v>0</v>
      </c>
      <c r="AI729" s="3">
        <v>200.00000000232831</v>
      </c>
      <c r="AJ729" s="2">
        <v>0</v>
      </c>
      <c r="AK729">
        <v>0</v>
      </c>
      <c r="AL729">
        <v>3</v>
      </c>
      <c r="AM729">
        <v>0</v>
      </c>
      <c r="AN729" s="2">
        <f>IF((2*G729+M729-O729+3*V729+2*AB729+2*AE729+2*AH729+3*AJ729)&gt;=7,1,0)</f>
        <v>0</v>
      </c>
    </row>
    <row r="730" spans="1:40" x14ac:dyDescent="0.25">
      <c r="A730" t="s">
        <v>27</v>
      </c>
      <c r="B730" s="1">
        <v>39194</v>
      </c>
      <c r="C730" s="6">
        <f t="shared" si="110"/>
        <v>2007</v>
      </c>
      <c r="D730">
        <v>68.099999999999994</v>
      </c>
      <c r="E730">
        <v>55.5</v>
      </c>
      <c r="F730">
        <v>61</v>
      </c>
      <c r="G730" s="2">
        <f t="shared" si="111"/>
        <v>0</v>
      </c>
      <c r="H730">
        <v>68.099999999999994</v>
      </c>
      <c r="I730">
        <v>55.5</v>
      </c>
      <c r="J730">
        <v>61</v>
      </c>
      <c r="K730">
        <v>54</v>
      </c>
      <c r="L730">
        <v>78.400000000000006</v>
      </c>
      <c r="M730" s="2">
        <f t="shared" si="112"/>
        <v>0</v>
      </c>
      <c r="N730">
        <v>0</v>
      </c>
      <c r="O730" s="2">
        <f t="shared" si="113"/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 s="2">
        <f t="shared" si="114"/>
        <v>0</v>
      </c>
      <c r="W730">
        <v>24.2</v>
      </c>
      <c r="X730" s="2">
        <f t="shared" si="115"/>
        <v>1</v>
      </c>
      <c r="Y730">
        <v>81.099999999999994</v>
      </c>
      <c r="Z730" s="2" t="str">
        <f>CHOOSE(MATCH(Y730,{0;11;80;111;161;191;241;281;341},1),"North","NorthEast","East","SouthEast","South","SouthWest","West","NorthWest","North")</f>
        <v>East</v>
      </c>
      <c r="AA730" s="4">
        <f>CHOOSE(MATCH(Z730,{"South";"SouthEast";"SouthWest";"North";"NorthEast";"East";"West";"NorthWest"},0),1,2,3,4,5,6,7,8)</f>
        <v>6</v>
      </c>
      <c r="AB730" s="2">
        <f t="shared" si="116"/>
        <v>0</v>
      </c>
      <c r="AC730">
        <v>1015.1</v>
      </c>
      <c r="AD730" t="s">
        <v>1125</v>
      </c>
      <c r="AE730" s="2">
        <f t="shared" si="117"/>
        <v>1</v>
      </c>
      <c r="AF730" t="s">
        <v>1126</v>
      </c>
      <c r="AG730" s="2">
        <f t="shared" si="118"/>
        <v>4</v>
      </c>
      <c r="AH730" s="2">
        <f t="shared" si="119"/>
        <v>0</v>
      </c>
      <c r="AI730" s="3">
        <v>20.00000000232831</v>
      </c>
      <c r="AJ730" s="2">
        <v>0</v>
      </c>
      <c r="AK730">
        <v>0</v>
      </c>
      <c r="AL730">
        <v>0.1</v>
      </c>
      <c r="AM730">
        <v>0</v>
      </c>
      <c r="AN730" s="2">
        <f>IF((2*G730+M730-O730+3*V730+2*AB730+2*AE730+2*AH730+3*AJ730)&gt;=7,1,0)</f>
        <v>0</v>
      </c>
    </row>
    <row r="731" spans="1:40" x14ac:dyDescent="0.25">
      <c r="A731" t="s">
        <v>27</v>
      </c>
      <c r="B731" s="1">
        <v>39195</v>
      </c>
      <c r="C731" s="6">
        <f t="shared" si="110"/>
        <v>2007</v>
      </c>
      <c r="D731">
        <v>68.099999999999994</v>
      </c>
      <c r="E731">
        <v>53.7</v>
      </c>
      <c r="F731">
        <v>62</v>
      </c>
      <c r="G731" s="2">
        <f t="shared" si="111"/>
        <v>0</v>
      </c>
      <c r="H731">
        <v>68.099999999999994</v>
      </c>
      <c r="I731">
        <v>53.7</v>
      </c>
      <c r="J731">
        <v>62</v>
      </c>
      <c r="K731">
        <v>53</v>
      </c>
      <c r="L731">
        <v>73.099999999999994</v>
      </c>
      <c r="M731" s="2">
        <f t="shared" si="112"/>
        <v>0</v>
      </c>
      <c r="N731">
        <v>0</v>
      </c>
      <c r="O731" s="2">
        <f t="shared" si="113"/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 s="2">
        <f t="shared" si="114"/>
        <v>0</v>
      </c>
      <c r="W731">
        <v>19.5</v>
      </c>
      <c r="X731" s="2">
        <f t="shared" si="115"/>
        <v>1</v>
      </c>
      <c r="Y731">
        <v>310.2</v>
      </c>
      <c r="Z731" s="2" t="str">
        <f>CHOOSE(MATCH(Y731,{0;11;80;111;161;191;241;281;341},1),"North","NorthEast","East","SouthEast","South","SouthWest","West","NorthWest","North")</f>
        <v>NorthWest</v>
      </c>
      <c r="AA731" s="4">
        <f>CHOOSE(MATCH(Z731,{"South";"SouthEast";"SouthWest";"North";"NorthEast";"East";"West";"NorthWest"},0),1,2,3,4,5,6,7,8)</f>
        <v>8</v>
      </c>
      <c r="AB731" s="2">
        <f t="shared" si="116"/>
        <v>1</v>
      </c>
      <c r="AC731">
        <v>1019.1</v>
      </c>
      <c r="AD731" t="s">
        <v>1127</v>
      </c>
      <c r="AE731" s="2">
        <f t="shared" si="117"/>
        <v>1</v>
      </c>
      <c r="AF731" t="s">
        <v>1128</v>
      </c>
      <c r="AG731" s="2">
        <f t="shared" si="118"/>
        <v>4</v>
      </c>
      <c r="AH731" s="2">
        <f t="shared" si="119"/>
        <v>0</v>
      </c>
      <c r="AI731" s="3">
        <v>1225.0000000011639</v>
      </c>
      <c r="AJ731" s="2">
        <v>1</v>
      </c>
      <c r="AK731">
        <v>3</v>
      </c>
      <c r="AL731">
        <v>0</v>
      </c>
      <c r="AM731">
        <v>0</v>
      </c>
      <c r="AN731" s="2">
        <f>IF((2*G731+M731-O731+3*V731+2*AB731+2*AE731+2*AH731+3*AJ731)&gt;=7,1,0)</f>
        <v>0</v>
      </c>
    </row>
    <row r="732" spans="1:40" x14ac:dyDescent="0.25">
      <c r="A732" t="s">
        <v>27</v>
      </c>
      <c r="B732" s="1">
        <v>39196</v>
      </c>
      <c r="C732" s="6">
        <f t="shared" si="110"/>
        <v>2007</v>
      </c>
      <c r="D732">
        <v>64.5</v>
      </c>
      <c r="E732">
        <v>57.3</v>
      </c>
      <c r="F732">
        <v>61.4</v>
      </c>
      <c r="G732" s="2">
        <f t="shared" si="111"/>
        <v>0</v>
      </c>
      <c r="H732">
        <v>64.5</v>
      </c>
      <c r="I732">
        <v>57.3</v>
      </c>
      <c r="J732">
        <v>61.4</v>
      </c>
      <c r="K732">
        <v>49.4</v>
      </c>
      <c r="L732">
        <v>64.8</v>
      </c>
      <c r="M732" s="2">
        <f t="shared" si="112"/>
        <v>1</v>
      </c>
      <c r="N732">
        <v>0</v>
      </c>
      <c r="O732" s="2">
        <f t="shared" si="113"/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s="2">
        <f t="shared" si="114"/>
        <v>0</v>
      </c>
      <c r="W732">
        <v>18.3</v>
      </c>
      <c r="X732" s="2">
        <f t="shared" si="115"/>
        <v>1</v>
      </c>
      <c r="Y732">
        <v>311.60000000000002</v>
      </c>
      <c r="Z732" s="2" t="str">
        <f>CHOOSE(MATCH(Y732,{0;11;80;111;161;191;241;281;341},1),"North","NorthEast","East","SouthEast","South","SouthWest","West","NorthWest","North")</f>
        <v>NorthWest</v>
      </c>
      <c r="AA732" s="4">
        <f>CHOOSE(MATCH(Z732,{"South";"SouthEast";"SouthWest";"North";"NorthEast";"East";"West";"NorthWest"},0),1,2,3,4,5,6,7,8)</f>
        <v>8</v>
      </c>
      <c r="AB732" s="2">
        <f t="shared" si="116"/>
        <v>1</v>
      </c>
      <c r="AC732">
        <v>1018</v>
      </c>
      <c r="AD732" t="s">
        <v>1129</v>
      </c>
      <c r="AE732" s="2">
        <f t="shared" si="117"/>
        <v>1</v>
      </c>
      <c r="AF732" t="s">
        <v>1130</v>
      </c>
      <c r="AG732" s="2">
        <f t="shared" si="118"/>
        <v>4</v>
      </c>
      <c r="AH732" s="2">
        <f t="shared" si="119"/>
        <v>0</v>
      </c>
      <c r="AI732" s="3">
        <v>75.00000000349246</v>
      </c>
      <c r="AJ732" s="2">
        <v>0</v>
      </c>
      <c r="AK732">
        <v>0</v>
      </c>
      <c r="AL732">
        <v>0.25</v>
      </c>
      <c r="AM732">
        <v>0</v>
      </c>
      <c r="AN732" s="2">
        <f>IF((2*G732+M732-O732+3*V732+2*AB732+2*AE732+2*AH732+3*AJ732)&gt;=7,1,0)</f>
        <v>0</v>
      </c>
    </row>
    <row r="733" spans="1:40" x14ac:dyDescent="0.25">
      <c r="A733" t="s">
        <v>27</v>
      </c>
      <c r="B733" s="1">
        <v>39198</v>
      </c>
      <c r="C733" s="6">
        <f t="shared" si="110"/>
        <v>2007</v>
      </c>
      <c r="D733">
        <v>66.3</v>
      </c>
      <c r="E733">
        <v>55.5</v>
      </c>
      <c r="F733">
        <v>60.7</v>
      </c>
      <c r="G733" s="2">
        <f t="shared" si="111"/>
        <v>0</v>
      </c>
      <c r="H733">
        <v>66.3</v>
      </c>
      <c r="I733">
        <v>55.5</v>
      </c>
      <c r="J733">
        <v>60.7</v>
      </c>
      <c r="K733">
        <v>55.3</v>
      </c>
      <c r="L733">
        <v>82.6</v>
      </c>
      <c r="M733" s="2">
        <f t="shared" si="112"/>
        <v>0</v>
      </c>
      <c r="N733">
        <v>0</v>
      </c>
      <c r="O733" s="2">
        <f t="shared" si="113"/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s="2">
        <f t="shared" si="114"/>
        <v>0</v>
      </c>
      <c r="W733">
        <v>9.1999999999999993</v>
      </c>
      <c r="X733" s="2">
        <f t="shared" si="115"/>
        <v>0</v>
      </c>
      <c r="Y733">
        <v>348.8</v>
      </c>
      <c r="Z733" s="2" t="str">
        <f>CHOOSE(MATCH(Y733,{0;11;80;111;161;191;241;281;341},1),"North","NorthEast","East","SouthEast","South","SouthWest","West","NorthWest","North")</f>
        <v>North</v>
      </c>
      <c r="AA733" s="4">
        <f>CHOOSE(MATCH(Z733,{"South";"SouthEast";"SouthWest";"North";"NorthEast";"East";"West";"NorthWest"},0),1,2,3,4,5,6,7,8)</f>
        <v>4</v>
      </c>
      <c r="AB733" s="2">
        <f t="shared" si="116"/>
        <v>1</v>
      </c>
      <c r="AC733">
        <v>1015.2</v>
      </c>
      <c r="AD733" t="s">
        <v>1131</v>
      </c>
      <c r="AE733" s="2">
        <f t="shared" si="117"/>
        <v>1</v>
      </c>
      <c r="AF733" t="s">
        <v>1132</v>
      </c>
      <c r="AG733" s="2">
        <f t="shared" si="118"/>
        <v>4</v>
      </c>
      <c r="AH733" s="2">
        <f t="shared" si="119"/>
        <v>0</v>
      </c>
      <c r="AI733" s="3">
        <v>30.00000000349246</v>
      </c>
      <c r="AJ733" s="2">
        <v>0</v>
      </c>
      <c r="AK733">
        <v>0</v>
      </c>
      <c r="AL733">
        <v>0.1</v>
      </c>
      <c r="AM733">
        <v>0</v>
      </c>
      <c r="AN733" s="2">
        <f>IF((2*G733+M733-O733+3*V733+2*AB733+2*AE733+2*AH733+3*AJ733)&gt;=7,1,0)</f>
        <v>0</v>
      </c>
    </row>
    <row r="734" spans="1:40" x14ac:dyDescent="0.25">
      <c r="A734" t="s">
        <v>27</v>
      </c>
      <c r="B734" s="1">
        <v>39213</v>
      </c>
      <c r="C734" s="6">
        <f t="shared" si="110"/>
        <v>2007</v>
      </c>
      <c r="D734">
        <v>77.099999999999994</v>
      </c>
      <c r="E734">
        <v>68.099999999999994</v>
      </c>
      <c r="F734">
        <v>72</v>
      </c>
      <c r="G734" s="2">
        <f t="shared" si="111"/>
        <v>1</v>
      </c>
      <c r="H734">
        <v>77.099999999999994</v>
      </c>
      <c r="I734">
        <v>68.099999999999994</v>
      </c>
      <c r="J734">
        <v>72</v>
      </c>
      <c r="K734">
        <v>57.2</v>
      </c>
      <c r="L734">
        <v>59.9</v>
      </c>
      <c r="M734" s="2">
        <f t="shared" si="112"/>
        <v>1</v>
      </c>
      <c r="N734">
        <v>0</v>
      </c>
      <c r="O734" s="2">
        <f t="shared" si="113"/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s="2">
        <f t="shared" si="114"/>
        <v>0</v>
      </c>
      <c r="W734">
        <v>19.5</v>
      </c>
      <c r="X734" s="2">
        <f t="shared" si="115"/>
        <v>1</v>
      </c>
      <c r="Y734">
        <v>303.7</v>
      </c>
      <c r="Z734" s="2" t="str">
        <f>CHOOSE(MATCH(Y734,{0;11;80;111;161;191;241;281;341},1),"North","NorthEast","East","SouthEast","South","SouthWest","West","NorthWest","North")</f>
        <v>NorthWest</v>
      </c>
      <c r="AA734" s="4">
        <f>CHOOSE(MATCH(Z734,{"South";"SouthEast";"SouthWest";"North";"NorthEast";"East";"West";"NorthWest"},0),1,2,3,4,5,6,7,8)</f>
        <v>8</v>
      </c>
      <c r="AB734" s="2">
        <f t="shared" si="116"/>
        <v>1</v>
      </c>
      <c r="AC734">
        <v>1011.5</v>
      </c>
      <c r="AD734" t="s">
        <v>1133</v>
      </c>
      <c r="AE734" s="2">
        <f t="shared" si="117"/>
        <v>1</v>
      </c>
      <c r="AF734" t="s">
        <v>1134</v>
      </c>
      <c r="AG734" s="2">
        <f t="shared" si="118"/>
        <v>5</v>
      </c>
      <c r="AH734" s="2">
        <f t="shared" si="119"/>
        <v>0</v>
      </c>
      <c r="AI734" s="3">
        <v>194.99999999650751</v>
      </c>
      <c r="AJ734" s="2">
        <v>0</v>
      </c>
      <c r="AK734">
        <v>1</v>
      </c>
      <c r="AL734">
        <v>0</v>
      </c>
      <c r="AM734">
        <v>0</v>
      </c>
      <c r="AN734" s="2">
        <f>IF((2*G734+M734-O734+3*V734+2*AB734+2*AE734+2*AH734+3*AJ734)&gt;=7,1,0)</f>
        <v>0</v>
      </c>
    </row>
    <row r="735" spans="1:40" x14ac:dyDescent="0.25">
      <c r="A735" t="s">
        <v>27</v>
      </c>
      <c r="B735" s="1">
        <v>39213</v>
      </c>
      <c r="C735" s="6">
        <f t="shared" si="110"/>
        <v>2007</v>
      </c>
      <c r="D735">
        <v>77.099999999999994</v>
      </c>
      <c r="E735">
        <v>68.099999999999994</v>
      </c>
      <c r="F735">
        <v>72</v>
      </c>
      <c r="G735" s="2">
        <f t="shared" si="111"/>
        <v>1</v>
      </c>
      <c r="H735">
        <v>77.099999999999994</v>
      </c>
      <c r="I735">
        <v>68.099999999999994</v>
      </c>
      <c r="J735">
        <v>72</v>
      </c>
      <c r="K735">
        <v>57.2</v>
      </c>
      <c r="L735">
        <v>59.9</v>
      </c>
      <c r="M735" s="2">
        <f t="shared" si="112"/>
        <v>1</v>
      </c>
      <c r="N735">
        <v>0</v>
      </c>
      <c r="O735" s="2">
        <f t="shared" si="113"/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s="2">
        <f t="shared" si="114"/>
        <v>0</v>
      </c>
      <c r="W735">
        <v>19.5</v>
      </c>
      <c r="X735" s="2">
        <f t="shared" si="115"/>
        <v>1</v>
      </c>
      <c r="Y735">
        <v>303.7</v>
      </c>
      <c r="Z735" s="2" t="str">
        <f>CHOOSE(MATCH(Y735,{0;11;80;111;161;191;241;281;341},1),"North","NorthEast","East","SouthEast","South","SouthWest","West","NorthWest","North")</f>
        <v>NorthWest</v>
      </c>
      <c r="AA735" s="4">
        <f>CHOOSE(MATCH(Z735,{"South";"SouthEast";"SouthWest";"North";"NorthEast";"East";"West";"NorthWest"},0),1,2,3,4,5,6,7,8)</f>
        <v>8</v>
      </c>
      <c r="AB735" s="2">
        <f t="shared" si="116"/>
        <v>1</v>
      </c>
      <c r="AC735">
        <v>1011.5</v>
      </c>
      <c r="AD735" t="s">
        <v>1135</v>
      </c>
      <c r="AE735" s="2">
        <f t="shared" si="117"/>
        <v>1</v>
      </c>
      <c r="AF735" t="s">
        <v>1136</v>
      </c>
      <c r="AG735" s="2">
        <f t="shared" si="118"/>
        <v>5</v>
      </c>
      <c r="AH735" s="2">
        <f t="shared" si="119"/>
        <v>0</v>
      </c>
      <c r="AI735" s="3">
        <v>9135</v>
      </c>
      <c r="AJ735" s="2">
        <v>1</v>
      </c>
      <c r="AK735">
        <v>0</v>
      </c>
      <c r="AL735">
        <v>300</v>
      </c>
      <c r="AM735">
        <v>0</v>
      </c>
      <c r="AN735" s="2">
        <f>IF((2*G735+M735-O735+3*V735+2*AB735+2*AE735+2*AH735+3*AJ735)&gt;=7,1,0)</f>
        <v>1</v>
      </c>
    </row>
    <row r="736" spans="1:40" x14ac:dyDescent="0.25">
      <c r="A736" t="s">
        <v>27</v>
      </c>
      <c r="B736" s="1">
        <v>39243</v>
      </c>
      <c r="C736" s="6">
        <f t="shared" si="110"/>
        <v>2007</v>
      </c>
      <c r="D736">
        <v>77.099999999999994</v>
      </c>
      <c r="E736">
        <v>69.900000000000006</v>
      </c>
      <c r="F736">
        <v>72.7</v>
      </c>
      <c r="G736" s="2">
        <f t="shared" si="111"/>
        <v>1</v>
      </c>
      <c r="H736">
        <v>77.099999999999994</v>
      </c>
      <c r="I736">
        <v>69.900000000000006</v>
      </c>
      <c r="J736">
        <v>72.7</v>
      </c>
      <c r="K736">
        <v>62.9</v>
      </c>
      <c r="L736">
        <v>71.7</v>
      </c>
      <c r="M736" s="2">
        <f t="shared" si="112"/>
        <v>0</v>
      </c>
      <c r="N736">
        <v>0</v>
      </c>
      <c r="O736" s="2">
        <f t="shared" si="113"/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s="2">
        <f t="shared" si="114"/>
        <v>0</v>
      </c>
      <c r="W736">
        <v>23</v>
      </c>
      <c r="X736" s="2">
        <f t="shared" si="115"/>
        <v>1</v>
      </c>
      <c r="Y736">
        <v>303.89999999999998</v>
      </c>
      <c r="Z736" s="2" t="str">
        <f>CHOOSE(MATCH(Y736,{0;11;80;111;161;191;241;281;341},1),"North","NorthEast","East","SouthEast","South","SouthWest","West","NorthWest","North")</f>
        <v>NorthWest</v>
      </c>
      <c r="AA736" s="4">
        <f>CHOOSE(MATCH(Z736,{"South";"SouthEast";"SouthWest";"North";"NorthEast";"East";"West";"NorthWest"},0),1,2,3,4,5,6,7,8)</f>
        <v>8</v>
      </c>
      <c r="AB736" s="2">
        <f t="shared" si="116"/>
        <v>1</v>
      </c>
      <c r="AC736">
        <v>1009.8</v>
      </c>
      <c r="AD736" t="s">
        <v>1119</v>
      </c>
      <c r="AE736" s="2">
        <f t="shared" si="117"/>
        <v>0</v>
      </c>
      <c r="AF736" t="s">
        <v>1137</v>
      </c>
      <c r="AG736" s="2">
        <f t="shared" si="118"/>
        <v>6</v>
      </c>
      <c r="AH736" s="2">
        <f t="shared" si="119"/>
        <v>1</v>
      </c>
      <c r="AI736" s="3">
        <v>659.99999999301508</v>
      </c>
      <c r="AJ736" s="2">
        <v>1</v>
      </c>
      <c r="AK736">
        <v>0</v>
      </c>
      <c r="AL736">
        <v>8</v>
      </c>
      <c r="AM736">
        <v>0</v>
      </c>
      <c r="AN736" s="2">
        <f>IF((2*G736+M736-O736+3*V736+2*AB736+2*AE736+2*AH736+3*AJ736)&gt;=7,1,0)</f>
        <v>1</v>
      </c>
    </row>
    <row r="737" spans="1:40" x14ac:dyDescent="0.25">
      <c r="A737" t="s">
        <v>27</v>
      </c>
      <c r="B737" s="1">
        <v>39247</v>
      </c>
      <c r="C737" s="6">
        <f t="shared" si="110"/>
        <v>2007</v>
      </c>
      <c r="D737">
        <v>80.7</v>
      </c>
      <c r="E737">
        <v>64.5</v>
      </c>
      <c r="F737">
        <v>72.7</v>
      </c>
      <c r="G737" s="2">
        <f t="shared" si="111"/>
        <v>1</v>
      </c>
      <c r="H737">
        <v>84.1</v>
      </c>
      <c r="I737">
        <v>64.5</v>
      </c>
      <c r="J737">
        <v>72.8</v>
      </c>
      <c r="K737">
        <v>65.599999999999994</v>
      </c>
      <c r="L737">
        <v>79</v>
      </c>
      <c r="M737" s="2">
        <f t="shared" si="112"/>
        <v>0</v>
      </c>
      <c r="N737">
        <v>0</v>
      </c>
      <c r="O737" s="2">
        <f t="shared" si="113"/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s="2">
        <f t="shared" si="114"/>
        <v>0</v>
      </c>
      <c r="W737">
        <v>8.1</v>
      </c>
      <c r="X737" s="2">
        <f t="shared" si="115"/>
        <v>0</v>
      </c>
      <c r="Y737">
        <v>82.1</v>
      </c>
      <c r="Z737" s="2" t="str">
        <f>CHOOSE(MATCH(Y737,{0;11;80;111;161;191;241;281;341},1),"North","NorthEast","East","SouthEast","South","SouthWest","West","NorthWest","North")</f>
        <v>East</v>
      </c>
      <c r="AA737" s="4">
        <f>CHOOSE(MATCH(Z737,{"South";"SouthEast";"SouthWest";"North";"NorthEast";"East";"West";"NorthWest"},0),1,2,3,4,5,6,7,8)</f>
        <v>6</v>
      </c>
      <c r="AB737" s="2">
        <f t="shared" si="116"/>
        <v>0</v>
      </c>
      <c r="AC737">
        <v>1010.4</v>
      </c>
      <c r="AD737" t="s">
        <v>1138</v>
      </c>
      <c r="AE737" s="2">
        <f t="shared" si="117"/>
        <v>1</v>
      </c>
      <c r="AF737" t="s">
        <v>1139</v>
      </c>
      <c r="AG737" s="2">
        <f t="shared" si="118"/>
        <v>6</v>
      </c>
      <c r="AH737" s="2">
        <f t="shared" si="119"/>
        <v>1</v>
      </c>
      <c r="AI737" s="3">
        <v>406.00000000325957</v>
      </c>
      <c r="AJ737" s="2">
        <v>1</v>
      </c>
      <c r="AK737">
        <v>0</v>
      </c>
      <c r="AL737">
        <v>5</v>
      </c>
      <c r="AM737">
        <v>0</v>
      </c>
      <c r="AN737" s="2">
        <f>IF((2*G737+M737-O737+3*V737+2*AB737+2*AE737+2*AH737+3*AJ737)&gt;=7,1,0)</f>
        <v>1</v>
      </c>
    </row>
    <row r="738" spans="1:40" x14ac:dyDescent="0.25">
      <c r="A738" t="s">
        <v>27</v>
      </c>
      <c r="B738" s="1">
        <v>39251</v>
      </c>
      <c r="C738" s="6">
        <f t="shared" si="110"/>
        <v>2007</v>
      </c>
      <c r="D738">
        <v>84.3</v>
      </c>
      <c r="E738">
        <v>68.099999999999994</v>
      </c>
      <c r="F738">
        <v>77.400000000000006</v>
      </c>
      <c r="G738" s="2">
        <f t="shared" si="111"/>
        <v>1</v>
      </c>
      <c r="H738">
        <v>87.6</v>
      </c>
      <c r="I738">
        <v>68.099999999999994</v>
      </c>
      <c r="J738">
        <v>78.7</v>
      </c>
      <c r="K738">
        <v>65.099999999999994</v>
      </c>
      <c r="L738">
        <v>66.5</v>
      </c>
      <c r="M738" s="2">
        <f t="shared" si="112"/>
        <v>0</v>
      </c>
      <c r="N738">
        <v>0</v>
      </c>
      <c r="O738" s="2">
        <f t="shared" si="113"/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s="2">
        <f t="shared" si="114"/>
        <v>0</v>
      </c>
      <c r="W738">
        <v>20.8</v>
      </c>
      <c r="X738" s="2">
        <f t="shared" si="115"/>
        <v>1</v>
      </c>
      <c r="Y738">
        <v>304</v>
      </c>
      <c r="Z738" s="2" t="str">
        <f>CHOOSE(MATCH(Y738,{0;11;80;111;161;191;241;281;341},1),"North","NorthEast","East","SouthEast","South","SouthWest","West","NorthWest","North")</f>
        <v>NorthWest</v>
      </c>
      <c r="AA738" s="4">
        <f>CHOOSE(MATCH(Z738,{"South";"SouthEast";"SouthWest";"North";"NorthEast";"East";"West";"NorthWest"},0),1,2,3,4,5,6,7,8)</f>
        <v>8</v>
      </c>
      <c r="AB738" s="2">
        <f t="shared" si="116"/>
        <v>1</v>
      </c>
      <c r="AC738">
        <v>1009.5</v>
      </c>
      <c r="AD738" t="s">
        <v>1140</v>
      </c>
      <c r="AE738" s="2">
        <f t="shared" si="117"/>
        <v>1</v>
      </c>
      <c r="AF738" t="s">
        <v>1141</v>
      </c>
      <c r="AG738" s="2">
        <f t="shared" si="118"/>
        <v>6</v>
      </c>
      <c r="AH738" s="2">
        <f t="shared" si="119"/>
        <v>1</v>
      </c>
      <c r="AI738" s="3">
        <v>259.99999999883579</v>
      </c>
      <c r="AJ738" s="2">
        <v>0</v>
      </c>
      <c r="AK738">
        <v>0</v>
      </c>
      <c r="AL738">
        <v>6</v>
      </c>
      <c r="AM738">
        <v>0</v>
      </c>
      <c r="AN738" s="2">
        <f>IF((2*G738+M738-O738+3*V738+2*AB738+2*AE738+2*AH738+3*AJ738)&gt;=7,1,0)</f>
        <v>1</v>
      </c>
    </row>
    <row r="739" spans="1:40" x14ac:dyDescent="0.25">
      <c r="A739" t="s">
        <v>27</v>
      </c>
      <c r="B739" s="1">
        <v>39254</v>
      </c>
      <c r="C739" s="6">
        <f t="shared" si="110"/>
        <v>2007</v>
      </c>
      <c r="D739">
        <v>84.3</v>
      </c>
      <c r="E739">
        <v>77.099999999999994</v>
      </c>
      <c r="F739">
        <v>81.400000000000006</v>
      </c>
      <c r="G739" s="2">
        <f t="shared" si="111"/>
        <v>1</v>
      </c>
      <c r="H739">
        <v>87.6</v>
      </c>
      <c r="I739">
        <v>77.099999999999994</v>
      </c>
      <c r="J739">
        <v>83.1</v>
      </c>
      <c r="K739">
        <v>66.900000000000006</v>
      </c>
      <c r="L739">
        <v>61.8</v>
      </c>
      <c r="M739" s="2">
        <f t="shared" si="112"/>
        <v>1</v>
      </c>
      <c r="N739">
        <v>0</v>
      </c>
      <c r="O739" s="2">
        <f t="shared" si="113"/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 s="2">
        <f t="shared" si="114"/>
        <v>0</v>
      </c>
      <c r="W739">
        <v>16.100000000000001</v>
      </c>
      <c r="X739" s="2">
        <f t="shared" si="115"/>
        <v>1</v>
      </c>
      <c r="Y739">
        <v>310.2</v>
      </c>
      <c r="Z739" s="2" t="str">
        <f>CHOOSE(MATCH(Y739,{0;11;80;111;161;191;241;281;341},1),"North","NorthEast","East","SouthEast","South","SouthWest","West","NorthWest","North")</f>
        <v>NorthWest</v>
      </c>
      <c r="AA739" s="4">
        <f>CHOOSE(MATCH(Z739,{"South";"SouthEast";"SouthWest";"North";"NorthEast";"East";"West";"NorthWest"},0),1,2,3,4,5,6,7,8)</f>
        <v>8</v>
      </c>
      <c r="AB739" s="2">
        <f t="shared" si="116"/>
        <v>1</v>
      </c>
      <c r="AC739">
        <v>1011.2</v>
      </c>
      <c r="AD739" t="s">
        <v>1142</v>
      </c>
      <c r="AE739" s="2">
        <f t="shared" si="117"/>
        <v>1</v>
      </c>
      <c r="AF739" t="s">
        <v>1143</v>
      </c>
      <c r="AG739" s="2">
        <f t="shared" si="118"/>
        <v>6</v>
      </c>
      <c r="AH739" s="2">
        <f t="shared" si="119"/>
        <v>1</v>
      </c>
      <c r="AI739" s="3">
        <v>869.99999999650754</v>
      </c>
      <c r="AJ739" s="2">
        <v>1</v>
      </c>
      <c r="AK739">
        <v>0</v>
      </c>
      <c r="AL739">
        <v>25</v>
      </c>
      <c r="AM739">
        <v>0</v>
      </c>
      <c r="AN739" s="2">
        <f>IF((2*G739+M739-O739+3*V739+2*AB739+2*AE739+2*AH739+3*AJ739)&gt;=7,1,0)</f>
        <v>1</v>
      </c>
    </row>
    <row r="740" spans="1:40" x14ac:dyDescent="0.25">
      <c r="A740" t="s">
        <v>27</v>
      </c>
      <c r="B740" s="1">
        <v>39256</v>
      </c>
      <c r="C740" s="6">
        <f t="shared" si="110"/>
        <v>2007</v>
      </c>
      <c r="D740">
        <v>89.7</v>
      </c>
      <c r="E740">
        <v>73.5</v>
      </c>
      <c r="F740">
        <v>82.2</v>
      </c>
      <c r="G740" s="2">
        <f t="shared" si="111"/>
        <v>1</v>
      </c>
      <c r="H740">
        <v>96.1</v>
      </c>
      <c r="I740">
        <v>73.5</v>
      </c>
      <c r="J740">
        <v>84.7</v>
      </c>
      <c r="K740">
        <v>65.7</v>
      </c>
      <c r="L740">
        <v>57.8</v>
      </c>
      <c r="M740" s="2">
        <f t="shared" si="112"/>
        <v>1</v>
      </c>
      <c r="N740">
        <v>0</v>
      </c>
      <c r="O740" s="2">
        <f t="shared" si="113"/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 s="2">
        <f t="shared" si="114"/>
        <v>0</v>
      </c>
      <c r="W740">
        <v>10.3</v>
      </c>
      <c r="X740" s="2">
        <f t="shared" si="115"/>
        <v>0</v>
      </c>
      <c r="Y740">
        <v>219.8</v>
      </c>
      <c r="Z740" s="2" t="str">
        <f>CHOOSE(MATCH(Y740,{0;11;80;111;161;191;241;281;341},1),"North","NorthEast","East","SouthEast","South","SouthWest","West","NorthWest","North")</f>
        <v>SouthWest</v>
      </c>
      <c r="AA740" s="4">
        <f>CHOOSE(MATCH(Z740,{"South";"SouthEast";"SouthWest";"North";"NorthEast";"East";"West";"NorthWest"},0),1,2,3,4,5,6,7,8)</f>
        <v>3</v>
      </c>
      <c r="AB740" s="2">
        <f t="shared" si="116"/>
        <v>0</v>
      </c>
      <c r="AC740">
        <v>1012.6</v>
      </c>
      <c r="AD740" t="s">
        <v>1144</v>
      </c>
      <c r="AE740" s="2">
        <f t="shared" si="117"/>
        <v>1</v>
      </c>
      <c r="AF740" t="s">
        <v>1145</v>
      </c>
      <c r="AG740" s="2">
        <f t="shared" si="118"/>
        <v>6</v>
      </c>
      <c r="AH740" s="2">
        <f t="shared" si="119"/>
        <v>1</v>
      </c>
      <c r="AI740" s="3">
        <v>1511.0000000009311</v>
      </c>
      <c r="AJ740" s="2">
        <v>1</v>
      </c>
      <c r="AK740">
        <v>0.5</v>
      </c>
      <c r="AL740">
        <v>0</v>
      </c>
      <c r="AM740">
        <v>0</v>
      </c>
      <c r="AN740" s="2">
        <f>IF((2*G740+M740-O740+3*V740+2*AB740+2*AE740+2*AH740+3*AJ740)&gt;=7,1,0)</f>
        <v>1</v>
      </c>
    </row>
    <row r="741" spans="1:40" x14ac:dyDescent="0.25">
      <c r="A741" t="s">
        <v>27</v>
      </c>
      <c r="B741" s="1">
        <v>39257</v>
      </c>
      <c r="C741" s="6">
        <f t="shared" si="110"/>
        <v>2007</v>
      </c>
      <c r="D741">
        <v>98.7</v>
      </c>
      <c r="E741">
        <v>77.099999999999994</v>
      </c>
      <c r="F741">
        <v>87.2</v>
      </c>
      <c r="G741" s="2">
        <f t="shared" si="111"/>
        <v>1</v>
      </c>
      <c r="H741">
        <v>110</v>
      </c>
      <c r="I741">
        <v>77.099999999999994</v>
      </c>
      <c r="J741">
        <v>92.6</v>
      </c>
      <c r="K741">
        <v>67.099999999999994</v>
      </c>
      <c r="L741">
        <v>51.9</v>
      </c>
      <c r="M741" s="2">
        <f t="shared" si="112"/>
        <v>1</v>
      </c>
      <c r="N741">
        <v>0</v>
      </c>
      <c r="O741" s="2">
        <f t="shared" si="113"/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 s="2">
        <f t="shared" si="114"/>
        <v>0</v>
      </c>
      <c r="W741">
        <v>12.8</v>
      </c>
      <c r="X741" s="2">
        <f t="shared" si="115"/>
        <v>0</v>
      </c>
      <c r="Y741">
        <v>176.5</v>
      </c>
      <c r="Z741" s="2" t="str">
        <f>CHOOSE(MATCH(Y741,{0;11;80;111;161;191;241;281;341},1),"North","NorthEast","East","SouthEast","South","SouthWest","West","NorthWest","North")</f>
        <v>South</v>
      </c>
      <c r="AA741" s="4">
        <f>CHOOSE(MATCH(Z741,{"South";"SouthEast";"SouthWest";"North";"NorthEast";"East";"West";"NorthWest"},0),1,2,3,4,5,6,7,8)</f>
        <v>1</v>
      </c>
      <c r="AB741" s="2">
        <f t="shared" si="116"/>
        <v>0</v>
      </c>
      <c r="AC741">
        <v>1012.5</v>
      </c>
      <c r="AD741" t="s">
        <v>1079</v>
      </c>
      <c r="AE741" s="2">
        <f t="shared" si="117"/>
        <v>1</v>
      </c>
      <c r="AF741" t="s">
        <v>1146</v>
      </c>
      <c r="AG741" s="2">
        <f t="shared" si="118"/>
        <v>6</v>
      </c>
      <c r="AH741" s="2">
        <f t="shared" si="119"/>
        <v>1</v>
      </c>
      <c r="AI741" s="3">
        <v>805.00000000465661</v>
      </c>
      <c r="AJ741" s="2">
        <v>1</v>
      </c>
      <c r="AK741">
        <v>0</v>
      </c>
      <c r="AL741">
        <v>5</v>
      </c>
      <c r="AM741">
        <v>0</v>
      </c>
      <c r="AN741" s="2">
        <f>IF((2*G741+M741-O741+3*V741+2*AB741+2*AE741+2*AH741+3*AJ741)&gt;=7,1,0)</f>
        <v>1</v>
      </c>
    </row>
    <row r="742" spans="1:40" x14ac:dyDescent="0.25">
      <c r="A742" t="s">
        <v>27</v>
      </c>
      <c r="B742" s="1">
        <v>39261</v>
      </c>
      <c r="C742" s="6">
        <f t="shared" si="110"/>
        <v>2007</v>
      </c>
      <c r="D742">
        <v>100.5</v>
      </c>
      <c r="E742">
        <v>82.5</v>
      </c>
      <c r="F742">
        <v>88.4</v>
      </c>
      <c r="G742" s="2">
        <f t="shared" si="111"/>
        <v>1</v>
      </c>
      <c r="H742">
        <v>106.1</v>
      </c>
      <c r="I742">
        <v>80.7</v>
      </c>
      <c r="J742">
        <v>92.3</v>
      </c>
      <c r="K742">
        <v>63.6</v>
      </c>
      <c r="L742">
        <v>45.7</v>
      </c>
      <c r="M742" s="2">
        <f t="shared" si="112"/>
        <v>1</v>
      </c>
      <c r="N742">
        <v>0</v>
      </c>
      <c r="O742" s="2">
        <f t="shared" si="113"/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 s="2">
        <f t="shared" si="114"/>
        <v>0</v>
      </c>
      <c r="W742">
        <v>15</v>
      </c>
      <c r="X742" s="2">
        <f t="shared" si="115"/>
        <v>0</v>
      </c>
      <c r="Y742">
        <v>158.19999999999999</v>
      </c>
      <c r="Z742" s="2" t="str">
        <f>CHOOSE(MATCH(Y742,{0;11;80;111;161;191;241;281;341},1),"North","NorthEast","East","SouthEast","South","SouthWest","West","NorthWest","North")</f>
        <v>SouthEast</v>
      </c>
      <c r="AA742" s="4">
        <f>CHOOSE(MATCH(Z742,{"South";"SouthEast";"SouthWest";"North";"NorthEast";"East";"West";"NorthWest"},0),1,2,3,4,5,6,7,8)</f>
        <v>2</v>
      </c>
      <c r="AB742" s="2">
        <f t="shared" si="116"/>
        <v>0</v>
      </c>
      <c r="AC742">
        <v>1006.9</v>
      </c>
      <c r="AD742" t="s">
        <v>1077</v>
      </c>
      <c r="AE742" s="2">
        <f t="shared" si="117"/>
        <v>1</v>
      </c>
      <c r="AF742" t="s">
        <v>1147</v>
      </c>
      <c r="AG742" s="2">
        <f t="shared" si="118"/>
        <v>6</v>
      </c>
      <c r="AH742" s="2">
        <f t="shared" si="119"/>
        <v>1</v>
      </c>
      <c r="AI742" s="3">
        <v>2305.0000000011642</v>
      </c>
      <c r="AJ742" s="2">
        <v>1</v>
      </c>
      <c r="AK742">
        <v>30</v>
      </c>
      <c r="AL742">
        <v>0</v>
      </c>
      <c r="AM742">
        <v>0</v>
      </c>
      <c r="AN742" s="2">
        <f>IF((2*G742+M742-O742+3*V742+2*AB742+2*AE742+2*AH742+3*AJ742)&gt;=7,1,0)</f>
        <v>1</v>
      </c>
    </row>
    <row r="743" spans="1:40" x14ac:dyDescent="0.25">
      <c r="A743" t="s">
        <v>27</v>
      </c>
      <c r="B743" s="1">
        <v>39263</v>
      </c>
      <c r="C743" s="6">
        <f t="shared" si="110"/>
        <v>2007</v>
      </c>
      <c r="D743">
        <v>84.3</v>
      </c>
      <c r="E743">
        <v>71.7</v>
      </c>
      <c r="F743">
        <v>78.8</v>
      </c>
      <c r="G743" s="2">
        <f t="shared" si="111"/>
        <v>1</v>
      </c>
      <c r="H743">
        <v>91.1</v>
      </c>
      <c r="I743">
        <v>71.7</v>
      </c>
      <c r="J743">
        <v>80.900000000000006</v>
      </c>
      <c r="K743">
        <v>69.099999999999994</v>
      </c>
      <c r="L743">
        <v>72.599999999999994</v>
      </c>
      <c r="M743" s="2">
        <f t="shared" si="112"/>
        <v>0</v>
      </c>
      <c r="N743">
        <v>0</v>
      </c>
      <c r="O743" s="2">
        <f t="shared" si="113"/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 s="2">
        <f t="shared" si="114"/>
        <v>0</v>
      </c>
      <c r="W743">
        <v>18.3</v>
      </c>
      <c r="X743" s="2">
        <f t="shared" si="115"/>
        <v>1</v>
      </c>
      <c r="Y743">
        <v>310.89999999999998</v>
      </c>
      <c r="Z743" s="2" t="str">
        <f>CHOOSE(MATCH(Y743,{0;11;80;111;161;191;241;281;341},1),"North","NorthEast","East","SouthEast","South","SouthWest","West","NorthWest","North")</f>
        <v>NorthWest</v>
      </c>
      <c r="AA743" s="4">
        <f>CHOOSE(MATCH(Z743,{"South";"SouthEast";"SouthWest";"North";"NorthEast";"East";"West";"NorthWest"},0),1,2,3,4,5,6,7,8)</f>
        <v>8</v>
      </c>
      <c r="AB743" s="2">
        <f t="shared" si="116"/>
        <v>1</v>
      </c>
      <c r="AC743">
        <v>1010.7</v>
      </c>
      <c r="AD743" t="s">
        <v>1148</v>
      </c>
      <c r="AE743" s="2">
        <f t="shared" si="117"/>
        <v>0</v>
      </c>
      <c r="AF743" t="s">
        <v>1149</v>
      </c>
      <c r="AG743" s="2">
        <f t="shared" si="118"/>
        <v>6</v>
      </c>
      <c r="AH743" s="2">
        <f t="shared" si="119"/>
        <v>1</v>
      </c>
      <c r="AI743" s="3">
        <v>162.9999999969732</v>
      </c>
      <c r="AJ743" s="2">
        <v>0</v>
      </c>
      <c r="AK743">
        <v>0</v>
      </c>
      <c r="AL743">
        <v>1</v>
      </c>
      <c r="AM743">
        <v>0</v>
      </c>
      <c r="AN743" s="2">
        <f>IF((2*G743+M743-O743+3*V743+2*AB743+2*AE743+2*AH743+3*AJ743)&gt;=7,1,0)</f>
        <v>0</v>
      </c>
    </row>
    <row r="744" spans="1:40" x14ac:dyDescent="0.25">
      <c r="A744" t="s">
        <v>27</v>
      </c>
      <c r="B744" s="1">
        <v>39265</v>
      </c>
      <c r="C744" s="6">
        <f t="shared" si="110"/>
        <v>2007</v>
      </c>
      <c r="D744">
        <v>82.5</v>
      </c>
      <c r="E744">
        <v>75.3</v>
      </c>
      <c r="F744">
        <v>78.8</v>
      </c>
      <c r="G744" s="2">
        <f t="shared" si="111"/>
        <v>1</v>
      </c>
      <c r="H744">
        <v>84.1</v>
      </c>
      <c r="I744">
        <v>75.3</v>
      </c>
      <c r="J744">
        <v>79.599999999999994</v>
      </c>
      <c r="K744">
        <v>64.2</v>
      </c>
      <c r="L744">
        <v>61</v>
      </c>
      <c r="M744" s="2">
        <f t="shared" si="112"/>
        <v>1</v>
      </c>
      <c r="N744">
        <v>0</v>
      </c>
      <c r="O744" s="2">
        <f t="shared" si="113"/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s="2">
        <f t="shared" si="114"/>
        <v>0</v>
      </c>
      <c r="W744">
        <v>21.9</v>
      </c>
      <c r="X744" s="2">
        <f t="shared" si="115"/>
        <v>1</v>
      </c>
      <c r="Y744">
        <v>315.39999999999998</v>
      </c>
      <c r="Z744" s="2" t="str">
        <f>CHOOSE(MATCH(Y744,{0;11;80;111;161;191;241;281;341},1),"North","NorthEast","East","SouthEast","South","SouthWest","West","NorthWest","North")</f>
        <v>NorthWest</v>
      </c>
      <c r="AA744" s="4">
        <f>CHOOSE(MATCH(Z744,{"South";"SouthEast";"SouthWest";"North";"NorthEast";"East";"West";"NorthWest"},0),1,2,3,4,5,6,7,8)</f>
        <v>8</v>
      </c>
      <c r="AB744" s="2">
        <f t="shared" si="116"/>
        <v>1</v>
      </c>
      <c r="AC744">
        <v>1011.1</v>
      </c>
      <c r="AD744" t="s">
        <v>1142</v>
      </c>
      <c r="AE744" s="2">
        <f t="shared" si="117"/>
        <v>1</v>
      </c>
      <c r="AF744" t="s">
        <v>1150</v>
      </c>
      <c r="AG744" s="2">
        <f t="shared" si="118"/>
        <v>7</v>
      </c>
      <c r="AH744" s="2">
        <f t="shared" si="119"/>
        <v>1</v>
      </c>
      <c r="AI744" s="3">
        <v>34.999999998835847</v>
      </c>
      <c r="AJ744" s="2">
        <v>0</v>
      </c>
      <c r="AK744">
        <v>0</v>
      </c>
      <c r="AL744">
        <v>0.05</v>
      </c>
      <c r="AM744">
        <v>0</v>
      </c>
      <c r="AN744" s="2">
        <f>IF((2*G744+M744-O744+3*V744+2*AB744+2*AE744+2*AH744+3*AJ744)&gt;=7,1,0)</f>
        <v>1</v>
      </c>
    </row>
    <row r="745" spans="1:40" x14ac:dyDescent="0.25">
      <c r="A745" t="s">
        <v>27</v>
      </c>
      <c r="B745" s="1">
        <v>39266</v>
      </c>
      <c r="C745" s="6">
        <f t="shared" si="110"/>
        <v>2007</v>
      </c>
      <c r="D745">
        <v>86.1</v>
      </c>
      <c r="E745">
        <v>66.3</v>
      </c>
      <c r="F745">
        <v>77.8</v>
      </c>
      <c r="G745" s="2">
        <f t="shared" si="111"/>
        <v>1</v>
      </c>
      <c r="H745">
        <v>85.6</v>
      </c>
      <c r="I745">
        <v>66.3</v>
      </c>
      <c r="J745">
        <v>78</v>
      </c>
      <c r="K745">
        <v>62</v>
      </c>
      <c r="L745">
        <v>59.5</v>
      </c>
      <c r="M745" s="2">
        <f t="shared" si="112"/>
        <v>1</v>
      </c>
      <c r="N745">
        <v>0</v>
      </c>
      <c r="O745" s="2">
        <f t="shared" si="113"/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 s="2">
        <f t="shared" si="114"/>
        <v>0</v>
      </c>
      <c r="W745">
        <v>18.3</v>
      </c>
      <c r="X745" s="2">
        <f t="shared" si="115"/>
        <v>1</v>
      </c>
      <c r="Y745">
        <v>303.8</v>
      </c>
      <c r="Z745" s="2" t="str">
        <f>CHOOSE(MATCH(Y745,{0;11;80;111;161;191;241;281;341},1),"North","NorthEast","East","SouthEast","South","SouthWest","West","NorthWest","North")</f>
        <v>NorthWest</v>
      </c>
      <c r="AA745" s="4">
        <f>CHOOSE(MATCH(Z745,{"South";"SouthEast";"SouthWest";"North";"NorthEast";"East";"West";"NorthWest"},0),1,2,3,4,5,6,7,8)</f>
        <v>8</v>
      </c>
      <c r="AB745" s="2">
        <f t="shared" si="116"/>
        <v>1</v>
      </c>
      <c r="AC745">
        <v>1010.4</v>
      </c>
      <c r="AD745" t="s">
        <v>1151</v>
      </c>
      <c r="AE745" s="2">
        <f t="shared" si="117"/>
        <v>0</v>
      </c>
      <c r="AF745" t="s">
        <v>1152</v>
      </c>
      <c r="AG745" s="2">
        <f t="shared" si="118"/>
        <v>7</v>
      </c>
      <c r="AH745" s="2">
        <f t="shared" si="119"/>
        <v>1</v>
      </c>
      <c r="AI745" s="3">
        <v>139.99999999534339</v>
      </c>
      <c r="AJ745" s="2">
        <v>0</v>
      </c>
      <c r="AK745">
        <v>0</v>
      </c>
      <c r="AL745">
        <v>0.2</v>
      </c>
      <c r="AM745">
        <v>0</v>
      </c>
      <c r="AN745" s="2">
        <f>IF((2*G745+M745-O745+3*V745+2*AB745+2*AE745+2*AH745+3*AJ745)&gt;=7,1,0)</f>
        <v>0</v>
      </c>
    </row>
    <row r="746" spans="1:40" x14ac:dyDescent="0.25">
      <c r="A746" t="s">
        <v>27</v>
      </c>
      <c r="B746" s="1">
        <v>39271</v>
      </c>
      <c r="C746" s="6">
        <f t="shared" si="110"/>
        <v>2007</v>
      </c>
      <c r="D746">
        <v>86.1</v>
      </c>
      <c r="E746">
        <v>77.099999999999994</v>
      </c>
      <c r="F746">
        <v>81</v>
      </c>
      <c r="G746" s="2">
        <f t="shared" si="111"/>
        <v>1</v>
      </c>
      <c r="H746">
        <v>88.5</v>
      </c>
      <c r="I746">
        <v>77.099999999999994</v>
      </c>
      <c r="J746">
        <v>82.4</v>
      </c>
      <c r="K746">
        <v>64.7</v>
      </c>
      <c r="L746">
        <v>57.9</v>
      </c>
      <c r="M746" s="2">
        <f t="shared" si="112"/>
        <v>1</v>
      </c>
      <c r="N746">
        <v>0</v>
      </c>
      <c r="O746" s="2">
        <f t="shared" si="113"/>
        <v>1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s="2">
        <f t="shared" si="114"/>
        <v>0</v>
      </c>
      <c r="W746">
        <v>18.3</v>
      </c>
      <c r="X746" s="2">
        <f t="shared" si="115"/>
        <v>1</v>
      </c>
      <c r="Y746">
        <v>311.2</v>
      </c>
      <c r="Z746" s="2" t="str">
        <f>CHOOSE(MATCH(Y746,{0;11;80;111;161;191;241;281;341},1),"North","NorthEast","East","SouthEast","South","SouthWest","West","NorthWest","North")</f>
        <v>NorthWest</v>
      </c>
      <c r="AA746" s="4">
        <f>CHOOSE(MATCH(Z746,{"South";"SouthEast";"SouthWest";"North";"NorthEast";"East";"West";"NorthWest"},0),1,2,3,4,5,6,7,8)</f>
        <v>8</v>
      </c>
      <c r="AB746" s="2">
        <f t="shared" si="116"/>
        <v>1</v>
      </c>
      <c r="AC746">
        <v>1013.3</v>
      </c>
      <c r="AD746" t="s">
        <v>1153</v>
      </c>
      <c r="AE746" s="2">
        <f t="shared" si="117"/>
        <v>1</v>
      </c>
      <c r="AF746" t="s">
        <v>1154</v>
      </c>
      <c r="AG746" s="2">
        <f t="shared" si="118"/>
        <v>7</v>
      </c>
      <c r="AH746" s="2">
        <f t="shared" si="119"/>
        <v>1</v>
      </c>
      <c r="AI746" s="3">
        <v>25.000000008149069</v>
      </c>
      <c r="AJ746" s="2">
        <v>0</v>
      </c>
      <c r="AK746">
        <v>0</v>
      </c>
      <c r="AL746">
        <v>0</v>
      </c>
      <c r="AM746">
        <v>1</v>
      </c>
      <c r="AN746" s="2">
        <f>IF((2*G746+M746-O746+3*V746+2*AB746+2*AE746+2*AH746+3*AJ746)&gt;=7,1,0)</f>
        <v>1</v>
      </c>
    </row>
    <row r="747" spans="1:40" x14ac:dyDescent="0.25">
      <c r="A747" t="s">
        <v>27</v>
      </c>
      <c r="B747" s="1">
        <v>39271</v>
      </c>
      <c r="C747" s="6">
        <f t="shared" si="110"/>
        <v>2007</v>
      </c>
      <c r="D747">
        <v>86.1</v>
      </c>
      <c r="E747">
        <v>77.099999999999994</v>
      </c>
      <c r="F747">
        <v>81</v>
      </c>
      <c r="G747" s="2">
        <f t="shared" si="111"/>
        <v>1</v>
      </c>
      <c r="H747">
        <v>88.5</v>
      </c>
      <c r="I747">
        <v>77.099999999999994</v>
      </c>
      <c r="J747">
        <v>82.4</v>
      </c>
      <c r="K747">
        <v>64.7</v>
      </c>
      <c r="L747">
        <v>57.9</v>
      </c>
      <c r="M747" s="2">
        <f t="shared" si="112"/>
        <v>1</v>
      </c>
      <c r="N747">
        <v>0</v>
      </c>
      <c r="O747" s="2">
        <f t="shared" si="113"/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s="2">
        <f t="shared" si="114"/>
        <v>0</v>
      </c>
      <c r="W747">
        <v>18.3</v>
      </c>
      <c r="X747" s="2">
        <f t="shared" si="115"/>
        <v>1</v>
      </c>
      <c r="Y747">
        <v>311.2</v>
      </c>
      <c r="Z747" s="2" t="str">
        <f>CHOOSE(MATCH(Y747,{0;11;80;111;161;191;241;281;341},1),"North","NorthEast","East","SouthEast","South","SouthWest","West","NorthWest","North")</f>
        <v>NorthWest</v>
      </c>
      <c r="AA747" s="4">
        <f>CHOOSE(MATCH(Z747,{"South";"SouthEast";"SouthWest";"North";"NorthEast";"East";"West";"NorthWest"},0),1,2,3,4,5,6,7,8)</f>
        <v>8</v>
      </c>
      <c r="AB747" s="2">
        <f t="shared" si="116"/>
        <v>1</v>
      </c>
      <c r="AC747">
        <v>1013.3</v>
      </c>
      <c r="AD747" t="s">
        <v>1155</v>
      </c>
      <c r="AE747" s="2">
        <f t="shared" si="117"/>
        <v>1</v>
      </c>
      <c r="AF747" t="s">
        <v>1156</v>
      </c>
      <c r="AG747" s="2">
        <f t="shared" si="118"/>
        <v>7</v>
      </c>
      <c r="AH747" s="2">
        <f t="shared" si="119"/>
        <v>1</v>
      </c>
      <c r="AI747" s="3">
        <v>1470.000000003492</v>
      </c>
      <c r="AJ747" s="2">
        <v>1</v>
      </c>
      <c r="AK747">
        <v>0</v>
      </c>
      <c r="AL747">
        <v>60</v>
      </c>
      <c r="AM747">
        <v>0</v>
      </c>
      <c r="AN747" s="2">
        <f>IF((2*G747+M747-O747+3*V747+2*AB747+2*AE747+2*AH747+3*AJ747)&gt;=7,1,0)</f>
        <v>1</v>
      </c>
    </row>
    <row r="748" spans="1:40" x14ac:dyDescent="0.25">
      <c r="A748" t="s">
        <v>27</v>
      </c>
      <c r="B748" s="1">
        <v>39272</v>
      </c>
      <c r="C748" s="6">
        <f t="shared" si="110"/>
        <v>2007</v>
      </c>
      <c r="D748">
        <v>84.3</v>
      </c>
      <c r="E748">
        <v>75.3</v>
      </c>
      <c r="F748">
        <v>81.2</v>
      </c>
      <c r="G748" s="2">
        <f t="shared" si="111"/>
        <v>1</v>
      </c>
      <c r="H748">
        <v>89.8</v>
      </c>
      <c r="I748">
        <v>75.3</v>
      </c>
      <c r="J748">
        <v>83.1</v>
      </c>
      <c r="K748">
        <v>66.599999999999994</v>
      </c>
      <c r="L748">
        <v>61.5</v>
      </c>
      <c r="M748" s="2">
        <f t="shared" si="112"/>
        <v>1</v>
      </c>
      <c r="N748">
        <v>0</v>
      </c>
      <c r="O748" s="2">
        <f t="shared" si="113"/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 s="2">
        <f t="shared" si="114"/>
        <v>0</v>
      </c>
      <c r="W748">
        <v>18.3</v>
      </c>
      <c r="X748" s="2">
        <f t="shared" si="115"/>
        <v>1</v>
      </c>
      <c r="Y748">
        <v>311.7</v>
      </c>
      <c r="Z748" s="2" t="str">
        <f>CHOOSE(MATCH(Y748,{0;11;80;111;161;191;241;281;341},1),"North","NorthEast","East","SouthEast","South","SouthWest","West","NorthWest","North")</f>
        <v>NorthWest</v>
      </c>
      <c r="AA748" s="4">
        <f>CHOOSE(MATCH(Z748,{"South";"SouthEast";"SouthWest";"North";"NorthEast";"East";"West";"NorthWest"},0),1,2,3,4,5,6,7,8)</f>
        <v>8</v>
      </c>
      <c r="AB748" s="2">
        <f t="shared" si="116"/>
        <v>1</v>
      </c>
      <c r="AC748">
        <v>1009.5</v>
      </c>
      <c r="AD748" t="s">
        <v>1085</v>
      </c>
      <c r="AE748" s="2">
        <f t="shared" si="117"/>
        <v>1</v>
      </c>
      <c r="AF748" t="s">
        <v>1157</v>
      </c>
      <c r="AG748" s="2">
        <f t="shared" si="118"/>
        <v>7</v>
      </c>
      <c r="AH748" s="2">
        <f t="shared" si="119"/>
        <v>1</v>
      </c>
      <c r="AI748" s="3">
        <v>79.999999998835847</v>
      </c>
      <c r="AJ748" s="2">
        <v>0</v>
      </c>
      <c r="AK748">
        <v>0</v>
      </c>
      <c r="AL748">
        <v>0.01</v>
      </c>
      <c r="AM748">
        <v>0</v>
      </c>
      <c r="AN748" s="2">
        <f>IF((2*G748+M748-O748+3*V748+2*AB748+2*AE748+2*AH748+3*AJ748)&gt;=7,1,0)</f>
        <v>1</v>
      </c>
    </row>
    <row r="749" spans="1:40" x14ac:dyDescent="0.25">
      <c r="A749" t="s">
        <v>27</v>
      </c>
      <c r="B749" s="1">
        <v>39272</v>
      </c>
      <c r="C749" s="6">
        <f t="shared" si="110"/>
        <v>2007</v>
      </c>
      <c r="D749">
        <v>84.3</v>
      </c>
      <c r="E749">
        <v>75.3</v>
      </c>
      <c r="F749">
        <v>81.2</v>
      </c>
      <c r="G749" s="2">
        <f t="shared" si="111"/>
        <v>1</v>
      </c>
      <c r="H749">
        <v>89.8</v>
      </c>
      <c r="I749">
        <v>75.3</v>
      </c>
      <c r="J749">
        <v>83.1</v>
      </c>
      <c r="K749">
        <v>66.599999999999994</v>
      </c>
      <c r="L749">
        <v>61.5</v>
      </c>
      <c r="M749" s="2">
        <f t="shared" si="112"/>
        <v>1</v>
      </c>
      <c r="N749">
        <v>0</v>
      </c>
      <c r="O749" s="2">
        <f t="shared" si="113"/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 s="2">
        <f t="shared" si="114"/>
        <v>0</v>
      </c>
      <c r="W749">
        <v>18.3</v>
      </c>
      <c r="X749" s="2">
        <f t="shared" si="115"/>
        <v>1</v>
      </c>
      <c r="Y749">
        <v>311.7</v>
      </c>
      <c r="Z749" s="2" t="str">
        <f>CHOOSE(MATCH(Y749,{0;11;80;111;161;191;241;281;341},1),"North","NorthEast","East","SouthEast","South","SouthWest","West","NorthWest","North")</f>
        <v>NorthWest</v>
      </c>
      <c r="AA749" s="4">
        <f>CHOOSE(MATCH(Z749,{"South";"SouthEast";"SouthWest";"North";"NorthEast";"East";"West";"NorthWest"},0),1,2,3,4,5,6,7,8)</f>
        <v>8</v>
      </c>
      <c r="AB749" s="2">
        <f t="shared" si="116"/>
        <v>1</v>
      </c>
      <c r="AC749">
        <v>1009.5</v>
      </c>
      <c r="AD749" t="s">
        <v>1123</v>
      </c>
      <c r="AE749" s="2">
        <f t="shared" si="117"/>
        <v>1</v>
      </c>
      <c r="AF749" t="s">
        <v>1158</v>
      </c>
      <c r="AG749" s="2">
        <f t="shared" si="118"/>
        <v>7</v>
      </c>
      <c r="AH749" s="2">
        <f t="shared" si="119"/>
        <v>1</v>
      </c>
      <c r="AI749" s="3">
        <v>75.00000000349246</v>
      </c>
      <c r="AJ749" s="2">
        <v>0</v>
      </c>
      <c r="AK749">
        <v>0</v>
      </c>
      <c r="AL749">
        <v>7.0000000000000007E-2</v>
      </c>
      <c r="AM749">
        <v>0</v>
      </c>
      <c r="AN749" s="2">
        <f>IF((2*G749+M749-O749+3*V749+2*AB749+2*AE749+2*AH749+3*AJ749)&gt;=7,1,0)</f>
        <v>1</v>
      </c>
    </row>
    <row r="750" spans="1:40" x14ac:dyDescent="0.25">
      <c r="A750" t="s">
        <v>27</v>
      </c>
      <c r="B750" s="1">
        <v>39275</v>
      </c>
      <c r="C750" s="6">
        <f t="shared" si="110"/>
        <v>2007</v>
      </c>
      <c r="D750">
        <v>82.5</v>
      </c>
      <c r="E750">
        <v>69.900000000000006</v>
      </c>
      <c r="F750">
        <v>77.5</v>
      </c>
      <c r="G750" s="2">
        <f t="shared" si="111"/>
        <v>1</v>
      </c>
      <c r="H750">
        <v>86.4</v>
      </c>
      <c r="I750">
        <v>69.900000000000006</v>
      </c>
      <c r="J750">
        <v>78.5</v>
      </c>
      <c r="K750">
        <v>66.5</v>
      </c>
      <c r="L750">
        <v>69.599999999999994</v>
      </c>
      <c r="M750" s="2">
        <f t="shared" si="112"/>
        <v>0</v>
      </c>
      <c r="N750">
        <v>0</v>
      </c>
      <c r="O750" s="2">
        <f t="shared" si="113"/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 s="2">
        <f t="shared" si="114"/>
        <v>0</v>
      </c>
      <c r="W750">
        <v>24.2</v>
      </c>
      <c r="X750" s="2">
        <f t="shared" si="115"/>
        <v>1</v>
      </c>
      <c r="Y750">
        <v>298.60000000000002</v>
      </c>
      <c r="Z750" s="2" t="str">
        <f>CHOOSE(MATCH(Y750,{0;11;80;111;161;191;241;281;341},1),"North","NorthEast","East","SouthEast","South","SouthWest","West","NorthWest","North")</f>
        <v>NorthWest</v>
      </c>
      <c r="AA750" s="4">
        <f>CHOOSE(MATCH(Z750,{"South";"SouthEast";"SouthWest";"North";"NorthEast";"East";"West";"NorthWest"},0),1,2,3,4,5,6,7,8)</f>
        <v>8</v>
      </c>
      <c r="AB750" s="2">
        <f t="shared" si="116"/>
        <v>1</v>
      </c>
      <c r="AC750">
        <v>1006.8</v>
      </c>
      <c r="AD750" t="s">
        <v>1159</v>
      </c>
      <c r="AE750" s="2">
        <f t="shared" si="117"/>
        <v>1</v>
      </c>
      <c r="AF750" t="s">
        <v>1160</v>
      </c>
      <c r="AG750" s="2">
        <f t="shared" si="118"/>
        <v>7</v>
      </c>
      <c r="AH750" s="2">
        <f t="shared" si="119"/>
        <v>1</v>
      </c>
      <c r="AI750" s="3">
        <v>1470.9999999962749</v>
      </c>
      <c r="AJ750" s="2">
        <v>1</v>
      </c>
      <c r="AK750">
        <v>0</v>
      </c>
      <c r="AL750">
        <v>80</v>
      </c>
      <c r="AM750">
        <v>0</v>
      </c>
      <c r="AN750" s="2">
        <f>IF((2*G750+M750-O750+3*V750+2*AB750+2*AE750+2*AH750+3*AJ750)&gt;=7,1,0)</f>
        <v>1</v>
      </c>
    </row>
    <row r="751" spans="1:40" x14ac:dyDescent="0.25">
      <c r="A751" t="s">
        <v>27</v>
      </c>
      <c r="B751" s="1">
        <v>39276</v>
      </c>
      <c r="C751" s="6">
        <f t="shared" si="110"/>
        <v>2007</v>
      </c>
      <c r="D751">
        <v>80.7</v>
      </c>
      <c r="E751">
        <v>69.900000000000006</v>
      </c>
      <c r="F751">
        <v>77.3</v>
      </c>
      <c r="G751" s="2">
        <f t="shared" si="111"/>
        <v>1</v>
      </c>
      <c r="H751">
        <v>83.4</v>
      </c>
      <c r="I751">
        <v>69.900000000000006</v>
      </c>
      <c r="J751">
        <v>78.2</v>
      </c>
      <c r="K751">
        <v>65</v>
      </c>
      <c r="L751">
        <v>66.599999999999994</v>
      </c>
      <c r="M751" s="2">
        <f t="shared" si="112"/>
        <v>0</v>
      </c>
      <c r="N751">
        <v>0</v>
      </c>
      <c r="O751" s="2">
        <f t="shared" si="113"/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 s="2">
        <f t="shared" si="114"/>
        <v>0</v>
      </c>
      <c r="W751">
        <v>25.3</v>
      </c>
      <c r="X751" s="2">
        <f t="shared" si="115"/>
        <v>1</v>
      </c>
      <c r="Y751">
        <v>320</v>
      </c>
      <c r="Z751" s="2" t="str">
        <f>CHOOSE(MATCH(Y751,{0;11;80;111;161;191;241;281;341},1),"North","NorthEast","East","SouthEast","South","SouthWest","West","NorthWest","North")</f>
        <v>NorthWest</v>
      </c>
      <c r="AA751" s="4">
        <f>CHOOSE(MATCH(Z751,{"South";"SouthEast";"SouthWest";"North";"NorthEast";"East";"West";"NorthWest"},0),1,2,3,4,5,6,7,8)</f>
        <v>8</v>
      </c>
      <c r="AB751" s="2">
        <f t="shared" si="116"/>
        <v>1</v>
      </c>
      <c r="AC751">
        <v>1010.9</v>
      </c>
      <c r="AD751" t="s">
        <v>1161</v>
      </c>
      <c r="AE751" s="2">
        <f t="shared" si="117"/>
        <v>0</v>
      </c>
      <c r="AF751" t="s">
        <v>1162</v>
      </c>
      <c r="AG751" s="2">
        <f t="shared" si="118"/>
        <v>7</v>
      </c>
      <c r="AH751" s="2">
        <f t="shared" si="119"/>
        <v>1</v>
      </c>
      <c r="AI751" s="3">
        <v>1499.999999996508</v>
      </c>
      <c r="AJ751" s="2">
        <v>1</v>
      </c>
      <c r="AK751">
        <v>0</v>
      </c>
      <c r="AL751">
        <v>25</v>
      </c>
      <c r="AM751">
        <v>0</v>
      </c>
      <c r="AN751" s="2">
        <f>IF((2*G751+M751-O751+3*V751+2*AB751+2*AE751+2*AH751+3*AJ751)&gt;=7,1,0)</f>
        <v>1</v>
      </c>
    </row>
    <row r="752" spans="1:40" x14ac:dyDescent="0.25">
      <c r="A752" t="s">
        <v>27</v>
      </c>
      <c r="B752" s="1">
        <v>39278</v>
      </c>
      <c r="C752" s="6">
        <f t="shared" si="110"/>
        <v>2007</v>
      </c>
      <c r="D752">
        <v>80.7</v>
      </c>
      <c r="E752">
        <v>73.5</v>
      </c>
      <c r="F752">
        <v>77.8</v>
      </c>
      <c r="G752" s="2">
        <f t="shared" si="111"/>
        <v>1</v>
      </c>
      <c r="H752">
        <v>81.900000000000006</v>
      </c>
      <c r="I752">
        <v>73.5</v>
      </c>
      <c r="J752">
        <v>78</v>
      </c>
      <c r="K752">
        <v>61.7</v>
      </c>
      <c r="L752">
        <v>58.1</v>
      </c>
      <c r="M752" s="2">
        <f t="shared" si="112"/>
        <v>1</v>
      </c>
      <c r="N752">
        <v>0</v>
      </c>
      <c r="O752" s="2">
        <f t="shared" si="113"/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 s="2">
        <f t="shared" si="114"/>
        <v>0</v>
      </c>
      <c r="W752">
        <v>21.9</v>
      </c>
      <c r="X752" s="2">
        <f t="shared" si="115"/>
        <v>1</v>
      </c>
      <c r="Y752">
        <v>314.89999999999998</v>
      </c>
      <c r="Z752" s="2" t="str">
        <f>CHOOSE(MATCH(Y752,{0;11;80;111;161;191;241;281;341},1),"North","NorthEast","East","SouthEast","South","SouthWest","West","NorthWest","North")</f>
        <v>NorthWest</v>
      </c>
      <c r="AA752" s="4">
        <f>CHOOSE(MATCH(Z752,{"South";"SouthEast";"SouthWest";"North";"NorthEast";"East";"West";"NorthWest"},0),1,2,3,4,5,6,7,8)</f>
        <v>8</v>
      </c>
      <c r="AB752" s="2">
        <f t="shared" si="116"/>
        <v>1</v>
      </c>
      <c r="AC752">
        <v>1014</v>
      </c>
      <c r="AD752" t="s">
        <v>1163</v>
      </c>
      <c r="AE752" s="2">
        <f t="shared" si="117"/>
        <v>1</v>
      </c>
      <c r="AF752" t="s">
        <v>1164</v>
      </c>
      <c r="AG752" s="2">
        <f t="shared" si="118"/>
        <v>7</v>
      </c>
      <c r="AH752" s="2">
        <f t="shared" si="119"/>
        <v>1</v>
      </c>
      <c r="AI752" s="3">
        <v>1020.000000003492</v>
      </c>
      <c r="AJ752" s="2">
        <v>1</v>
      </c>
      <c r="AK752">
        <v>0</v>
      </c>
      <c r="AL752">
        <v>30</v>
      </c>
      <c r="AM752">
        <v>0</v>
      </c>
      <c r="AN752" s="2">
        <f>IF((2*G752+M752-O752+3*V752+2*AB752+2*AE752+2*AH752+3*AJ752)&gt;=7,1,0)</f>
        <v>1</v>
      </c>
    </row>
    <row r="753" spans="1:40" x14ac:dyDescent="0.25">
      <c r="A753" t="s">
        <v>27</v>
      </c>
      <c r="B753" s="1">
        <v>39278</v>
      </c>
      <c r="C753" s="6">
        <f t="shared" si="110"/>
        <v>2007</v>
      </c>
      <c r="D753">
        <v>80.7</v>
      </c>
      <c r="E753">
        <v>73.5</v>
      </c>
      <c r="F753">
        <v>77.8</v>
      </c>
      <c r="G753" s="2">
        <f t="shared" si="111"/>
        <v>1</v>
      </c>
      <c r="H753">
        <v>81.900000000000006</v>
      </c>
      <c r="I753">
        <v>73.5</v>
      </c>
      <c r="J753">
        <v>78</v>
      </c>
      <c r="K753">
        <v>61.7</v>
      </c>
      <c r="L753">
        <v>58.1</v>
      </c>
      <c r="M753" s="2">
        <f t="shared" si="112"/>
        <v>1</v>
      </c>
      <c r="N753">
        <v>0</v>
      </c>
      <c r="O753" s="2">
        <f t="shared" si="113"/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s="2">
        <f t="shared" si="114"/>
        <v>0</v>
      </c>
      <c r="W753">
        <v>21.9</v>
      </c>
      <c r="X753" s="2">
        <f t="shared" si="115"/>
        <v>1</v>
      </c>
      <c r="Y753">
        <v>314.89999999999998</v>
      </c>
      <c r="Z753" s="2" t="str">
        <f>CHOOSE(MATCH(Y753,{0;11;80;111;161;191;241;281;341},1),"North","NorthEast","East","SouthEast","South","SouthWest","West","NorthWest","North")</f>
        <v>NorthWest</v>
      </c>
      <c r="AA753" s="4">
        <f>CHOOSE(MATCH(Z753,{"South";"SouthEast";"SouthWest";"North";"NorthEast";"East";"West";"NorthWest"},0),1,2,3,4,5,6,7,8)</f>
        <v>8</v>
      </c>
      <c r="AB753" s="2">
        <f t="shared" si="116"/>
        <v>1</v>
      </c>
      <c r="AC753">
        <v>1014</v>
      </c>
      <c r="AD753" t="s">
        <v>1165</v>
      </c>
      <c r="AE753" s="2">
        <f t="shared" si="117"/>
        <v>0</v>
      </c>
      <c r="AF753" t="s">
        <v>1166</v>
      </c>
      <c r="AG753" s="2">
        <f t="shared" si="118"/>
        <v>7</v>
      </c>
      <c r="AH753" s="2">
        <f t="shared" si="119"/>
        <v>1</v>
      </c>
      <c r="AI753" s="3">
        <v>129.99999999417921</v>
      </c>
      <c r="AJ753" s="2">
        <v>0</v>
      </c>
      <c r="AK753">
        <v>0</v>
      </c>
      <c r="AL753">
        <v>0.5</v>
      </c>
      <c r="AM753">
        <v>0</v>
      </c>
      <c r="AN753" s="2">
        <f>IF((2*G753+M753-O753+3*V753+2*AB753+2*AE753+2*AH753+3*AJ753)&gt;=7,1,0)</f>
        <v>0</v>
      </c>
    </row>
    <row r="754" spans="1:40" x14ac:dyDescent="0.25">
      <c r="A754" t="s">
        <v>27</v>
      </c>
      <c r="B754" s="1">
        <v>39280</v>
      </c>
      <c r="C754" s="6">
        <f t="shared" si="110"/>
        <v>2007</v>
      </c>
      <c r="D754">
        <v>82.5</v>
      </c>
      <c r="E754">
        <v>69.900000000000006</v>
      </c>
      <c r="F754">
        <v>78.400000000000006</v>
      </c>
      <c r="G754" s="2">
        <f t="shared" si="111"/>
        <v>1</v>
      </c>
      <c r="H754">
        <v>84.1</v>
      </c>
      <c r="I754">
        <v>69.900000000000006</v>
      </c>
      <c r="J754">
        <v>79.2</v>
      </c>
      <c r="K754">
        <v>65.3</v>
      </c>
      <c r="L754">
        <v>64.400000000000006</v>
      </c>
      <c r="M754" s="2">
        <f t="shared" si="112"/>
        <v>1</v>
      </c>
      <c r="N754">
        <v>0</v>
      </c>
      <c r="O754" s="2">
        <f t="shared" si="113"/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 s="2">
        <f t="shared" si="114"/>
        <v>0</v>
      </c>
      <c r="W754">
        <v>20.8</v>
      </c>
      <c r="X754" s="2">
        <f t="shared" si="115"/>
        <v>1</v>
      </c>
      <c r="Y754">
        <v>312.3</v>
      </c>
      <c r="Z754" s="2" t="str">
        <f>CHOOSE(MATCH(Y754,{0;11;80;111;161;191;241;281;341},1),"North","NorthEast","East","SouthEast","South","SouthWest","West","NorthWest","North")</f>
        <v>NorthWest</v>
      </c>
      <c r="AA754" s="4">
        <f>CHOOSE(MATCH(Z754,{"South";"SouthEast";"SouthWest";"North";"NorthEast";"East";"West";"NorthWest"},0),1,2,3,4,5,6,7,8)</f>
        <v>8</v>
      </c>
      <c r="AB754" s="2">
        <f t="shared" si="116"/>
        <v>1</v>
      </c>
      <c r="AC754">
        <v>1012</v>
      </c>
      <c r="AD754" t="s">
        <v>1167</v>
      </c>
      <c r="AE754" s="2">
        <f t="shared" si="117"/>
        <v>0</v>
      </c>
      <c r="AF754" t="s">
        <v>1168</v>
      </c>
      <c r="AG754" s="2">
        <f t="shared" si="118"/>
        <v>7</v>
      </c>
      <c r="AH754" s="2">
        <f t="shared" si="119"/>
        <v>1</v>
      </c>
      <c r="AI754" s="3">
        <v>420.99999999976723</v>
      </c>
      <c r="AJ754" s="2">
        <v>1</v>
      </c>
      <c r="AK754">
        <v>0</v>
      </c>
      <c r="AL754">
        <v>1</v>
      </c>
      <c r="AM754">
        <v>0</v>
      </c>
      <c r="AN754" s="2">
        <f>IF((2*G754+M754-O754+3*V754+2*AB754+2*AE754+2*AH754+3*AJ754)&gt;=7,1,0)</f>
        <v>1</v>
      </c>
    </row>
    <row r="755" spans="1:40" x14ac:dyDescent="0.25">
      <c r="A755" t="s">
        <v>27</v>
      </c>
      <c r="B755" s="1">
        <v>39280</v>
      </c>
      <c r="C755" s="6">
        <f t="shared" si="110"/>
        <v>2007</v>
      </c>
      <c r="D755">
        <v>82.5</v>
      </c>
      <c r="E755">
        <v>69.900000000000006</v>
      </c>
      <c r="F755">
        <v>78.400000000000006</v>
      </c>
      <c r="G755" s="2">
        <f t="shared" si="111"/>
        <v>1</v>
      </c>
      <c r="H755">
        <v>84.1</v>
      </c>
      <c r="I755">
        <v>69.900000000000006</v>
      </c>
      <c r="J755">
        <v>79.2</v>
      </c>
      <c r="K755">
        <v>65.3</v>
      </c>
      <c r="L755">
        <v>64.400000000000006</v>
      </c>
      <c r="M755" s="2">
        <f t="shared" si="112"/>
        <v>1</v>
      </c>
      <c r="N755">
        <v>0</v>
      </c>
      <c r="O755" s="2">
        <f t="shared" si="113"/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s="2">
        <f t="shared" si="114"/>
        <v>0</v>
      </c>
      <c r="W755">
        <v>20.8</v>
      </c>
      <c r="X755" s="2">
        <f t="shared" si="115"/>
        <v>1</v>
      </c>
      <c r="Y755">
        <v>312.3</v>
      </c>
      <c r="Z755" s="2" t="str">
        <f>CHOOSE(MATCH(Y755,{0;11;80;111;161;191;241;281;341},1),"North","NorthEast","East","SouthEast","South","SouthWest","West","NorthWest","North")</f>
        <v>NorthWest</v>
      </c>
      <c r="AA755" s="4">
        <f>CHOOSE(MATCH(Z755,{"South";"SouthEast";"SouthWest";"North";"NorthEast";"East";"West";"NorthWest"},0),1,2,3,4,5,6,7,8)</f>
        <v>8</v>
      </c>
      <c r="AB755" s="2">
        <f t="shared" si="116"/>
        <v>1</v>
      </c>
      <c r="AC755">
        <v>1012</v>
      </c>
      <c r="AD755" t="s">
        <v>1169</v>
      </c>
      <c r="AE755" s="2">
        <f t="shared" si="117"/>
        <v>0</v>
      </c>
      <c r="AF755" t="s">
        <v>1170</v>
      </c>
      <c r="AG755" s="2">
        <f t="shared" si="118"/>
        <v>7</v>
      </c>
      <c r="AH755" s="2">
        <f t="shared" si="119"/>
        <v>1</v>
      </c>
      <c r="AI755" s="3">
        <v>1519.9999999988361</v>
      </c>
      <c r="AJ755" s="2">
        <v>1</v>
      </c>
      <c r="AK755">
        <v>0</v>
      </c>
      <c r="AL755">
        <v>2000</v>
      </c>
      <c r="AM755">
        <v>0</v>
      </c>
      <c r="AN755" s="2">
        <f>IF((2*G755+M755-O755+3*V755+2*AB755+2*AE755+2*AH755+3*AJ755)&gt;=7,1,0)</f>
        <v>1</v>
      </c>
    </row>
    <row r="756" spans="1:40" x14ac:dyDescent="0.25">
      <c r="A756" t="s">
        <v>27</v>
      </c>
      <c r="B756" s="1">
        <v>39281</v>
      </c>
      <c r="C756" s="6">
        <f t="shared" si="110"/>
        <v>2007</v>
      </c>
      <c r="D756">
        <v>82.5</v>
      </c>
      <c r="E756">
        <v>68.099999999999994</v>
      </c>
      <c r="F756">
        <v>77.599999999999994</v>
      </c>
      <c r="G756" s="2">
        <f t="shared" si="111"/>
        <v>1</v>
      </c>
      <c r="H756">
        <v>87.4</v>
      </c>
      <c r="I756">
        <v>68.099999999999994</v>
      </c>
      <c r="J756">
        <v>79.5</v>
      </c>
      <c r="K756">
        <v>65.7</v>
      </c>
      <c r="L756">
        <v>66.8</v>
      </c>
      <c r="M756" s="2">
        <f t="shared" si="112"/>
        <v>0</v>
      </c>
      <c r="N756">
        <v>0</v>
      </c>
      <c r="O756" s="2">
        <f t="shared" si="113"/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 s="2">
        <f t="shared" si="114"/>
        <v>0</v>
      </c>
      <c r="W756">
        <v>18.3</v>
      </c>
      <c r="X756" s="2">
        <f t="shared" si="115"/>
        <v>1</v>
      </c>
      <c r="Y756">
        <v>308.8</v>
      </c>
      <c r="Z756" s="2" t="str">
        <f>CHOOSE(MATCH(Y756,{0;11;80;111;161;191;241;281;341},1),"North","NorthEast","East","SouthEast","South","SouthWest","West","NorthWest","North")</f>
        <v>NorthWest</v>
      </c>
      <c r="AA756" s="4">
        <f>CHOOSE(MATCH(Z756,{"South";"SouthEast";"SouthWest";"North";"NorthEast";"East";"West";"NorthWest"},0),1,2,3,4,5,6,7,8)</f>
        <v>8</v>
      </c>
      <c r="AB756" s="2">
        <f t="shared" si="116"/>
        <v>1</v>
      </c>
      <c r="AC756">
        <v>1010.6</v>
      </c>
      <c r="AD756" t="s">
        <v>1171</v>
      </c>
      <c r="AE756" s="2">
        <f t="shared" si="117"/>
        <v>0</v>
      </c>
      <c r="AF756" t="s">
        <v>1172</v>
      </c>
      <c r="AG756" s="2">
        <f t="shared" si="118"/>
        <v>7</v>
      </c>
      <c r="AH756" s="2">
        <f t="shared" si="119"/>
        <v>1</v>
      </c>
      <c r="AI756" s="3">
        <v>100.0000000011642</v>
      </c>
      <c r="AJ756" s="2">
        <v>0</v>
      </c>
      <c r="AK756">
        <v>0</v>
      </c>
      <c r="AL756">
        <v>1</v>
      </c>
      <c r="AM756">
        <v>0</v>
      </c>
      <c r="AN756" s="2">
        <f>IF((2*G756+M756-O756+3*V756+2*AB756+2*AE756+2*AH756+3*AJ756)&gt;=7,1,0)</f>
        <v>0</v>
      </c>
    </row>
    <row r="757" spans="1:40" x14ac:dyDescent="0.25">
      <c r="A757" t="s">
        <v>27</v>
      </c>
      <c r="B757" s="1">
        <v>39281</v>
      </c>
      <c r="C757" s="6">
        <f t="shared" si="110"/>
        <v>2007</v>
      </c>
      <c r="D757">
        <v>82.5</v>
      </c>
      <c r="E757">
        <v>68.099999999999994</v>
      </c>
      <c r="F757">
        <v>77.599999999999994</v>
      </c>
      <c r="G757" s="2">
        <f t="shared" si="111"/>
        <v>1</v>
      </c>
      <c r="H757">
        <v>87.4</v>
      </c>
      <c r="I757">
        <v>68.099999999999994</v>
      </c>
      <c r="J757">
        <v>79.5</v>
      </c>
      <c r="K757">
        <v>65.7</v>
      </c>
      <c r="L757">
        <v>66.8</v>
      </c>
      <c r="M757" s="2">
        <f t="shared" si="112"/>
        <v>0</v>
      </c>
      <c r="N757">
        <v>0</v>
      </c>
      <c r="O757" s="2">
        <f t="shared" si="113"/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 s="2">
        <f t="shared" si="114"/>
        <v>0</v>
      </c>
      <c r="W757">
        <v>18.3</v>
      </c>
      <c r="X757" s="2">
        <f t="shared" si="115"/>
        <v>1</v>
      </c>
      <c r="Y757">
        <v>308.8</v>
      </c>
      <c r="Z757" s="2" t="str">
        <f>CHOOSE(MATCH(Y757,{0;11;80;111;161;191;241;281;341},1),"North","NorthEast","East","SouthEast","South","SouthWest","West","NorthWest","North")</f>
        <v>NorthWest</v>
      </c>
      <c r="AA757" s="4">
        <f>CHOOSE(MATCH(Z757,{"South";"SouthEast";"SouthWest";"North";"NorthEast";"East";"West";"NorthWest"},0),1,2,3,4,5,6,7,8)</f>
        <v>8</v>
      </c>
      <c r="AB757" s="2">
        <f t="shared" si="116"/>
        <v>1</v>
      </c>
      <c r="AC757">
        <v>1010.6</v>
      </c>
      <c r="AD757" t="s">
        <v>1173</v>
      </c>
      <c r="AE757" s="2">
        <f t="shared" si="117"/>
        <v>0</v>
      </c>
      <c r="AF757" t="s">
        <v>1174</v>
      </c>
      <c r="AG757" s="2">
        <f t="shared" si="118"/>
        <v>7</v>
      </c>
      <c r="AH757" s="2">
        <f t="shared" si="119"/>
        <v>1</v>
      </c>
      <c r="AI757" s="3">
        <v>16504.999999998839</v>
      </c>
      <c r="AJ757" s="2">
        <v>1</v>
      </c>
      <c r="AK757">
        <v>150</v>
      </c>
      <c r="AL757">
        <v>3000</v>
      </c>
      <c r="AM757">
        <v>0</v>
      </c>
      <c r="AN757" s="2">
        <f>IF((2*G757+M757-O757+3*V757+2*AB757+2*AE757+2*AH757+3*AJ757)&gt;=7,1,0)</f>
        <v>1</v>
      </c>
    </row>
    <row r="758" spans="1:40" x14ac:dyDescent="0.25">
      <c r="A758" t="s">
        <v>27</v>
      </c>
      <c r="B758" s="1">
        <v>39283</v>
      </c>
      <c r="C758" s="6">
        <f t="shared" si="110"/>
        <v>2007</v>
      </c>
      <c r="D758">
        <v>86.1</v>
      </c>
      <c r="E758">
        <v>71.7</v>
      </c>
      <c r="F758">
        <v>79.8</v>
      </c>
      <c r="G758" s="2">
        <f t="shared" si="111"/>
        <v>1</v>
      </c>
      <c r="H758">
        <v>93.7</v>
      </c>
      <c r="I758">
        <v>71.7</v>
      </c>
      <c r="J758">
        <v>81.900000000000006</v>
      </c>
      <c r="K758">
        <v>65.599999999999994</v>
      </c>
      <c r="L758">
        <v>62.2</v>
      </c>
      <c r="M758" s="2">
        <f t="shared" si="112"/>
        <v>1</v>
      </c>
      <c r="N758">
        <v>0</v>
      </c>
      <c r="O758" s="2">
        <f t="shared" si="113"/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s="2">
        <f t="shared" si="114"/>
        <v>0</v>
      </c>
      <c r="W758">
        <v>19.5</v>
      </c>
      <c r="X758" s="2">
        <f t="shared" si="115"/>
        <v>1</v>
      </c>
      <c r="Y758">
        <v>318.3</v>
      </c>
      <c r="Z758" s="2" t="str">
        <f>CHOOSE(MATCH(Y758,{0;11;80;111;161;191;241;281;341},1),"North","NorthEast","East","SouthEast","South","SouthWest","West","NorthWest","North")</f>
        <v>NorthWest</v>
      </c>
      <c r="AA758" s="4">
        <f>CHOOSE(MATCH(Z758,{"South";"SouthEast";"SouthWest";"North";"NorthEast";"East";"West";"NorthWest"},0),1,2,3,4,5,6,7,8)</f>
        <v>8</v>
      </c>
      <c r="AB758" s="2">
        <f t="shared" si="116"/>
        <v>1</v>
      </c>
      <c r="AC758">
        <v>1009.8</v>
      </c>
      <c r="AD758" t="s">
        <v>1125</v>
      </c>
      <c r="AE758" s="2">
        <f t="shared" si="117"/>
        <v>1</v>
      </c>
      <c r="AF758" t="s">
        <v>1175</v>
      </c>
      <c r="AG758" s="2">
        <f t="shared" si="118"/>
        <v>7</v>
      </c>
      <c r="AH758" s="2">
        <f t="shared" si="119"/>
        <v>1</v>
      </c>
      <c r="AI758" s="3">
        <v>2375.0000000093132</v>
      </c>
      <c r="AJ758" s="2">
        <v>1</v>
      </c>
      <c r="AK758">
        <v>0</v>
      </c>
      <c r="AL758">
        <v>250</v>
      </c>
      <c r="AM758">
        <v>0</v>
      </c>
      <c r="AN758" s="2">
        <f>IF((2*G758+M758-O758+3*V758+2*AB758+2*AE758+2*AH758+3*AJ758)&gt;=7,1,0)</f>
        <v>1</v>
      </c>
    </row>
    <row r="759" spans="1:40" x14ac:dyDescent="0.25">
      <c r="A759" t="s">
        <v>27</v>
      </c>
      <c r="B759" s="1">
        <v>39283</v>
      </c>
      <c r="C759" s="6">
        <f t="shared" si="110"/>
        <v>2007</v>
      </c>
      <c r="D759">
        <v>86.1</v>
      </c>
      <c r="E759">
        <v>71.7</v>
      </c>
      <c r="F759">
        <v>79.8</v>
      </c>
      <c r="G759" s="2">
        <f t="shared" si="111"/>
        <v>1</v>
      </c>
      <c r="H759">
        <v>93.7</v>
      </c>
      <c r="I759">
        <v>71.7</v>
      </c>
      <c r="J759">
        <v>81.900000000000006</v>
      </c>
      <c r="K759">
        <v>65.599999999999994</v>
      </c>
      <c r="L759">
        <v>62.2</v>
      </c>
      <c r="M759" s="2">
        <f t="shared" si="112"/>
        <v>1</v>
      </c>
      <c r="N759">
        <v>0</v>
      </c>
      <c r="O759" s="2">
        <f t="shared" si="113"/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 s="2">
        <f t="shared" si="114"/>
        <v>0</v>
      </c>
      <c r="W759">
        <v>19.5</v>
      </c>
      <c r="X759" s="2">
        <f t="shared" si="115"/>
        <v>1</v>
      </c>
      <c r="Y759">
        <v>318.3</v>
      </c>
      <c r="Z759" s="2" t="str">
        <f>CHOOSE(MATCH(Y759,{0;11;80;111;161;191;241;281;341},1),"North","NorthEast","East","SouthEast","South","SouthWest","West","NorthWest","North")</f>
        <v>NorthWest</v>
      </c>
      <c r="AA759" s="4">
        <f>CHOOSE(MATCH(Z759,{"South";"SouthEast";"SouthWest";"North";"NorthEast";"East";"West";"NorthWest"},0),1,2,3,4,5,6,7,8)</f>
        <v>8</v>
      </c>
      <c r="AB759" s="2">
        <f t="shared" si="116"/>
        <v>1</v>
      </c>
      <c r="AC759">
        <v>1009.8</v>
      </c>
      <c r="AD759" t="s">
        <v>1111</v>
      </c>
      <c r="AE759" s="2">
        <f t="shared" si="117"/>
        <v>1</v>
      </c>
      <c r="AF759" t="s">
        <v>1176</v>
      </c>
      <c r="AG759" s="2">
        <f t="shared" si="118"/>
        <v>7</v>
      </c>
      <c r="AH759" s="2">
        <f t="shared" si="119"/>
        <v>1</v>
      </c>
      <c r="AI759" s="3">
        <v>785.00000000232831</v>
      </c>
      <c r="AJ759" s="2">
        <v>1</v>
      </c>
      <c r="AK759">
        <v>0</v>
      </c>
      <c r="AL759">
        <v>2</v>
      </c>
      <c r="AM759">
        <v>0</v>
      </c>
      <c r="AN759" s="2">
        <f>IF((2*G759+M759-O759+3*V759+2*AB759+2*AE759+2*AH759+3*AJ759)&gt;=7,1,0)</f>
        <v>1</v>
      </c>
    </row>
    <row r="760" spans="1:40" x14ac:dyDescent="0.25">
      <c r="A760" t="s">
        <v>27</v>
      </c>
      <c r="B760" s="1">
        <v>39285</v>
      </c>
      <c r="C760" s="6">
        <f t="shared" si="110"/>
        <v>2007</v>
      </c>
      <c r="D760">
        <v>87.9</v>
      </c>
      <c r="E760">
        <v>68.099999999999994</v>
      </c>
      <c r="F760">
        <v>79.599999999999994</v>
      </c>
      <c r="G760" s="2">
        <f t="shared" si="111"/>
        <v>1</v>
      </c>
      <c r="H760">
        <v>89.6</v>
      </c>
      <c r="I760">
        <v>68.099999999999994</v>
      </c>
      <c r="J760">
        <v>80.7</v>
      </c>
      <c r="K760">
        <v>61.1</v>
      </c>
      <c r="L760">
        <v>53.7</v>
      </c>
      <c r="M760" s="2">
        <f t="shared" si="112"/>
        <v>1</v>
      </c>
      <c r="N760">
        <v>0</v>
      </c>
      <c r="O760" s="2">
        <f t="shared" si="113"/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 s="2">
        <f t="shared" si="114"/>
        <v>0</v>
      </c>
      <c r="W760">
        <v>17.2</v>
      </c>
      <c r="X760" s="2">
        <f t="shared" si="115"/>
        <v>1</v>
      </c>
      <c r="Y760">
        <v>296.7</v>
      </c>
      <c r="Z760" s="2" t="str">
        <f>CHOOSE(MATCH(Y760,{0;11;80;111;161;191;241;281;341},1),"North","NorthEast","East","SouthEast","South","SouthWest","West","NorthWest","North")</f>
        <v>NorthWest</v>
      </c>
      <c r="AA760" s="4">
        <f>CHOOSE(MATCH(Z760,{"South";"SouthEast";"SouthWest";"North";"NorthEast";"East";"West";"NorthWest"},0),1,2,3,4,5,6,7,8)</f>
        <v>8</v>
      </c>
      <c r="AB760" s="2">
        <f t="shared" si="116"/>
        <v>1</v>
      </c>
      <c r="AC760">
        <v>1008.8</v>
      </c>
      <c r="AD760" t="s">
        <v>1177</v>
      </c>
      <c r="AE760" s="2">
        <f t="shared" si="117"/>
        <v>0</v>
      </c>
      <c r="AF760" t="s">
        <v>1178</v>
      </c>
      <c r="AG760" s="2">
        <f t="shared" si="118"/>
        <v>7</v>
      </c>
      <c r="AH760" s="2">
        <f t="shared" si="119"/>
        <v>1</v>
      </c>
      <c r="AI760" s="3">
        <v>3351.9999999983702</v>
      </c>
      <c r="AJ760" s="2">
        <v>1</v>
      </c>
      <c r="AK760">
        <v>150</v>
      </c>
      <c r="AL760">
        <v>0</v>
      </c>
      <c r="AM760">
        <v>0</v>
      </c>
      <c r="AN760" s="2">
        <f>IF((2*G760+M760-O760+3*V760+2*AB760+2*AE760+2*AH760+3*AJ760)&gt;=7,1,0)</f>
        <v>1</v>
      </c>
    </row>
    <row r="761" spans="1:40" x14ac:dyDescent="0.25">
      <c r="A761" t="s">
        <v>27</v>
      </c>
      <c r="B761" s="1">
        <v>39287</v>
      </c>
      <c r="C761" s="6">
        <f t="shared" si="110"/>
        <v>2007</v>
      </c>
      <c r="D761">
        <v>87.9</v>
      </c>
      <c r="E761">
        <v>73.5</v>
      </c>
      <c r="F761">
        <v>82.7</v>
      </c>
      <c r="G761" s="2">
        <f t="shared" si="111"/>
        <v>1</v>
      </c>
      <c r="H761">
        <v>94.4</v>
      </c>
      <c r="I761">
        <v>73.5</v>
      </c>
      <c r="J761">
        <v>85.4</v>
      </c>
      <c r="K761">
        <v>65.7</v>
      </c>
      <c r="L761">
        <v>56.8</v>
      </c>
      <c r="M761" s="2">
        <f t="shared" si="112"/>
        <v>1</v>
      </c>
      <c r="N761">
        <v>0</v>
      </c>
      <c r="O761" s="2">
        <f t="shared" si="113"/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 s="2">
        <f t="shared" si="114"/>
        <v>0</v>
      </c>
      <c r="W761">
        <v>15</v>
      </c>
      <c r="X761" s="2">
        <f t="shared" si="115"/>
        <v>0</v>
      </c>
      <c r="Y761">
        <v>269.60000000000002</v>
      </c>
      <c r="Z761" s="2" t="str">
        <f>CHOOSE(MATCH(Y761,{0;11;80;111;161;191;241;281;341},1),"North","NorthEast","East","SouthEast","South","SouthWest","West","NorthWest","North")</f>
        <v>West</v>
      </c>
      <c r="AA761" s="4">
        <f>CHOOSE(MATCH(Z761,{"South";"SouthEast";"SouthWest";"North";"NorthEast";"East";"West";"NorthWest"},0),1,2,3,4,5,6,7,8)</f>
        <v>7</v>
      </c>
      <c r="AB761" s="2">
        <f t="shared" si="116"/>
        <v>0</v>
      </c>
      <c r="AC761">
        <v>1006.4</v>
      </c>
      <c r="AD761" t="s">
        <v>1103</v>
      </c>
      <c r="AE761" s="2">
        <f t="shared" si="117"/>
        <v>1</v>
      </c>
      <c r="AF761" t="s">
        <v>1179</v>
      </c>
      <c r="AG761" s="2">
        <f t="shared" si="118"/>
        <v>7</v>
      </c>
      <c r="AH761" s="2">
        <f t="shared" si="119"/>
        <v>1</v>
      </c>
      <c r="AI761" s="3">
        <v>4649.9999999965084</v>
      </c>
      <c r="AJ761" s="2">
        <v>1</v>
      </c>
      <c r="AK761">
        <v>0</v>
      </c>
      <c r="AL761">
        <v>100</v>
      </c>
      <c r="AM761">
        <v>0</v>
      </c>
      <c r="AN761" s="2">
        <f>IF((2*G761+M761-O761+3*V761+2*AB761+2*AE761+2*AH761+3*AJ761)&gt;=7,1,0)</f>
        <v>1</v>
      </c>
    </row>
    <row r="762" spans="1:40" x14ac:dyDescent="0.25">
      <c r="A762" t="s">
        <v>27</v>
      </c>
      <c r="B762" s="1">
        <v>39287</v>
      </c>
      <c r="C762" s="6">
        <f t="shared" si="110"/>
        <v>2007</v>
      </c>
      <c r="D762">
        <v>87.9</v>
      </c>
      <c r="E762">
        <v>73.5</v>
      </c>
      <c r="F762">
        <v>82.7</v>
      </c>
      <c r="G762" s="2">
        <f t="shared" si="111"/>
        <v>1</v>
      </c>
      <c r="H762">
        <v>94.4</v>
      </c>
      <c r="I762">
        <v>73.5</v>
      </c>
      <c r="J762">
        <v>85.4</v>
      </c>
      <c r="K762">
        <v>65.7</v>
      </c>
      <c r="L762">
        <v>56.8</v>
      </c>
      <c r="M762" s="2">
        <f t="shared" si="112"/>
        <v>1</v>
      </c>
      <c r="N762">
        <v>0</v>
      </c>
      <c r="O762" s="2">
        <f t="shared" si="113"/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s="2">
        <f t="shared" si="114"/>
        <v>0</v>
      </c>
      <c r="W762">
        <v>15</v>
      </c>
      <c r="X762" s="2">
        <f t="shared" si="115"/>
        <v>0</v>
      </c>
      <c r="Y762">
        <v>269.60000000000002</v>
      </c>
      <c r="Z762" s="2" t="str">
        <f>CHOOSE(MATCH(Y762,{0;11;80;111;161;191;241;281;341},1),"North","NorthEast","East","SouthEast","South","SouthWest","West","NorthWest","North")</f>
        <v>West</v>
      </c>
      <c r="AA762" s="4">
        <f>CHOOSE(MATCH(Z762,{"South";"SouthEast";"SouthWest";"North";"NorthEast";"East";"West";"NorthWest"},0),1,2,3,4,5,6,7,8)</f>
        <v>7</v>
      </c>
      <c r="AB762" s="2">
        <f t="shared" si="116"/>
        <v>0</v>
      </c>
      <c r="AC762">
        <v>1006.4</v>
      </c>
      <c r="AD762" t="s">
        <v>1129</v>
      </c>
      <c r="AE762" s="2">
        <f t="shared" si="117"/>
        <v>1</v>
      </c>
      <c r="AF762" t="s">
        <v>1180</v>
      </c>
      <c r="AG762" s="2">
        <f t="shared" si="118"/>
        <v>7</v>
      </c>
      <c r="AH762" s="2">
        <f t="shared" si="119"/>
        <v>1</v>
      </c>
      <c r="AI762" s="3">
        <v>255.00000000349249</v>
      </c>
      <c r="AJ762" s="2">
        <v>0</v>
      </c>
      <c r="AK762">
        <v>0</v>
      </c>
      <c r="AL762">
        <v>5</v>
      </c>
      <c r="AM762">
        <v>0</v>
      </c>
      <c r="AN762" s="2">
        <f>IF((2*G762+M762-O762+3*V762+2*AB762+2*AE762+2*AH762+3*AJ762)&gt;=7,1,0)</f>
        <v>0</v>
      </c>
    </row>
    <row r="763" spans="1:40" x14ac:dyDescent="0.25">
      <c r="A763" t="s">
        <v>27</v>
      </c>
      <c r="B763" s="1">
        <v>39289</v>
      </c>
      <c r="C763" s="6">
        <f t="shared" si="110"/>
        <v>2007</v>
      </c>
      <c r="D763">
        <v>100.5</v>
      </c>
      <c r="E763">
        <v>78.900000000000006</v>
      </c>
      <c r="F763">
        <v>87.8</v>
      </c>
      <c r="G763" s="2">
        <f t="shared" si="111"/>
        <v>1</v>
      </c>
      <c r="H763">
        <v>103.9</v>
      </c>
      <c r="I763">
        <v>78.900000000000006</v>
      </c>
      <c r="J763">
        <v>90.9</v>
      </c>
      <c r="K763">
        <v>64.099999999999994</v>
      </c>
      <c r="L763">
        <v>47.7</v>
      </c>
      <c r="M763" s="2">
        <f t="shared" si="112"/>
        <v>1</v>
      </c>
      <c r="N763">
        <v>0</v>
      </c>
      <c r="O763" s="2">
        <f t="shared" si="113"/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s="2">
        <f t="shared" si="114"/>
        <v>0</v>
      </c>
      <c r="W763">
        <v>10.3</v>
      </c>
      <c r="X763" s="2">
        <f t="shared" si="115"/>
        <v>0</v>
      </c>
      <c r="Y763">
        <v>181</v>
      </c>
      <c r="Z763" s="2" t="str">
        <f>CHOOSE(MATCH(Y763,{0;11;80;111;161;191;241;281;341},1),"North","NorthEast","East","SouthEast","South","SouthWest","West","NorthWest","North")</f>
        <v>South</v>
      </c>
      <c r="AA763" s="4">
        <f>CHOOSE(MATCH(Z763,{"South";"SouthEast";"SouthWest";"North";"NorthEast";"East";"West";"NorthWest"},0),1,2,3,4,5,6,7,8)</f>
        <v>1</v>
      </c>
      <c r="AB763" s="2">
        <f t="shared" si="116"/>
        <v>0</v>
      </c>
      <c r="AC763">
        <v>1005.5</v>
      </c>
      <c r="AD763" t="s">
        <v>1135</v>
      </c>
      <c r="AE763" s="2">
        <f t="shared" si="117"/>
        <v>1</v>
      </c>
      <c r="AF763" t="s">
        <v>1181</v>
      </c>
      <c r="AG763" s="2">
        <f t="shared" si="118"/>
        <v>7</v>
      </c>
      <c r="AH763" s="2">
        <f t="shared" si="119"/>
        <v>1</v>
      </c>
      <c r="AI763" s="3">
        <v>695.00000000232831</v>
      </c>
      <c r="AJ763" s="2">
        <v>1</v>
      </c>
      <c r="AK763">
        <v>0</v>
      </c>
      <c r="AL763">
        <v>10</v>
      </c>
      <c r="AM763">
        <v>0</v>
      </c>
      <c r="AN763" s="2">
        <f>IF((2*G763+M763-O763+3*V763+2*AB763+2*AE763+2*AH763+3*AJ763)&gt;=7,1,0)</f>
        <v>1</v>
      </c>
    </row>
    <row r="764" spans="1:40" x14ac:dyDescent="0.25">
      <c r="A764" t="s">
        <v>27</v>
      </c>
      <c r="B764" s="1">
        <v>39291</v>
      </c>
      <c r="C764" s="6">
        <f t="shared" si="110"/>
        <v>2007</v>
      </c>
      <c r="D764">
        <v>84.3</v>
      </c>
      <c r="E764">
        <v>73.5</v>
      </c>
      <c r="F764">
        <v>80.2</v>
      </c>
      <c r="G764" s="2">
        <f t="shared" si="111"/>
        <v>1</v>
      </c>
      <c r="H764">
        <v>91.1</v>
      </c>
      <c r="I764">
        <v>73.5</v>
      </c>
      <c r="J764">
        <v>82.8</v>
      </c>
      <c r="K764">
        <v>71.900000000000006</v>
      </c>
      <c r="L764">
        <v>76</v>
      </c>
      <c r="M764" s="2">
        <f t="shared" si="112"/>
        <v>0</v>
      </c>
      <c r="N764">
        <v>0</v>
      </c>
      <c r="O764" s="2">
        <f t="shared" si="113"/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s="2">
        <f t="shared" si="114"/>
        <v>0</v>
      </c>
      <c r="W764">
        <v>16.100000000000001</v>
      </c>
      <c r="X764" s="2">
        <f t="shared" si="115"/>
        <v>1</v>
      </c>
      <c r="Y764">
        <v>321.39999999999998</v>
      </c>
      <c r="Z764" s="2" t="str">
        <f>CHOOSE(MATCH(Y764,{0;11;80;111;161;191;241;281;341},1),"North","NorthEast","East","SouthEast","South","SouthWest","West","NorthWest","North")</f>
        <v>NorthWest</v>
      </c>
      <c r="AA764" s="4">
        <f>CHOOSE(MATCH(Z764,{"South";"SouthEast";"SouthWest";"North";"NorthEast";"East";"West";"NorthWest"},0),1,2,3,4,5,6,7,8)</f>
        <v>8</v>
      </c>
      <c r="AB764" s="2">
        <f t="shared" si="116"/>
        <v>1</v>
      </c>
      <c r="AC764">
        <v>1008.4</v>
      </c>
      <c r="AD764" t="s">
        <v>1182</v>
      </c>
      <c r="AE764" s="2">
        <f t="shared" si="117"/>
        <v>1</v>
      </c>
      <c r="AF764" t="s">
        <v>1183</v>
      </c>
      <c r="AG764" s="2">
        <f t="shared" si="118"/>
        <v>7</v>
      </c>
      <c r="AH764" s="2">
        <f t="shared" si="119"/>
        <v>1</v>
      </c>
      <c r="AI764" s="3">
        <v>2980.0000000011642</v>
      </c>
      <c r="AJ764" s="2">
        <v>1</v>
      </c>
      <c r="AK764">
        <v>0</v>
      </c>
      <c r="AL764">
        <v>145</v>
      </c>
      <c r="AM764">
        <v>0</v>
      </c>
      <c r="AN764" s="2">
        <f>IF((2*G764+M764-O764+3*V764+2*AB764+2*AE764+2*AH764+3*AJ764)&gt;=7,1,0)</f>
        <v>1</v>
      </c>
    </row>
    <row r="765" spans="1:40" x14ac:dyDescent="0.25">
      <c r="A765" t="s">
        <v>27</v>
      </c>
      <c r="B765" s="1">
        <v>39291</v>
      </c>
      <c r="C765" s="6">
        <f t="shared" si="110"/>
        <v>2007</v>
      </c>
      <c r="D765">
        <v>84.3</v>
      </c>
      <c r="E765">
        <v>73.5</v>
      </c>
      <c r="F765">
        <v>80.2</v>
      </c>
      <c r="G765" s="2">
        <f t="shared" si="111"/>
        <v>1</v>
      </c>
      <c r="H765">
        <v>91.1</v>
      </c>
      <c r="I765">
        <v>73.5</v>
      </c>
      <c r="J765">
        <v>82.8</v>
      </c>
      <c r="K765">
        <v>71.900000000000006</v>
      </c>
      <c r="L765">
        <v>76</v>
      </c>
      <c r="M765" s="2">
        <f t="shared" si="112"/>
        <v>0</v>
      </c>
      <c r="N765">
        <v>0</v>
      </c>
      <c r="O765" s="2">
        <f t="shared" si="113"/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s="2">
        <f t="shared" si="114"/>
        <v>0</v>
      </c>
      <c r="W765">
        <v>16.100000000000001</v>
      </c>
      <c r="X765" s="2">
        <f t="shared" si="115"/>
        <v>1</v>
      </c>
      <c r="Y765">
        <v>321.39999999999998</v>
      </c>
      <c r="Z765" s="2" t="str">
        <f>CHOOSE(MATCH(Y765,{0;11;80;111;161;191;241;281;341},1),"North","NorthEast","East","SouthEast","South","SouthWest","West","NorthWest","North")</f>
        <v>NorthWest</v>
      </c>
      <c r="AA765" s="4">
        <f>CHOOSE(MATCH(Z765,{"South";"SouthEast";"SouthWest";"North";"NorthEast";"East";"West";"NorthWest"},0),1,2,3,4,5,6,7,8)</f>
        <v>8</v>
      </c>
      <c r="AB765" s="2">
        <f t="shared" si="116"/>
        <v>1</v>
      </c>
      <c r="AC765">
        <v>1008.4</v>
      </c>
      <c r="AD765" t="s">
        <v>1184</v>
      </c>
      <c r="AE765" s="2">
        <f t="shared" si="117"/>
        <v>1</v>
      </c>
      <c r="AF765" t="s">
        <v>1185</v>
      </c>
      <c r="AG765" s="2">
        <f t="shared" si="118"/>
        <v>7</v>
      </c>
      <c r="AH765" s="2">
        <f t="shared" si="119"/>
        <v>1</v>
      </c>
      <c r="AI765" s="3">
        <v>4990.0000000046566</v>
      </c>
      <c r="AJ765" s="2">
        <v>1</v>
      </c>
      <c r="AK765">
        <v>0</v>
      </c>
      <c r="AL765">
        <v>370</v>
      </c>
      <c r="AM765">
        <v>0</v>
      </c>
      <c r="AN765" s="2">
        <f>IF((2*G765+M765-O765+3*V765+2*AB765+2*AE765+2*AH765+3*AJ765)&gt;=7,1,0)</f>
        <v>1</v>
      </c>
    </row>
    <row r="766" spans="1:40" x14ac:dyDescent="0.25">
      <c r="A766" t="s">
        <v>27</v>
      </c>
      <c r="B766" s="1">
        <v>39292</v>
      </c>
      <c r="C766" s="6">
        <f t="shared" si="110"/>
        <v>2007</v>
      </c>
      <c r="D766">
        <v>84.3</v>
      </c>
      <c r="E766">
        <v>71.7</v>
      </c>
      <c r="F766">
        <v>79.599999999999994</v>
      </c>
      <c r="G766" s="2">
        <f t="shared" si="111"/>
        <v>1</v>
      </c>
      <c r="H766">
        <v>88.6</v>
      </c>
      <c r="I766">
        <v>71.7</v>
      </c>
      <c r="J766">
        <v>81.400000000000006</v>
      </c>
      <c r="K766">
        <v>67.8</v>
      </c>
      <c r="L766">
        <v>67.599999999999994</v>
      </c>
      <c r="M766" s="2">
        <f t="shared" si="112"/>
        <v>0</v>
      </c>
      <c r="N766">
        <v>0</v>
      </c>
      <c r="O766" s="2">
        <f t="shared" si="113"/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 s="2">
        <f t="shared" si="114"/>
        <v>0</v>
      </c>
      <c r="W766">
        <v>19.5</v>
      </c>
      <c r="X766" s="2">
        <f t="shared" si="115"/>
        <v>1</v>
      </c>
      <c r="Y766">
        <v>317.60000000000002</v>
      </c>
      <c r="Z766" s="2" t="str">
        <f>CHOOSE(MATCH(Y766,{0;11;80;111;161;191;241;281;341},1),"North","NorthEast","East","SouthEast","South","SouthWest","West","NorthWest","North")</f>
        <v>NorthWest</v>
      </c>
      <c r="AA766" s="4">
        <f>CHOOSE(MATCH(Z766,{"South";"SouthEast";"SouthWest";"North";"NorthEast";"East";"West";"NorthWest"},0),1,2,3,4,5,6,7,8)</f>
        <v>8</v>
      </c>
      <c r="AB766" s="2">
        <f t="shared" si="116"/>
        <v>1</v>
      </c>
      <c r="AC766">
        <v>1006.8</v>
      </c>
      <c r="AD766" t="s">
        <v>1069</v>
      </c>
      <c r="AE766" s="2">
        <f t="shared" si="117"/>
        <v>1</v>
      </c>
      <c r="AF766" t="s">
        <v>1186</v>
      </c>
      <c r="AG766" s="2">
        <f t="shared" si="118"/>
        <v>7</v>
      </c>
      <c r="AH766" s="2">
        <f t="shared" si="119"/>
        <v>1</v>
      </c>
      <c r="AI766" s="3">
        <v>84.999999994179234</v>
      </c>
      <c r="AJ766" s="2">
        <v>0</v>
      </c>
      <c r="AK766">
        <v>0.03</v>
      </c>
      <c r="AL766">
        <v>0</v>
      </c>
      <c r="AM766">
        <v>0</v>
      </c>
      <c r="AN766" s="2">
        <f>IF((2*G766+M766-O766+3*V766+2*AB766+2*AE766+2*AH766+3*AJ766)&gt;=7,1,0)</f>
        <v>1</v>
      </c>
    </row>
    <row r="767" spans="1:40" x14ac:dyDescent="0.25">
      <c r="A767" t="s">
        <v>27</v>
      </c>
      <c r="B767" s="1">
        <v>39293</v>
      </c>
      <c r="C767" s="6">
        <f t="shared" si="110"/>
        <v>2007</v>
      </c>
      <c r="D767">
        <v>84.3</v>
      </c>
      <c r="E767">
        <v>69.900000000000006</v>
      </c>
      <c r="F767">
        <v>79.400000000000006</v>
      </c>
      <c r="G767" s="2">
        <f t="shared" si="111"/>
        <v>1</v>
      </c>
      <c r="H767">
        <v>89.8</v>
      </c>
      <c r="I767">
        <v>69.900000000000006</v>
      </c>
      <c r="J767">
        <v>81.099999999999994</v>
      </c>
      <c r="K767">
        <v>67.599999999999994</v>
      </c>
      <c r="L767">
        <v>67.8</v>
      </c>
      <c r="M767" s="2">
        <f t="shared" si="112"/>
        <v>0</v>
      </c>
      <c r="N767">
        <v>0</v>
      </c>
      <c r="O767" s="2">
        <f t="shared" si="113"/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 s="2">
        <f t="shared" si="114"/>
        <v>0</v>
      </c>
      <c r="W767">
        <v>18.3</v>
      </c>
      <c r="X767" s="2">
        <f t="shared" si="115"/>
        <v>1</v>
      </c>
      <c r="Y767">
        <v>320.5</v>
      </c>
      <c r="Z767" s="2" t="str">
        <f>CHOOSE(MATCH(Y767,{0;11;80;111;161;191;241;281;341},1),"North","NorthEast","East","SouthEast","South","SouthWest","West","NorthWest","North")</f>
        <v>NorthWest</v>
      </c>
      <c r="AA767" s="4">
        <f>CHOOSE(MATCH(Z767,{"South";"SouthEast";"SouthWest";"North";"NorthEast";"East";"West";"NorthWest"},0),1,2,3,4,5,6,7,8)</f>
        <v>8</v>
      </c>
      <c r="AB767" s="2">
        <f t="shared" si="116"/>
        <v>1</v>
      </c>
      <c r="AC767">
        <v>1004.6</v>
      </c>
      <c r="AD767" t="s">
        <v>1107</v>
      </c>
      <c r="AE767" s="2">
        <f t="shared" si="117"/>
        <v>1</v>
      </c>
      <c r="AF767" t="s">
        <v>1187</v>
      </c>
      <c r="AG767" s="2">
        <f t="shared" si="118"/>
        <v>7</v>
      </c>
      <c r="AH767" s="2">
        <f t="shared" si="119"/>
        <v>1</v>
      </c>
      <c r="AI767" s="3">
        <v>4069.9999999918509</v>
      </c>
      <c r="AJ767" s="2">
        <v>1</v>
      </c>
      <c r="AK767">
        <v>0</v>
      </c>
      <c r="AL767">
        <v>40</v>
      </c>
      <c r="AM767">
        <v>0</v>
      </c>
      <c r="AN767" s="2">
        <f>IF((2*G767+M767-O767+3*V767+2*AB767+2*AE767+2*AH767+3*AJ767)&gt;=7,1,0)</f>
        <v>1</v>
      </c>
    </row>
    <row r="768" spans="1:40" x14ac:dyDescent="0.25">
      <c r="A768" t="s">
        <v>27</v>
      </c>
      <c r="B768" s="1">
        <v>39294</v>
      </c>
      <c r="C768" s="6">
        <f t="shared" si="110"/>
        <v>2007</v>
      </c>
      <c r="D768">
        <v>86.1</v>
      </c>
      <c r="E768">
        <v>69.900000000000006</v>
      </c>
      <c r="F768">
        <v>79.099999999999994</v>
      </c>
      <c r="G768" s="2">
        <f t="shared" si="111"/>
        <v>1</v>
      </c>
      <c r="H768">
        <v>92.7</v>
      </c>
      <c r="I768">
        <v>69.900000000000006</v>
      </c>
      <c r="J768">
        <v>81.599999999999994</v>
      </c>
      <c r="K768">
        <v>67.5</v>
      </c>
      <c r="L768">
        <v>69</v>
      </c>
      <c r="M768" s="2">
        <f t="shared" si="112"/>
        <v>0</v>
      </c>
      <c r="N768">
        <v>0</v>
      </c>
      <c r="O768" s="2">
        <f t="shared" si="113"/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 s="2">
        <f t="shared" si="114"/>
        <v>0</v>
      </c>
      <c r="W768">
        <v>20.8</v>
      </c>
      <c r="X768" s="2">
        <f t="shared" si="115"/>
        <v>1</v>
      </c>
      <c r="Y768">
        <v>300.39999999999998</v>
      </c>
      <c r="Z768" s="2" t="str">
        <f>CHOOSE(MATCH(Y768,{0;11;80;111;161;191;241;281;341},1),"North","NorthEast","East","SouthEast","South","SouthWest","West","NorthWest","North")</f>
        <v>NorthWest</v>
      </c>
      <c r="AA768" s="4">
        <f>CHOOSE(MATCH(Z768,{"South";"SouthEast";"SouthWest";"North";"NorthEast";"East";"West";"NorthWest"},0),1,2,3,4,5,6,7,8)</f>
        <v>8</v>
      </c>
      <c r="AB768" s="2">
        <f t="shared" si="116"/>
        <v>1</v>
      </c>
      <c r="AC768">
        <v>1004.8</v>
      </c>
      <c r="AD768" t="s">
        <v>1188</v>
      </c>
      <c r="AE768" s="2">
        <f t="shared" si="117"/>
        <v>0</v>
      </c>
      <c r="AF768" t="s">
        <v>1189</v>
      </c>
      <c r="AG768" s="2">
        <f t="shared" si="118"/>
        <v>7</v>
      </c>
      <c r="AH768" s="2">
        <f t="shared" si="119"/>
        <v>1</v>
      </c>
      <c r="AI768" s="3">
        <v>1235.0000000023281</v>
      </c>
      <c r="AJ768" s="2">
        <v>1</v>
      </c>
      <c r="AK768">
        <v>0</v>
      </c>
      <c r="AL768">
        <v>20</v>
      </c>
      <c r="AM768">
        <v>0</v>
      </c>
      <c r="AN768" s="2">
        <f>IF((2*G768+M768-O768+3*V768+2*AB768+2*AE768+2*AH768+3*AJ768)&gt;=7,1,0)</f>
        <v>1</v>
      </c>
    </row>
    <row r="769" spans="1:40" x14ac:dyDescent="0.25">
      <c r="A769" t="s">
        <v>27</v>
      </c>
      <c r="B769" s="1">
        <v>39294</v>
      </c>
      <c r="C769" s="6">
        <f t="shared" si="110"/>
        <v>2007</v>
      </c>
      <c r="D769">
        <v>86.1</v>
      </c>
      <c r="E769">
        <v>69.900000000000006</v>
      </c>
      <c r="F769">
        <v>79.099999999999994</v>
      </c>
      <c r="G769" s="2">
        <f t="shared" si="111"/>
        <v>1</v>
      </c>
      <c r="H769">
        <v>92.7</v>
      </c>
      <c r="I769">
        <v>69.900000000000006</v>
      </c>
      <c r="J769">
        <v>81.599999999999994</v>
      </c>
      <c r="K769">
        <v>67.5</v>
      </c>
      <c r="L769">
        <v>69</v>
      </c>
      <c r="M769" s="2">
        <f t="shared" si="112"/>
        <v>0</v>
      </c>
      <c r="N769">
        <v>0</v>
      </c>
      <c r="O769" s="2">
        <f t="shared" si="113"/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 s="2">
        <f t="shared" si="114"/>
        <v>0</v>
      </c>
      <c r="W769">
        <v>20.8</v>
      </c>
      <c r="X769" s="2">
        <f t="shared" si="115"/>
        <v>1</v>
      </c>
      <c r="Y769">
        <v>300.39999999999998</v>
      </c>
      <c r="Z769" s="2" t="str">
        <f>CHOOSE(MATCH(Y769,{0;11;80;111;161;191;241;281;341},1),"North","NorthEast","East","SouthEast","South","SouthWest","West","NorthWest","North")</f>
        <v>NorthWest</v>
      </c>
      <c r="AA769" s="4">
        <f>CHOOSE(MATCH(Z769,{"South";"SouthEast";"SouthWest";"North";"NorthEast";"East";"West";"NorthWest"},0),1,2,3,4,5,6,7,8)</f>
        <v>8</v>
      </c>
      <c r="AB769" s="2">
        <f t="shared" si="116"/>
        <v>1</v>
      </c>
      <c r="AC769">
        <v>1004.8</v>
      </c>
      <c r="AD769" t="s">
        <v>1119</v>
      </c>
      <c r="AE769" s="2">
        <f t="shared" si="117"/>
        <v>0</v>
      </c>
      <c r="AF769" t="s">
        <v>1190</v>
      </c>
      <c r="AG769" s="2">
        <f t="shared" si="118"/>
        <v>7</v>
      </c>
      <c r="AH769" s="2">
        <f t="shared" si="119"/>
        <v>1</v>
      </c>
      <c r="AI769" s="3">
        <v>2025</v>
      </c>
      <c r="AJ769" s="2">
        <v>1</v>
      </c>
      <c r="AK769">
        <v>0</v>
      </c>
      <c r="AL769">
        <v>50</v>
      </c>
      <c r="AM769">
        <v>0</v>
      </c>
      <c r="AN769" s="2">
        <f>IF((2*G769+M769-O769+3*V769+2*AB769+2*AE769+2*AH769+3*AJ769)&gt;=7,1,0)</f>
        <v>1</v>
      </c>
    </row>
    <row r="770" spans="1:40" x14ac:dyDescent="0.25">
      <c r="A770" t="s">
        <v>27</v>
      </c>
      <c r="B770" s="1">
        <v>39297</v>
      </c>
      <c r="C770" s="6">
        <f t="shared" si="110"/>
        <v>2007</v>
      </c>
      <c r="D770">
        <v>82.5</v>
      </c>
      <c r="E770">
        <v>75.3</v>
      </c>
      <c r="F770">
        <v>79.099999999999994</v>
      </c>
      <c r="G770" s="2">
        <f t="shared" si="111"/>
        <v>1</v>
      </c>
      <c r="H770">
        <v>83.5</v>
      </c>
      <c r="I770">
        <v>75.3</v>
      </c>
      <c r="J770">
        <v>79.400000000000006</v>
      </c>
      <c r="K770">
        <v>62.6</v>
      </c>
      <c r="L770">
        <v>57.3</v>
      </c>
      <c r="M770" s="2">
        <f t="shared" si="112"/>
        <v>1</v>
      </c>
      <c r="N770">
        <v>0</v>
      </c>
      <c r="O770" s="2">
        <f t="shared" si="113"/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 s="2">
        <f t="shared" si="114"/>
        <v>0</v>
      </c>
      <c r="W770">
        <v>20.8</v>
      </c>
      <c r="X770" s="2">
        <f t="shared" si="115"/>
        <v>1</v>
      </c>
      <c r="Y770">
        <v>312.5</v>
      </c>
      <c r="Z770" s="2" t="str">
        <f>CHOOSE(MATCH(Y770,{0;11;80;111;161;191;241;281;341},1),"North","NorthEast","East","SouthEast","South","SouthWest","West","NorthWest","North")</f>
        <v>NorthWest</v>
      </c>
      <c r="AA770" s="4">
        <f>CHOOSE(MATCH(Z770,{"South";"SouthEast";"SouthWest";"North";"NorthEast";"East";"West";"NorthWest"},0),1,2,3,4,5,6,7,8)</f>
        <v>8</v>
      </c>
      <c r="AB770" s="2">
        <f t="shared" si="116"/>
        <v>1</v>
      </c>
      <c r="AC770">
        <v>1012.3</v>
      </c>
      <c r="AD770" t="s">
        <v>1191</v>
      </c>
      <c r="AE770" s="2">
        <f t="shared" si="117"/>
        <v>0</v>
      </c>
      <c r="AF770" t="s">
        <v>1192</v>
      </c>
      <c r="AG770" s="2">
        <f t="shared" si="118"/>
        <v>8</v>
      </c>
      <c r="AH770" s="2">
        <f t="shared" si="119"/>
        <v>1</v>
      </c>
      <c r="AI770" s="3">
        <v>570.00000000349246</v>
      </c>
      <c r="AJ770" s="2">
        <v>1</v>
      </c>
      <c r="AK770">
        <v>0</v>
      </c>
      <c r="AL770">
        <v>0.5</v>
      </c>
      <c r="AM770">
        <v>0</v>
      </c>
      <c r="AN770" s="2">
        <f>IF((2*G770+M770-O770+3*V770+2*AB770+2*AE770+2*AH770+3*AJ770)&gt;=7,1,0)</f>
        <v>1</v>
      </c>
    </row>
    <row r="771" spans="1:40" x14ac:dyDescent="0.25">
      <c r="A771" t="s">
        <v>27</v>
      </c>
      <c r="B771" s="1">
        <v>39297</v>
      </c>
      <c r="C771" s="6">
        <f t="shared" ref="C771:C834" si="120">YEAR(B771)</f>
        <v>2007</v>
      </c>
      <c r="D771">
        <v>82.5</v>
      </c>
      <c r="E771">
        <v>75.3</v>
      </c>
      <c r="F771">
        <v>79.099999999999994</v>
      </c>
      <c r="G771" s="2">
        <f t="shared" ref="G771:G834" si="121">IF(F771&lt;=70,0,1)</f>
        <v>1</v>
      </c>
      <c r="H771">
        <v>83.5</v>
      </c>
      <c r="I771">
        <v>75.3</v>
      </c>
      <c r="J771">
        <v>79.400000000000006</v>
      </c>
      <c r="K771">
        <v>62.6</v>
      </c>
      <c r="L771">
        <v>57.3</v>
      </c>
      <c r="M771" s="2">
        <f t="shared" ref="M771:M834" si="122">IF(L771&lt;=66,1,0)</f>
        <v>1</v>
      </c>
      <c r="N771">
        <v>0</v>
      </c>
      <c r="O771" s="2">
        <f t="shared" ref="O771:O834" si="123">IF(N771&lt;=0.01,1,0)</f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s="2">
        <f t="shared" ref="V771:V834" si="124">IF(U771&lt;=9,0,1)</f>
        <v>0</v>
      </c>
      <c r="W771">
        <v>20.8</v>
      </c>
      <c r="X771" s="2">
        <f t="shared" ref="X771:X834" si="125">IF(W771&gt;=16,1,0)</f>
        <v>1</v>
      </c>
      <c r="Y771">
        <v>312.5</v>
      </c>
      <c r="Z771" s="2" t="str">
        <f>CHOOSE(MATCH(Y771,{0;11;80;111;161;191;241;281;341},1),"North","NorthEast","East","SouthEast","South","SouthWest","West","NorthWest","North")</f>
        <v>NorthWest</v>
      </c>
      <c r="AA771" s="4">
        <f>CHOOSE(MATCH(Z771,{"South";"SouthEast";"SouthWest";"North";"NorthEast";"East";"West";"NorthWest"},0),1,2,3,4,5,6,7,8)</f>
        <v>8</v>
      </c>
      <c r="AB771" s="2">
        <f t="shared" ref="AB771:AB834" si="126">IF(OR(AA771=4,AA771=5,AA771=8),1,0)</f>
        <v>1</v>
      </c>
      <c r="AC771">
        <v>1012.3</v>
      </c>
      <c r="AD771" t="s">
        <v>1193</v>
      </c>
      <c r="AE771" s="2">
        <f t="shared" ref="AE771:AE834" si="127">IF(TIMEVALUE(AD771)&lt;=TIME(12,30,0),0,1)</f>
        <v>1</v>
      </c>
      <c r="AF771" t="s">
        <v>1194</v>
      </c>
      <c r="AG771" s="2">
        <f t="shared" ref="AG771:AG834" si="128">MONTH(AF771)</f>
        <v>8</v>
      </c>
      <c r="AH771" s="2">
        <f t="shared" ref="AH771:AH834" si="129">IF(OR(AG771=6,AG771=7,AG771=8),1,0)</f>
        <v>1</v>
      </c>
      <c r="AI771" s="3">
        <v>94.999999995343387</v>
      </c>
      <c r="AJ771" s="2">
        <v>0</v>
      </c>
      <c r="AK771">
        <v>0</v>
      </c>
      <c r="AL771">
        <v>0.05</v>
      </c>
      <c r="AM771">
        <v>0</v>
      </c>
      <c r="AN771" s="2">
        <f>IF((2*G771+M771-O771+3*V771+2*AB771+2*AE771+2*AH771+3*AJ771)&gt;=7,1,0)</f>
        <v>1</v>
      </c>
    </row>
    <row r="772" spans="1:40" x14ac:dyDescent="0.25">
      <c r="A772" t="s">
        <v>27</v>
      </c>
      <c r="B772" s="1">
        <v>39298</v>
      </c>
      <c r="C772" s="6">
        <f t="shared" si="120"/>
        <v>2007</v>
      </c>
      <c r="D772">
        <v>84.3</v>
      </c>
      <c r="E772">
        <v>69.900000000000006</v>
      </c>
      <c r="F772">
        <v>79.400000000000006</v>
      </c>
      <c r="G772" s="2">
        <f t="shared" si="121"/>
        <v>1</v>
      </c>
      <c r="H772">
        <v>86.6</v>
      </c>
      <c r="I772">
        <v>69.900000000000006</v>
      </c>
      <c r="J772">
        <v>80</v>
      </c>
      <c r="K772">
        <v>63.1</v>
      </c>
      <c r="L772">
        <v>58.2</v>
      </c>
      <c r="M772" s="2">
        <f t="shared" si="122"/>
        <v>1</v>
      </c>
      <c r="N772">
        <v>0</v>
      </c>
      <c r="O772" s="2">
        <f t="shared" si="123"/>
        <v>1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 s="2">
        <f t="shared" si="124"/>
        <v>0</v>
      </c>
      <c r="W772">
        <v>19.5</v>
      </c>
      <c r="X772" s="2">
        <f t="shared" si="125"/>
        <v>1</v>
      </c>
      <c r="Y772">
        <v>306.2</v>
      </c>
      <c r="Z772" s="2" t="str">
        <f>CHOOSE(MATCH(Y772,{0;11;80;111;161;191;241;281;341},1),"North","NorthEast","East","SouthEast","South","SouthWest","West","NorthWest","North")</f>
        <v>NorthWest</v>
      </c>
      <c r="AA772" s="4">
        <f>CHOOSE(MATCH(Z772,{"South";"SouthEast";"SouthWest";"North";"NorthEast";"East";"West";"NorthWest"},0),1,2,3,4,5,6,7,8)</f>
        <v>8</v>
      </c>
      <c r="AB772" s="2">
        <f t="shared" si="126"/>
        <v>1</v>
      </c>
      <c r="AC772">
        <v>1009.5</v>
      </c>
      <c r="AD772" t="s">
        <v>1195</v>
      </c>
      <c r="AE772" s="2">
        <f t="shared" si="127"/>
        <v>1</v>
      </c>
      <c r="AF772" t="s">
        <v>1196</v>
      </c>
      <c r="AG772" s="2">
        <f t="shared" si="128"/>
        <v>8</v>
      </c>
      <c r="AH772" s="2">
        <f t="shared" si="129"/>
        <v>1</v>
      </c>
      <c r="AI772" s="3">
        <v>2955.000000003492</v>
      </c>
      <c r="AJ772" s="2">
        <v>1</v>
      </c>
      <c r="AK772">
        <v>0</v>
      </c>
      <c r="AL772">
        <v>120</v>
      </c>
      <c r="AM772">
        <v>0</v>
      </c>
      <c r="AN772" s="2">
        <f>IF((2*G772+M772-O772+3*V772+2*AB772+2*AE772+2*AH772+3*AJ772)&gt;=7,1,0)</f>
        <v>1</v>
      </c>
    </row>
    <row r="773" spans="1:40" x14ac:dyDescent="0.25">
      <c r="A773" t="s">
        <v>27</v>
      </c>
      <c r="B773" s="1">
        <v>39302</v>
      </c>
      <c r="C773" s="6">
        <f t="shared" si="120"/>
        <v>2007</v>
      </c>
      <c r="D773">
        <v>82.5</v>
      </c>
      <c r="E773">
        <v>68.099999999999994</v>
      </c>
      <c r="F773">
        <v>76.7</v>
      </c>
      <c r="G773" s="2">
        <f t="shared" si="121"/>
        <v>1</v>
      </c>
      <c r="H773">
        <v>88.5</v>
      </c>
      <c r="I773">
        <v>68.099999999999994</v>
      </c>
      <c r="J773">
        <v>78.7</v>
      </c>
      <c r="K773">
        <v>67</v>
      </c>
      <c r="L773">
        <v>72.099999999999994</v>
      </c>
      <c r="M773" s="2">
        <f t="shared" si="122"/>
        <v>0</v>
      </c>
      <c r="N773">
        <v>0</v>
      </c>
      <c r="O773" s="2">
        <f t="shared" si="123"/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s="2">
        <f t="shared" si="124"/>
        <v>0</v>
      </c>
      <c r="W773">
        <v>12.8</v>
      </c>
      <c r="X773" s="2">
        <f t="shared" si="125"/>
        <v>0</v>
      </c>
      <c r="Y773">
        <v>301.8</v>
      </c>
      <c r="Z773" s="2" t="str">
        <f>CHOOSE(MATCH(Y773,{0;11;80;111;161;191;241;281;341},1),"North","NorthEast","East","SouthEast","South","SouthWest","West","NorthWest","North")</f>
        <v>NorthWest</v>
      </c>
      <c r="AA773" s="4">
        <f>CHOOSE(MATCH(Z773,{"South";"SouthEast";"SouthWest";"North";"NorthEast";"East";"West";"NorthWest"},0),1,2,3,4,5,6,7,8)</f>
        <v>8</v>
      </c>
      <c r="AB773" s="2">
        <f t="shared" si="126"/>
        <v>1</v>
      </c>
      <c r="AC773">
        <v>1009.8</v>
      </c>
      <c r="AD773" t="s">
        <v>1197</v>
      </c>
      <c r="AE773" s="2">
        <f t="shared" si="127"/>
        <v>0</v>
      </c>
      <c r="AF773" t="s">
        <v>1198</v>
      </c>
      <c r="AG773" s="2">
        <f t="shared" si="128"/>
        <v>8</v>
      </c>
      <c r="AH773" s="2">
        <f t="shared" si="129"/>
        <v>1</v>
      </c>
      <c r="AI773" s="3">
        <v>1025.9999999916181</v>
      </c>
      <c r="AJ773" s="2">
        <v>1</v>
      </c>
      <c r="AK773">
        <v>0</v>
      </c>
      <c r="AL773">
        <v>5</v>
      </c>
      <c r="AM773">
        <v>0</v>
      </c>
      <c r="AN773" s="2">
        <f>IF((2*G773+M773-O773+3*V773+2*AB773+2*AE773+2*AH773+3*AJ773)&gt;=7,1,0)</f>
        <v>1</v>
      </c>
    </row>
    <row r="774" spans="1:40" x14ac:dyDescent="0.25">
      <c r="A774" t="s">
        <v>27</v>
      </c>
      <c r="B774" s="1">
        <v>39305</v>
      </c>
      <c r="C774" s="6">
        <f t="shared" si="120"/>
        <v>2007</v>
      </c>
      <c r="D774">
        <v>86.1</v>
      </c>
      <c r="E774">
        <v>69.900000000000006</v>
      </c>
      <c r="F774">
        <v>78.599999999999994</v>
      </c>
      <c r="G774" s="2">
        <f t="shared" si="121"/>
        <v>1</v>
      </c>
      <c r="H774">
        <v>91.1</v>
      </c>
      <c r="I774">
        <v>69.900000000000006</v>
      </c>
      <c r="J774">
        <v>81</v>
      </c>
      <c r="K774">
        <v>69</v>
      </c>
      <c r="L774">
        <v>73.099999999999994</v>
      </c>
      <c r="M774" s="2">
        <f t="shared" si="122"/>
        <v>0</v>
      </c>
      <c r="N774">
        <v>0</v>
      </c>
      <c r="O774" s="2">
        <f t="shared" si="123"/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s="2">
        <f t="shared" si="124"/>
        <v>0</v>
      </c>
      <c r="W774">
        <v>23</v>
      </c>
      <c r="X774" s="2">
        <f t="shared" si="125"/>
        <v>1</v>
      </c>
      <c r="Y774">
        <v>308.2</v>
      </c>
      <c r="Z774" s="2" t="str">
        <f>CHOOSE(MATCH(Y774,{0;11;80;111;161;191;241;281;341},1),"North","NorthEast","East","SouthEast","South","SouthWest","West","NorthWest","North")</f>
        <v>NorthWest</v>
      </c>
      <c r="AA774" s="4">
        <f>CHOOSE(MATCH(Z774,{"South";"SouthEast";"SouthWest";"North";"NorthEast";"East";"West";"NorthWest"},0),1,2,3,4,5,6,7,8)</f>
        <v>8</v>
      </c>
      <c r="AB774" s="2">
        <f t="shared" si="126"/>
        <v>1</v>
      </c>
      <c r="AC774">
        <v>1007.1</v>
      </c>
      <c r="AD774" t="s">
        <v>1199</v>
      </c>
      <c r="AE774" s="2">
        <f t="shared" si="127"/>
        <v>1</v>
      </c>
      <c r="AF774" t="s">
        <v>1200</v>
      </c>
      <c r="AG774" s="2">
        <f t="shared" si="128"/>
        <v>8</v>
      </c>
      <c r="AH774" s="2">
        <f t="shared" si="129"/>
        <v>1</v>
      </c>
      <c r="AI774" s="3">
        <v>720.99999999278225</v>
      </c>
      <c r="AJ774" s="2">
        <v>1</v>
      </c>
      <c r="AK774">
        <v>0</v>
      </c>
      <c r="AL774">
        <v>3</v>
      </c>
      <c r="AM774">
        <v>0</v>
      </c>
      <c r="AN774" s="2">
        <f>IF((2*G774+M774-O774+3*V774+2*AB774+2*AE774+2*AH774+3*AJ774)&gt;=7,1,0)</f>
        <v>1</v>
      </c>
    </row>
    <row r="775" spans="1:40" x14ac:dyDescent="0.25">
      <c r="A775" t="s">
        <v>27</v>
      </c>
      <c r="B775" s="1">
        <v>39306</v>
      </c>
      <c r="C775" s="6">
        <f t="shared" si="120"/>
        <v>2007</v>
      </c>
      <c r="D775">
        <v>82.5</v>
      </c>
      <c r="E775">
        <v>68.099999999999994</v>
      </c>
      <c r="F775">
        <v>77.5</v>
      </c>
      <c r="G775" s="2">
        <f t="shared" si="121"/>
        <v>1</v>
      </c>
      <c r="H775">
        <v>86.4</v>
      </c>
      <c r="I775">
        <v>68.099999999999994</v>
      </c>
      <c r="J775">
        <v>78.599999999999994</v>
      </c>
      <c r="K775">
        <v>66</v>
      </c>
      <c r="L775">
        <v>68.400000000000006</v>
      </c>
      <c r="M775" s="2">
        <f t="shared" si="122"/>
        <v>0</v>
      </c>
      <c r="N775">
        <v>0</v>
      </c>
      <c r="O775" s="2">
        <f t="shared" si="123"/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 s="2">
        <f t="shared" si="124"/>
        <v>0</v>
      </c>
      <c r="W775">
        <v>26.4</v>
      </c>
      <c r="X775" s="2">
        <f t="shared" si="125"/>
        <v>1</v>
      </c>
      <c r="Y775">
        <v>298.8</v>
      </c>
      <c r="Z775" s="2" t="str">
        <f>CHOOSE(MATCH(Y775,{0;11;80;111;161;191;241;281;341},1),"North","NorthEast","East","SouthEast","South","SouthWest","West","NorthWest","North")</f>
        <v>NorthWest</v>
      </c>
      <c r="AA775" s="4">
        <f>CHOOSE(MATCH(Z775,{"South";"SouthEast";"SouthWest";"North";"NorthEast";"East";"West";"NorthWest"},0),1,2,3,4,5,6,7,8)</f>
        <v>8</v>
      </c>
      <c r="AB775" s="2">
        <f t="shared" si="126"/>
        <v>1</v>
      </c>
      <c r="AC775">
        <v>1007.5</v>
      </c>
      <c r="AD775" t="s">
        <v>1201</v>
      </c>
      <c r="AE775" s="2">
        <f t="shared" si="127"/>
        <v>1</v>
      </c>
      <c r="AF775" t="s">
        <v>1202</v>
      </c>
      <c r="AG775" s="2">
        <f t="shared" si="128"/>
        <v>8</v>
      </c>
      <c r="AH775" s="2">
        <f t="shared" si="129"/>
        <v>1</v>
      </c>
      <c r="AI775" s="3">
        <v>45</v>
      </c>
      <c r="AJ775" s="2">
        <v>0</v>
      </c>
      <c r="AK775">
        <v>0</v>
      </c>
      <c r="AL775">
        <v>0.1</v>
      </c>
      <c r="AM775">
        <v>0</v>
      </c>
      <c r="AN775" s="2">
        <f>IF((2*G775+M775-O775+3*V775+2*AB775+2*AE775+2*AH775+3*AJ775)&gt;=7,1,0)</f>
        <v>1</v>
      </c>
    </row>
    <row r="776" spans="1:40" x14ac:dyDescent="0.25">
      <c r="A776" t="s">
        <v>27</v>
      </c>
      <c r="B776" s="1">
        <v>39307</v>
      </c>
      <c r="C776" s="6">
        <f t="shared" si="120"/>
        <v>2007</v>
      </c>
      <c r="D776">
        <v>82.5</v>
      </c>
      <c r="E776">
        <v>66.3</v>
      </c>
      <c r="F776">
        <v>76.400000000000006</v>
      </c>
      <c r="G776" s="2">
        <f t="shared" si="121"/>
        <v>1</v>
      </c>
      <c r="H776">
        <v>88.5</v>
      </c>
      <c r="I776">
        <v>66.3</v>
      </c>
      <c r="J776">
        <v>78</v>
      </c>
      <c r="K776">
        <v>65.2</v>
      </c>
      <c r="L776">
        <v>68.599999999999994</v>
      </c>
      <c r="M776" s="2">
        <f t="shared" si="122"/>
        <v>0</v>
      </c>
      <c r="N776">
        <v>0</v>
      </c>
      <c r="O776" s="2">
        <f t="shared" si="123"/>
        <v>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 s="2">
        <f t="shared" si="124"/>
        <v>0</v>
      </c>
      <c r="W776">
        <v>12.8</v>
      </c>
      <c r="X776" s="2">
        <f t="shared" si="125"/>
        <v>0</v>
      </c>
      <c r="Y776">
        <v>295.8</v>
      </c>
      <c r="Z776" s="2" t="str">
        <f>CHOOSE(MATCH(Y776,{0;11;80;111;161;191;241;281;341},1),"North","NorthEast","East","SouthEast","South","SouthWest","West","NorthWest","North")</f>
        <v>NorthWest</v>
      </c>
      <c r="AA776" s="4">
        <f>CHOOSE(MATCH(Z776,{"South";"SouthEast";"SouthWest";"North";"NorthEast";"East";"West";"NorthWest"},0),1,2,3,4,5,6,7,8)</f>
        <v>8</v>
      </c>
      <c r="AB776" s="2">
        <f t="shared" si="126"/>
        <v>1</v>
      </c>
      <c r="AC776">
        <v>1008</v>
      </c>
      <c r="AD776" t="s">
        <v>1203</v>
      </c>
      <c r="AE776" s="2">
        <f t="shared" si="127"/>
        <v>1</v>
      </c>
      <c r="AF776" t="s">
        <v>1204</v>
      </c>
      <c r="AG776" s="2">
        <f t="shared" si="128"/>
        <v>8</v>
      </c>
      <c r="AH776" s="2">
        <f t="shared" si="129"/>
        <v>1</v>
      </c>
      <c r="AI776" s="3">
        <v>59.99999999650754</v>
      </c>
      <c r="AJ776" s="2">
        <v>0</v>
      </c>
      <c r="AK776">
        <v>0</v>
      </c>
      <c r="AL776">
        <v>0.03</v>
      </c>
      <c r="AM776">
        <v>0</v>
      </c>
      <c r="AN776" s="2">
        <f>IF((2*G776+M776-O776+3*V776+2*AB776+2*AE776+2*AH776+3*AJ776)&gt;=7,1,0)</f>
        <v>1</v>
      </c>
    </row>
    <row r="777" spans="1:40" x14ac:dyDescent="0.25">
      <c r="A777" t="s">
        <v>27</v>
      </c>
      <c r="B777" s="1">
        <v>39310</v>
      </c>
      <c r="C777" s="6">
        <f t="shared" si="120"/>
        <v>2007</v>
      </c>
      <c r="D777">
        <v>86.1</v>
      </c>
      <c r="E777">
        <v>78.900000000000006</v>
      </c>
      <c r="F777">
        <v>81.5</v>
      </c>
      <c r="G777" s="2">
        <f t="shared" si="121"/>
        <v>1</v>
      </c>
      <c r="H777">
        <v>90.8</v>
      </c>
      <c r="I777">
        <v>78.900000000000006</v>
      </c>
      <c r="J777">
        <v>83.4</v>
      </c>
      <c r="K777">
        <v>67.599999999999994</v>
      </c>
      <c r="L777">
        <v>63</v>
      </c>
      <c r="M777" s="2">
        <f t="shared" si="122"/>
        <v>1</v>
      </c>
      <c r="N777">
        <v>0</v>
      </c>
      <c r="O777" s="2">
        <f t="shared" si="123"/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 s="2">
        <f t="shared" si="124"/>
        <v>0</v>
      </c>
      <c r="W777">
        <v>19.5</v>
      </c>
      <c r="X777" s="2">
        <f t="shared" si="125"/>
        <v>1</v>
      </c>
      <c r="Y777">
        <v>304.5</v>
      </c>
      <c r="Z777" s="2" t="str">
        <f>CHOOSE(MATCH(Y777,{0;11;80;111;161;191;241;281;341},1),"North","NorthEast","East","SouthEast","South","SouthWest","West","NorthWest","North")</f>
        <v>NorthWest</v>
      </c>
      <c r="AA777" s="4">
        <f>CHOOSE(MATCH(Z777,{"South";"SouthEast";"SouthWest";"North";"NorthEast";"East";"West";"NorthWest"},0),1,2,3,4,5,6,7,8)</f>
        <v>8</v>
      </c>
      <c r="AB777" s="2">
        <f t="shared" si="126"/>
        <v>1</v>
      </c>
      <c r="AC777">
        <v>1008.5</v>
      </c>
      <c r="AD777" t="s">
        <v>1205</v>
      </c>
      <c r="AE777" s="2">
        <f t="shared" si="127"/>
        <v>1</v>
      </c>
      <c r="AF777" t="s">
        <v>1206</v>
      </c>
      <c r="AG777" s="2">
        <f t="shared" si="128"/>
        <v>8</v>
      </c>
      <c r="AH777" s="2">
        <f t="shared" si="129"/>
        <v>1</v>
      </c>
      <c r="AI777" s="3">
        <v>1230.0000000069849</v>
      </c>
      <c r="AJ777" s="2">
        <v>1</v>
      </c>
      <c r="AK777">
        <v>0</v>
      </c>
      <c r="AL777">
        <v>10</v>
      </c>
      <c r="AM777">
        <v>0</v>
      </c>
      <c r="AN777" s="2">
        <f>IF((2*G777+M777-O777+3*V777+2*AB777+2*AE777+2*AH777+3*AJ777)&gt;=7,1,0)</f>
        <v>1</v>
      </c>
    </row>
    <row r="778" spans="1:40" x14ac:dyDescent="0.25">
      <c r="A778" t="s">
        <v>27</v>
      </c>
      <c r="B778" s="1">
        <v>39310</v>
      </c>
      <c r="C778" s="6">
        <f t="shared" si="120"/>
        <v>2007</v>
      </c>
      <c r="D778">
        <v>86.1</v>
      </c>
      <c r="E778">
        <v>78.900000000000006</v>
      </c>
      <c r="F778">
        <v>81.5</v>
      </c>
      <c r="G778" s="2">
        <f t="shared" si="121"/>
        <v>1</v>
      </c>
      <c r="H778">
        <v>90.8</v>
      </c>
      <c r="I778">
        <v>78.900000000000006</v>
      </c>
      <c r="J778">
        <v>83.4</v>
      </c>
      <c r="K778">
        <v>67.599999999999994</v>
      </c>
      <c r="L778">
        <v>63</v>
      </c>
      <c r="M778" s="2">
        <f t="shared" si="122"/>
        <v>1</v>
      </c>
      <c r="N778">
        <v>0</v>
      </c>
      <c r="O778" s="2">
        <f t="shared" si="123"/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 s="2">
        <f t="shared" si="124"/>
        <v>0</v>
      </c>
      <c r="W778">
        <v>19.5</v>
      </c>
      <c r="X778" s="2">
        <f t="shared" si="125"/>
        <v>1</v>
      </c>
      <c r="Y778">
        <v>304.5</v>
      </c>
      <c r="Z778" s="2" t="str">
        <f>CHOOSE(MATCH(Y778,{0;11;80;111;161;191;241;281;341},1),"North","NorthEast","East","SouthEast","South","SouthWest","West","NorthWest","North")</f>
        <v>NorthWest</v>
      </c>
      <c r="AA778" s="4">
        <f>CHOOSE(MATCH(Z778,{"South";"SouthEast";"SouthWest";"North";"NorthEast";"East";"West";"NorthWest"},0),1,2,3,4,5,6,7,8)</f>
        <v>8</v>
      </c>
      <c r="AB778" s="2">
        <f t="shared" si="126"/>
        <v>1</v>
      </c>
      <c r="AC778">
        <v>1008.5</v>
      </c>
      <c r="AD778" t="s">
        <v>1207</v>
      </c>
      <c r="AE778" s="2">
        <f t="shared" si="127"/>
        <v>1</v>
      </c>
      <c r="AF778" t="s">
        <v>1208</v>
      </c>
      <c r="AG778" s="2">
        <f t="shared" si="128"/>
        <v>8</v>
      </c>
      <c r="AH778" s="2">
        <f t="shared" si="129"/>
        <v>1</v>
      </c>
      <c r="AI778" s="3">
        <v>1019.999999993015</v>
      </c>
      <c r="AJ778" s="2">
        <v>1</v>
      </c>
      <c r="AK778">
        <v>0</v>
      </c>
      <c r="AL778">
        <v>1</v>
      </c>
      <c r="AM778">
        <v>0</v>
      </c>
      <c r="AN778" s="2">
        <f>IF((2*G778+M778-O778+3*V778+2*AB778+2*AE778+2*AH778+3*AJ778)&gt;=7,1,0)</f>
        <v>1</v>
      </c>
    </row>
    <row r="779" spans="1:40" x14ac:dyDescent="0.25">
      <c r="A779" t="s">
        <v>27</v>
      </c>
      <c r="B779" s="1">
        <v>39311</v>
      </c>
      <c r="C779" s="6">
        <f t="shared" si="120"/>
        <v>2007</v>
      </c>
      <c r="D779">
        <v>84.3</v>
      </c>
      <c r="E779">
        <v>71.7</v>
      </c>
      <c r="F779">
        <v>80.099999999999994</v>
      </c>
      <c r="G779" s="2">
        <f t="shared" si="121"/>
        <v>1</v>
      </c>
      <c r="H779">
        <v>91.1</v>
      </c>
      <c r="I779">
        <v>71.7</v>
      </c>
      <c r="J779">
        <v>82.3</v>
      </c>
      <c r="K779">
        <v>67.900000000000006</v>
      </c>
      <c r="L779">
        <v>66.8</v>
      </c>
      <c r="M779" s="2">
        <f t="shared" si="122"/>
        <v>0</v>
      </c>
      <c r="N779">
        <v>0</v>
      </c>
      <c r="O779" s="2">
        <f t="shared" si="123"/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 s="2">
        <f t="shared" si="124"/>
        <v>0</v>
      </c>
      <c r="W779">
        <v>17.2</v>
      </c>
      <c r="X779" s="2">
        <f t="shared" si="125"/>
        <v>1</v>
      </c>
      <c r="Y779">
        <v>309.3</v>
      </c>
      <c r="Z779" s="2" t="str">
        <f>CHOOSE(MATCH(Y779,{0;11;80;111;161;191;241;281;341},1),"North","NorthEast","East","SouthEast","South","SouthWest","West","NorthWest","North")</f>
        <v>NorthWest</v>
      </c>
      <c r="AA779" s="4">
        <f>CHOOSE(MATCH(Z779,{"South";"SouthEast";"SouthWest";"North";"NorthEast";"East";"West";"NorthWest"},0),1,2,3,4,5,6,7,8)</f>
        <v>8</v>
      </c>
      <c r="AB779" s="2">
        <f t="shared" si="126"/>
        <v>1</v>
      </c>
      <c r="AC779">
        <v>1009.8</v>
      </c>
      <c r="AD779" t="s">
        <v>1155</v>
      </c>
      <c r="AE779" s="2">
        <f t="shared" si="127"/>
        <v>1</v>
      </c>
      <c r="AF779" t="s">
        <v>1209</v>
      </c>
      <c r="AG779" s="2">
        <f t="shared" si="128"/>
        <v>8</v>
      </c>
      <c r="AH779" s="2">
        <f t="shared" si="129"/>
        <v>1</v>
      </c>
      <c r="AI779" s="3">
        <v>1480.0000000046571</v>
      </c>
      <c r="AJ779" s="2">
        <v>1</v>
      </c>
      <c r="AK779">
        <v>0</v>
      </c>
      <c r="AL779">
        <v>15</v>
      </c>
      <c r="AM779">
        <v>0</v>
      </c>
      <c r="AN779" s="2">
        <f>IF((2*G779+M779-O779+3*V779+2*AB779+2*AE779+2*AH779+3*AJ779)&gt;=7,1,0)</f>
        <v>1</v>
      </c>
    </row>
    <row r="780" spans="1:40" x14ac:dyDescent="0.25">
      <c r="A780" t="s">
        <v>27</v>
      </c>
      <c r="B780" s="1">
        <v>39311</v>
      </c>
      <c r="C780" s="6">
        <f t="shared" si="120"/>
        <v>2007</v>
      </c>
      <c r="D780">
        <v>84.3</v>
      </c>
      <c r="E780">
        <v>71.7</v>
      </c>
      <c r="F780">
        <v>80.099999999999994</v>
      </c>
      <c r="G780" s="2">
        <f t="shared" si="121"/>
        <v>1</v>
      </c>
      <c r="H780">
        <v>91.1</v>
      </c>
      <c r="I780">
        <v>71.7</v>
      </c>
      <c r="J780">
        <v>82.3</v>
      </c>
      <c r="K780">
        <v>67.900000000000006</v>
      </c>
      <c r="L780">
        <v>66.8</v>
      </c>
      <c r="M780" s="2">
        <f t="shared" si="122"/>
        <v>0</v>
      </c>
      <c r="N780">
        <v>0</v>
      </c>
      <c r="O780" s="2">
        <f t="shared" si="123"/>
        <v>1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s="2">
        <f t="shared" si="124"/>
        <v>0</v>
      </c>
      <c r="W780">
        <v>17.2</v>
      </c>
      <c r="X780" s="2">
        <f t="shared" si="125"/>
        <v>1</v>
      </c>
      <c r="Y780">
        <v>309.3</v>
      </c>
      <c r="Z780" s="2" t="str">
        <f>CHOOSE(MATCH(Y780,{0;11;80;111;161;191;241;281;341},1),"North","NorthEast","East","SouthEast","South","SouthWest","West","NorthWest","North")</f>
        <v>NorthWest</v>
      </c>
      <c r="AA780" s="4">
        <f>CHOOSE(MATCH(Z780,{"South";"SouthEast";"SouthWest";"North";"NorthEast";"East";"West";"NorthWest"},0),1,2,3,4,5,6,7,8)</f>
        <v>8</v>
      </c>
      <c r="AB780" s="2">
        <f t="shared" si="126"/>
        <v>1</v>
      </c>
      <c r="AC780">
        <v>1009.8</v>
      </c>
      <c r="AD780" t="s">
        <v>1210</v>
      </c>
      <c r="AE780" s="2">
        <f t="shared" si="127"/>
        <v>0</v>
      </c>
      <c r="AF780" t="s">
        <v>1211</v>
      </c>
      <c r="AG780" s="2">
        <f t="shared" si="128"/>
        <v>8</v>
      </c>
      <c r="AH780" s="2">
        <f t="shared" si="129"/>
        <v>1</v>
      </c>
      <c r="AI780" s="3">
        <v>6340.0000000046566</v>
      </c>
      <c r="AJ780" s="2">
        <v>1</v>
      </c>
      <c r="AK780">
        <v>0</v>
      </c>
      <c r="AL780">
        <v>4500</v>
      </c>
      <c r="AM780">
        <v>0</v>
      </c>
      <c r="AN780" s="2">
        <f>IF((2*G780+M780-O780+3*V780+2*AB780+2*AE780+2*AH780+3*AJ780)&gt;=7,1,0)</f>
        <v>1</v>
      </c>
    </row>
    <row r="781" spans="1:40" x14ac:dyDescent="0.25">
      <c r="A781" t="s">
        <v>27</v>
      </c>
      <c r="B781" s="1">
        <v>39313</v>
      </c>
      <c r="C781" s="6">
        <f t="shared" si="120"/>
        <v>2007</v>
      </c>
      <c r="D781">
        <v>86.1</v>
      </c>
      <c r="E781">
        <v>75.3</v>
      </c>
      <c r="F781">
        <v>82</v>
      </c>
      <c r="G781" s="2">
        <f t="shared" si="121"/>
        <v>1</v>
      </c>
      <c r="H781">
        <v>90.8</v>
      </c>
      <c r="I781">
        <v>75.3</v>
      </c>
      <c r="J781">
        <v>84.1</v>
      </c>
      <c r="K781">
        <v>67.599999999999994</v>
      </c>
      <c r="L781">
        <v>62.1</v>
      </c>
      <c r="M781" s="2">
        <f t="shared" si="122"/>
        <v>1</v>
      </c>
      <c r="N781">
        <v>0</v>
      </c>
      <c r="O781" s="2">
        <f t="shared" si="123"/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 s="2">
        <f t="shared" si="124"/>
        <v>0</v>
      </c>
      <c r="W781">
        <v>19.5</v>
      </c>
      <c r="X781" s="2">
        <f t="shared" si="125"/>
        <v>1</v>
      </c>
      <c r="Y781">
        <v>306</v>
      </c>
      <c r="Z781" s="2" t="str">
        <f>CHOOSE(MATCH(Y781,{0;11;80;111;161;191;241;281;341},1),"North","NorthEast","East","SouthEast","South","SouthWest","West","NorthWest","North")</f>
        <v>NorthWest</v>
      </c>
      <c r="AA781" s="4">
        <f>CHOOSE(MATCH(Z781,{"South";"SouthEast";"SouthWest";"North";"NorthEast";"East";"West";"NorthWest"},0),1,2,3,4,5,6,7,8)</f>
        <v>8</v>
      </c>
      <c r="AB781" s="2">
        <f t="shared" si="126"/>
        <v>1</v>
      </c>
      <c r="AC781">
        <v>1006.9</v>
      </c>
      <c r="AD781" t="s">
        <v>1125</v>
      </c>
      <c r="AE781" s="2">
        <f t="shared" si="127"/>
        <v>1</v>
      </c>
      <c r="AF781" t="s">
        <v>1212</v>
      </c>
      <c r="AG781" s="2">
        <f t="shared" si="128"/>
        <v>8</v>
      </c>
      <c r="AH781" s="2">
        <f t="shared" si="129"/>
        <v>1</v>
      </c>
      <c r="AI781" s="3">
        <v>310.00000000465661</v>
      </c>
      <c r="AJ781" s="2">
        <v>0</v>
      </c>
      <c r="AK781">
        <v>0</v>
      </c>
      <c r="AL781">
        <v>1</v>
      </c>
      <c r="AM781">
        <v>0</v>
      </c>
      <c r="AN781" s="2">
        <f>IF((2*G781+M781-O781+3*V781+2*AB781+2*AE781+2*AH781+3*AJ781)&gt;=7,1,0)</f>
        <v>1</v>
      </c>
    </row>
    <row r="782" spans="1:40" x14ac:dyDescent="0.25">
      <c r="A782" t="s">
        <v>27</v>
      </c>
      <c r="B782" s="1">
        <v>39314</v>
      </c>
      <c r="C782" s="6">
        <f t="shared" si="120"/>
        <v>2007</v>
      </c>
      <c r="D782">
        <v>86.1</v>
      </c>
      <c r="E782">
        <v>71.7</v>
      </c>
      <c r="F782">
        <v>79.099999999999994</v>
      </c>
      <c r="G782" s="2">
        <f t="shared" si="121"/>
        <v>1</v>
      </c>
      <c r="H782">
        <v>97.4</v>
      </c>
      <c r="I782">
        <v>71.7</v>
      </c>
      <c r="J782">
        <v>82.6</v>
      </c>
      <c r="K782">
        <v>72</v>
      </c>
      <c r="L782">
        <v>79.2</v>
      </c>
      <c r="M782" s="2">
        <f t="shared" si="122"/>
        <v>0</v>
      </c>
      <c r="N782">
        <v>0</v>
      </c>
      <c r="O782" s="2">
        <f t="shared" si="123"/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s="2">
        <f t="shared" si="124"/>
        <v>0</v>
      </c>
      <c r="W782">
        <v>10.3</v>
      </c>
      <c r="X782" s="2">
        <f t="shared" si="125"/>
        <v>0</v>
      </c>
      <c r="Y782">
        <v>324.60000000000002</v>
      </c>
      <c r="Z782" s="2" t="str">
        <f>CHOOSE(MATCH(Y782,{0;11;80;111;161;191;241;281;341},1),"North","NorthEast","East","SouthEast","South","SouthWest","West","NorthWest","North")</f>
        <v>NorthWest</v>
      </c>
      <c r="AA782" s="4">
        <f>CHOOSE(MATCH(Z782,{"South";"SouthEast";"SouthWest";"North";"NorthEast";"East";"West";"NorthWest"},0),1,2,3,4,5,6,7,8)</f>
        <v>8</v>
      </c>
      <c r="AB782" s="2">
        <f t="shared" si="126"/>
        <v>1</v>
      </c>
      <c r="AC782">
        <v>1007.9</v>
      </c>
      <c r="AD782" t="s">
        <v>1213</v>
      </c>
      <c r="AE782" s="2">
        <f t="shared" si="127"/>
        <v>1</v>
      </c>
      <c r="AF782" t="s">
        <v>1214</v>
      </c>
      <c r="AG782" s="2">
        <f t="shared" si="128"/>
        <v>8</v>
      </c>
      <c r="AH782" s="2">
        <f t="shared" si="129"/>
        <v>1</v>
      </c>
      <c r="AI782" s="3">
        <v>1620</v>
      </c>
      <c r="AJ782" s="2">
        <v>1</v>
      </c>
      <c r="AK782">
        <v>0</v>
      </c>
      <c r="AL782">
        <v>700</v>
      </c>
      <c r="AM782">
        <v>0</v>
      </c>
      <c r="AN782" s="2">
        <f>IF((2*G782+M782-O782+3*V782+2*AB782+2*AE782+2*AH782+3*AJ782)&gt;=7,1,0)</f>
        <v>1</v>
      </c>
    </row>
    <row r="783" spans="1:40" x14ac:dyDescent="0.25">
      <c r="A783" t="s">
        <v>27</v>
      </c>
      <c r="B783" s="1">
        <v>39315</v>
      </c>
      <c r="C783" s="6">
        <f t="shared" si="120"/>
        <v>2007</v>
      </c>
      <c r="D783">
        <v>84.3</v>
      </c>
      <c r="E783">
        <v>69.900000000000006</v>
      </c>
      <c r="F783">
        <v>78</v>
      </c>
      <c r="G783" s="2">
        <f t="shared" si="121"/>
        <v>1</v>
      </c>
      <c r="H783">
        <v>92.7</v>
      </c>
      <c r="I783">
        <v>69.900000000000006</v>
      </c>
      <c r="J783">
        <v>81</v>
      </c>
      <c r="K783">
        <v>70</v>
      </c>
      <c r="L783">
        <v>76.8</v>
      </c>
      <c r="M783" s="2">
        <f t="shared" si="122"/>
        <v>0</v>
      </c>
      <c r="N783">
        <v>0</v>
      </c>
      <c r="O783" s="2">
        <f t="shared" si="123"/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 s="2">
        <f t="shared" si="124"/>
        <v>0</v>
      </c>
      <c r="W783">
        <v>10.3</v>
      </c>
      <c r="X783" s="2">
        <f t="shared" si="125"/>
        <v>0</v>
      </c>
      <c r="Y783">
        <v>125.9</v>
      </c>
      <c r="Z783" s="2" t="str">
        <f>CHOOSE(MATCH(Y783,{0;11;80;111;161;191;241;281;341},1),"North","NorthEast","East","SouthEast","South","SouthWest","West","NorthWest","North")</f>
        <v>SouthEast</v>
      </c>
      <c r="AA783" s="4">
        <f>CHOOSE(MATCH(Z783,{"South";"SouthEast";"SouthWest";"North";"NorthEast";"East";"West";"NorthWest"},0),1,2,3,4,5,6,7,8)</f>
        <v>2</v>
      </c>
      <c r="AB783" s="2">
        <f t="shared" si="126"/>
        <v>0</v>
      </c>
      <c r="AC783">
        <v>1010.7</v>
      </c>
      <c r="AD783" t="s">
        <v>1215</v>
      </c>
      <c r="AE783" s="2">
        <f t="shared" si="127"/>
        <v>1</v>
      </c>
      <c r="AF783" t="s">
        <v>1216</v>
      </c>
      <c r="AG783" s="2">
        <f t="shared" si="128"/>
        <v>8</v>
      </c>
      <c r="AH783" s="2">
        <f t="shared" si="129"/>
        <v>1</v>
      </c>
      <c r="AI783" s="3">
        <v>1019.999999993015</v>
      </c>
      <c r="AJ783" s="2">
        <v>1</v>
      </c>
      <c r="AK783">
        <v>0</v>
      </c>
      <c r="AL783">
        <v>2.5</v>
      </c>
      <c r="AM783">
        <v>0</v>
      </c>
      <c r="AN783" s="2">
        <f>IF((2*G783+M783-O783+3*V783+2*AB783+2*AE783+2*AH783+3*AJ783)&gt;=7,1,0)</f>
        <v>1</v>
      </c>
    </row>
    <row r="784" spans="1:40" x14ac:dyDescent="0.25">
      <c r="A784" t="s">
        <v>27</v>
      </c>
      <c r="B784" s="1">
        <v>39316</v>
      </c>
      <c r="C784" s="6">
        <f t="shared" si="120"/>
        <v>2007</v>
      </c>
      <c r="D784">
        <v>89.7</v>
      </c>
      <c r="E784">
        <v>68.099999999999994</v>
      </c>
      <c r="F784">
        <v>79.599999999999994</v>
      </c>
      <c r="G784" s="2">
        <f t="shared" si="121"/>
        <v>1</v>
      </c>
      <c r="H784">
        <v>95.4</v>
      </c>
      <c r="I784">
        <v>68.099999999999994</v>
      </c>
      <c r="J784">
        <v>82.7</v>
      </c>
      <c r="K784">
        <v>65</v>
      </c>
      <c r="L784">
        <v>61.8</v>
      </c>
      <c r="M784" s="2">
        <f t="shared" si="122"/>
        <v>1</v>
      </c>
      <c r="N784">
        <v>0</v>
      </c>
      <c r="O784" s="2">
        <f t="shared" si="123"/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s="2">
        <f t="shared" si="124"/>
        <v>0</v>
      </c>
      <c r="W784">
        <v>12.8</v>
      </c>
      <c r="X784" s="2">
        <f t="shared" si="125"/>
        <v>0</v>
      </c>
      <c r="Y784">
        <v>208.5</v>
      </c>
      <c r="Z784" s="2" t="str">
        <f>CHOOSE(MATCH(Y784,{0;11;80;111;161;191;241;281;341},1),"North","NorthEast","East","SouthEast","South","SouthWest","West","NorthWest","North")</f>
        <v>SouthWest</v>
      </c>
      <c r="AA784" s="4">
        <f>CHOOSE(MATCH(Z784,{"South";"SouthEast";"SouthWest";"North";"NorthEast";"East";"West";"NorthWest"},0),1,2,3,4,5,6,7,8)</f>
        <v>3</v>
      </c>
      <c r="AB784" s="2">
        <f t="shared" si="126"/>
        <v>0</v>
      </c>
      <c r="AC784">
        <v>1011.8</v>
      </c>
      <c r="AD784" t="s">
        <v>1207</v>
      </c>
      <c r="AE784" s="2">
        <f t="shared" si="127"/>
        <v>1</v>
      </c>
      <c r="AF784" t="s">
        <v>1217</v>
      </c>
      <c r="AG784" s="2">
        <f t="shared" si="128"/>
        <v>8</v>
      </c>
      <c r="AH784" s="2">
        <f t="shared" si="129"/>
        <v>1</v>
      </c>
      <c r="AI784" s="3">
        <v>434.99999999301508</v>
      </c>
      <c r="AJ784" s="2">
        <v>1</v>
      </c>
      <c r="AK784">
        <v>0</v>
      </c>
      <c r="AL784">
        <v>3</v>
      </c>
      <c r="AM784">
        <v>0</v>
      </c>
      <c r="AN784" s="2">
        <f>IF((2*G784+M784-O784+3*V784+2*AB784+2*AE784+2*AH784+3*AJ784)&gt;=7,1,0)</f>
        <v>1</v>
      </c>
    </row>
    <row r="785" spans="1:40" x14ac:dyDescent="0.25">
      <c r="A785" t="s">
        <v>27</v>
      </c>
      <c r="B785" s="1">
        <v>39317</v>
      </c>
      <c r="C785" s="6">
        <f t="shared" si="120"/>
        <v>2007</v>
      </c>
      <c r="D785">
        <v>87.9</v>
      </c>
      <c r="E785">
        <v>75.3</v>
      </c>
      <c r="F785">
        <v>82.7</v>
      </c>
      <c r="G785" s="2">
        <f t="shared" si="121"/>
        <v>1</v>
      </c>
      <c r="H785">
        <v>96.1</v>
      </c>
      <c r="I785">
        <v>75.3</v>
      </c>
      <c r="J785">
        <v>86.6</v>
      </c>
      <c r="K785">
        <v>69</v>
      </c>
      <c r="L785">
        <v>63.5</v>
      </c>
      <c r="M785" s="2">
        <f t="shared" si="122"/>
        <v>1</v>
      </c>
      <c r="N785">
        <v>0</v>
      </c>
      <c r="O785" s="2">
        <f t="shared" si="123"/>
        <v>1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s="2">
        <f t="shared" si="124"/>
        <v>0</v>
      </c>
      <c r="W785">
        <v>17.2</v>
      </c>
      <c r="X785" s="2">
        <f t="shared" si="125"/>
        <v>1</v>
      </c>
      <c r="Y785">
        <v>304.8</v>
      </c>
      <c r="Z785" s="2" t="str">
        <f>CHOOSE(MATCH(Y785,{0;11;80;111;161;191;241;281;341},1),"North","NorthEast","East","SouthEast","South","SouthWest","West","NorthWest","North")</f>
        <v>NorthWest</v>
      </c>
      <c r="AA785" s="4">
        <f>CHOOSE(MATCH(Z785,{"South";"SouthEast";"SouthWest";"North";"NorthEast";"East";"West";"NorthWest"},0),1,2,3,4,5,6,7,8)</f>
        <v>8</v>
      </c>
      <c r="AB785" s="2">
        <f t="shared" si="126"/>
        <v>1</v>
      </c>
      <c r="AC785">
        <v>1010.6</v>
      </c>
      <c r="AD785" t="s">
        <v>1218</v>
      </c>
      <c r="AE785" s="2">
        <f t="shared" si="127"/>
        <v>0</v>
      </c>
      <c r="AF785" t="s">
        <v>1219</v>
      </c>
      <c r="AG785" s="2">
        <f t="shared" si="128"/>
        <v>8</v>
      </c>
      <c r="AH785" s="2">
        <f t="shared" si="129"/>
        <v>1</v>
      </c>
      <c r="AI785" s="3">
        <v>42330.000000003492</v>
      </c>
      <c r="AJ785" s="2">
        <v>1</v>
      </c>
      <c r="AK785">
        <v>40000</v>
      </c>
      <c r="AL785">
        <v>100000</v>
      </c>
      <c r="AM785">
        <v>0</v>
      </c>
      <c r="AN785" s="2">
        <f>IF((2*G785+M785-O785+3*V785+2*AB785+2*AE785+2*AH785+3*AJ785)&gt;=7,1,0)</f>
        <v>1</v>
      </c>
    </row>
    <row r="786" spans="1:40" x14ac:dyDescent="0.25">
      <c r="A786" t="s">
        <v>27</v>
      </c>
      <c r="B786" s="1">
        <v>39317</v>
      </c>
      <c r="C786" s="6">
        <f t="shared" si="120"/>
        <v>2007</v>
      </c>
      <c r="D786">
        <v>87.9</v>
      </c>
      <c r="E786">
        <v>75.3</v>
      </c>
      <c r="F786">
        <v>82.7</v>
      </c>
      <c r="G786" s="2">
        <f t="shared" si="121"/>
        <v>1</v>
      </c>
      <c r="H786">
        <v>96.1</v>
      </c>
      <c r="I786">
        <v>75.3</v>
      </c>
      <c r="J786">
        <v>86.6</v>
      </c>
      <c r="K786">
        <v>69</v>
      </c>
      <c r="L786">
        <v>63.5</v>
      </c>
      <c r="M786" s="2">
        <f t="shared" si="122"/>
        <v>1</v>
      </c>
      <c r="N786">
        <v>0</v>
      </c>
      <c r="O786" s="2">
        <f t="shared" si="123"/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 s="2">
        <f t="shared" si="124"/>
        <v>0</v>
      </c>
      <c r="W786">
        <v>17.2</v>
      </c>
      <c r="X786" s="2">
        <f t="shared" si="125"/>
        <v>1</v>
      </c>
      <c r="Y786">
        <v>304.8</v>
      </c>
      <c r="Z786" s="2" t="str">
        <f>CHOOSE(MATCH(Y786,{0;11;80;111;161;191;241;281;341},1),"North","NorthEast","East","SouthEast","South","SouthWest","West","NorthWest","North")</f>
        <v>NorthWest</v>
      </c>
      <c r="AA786" s="4">
        <f>CHOOSE(MATCH(Z786,{"South";"SouthEast";"SouthWest";"North";"NorthEast";"East";"West";"NorthWest"},0),1,2,3,4,5,6,7,8)</f>
        <v>8</v>
      </c>
      <c r="AB786" s="2">
        <f t="shared" si="126"/>
        <v>1</v>
      </c>
      <c r="AC786">
        <v>1010.6</v>
      </c>
      <c r="AD786" t="s">
        <v>1101</v>
      </c>
      <c r="AE786" s="2">
        <f t="shared" si="127"/>
        <v>1</v>
      </c>
      <c r="AF786" t="s">
        <v>1220</v>
      </c>
      <c r="AG786" s="2">
        <f t="shared" si="128"/>
        <v>8</v>
      </c>
      <c r="AH786" s="2">
        <f t="shared" si="129"/>
        <v>1</v>
      </c>
      <c r="AI786" s="3">
        <v>3455.0000000093132</v>
      </c>
      <c r="AJ786" s="2">
        <v>1</v>
      </c>
      <c r="AK786">
        <v>0</v>
      </c>
      <c r="AL786">
        <v>2500</v>
      </c>
      <c r="AM786">
        <v>0</v>
      </c>
      <c r="AN786" s="2">
        <f>IF((2*G786+M786-O786+3*V786+2*AB786+2*AE786+2*AH786+3*AJ786)&gt;=7,1,0)</f>
        <v>1</v>
      </c>
    </row>
    <row r="787" spans="1:40" x14ac:dyDescent="0.25">
      <c r="A787" t="s">
        <v>27</v>
      </c>
      <c r="B787" s="1">
        <v>39318</v>
      </c>
      <c r="C787" s="6">
        <f t="shared" si="120"/>
        <v>2007</v>
      </c>
      <c r="D787">
        <v>86.1</v>
      </c>
      <c r="E787">
        <v>77.099999999999994</v>
      </c>
      <c r="F787">
        <v>82.9</v>
      </c>
      <c r="G787" s="2">
        <f t="shared" si="121"/>
        <v>1</v>
      </c>
      <c r="H787">
        <v>95.4</v>
      </c>
      <c r="I787">
        <v>77.099999999999994</v>
      </c>
      <c r="J787">
        <v>88.2</v>
      </c>
      <c r="K787">
        <v>71.5</v>
      </c>
      <c r="L787">
        <v>68.7</v>
      </c>
      <c r="M787" s="2">
        <f t="shared" si="122"/>
        <v>0</v>
      </c>
      <c r="N787">
        <v>0</v>
      </c>
      <c r="O787" s="2">
        <f t="shared" si="123"/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 s="2">
        <f t="shared" si="124"/>
        <v>0</v>
      </c>
      <c r="W787">
        <v>21.9</v>
      </c>
      <c r="X787" s="2">
        <f t="shared" si="125"/>
        <v>1</v>
      </c>
      <c r="Y787">
        <v>308.10000000000002</v>
      </c>
      <c r="Z787" s="2" t="str">
        <f>CHOOSE(MATCH(Y787,{0;11;80;111;161;191;241;281;341},1),"North","NorthEast","East","SouthEast","South","SouthWest","West","NorthWest","North")</f>
        <v>NorthWest</v>
      </c>
      <c r="AA787" s="4">
        <f>CHOOSE(MATCH(Z787,{"South";"SouthEast";"SouthWest";"North";"NorthEast";"East";"West";"NorthWest"},0),1,2,3,4,5,6,7,8)</f>
        <v>8</v>
      </c>
      <c r="AB787" s="2">
        <f t="shared" si="126"/>
        <v>1</v>
      </c>
      <c r="AC787">
        <v>1010.4</v>
      </c>
      <c r="AD787" t="s">
        <v>1221</v>
      </c>
      <c r="AE787" s="2">
        <f t="shared" si="127"/>
        <v>0</v>
      </c>
      <c r="AF787" t="s">
        <v>1222</v>
      </c>
      <c r="AG787" s="2">
        <f t="shared" si="128"/>
        <v>8</v>
      </c>
      <c r="AH787" s="2">
        <f t="shared" si="129"/>
        <v>1</v>
      </c>
      <c r="AI787" s="3">
        <v>2669.999999996508</v>
      </c>
      <c r="AJ787" s="2">
        <v>1</v>
      </c>
      <c r="AK787">
        <v>0</v>
      </c>
      <c r="AL787">
        <v>30</v>
      </c>
      <c r="AM787">
        <v>0</v>
      </c>
      <c r="AN787" s="2">
        <f>IF((2*G787+M787-O787+3*V787+2*AB787+2*AE787+2*AH787+3*AJ787)&gt;=7,1,0)</f>
        <v>1</v>
      </c>
    </row>
    <row r="788" spans="1:40" x14ac:dyDescent="0.25">
      <c r="A788" t="s">
        <v>27</v>
      </c>
      <c r="B788" s="1">
        <v>39318</v>
      </c>
      <c r="C788" s="6">
        <f t="shared" si="120"/>
        <v>2007</v>
      </c>
      <c r="D788">
        <v>86.1</v>
      </c>
      <c r="E788">
        <v>77.099999999999994</v>
      </c>
      <c r="F788">
        <v>82.9</v>
      </c>
      <c r="G788" s="2">
        <f t="shared" si="121"/>
        <v>1</v>
      </c>
      <c r="H788">
        <v>95.4</v>
      </c>
      <c r="I788">
        <v>77.099999999999994</v>
      </c>
      <c r="J788">
        <v>88.2</v>
      </c>
      <c r="K788">
        <v>71.5</v>
      </c>
      <c r="L788">
        <v>68.7</v>
      </c>
      <c r="M788" s="2">
        <f t="shared" si="122"/>
        <v>0</v>
      </c>
      <c r="N788">
        <v>0</v>
      </c>
      <c r="O788" s="2">
        <f t="shared" si="123"/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 s="2">
        <f t="shared" si="124"/>
        <v>0</v>
      </c>
      <c r="W788">
        <v>21.9</v>
      </c>
      <c r="X788" s="2">
        <f t="shared" si="125"/>
        <v>1</v>
      </c>
      <c r="Y788">
        <v>308.10000000000002</v>
      </c>
      <c r="Z788" s="2" t="str">
        <f>CHOOSE(MATCH(Y788,{0;11;80;111;161;191;241;281;341},1),"North","NorthEast","East","SouthEast","South","SouthWest","West","NorthWest","North")</f>
        <v>NorthWest</v>
      </c>
      <c r="AA788" s="4">
        <f>CHOOSE(MATCH(Z788,{"South";"SouthEast";"SouthWest";"North";"NorthEast";"East";"West";"NorthWest"},0),1,2,3,4,5,6,7,8)</f>
        <v>8</v>
      </c>
      <c r="AB788" s="2">
        <f t="shared" si="126"/>
        <v>1</v>
      </c>
      <c r="AC788">
        <v>1010.4</v>
      </c>
      <c r="AD788" t="s">
        <v>1218</v>
      </c>
      <c r="AE788" s="2">
        <f t="shared" si="127"/>
        <v>0</v>
      </c>
      <c r="AF788" t="s">
        <v>1223</v>
      </c>
      <c r="AG788" s="2">
        <f t="shared" si="128"/>
        <v>8</v>
      </c>
      <c r="AH788" s="2">
        <f t="shared" si="129"/>
        <v>1</v>
      </c>
      <c r="AI788" s="3">
        <v>6420.0000000034916</v>
      </c>
      <c r="AJ788" s="2">
        <v>1</v>
      </c>
      <c r="AK788">
        <v>0</v>
      </c>
      <c r="AL788">
        <v>2000</v>
      </c>
      <c r="AM788">
        <v>0</v>
      </c>
      <c r="AN788" s="2">
        <f>IF((2*G788+M788-O788+3*V788+2*AB788+2*AE788+2*AH788+3*AJ788)&gt;=7,1,0)</f>
        <v>1</v>
      </c>
    </row>
    <row r="789" spans="1:40" x14ac:dyDescent="0.25">
      <c r="A789" t="s">
        <v>27</v>
      </c>
      <c r="B789" s="1">
        <v>39318</v>
      </c>
      <c r="C789" s="6">
        <f t="shared" si="120"/>
        <v>2007</v>
      </c>
      <c r="D789">
        <v>86.1</v>
      </c>
      <c r="E789">
        <v>77.099999999999994</v>
      </c>
      <c r="F789">
        <v>82.9</v>
      </c>
      <c r="G789" s="2">
        <f t="shared" si="121"/>
        <v>1</v>
      </c>
      <c r="H789">
        <v>95.4</v>
      </c>
      <c r="I789">
        <v>77.099999999999994</v>
      </c>
      <c r="J789">
        <v>88.2</v>
      </c>
      <c r="K789">
        <v>71.5</v>
      </c>
      <c r="L789">
        <v>68.7</v>
      </c>
      <c r="M789" s="2">
        <f t="shared" si="122"/>
        <v>0</v>
      </c>
      <c r="N789">
        <v>0</v>
      </c>
      <c r="O789" s="2">
        <f t="shared" si="123"/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 s="2">
        <f t="shared" si="124"/>
        <v>0</v>
      </c>
      <c r="W789">
        <v>21.9</v>
      </c>
      <c r="X789" s="2">
        <f t="shared" si="125"/>
        <v>1</v>
      </c>
      <c r="Y789">
        <v>308.10000000000002</v>
      </c>
      <c r="Z789" s="2" t="str">
        <f>CHOOSE(MATCH(Y789,{0;11;80;111;161;191;241;281;341},1),"North","NorthEast","East","SouthEast","South","SouthWest","West","NorthWest","North")</f>
        <v>NorthWest</v>
      </c>
      <c r="AA789" s="4">
        <f>CHOOSE(MATCH(Z789,{"South";"SouthEast";"SouthWest";"North";"NorthEast";"East";"West";"NorthWest"},0),1,2,3,4,5,6,7,8)</f>
        <v>8</v>
      </c>
      <c r="AB789" s="2">
        <f t="shared" si="126"/>
        <v>1</v>
      </c>
      <c r="AC789">
        <v>1010.4</v>
      </c>
      <c r="AD789" t="s">
        <v>1224</v>
      </c>
      <c r="AE789" s="2">
        <f t="shared" si="127"/>
        <v>1</v>
      </c>
      <c r="AF789" t="s">
        <v>1225</v>
      </c>
      <c r="AG789" s="2">
        <f t="shared" si="128"/>
        <v>8</v>
      </c>
      <c r="AH789" s="2">
        <f t="shared" si="129"/>
        <v>1</v>
      </c>
      <c r="AI789" s="3">
        <v>1425.000000003492</v>
      </c>
      <c r="AJ789" s="2">
        <v>1</v>
      </c>
      <c r="AK789">
        <v>0</v>
      </c>
      <c r="AL789">
        <v>100</v>
      </c>
      <c r="AM789">
        <v>0</v>
      </c>
      <c r="AN789" s="2">
        <f>IF((2*G789+M789-O789+3*V789+2*AB789+2*AE789+2*AH789+3*AJ789)&gt;=7,1,0)</f>
        <v>1</v>
      </c>
    </row>
    <row r="790" spans="1:40" x14ac:dyDescent="0.25">
      <c r="A790" t="s">
        <v>27</v>
      </c>
      <c r="B790" s="1">
        <v>39319</v>
      </c>
      <c r="C790" s="6">
        <f t="shared" si="120"/>
        <v>2007</v>
      </c>
      <c r="D790">
        <v>87.9</v>
      </c>
      <c r="E790">
        <v>80.7</v>
      </c>
      <c r="F790">
        <v>84.1</v>
      </c>
      <c r="G790" s="2">
        <f t="shared" si="121"/>
        <v>1</v>
      </c>
      <c r="H790">
        <v>91.6</v>
      </c>
      <c r="I790">
        <v>84.1</v>
      </c>
      <c r="J790">
        <v>87.9</v>
      </c>
      <c r="K790">
        <v>69.400000000000006</v>
      </c>
      <c r="L790">
        <v>61.6</v>
      </c>
      <c r="M790" s="2">
        <f t="shared" si="122"/>
        <v>1</v>
      </c>
      <c r="N790">
        <v>0</v>
      </c>
      <c r="O790" s="2">
        <f t="shared" si="123"/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 s="2">
        <f t="shared" si="124"/>
        <v>0</v>
      </c>
      <c r="W790">
        <v>21.9</v>
      </c>
      <c r="X790" s="2">
        <f t="shared" si="125"/>
        <v>1</v>
      </c>
      <c r="Y790">
        <v>305.10000000000002</v>
      </c>
      <c r="Z790" s="2" t="str">
        <f>CHOOSE(MATCH(Y790,{0;11;80;111;161;191;241;281;341},1),"North","NorthEast","East","SouthEast","South","SouthWest","West","NorthWest","North")</f>
        <v>NorthWest</v>
      </c>
      <c r="AA790" s="4">
        <f>CHOOSE(MATCH(Z790,{"South";"SouthEast";"SouthWest";"North";"NorthEast";"East";"West";"NorthWest"},0),1,2,3,4,5,6,7,8)</f>
        <v>8</v>
      </c>
      <c r="AB790" s="2">
        <f t="shared" si="126"/>
        <v>1</v>
      </c>
      <c r="AC790">
        <v>1012.4</v>
      </c>
      <c r="AD790" t="s">
        <v>1226</v>
      </c>
      <c r="AE790" s="2">
        <f t="shared" si="127"/>
        <v>1</v>
      </c>
      <c r="AF790" t="s">
        <v>1227</v>
      </c>
      <c r="AG790" s="2">
        <f t="shared" si="128"/>
        <v>8</v>
      </c>
      <c r="AH790" s="2">
        <f t="shared" si="129"/>
        <v>1</v>
      </c>
      <c r="AI790" s="3">
        <v>3055.0000000046571</v>
      </c>
      <c r="AJ790" s="2">
        <v>1</v>
      </c>
      <c r="AK790">
        <v>0</v>
      </c>
      <c r="AL790">
        <v>20</v>
      </c>
      <c r="AM790">
        <v>0</v>
      </c>
      <c r="AN790" s="2">
        <f>IF((2*G790+M790-O790+3*V790+2*AB790+2*AE790+2*AH790+3*AJ790)&gt;=7,1,0)</f>
        <v>1</v>
      </c>
    </row>
    <row r="791" spans="1:40" x14ac:dyDescent="0.25">
      <c r="A791" t="s">
        <v>27</v>
      </c>
      <c r="B791" s="1">
        <v>39319</v>
      </c>
      <c r="C791" s="6">
        <f t="shared" si="120"/>
        <v>2007</v>
      </c>
      <c r="D791">
        <v>87.9</v>
      </c>
      <c r="E791">
        <v>80.7</v>
      </c>
      <c r="F791">
        <v>84.1</v>
      </c>
      <c r="G791" s="2">
        <f t="shared" si="121"/>
        <v>1</v>
      </c>
      <c r="H791">
        <v>91.6</v>
      </c>
      <c r="I791">
        <v>84.1</v>
      </c>
      <c r="J791">
        <v>87.9</v>
      </c>
      <c r="K791">
        <v>69.400000000000006</v>
      </c>
      <c r="L791">
        <v>61.6</v>
      </c>
      <c r="M791" s="2">
        <f t="shared" si="122"/>
        <v>1</v>
      </c>
      <c r="N791">
        <v>0</v>
      </c>
      <c r="O791" s="2">
        <f t="shared" si="123"/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 s="2">
        <f t="shared" si="124"/>
        <v>0</v>
      </c>
      <c r="W791">
        <v>21.9</v>
      </c>
      <c r="X791" s="2">
        <f t="shared" si="125"/>
        <v>1</v>
      </c>
      <c r="Y791">
        <v>305.10000000000002</v>
      </c>
      <c r="Z791" s="2" t="str">
        <f>CHOOSE(MATCH(Y791,{0;11;80;111;161;191;241;281;341},1),"North","NorthEast","East","SouthEast","South","SouthWest","West","NorthWest","North")</f>
        <v>NorthWest</v>
      </c>
      <c r="AA791" s="4">
        <f>CHOOSE(MATCH(Z791,{"South";"SouthEast";"SouthWest";"North";"NorthEast";"East";"West";"NorthWest"},0),1,2,3,4,5,6,7,8)</f>
        <v>8</v>
      </c>
      <c r="AB791" s="2">
        <f t="shared" si="126"/>
        <v>1</v>
      </c>
      <c r="AC791">
        <v>1012.4</v>
      </c>
      <c r="AD791" t="s">
        <v>1228</v>
      </c>
      <c r="AE791" s="2">
        <f t="shared" si="127"/>
        <v>1</v>
      </c>
      <c r="AF791" t="s">
        <v>1229</v>
      </c>
      <c r="AG791" s="2">
        <f t="shared" si="128"/>
        <v>8</v>
      </c>
      <c r="AH791" s="2">
        <f t="shared" si="129"/>
        <v>1</v>
      </c>
      <c r="AI791" s="3">
        <v>94.999999995343387</v>
      </c>
      <c r="AJ791" s="2">
        <v>0</v>
      </c>
      <c r="AK791">
        <v>0</v>
      </c>
      <c r="AL791">
        <v>0.3</v>
      </c>
      <c r="AM791">
        <v>0</v>
      </c>
      <c r="AN791" s="2">
        <f>IF((2*G791+M791-O791+3*V791+2*AB791+2*AE791+2*AH791+3*AJ791)&gt;=7,1,0)</f>
        <v>1</v>
      </c>
    </row>
    <row r="792" spans="1:40" x14ac:dyDescent="0.25">
      <c r="A792" t="s">
        <v>27</v>
      </c>
      <c r="B792" s="1">
        <v>39324</v>
      </c>
      <c r="C792" s="6">
        <f t="shared" si="120"/>
        <v>2007</v>
      </c>
      <c r="D792">
        <v>84.3</v>
      </c>
      <c r="E792">
        <v>71.7</v>
      </c>
      <c r="F792">
        <v>78.900000000000006</v>
      </c>
      <c r="G792" s="2">
        <f t="shared" si="121"/>
        <v>1</v>
      </c>
      <c r="H792">
        <v>89.8</v>
      </c>
      <c r="I792">
        <v>71.7</v>
      </c>
      <c r="J792">
        <v>80.7</v>
      </c>
      <c r="K792">
        <v>67.400000000000006</v>
      </c>
      <c r="L792">
        <v>68.400000000000006</v>
      </c>
      <c r="M792" s="2">
        <f t="shared" si="122"/>
        <v>0</v>
      </c>
      <c r="N792">
        <v>0</v>
      </c>
      <c r="O792" s="2">
        <f t="shared" si="123"/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s="2">
        <f t="shared" si="124"/>
        <v>0</v>
      </c>
      <c r="W792">
        <v>15</v>
      </c>
      <c r="X792" s="2">
        <f t="shared" si="125"/>
        <v>0</v>
      </c>
      <c r="Y792">
        <v>308.2</v>
      </c>
      <c r="Z792" s="2" t="str">
        <f>CHOOSE(MATCH(Y792,{0;11;80;111;161;191;241;281;341},1),"North","NorthEast","East","SouthEast","South","SouthWest","West","NorthWest","North")</f>
        <v>NorthWest</v>
      </c>
      <c r="AA792" s="4">
        <f>CHOOSE(MATCH(Z792,{"South";"SouthEast";"SouthWest";"North";"NorthEast";"East";"West";"NorthWest"},0),1,2,3,4,5,6,7,8)</f>
        <v>8</v>
      </c>
      <c r="AB792" s="2">
        <f t="shared" si="126"/>
        <v>1</v>
      </c>
      <c r="AC792">
        <v>1011.6</v>
      </c>
      <c r="AD792" t="s">
        <v>1230</v>
      </c>
      <c r="AE792" s="2">
        <f t="shared" si="127"/>
        <v>1</v>
      </c>
      <c r="AF792" t="s">
        <v>1231</v>
      </c>
      <c r="AG792" s="2">
        <f t="shared" si="128"/>
        <v>8</v>
      </c>
      <c r="AH792" s="2">
        <f t="shared" si="129"/>
        <v>1</v>
      </c>
      <c r="AI792" s="3">
        <v>124.9999999988358</v>
      </c>
      <c r="AJ792" s="2">
        <v>0</v>
      </c>
      <c r="AK792">
        <v>0</v>
      </c>
      <c r="AL792">
        <v>1</v>
      </c>
      <c r="AM792">
        <v>0</v>
      </c>
      <c r="AN792" s="2">
        <f>IF((2*G792+M792-O792+3*V792+2*AB792+2*AE792+2*AH792+3*AJ792)&gt;=7,1,0)</f>
        <v>1</v>
      </c>
    </row>
    <row r="793" spans="1:40" x14ac:dyDescent="0.25">
      <c r="A793" t="s">
        <v>27</v>
      </c>
      <c r="B793" s="1">
        <v>39325</v>
      </c>
      <c r="C793" s="6">
        <f t="shared" si="120"/>
        <v>2007</v>
      </c>
      <c r="D793">
        <v>89.7</v>
      </c>
      <c r="E793">
        <v>69.900000000000006</v>
      </c>
      <c r="F793">
        <v>79.8</v>
      </c>
      <c r="G793" s="2">
        <f t="shared" si="121"/>
        <v>1</v>
      </c>
      <c r="H793">
        <v>93.7</v>
      </c>
      <c r="I793">
        <v>69.900000000000006</v>
      </c>
      <c r="J793">
        <v>81.3</v>
      </c>
      <c r="K793">
        <v>63.6</v>
      </c>
      <c r="L793">
        <v>59</v>
      </c>
      <c r="M793" s="2">
        <f t="shared" si="122"/>
        <v>1</v>
      </c>
      <c r="N793">
        <v>0</v>
      </c>
      <c r="O793" s="2">
        <f t="shared" si="123"/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 s="2">
        <f t="shared" si="124"/>
        <v>0</v>
      </c>
      <c r="W793">
        <v>10.3</v>
      </c>
      <c r="X793" s="2">
        <f t="shared" si="125"/>
        <v>0</v>
      </c>
      <c r="Y793">
        <v>168.5</v>
      </c>
      <c r="Z793" s="2" t="str">
        <f>CHOOSE(MATCH(Y793,{0;11;80;111;161;191;241;281;341},1),"North","NorthEast","East","SouthEast","South","SouthWest","West","NorthWest","North")</f>
        <v>South</v>
      </c>
      <c r="AA793" s="4">
        <f>CHOOSE(MATCH(Z793,{"South";"SouthEast";"SouthWest";"North";"NorthEast";"East";"West";"NorthWest"},0),1,2,3,4,5,6,7,8)</f>
        <v>1</v>
      </c>
      <c r="AB793" s="2">
        <f t="shared" si="126"/>
        <v>0</v>
      </c>
      <c r="AC793">
        <v>1010</v>
      </c>
      <c r="AD793" t="s">
        <v>1232</v>
      </c>
      <c r="AE793" s="2">
        <f t="shared" si="127"/>
        <v>0</v>
      </c>
      <c r="AF793" t="s">
        <v>1233</v>
      </c>
      <c r="AG793" s="2">
        <f t="shared" si="128"/>
        <v>8</v>
      </c>
      <c r="AH793" s="2">
        <f t="shared" si="129"/>
        <v>1</v>
      </c>
      <c r="AI793" s="3">
        <v>95.000000005820766</v>
      </c>
      <c r="AJ793" s="2">
        <v>0</v>
      </c>
      <c r="AK793">
        <v>0</v>
      </c>
      <c r="AL793">
        <v>0.01</v>
      </c>
      <c r="AM793">
        <v>0</v>
      </c>
      <c r="AN793" s="2">
        <f>IF((2*G793+M793-O793+3*V793+2*AB793+2*AE793+2*AH793+3*AJ793)&gt;=7,1,0)</f>
        <v>0</v>
      </c>
    </row>
    <row r="794" spans="1:40" x14ac:dyDescent="0.25">
      <c r="A794" t="s">
        <v>27</v>
      </c>
      <c r="B794" s="1">
        <v>39325</v>
      </c>
      <c r="C794" s="6">
        <f t="shared" si="120"/>
        <v>2007</v>
      </c>
      <c r="D794">
        <v>89.7</v>
      </c>
      <c r="E794">
        <v>69.900000000000006</v>
      </c>
      <c r="F794">
        <v>79.8</v>
      </c>
      <c r="G794" s="2">
        <f t="shared" si="121"/>
        <v>1</v>
      </c>
      <c r="H794">
        <v>93.7</v>
      </c>
      <c r="I794">
        <v>69.900000000000006</v>
      </c>
      <c r="J794">
        <v>81.3</v>
      </c>
      <c r="K794">
        <v>63.6</v>
      </c>
      <c r="L794">
        <v>59</v>
      </c>
      <c r="M794" s="2">
        <f t="shared" si="122"/>
        <v>1</v>
      </c>
      <c r="N794">
        <v>0</v>
      </c>
      <c r="O794" s="2">
        <f t="shared" si="123"/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s="2">
        <f t="shared" si="124"/>
        <v>0</v>
      </c>
      <c r="W794">
        <v>10.3</v>
      </c>
      <c r="X794" s="2">
        <f t="shared" si="125"/>
        <v>0</v>
      </c>
      <c r="Y794">
        <v>168.5</v>
      </c>
      <c r="Z794" s="2" t="str">
        <f>CHOOSE(MATCH(Y794,{0;11;80;111;161;191;241;281;341},1),"North","NorthEast","East","SouthEast","South","SouthWest","West","NorthWest","North")</f>
        <v>South</v>
      </c>
      <c r="AA794" s="4">
        <f>CHOOSE(MATCH(Z794,{"South";"SouthEast";"SouthWest";"North";"NorthEast";"East";"West";"NorthWest"},0),1,2,3,4,5,6,7,8)</f>
        <v>1</v>
      </c>
      <c r="AB794" s="2">
        <f t="shared" si="126"/>
        <v>0</v>
      </c>
      <c r="AC794">
        <v>1010</v>
      </c>
      <c r="AD794" t="s">
        <v>1234</v>
      </c>
      <c r="AE794" s="2">
        <f t="shared" si="127"/>
        <v>1</v>
      </c>
      <c r="AF794" t="s">
        <v>1235</v>
      </c>
      <c r="AG794" s="2">
        <f t="shared" si="128"/>
        <v>8</v>
      </c>
      <c r="AH794" s="2">
        <f t="shared" si="129"/>
        <v>1</v>
      </c>
      <c r="AI794" s="3">
        <v>379.99999999185093</v>
      </c>
      <c r="AJ794" s="2">
        <v>1</v>
      </c>
      <c r="AK794">
        <v>0</v>
      </c>
      <c r="AL794">
        <v>5</v>
      </c>
      <c r="AM794">
        <v>0</v>
      </c>
      <c r="AN794" s="2">
        <f>IF((2*G794+M794-O794+3*V794+2*AB794+2*AE794+2*AH794+3*AJ794)&gt;=7,1,0)</f>
        <v>1</v>
      </c>
    </row>
    <row r="795" spans="1:40" x14ac:dyDescent="0.25">
      <c r="A795" t="s">
        <v>27</v>
      </c>
      <c r="B795" s="1">
        <v>39328</v>
      </c>
      <c r="C795" s="6">
        <f t="shared" si="120"/>
        <v>2007</v>
      </c>
      <c r="D795">
        <v>84.3</v>
      </c>
      <c r="E795">
        <v>73.5</v>
      </c>
      <c r="F795">
        <v>79.400000000000006</v>
      </c>
      <c r="G795" s="2">
        <f t="shared" si="121"/>
        <v>1</v>
      </c>
      <c r="H795">
        <v>91.1</v>
      </c>
      <c r="I795">
        <v>73.5</v>
      </c>
      <c r="J795">
        <v>82.2</v>
      </c>
      <c r="K795">
        <v>72.900000000000006</v>
      </c>
      <c r="L795">
        <v>80.8</v>
      </c>
      <c r="M795" s="2">
        <f t="shared" si="122"/>
        <v>0</v>
      </c>
      <c r="N795">
        <v>0</v>
      </c>
      <c r="O795" s="2">
        <f t="shared" si="123"/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 s="2">
        <f t="shared" si="124"/>
        <v>0</v>
      </c>
      <c r="W795">
        <v>15</v>
      </c>
      <c r="X795" s="2">
        <f t="shared" si="125"/>
        <v>0</v>
      </c>
      <c r="Y795">
        <v>320</v>
      </c>
      <c r="Z795" s="2" t="str">
        <f>CHOOSE(MATCH(Y795,{0;11;80;111;161;191;241;281;341},1),"North","NorthEast","East","SouthEast","South","SouthWest","West","NorthWest","North")</f>
        <v>NorthWest</v>
      </c>
      <c r="AA795" s="4">
        <f>CHOOSE(MATCH(Z795,{"South";"SouthEast";"SouthWest";"North";"NorthEast";"East";"West";"NorthWest"},0),1,2,3,4,5,6,7,8)</f>
        <v>8</v>
      </c>
      <c r="AB795" s="2">
        <f t="shared" si="126"/>
        <v>1</v>
      </c>
      <c r="AC795">
        <v>1008.5</v>
      </c>
      <c r="AD795" t="s">
        <v>1195</v>
      </c>
      <c r="AE795" s="2">
        <f t="shared" si="127"/>
        <v>1</v>
      </c>
      <c r="AF795" t="s">
        <v>1236</v>
      </c>
      <c r="AG795" s="2">
        <f t="shared" si="128"/>
        <v>9</v>
      </c>
      <c r="AH795" s="2">
        <f t="shared" si="129"/>
        <v>0</v>
      </c>
      <c r="AI795" s="3">
        <v>455.00000000582082</v>
      </c>
      <c r="AJ795" s="2">
        <v>1</v>
      </c>
      <c r="AK795">
        <v>0</v>
      </c>
      <c r="AL795">
        <v>2</v>
      </c>
      <c r="AM795">
        <v>0</v>
      </c>
      <c r="AN795" s="2">
        <f>IF((2*G795+M795-O795+3*V795+2*AB795+2*AE795+2*AH795+3*AJ795)&gt;=7,1,0)</f>
        <v>1</v>
      </c>
    </row>
    <row r="796" spans="1:40" x14ac:dyDescent="0.25">
      <c r="A796" t="s">
        <v>27</v>
      </c>
      <c r="B796" s="1">
        <v>39330</v>
      </c>
      <c r="C796" s="6">
        <f t="shared" si="120"/>
        <v>2007</v>
      </c>
      <c r="D796">
        <v>84.3</v>
      </c>
      <c r="E796">
        <v>66.3</v>
      </c>
      <c r="F796">
        <v>76.900000000000006</v>
      </c>
      <c r="G796" s="2">
        <f t="shared" si="121"/>
        <v>1</v>
      </c>
      <c r="H796">
        <v>89.8</v>
      </c>
      <c r="I796">
        <v>66.3</v>
      </c>
      <c r="J796">
        <v>78.8</v>
      </c>
      <c r="K796">
        <v>64.7</v>
      </c>
      <c r="L796">
        <v>66.3</v>
      </c>
      <c r="M796" s="2">
        <f t="shared" si="122"/>
        <v>0</v>
      </c>
      <c r="N796">
        <v>0</v>
      </c>
      <c r="O796" s="2">
        <f t="shared" si="123"/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 s="2">
        <f t="shared" si="124"/>
        <v>0</v>
      </c>
      <c r="W796">
        <v>23</v>
      </c>
      <c r="X796" s="2">
        <f t="shared" si="125"/>
        <v>1</v>
      </c>
      <c r="Y796">
        <v>294.7</v>
      </c>
      <c r="Z796" s="2" t="str">
        <f>CHOOSE(MATCH(Y796,{0;11;80;111;161;191;241;281;341},1),"North","NorthEast","East","SouthEast","South","SouthWest","West","NorthWest","North")</f>
        <v>NorthWest</v>
      </c>
      <c r="AA796" s="4">
        <f>CHOOSE(MATCH(Z796,{"South";"SouthEast";"SouthWest";"North";"NorthEast";"East";"West";"NorthWest"},0),1,2,3,4,5,6,7,8)</f>
        <v>8</v>
      </c>
      <c r="AB796" s="2">
        <f t="shared" si="126"/>
        <v>1</v>
      </c>
      <c r="AC796">
        <v>1010.6</v>
      </c>
      <c r="AD796" t="s">
        <v>1237</v>
      </c>
      <c r="AE796" s="2">
        <f t="shared" si="127"/>
        <v>1</v>
      </c>
      <c r="AF796" t="s">
        <v>1238</v>
      </c>
      <c r="AG796" s="2">
        <f t="shared" si="128"/>
        <v>9</v>
      </c>
      <c r="AH796" s="2">
        <f t="shared" si="129"/>
        <v>0</v>
      </c>
      <c r="AI796" s="3">
        <v>259.99999999883579</v>
      </c>
      <c r="AJ796" s="2">
        <v>0</v>
      </c>
      <c r="AK796">
        <v>0</v>
      </c>
      <c r="AL796">
        <v>5</v>
      </c>
      <c r="AM796">
        <v>0</v>
      </c>
      <c r="AN796" s="2">
        <f>IF((2*G796+M796-O796+3*V796+2*AB796+2*AE796+2*AH796+3*AJ796)&gt;=7,1,0)</f>
        <v>0</v>
      </c>
    </row>
    <row r="797" spans="1:40" x14ac:dyDescent="0.25">
      <c r="A797" t="s">
        <v>27</v>
      </c>
      <c r="B797" s="1">
        <v>39331</v>
      </c>
      <c r="C797" s="6">
        <f t="shared" si="120"/>
        <v>2007</v>
      </c>
      <c r="D797">
        <v>80.7</v>
      </c>
      <c r="E797">
        <v>73.5</v>
      </c>
      <c r="F797">
        <v>77.099999999999994</v>
      </c>
      <c r="G797" s="2">
        <f t="shared" si="121"/>
        <v>1</v>
      </c>
      <c r="H797">
        <v>84.7</v>
      </c>
      <c r="I797">
        <v>73.5</v>
      </c>
      <c r="J797">
        <v>77.900000000000006</v>
      </c>
      <c r="K797">
        <v>67</v>
      </c>
      <c r="L797">
        <v>71.5</v>
      </c>
      <c r="M797" s="2">
        <f t="shared" si="122"/>
        <v>0</v>
      </c>
      <c r="N797">
        <v>0</v>
      </c>
      <c r="O797" s="2">
        <f t="shared" si="123"/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 s="2">
        <f t="shared" si="124"/>
        <v>0</v>
      </c>
      <c r="W797">
        <v>19.5</v>
      </c>
      <c r="X797" s="2">
        <f t="shared" si="125"/>
        <v>1</v>
      </c>
      <c r="Y797">
        <v>310.3</v>
      </c>
      <c r="Z797" s="2" t="str">
        <f>CHOOSE(MATCH(Y797,{0;11;80;111;161;191;241;281;341},1),"North","NorthEast","East","SouthEast","South","SouthWest","West","NorthWest","North")</f>
        <v>NorthWest</v>
      </c>
      <c r="AA797" s="4">
        <f>CHOOSE(MATCH(Z797,{"South";"SouthEast";"SouthWest";"North";"NorthEast";"East";"West";"NorthWest"},0),1,2,3,4,5,6,7,8)</f>
        <v>8</v>
      </c>
      <c r="AB797" s="2">
        <f t="shared" si="126"/>
        <v>1</v>
      </c>
      <c r="AC797">
        <v>1012.7</v>
      </c>
      <c r="AD797" t="s">
        <v>1205</v>
      </c>
      <c r="AE797" s="2">
        <f t="shared" si="127"/>
        <v>1</v>
      </c>
      <c r="AF797" t="s">
        <v>1239</v>
      </c>
      <c r="AG797" s="2">
        <f t="shared" si="128"/>
        <v>9</v>
      </c>
      <c r="AH797" s="2">
        <f t="shared" si="129"/>
        <v>0</v>
      </c>
      <c r="AI797" s="3">
        <v>4680</v>
      </c>
      <c r="AJ797" s="2">
        <v>1</v>
      </c>
      <c r="AK797">
        <v>0</v>
      </c>
      <c r="AL797">
        <v>200</v>
      </c>
      <c r="AM797">
        <v>0</v>
      </c>
      <c r="AN797" s="2">
        <f>IF((2*G797+M797-O797+3*V797+2*AB797+2*AE797+2*AH797+3*AJ797)&gt;=7,1,0)</f>
        <v>1</v>
      </c>
    </row>
    <row r="798" spans="1:40" x14ac:dyDescent="0.25">
      <c r="A798" t="s">
        <v>27</v>
      </c>
      <c r="B798" s="1">
        <v>39332</v>
      </c>
      <c r="C798" s="6">
        <f t="shared" si="120"/>
        <v>2007</v>
      </c>
      <c r="D798">
        <v>80.7</v>
      </c>
      <c r="E798">
        <v>66.3</v>
      </c>
      <c r="F798">
        <v>74.3</v>
      </c>
      <c r="G798" s="2">
        <f t="shared" si="121"/>
        <v>1</v>
      </c>
      <c r="H798">
        <v>80.599999999999994</v>
      </c>
      <c r="I798">
        <v>66.3</v>
      </c>
      <c r="J798">
        <v>74.3</v>
      </c>
      <c r="K798">
        <v>58.8</v>
      </c>
      <c r="L798">
        <v>59.9</v>
      </c>
      <c r="M798" s="2">
        <f t="shared" si="122"/>
        <v>1</v>
      </c>
      <c r="N798">
        <v>0</v>
      </c>
      <c r="O798" s="2">
        <f t="shared" si="123"/>
        <v>1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 s="2">
        <f t="shared" si="124"/>
        <v>0</v>
      </c>
      <c r="W798">
        <v>27.5</v>
      </c>
      <c r="X798" s="2">
        <f t="shared" si="125"/>
        <v>1</v>
      </c>
      <c r="Y798">
        <v>298.5</v>
      </c>
      <c r="Z798" s="2" t="str">
        <f>CHOOSE(MATCH(Y798,{0;11;80;111;161;191;241;281;341},1),"North","NorthEast","East","SouthEast","South","SouthWest","West","NorthWest","North")</f>
        <v>NorthWest</v>
      </c>
      <c r="AA798" s="4">
        <f>CHOOSE(MATCH(Z798,{"South";"SouthEast";"SouthWest";"North";"NorthEast";"East";"West";"NorthWest"},0),1,2,3,4,5,6,7,8)</f>
        <v>8</v>
      </c>
      <c r="AB798" s="2">
        <f t="shared" si="126"/>
        <v>1</v>
      </c>
      <c r="AC798">
        <v>1010.9</v>
      </c>
      <c r="AD798" t="s">
        <v>1091</v>
      </c>
      <c r="AE798" s="2">
        <f t="shared" si="127"/>
        <v>1</v>
      </c>
      <c r="AF798" t="s">
        <v>1240</v>
      </c>
      <c r="AG798" s="2">
        <f t="shared" si="128"/>
        <v>9</v>
      </c>
      <c r="AH798" s="2">
        <f t="shared" si="129"/>
        <v>0</v>
      </c>
      <c r="AI798" s="3">
        <v>69.999999997671694</v>
      </c>
      <c r="AJ798" s="2">
        <v>0</v>
      </c>
      <c r="AK798">
        <v>0</v>
      </c>
      <c r="AL798">
        <v>0.5</v>
      </c>
      <c r="AM798">
        <v>0</v>
      </c>
      <c r="AN798" s="2">
        <f>IF((2*G798+M798-O798+3*V798+2*AB798+2*AE798+2*AH798+3*AJ798)&gt;=7,1,0)</f>
        <v>0</v>
      </c>
    </row>
    <row r="799" spans="1:40" x14ac:dyDescent="0.25">
      <c r="A799" t="s">
        <v>27</v>
      </c>
      <c r="B799" s="1">
        <v>39341</v>
      </c>
      <c r="C799" s="6">
        <f t="shared" si="120"/>
        <v>2007</v>
      </c>
      <c r="D799">
        <v>82.5</v>
      </c>
      <c r="E799">
        <v>73.5</v>
      </c>
      <c r="F799">
        <v>76.099999999999994</v>
      </c>
      <c r="G799" s="2">
        <f t="shared" si="121"/>
        <v>1</v>
      </c>
      <c r="H799">
        <v>83</v>
      </c>
      <c r="I799">
        <v>73.5</v>
      </c>
      <c r="J799">
        <v>76.099999999999994</v>
      </c>
      <c r="K799">
        <v>62.7</v>
      </c>
      <c r="L799">
        <v>64.099999999999994</v>
      </c>
      <c r="M799" s="2">
        <f t="shared" si="122"/>
        <v>1</v>
      </c>
      <c r="N799">
        <v>0</v>
      </c>
      <c r="O799" s="2">
        <f t="shared" si="123"/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s="2">
        <f t="shared" si="124"/>
        <v>0</v>
      </c>
      <c r="W799">
        <v>28.9</v>
      </c>
      <c r="X799" s="2">
        <f t="shared" si="125"/>
        <v>1</v>
      </c>
      <c r="Y799">
        <v>324.5</v>
      </c>
      <c r="Z799" s="2" t="str">
        <f>CHOOSE(MATCH(Y799,{0;11;80;111;161;191;241;281;341},1),"North","NorthEast","East","SouthEast","South","SouthWest","West","NorthWest","North")</f>
        <v>NorthWest</v>
      </c>
      <c r="AA799" s="4">
        <f>CHOOSE(MATCH(Z799,{"South";"SouthEast";"SouthWest";"North";"NorthEast";"East";"West";"NorthWest"},0),1,2,3,4,5,6,7,8)</f>
        <v>8</v>
      </c>
      <c r="AB799" s="2">
        <f t="shared" si="126"/>
        <v>1</v>
      </c>
      <c r="AC799">
        <v>1016.2</v>
      </c>
      <c r="AD799" t="s">
        <v>1241</v>
      </c>
      <c r="AE799" s="2">
        <f t="shared" si="127"/>
        <v>0</v>
      </c>
      <c r="AF799" t="s">
        <v>1242</v>
      </c>
      <c r="AG799" s="2">
        <f t="shared" si="128"/>
        <v>9</v>
      </c>
      <c r="AH799" s="2">
        <f t="shared" si="129"/>
        <v>0</v>
      </c>
      <c r="AI799" s="3">
        <v>1865.0000000023281</v>
      </c>
      <c r="AJ799" s="2">
        <v>1</v>
      </c>
      <c r="AK799">
        <v>0</v>
      </c>
      <c r="AL799">
        <v>20</v>
      </c>
      <c r="AM799">
        <v>0</v>
      </c>
      <c r="AN799" s="2">
        <f>IF((2*G799+M799-O799+3*V799+2*AB799+2*AE799+2*AH799+3*AJ799)&gt;=7,1,0)</f>
        <v>1</v>
      </c>
    </row>
    <row r="800" spans="1:40" x14ac:dyDescent="0.25">
      <c r="A800" t="s">
        <v>27</v>
      </c>
      <c r="B800" s="1">
        <v>39347</v>
      </c>
      <c r="C800" s="6">
        <f t="shared" si="120"/>
        <v>2007</v>
      </c>
      <c r="D800">
        <v>75.3</v>
      </c>
      <c r="E800">
        <v>68.099999999999994</v>
      </c>
      <c r="F800">
        <v>71.3</v>
      </c>
      <c r="G800" s="2">
        <f t="shared" si="121"/>
        <v>1</v>
      </c>
      <c r="H800">
        <v>75.3</v>
      </c>
      <c r="I800">
        <v>68.099999999999994</v>
      </c>
      <c r="J800">
        <v>71.3</v>
      </c>
      <c r="K800">
        <v>61.7</v>
      </c>
      <c r="L800">
        <v>71.900000000000006</v>
      </c>
      <c r="M800" s="2">
        <f t="shared" si="122"/>
        <v>0</v>
      </c>
      <c r="N800">
        <v>0</v>
      </c>
      <c r="O800" s="2">
        <f t="shared" si="123"/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s="2">
        <f t="shared" si="124"/>
        <v>0</v>
      </c>
      <c r="W800">
        <v>20.8</v>
      </c>
      <c r="X800" s="2">
        <f t="shared" si="125"/>
        <v>1</v>
      </c>
      <c r="Y800">
        <v>334.6</v>
      </c>
      <c r="Z800" s="2" t="str">
        <f>CHOOSE(MATCH(Y800,{0;11;80;111;161;191;241;281;341},1),"North","NorthEast","East","SouthEast","South","SouthWest","West","NorthWest","North")</f>
        <v>NorthWest</v>
      </c>
      <c r="AA800" s="4">
        <f>CHOOSE(MATCH(Z800,{"South";"SouthEast";"SouthWest";"North";"NorthEast";"East";"West";"NorthWest"},0),1,2,3,4,5,6,7,8)</f>
        <v>8</v>
      </c>
      <c r="AB800" s="2">
        <f t="shared" si="126"/>
        <v>1</v>
      </c>
      <c r="AC800">
        <v>1017.1</v>
      </c>
      <c r="AD800" t="s">
        <v>1243</v>
      </c>
      <c r="AE800" s="2">
        <f t="shared" si="127"/>
        <v>1</v>
      </c>
      <c r="AF800" t="s">
        <v>1244</v>
      </c>
      <c r="AG800" s="2">
        <f t="shared" si="128"/>
        <v>9</v>
      </c>
      <c r="AH800" s="2">
        <f t="shared" si="129"/>
        <v>0</v>
      </c>
      <c r="AI800" s="3">
        <v>709.99999999883585</v>
      </c>
      <c r="AJ800" s="2">
        <v>1</v>
      </c>
      <c r="AK800">
        <v>0.03</v>
      </c>
      <c r="AL800">
        <v>0</v>
      </c>
      <c r="AM800">
        <v>0</v>
      </c>
      <c r="AN800" s="2">
        <f>IF((2*G800+M800-O800+3*V800+2*AB800+2*AE800+2*AH800+3*AJ800)&gt;=7,1,0)</f>
        <v>1</v>
      </c>
    </row>
    <row r="801" spans="1:40" x14ac:dyDescent="0.25">
      <c r="A801" t="s">
        <v>27</v>
      </c>
      <c r="B801" s="1">
        <v>39347</v>
      </c>
      <c r="C801" s="6">
        <f t="shared" si="120"/>
        <v>2007</v>
      </c>
      <c r="D801">
        <v>75.3</v>
      </c>
      <c r="E801">
        <v>68.099999999999994</v>
      </c>
      <c r="F801">
        <v>71.3</v>
      </c>
      <c r="G801" s="2">
        <f t="shared" si="121"/>
        <v>1</v>
      </c>
      <c r="H801">
        <v>75.3</v>
      </c>
      <c r="I801">
        <v>68.099999999999994</v>
      </c>
      <c r="J801">
        <v>71.3</v>
      </c>
      <c r="K801">
        <v>61.7</v>
      </c>
      <c r="L801">
        <v>71.900000000000006</v>
      </c>
      <c r="M801" s="2">
        <f t="shared" si="122"/>
        <v>0</v>
      </c>
      <c r="N801">
        <v>0</v>
      </c>
      <c r="O801" s="2">
        <f t="shared" si="123"/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s="2">
        <f t="shared" si="124"/>
        <v>0</v>
      </c>
      <c r="W801">
        <v>20.8</v>
      </c>
      <c r="X801" s="2">
        <f t="shared" si="125"/>
        <v>1</v>
      </c>
      <c r="Y801">
        <v>334.6</v>
      </c>
      <c r="Z801" s="2" t="str">
        <f>CHOOSE(MATCH(Y801,{0;11;80;111;161;191;241;281;341},1),"North","NorthEast","East","SouthEast","South","SouthWest","West","NorthWest","North")</f>
        <v>NorthWest</v>
      </c>
      <c r="AA801" s="4">
        <f>CHOOSE(MATCH(Z801,{"South";"SouthEast";"SouthWest";"North";"NorthEast";"East";"West";"NorthWest"},0),1,2,3,4,5,6,7,8)</f>
        <v>8</v>
      </c>
      <c r="AB801" s="2">
        <f t="shared" si="126"/>
        <v>1</v>
      </c>
      <c r="AC801">
        <v>1017.1</v>
      </c>
      <c r="AD801" t="s">
        <v>1245</v>
      </c>
      <c r="AE801" s="2">
        <f t="shared" si="127"/>
        <v>1</v>
      </c>
      <c r="AF801" t="s">
        <v>1246</v>
      </c>
      <c r="AG801" s="2">
        <f t="shared" si="128"/>
        <v>9</v>
      </c>
      <c r="AH801" s="2">
        <f t="shared" si="129"/>
        <v>0</v>
      </c>
      <c r="AI801" s="3">
        <v>580.00000000465661</v>
      </c>
      <c r="AJ801" s="2">
        <v>1</v>
      </c>
      <c r="AK801">
        <v>0</v>
      </c>
      <c r="AL801">
        <v>4</v>
      </c>
      <c r="AM801">
        <v>0</v>
      </c>
      <c r="AN801" s="2">
        <f>IF((2*G801+M801-O801+3*V801+2*AB801+2*AE801+2*AH801+3*AJ801)&gt;=7,1,0)</f>
        <v>1</v>
      </c>
    </row>
    <row r="802" spans="1:40" x14ac:dyDescent="0.25">
      <c r="A802" t="s">
        <v>27</v>
      </c>
      <c r="B802" s="1">
        <v>39350</v>
      </c>
      <c r="C802" s="6">
        <f t="shared" si="120"/>
        <v>2007</v>
      </c>
      <c r="D802">
        <v>75.3</v>
      </c>
      <c r="E802">
        <v>64.5</v>
      </c>
      <c r="F802">
        <v>69.8</v>
      </c>
      <c r="G802" s="2">
        <f t="shared" si="121"/>
        <v>0</v>
      </c>
      <c r="H802">
        <v>75.3</v>
      </c>
      <c r="I802">
        <v>64.5</v>
      </c>
      <c r="J802">
        <v>69.8</v>
      </c>
      <c r="K802">
        <v>56.3</v>
      </c>
      <c r="L802">
        <v>62.5</v>
      </c>
      <c r="M802" s="2">
        <f t="shared" si="122"/>
        <v>1</v>
      </c>
      <c r="N802">
        <v>0</v>
      </c>
      <c r="O802" s="2">
        <f t="shared" si="123"/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s="2">
        <f t="shared" si="124"/>
        <v>0</v>
      </c>
      <c r="W802">
        <v>17.2</v>
      </c>
      <c r="X802" s="2">
        <f t="shared" si="125"/>
        <v>1</v>
      </c>
      <c r="Y802">
        <v>317.39999999999998</v>
      </c>
      <c r="Z802" s="2" t="str">
        <f>CHOOSE(MATCH(Y802,{0;11;80;111;161;191;241;281;341},1),"North","NorthEast","East","SouthEast","South","SouthWest","West","NorthWest","North")</f>
        <v>NorthWest</v>
      </c>
      <c r="AA802" s="4">
        <f>CHOOSE(MATCH(Z802,{"South";"SouthEast";"SouthWest";"North";"NorthEast";"East";"West";"NorthWest"},0),1,2,3,4,5,6,7,8)</f>
        <v>8</v>
      </c>
      <c r="AB802" s="2">
        <f t="shared" si="126"/>
        <v>1</v>
      </c>
      <c r="AC802">
        <v>1015.1</v>
      </c>
      <c r="AD802" t="s">
        <v>1247</v>
      </c>
      <c r="AE802" s="2">
        <f t="shared" si="127"/>
        <v>0</v>
      </c>
      <c r="AF802" t="s">
        <v>1248</v>
      </c>
      <c r="AG802" s="2">
        <f t="shared" si="128"/>
        <v>9</v>
      </c>
      <c r="AH802" s="2">
        <f t="shared" si="129"/>
        <v>0</v>
      </c>
      <c r="AI802" s="3">
        <v>474.99999999767169</v>
      </c>
      <c r="AJ802" s="2">
        <v>1</v>
      </c>
      <c r="AK802">
        <v>0.03</v>
      </c>
      <c r="AL802">
        <v>0</v>
      </c>
      <c r="AM802">
        <v>0</v>
      </c>
      <c r="AN802" s="2">
        <f>IF((2*G802+M802-O802+3*V802+2*AB802+2*AE802+2*AH802+3*AJ802)&gt;=7,1,0)</f>
        <v>0</v>
      </c>
    </row>
    <row r="803" spans="1:40" x14ac:dyDescent="0.25">
      <c r="A803" t="s">
        <v>27</v>
      </c>
      <c r="B803" s="1">
        <v>39357</v>
      </c>
      <c r="C803" s="6">
        <f t="shared" si="120"/>
        <v>2007</v>
      </c>
      <c r="D803">
        <v>75.3</v>
      </c>
      <c r="E803">
        <v>69.900000000000006</v>
      </c>
      <c r="F803">
        <v>72.099999999999994</v>
      </c>
      <c r="G803" s="2">
        <f t="shared" si="121"/>
        <v>1</v>
      </c>
      <c r="H803">
        <v>75.3</v>
      </c>
      <c r="I803">
        <v>69.900000000000006</v>
      </c>
      <c r="J803">
        <v>72.099999999999994</v>
      </c>
      <c r="K803">
        <v>62.4</v>
      </c>
      <c r="L803">
        <v>72</v>
      </c>
      <c r="M803" s="2">
        <f t="shared" si="122"/>
        <v>0</v>
      </c>
      <c r="N803">
        <v>0</v>
      </c>
      <c r="O803" s="2">
        <f t="shared" si="123"/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s="2">
        <f t="shared" si="124"/>
        <v>0</v>
      </c>
      <c r="W803">
        <v>19.5</v>
      </c>
      <c r="X803" s="2">
        <f t="shared" si="125"/>
        <v>1</v>
      </c>
      <c r="Y803">
        <v>320.2</v>
      </c>
      <c r="Z803" s="2" t="str">
        <f>CHOOSE(MATCH(Y803,{0;11;80;111;161;191;241;281;341},1),"North","NorthEast","East","SouthEast","South","SouthWest","West","NorthWest","North")</f>
        <v>NorthWest</v>
      </c>
      <c r="AA803" s="4">
        <f>CHOOSE(MATCH(Z803,{"South";"SouthEast";"SouthWest";"North";"NorthEast";"East";"West";"NorthWest"},0),1,2,3,4,5,6,7,8)</f>
        <v>8</v>
      </c>
      <c r="AB803" s="2">
        <f t="shared" si="126"/>
        <v>1</v>
      </c>
      <c r="AC803">
        <v>1015.2</v>
      </c>
      <c r="AD803" t="s">
        <v>1249</v>
      </c>
      <c r="AE803" s="2">
        <f t="shared" si="127"/>
        <v>1</v>
      </c>
      <c r="AF803" t="s">
        <v>1250</v>
      </c>
      <c r="AG803" s="2">
        <f t="shared" si="128"/>
        <v>10</v>
      </c>
      <c r="AH803" s="2">
        <f t="shared" si="129"/>
        <v>0</v>
      </c>
      <c r="AI803" s="3">
        <v>95.000000005820766</v>
      </c>
      <c r="AJ803" s="2">
        <v>0</v>
      </c>
      <c r="AK803">
        <v>0</v>
      </c>
      <c r="AL803">
        <v>1</v>
      </c>
      <c r="AM803">
        <v>0</v>
      </c>
      <c r="AN803" s="2">
        <f>IF((2*G803+M803-O803+3*V803+2*AB803+2*AE803+2*AH803+3*AJ803)&gt;=7,1,0)</f>
        <v>0</v>
      </c>
    </row>
    <row r="804" spans="1:40" x14ac:dyDescent="0.25">
      <c r="A804" t="s">
        <v>27</v>
      </c>
      <c r="B804" s="1">
        <v>39363</v>
      </c>
      <c r="C804" s="6">
        <f t="shared" si="120"/>
        <v>2007</v>
      </c>
      <c r="D804">
        <v>77.099999999999994</v>
      </c>
      <c r="E804">
        <v>62.7</v>
      </c>
      <c r="F804">
        <v>69.400000000000006</v>
      </c>
      <c r="G804" s="2">
        <f t="shared" si="121"/>
        <v>0</v>
      </c>
      <c r="H804">
        <v>77.099999999999994</v>
      </c>
      <c r="I804">
        <v>62.7</v>
      </c>
      <c r="J804">
        <v>69.400000000000006</v>
      </c>
      <c r="K804">
        <v>58.2</v>
      </c>
      <c r="L804">
        <v>68.5</v>
      </c>
      <c r="M804" s="2">
        <f t="shared" si="122"/>
        <v>0</v>
      </c>
      <c r="N804">
        <v>0</v>
      </c>
      <c r="O804" s="2">
        <f t="shared" si="123"/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 s="2">
        <f t="shared" si="124"/>
        <v>0</v>
      </c>
      <c r="W804">
        <v>10.3</v>
      </c>
      <c r="X804" s="2">
        <f t="shared" si="125"/>
        <v>0</v>
      </c>
      <c r="Y804">
        <v>144.9</v>
      </c>
      <c r="Z804" s="2" t="str">
        <f>CHOOSE(MATCH(Y804,{0;11;80;111;161;191;241;281;341},1),"North","NorthEast","East","SouthEast","South","SouthWest","West","NorthWest","North")</f>
        <v>SouthEast</v>
      </c>
      <c r="AA804" s="4">
        <f>CHOOSE(MATCH(Z804,{"South";"SouthEast";"SouthWest";"North";"NorthEast";"East";"West";"NorthWest"},0),1,2,3,4,5,6,7,8)</f>
        <v>2</v>
      </c>
      <c r="AB804" s="2">
        <f t="shared" si="126"/>
        <v>0</v>
      </c>
      <c r="AC804">
        <v>1015.7</v>
      </c>
      <c r="AD804" t="s">
        <v>1224</v>
      </c>
      <c r="AE804" s="2">
        <f t="shared" si="127"/>
        <v>1</v>
      </c>
      <c r="AF804" t="s">
        <v>1251</v>
      </c>
      <c r="AG804" s="2">
        <f t="shared" si="128"/>
        <v>10</v>
      </c>
      <c r="AH804" s="2">
        <f t="shared" si="129"/>
        <v>0</v>
      </c>
      <c r="AI804" s="3">
        <v>480.00000000349252</v>
      </c>
      <c r="AJ804" s="2">
        <v>1</v>
      </c>
      <c r="AK804">
        <v>0</v>
      </c>
      <c r="AL804">
        <v>0.02</v>
      </c>
      <c r="AM804">
        <v>0</v>
      </c>
      <c r="AN804" s="2">
        <f>IF((2*G804+M804-O804+3*V804+2*AB804+2*AE804+2*AH804+3*AJ804)&gt;=7,1,0)</f>
        <v>0</v>
      </c>
    </row>
    <row r="805" spans="1:40" x14ac:dyDescent="0.25">
      <c r="A805" t="s">
        <v>27</v>
      </c>
      <c r="B805" s="1">
        <v>39366</v>
      </c>
      <c r="C805" s="6">
        <f t="shared" si="120"/>
        <v>2007</v>
      </c>
      <c r="D805">
        <v>75.3</v>
      </c>
      <c r="E805">
        <v>62.7</v>
      </c>
      <c r="F805">
        <v>69</v>
      </c>
      <c r="G805" s="2">
        <f t="shared" si="121"/>
        <v>0</v>
      </c>
      <c r="H805">
        <v>75.3</v>
      </c>
      <c r="I805">
        <v>62.7</v>
      </c>
      <c r="J805">
        <v>69</v>
      </c>
      <c r="K805">
        <v>64.599999999999994</v>
      </c>
      <c r="L805">
        <v>86.1</v>
      </c>
      <c r="M805" s="2">
        <f t="shared" si="122"/>
        <v>0</v>
      </c>
      <c r="N805">
        <v>0</v>
      </c>
      <c r="O805" s="2">
        <f t="shared" si="123"/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 s="2">
        <f t="shared" si="124"/>
        <v>0</v>
      </c>
      <c r="W805">
        <v>8.1</v>
      </c>
      <c r="X805" s="2">
        <f t="shared" si="125"/>
        <v>0</v>
      </c>
      <c r="Y805">
        <v>162.6</v>
      </c>
      <c r="Z805" s="2" t="str">
        <f>CHOOSE(MATCH(Y805,{0;11;80;111;161;191;241;281;341},1),"North","NorthEast","East","SouthEast","South","SouthWest","West","NorthWest","North")</f>
        <v>South</v>
      </c>
      <c r="AA805" s="4">
        <f>CHOOSE(MATCH(Z805,{"South";"SouthEast";"SouthWest";"North";"NorthEast";"East";"West";"NorthWest"},0),1,2,3,4,5,6,7,8)</f>
        <v>1</v>
      </c>
      <c r="AB805" s="2">
        <f t="shared" si="126"/>
        <v>0</v>
      </c>
      <c r="AC805">
        <v>1014.5</v>
      </c>
      <c r="AD805" t="s">
        <v>1252</v>
      </c>
      <c r="AE805" s="2">
        <f t="shared" si="127"/>
        <v>1</v>
      </c>
      <c r="AF805" t="s">
        <v>1253</v>
      </c>
      <c r="AG805" s="2">
        <f t="shared" si="128"/>
        <v>10</v>
      </c>
      <c r="AH805" s="2">
        <f t="shared" si="129"/>
        <v>0</v>
      </c>
      <c r="AI805" s="3">
        <v>139.99999999534339</v>
      </c>
      <c r="AJ805" s="2">
        <v>0</v>
      </c>
      <c r="AK805">
        <v>0</v>
      </c>
      <c r="AL805">
        <v>0.01</v>
      </c>
      <c r="AM805">
        <v>0</v>
      </c>
      <c r="AN805" s="2">
        <f>IF((2*G805+M805-O805+3*V805+2*AB805+2*AE805+2*AH805+3*AJ805)&gt;=7,1,0)</f>
        <v>0</v>
      </c>
    </row>
    <row r="806" spans="1:40" x14ac:dyDescent="0.25">
      <c r="A806" t="s">
        <v>27</v>
      </c>
      <c r="B806" s="1">
        <v>39368</v>
      </c>
      <c r="C806" s="6">
        <f t="shared" si="120"/>
        <v>2007</v>
      </c>
      <c r="D806">
        <v>78.900000000000006</v>
      </c>
      <c r="E806">
        <v>62.7</v>
      </c>
      <c r="F806">
        <v>70.900000000000006</v>
      </c>
      <c r="G806" s="2">
        <f t="shared" si="121"/>
        <v>1</v>
      </c>
      <c r="H806">
        <v>78.900000000000006</v>
      </c>
      <c r="I806">
        <v>62.7</v>
      </c>
      <c r="J806">
        <v>70.900000000000006</v>
      </c>
      <c r="K806">
        <v>61.9</v>
      </c>
      <c r="L806">
        <v>73.7</v>
      </c>
      <c r="M806" s="2">
        <f t="shared" si="122"/>
        <v>0</v>
      </c>
      <c r="N806">
        <v>0</v>
      </c>
      <c r="O806" s="2">
        <f t="shared" si="123"/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 s="2">
        <f t="shared" si="124"/>
        <v>0</v>
      </c>
      <c r="W806">
        <v>19.5</v>
      </c>
      <c r="X806" s="2">
        <f t="shared" si="125"/>
        <v>1</v>
      </c>
      <c r="Y806">
        <v>272.2</v>
      </c>
      <c r="Z806" s="2" t="str">
        <f>CHOOSE(MATCH(Y806,{0;11;80;111;161;191;241;281;341},1),"North","NorthEast","East","SouthEast","South","SouthWest","West","NorthWest","North")</f>
        <v>West</v>
      </c>
      <c r="AA806" s="4">
        <f>CHOOSE(MATCH(Z806,{"South";"SouthEast";"SouthWest";"North";"NorthEast";"East";"West";"NorthWest"},0),1,2,3,4,5,6,7,8)</f>
        <v>7</v>
      </c>
      <c r="AB806" s="2">
        <f t="shared" si="126"/>
        <v>0</v>
      </c>
      <c r="AC806">
        <v>1013.4</v>
      </c>
      <c r="AD806" t="s">
        <v>1254</v>
      </c>
      <c r="AE806" s="2">
        <f t="shared" si="127"/>
        <v>1</v>
      </c>
      <c r="AF806" t="s">
        <v>1255</v>
      </c>
      <c r="AG806" s="2">
        <f t="shared" si="128"/>
        <v>10</v>
      </c>
      <c r="AH806" s="2">
        <f t="shared" si="129"/>
        <v>0</v>
      </c>
      <c r="AI806" s="3">
        <v>4500</v>
      </c>
      <c r="AJ806" s="2">
        <v>1</v>
      </c>
      <c r="AK806">
        <v>0</v>
      </c>
      <c r="AL806">
        <v>120</v>
      </c>
      <c r="AM806">
        <v>0</v>
      </c>
      <c r="AN806" s="2">
        <f>IF((2*G806+M806-O806+3*V806+2*AB806+2*AE806+2*AH806+3*AJ806)&gt;=7,1,0)</f>
        <v>0</v>
      </c>
    </row>
    <row r="807" spans="1:40" x14ac:dyDescent="0.25">
      <c r="A807" t="s">
        <v>27</v>
      </c>
      <c r="B807" s="1">
        <v>39368</v>
      </c>
      <c r="C807" s="6">
        <f t="shared" si="120"/>
        <v>2007</v>
      </c>
      <c r="D807">
        <v>78.900000000000006</v>
      </c>
      <c r="E807">
        <v>62.7</v>
      </c>
      <c r="F807">
        <v>70.900000000000006</v>
      </c>
      <c r="G807" s="2">
        <f t="shared" si="121"/>
        <v>1</v>
      </c>
      <c r="H807">
        <v>78.900000000000006</v>
      </c>
      <c r="I807">
        <v>62.7</v>
      </c>
      <c r="J807">
        <v>70.900000000000006</v>
      </c>
      <c r="K807">
        <v>61.9</v>
      </c>
      <c r="L807">
        <v>73.7</v>
      </c>
      <c r="M807" s="2">
        <f t="shared" si="122"/>
        <v>0</v>
      </c>
      <c r="N807">
        <v>0</v>
      </c>
      <c r="O807" s="2">
        <f t="shared" si="123"/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s="2">
        <f t="shared" si="124"/>
        <v>0</v>
      </c>
      <c r="W807">
        <v>19.5</v>
      </c>
      <c r="X807" s="2">
        <f t="shared" si="125"/>
        <v>1</v>
      </c>
      <c r="Y807">
        <v>272.2</v>
      </c>
      <c r="Z807" s="2" t="str">
        <f>CHOOSE(MATCH(Y807,{0;11;80;111;161;191;241;281;341},1),"North","NorthEast","East","SouthEast","South","SouthWest","West","NorthWest","North")</f>
        <v>West</v>
      </c>
      <c r="AA807" s="4">
        <f>CHOOSE(MATCH(Z807,{"South";"SouthEast";"SouthWest";"North";"NorthEast";"East";"West";"NorthWest"},0),1,2,3,4,5,6,7,8)</f>
        <v>7</v>
      </c>
      <c r="AB807" s="2">
        <f t="shared" si="126"/>
        <v>0</v>
      </c>
      <c r="AC807">
        <v>1013.4</v>
      </c>
      <c r="AD807" t="s">
        <v>1165</v>
      </c>
      <c r="AE807" s="2">
        <f t="shared" si="127"/>
        <v>0</v>
      </c>
      <c r="AF807" t="s">
        <v>1256</v>
      </c>
      <c r="AG807" s="2">
        <f t="shared" si="128"/>
        <v>10</v>
      </c>
      <c r="AH807" s="2">
        <f t="shared" si="129"/>
        <v>0</v>
      </c>
      <c r="AI807" s="3">
        <v>90</v>
      </c>
      <c r="AJ807" s="2">
        <v>0</v>
      </c>
      <c r="AK807">
        <v>0</v>
      </c>
      <c r="AL807">
        <v>1</v>
      </c>
      <c r="AM807">
        <v>0</v>
      </c>
      <c r="AN807" s="2">
        <f>IF((2*G807+M807-O807+3*V807+2*AB807+2*AE807+2*AH807+3*AJ807)&gt;=7,1,0)</f>
        <v>0</v>
      </c>
    </row>
    <row r="808" spans="1:40" x14ac:dyDescent="0.25">
      <c r="A808" t="s">
        <v>27</v>
      </c>
      <c r="B808" s="1">
        <v>39368</v>
      </c>
      <c r="C808" s="6">
        <f t="shared" si="120"/>
        <v>2007</v>
      </c>
      <c r="D808">
        <v>78.900000000000006</v>
      </c>
      <c r="E808">
        <v>62.7</v>
      </c>
      <c r="F808">
        <v>70.900000000000006</v>
      </c>
      <c r="G808" s="2">
        <f t="shared" si="121"/>
        <v>1</v>
      </c>
      <c r="H808">
        <v>78.900000000000006</v>
      </c>
      <c r="I808">
        <v>62.7</v>
      </c>
      <c r="J808">
        <v>70.900000000000006</v>
      </c>
      <c r="K808">
        <v>61.9</v>
      </c>
      <c r="L808">
        <v>73.7</v>
      </c>
      <c r="M808" s="2">
        <f t="shared" si="122"/>
        <v>0</v>
      </c>
      <c r="N808">
        <v>0</v>
      </c>
      <c r="O808" s="2">
        <f t="shared" si="123"/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s="2">
        <f t="shared" si="124"/>
        <v>0</v>
      </c>
      <c r="W808">
        <v>19.5</v>
      </c>
      <c r="X808" s="2">
        <f t="shared" si="125"/>
        <v>1</v>
      </c>
      <c r="Y808">
        <v>272.2</v>
      </c>
      <c r="Z808" s="2" t="str">
        <f>CHOOSE(MATCH(Y808,{0;11;80;111;161;191;241;281;341},1),"North","NorthEast","East","SouthEast","South","SouthWest","West","NorthWest","North")</f>
        <v>West</v>
      </c>
      <c r="AA808" s="4">
        <f>CHOOSE(MATCH(Z808,{"South";"SouthEast";"SouthWest";"North";"NorthEast";"East";"West";"NorthWest"},0),1,2,3,4,5,6,7,8)</f>
        <v>7</v>
      </c>
      <c r="AB808" s="2">
        <f t="shared" si="126"/>
        <v>0</v>
      </c>
      <c r="AC808">
        <v>1013.4</v>
      </c>
      <c r="AD808" t="s">
        <v>1121</v>
      </c>
      <c r="AE808" s="2">
        <f t="shared" si="127"/>
        <v>1</v>
      </c>
      <c r="AF808" t="s">
        <v>1257</v>
      </c>
      <c r="AG808" s="2">
        <f t="shared" si="128"/>
        <v>10</v>
      </c>
      <c r="AH808" s="2">
        <f t="shared" si="129"/>
        <v>0</v>
      </c>
      <c r="AI808" s="3">
        <v>145.00000000116421</v>
      </c>
      <c r="AJ808" s="2">
        <v>0</v>
      </c>
      <c r="AK808">
        <v>0</v>
      </c>
      <c r="AL808">
        <v>1</v>
      </c>
      <c r="AM808">
        <v>0</v>
      </c>
      <c r="AN808" s="2">
        <f>IF((2*G808+M808-O808+3*V808+2*AB808+2*AE808+2*AH808+3*AJ808)&gt;=7,1,0)</f>
        <v>0</v>
      </c>
    </row>
    <row r="809" spans="1:40" x14ac:dyDescent="0.25">
      <c r="A809" t="s">
        <v>27</v>
      </c>
      <c r="B809" s="1">
        <v>39372</v>
      </c>
      <c r="C809" s="6">
        <f t="shared" si="120"/>
        <v>2007</v>
      </c>
      <c r="D809">
        <v>71.7</v>
      </c>
      <c r="E809">
        <v>57.3</v>
      </c>
      <c r="F809">
        <v>63.9</v>
      </c>
      <c r="G809" s="2">
        <f t="shared" si="121"/>
        <v>0</v>
      </c>
      <c r="H809">
        <v>71.7</v>
      </c>
      <c r="I809">
        <v>57.3</v>
      </c>
      <c r="J809">
        <v>63.9</v>
      </c>
      <c r="K809">
        <v>55.6</v>
      </c>
      <c r="L809">
        <v>74.8</v>
      </c>
      <c r="M809" s="2">
        <f t="shared" si="122"/>
        <v>0</v>
      </c>
      <c r="N809">
        <v>0</v>
      </c>
      <c r="O809" s="2">
        <f t="shared" si="123"/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 s="2">
        <f t="shared" si="124"/>
        <v>0</v>
      </c>
      <c r="W809">
        <v>11.4</v>
      </c>
      <c r="X809" s="2">
        <f t="shared" si="125"/>
        <v>0</v>
      </c>
      <c r="Y809">
        <v>324.8</v>
      </c>
      <c r="Z809" s="2" t="str">
        <f>CHOOSE(MATCH(Y809,{0;11;80;111;161;191;241;281;341},1),"North","NorthEast","East","SouthEast","South","SouthWest","West","NorthWest","North")</f>
        <v>NorthWest</v>
      </c>
      <c r="AA809" s="4">
        <f>CHOOSE(MATCH(Z809,{"South";"SouthEast";"SouthWest";"North";"NorthEast";"East";"West";"NorthWest"},0),1,2,3,4,5,6,7,8)</f>
        <v>8</v>
      </c>
      <c r="AB809" s="2">
        <f t="shared" si="126"/>
        <v>1</v>
      </c>
      <c r="AC809">
        <v>1020.9</v>
      </c>
      <c r="AD809" t="s">
        <v>1258</v>
      </c>
      <c r="AE809" s="2">
        <f t="shared" si="127"/>
        <v>0</v>
      </c>
      <c r="AF809" t="s">
        <v>1259</v>
      </c>
      <c r="AG809" s="2">
        <f t="shared" si="128"/>
        <v>10</v>
      </c>
      <c r="AH809" s="2">
        <f t="shared" si="129"/>
        <v>0</v>
      </c>
      <c r="AI809" s="3">
        <v>1654.9999999988361</v>
      </c>
      <c r="AJ809" s="2">
        <v>1</v>
      </c>
      <c r="AK809">
        <v>0</v>
      </c>
      <c r="AL809">
        <v>120</v>
      </c>
      <c r="AM809">
        <v>0</v>
      </c>
      <c r="AN809" s="2">
        <f>IF((2*G809+M809-O809+3*V809+2*AB809+2*AE809+2*AH809+3*AJ809)&gt;=7,1,0)</f>
        <v>0</v>
      </c>
    </row>
    <row r="810" spans="1:40" x14ac:dyDescent="0.25">
      <c r="A810" t="s">
        <v>27</v>
      </c>
      <c r="B810" s="1">
        <v>39383</v>
      </c>
      <c r="C810" s="6">
        <f t="shared" si="120"/>
        <v>2007</v>
      </c>
      <c r="D810">
        <v>71.7</v>
      </c>
      <c r="E810">
        <v>60.9</v>
      </c>
      <c r="F810">
        <v>65.5</v>
      </c>
      <c r="G810" s="2">
        <f t="shared" si="121"/>
        <v>0</v>
      </c>
      <c r="H810">
        <v>71.7</v>
      </c>
      <c r="I810">
        <v>60.9</v>
      </c>
      <c r="J810">
        <v>65.5</v>
      </c>
      <c r="K810">
        <v>60.7</v>
      </c>
      <c r="L810">
        <v>85.1</v>
      </c>
      <c r="M810" s="2">
        <f t="shared" si="122"/>
        <v>0</v>
      </c>
      <c r="N810">
        <v>0</v>
      </c>
      <c r="O810" s="2">
        <f t="shared" si="123"/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s="2">
        <f t="shared" si="124"/>
        <v>0</v>
      </c>
      <c r="W810">
        <v>5.8</v>
      </c>
      <c r="X810" s="2">
        <f t="shared" si="125"/>
        <v>0</v>
      </c>
      <c r="Y810">
        <v>160.6</v>
      </c>
      <c r="Z810" s="2" t="str">
        <f>CHOOSE(MATCH(Y810,{0;11;80;111;161;191;241;281;341},1),"North","NorthEast","East","SouthEast","South","SouthWest","West","NorthWest","North")</f>
        <v>SouthEast</v>
      </c>
      <c r="AA810" s="4">
        <f>CHOOSE(MATCH(Z810,{"South";"SouthEast";"SouthWest";"North";"NorthEast";"East";"West";"NorthWest"},0),1,2,3,4,5,6,7,8)</f>
        <v>2</v>
      </c>
      <c r="AB810" s="2">
        <f t="shared" si="126"/>
        <v>0</v>
      </c>
      <c r="AC810">
        <v>1021</v>
      </c>
      <c r="AD810" t="s">
        <v>1260</v>
      </c>
      <c r="AE810" s="2">
        <f t="shared" si="127"/>
        <v>1</v>
      </c>
      <c r="AF810" t="s">
        <v>1261</v>
      </c>
      <c r="AG810" s="2">
        <f t="shared" si="128"/>
        <v>10</v>
      </c>
      <c r="AH810" s="2">
        <f t="shared" si="129"/>
        <v>0</v>
      </c>
      <c r="AI810" s="3">
        <v>65.000000002328306</v>
      </c>
      <c r="AJ810" s="2">
        <v>0</v>
      </c>
      <c r="AK810">
        <v>0</v>
      </c>
      <c r="AL810">
        <v>1</v>
      </c>
      <c r="AM810">
        <v>0</v>
      </c>
      <c r="AN810" s="2">
        <f>IF((2*G810+M810-O810+3*V810+2*AB810+2*AE810+2*AH810+3*AJ810)&gt;=7,1,0)</f>
        <v>0</v>
      </c>
    </row>
    <row r="811" spans="1:40" x14ac:dyDescent="0.25">
      <c r="A811" t="s">
        <v>27</v>
      </c>
      <c r="B811" s="1">
        <v>39386</v>
      </c>
      <c r="C811" s="6">
        <f t="shared" si="120"/>
        <v>2007</v>
      </c>
      <c r="D811">
        <v>82.5</v>
      </c>
      <c r="E811">
        <v>64.5</v>
      </c>
      <c r="F811">
        <v>74.599999999999994</v>
      </c>
      <c r="G811" s="2">
        <f t="shared" si="121"/>
        <v>1</v>
      </c>
      <c r="H811">
        <v>81.3</v>
      </c>
      <c r="I811">
        <v>64.5</v>
      </c>
      <c r="J811">
        <v>74.400000000000006</v>
      </c>
      <c r="K811">
        <v>57.1</v>
      </c>
      <c r="L811">
        <v>58.2</v>
      </c>
      <c r="M811" s="2">
        <f t="shared" si="122"/>
        <v>1</v>
      </c>
      <c r="N811">
        <v>0</v>
      </c>
      <c r="O811" s="2">
        <f t="shared" si="123"/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 s="2">
        <f t="shared" si="124"/>
        <v>0</v>
      </c>
      <c r="W811">
        <v>26.4</v>
      </c>
      <c r="X811" s="2">
        <f t="shared" si="125"/>
        <v>1</v>
      </c>
      <c r="Y811">
        <v>171.7</v>
      </c>
      <c r="Z811" s="2" t="str">
        <f>CHOOSE(MATCH(Y811,{0;11;80;111;161;191;241;281;341},1),"North","NorthEast","East","SouthEast","South","SouthWest","West","NorthWest","North")</f>
        <v>South</v>
      </c>
      <c r="AA811" s="4">
        <f>CHOOSE(MATCH(Z811,{"South";"SouthEast";"SouthWest";"North";"NorthEast";"East";"West";"NorthWest"},0),1,2,3,4,5,6,7,8)</f>
        <v>1</v>
      </c>
      <c r="AB811" s="2">
        <f t="shared" si="126"/>
        <v>0</v>
      </c>
      <c r="AC811">
        <v>1016.7</v>
      </c>
      <c r="AD811" t="s">
        <v>1262</v>
      </c>
      <c r="AE811" s="2">
        <f t="shared" si="127"/>
        <v>0</v>
      </c>
      <c r="AF811" t="s">
        <v>1263</v>
      </c>
      <c r="AG811" s="2">
        <f t="shared" si="128"/>
        <v>10</v>
      </c>
      <c r="AH811" s="2">
        <f t="shared" si="129"/>
        <v>0</v>
      </c>
      <c r="AI811" s="3">
        <v>769.99999999534339</v>
      </c>
      <c r="AJ811" s="2">
        <v>1</v>
      </c>
      <c r="AK811">
        <v>0</v>
      </c>
      <c r="AL811">
        <v>25</v>
      </c>
      <c r="AM811">
        <v>0</v>
      </c>
      <c r="AN811" s="2">
        <f>IF((2*G811+M811-O811+3*V811+2*AB811+2*AE811+2*AH811+3*AJ811)&gt;=7,1,0)</f>
        <v>0</v>
      </c>
    </row>
    <row r="812" spans="1:40" x14ac:dyDescent="0.25">
      <c r="A812" t="s">
        <v>27</v>
      </c>
      <c r="B812" s="1">
        <v>39407</v>
      </c>
      <c r="C812" s="6">
        <f t="shared" si="120"/>
        <v>2007</v>
      </c>
      <c r="D812">
        <v>59.1</v>
      </c>
      <c r="E812">
        <v>55.5</v>
      </c>
      <c r="F812">
        <v>57.1</v>
      </c>
      <c r="G812" s="2">
        <f t="shared" si="121"/>
        <v>0</v>
      </c>
      <c r="H812">
        <v>59.1</v>
      </c>
      <c r="I812">
        <v>55.5</v>
      </c>
      <c r="J812">
        <v>57.1</v>
      </c>
      <c r="K812">
        <v>49.4</v>
      </c>
      <c r="L812">
        <v>75.7</v>
      </c>
      <c r="M812" s="2">
        <f t="shared" si="122"/>
        <v>0</v>
      </c>
      <c r="N812">
        <v>5.8999999999999997E-2</v>
      </c>
      <c r="O812" s="2">
        <f t="shared" si="123"/>
        <v>0</v>
      </c>
      <c r="P812">
        <v>100</v>
      </c>
      <c r="Q812">
        <v>8.33</v>
      </c>
      <c r="R812" t="s">
        <v>182</v>
      </c>
      <c r="S812">
        <v>0</v>
      </c>
      <c r="T812">
        <v>0</v>
      </c>
      <c r="U812">
        <v>0</v>
      </c>
      <c r="V812" s="2">
        <f t="shared" si="124"/>
        <v>0</v>
      </c>
      <c r="W812">
        <v>25.3</v>
      </c>
      <c r="X812" s="2">
        <f t="shared" si="125"/>
        <v>1</v>
      </c>
      <c r="Y812">
        <v>340.9</v>
      </c>
      <c r="Z812" s="2" t="str">
        <f>CHOOSE(MATCH(Y812,{0;11;80;111;161;191;241;281;341},1),"North","NorthEast","East","SouthEast","South","SouthWest","West","NorthWest","North")</f>
        <v>NorthWest</v>
      </c>
      <c r="AA812" s="4">
        <f>CHOOSE(MATCH(Z812,{"South";"SouthEast";"SouthWest";"North";"NorthEast";"East";"West";"NorthWest"},0),1,2,3,4,5,6,7,8)</f>
        <v>8</v>
      </c>
      <c r="AB812" s="2">
        <f t="shared" si="126"/>
        <v>1</v>
      </c>
      <c r="AC812">
        <v>1020.6</v>
      </c>
      <c r="AD812" t="s">
        <v>1264</v>
      </c>
      <c r="AE812" s="2">
        <f t="shared" si="127"/>
        <v>1</v>
      </c>
      <c r="AF812" t="s">
        <v>1265</v>
      </c>
      <c r="AG812" s="2">
        <f t="shared" si="128"/>
        <v>11</v>
      </c>
      <c r="AH812" s="2">
        <f t="shared" si="129"/>
        <v>0</v>
      </c>
      <c r="AI812" s="3">
        <v>169.99999999883579</v>
      </c>
      <c r="AJ812" s="2">
        <v>0</v>
      </c>
      <c r="AK812">
        <v>0</v>
      </c>
      <c r="AL812">
        <v>0.5</v>
      </c>
      <c r="AM812">
        <v>0</v>
      </c>
      <c r="AN812" s="2">
        <f>IF((2*G812+M812-O812+3*V812+2*AB812+2*AE812+2*AH812+3*AJ812)&gt;=7,1,0)</f>
        <v>0</v>
      </c>
    </row>
    <row r="813" spans="1:40" x14ac:dyDescent="0.25">
      <c r="A813" t="s">
        <v>27</v>
      </c>
      <c r="B813" s="1">
        <v>39412</v>
      </c>
      <c r="C813" s="6">
        <f t="shared" si="120"/>
        <v>2007</v>
      </c>
      <c r="D813">
        <v>71.7</v>
      </c>
      <c r="E813">
        <v>51.9</v>
      </c>
      <c r="F813">
        <v>60.1</v>
      </c>
      <c r="G813" s="2">
        <f t="shared" si="121"/>
        <v>0</v>
      </c>
      <c r="H813">
        <v>71.7</v>
      </c>
      <c r="I813">
        <v>51.9</v>
      </c>
      <c r="J813">
        <v>60.1</v>
      </c>
      <c r="K813">
        <v>51.5</v>
      </c>
      <c r="L813">
        <v>73.7</v>
      </c>
      <c r="M813" s="2">
        <f t="shared" si="122"/>
        <v>0</v>
      </c>
      <c r="N813">
        <v>0</v>
      </c>
      <c r="O813" s="2">
        <f t="shared" si="123"/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 s="2">
        <f t="shared" si="124"/>
        <v>0</v>
      </c>
      <c r="W813">
        <v>18.3</v>
      </c>
      <c r="X813" s="2">
        <f t="shared" si="125"/>
        <v>1</v>
      </c>
      <c r="Y813">
        <v>168.5</v>
      </c>
      <c r="Z813" s="2" t="str">
        <f>CHOOSE(MATCH(Y813,{0;11;80;111;161;191;241;281;341},1),"North","NorthEast","East","SouthEast","South","SouthWest","West","NorthWest","North")</f>
        <v>South</v>
      </c>
      <c r="AA813" s="4">
        <f>CHOOSE(MATCH(Z813,{"South";"SouthEast";"SouthWest";"North";"NorthEast";"East";"West";"NorthWest"},0),1,2,3,4,5,6,7,8)</f>
        <v>1</v>
      </c>
      <c r="AB813" s="2">
        <f t="shared" si="126"/>
        <v>0</v>
      </c>
      <c r="AC813">
        <v>1021.9</v>
      </c>
      <c r="AD813" t="s">
        <v>1266</v>
      </c>
      <c r="AE813" s="2">
        <f t="shared" si="127"/>
        <v>1</v>
      </c>
      <c r="AF813" t="s">
        <v>1267</v>
      </c>
      <c r="AG813" s="2">
        <f t="shared" si="128"/>
        <v>11</v>
      </c>
      <c r="AH813" s="2">
        <f t="shared" si="129"/>
        <v>0</v>
      </c>
      <c r="AI813" s="3">
        <v>325.00000000116421</v>
      </c>
      <c r="AJ813" s="2">
        <v>0</v>
      </c>
      <c r="AK813">
        <v>0</v>
      </c>
      <c r="AL813">
        <v>1</v>
      </c>
      <c r="AM813">
        <v>0</v>
      </c>
      <c r="AN813" s="2">
        <f>IF((2*G813+M813-O813+3*V813+2*AB813+2*AE813+2*AH813+3*AJ813)&gt;=7,1,0)</f>
        <v>0</v>
      </c>
    </row>
    <row r="814" spans="1:40" x14ac:dyDescent="0.25">
      <c r="A814" t="s">
        <v>27</v>
      </c>
      <c r="B814" s="1">
        <v>39414</v>
      </c>
      <c r="C814" s="6">
        <f t="shared" si="120"/>
        <v>2007</v>
      </c>
      <c r="D814">
        <v>64.5</v>
      </c>
      <c r="E814">
        <v>55.5</v>
      </c>
      <c r="F814">
        <v>59.9</v>
      </c>
      <c r="G814" s="2">
        <f t="shared" si="121"/>
        <v>0</v>
      </c>
      <c r="H814">
        <v>64.5</v>
      </c>
      <c r="I814">
        <v>55.5</v>
      </c>
      <c r="J814">
        <v>59.9</v>
      </c>
      <c r="K814">
        <v>54.6</v>
      </c>
      <c r="L814">
        <v>82.8</v>
      </c>
      <c r="M814" s="2">
        <f t="shared" si="122"/>
        <v>0</v>
      </c>
      <c r="N814">
        <v>0</v>
      </c>
      <c r="O814" s="2">
        <f t="shared" si="123"/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s="2">
        <f t="shared" si="124"/>
        <v>0</v>
      </c>
      <c r="W814">
        <v>17.2</v>
      </c>
      <c r="X814" s="2">
        <f t="shared" si="125"/>
        <v>1</v>
      </c>
      <c r="Y814">
        <v>59.1</v>
      </c>
      <c r="Z814" s="2" t="str">
        <f>CHOOSE(MATCH(Y814,{0;11;80;111;161;191;241;281;341},1),"North","NorthEast","East","SouthEast","South","SouthWest","West","NorthWest","North")</f>
        <v>NorthEast</v>
      </c>
      <c r="AA814" s="4">
        <f>CHOOSE(MATCH(Z814,{"South";"SouthEast";"SouthWest";"North";"NorthEast";"East";"West";"NorthWest"},0),1,2,3,4,5,6,7,8)</f>
        <v>5</v>
      </c>
      <c r="AB814" s="2">
        <f t="shared" si="126"/>
        <v>1</v>
      </c>
      <c r="AC814">
        <v>1018.8</v>
      </c>
      <c r="AD814" t="s">
        <v>1268</v>
      </c>
      <c r="AE814" s="2">
        <f t="shared" si="127"/>
        <v>0</v>
      </c>
      <c r="AF814" t="s">
        <v>1269</v>
      </c>
      <c r="AG814" s="2">
        <f t="shared" si="128"/>
        <v>11</v>
      </c>
      <c r="AH814" s="2">
        <f t="shared" si="129"/>
        <v>0</v>
      </c>
      <c r="AI814" s="3">
        <v>168.99999999557619</v>
      </c>
      <c r="AJ814" s="2">
        <v>0</v>
      </c>
      <c r="AK814">
        <v>0</v>
      </c>
      <c r="AL814">
        <v>7</v>
      </c>
      <c r="AM814">
        <v>0</v>
      </c>
      <c r="AN814" s="2">
        <f>IF((2*G814+M814-O814+3*V814+2*AB814+2*AE814+2*AH814+3*AJ814)&gt;=7,1,0)</f>
        <v>0</v>
      </c>
    </row>
    <row r="815" spans="1:40" x14ac:dyDescent="0.25">
      <c r="A815" t="s">
        <v>27</v>
      </c>
      <c r="B815" s="1">
        <v>39419</v>
      </c>
      <c r="C815" s="6">
        <f t="shared" si="120"/>
        <v>2007</v>
      </c>
      <c r="D815">
        <v>66.3</v>
      </c>
      <c r="E815">
        <v>50.1</v>
      </c>
      <c r="F815">
        <v>58.3</v>
      </c>
      <c r="G815" s="2">
        <f t="shared" si="121"/>
        <v>0</v>
      </c>
      <c r="H815">
        <v>66.3</v>
      </c>
      <c r="I815">
        <v>50.1</v>
      </c>
      <c r="J815">
        <v>58.3</v>
      </c>
      <c r="K815">
        <v>50.3</v>
      </c>
      <c r="L815">
        <v>75.5</v>
      </c>
      <c r="M815" s="2">
        <f t="shared" si="122"/>
        <v>0</v>
      </c>
      <c r="N815">
        <v>0</v>
      </c>
      <c r="O815" s="2">
        <f t="shared" si="123"/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 s="2">
        <f t="shared" si="124"/>
        <v>0</v>
      </c>
      <c r="W815">
        <v>10.3</v>
      </c>
      <c r="X815" s="2">
        <f t="shared" si="125"/>
        <v>0</v>
      </c>
      <c r="Y815">
        <v>194.4</v>
      </c>
      <c r="Z815" s="2" t="str">
        <f>CHOOSE(MATCH(Y815,{0;11;80;111;161;191;241;281;341},1),"North","NorthEast","East","SouthEast","South","SouthWest","West","NorthWest","North")</f>
        <v>SouthWest</v>
      </c>
      <c r="AA815" s="4">
        <f>CHOOSE(MATCH(Z815,{"South";"SouthEast";"SouthWest";"North";"NorthEast";"East";"West";"NorthWest"},0),1,2,3,4,5,6,7,8)</f>
        <v>3</v>
      </c>
      <c r="AB815" s="2">
        <f t="shared" si="126"/>
        <v>0</v>
      </c>
      <c r="AC815">
        <v>1015.7</v>
      </c>
      <c r="AD815" t="s">
        <v>1270</v>
      </c>
      <c r="AE815" s="2">
        <f t="shared" si="127"/>
        <v>1</v>
      </c>
      <c r="AF815" t="s">
        <v>1271</v>
      </c>
      <c r="AG815" s="2">
        <f t="shared" si="128"/>
        <v>12</v>
      </c>
      <c r="AH815" s="2">
        <f t="shared" si="129"/>
        <v>0</v>
      </c>
      <c r="AI815" s="3">
        <v>820.00000000116415</v>
      </c>
      <c r="AJ815" s="2">
        <v>1</v>
      </c>
      <c r="AK815">
        <v>0</v>
      </c>
      <c r="AL815">
        <v>2</v>
      </c>
      <c r="AM815">
        <v>0</v>
      </c>
      <c r="AN815" s="2">
        <f>IF((2*G815+M815-O815+3*V815+2*AB815+2*AE815+2*AH815+3*AJ815)&gt;=7,1,0)</f>
        <v>0</v>
      </c>
    </row>
    <row r="816" spans="1:40" x14ac:dyDescent="0.25">
      <c r="A816" t="s">
        <v>27</v>
      </c>
      <c r="B816" s="1">
        <v>39441</v>
      </c>
      <c r="C816" s="6">
        <f t="shared" si="120"/>
        <v>2007</v>
      </c>
      <c r="D816">
        <v>59.1</v>
      </c>
      <c r="E816">
        <v>46.5</v>
      </c>
      <c r="F816">
        <v>52</v>
      </c>
      <c r="G816" s="2">
        <f t="shared" si="121"/>
        <v>0</v>
      </c>
      <c r="H816">
        <v>59.1</v>
      </c>
      <c r="I816">
        <v>44.3</v>
      </c>
      <c r="J816">
        <v>51.3</v>
      </c>
      <c r="K816">
        <v>46.2</v>
      </c>
      <c r="L816">
        <v>81</v>
      </c>
      <c r="M816" s="2">
        <f t="shared" si="122"/>
        <v>0</v>
      </c>
      <c r="N816">
        <v>0</v>
      </c>
      <c r="O816" s="2">
        <f t="shared" si="123"/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s="2">
        <f t="shared" si="124"/>
        <v>0</v>
      </c>
      <c r="W816">
        <v>6.9</v>
      </c>
      <c r="X816" s="2">
        <f t="shared" si="125"/>
        <v>0</v>
      </c>
      <c r="Y816">
        <v>190</v>
      </c>
      <c r="Z816" s="2" t="str">
        <f>CHOOSE(MATCH(Y816,{0;11;80;111;161;191;241;281;341},1),"North","NorthEast","East","SouthEast","South","SouthWest","West","NorthWest","North")</f>
        <v>South</v>
      </c>
      <c r="AA816" s="4">
        <f>CHOOSE(MATCH(Z816,{"South";"SouthEast";"SouthWest";"North";"NorthEast";"East";"West";"NorthWest"},0),1,2,3,4,5,6,7,8)</f>
        <v>1</v>
      </c>
      <c r="AB816" s="2">
        <f t="shared" si="126"/>
        <v>0</v>
      </c>
      <c r="AC816">
        <v>1023.5</v>
      </c>
      <c r="AD816" t="s">
        <v>1272</v>
      </c>
      <c r="AE816" s="2">
        <f t="shared" si="127"/>
        <v>1</v>
      </c>
      <c r="AF816" t="s">
        <v>1273</v>
      </c>
      <c r="AG816" s="2">
        <f t="shared" si="128"/>
        <v>12</v>
      </c>
      <c r="AH816" s="2">
        <f t="shared" si="129"/>
        <v>0</v>
      </c>
      <c r="AI816" s="3">
        <v>265.99999999743892</v>
      </c>
      <c r="AJ816" s="2">
        <v>0</v>
      </c>
      <c r="AK816">
        <v>0</v>
      </c>
      <c r="AL816">
        <v>5</v>
      </c>
      <c r="AM816">
        <v>0</v>
      </c>
      <c r="AN816" s="2">
        <f>IF((2*G816+M816-O816+3*V816+2*AB816+2*AE816+2*AH816+3*AJ816)&gt;=7,1,0)</f>
        <v>0</v>
      </c>
    </row>
    <row r="817" spans="1:40" x14ac:dyDescent="0.25">
      <c r="A817" t="s">
        <v>27</v>
      </c>
      <c r="B817" s="1">
        <v>39446</v>
      </c>
      <c r="C817" s="6">
        <f t="shared" si="120"/>
        <v>2007</v>
      </c>
      <c r="D817">
        <v>57.3</v>
      </c>
      <c r="E817">
        <v>48.3</v>
      </c>
      <c r="F817">
        <v>53</v>
      </c>
      <c r="G817" s="2">
        <f t="shared" si="121"/>
        <v>0</v>
      </c>
      <c r="H817">
        <v>57.3</v>
      </c>
      <c r="I817">
        <v>44.7</v>
      </c>
      <c r="J817">
        <v>52.8</v>
      </c>
      <c r="K817">
        <v>44.9</v>
      </c>
      <c r="L817">
        <v>74.3</v>
      </c>
      <c r="M817" s="2">
        <f t="shared" si="122"/>
        <v>0</v>
      </c>
      <c r="N817">
        <v>0</v>
      </c>
      <c r="O817" s="2">
        <f t="shared" si="123"/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s="2">
        <f t="shared" si="124"/>
        <v>0</v>
      </c>
      <c r="W817">
        <v>11.4</v>
      </c>
      <c r="X817" s="2">
        <f t="shared" si="125"/>
        <v>0</v>
      </c>
      <c r="Y817">
        <v>309.5</v>
      </c>
      <c r="Z817" s="2" t="str">
        <f>CHOOSE(MATCH(Y817,{0;11;80;111;161;191;241;281;341},1),"North","NorthEast","East","SouthEast","South","SouthWest","West","NorthWest","North")</f>
        <v>NorthWest</v>
      </c>
      <c r="AA817" s="4">
        <f>CHOOSE(MATCH(Z817,{"South";"SouthEast";"SouthWest";"North";"NorthEast";"East";"West";"NorthWest"},0),1,2,3,4,5,6,7,8)</f>
        <v>8</v>
      </c>
      <c r="AB817" s="2">
        <f t="shared" si="126"/>
        <v>1</v>
      </c>
      <c r="AC817">
        <v>1020.3</v>
      </c>
      <c r="AD817" t="s">
        <v>1274</v>
      </c>
      <c r="AE817" s="2">
        <f t="shared" si="127"/>
        <v>1</v>
      </c>
      <c r="AF817" t="s">
        <v>1275</v>
      </c>
      <c r="AG817" s="2">
        <f t="shared" si="128"/>
        <v>12</v>
      </c>
      <c r="AH817" s="2">
        <f t="shared" si="129"/>
        <v>0</v>
      </c>
      <c r="AI817" s="3">
        <v>300.00000000349252</v>
      </c>
      <c r="AJ817" s="2">
        <v>0</v>
      </c>
      <c r="AK817">
        <v>0</v>
      </c>
      <c r="AL817">
        <v>4</v>
      </c>
      <c r="AM817">
        <v>0</v>
      </c>
      <c r="AN817" s="2">
        <f>IF((2*G817+M817-O817+3*V817+2*AB817+2*AE817+2*AH817+3*AJ817)&gt;=7,1,0)</f>
        <v>0</v>
      </c>
    </row>
    <row r="818" spans="1:40" x14ac:dyDescent="0.25">
      <c r="A818" t="s">
        <v>27</v>
      </c>
      <c r="B818" s="1">
        <v>39457</v>
      </c>
      <c r="C818" s="6">
        <f t="shared" si="120"/>
        <v>2008</v>
      </c>
      <c r="D818">
        <v>57.3</v>
      </c>
      <c r="E818">
        <v>51.9</v>
      </c>
      <c r="F818">
        <v>54</v>
      </c>
      <c r="G818" s="2">
        <f t="shared" si="121"/>
        <v>0</v>
      </c>
      <c r="H818">
        <v>57.3</v>
      </c>
      <c r="I818">
        <v>51.9</v>
      </c>
      <c r="J818">
        <v>54</v>
      </c>
      <c r="K818">
        <v>43.2</v>
      </c>
      <c r="L818">
        <v>66.900000000000006</v>
      </c>
      <c r="M818" s="2">
        <f t="shared" si="122"/>
        <v>0</v>
      </c>
      <c r="N818">
        <v>0</v>
      </c>
      <c r="O818" s="2">
        <f t="shared" si="123"/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s="2">
        <f t="shared" si="124"/>
        <v>0</v>
      </c>
      <c r="W818">
        <v>20.8</v>
      </c>
      <c r="X818" s="2">
        <f t="shared" si="125"/>
        <v>1</v>
      </c>
      <c r="Y818">
        <v>342.9</v>
      </c>
      <c r="Z818" s="2" t="str">
        <f>CHOOSE(MATCH(Y818,{0;11;80;111;161;191;241;281;341},1),"North","NorthEast","East","SouthEast","South","SouthWest","West","NorthWest","North")</f>
        <v>North</v>
      </c>
      <c r="AA818" s="4">
        <f>CHOOSE(MATCH(Z818,{"South";"SouthEast";"SouthWest";"North";"NorthEast";"East";"West";"NorthWest"},0),1,2,3,4,5,6,7,8)</f>
        <v>4</v>
      </c>
      <c r="AB818" s="2">
        <f t="shared" si="126"/>
        <v>1</v>
      </c>
      <c r="AC818">
        <v>1023.8</v>
      </c>
      <c r="AD818" t="s">
        <v>1024</v>
      </c>
      <c r="AE818" s="2">
        <f t="shared" si="127"/>
        <v>1</v>
      </c>
      <c r="AF818" t="s">
        <v>1276</v>
      </c>
      <c r="AG818" s="2">
        <f t="shared" si="128"/>
        <v>1</v>
      </c>
      <c r="AH818" s="2">
        <f t="shared" si="129"/>
        <v>0</v>
      </c>
      <c r="AI818" s="3">
        <v>265.00000000465661</v>
      </c>
      <c r="AJ818" s="2">
        <v>0</v>
      </c>
      <c r="AK818">
        <v>0</v>
      </c>
      <c r="AL818">
        <v>4</v>
      </c>
      <c r="AM818">
        <v>0</v>
      </c>
      <c r="AN818" s="2">
        <f>IF((2*G818+M818-O818+3*V818+2*AB818+2*AE818+2*AH818+3*AJ818)&gt;=7,1,0)</f>
        <v>0</v>
      </c>
    </row>
    <row r="819" spans="1:40" x14ac:dyDescent="0.25">
      <c r="A819" t="s">
        <v>27</v>
      </c>
      <c r="B819" s="1">
        <v>39474</v>
      </c>
      <c r="C819" s="6">
        <f t="shared" si="120"/>
        <v>2008</v>
      </c>
      <c r="D819">
        <v>59.1</v>
      </c>
      <c r="E819">
        <v>50.1</v>
      </c>
      <c r="F819">
        <v>54.2</v>
      </c>
      <c r="G819" s="2">
        <f t="shared" si="121"/>
        <v>0</v>
      </c>
      <c r="H819">
        <v>59.1</v>
      </c>
      <c r="I819">
        <v>50.1</v>
      </c>
      <c r="J819">
        <v>54.2</v>
      </c>
      <c r="K819">
        <v>44.4</v>
      </c>
      <c r="L819">
        <v>69.8</v>
      </c>
      <c r="M819" s="2">
        <f t="shared" si="122"/>
        <v>0</v>
      </c>
      <c r="N819">
        <v>0</v>
      </c>
      <c r="O819" s="2">
        <f t="shared" si="123"/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s="2">
        <f t="shared" si="124"/>
        <v>0</v>
      </c>
      <c r="W819">
        <v>19.5</v>
      </c>
      <c r="X819" s="2">
        <f t="shared" si="125"/>
        <v>1</v>
      </c>
      <c r="Y819">
        <v>309.7</v>
      </c>
      <c r="Z819" s="2" t="str">
        <f>CHOOSE(MATCH(Y819,{0;11;80;111;161;191;241;281;341},1),"North","NorthEast","East","SouthEast","South","SouthWest","West","NorthWest","North")</f>
        <v>NorthWest</v>
      </c>
      <c r="AA819" s="4">
        <f>CHOOSE(MATCH(Z819,{"South";"SouthEast";"SouthWest";"North";"NorthEast";"East";"West";"NorthWest"},0),1,2,3,4,5,6,7,8)</f>
        <v>8</v>
      </c>
      <c r="AB819" s="2">
        <f t="shared" si="126"/>
        <v>1</v>
      </c>
      <c r="AC819">
        <v>1020.3</v>
      </c>
      <c r="AD819" t="s">
        <v>479</v>
      </c>
      <c r="AE819" s="2">
        <f t="shared" si="127"/>
        <v>0</v>
      </c>
      <c r="AF819" t="s">
        <v>1277</v>
      </c>
      <c r="AG819" s="2">
        <f t="shared" si="128"/>
        <v>1</v>
      </c>
      <c r="AH819" s="2">
        <f t="shared" si="129"/>
        <v>0</v>
      </c>
      <c r="AI819" s="3">
        <v>139.99999999534339</v>
      </c>
      <c r="AJ819" s="2">
        <v>0</v>
      </c>
      <c r="AK819">
        <v>0</v>
      </c>
      <c r="AL819">
        <v>0.25</v>
      </c>
      <c r="AM819">
        <v>0</v>
      </c>
      <c r="AN819" s="2">
        <f>IF((2*G819+M819-O819+3*V819+2*AB819+2*AE819+2*AH819+3*AJ819)&gt;=7,1,0)</f>
        <v>0</v>
      </c>
    </row>
    <row r="820" spans="1:40" x14ac:dyDescent="0.25">
      <c r="A820" t="s">
        <v>27</v>
      </c>
      <c r="B820" s="1">
        <v>39475</v>
      </c>
      <c r="C820" s="6">
        <f t="shared" si="120"/>
        <v>2008</v>
      </c>
      <c r="D820">
        <v>60.9</v>
      </c>
      <c r="E820">
        <v>50.1</v>
      </c>
      <c r="F820">
        <v>54.1</v>
      </c>
      <c r="G820" s="2">
        <f t="shared" si="121"/>
        <v>0</v>
      </c>
      <c r="H820">
        <v>60.9</v>
      </c>
      <c r="I820">
        <v>50.1</v>
      </c>
      <c r="J820">
        <v>54.1</v>
      </c>
      <c r="K820">
        <v>43.8</v>
      </c>
      <c r="L820">
        <v>68.400000000000006</v>
      </c>
      <c r="M820" s="2">
        <f t="shared" si="122"/>
        <v>0</v>
      </c>
      <c r="N820">
        <v>0.02</v>
      </c>
      <c r="O820" s="2">
        <f t="shared" si="123"/>
        <v>0</v>
      </c>
      <c r="P820">
        <v>100</v>
      </c>
      <c r="Q820">
        <v>4.17</v>
      </c>
      <c r="R820" t="s">
        <v>182</v>
      </c>
      <c r="S820">
        <v>0</v>
      </c>
      <c r="T820">
        <v>0</v>
      </c>
      <c r="U820">
        <v>0</v>
      </c>
      <c r="V820" s="2">
        <f t="shared" si="124"/>
        <v>0</v>
      </c>
      <c r="W820">
        <v>40.299999999999997</v>
      </c>
      <c r="X820" s="2">
        <f t="shared" si="125"/>
        <v>1</v>
      </c>
      <c r="Y820">
        <v>324.7</v>
      </c>
      <c r="Z820" s="2" t="str">
        <f>CHOOSE(MATCH(Y820,{0;11;80;111;161;191;241;281;341},1),"North","NorthEast","East","SouthEast","South","SouthWest","West","NorthWest","North")</f>
        <v>NorthWest</v>
      </c>
      <c r="AA820" s="4">
        <f>CHOOSE(MATCH(Z820,{"South";"SouthEast";"SouthWest";"North";"NorthEast";"East";"West";"NorthWest"},0),1,2,3,4,5,6,7,8)</f>
        <v>8</v>
      </c>
      <c r="AB820" s="2">
        <f t="shared" si="126"/>
        <v>1</v>
      </c>
      <c r="AC820">
        <v>1010.1</v>
      </c>
      <c r="AD820" t="s">
        <v>566</v>
      </c>
      <c r="AE820" s="2">
        <f t="shared" si="127"/>
        <v>1</v>
      </c>
      <c r="AF820" t="s">
        <v>1278</v>
      </c>
      <c r="AG820" s="2">
        <f t="shared" si="128"/>
        <v>1</v>
      </c>
      <c r="AH820" s="2">
        <f t="shared" si="129"/>
        <v>0</v>
      </c>
      <c r="AI820" s="3">
        <v>889.99999999883585</v>
      </c>
      <c r="AJ820" s="2">
        <v>1</v>
      </c>
      <c r="AK820">
        <v>0</v>
      </c>
      <c r="AL820">
        <v>4</v>
      </c>
      <c r="AM820">
        <v>0</v>
      </c>
      <c r="AN820" s="2">
        <f>IF((2*G820+M820-O820+3*V820+2*AB820+2*AE820+2*AH820+3*AJ820)&gt;=7,1,0)</f>
        <v>1</v>
      </c>
    </row>
    <row r="821" spans="1:40" x14ac:dyDescent="0.25">
      <c r="A821" t="s">
        <v>27</v>
      </c>
      <c r="B821" s="1">
        <v>39475</v>
      </c>
      <c r="C821" s="6">
        <f t="shared" si="120"/>
        <v>2008</v>
      </c>
      <c r="D821">
        <v>60.9</v>
      </c>
      <c r="E821">
        <v>50.1</v>
      </c>
      <c r="F821">
        <v>54.1</v>
      </c>
      <c r="G821" s="2">
        <f t="shared" si="121"/>
        <v>0</v>
      </c>
      <c r="H821">
        <v>60.9</v>
      </c>
      <c r="I821">
        <v>50.1</v>
      </c>
      <c r="J821">
        <v>54.1</v>
      </c>
      <c r="K821">
        <v>43.8</v>
      </c>
      <c r="L821">
        <v>68.400000000000006</v>
      </c>
      <c r="M821" s="2">
        <f t="shared" si="122"/>
        <v>0</v>
      </c>
      <c r="N821">
        <v>0.02</v>
      </c>
      <c r="O821" s="2">
        <f t="shared" si="123"/>
        <v>0</v>
      </c>
      <c r="P821">
        <v>100</v>
      </c>
      <c r="Q821">
        <v>4.17</v>
      </c>
      <c r="R821" t="s">
        <v>182</v>
      </c>
      <c r="S821">
        <v>0</v>
      </c>
      <c r="T821">
        <v>0</v>
      </c>
      <c r="U821">
        <v>0</v>
      </c>
      <c r="V821" s="2">
        <f t="shared" si="124"/>
        <v>0</v>
      </c>
      <c r="W821">
        <v>40.299999999999997</v>
      </c>
      <c r="X821" s="2">
        <f t="shared" si="125"/>
        <v>1</v>
      </c>
      <c r="Y821">
        <v>324.7</v>
      </c>
      <c r="Z821" s="2" t="str">
        <f>CHOOSE(MATCH(Y821,{0;11;80;111;161;191;241;281;341},1),"North","NorthEast","East","SouthEast","South","SouthWest","West","NorthWest","North")</f>
        <v>NorthWest</v>
      </c>
      <c r="AA821" s="4">
        <f>CHOOSE(MATCH(Z821,{"South";"SouthEast";"SouthWest";"North";"NorthEast";"East";"West";"NorthWest"},0),1,2,3,4,5,6,7,8)</f>
        <v>8</v>
      </c>
      <c r="AB821" s="2">
        <f t="shared" si="126"/>
        <v>1</v>
      </c>
      <c r="AC821">
        <v>1010.1</v>
      </c>
      <c r="AD821" t="s">
        <v>745</v>
      </c>
      <c r="AE821" s="2">
        <f t="shared" si="127"/>
        <v>1</v>
      </c>
      <c r="AF821" t="s">
        <v>1279</v>
      </c>
      <c r="AG821" s="2">
        <f t="shared" si="128"/>
        <v>1</v>
      </c>
      <c r="AH821" s="2">
        <f t="shared" si="129"/>
        <v>0</v>
      </c>
      <c r="AI821" s="3">
        <v>889.99999999883585</v>
      </c>
      <c r="AJ821" s="2">
        <v>1</v>
      </c>
      <c r="AK821">
        <v>0</v>
      </c>
      <c r="AL821">
        <v>5</v>
      </c>
      <c r="AM821">
        <v>0</v>
      </c>
      <c r="AN821" s="2">
        <f>IF((2*G821+M821-O821+3*V821+2*AB821+2*AE821+2*AH821+3*AJ821)&gt;=7,1,0)</f>
        <v>1</v>
      </c>
    </row>
    <row r="822" spans="1:40" x14ac:dyDescent="0.25">
      <c r="A822" t="s">
        <v>27</v>
      </c>
      <c r="B822" s="1">
        <v>39477</v>
      </c>
      <c r="C822" s="6">
        <f t="shared" si="120"/>
        <v>2008</v>
      </c>
      <c r="D822">
        <v>51.9</v>
      </c>
      <c r="E822">
        <v>44.7</v>
      </c>
      <c r="F822">
        <v>48.2</v>
      </c>
      <c r="G822" s="2">
        <f t="shared" si="121"/>
        <v>0</v>
      </c>
      <c r="H822">
        <v>51.9</v>
      </c>
      <c r="I822">
        <v>35</v>
      </c>
      <c r="J822">
        <v>43.9</v>
      </c>
      <c r="K822">
        <v>35.9</v>
      </c>
      <c r="L822">
        <v>62.6</v>
      </c>
      <c r="M822" s="2">
        <f t="shared" si="122"/>
        <v>1</v>
      </c>
      <c r="N822">
        <v>7.9000000000000001E-2</v>
      </c>
      <c r="O822" s="2">
        <f t="shared" si="123"/>
        <v>0</v>
      </c>
      <c r="P822">
        <v>100</v>
      </c>
      <c r="Q822">
        <v>4.17</v>
      </c>
      <c r="R822" t="s">
        <v>182</v>
      </c>
      <c r="S822">
        <v>0</v>
      </c>
      <c r="T822">
        <v>0</v>
      </c>
      <c r="U822">
        <v>0</v>
      </c>
      <c r="V822" s="2">
        <f t="shared" si="124"/>
        <v>0</v>
      </c>
      <c r="W822">
        <v>28.9</v>
      </c>
      <c r="X822" s="2">
        <f t="shared" si="125"/>
        <v>1</v>
      </c>
      <c r="Y822">
        <v>346.6</v>
      </c>
      <c r="Z822" s="2" t="str">
        <f>CHOOSE(MATCH(Y822,{0;11;80;111;161;191;241;281;341},1),"North","NorthEast","East","SouthEast","South","SouthWest","West","NorthWest","North")</f>
        <v>North</v>
      </c>
      <c r="AA822" s="4">
        <f>CHOOSE(MATCH(Z822,{"South";"SouthEast";"SouthWest";"North";"NorthEast";"East";"West";"NorthWest"},0),1,2,3,4,5,6,7,8)</f>
        <v>4</v>
      </c>
      <c r="AB822" s="2">
        <f t="shared" si="126"/>
        <v>1</v>
      </c>
      <c r="AC822">
        <v>1026</v>
      </c>
      <c r="AD822" t="s">
        <v>1280</v>
      </c>
      <c r="AE822" s="2">
        <f t="shared" si="127"/>
        <v>1</v>
      </c>
      <c r="AF822" t="s">
        <v>1281</v>
      </c>
      <c r="AG822" s="2">
        <f t="shared" si="128"/>
        <v>1</v>
      </c>
      <c r="AH822" s="2">
        <f t="shared" si="129"/>
        <v>0</v>
      </c>
      <c r="AI822" s="3">
        <v>240.00000000698489</v>
      </c>
      <c r="AJ822" s="2">
        <v>0</v>
      </c>
      <c r="AK822">
        <v>0</v>
      </c>
      <c r="AL822">
        <v>3</v>
      </c>
      <c r="AM822">
        <v>0</v>
      </c>
      <c r="AN822" s="2">
        <f>IF((2*G822+M822-O822+3*V822+2*AB822+2*AE822+2*AH822+3*AJ822)&gt;=7,1,0)</f>
        <v>0</v>
      </c>
    </row>
    <row r="823" spans="1:40" x14ac:dyDescent="0.25">
      <c r="A823" t="s">
        <v>27</v>
      </c>
      <c r="B823" s="1">
        <v>39483</v>
      </c>
      <c r="C823" s="6">
        <f t="shared" si="120"/>
        <v>2008</v>
      </c>
      <c r="D823">
        <v>59.1</v>
      </c>
      <c r="E823">
        <v>46.5</v>
      </c>
      <c r="F823">
        <v>52.7</v>
      </c>
      <c r="G823" s="2">
        <f t="shared" si="121"/>
        <v>0</v>
      </c>
      <c r="H823">
        <v>59.1</v>
      </c>
      <c r="I823">
        <v>42.5</v>
      </c>
      <c r="J823">
        <v>51.5</v>
      </c>
      <c r="K823">
        <v>48.3</v>
      </c>
      <c r="L823">
        <v>85.4</v>
      </c>
      <c r="M823" s="2">
        <f t="shared" si="122"/>
        <v>0</v>
      </c>
      <c r="N823">
        <v>0</v>
      </c>
      <c r="O823" s="2">
        <f t="shared" si="123"/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 s="2">
        <f t="shared" si="124"/>
        <v>0</v>
      </c>
      <c r="W823">
        <v>9.1999999999999993</v>
      </c>
      <c r="X823" s="2">
        <f t="shared" si="125"/>
        <v>0</v>
      </c>
      <c r="Y823">
        <v>164.4</v>
      </c>
      <c r="Z823" s="2" t="str">
        <f>CHOOSE(MATCH(Y823,{0;11;80;111;161;191;241;281;341},1),"North","NorthEast","East","SouthEast","South","SouthWest","West","NorthWest","North")</f>
        <v>South</v>
      </c>
      <c r="AA823" s="4">
        <f>CHOOSE(MATCH(Z823,{"South";"SouthEast";"SouthWest";"North";"NorthEast";"East";"West";"NorthWest"},0),1,2,3,4,5,6,7,8)</f>
        <v>1</v>
      </c>
      <c r="AB823" s="2">
        <f t="shared" si="126"/>
        <v>0</v>
      </c>
      <c r="AC823">
        <v>1023.8</v>
      </c>
      <c r="AD823" t="s">
        <v>1282</v>
      </c>
      <c r="AE823" s="2">
        <f t="shared" si="127"/>
        <v>0</v>
      </c>
      <c r="AF823" t="s">
        <v>1283</v>
      </c>
      <c r="AG823" s="2">
        <f t="shared" si="128"/>
        <v>2</v>
      </c>
      <c r="AH823" s="2">
        <f t="shared" si="129"/>
        <v>0</v>
      </c>
      <c r="AI823" s="3">
        <v>94.999999995343387</v>
      </c>
      <c r="AJ823" s="2">
        <v>0</v>
      </c>
      <c r="AK823">
        <v>0</v>
      </c>
      <c r="AL823">
        <v>0.5</v>
      </c>
      <c r="AM823">
        <v>0</v>
      </c>
      <c r="AN823" s="2">
        <f>IF((2*G823+M823-O823+3*V823+2*AB823+2*AE823+2*AH823+3*AJ823)&gt;=7,1,0)</f>
        <v>0</v>
      </c>
    </row>
    <row r="824" spans="1:40" x14ac:dyDescent="0.25">
      <c r="A824" t="s">
        <v>27</v>
      </c>
      <c r="B824" s="1">
        <v>39494</v>
      </c>
      <c r="C824" s="6">
        <f t="shared" si="120"/>
        <v>2008</v>
      </c>
      <c r="D824">
        <v>55.5</v>
      </c>
      <c r="E824">
        <v>48.3</v>
      </c>
      <c r="F824">
        <v>51.3</v>
      </c>
      <c r="G824" s="2">
        <f t="shared" si="121"/>
        <v>0</v>
      </c>
      <c r="H824">
        <v>55.5</v>
      </c>
      <c r="I824">
        <v>41.5</v>
      </c>
      <c r="J824">
        <v>50.4</v>
      </c>
      <c r="K824">
        <v>45.1</v>
      </c>
      <c r="L824">
        <v>79.599999999999994</v>
      </c>
      <c r="M824" s="2">
        <f t="shared" si="122"/>
        <v>0</v>
      </c>
      <c r="N824">
        <v>0.42899999999999999</v>
      </c>
      <c r="O824" s="2">
        <f t="shared" si="123"/>
        <v>0</v>
      </c>
      <c r="P824">
        <v>100</v>
      </c>
      <c r="Q824">
        <v>4.17</v>
      </c>
      <c r="R824" t="s">
        <v>182</v>
      </c>
      <c r="S824">
        <v>0</v>
      </c>
      <c r="T824">
        <v>0</v>
      </c>
      <c r="U824">
        <v>0</v>
      </c>
      <c r="V824" s="2">
        <f t="shared" si="124"/>
        <v>0</v>
      </c>
      <c r="W824">
        <v>19.5</v>
      </c>
      <c r="X824" s="2">
        <f t="shared" si="125"/>
        <v>1</v>
      </c>
      <c r="Y824">
        <v>300.89999999999998</v>
      </c>
      <c r="Z824" s="2" t="str">
        <f>CHOOSE(MATCH(Y824,{0;11;80;111;161;191;241;281;341},1),"North","NorthEast","East","SouthEast","South","SouthWest","West","NorthWest","North")</f>
        <v>NorthWest</v>
      </c>
      <c r="AA824" s="4">
        <f>CHOOSE(MATCH(Z824,{"South";"SouthEast";"SouthWest";"North";"NorthEast";"East";"West";"NorthWest"},0),1,2,3,4,5,6,7,8)</f>
        <v>8</v>
      </c>
      <c r="AB824" s="2">
        <f t="shared" si="126"/>
        <v>1</v>
      </c>
      <c r="AC824">
        <v>1015.5</v>
      </c>
      <c r="AD824" t="s">
        <v>1284</v>
      </c>
      <c r="AE824" s="2">
        <f t="shared" si="127"/>
        <v>0</v>
      </c>
      <c r="AF824" t="s">
        <v>1285</v>
      </c>
      <c r="AG824" s="2">
        <f t="shared" si="128"/>
        <v>2</v>
      </c>
      <c r="AH824" s="2">
        <f t="shared" si="129"/>
        <v>0</v>
      </c>
      <c r="AI824" s="3">
        <v>171.0000000020955</v>
      </c>
      <c r="AJ824" s="2">
        <v>0</v>
      </c>
      <c r="AK824">
        <v>0</v>
      </c>
      <c r="AL824">
        <v>5</v>
      </c>
      <c r="AM824">
        <v>0</v>
      </c>
      <c r="AN824" s="2">
        <f>IF((2*G824+M824-O824+3*V824+2*AB824+2*AE824+2*AH824+3*AJ824)&gt;=7,1,0)</f>
        <v>0</v>
      </c>
    </row>
    <row r="825" spans="1:40" x14ac:dyDescent="0.25">
      <c r="A825" t="s">
        <v>27</v>
      </c>
      <c r="B825" s="1">
        <v>39502</v>
      </c>
      <c r="C825" s="6">
        <f t="shared" si="120"/>
        <v>2008</v>
      </c>
      <c r="D825">
        <v>60.9</v>
      </c>
      <c r="E825">
        <v>46.5</v>
      </c>
      <c r="F825">
        <v>55.2</v>
      </c>
      <c r="G825" s="2">
        <f t="shared" si="121"/>
        <v>0</v>
      </c>
      <c r="H825">
        <v>60.9</v>
      </c>
      <c r="I825">
        <v>46.4</v>
      </c>
      <c r="J825">
        <v>54.9</v>
      </c>
      <c r="K825">
        <v>50</v>
      </c>
      <c r="L825">
        <v>83.3</v>
      </c>
      <c r="M825" s="2">
        <f t="shared" si="122"/>
        <v>0</v>
      </c>
      <c r="N825">
        <v>0</v>
      </c>
      <c r="O825" s="2">
        <f t="shared" si="123"/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s="2">
        <f t="shared" si="124"/>
        <v>0</v>
      </c>
      <c r="W825">
        <v>19.5</v>
      </c>
      <c r="X825" s="2">
        <f t="shared" si="125"/>
        <v>1</v>
      </c>
      <c r="Y825">
        <v>313.7</v>
      </c>
      <c r="Z825" s="2" t="str">
        <f>CHOOSE(MATCH(Y825,{0;11;80;111;161;191;241;281;341},1),"North","NorthEast","East","SouthEast","South","SouthWest","West","NorthWest","North")</f>
        <v>NorthWest</v>
      </c>
      <c r="AA825" s="4">
        <f>CHOOSE(MATCH(Z825,{"South";"SouthEast";"SouthWest";"North";"NorthEast";"East";"West";"NorthWest"},0),1,2,3,4,5,6,7,8)</f>
        <v>8</v>
      </c>
      <c r="AB825" s="2">
        <f t="shared" si="126"/>
        <v>1</v>
      </c>
      <c r="AC825">
        <v>1022.9</v>
      </c>
      <c r="AD825" t="s">
        <v>1286</v>
      </c>
      <c r="AE825" s="2">
        <f t="shared" si="127"/>
        <v>1</v>
      </c>
      <c r="AF825" t="s">
        <v>1287</v>
      </c>
      <c r="AG825" s="2">
        <f t="shared" si="128"/>
        <v>2</v>
      </c>
      <c r="AH825" s="2">
        <f t="shared" si="129"/>
        <v>0</v>
      </c>
      <c r="AI825" s="3">
        <v>280.00000000116421</v>
      </c>
      <c r="AJ825" s="2">
        <v>0</v>
      </c>
      <c r="AK825">
        <v>0</v>
      </c>
      <c r="AL825">
        <v>3</v>
      </c>
      <c r="AM825">
        <v>0</v>
      </c>
      <c r="AN825" s="2">
        <f>IF((2*G825+M825-O825+3*V825+2*AB825+2*AE825+2*AH825+3*AJ825)&gt;=7,1,0)</f>
        <v>0</v>
      </c>
    </row>
    <row r="826" spans="1:40" x14ac:dyDescent="0.25">
      <c r="A826" t="s">
        <v>27</v>
      </c>
      <c r="B826" s="1">
        <v>39510</v>
      </c>
      <c r="C826" s="6">
        <f t="shared" si="120"/>
        <v>2008</v>
      </c>
      <c r="D826">
        <v>66.3</v>
      </c>
      <c r="E826">
        <v>51.9</v>
      </c>
      <c r="F826">
        <v>58.7</v>
      </c>
      <c r="G826" s="2">
        <f t="shared" si="121"/>
        <v>0</v>
      </c>
      <c r="H826">
        <v>66.3</v>
      </c>
      <c r="I826">
        <v>51.9</v>
      </c>
      <c r="J826">
        <v>58.7</v>
      </c>
      <c r="K826">
        <v>50.9</v>
      </c>
      <c r="L826">
        <v>76.2</v>
      </c>
      <c r="M826" s="2">
        <f t="shared" si="122"/>
        <v>0</v>
      </c>
      <c r="N826">
        <v>0</v>
      </c>
      <c r="O826" s="2">
        <f t="shared" si="123"/>
        <v>1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s="2">
        <f t="shared" si="124"/>
        <v>0</v>
      </c>
      <c r="W826">
        <v>9.1999999999999993</v>
      </c>
      <c r="X826" s="2">
        <f t="shared" si="125"/>
        <v>0</v>
      </c>
      <c r="Y826">
        <v>161</v>
      </c>
      <c r="Z826" s="2" t="str">
        <f>CHOOSE(MATCH(Y826,{0;11;80;111;161;191;241;281;341},1),"North","NorthEast","East","SouthEast","South","SouthWest","West","NorthWest","North")</f>
        <v>South</v>
      </c>
      <c r="AA826" s="4">
        <f>CHOOSE(MATCH(Z826,{"South";"SouthEast";"SouthWest";"North";"NorthEast";"East";"West";"NorthWest"},0),1,2,3,4,5,6,7,8)</f>
        <v>1</v>
      </c>
      <c r="AB826" s="2">
        <f t="shared" si="126"/>
        <v>0</v>
      </c>
      <c r="AC826">
        <v>1016.1</v>
      </c>
      <c r="AD826" t="s">
        <v>118</v>
      </c>
      <c r="AE826" s="2">
        <f t="shared" si="127"/>
        <v>0</v>
      </c>
      <c r="AF826" t="s">
        <v>1288</v>
      </c>
      <c r="AG826" s="2">
        <f t="shared" si="128"/>
        <v>3</v>
      </c>
      <c r="AH826" s="2">
        <f t="shared" si="129"/>
        <v>0</v>
      </c>
      <c r="AI826" s="3">
        <v>1170</v>
      </c>
      <c r="AJ826" s="2">
        <v>1</v>
      </c>
      <c r="AK826">
        <v>0</v>
      </c>
      <c r="AL826">
        <v>20</v>
      </c>
      <c r="AM826">
        <v>0</v>
      </c>
      <c r="AN826" s="2">
        <f>IF((2*G826+M826-O826+3*V826+2*AB826+2*AE826+2*AH826+3*AJ826)&gt;=7,1,0)</f>
        <v>0</v>
      </c>
    </row>
    <row r="827" spans="1:40" x14ac:dyDescent="0.25">
      <c r="A827" t="s">
        <v>27</v>
      </c>
      <c r="B827" s="1">
        <v>39510</v>
      </c>
      <c r="C827" s="6">
        <f t="shared" si="120"/>
        <v>2008</v>
      </c>
      <c r="D827">
        <v>66.3</v>
      </c>
      <c r="E827">
        <v>51.9</v>
      </c>
      <c r="F827">
        <v>58.7</v>
      </c>
      <c r="G827" s="2">
        <f t="shared" si="121"/>
        <v>0</v>
      </c>
      <c r="H827">
        <v>66.3</v>
      </c>
      <c r="I827">
        <v>51.9</v>
      </c>
      <c r="J827">
        <v>58.7</v>
      </c>
      <c r="K827">
        <v>50.9</v>
      </c>
      <c r="L827">
        <v>76.2</v>
      </c>
      <c r="M827" s="2">
        <f t="shared" si="122"/>
        <v>0</v>
      </c>
      <c r="N827">
        <v>0</v>
      </c>
      <c r="O827" s="2">
        <f t="shared" si="123"/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s="2">
        <f t="shared" si="124"/>
        <v>0</v>
      </c>
      <c r="W827">
        <v>9.1999999999999993</v>
      </c>
      <c r="X827" s="2">
        <f t="shared" si="125"/>
        <v>0</v>
      </c>
      <c r="Y827">
        <v>161</v>
      </c>
      <c r="Z827" s="2" t="str">
        <f>CHOOSE(MATCH(Y827,{0;11;80;111;161;191;241;281;341},1),"North","NorthEast","East","SouthEast","South","SouthWest","West","NorthWest","North")</f>
        <v>South</v>
      </c>
      <c r="AA827" s="4">
        <f>CHOOSE(MATCH(Z827,{"South";"SouthEast";"SouthWest";"North";"NorthEast";"East";"West";"NorthWest"},0),1,2,3,4,5,6,7,8)</f>
        <v>1</v>
      </c>
      <c r="AB827" s="2">
        <f t="shared" si="126"/>
        <v>0</v>
      </c>
      <c r="AC827">
        <v>1016.1</v>
      </c>
      <c r="AD827" t="s">
        <v>1289</v>
      </c>
      <c r="AE827" s="2">
        <f t="shared" si="127"/>
        <v>0</v>
      </c>
      <c r="AF827" t="s">
        <v>1290</v>
      </c>
      <c r="AG827" s="2">
        <f t="shared" si="128"/>
        <v>3</v>
      </c>
      <c r="AH827" s="2">
        <f t="shared" si="129"/>
        <v>0</v>
      </c>
      <c r="AI827" s="3">
        <v>79.999999998835847</v>
      </c>
      <c r="AJ827" s="2">
        <v>0</v>
      </c>
      <c r="AK827">
        <v>0</v>
      </c>
      <c r="AL827">
        <v>1</v>
      </c>
      <c r="AM827">
        <v>0</v>
      </c>
      <c r="AN827" s="2">
        <f>IF((2*G827+M827-O827+3*V827+2*AB827+2*AE827+2*AH827+3*AJ827)&gt;=7,1,0)</f>
        <v>0</v>
      </c>
    </row>
    <row r="828" spans="1:40" x14ac:dyDescent="0.25">
      <c r="A828" t="s">
        <v>27</v>
      </c>
      <c r="B828" s="1">
        <v>39513</v>
      </c>
      <c r="C828" s="6">
        <f t="shared" si="120"/>
        <v>2008</v>
      </c>
      <c r="D828">
        <v>66.3</v>
      </c>
      <c r="E828">
        <v>55.5</v>
      </c>
      <c r="F828">
        <v>60.7</v>
      </c>
      <c r="G828" s="2">
        <f t="shared" si="121"/>
        <v>0</v>
      </c>
      <c r="H828">
        <v>66.3</v>
      </c>
      <c r="I828">
        <v>55.5</v>
      </c>
      <c r="J828">
        <v>60.7</v>
      </c>
      <c r="K828">
        <v>52</v>
      </c>
      <c r="L828">
        <v>73.3</v>
      </c>
      <c r="M828" s="2">
        <f t="shared" si="122"/>
        <v>0</v>
      </c>
      <c r="N828">
        <v>0</v>
      </c>
      <c r="O828" s="2">
        <f t="shared" si="123"/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 s="2">
        <f t="shared" si="124"/>
        <v>0</v>
      </c>
      <c r="W828">
        <v>15</v>
      </c>
      <c r="X828" s="2">
        <f t="shared" si="125"/>
        <v>0</v>
      </c>
      <c r="Y828">
        <v>144.30000000000001</v>
      </c>
      <c r="Z828" s="2" t="str">
        <f>CHOOSE(MATCH(Y828,{0;11;80;111;161;191;241;281;341},1),"North","NorthEast","East","SouthEast","South","SouthWest","West","NorthWest","North")</f>
        <v>SouthEast</v>
      </c>
      <c r="AA828" s="4">
        <f>CHOOSE(MATCH(Z828,{"South";"SouthEast";"SouthWest";"North";"NorthEast";"East";"West";"NorthWest"},0),1,2,3,4,5,6,7,8)</f>
        <v>2</v>
      </c>
      <c r="AB828" s="2">
        <f t="shared" si="126"/>
        <v>0</v>
      </c>
      <c r="AC828">
        <v>1012.9</v>
      </c>
      <c r="AD828" t="s">
        <v>445</v>
      </c>
      <c r="AE828" s="2">
        <f t="shared" si="127"/>
        <v>0</v>
      </c>
      <c r="AF828" t="s">
        <v>1291</v>
      </c>
      <c r="AG828" s="2">
        <f t="shared" si="128"/>
        <v>3</v>
      </c>
      <c r="AH828" s="2">
        <f t="shared" si="129"/>
        <v>0</v>
      </c>
      <c r="AI828" s="3">
        <v>65.000000002328306</v>
      </c>
      <c r="AJ828" s="2">
        <v>0</v>
      </c>
      <c r="AK828">
        <v>0</v>
      </c>
      <c r="AL828">
        <v>1</v>
      </c>
      <c r="AM828">
        <v>0</v>
      </c>
      <c r="AN828" s="2">
        <f>IF((2*G828+M828-O828+3*V828+2*AB828+2*AE828+2*AH828+3*AJ828)&gt;=7,1,0)</f>
        <v>0</v>
      </c>
    </row>
    <row r="829" spans="1:40" x14ac:dyDescent="0.25">
      <c r="A829" t="s">
        <v>27</v>
      </c>
      <c r="B829" s="1">
        <v>39516</v>
      </c>
      <c r="C829" s="6">
        <f t="shared" si="120"/>
        <v>2008</v>
      </c>
      <c r="D829">
        <v>62.7</v>
      </c>
      <c r="E829">
        <v>44.7</v>
      </c>
      <c r="F829">
        <v>53.9</v>
      </c>
      <c r="G829" s="2">
        <f t="shared" si="121"/>
        <v>0</v>
      </c>
      <c r="H829">
        <v>62.7</v>
      </c>
      <c r="I829">
        <v>40.299999999999997</v>
      </c>
      <c r="J829">
        <v>52.7</v>
      </c>
      <c r="K829">
        <v>44.4</v>
      </c>
      <c r="L829">
        <v>70.900000000000006</v>
      </c>
      <c r="M829" s="2">
        <f t="shared" si="122"/>
        <v>0</v>
      </c>
      <c r="N829">
        <v>0</v>
      </c>
      <c r="O829" s="2">
        <f t="shared" si="123"/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 s="2">
        <f t="shared" si="124"/>
        <v>0</v>
      </c>
      <c r="W829">
        <v>10.3</v>
      </c>
      <c r="X829" s="2">
        <f t="shared" si="125"/>
        <v>0</v>
      </c>
      <c r="Y829">
        <v>180.9</v>
      </c>
      <c r="Z829" s="2" t="str">
        <f>CHOOSE(MATCH(Y829,{0;11;80;111;161;191;241;281;341},1),"North","NorthEast","East","SouthEast","South","SouthWest","West","NorthWest","North")</f>
        <v>South</v>
      </c>
      <c r="AA829" s="4">
        <f>CHOOSE(MATCH(Z829,{"South";"SouthEast";"SouthWest";"North";"NorthEast";"East";"West";"NorthWest"},0),1,2,3,4,5,6,7,8)</f>
        <v>1</v>
      </c>
      <c r="AB829" s="2">
        <f t="shared" si="126"/>
        <v>0</v>
      </c>
      <c r="AC829">
        <v>1014.9</v>
      </c>
      <c r="AD829" t="s">
        <v>1292</v>
      </c>
      <c r="AE829" s="2">
        <f t="shared" si="127"/>
        <v>1</v>
      </c>
      <c r="AF829" t="s">
        <v>1293</v>
      </c>
      <c r="AG829" s="2">
        <f t="shared" si="128"/>
        <v>3</v>
      </c>
      <c r="AH829" s="2">
        <f t="shared" si="129"/>
        <v>0</v>
      </c>
      <c r="AI829" s="3">
        <v>174.99999999417921</v>
      </c>
      <c r="AJ829" s="2">
        <v>0</v>
      </c>
      <c r="AK829">
        <v>0</v>
      </c>
      <c r="AL829">
        <v>2</v>
      </c>
      <c r="AM829">
        <v>0</v>
      </c>
      <c r="AN829" s="2">
        <f>IF((2*G829+M829-O829+3*V829+2*AB829+2*AE829+2*AH829+3*AJ829)&gt;=7,1,0)</f>
        <v>0</v>
      </c>
    </row>
    <row r="830" spans="1:40" x14ac:dyDescent="0.25">
      <c r="A830" t="s">
        <v>27</v>
      </c>
      <c r="B830" s="1">
        <v>39516</v>
      </c>
      <c r="C830" s="6">
        <f t="shared" si="120"/>
        <v>2008</v>
      </c>
      <c r="D830">
        <v>62.7</v>
      </c>
      <c r="E830">
        <v>44.7</v>
      </c>
      <c r="F830">
        <v>53.9</v>
      </c>
      <c r="G830" s="2">
        <f t="shared" si="121"/>
        <v>0</v>
      </c>
      <c r="H830">
        <v>62.7</v>
      </c>
      <c r="I830">
        <v>40.299999999999997</v>
      </c>
      <c r="J830">
        <v>52.7</v>
      </c>
      <c r="K830">
        <v>44.4</v>
      </c>
      <c r="L830">
        <v>70.900000000000006</v>
      </c>
      <c r="M830" s="2">
        <f t="shared" si="122"/>
        <v>0</v>
      </c>
      <c r="N830">
        <v>0</v>
      </c>
      <c r="O830" s="2">
        <f t="shared" si="123"/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s="2">
        <f t="shared" si="124"/>
        <v>0</v>
      </c>
      <c r="W830">
        <v>10.3</v>
      </c>
      <c r="X830" s="2">
        <f t="shared" si="125"/>
        <v>0</v>
      </c>
      <c r="Y830">
        <v>180.9</v>
      </c>
      <c r="Z830" s="2" t="str">
        <f>CHOOSE(MATCH(Y830,{0;11;80;111;161;191;241;281;341},1),"North","NorthEast","East","SouthEast","South","SouthWest","West","NorthWest","North")</f>
        <v>South</v>
      </c>
      <c r="AA830" s="4">
        <f>CHOOSE(MATCH(Z830,{"South";"SouthEast";"SouthWest";"North";"NorthEast";"East";"West";"NorthWest"},0),1,2,3,4,5,6,7,8)</f>
        <v>1</v>
      </c>
      <c r="AB830" s="2">
        <f t="shared" si="126"/>
        <v>0</v>
      </c>
      <c r="AC830">
        <v>1014.9</v>
      </c>
      <c r="AD830" t="s">
        <v>590</v>
      </c>
      <c r="AE830" s="2">
        <f t="shared" si="127"/>
        <v>0</v>
      </c>
      <c r="AF830" t="s">
        <v>1294</v>
      </c>
      <c r="AG830" s="2">
        <f t="shared" si="128"/>
        <v>3</v>
      </c>
      <c r="AH830" s="2">
        <f t="shared" si="129"/>
        <v>0</v>
      </c>
      <c r="AI830" s="3">
        <v>300.00000000349252</v>
      </c>
      <c r="AJ830" s="2">
        <v>0</v>
      </c>
      <c r="AK830">
        <v>0</v>
      </c>
      <c r="AL830">
        <v>10</v>
      </c>
      <c r="AM830">
        <v>0</v>
      </c>
      <c r="AN830" s="2">
        <f>IF((2*G830+M830-O830+3*V830+2*AB830+2*AE830+2*AH830+3*AJ830)&gt;=7,1,0)</f>
        <v>0</v>
      </c>
    </row>
    <row r="831" spans="1:40" x14ac:dyDescent="0.25">
      <c r="A831" t="s">
        <v>27</v>
      </c>
      <c r="B831" s="1">
        <v>39517</v>
      </c>
      <c r="C831" s="6">
        <f t="shared" si="120"/>
        <v>2008</v>
      </c>
      <c r="D831">
        <v>64.5</v>
      </c>
      <c r="E831">
        <v>48.3</v>
      </c>
      <c r="F831">
        <v>55.7</v>
      </c>
      <c r="G831" s="2">
        <f t="shared" si="121"/>
        <v>0</v>
      </c>
      <c r="H831">
        <v>64.5</v>
      </c>
      <c r="I831">
        <v>43.5</v>
      </c>
      <c r="J831">
        <v>55.1</v>
      </c>
      <c r="K831">
        <v>45.8</v>
      </c>
      <c r="L831">
        <v>69.900000000000006</v>
      </c>
      <c r="M831" s="2">
        <f t="shared" si="122"/>
        <v>0</v>
      </c>
      <c r="N831">
        <v>0</v>
      </c>
      <c r="O831" s="2">
        <f t="shared" si="123"/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s="2">
        <f t="shared" si="124"/>
        <v>0</v>
      </c>
      <c r="W831">
        <v>13.9</v>
      </c>
      <c r="X831" s="2">
        <f t="shared" si="125"/>
        <v>0</v>
      </c>
      <c r="Y831">
        <v>237.6</v>
      </c>
      <c r="Z831" s="2" t="str">
        <f>CHOOSE(MATCH(Y831,{0;11;80;111;161;191;241;281;341},1),"North","NorthEast","East","SouthEast","South","SouthWest","West","NorthWest","North")</f>
        <v>SouthWest</v>
      </c>
      <c r="AA831" s="4">
        <f>CHOOSE(MATCH(Z831,{"South";"SouthEast";"SouthWest";"North";"NorthEast";"East";"West";"NorthWest"},0),1,2,3,4,5,6,7,8)</f>
        <v>3</v>
      </c>
      <c r="AB831" s="2">
        <f t="shared" si="126"/>
        <v>0</v>
      </c>
      <c r="AC831">
        <v>1015.3</v>
      </c>
      <c r="AD831" t="s">
        <v>465</v>
      </c>
      <c r="AE831" s="2">
        <f t="shared" si="127"/>
        <v>1</v>
      </c>
      <c r="AF831" t="s">
        <v>1295</v>
      </c>
      <c r="AG831" s="2">
        <f t="shared" si="128"/>
        <v>3</v>
      </c>
      <c r="AH831" s="2">
        <f t="shared" si="129"/>
        <v>0</v>
      </c>
      <c r="AI831" s="3">
        <v>365.00000000582082</v>
      </c>
      <c r="AJ831" s="2">
        <v>1</v>
      </c>
      <c r="AK831">
        <v>0</v>
      </c>
      <c r="AL831">
        <v>2</v>
      </c>
      <c r="AM831">
        <v>0</v>
      </c>
      <c r="AN831" s="2">
        <f>IF((2*G831+M831-O831+3*V831+2*AB831+2*AE831+2*AH831+3*AJ831)&gt;=7,1,0)</f>
        <v>0</v>
      </c>
    </row>
    <row r="832" spans="1:40" x14ac:dyDescent="0.25">
      <c r="A832" t="s">
        <v>27</v>
      </c>
      <c r="B832" s="1">
        <v>39517</v>
      </c>
      <c r="C832" s="6">
        <f t="shared" si="120"/>
        <v>2008</v>
      </c>
      <c r="D832">
        <v>64.5</v>
      </c>
      <c r="E832">
        <v>48.3</v>
      </c>
      <c r="F832">
        <v>55.7</v>
      </c>
      <c r="G832" s="2">
        <f t="shared" si="121"/>
        <v>0</v>
      </c>
      <c r="H832">
        <v>64.5</v>
      </c>
      <c r="I832">
        <v>43.5</v>
      </c>
      <c r="J832">
        <v>55.1</v>
      </c>
      <c r="K832">
        <v>45.8</v>
      </c>
      <c r="L832">
        <v>69.900000000000006</v>
      </c>
      <c r="M832" s="2">
        <f t="shared" si="122"/>
        <v>0</v>
      </c>
      <c r="N832">
        <v>0</v>
      </c>
      <c r="O832" s="2">
        <f t="shared" si="123"/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s="2">
        <f t="shared" si="124"/>
        <v>0</v>
      </c>
      <c r="W832">
        <v>13.9</v>
      </c>
      <c r="X832" s="2">
        <f t="shared" si="125"/>
        <v>0</v>
      </c>
      <c r="Y832">
        <v>237.6</v>
      </c>
      <c r="Z832" s="2" t="str">
        <f>CHOOSE(MATCH(Y832,{0;11;80;111;161;191;241;281;341},1),"North","NorthEast","East","SouthEast","South","SouthWest","West","NorthWest","North")</f>
        <v>SouthWest</v>
      </c>
      <c r="AA832" s="4">
        <f>CHOOSE(MATCH(Z832,{"South";"SouthEast";"SouthWest";"North";"NorthEast";"East";"West";"NorthWest"},0),1,2,3,4,5,6,7,8)</f>
        <v>3</v>
      </c>
      <c r="AB832" s="2">
        <f t="shared" si="126"/>
        <v>0</v>
      </c>
      <c r="AC832">
        <v>1015.3</v>
      </c>
      <c r="AD832" t="s">
        <v>400</v>
      </c>
      <c r="AE832" s="2">
        <f t="shared" si="127"/>
        <v>1</v>
      </c>
      <c r="AF832" t="s">
        <v>1296</v>
      </c>
      <c r="AG832" s="2">
        <f t="shared" si="128"/>
        <v>3</v>
      </c>
      <c r="AH832" s="2">
        <f t="shared" si="129"/>
        <v>0</v>
      </c>
      <c r="AI832" s="3">
        <v>274.99999999534339</v>
      </c>
      <c r="AJ832" s="2">
        <v>0</v>
      </c>
      <c r="AK832">
        <v>0</v>
      </c>
      <c r="AL832">
        <v>5</v>
      </c>
      <c r="AM832">
        <v>0</v>
      </c>
      <c r="AN832" s="2">
        <f>IF((2*G832+M832-O832+3*V832+2*AB832+2*AE832+2*AH832+3*AJ832)&gt;=7,1,0)</f>
        <v>0</v>
      </c>
    </row>
    <row r="833" spans="1:40" x14ac:dyDescent="0.25">
      <c r="A833" t="s">
        <v>27</v>
      </c>
      <c r="B833" s="1">
        <v>39518</v>
      </c>
      <c r="C833" s="6">
        <f t="shared" si="120"/>
        <v>2008</v>
      </c>
      <c r="D833">
        <v>68.099999999999994</v>
      </c>
      <c r="E833">
        <v>48.3</v>
      </c>
      <c r="F833">
        <v>58.2</v>
      </c>
      <c r="G833" s="2">
        <f t="shared" si="121"/>
        <v>0</v>
      </c>
      <c r="H833">
        <v>68.099999999999994</v>
      </c>
      <c r="I833">
        <v>44.2</v>
      </c>
      <c r="J833">
        <v>57.9</v>
      </c>
      <c r="K833">
        <v>45.9</v>
      </c>
      <c r="L833">
        <v>65.900000000000006</v>
      </c>
      <c r="M833" s="2">
        <f t="shared" si="122"/>
        <v>1</v>
      </c>
      <c r="N833">
        <v>0</v>
      </c>
      <c r="O833" s="2">
        <f t="shared" si="123"/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s="2">
        <f t="shared" si="124"/>
        <v>0</v>
      </c>
      <c r="W833">
        <v>18.3</v>
      </c>
      <c r="X833" s="2">
        <f t="shared" si="125"/>
        <v>1</v>
      </c>
      <c r="Y833">
        <v>185.7</v>
      </c>
      <c r="Z833" s="2" t="str">
        <f>CHOOSE(MATCH(Y833,{0;11;80;111;161;191;241;281;341},1),"North","NorthEast","East","SouthEast","South","SouthWest","West","NorthWest","North")</f>
        <v>South</v>
      </c>
      <c r="AA833" s="4">
        <f>CHOOSE(MATCH(Z833,{"South";"SouthEast";"SouthWest";"North";"NorthEast";"East";"West";"NorthWest"},0),1,2,3,4,5,6,7,8)</f>
        <v>1</v>
      </c>
      <c r="AB833" s="2">
        <f t="shared" si="126"/>
        <v>0</v>
      </c>
      <c r="AC833">
        <v>1013.7</v>
      </c>
      <c r="AD833" t="s">
        <v>305</v>
      </c>
      <c r="AE833" s="2">
        <f t="shared" si="127"/>
        <v>1</v>
      </c>
      <c r="AF833" t="s">
        <v>1297</v>
      </c>
      <c r="AG833" s="2">
        <f t="shared" si="128"/>
        <v>3</v>
      </c>
      <c r="AH833" s="2">
        <f t="shared" si="129"/>
        <v>0</v>
      </c>
      <c r="AI833" s="3">
        <v>235.00000000116421</v>
      </c>
      <c r="AJ833" s="2">
        <v>0</v>
      </c>
      <c r="AK833">
        <v>0</v>
      </c>
      <c r="AL833">
        <v>5</v>
      </c>
      <c r="AM833">
        <v>0</v>
      </c>
      <c r="AN833" s="2">
        <f>IF((2*G833+M833-O833+3*V833+2*AB833+2*AE833+2*AH833+3*AJ833)&gt;=7,1,0)</f>
        <v>0</v>
      </c>
    </row>
    <row r="834" spans="1:40" x14ac:dyDescent="0.25">
      <c r="A834" t="s">
        <v>27</v>
      </c>
      <c r="B834" s="1">
        <v>39518</v>
      </c>
      <c r="C834" s="6">
        <f t="shared" si="120"/>
        <v>2008</v>
      </c>
      <c r="D834">
        <v>68.099999999999994</v>
      </c>
      <c r="E834">
        <v>48.3</v>
      </c>
      <c r="F834">
        <v>58.2</v>
      </c>
      <c r="G834" s="2">
        <f t="shared" si="121"/>
        <v>0</v>
      </c>
      <c r="H834">
        <v>68.099999999999994</v>
      </c>
      <c r="I834">
        <v>44.2</v>
      </c>
      <c r="J834">
        <v>57.9</v>
      </c>
      <c r="K834">
        <v>45.9</v>
      </c>
      <c r="L834">
        <v>65.900000000000006</v>
      </c>
      <c r="M834" s="2">
        <f t="shared" si="122"/>
        <v>1</v>
      </c>
      <c r="N834">
        <v>0</v>
      </c>
      <c r="O834" s="2">
        <f t="shared" si="123"/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s="2">
        <f t="shared" si="124"/>
        <v>0</v>
      </c>
      <c r="W834">
        <v>18.3</v>
      </c>
      <c r="X834" s="2">
        <f t="shared" si="125"/>
        <v>1</v>
      </c>
      <c r="Y834">
        <v>185.7</v>
      </c>
      <c r="Z834" s="2" t="str">
        <f>CHOOSE(MATCH(Y834,{0;11;80;111;161;191;241;281;341},1),"North","NorthEast","East","SouthEast","South","SouthWest","West","NorthWest","North")</f>
        <v>South</v>
      </c>
      <c r="AA834" s="4">
        <f>CHOOSE(MATCH(Z834,{"South";"SouthEast";"SouthWest";"North";"NorthEast";"East";"West";"NorthWest"},0),1,2,3,4,5,6,7,8)</f>
        <v>1</v>
      </c>
      <c r="AB834" s="2">
        <f t="shared" si="126"/>
        <v>0</v>
      </c>
      <c r="AC834">
        <v>1013.7</v>
      </c>
      <c r="AD834" t="s">
        <v>129</v>
      </c>
      <c r="AE834" s="2">
        <f t="shared" si="127"/>
        <v>1</v>
      </c>
      <c r="AF834" t="s">
        <v>1298</v>
      </c>
      <c r="AG834" s="2">
        <f t="shared" si="128"/>
        <v>3</v>
      </c>
      <c r="AH834" s="2">
        <f t="shared" si="129"/>
        <v>0</v>
      </c>
      <c r="AI834" s="3">
        <v>155.00000000232831</v>
      </c>
      <c r="AJ834" s="2">
        <v>0</v>
      </c>
      <c r="AK834">
        <v>0</v>
      </c>
      <c r="AL834">
        <v>0.2</v>
      </c>
      <c r="AM834">
        <v>0</v>
      </c>
      <c r="AN834" s="2">
        <f>IF((2*G834+M834-O834+3*V834+2*AB834+2*AE834+2*AH834+3*AJ834)&gt;=7,1,0)</f>
        <v>0</v>
      </c>
    </row>
    <row r="835" spans="1:40" x14ac:dyDescent="0.25">
      <c r="A835" t="s">
        <v>27</v>
      </c>
      <c r="B835" s="1">
        <v>39521</v>
      </c>
      <c r="C835" s="6">
        <f t="shared" ref="C835:C898" si="130">YEAR(B835)</f>
        <v>2008</v>
      </c>
      <c r="D835">
        <v>64.5</v>
      </c>
      <c r="E835">
        <v>50.1</v>
      </c>
      <c r="F835">
        <v>58.1</v>
      </c>
      <c r="G835" s="2">
        <f t="shared" ref="G835:G898" si="131">IF(F835&lt;=70,0,1)</f>
        <v>0</v>
      </c>
      <c r="H835">
        <v>64.5</v>
      </c>
      <c r="I835">
        <v>50.1</v>
      </c>
      <c r="J835">
        <v>58.1</v>
      </c>
      <c r="K835">
        <v>48.1</v>
      </c>
      <c r="L835">
        <v>69.900000000000006</v>
      </c>
      <c r="M835" s="2">
        <f t="shared" ref="M835:M898" si="132">IF(L835&lt;=66,1,0)</f>
        <v>0</v>
      </c>
      <c r="N835">
        <v>0</v>
      </c>
      <c r="O835" s="2">
        <f t="shared" ref="O835:O898" si="133">IF(N835&lt;=0.01,1,0)</f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s="2">
        <f t="shared" ref="V835:V898" si="134">IF(U835&lt;=9,0,1)</f>
        <v>0</v>
      </c>
      <c r="W835">
        <v>13.9</v>
      </c>
      <c r="X835" s="2">
        <f t="shared" ref="X835:X898" si="135">IF(W835&gt;=16,1,0)</f>
        <v>0</v>
      </c>
      <c r="Y835">
        <v>293.2</v>
      </c>
      <c r="Z835" s="2" t="str">
        <f>CHOOSE(MATCH(Y835,{0;11;80;111;161;191;241;281;341},1),"North","NorthEast","East","SouthEast","South","SouthWest","West","NorthWest","North")</f>
        <v>NorthWest</v>
      </c>
      <c r="AA835" s="4">
        <f>CHOOSE(MATCH(Z835,{"South";"SouthEast";"SouthWest";"North";"NorthEast";"East";"West";"NorthWest"},0),1,2,3,4,5,6,7,8)</f>
        <v>8</v>
      </c>
      <c r="AB835" s="2">
        <f t="shared" ref="AB835:AB898" si="136">IF(OR(AA835=4,AA835=5,AA835=8),1,0)</f>
        <v>1</v>
      </c>
      <c r="AC835">
        <v>1015.7</v>
      </c>
      <c r="AD835" t="s">
        <v>619</v>
      </c>
      <c r="AE835" s="2">
        <f t="shared" ref="AE835:AE898" si="137">IF(TIMEVALUE(AD835)&lt;=TIME(12,30,0),0,1)</f>
        <v>0</v>
      </c>
      <c r="AF835" t="s">
        <v>1299</v>
      </c>
      <c r="AG835" s="2">
        <f t="shared" ref="AG835:AG898" si="138">MONTH(AF835)</f>
        <v>3</v>
      </c>
      <c r="AH835" s="2">
        <f t="shared" ref="AH835:AH898" si="139">IF(OR(AG835=6,AG835=7,AG835=8),1,0)</f>
        <v>0</v>
      </c>
      <c r="AI835" s="3">
        <v>165.00000000349249</v>
      </c>
      <c r="AJ835" s="2">
        <v>0</v>
      </c>
      <c r="AK835">
        <v>0</v>
      </c>
      <c r="AL835">
        <v>2</v>
      </c>
      <c r="AM835">
        <v>0</v>
      </c>
      <c r="AN835" s="2">
        <f>IF((2*G835+M835-O835+3*V835+2*AB835+2*AE835+2*AH835+3*AJ835)&gt;=7,1,0)</f>
        <v>0</v>
      </c>
    </row>
    <row r="836" spans="1:40" x14ac:dyDescent="0.25">
      <c r="A836" t="s">
        <v>27</v>
      </c>
      <c r="B836" s="1">
        <v>39522</v>
      </c>
      <c r="C836" s="6">
        <f t="shared" si="130"/>
        <v>2008</v>
      </c>
      <c r="D836">
        <v>71.7</v>
      </c>
      <c r="E836">
        <v>50.1</v>
      </c>
      <c r="F836">
        <v>60.8</v>
      </c>
      <c r="G836" s="2">
        <f t="shared" si="131"/>
        <v>0</v>
      </c>
      <c r="H836">
        <v>71.7</v>
      </c>
      <c r="I836">
        <v>50.1</v>
      </c>
      <c r="J836">
        <v>60.8</v>
      </c>
      <c r="K836">
        <v>49.4</v>
      </c>
      <c r="L836">
        <v>67.7</v>
      </c>
      <c r="M836" s="2">
        <f t="shared" si="132"/>
        <v>0</v>
      </c>
      <c r="N836">
        <v>0</v>
      </c>
      <c r="O836" s="2">
        <f t="shared" si="133"/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s="2">
        <f t="shared" si="134"/>
        <v>0</v>
      </c>
      <c r="W836">
        <v>19.5</v>
      </c>
      <c r="X836" s="2">
        <f t="shared" si="135"/>
        <v>1</v>
      </c>
      <c r="Y836">
        <v>184.3</v>
      </c>
      <c r="Z836" s="2" t="str">
        <f>CHOOSE(MATCH(Y836,{0;11;80;111;161;191;241;281;341},1),"North","NorthEast","East","SouthEast","South","SouthWest","West","NorthWest","North")</f>
        <v>South</v>
      </c>
      <c r="AA836" s="4">
        <f>CHOOSE(MATCH(Z836,{"South";"SouthEast";"SouthWest";"North";"NorthEast";"East";"West";"NorthWest"},0),1,2,3,4,5,6,7,8)</f>
        <v>1</v>
      </c>
      <c r="AB836" s="2">
        <f t="shared" si="136"/>
        <v>0</v>
      </c>
      <c r="AC836">
        <v>1017.8</v>
      </c>
      <c r="AD836" t="s">
        <v>309</v>
      </c>
      <c r="AE836" s="2">
        <f t="shared" si="137"/>
        <v>1</v>
      </c>
      <c r="AF836" t="s">
        <v>1300</v>
      </c>
      <c r="AG836" s="2">
        <f t="shared" si="138"/>
        <v>3</v>
      </c>
      <c r="AH836" s="2">
        <f t="shared" si="139"/>
        <v>0</v>
      </c>
      <c r="AI836" s="3">
        <v>4099.9999999953434</v>
      </c>
      <c r="AJ836" s="2">
        <v>1</v>
      </c>
      <c r="AK836">
        <v>0</v>
      </c>
      <c r="AL836">
        <v>500</v>
      </c>
      <c r="AM836">
        <v>0</v>
      </c>
      <c r="AN836" s="2">
        <f>IF((2*G836+M836-O836+3*V836+2*AB836+2*AE836+2*AH836+3*AJ836)&gt;=7,1,0)</f>
        <v>0</v>
      </c>
    </row>
    <row r="837" spans="1:40" x14ac:dyDescent="0.25">
      <c r="A837" t="s">
        <v>27</v>
      </c>
      <c r="B837" s="1">
        <v>39526</v>
      </c>
      <c r="C837" s="6">
        <f t="shared" si="130"/>
        <v>2008</v>
      </c>
      <c r="D837">
        <v>75.3</v>
      </c>
      <c r="E837">
        <v>53.7</v>
      </c>
      <c r="F837">
        <v>64.900000000000006</v>
      </c>
      <c r="G837" s="2">
        <f t="shared" si="131"/>
        <v>0</v>
      </c>
      <c r="H837">
        <v>75.3</v>
      </c>
      <c r="I837">
        <v>53.7</v>
      </c>
      <c r="J837">
        <v>64.900000000000006</v>
      </c>
      <c r="K837">
        <v>48.1</v>
      </c>
      <c r="L837">
        <v>57.5</v>
      </c>
      <c r="M837" s="2">
        <f t="shared" si="132"/>
        <v>1</v>
      </c>
      <c r="N837">
        <v>0</v>
      </c>
      <c r="O837" s="2">
        <f t="shared" si="133"/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s="2">
        <f t="shared" si="134"/>
        <v>0</v>
      </c>
      <c r="W837">
        <v>24.2</v>
      </c>
      <c r="X837" s="2">
        <f t="shared" si="135"/>
        <v>1</v>
      </c>
      <c r="Y837">
        <v>171.5</v>
      </c>
      <c r="Z837" s="2" t="str">
        <f>CHOOSE(MATCH(Y837,{0;11;80;111;161;191;241;281;341},1),"North","NorthEast","East","SouthEast","South","SouthWest","West","NorthWest","North")</f>
        <v>South</v>
      </c>
      <c r="AA837" s="4">
        <f>CHOOSE(MATCH(Z837,{"South";"SouthEast";"SouthWest";"North";"NorthEast";"East";"West";"NorthWest"},0),1,2,3,4,5,6,7,8)</f>
        <v>1</v>
      </c>
      <c r="AB837" s="2">
        <f t="shared" si="136"/>
        <v>0</v>
      </c>
      <c r="AC837">
        <v>1010.9</v>
      </c>
      <c r="AD837" t="s">
        <v>631</v>
      </c>
      <c r="AE837" s="2">
        <f t="shared" si="137"/>
        <v>1</v>
      </c>
      <c r="AF837" t="s">
        <v>1301</v>
      </c>
      <c r="AG837" s="2">
        <f t="shared" si="138"/>
        <v>3</v>
      </c>
      <c r="AH837" s="2">
        <f t="shared" si="139"/>
        <v>0</v>
      </c>
      <c r="AI837" s="3">
        <v>900</v>
      </c>
      <c r="AJ837" s="2">
        <v>1</v>
      </c>
      <c r="AK837">
        <v>0</v>
      </c>
      <c r="AL837">
        <v>7</v>
      </c>
      <c r="AM837">
        <v>0</v>
      </c>
      <c r="AN837" s="2">
        <f>IF((2*G837+M837-O837+3*V837+2*AB837+2*AE837+2*AH837+3*AJ837)&gt;=7,1,0)</f>
        <v>0</v>
      </c>
    </row>
    <row r="838" spans="1:40" x14ac:dyDescent="0.25">
      <c r="A838" t="s">
        <v>27</v>
      </c>
      <c r="B838" s="1">
        <v>39527</v>
      </c>
      <c r="C838" s="6">
        <f t="shared" si="130"/>
        <v>2008</v>
      </c>
      <c r="D838">
        <v>78.900000000000006</v>
      </c>
      <c r="E838">
        <v>66.3</v>
      </c>
      <c r="F838">
        <v>72.099999999999994</v>
      </c>
      <c r="G838" s="2">
        <f t="shared" si="131"/>
        <v>1</v>
      </c>
      <c r="H838">
        <v>78.900000000000006</v>
      </c>
      <c r="I838">
        <v>66.3</v>
      </c>
      <c r="J838">
        <v>72.099999999999994</v>
      </c>
      <c r="K838">
        <v>46.1</v>
      </c>
      <c r="L838">
        <v>40.4</v>
      </c>
      <c r="M838" s="2">
        <f t="shared" si="132"/>
        <v>1</v>
      </c>
      <c r="N838">
        <v>0</v>
      </c>
      <c r="O838" s="2">
        <f t="shared" si="133"/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s="2">
        <f t="shared" si="134"/>
        <v>0</v>
      </c>
      <c r="W838">
        <v>32.200000000000003</v>
      </c>
      <c r="X838" s="2">
        <f t="shared" si="135"/>
        <v>1</v>
      </c>
      <c r="Y838">
        <v>185.5</v>
      </c>
      <c r="Z838" s="2" t="str">
        <f>CHOOSE(MATCH(Y838,{0;11;80;111;161;191;241;281;341},1),"North","NorthEast","East","SouthEast","South","SouthWest","West","NorthWest","North")</f>
        <v>South</v>
      </c>
      <c r="AA838" s="4">
        <f>CHOOSE(MATCH(Z838,{"South";"SouthEast";"SouthWest";"North";"NorthEast";"East";"West";"NorthWest"},0),1,2,3,4,5,6,7,8)</f>
        <v>1</v>
      </c>
      <c r="AB838" s="2">
        <f t="shared" si="136"/>
        <v>0</v>
      </c>
      <c r="AC838">
        <v>1007.4</v>
      </c>
      <c r="AD838" t="s">
        <v>346</v>
      </c>
      <c r="AE838" s="2">
        <f t="shared" si="137"/>
        <v>1</v>
      </c>
      <c r="AF838" t="s">
        <v>1302</v>
      </c>
      <c r="AG838" s="2">
        <f t="shared" si="138"/>
        <v>3</v>
      </c>
      <c r="AH838" s="2">
        <f t="shared" si="139"/>
        <v>0</v>
      </c>
      <c r="AI838" s="3">
        <v>280.00000000116421</v>
      </c>
      <c r="AJ838" s="2">
        <v>0</v>
      </c>
      <c r="AK838">
        <v>0</v>
      </c>
      <c r="AL838">
        <v>6</v>
      </c>
      <c r="AM838">
        <v>0</v>
      </c>
      <c r="AN838" s="2">
        <f>IF((2*G838+M838-O838+3*V838+2*AB838+2*AE838+2*AH838+3*AJ838)&gt;=7,1,0)</f>
        <v>0</v>
      </c>
    </row>
    <row r="839" spans="1:40" x14ac:dyDescent="0.25">
      <c r="A839" t="s">
        <v>27</v>
      </c>
      <c r="B839" s="1">
        <v>39527</v>
      </c>
      <c r="C839" s="6">
        <f t="shared" si="130"/>
        <v>2008</v>
      </c>
      <c r="D839">
        <v>78.900000000000006</v>
      </c>
      <c r="E839">
        <v>66.3</v>
      </c>
      <c r="F839">
        <v>72.099999999999994</v>
      </c>
      <c r="G839" s="2">
        <f t="shared" si="131"/>
        <v>1</v>
      </c>
      <c r="H839">
        <v>78.900000000000006</v>
      </c>
      <c r="I839">
        <v>66.3</v>
      </c>
      <c r="J839">
        <v>72.099999999999994</v>
      </c>
      <c r="K839">
        <v>46.1</v>
      </c>
      <c r="L839">
        <v>40.4</v>
      </c>
      <c r="M839" s="2">
        <f t="shared" si="132"/>
        <v>1</v>
      </c>
      <c r="N839">
        <v>0</v>
      </c>
      <c r="O839" s="2">
        <f t="shared" si="133"/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s="2">
        <f t="shared" si="134"/>
        <v>0</v>
      </c>
      <c r="W839">
        <v>32.200000000000003</v>
      </c>
      <c r="X839" s="2">
        <f t="shared" si="135"/>
        <v>1</v>
      </c>
      <c r="Y839">
        <v>185.5</v>
      </c>
      <c r="Z839" s="2" t="str">
        <f>CHOOSE(MATCH(Y839,{0;11;80;111;161;191;241;281;341},1),"North","NorthEast","East","SouthEast","South","SouthWest","West","NorthWest","North")</f>
        <v>South</v>
      </c>
      <c r="AA839" s="4">
        <f>CHOOSE(MATCH(Z839,{"South";"SouthEast";"SouthWest";"North";"NorthEast";"East";"West";"NorthWest"},0),1,2,3,4,5,6,7,8)</f>
        <v>1</v>
      </c>
      <c r="AB839" s="2">
        <f t="shared" si="136"/>
        <v>0</v>
      </c>
      <c r="AC839">
        <v>1007.4</v>
      </c>
      <c r="AD839" t="s">
        <v>619</v>
      </c>
      <c r="AE839" s="2">
        <f t="shared" si="137"/>
        <v>0</v>
      </c>
      <c r="AF839" t="s">
        <v>1303</v>
      </c>
      <c r="AG839" s="2">
        <f t="shared" si="138"/>
        <v>3</v>
      </c>
      <c r="AH839" s="2">
        <f t="shared" si="139"/>
        <v>0</v>
      </c>
      <c r="AI839" s="3">
        <v>210.00000000349249</v>
      </c>
      <c r="AJ839" s="2">
        <v>0</v>
      </c>
      <c r="AK839">
        <v>0</v>
      </c>
      <c r="AL839">
        <v>1</v>
      </c>
      <c r="AM839">
        <v>0</v>
      </c>
      <c r="AN839" s="2">
        <f>IF((2*G839+M839-O839+3*V839+2*AB839+2*AE839+2*AH839+3*AJ839)&gt;=7,1,0)</f>
        <v>0</v>
      </c>
    </row>
    <row r="840" spans="1:40" x14ac:dyDescent="0.25">
      <c r="A840" t="s">
        <v>27</v>
      </c>
      <c r="B840" s="1">
        <v>39527</v>
      </c>
      <c r="C840" s="6">
        <f t="shared" si="130"/>
        <v>2008</v>
      </c>
      <c r="D840">
        <v>78.900000000000006</v>
      </c>
      <c r="E840">
        <v>66.3</v>
      </c>
      <c r="F840">
        <v>72.099999999999994</v>
      </c>
      <c r="G840" s="2">
        <f t="shared" si="131"/>
        <v>1</v>
      </c>
      <c r="H840">
        <v>78.900000000000006</v>
      </c>
      <c r="I840">
        <v>66.3</v>
      </c>
      <c r="J840">
        <v>72.099999999999994</v>
      </c>
      <c r="K840">
        <v>46.1</v>
      </c>
      <c r="L840">
        <v>40.4</v>
      </c>
      <c r="M840" s="2">
        <f t="shared" si="132"/>
        <v>1</v>
      </c>
      <c r="N840">
        <v>0</v>
      </c>
      <c r="O840" s="2">
        <f t="shared" si="133"/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s="2">
        <f t="shared" si="134"/>
        <v>0</v>
      </c>
      <c r="W840">
        <v>32.200000000000003</v>
      </c>
      <c r="X840" s="2">
        <f t="shared" si="135"/>
        <v>1</v>
      </c>
      <c r="Y840">
        <v>185.5</v>
      </c>
      <c r="Z840" s="2" t="str">
        <f>CHOOSE(MATCH(Y840,{0;11;80;111;161;191;241;281;341},1),"North","NorthEast","East","SouthEast","South","SouthWest","West","NorthWest","North")</f>
        <v>South</v>
      </c>
      <c r="AA840" s="4">
        <f>CHOOSE(MATCH(Z840,{"South";"SouthEast";"SouthWest";"North";"NorthEast";"East";"West";"NorthWest"},0),1,2,3,4,5,6,7,8)</f>
        <v>1</v>
      </c>
      <c r="AB840" s="2">
        <f t="shared" si="136"/>
        <v>0</v>
      </c>
      <c r="AC840">
        <v>1007.4</v>
      </c>
      <c r="AD840" t="s">
        <v>427</v>
      </c>
      <c r="AE840" s="2">
        <f t="shared" si="137"/>
        <v>1</v>
      </c>
      <c r="AF840" t="s">
        <v>1304</v>
      </c>
      <c r="AG840" s="2">
        <f t="shared" si="138"/>
        <v>3</v>
      </c>
      <c r="AH840" s="2">
        <f t="shared" si="139"/>
        <v>0</v>
      </c>
      <c r="AI840" s="3">
        <v>1010.000000002328</v>
      </c>
      <c r="AJ840" s="2">
        <v>1</v>
      </c>
      <c r="AK840">
        <v>0</v>
      </c>
      <c r="AL840">
        <v>8</v>
      </c>
      <c r="AM840">
        <v>0</v>
      </c>
      <c r="AN840" s="2">
        <f>IF((2*G840+M840-O840+3*V840+2*AB840+2*AE840+2*AH840+3*AJ840)&gt;=7,1,0)</f>
        <v>1</v>
      </c>
    </row>
    <row r="841" spans="1:40" x14ac:dyDescent="0.25">
      <c r="A841" t="s">
        <v>27</v>
      </c>
      <c r="B841" s="1">
        <v>39528</v>
      </c>
      <c r="C841" s="6">
        <f t="shared" si="130"/>
        <v>2008</v>
      </c>
      <c r="D841">
        <v>82.5</v>
      </c>
      <c r="E841">
        <v>60.9</v>
      </c>
      <c r="F841">
        <v>71.5</v>
      </c>
      <c r="G841" s="2">
        <f t="shared" si="131"/>
        <v>1</v>
      </c>
      <c r="H841">
        <v>80.900000000000006</v>
      </c>
      <c r="I841">
        <v>60.9</v>
      </c>
      <c r="J841">
        <v>71.3</v>
      </c>
      <c r="K841">
        <v>51.2</v>
      </c>
      <c r="L841">
        <v>51.6</v>
      </c>
      <c r="M841" s="2">
        <f t="shared" si="132"/>
        <v>1</v>
      </c>
      <c r="N841">
        <v>0</v>
      </c>
      <c r="O841" s="2">
        <f t="shared" si="133"/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s="2">
        <f t="shared" si="134"/>
        <v>0</v>
      </c>
      <c r="W841">
        <v>18.3</v>
      </c>
      <c r="X841" s="2">
        <f t="shared" si="135"/>
        <v>1</v>
      </c>
      <c r="Y841">
        <v>219.6</v>
      </c>
      <c r="Z841" s="2" t="str">
        <f>CHOOSE(MATCH(Y841,{0;11;80;111;161;191;241;281;341},1),"North","NorthEast","East","SouthEast","South","SouthWest","West","NorthWest","North")</f>
        <v>SouthWest</v>
      </c>
      <c r="AA841" s="4">
        <f>CHOOSE(MATCH(Z841,{"South";"SouthEast";"SouthWest";"North";"NorthEast";"East";"West";"NorthWest"},0),1,2,3,4,5,6,7,8)</f>
        <v>3</v>
      </c>
      <c r="AB841" s="2">
        <f t="shared" si="136"/>
        <v>0</v>
      </c>
      <c r="AC841">
        <v>1003.4</v>
      </c>
      <c r="AD841" t="s">
        <v>1305</v>
      </c>
      <c r="AE841" s="2">
        <f t="shared" si="137"/>
        <v>1</v>
      </c>
      <c r="AF841" t="s">
        <v>1306</v>
      </c>
      <c r="AG841" s="2">
        <f t="shared" si="138"/>
        <v>3</v>
      </c>
      <c r="AH841" s="2">
        <f t="shared" si="139"/>
        <v>0</v>
      </c>
      <c r="AI841" s="3">
        <v>91.999999996041879</v>
      </c>
      <c r="AJ841" s="2">
        <v>0</v>
      </c>
      <c r="AK841">
        <v>0</v>
      </c>
      <c r="AL841">
        <v>2</v>
      </c>
      <c r="AM841">
        <v>0</v>
      </c>
      <c r="AN841" s="2">
        <f>IF((2*G841+M841-O841+3*V841+2*AB841+2*AE841+2*AH841+3*AJ841)&gt;=7,1,0)</f>
        <v>0</v>
      </c>
    </row>
    <row r="842" spans="1:40" x14ac:dyDescent="0.25">
      <c r="A842" t="s">
        <v>27</v>
      </c>
      <c r="B842" s="1">
        <v>39529</v>
      </c>
      <c r="C842" s="6">
        <f t="shared" si="130"/>
        <v>2008</v>
      </c>
      <c r="D842">
        <v>64.5</v>
      </c>
      <c r="E842">
        <v>53.7</v>
      </c>
      <c r="F842">
        <v>59.6</v>
      </c>
      <c r="G842" s="2">
        <f t="shared" si="131"/>
        <v>0</v>
      </c>
      <c r="H842">
        <v>64.5</v>
      </c>
      <c r="I842">
        <v>53.7</v>
      </c>
      <c r="J842">
        <v>59.6</v>
      </c>
      <c r="K842">
        <v>53</v>
      </c>
      <c r="L842">
        <v>79</v>
      </c>
      <c r="M842" s="2">
        <f t="shared" si="132"/>
        <v>0</v>
      </c>
      <c r="N842">
        <v>0</v>
      </c>
      <c r="O842" s="2">
        <f t="shared" si="133"/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s="2">
        <f t="shared" si="134"/>
        <v>0</v>
      </c>
      <c r="W842">
        <v>16.100000000000001</v>
      </c>
      <c r="X842" s="2">
        <f t="shared" si="135"/>
        <v>1</v>
      </c>
      <c r="Y842">
        <v>88.9</v>
      </c>
      <c r="Z842" s="2" t="str">
        <f>CHOOSE(MATCH(Y842,{0;11;80;111;161;191;241;281;341},1),"North","NorthEast","East","SouthEast","South","SouthWest","West","NorthWest","North")</f>
        <v>East</v>
      </c>
      <c r="AA842" s="4">
        <f>CHOOSE(MATCH(Z842,{"South";"SouthEast";"SouthWest";"North";"NorthEast";"East";"West";"NorthWest"},0),1,2,3,4,5,6,7,8)</f>
        <v>6</v>
      </c>
      <c r="AB842" s="2">
        <f t="shared" si="136"/>
        <v>0</v>
      </c>
      <c r="AC842">
        <v>1004.6</v>
      </c>
      <c r="AD842" t="s">
        <v>590</v>
      </c>
      <c r="AE842" s="2">
        <f t="shared" si="137"/>
        <v>0</v>
      </c>
      <c r="AF842" t="s">
        <v>1307</v>
      </c>
      <c r="AG842" s="2">
        <f t="shared" si="138"/>
        <v>3</v>
      </c>
      <c r="AH842" s="2">
        <f t="shared" si="139"/>
        <v>0</v>
      </c>
      <c r="AI842" s="3">
        <v>660.00000000349246</v>
      </c>
      <c r="AJ842" s="2">
        <v>1</v>
      </c>
      <c r="AK842">
        <v>0</v>
      </c>
      <c r="AL842">
        <v>3</v>
      </c>
      <c r="AM842">
        <v>0</v>
      </c>
      <c r="AN842" s="2">
        <f>IF((2*G842+M842-O842+3*V842+2*AB842+2*AE842+2*AH842+3*AJ842)&gt;=7,1,0)</f>
        <v>0</v>
      </c>
    </row>
    <row r="843" spans="1:40" x14ac:dyDescent="0.25">
      <c r="A843" t="s">
        <v>27</v>
      </c>
      <c r="B843" s="1">
        <v>39530</v>
      </c>
      <c r="C843" s="6">
        <f t="shared" si="130"/>
        <v>2008</v>
      </c>
      <c r="D843">
        <v>86.1</v>
      </c>
      <c r="E843">
        <v>57.3</v>
      </c>
      <c r="F843">
        <v>71.8</v>
      </c>
      <c r="G843" s="2">
        <f t="shared" si="131"/>
        <v>1</v>
      </c>
      <c r="H843">
        <v>83</v>
      </c>
      <c r="I843">
        <v>57.3</v>
      </c>
      <c r="J843">
        <v>71.400000000000006</v>
      </c>
      <c r="K843">
        <v>50.1</v>
      </c>
      <c r="L843">
        <v>49.6</v>
      </c>
      <c r="M843" s="2">
        <f t="shared" si="132"/>
        <v>1</v>
      </c>
      <c r="N843">
        <v>0</v>
      </c>
      <c r="O843" s="2">
        <f t="shared" si="133"/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 s="2">
        <f t="shared" si="134"/>
        <v>0</v>
      </c>
      <c r="W843">
        <v>30</v>
      </c>
      <c r="X843" s="2">
        <f t="shared" si="135"/>
        <v>1</v>
      </c>
      <c r="Y843">
        <v>195.1</v>
      </c>
      <c r="Z843" s="2" t="str">
        <f>CHOOSE(MATCH(Y843,{0;11;80;111;161;191;241;281;341},1),"North","NorthEast","East","SouthEast","South","SouthWest","West","NorthWest","North")</f>
        <v>SouthWest</v>
      </c>
      <c r="AA843" s="4">
        <f>CHOOSE(MATCH(Z843,{"South";"SouthEast";"SouthWest";"North";"NorthEast";"East";"West";"NorthWest"},0),1,2,3,4,5,6,7,8)</f>
        <v>3</v>
      </c>
      <c r="AB843" s="2">
        <f t="shared" si="136"/>
        <v>0</v>
      </c>
      <c r="AC843">
        <v>1000.6</v>
      </c>
      <c r="AD843" t="s">
        <v>607</v>
      </c>
      <c r="AE843" s="2">
        <f t="shared" si="137"/>
        <v>1</v>
      </c>
      <c r="AF843" t="s">
        <v>1308</v>
      </c>
      <c r="AG843" s="2">
        <f t="shared" si="138"/>
        <v>3</v>
      </c>
      <c r="AH843" s="2">
        <f t="shared" si="139"/>
        <v>0</v>
      </c>
      <c r="AI843" s="3">
        <v>100.0000000011642</v>
      </c>
      <c r="AJ843" s="2">
        <v>0</v>
      </c>
      <c r="AK843">
        <v>0</v>
      </c>
      <c r="AL843">
        <v>0.05</v>
      </c>
      <c r="AM843">
        <v>0</v>
      </c>
      <c r="AN843" s="2">
        <f>IF((2*G843+M843-O843+3*V843+2*AB843+2*AE843+2*AH843+3*AJ843)&gt;=7,1,0)</f>
        <v>0</v>
      </c>
    </row>
    <row r="844" spans="1:40" x14ac:dyDescent="0.25">
      <c r="A844" t="s">
        <v>27</v>
      </c>
      <c r="B844" s="1">
        <v>39532</v>
      </c>
      <c r="C844" s="6">
        <f t="shared" si="130"/>
        <v>2008</v>
      </c>
      <c r="D844">
        <v>64.5</v>
      </c>
      <c r="E844">
        <v>51.9</v>
      </c>
      <c r="F844">
        <v>59.4</v>
      </c>
      <c r="G844" s="2">
        <f t="shared" si="131"/>
        <v>0</v>
      </c>
      <c r="H844">
        <v>64.5</v>
      </c>
      <c r="I844">
        <v>51.9</v>
      </c>
      <c r="J844">
        <v>59.4</v>
      </c>
      <c r="K844">
        <v>44.2</v>
      </c>
      <c r="L844">
        <v>57.3</v>
      </c>
      <c r="M844" s="2">
        <f t="shared" si="132"/>
        <v>1</v>
      </c>
      <c r="N844">
        <v>0</v>
      </c>
      <c r="O844" s="2">
        <f t="shared" si="133"/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 s="2">
        <f t="shared" si="134"/>
        <v>0</v>
      </c>
      <c r="W844">
        <v>34.4</v>
      </c>
      <c r="X844" s="2">
        <f t="shared" si="135"/>
        <v>1</v>
      </c>
      <c r="Y844">
        <v>289.10000000000002</v>
      </c>
      <c r="Z844" s="2" t="str">
        <f>CHOOSE(MATCH(Y844,{0;11;80;111;161;191;241;281;341},1),"North","NorthEast","East","SouthEast","South","SouthWest","West","NorthWest","North")</f>
        <v>NorthWest</v>
      </c>
      <c r="AA844" s="4">
        <f>CHOOSE(MATCH(Z844,{"South";"SouthEast";"SouthWest";"North";"NorthEast";"East";"West";"NorthWest"},0),1,2,3,4,5,6,7,8)</f>
        <v>8</v>
      </c>
      <c r="AB844" s="2">
        <f t="shared" si="136"/>
        <v>1</v>
      </c>
      <c r="AC844">
        <v>1005.9</v>
      </c>
      <c r="AD844" t="s">
        <v>1286</v>
      </c>
      <c r="AE844" s="2">
        <f t="shared" si="137"/>
        <v>1</v>
      </c>
      <c r="AF844" t="s">
        <v>1309</v>
      </c>
      <c r="AG844" s="2">
        <f t="shared" si="138"/>
        <v>3</v>
      </c>
      <c r="AH844" s="2">
        <f t="shared" si="139"/>
        <v>0</v>
      </c>
      <c r="AI844" s="3">
        <v>240.00000000698489</v>
      </c>
      <c r="AJ844" s="2">
        <v>0</v>
      </c>
      <c r="AK844">
        <v>0</v>
      </c>
      <c r="AL844">
        <v>1</v>
      </c>
      <c r="AM844">
        <v>0</v>
      </c>
      <c r="AN844" s="2">
        <f>IF((2*G844+M844-O844+3*V844+2*AB844+2*AE844+2*AH844+3*AJ844)&gt;=7,1,0)</f>
        <v>0</v>
      </c>
    </row>
    <row r="845" spans="1:40" x14ac:dyDescent="0.25">
      <c r="A845" t="s">
        <v>27</v>
      </c>
      <c r="B845" s="1">
        <v>39532</v>
      </c>
      <c r="C845" s="6">
        <f t="shared" si="130"/>
        <v>2008</v>
      </c>
      <c r="D845">
        <v>64.5</v>
      </c>
      <c r="E845">
        <v>51.9</v>
      </c>
      <c r="F845">
        <v>59.4</v>
      </c>
      <c r="G845" s="2">
        <f t="shared" si="131"/>
        <v>0</v>
      </c>
      <c r="H845">
        <v>64.5</v>
      </c>
      <c r="I845">
        <v>51.9</v>
      </c>
      <c r="J845">
        <v>59.4</v>
      </c>
      <c r="K845">
        <v>44.2</v>
      </c>
      <c r="L845">
        <v>57.3</v>
      </c>
      <c r="M845" s="2">
        <f t="shared" si="132"/>
        <v>1</v>
      </c>
      <c r="N845">
        <v>0</v>
      </c>
      <c r="O845" s="2">
        <f t="shared" si="133"/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s="2">
        <f t="shared" si="134"/>
        <v>0</v>
      </c>
      <c r="W845">
        <v>34.4</v>
      </c>
      <c r="X845" s="2">
        <f t="shared" si="135"/>
        <v>1</v>
      </c>
      <c r="Y845">
        <v>289.10000000000002</v>
      </c>
      <c r="Z845" s="2" t="str">
        <f>CHOOSE(MATCH(Y845,{0;11;80;111;161;191;241;281;341},1),"North","NorthEast","East","SouthEast","South","SouthWest","West","NorthWest","North")</f>
        <v>NorthWest</v>
      </c>
      <c r="AA845" s="4">
        <f>CHOOSE(MATCH(Z845,{"South";"SouthEast";"SouthWest";"North";"NorthEast";"East";"West";"NorthWest"},0),1,2,3,4,5,6,7,8)</f>
        <v>8</v>
      </c>
      <c r="AB845" s="2">
        <f t="shared" si="136"/>
        <v>1</v>
      </c>
      <c r="AC845">
        <v>1005.9</v>
      </c>
      <c r="AD845" t="s">
        <v>479</v>
      </c>
      <c r="AE845" s="2">
        <f t="shared" si="137"/>
        <v>0</v>
      </c>
      <c r="AF845" t="s">
        <v>1310</v>
      </c>
      <c r="AG845" s="2">
        <f t="shared" si="138"/>
        <v>3</v>
      </c>
      <c r="AH845" s="2">
        <f t="shared" si="139"/>
        <v>0</v>
      </c>
      <c r="AI845" s="3">
        <v>290.00000000232831</v>
      </c>
      <c r="AJ845" s="2">
        <v>0</v>
      </c>
      <c r="AK845">
        <v>0</v>
      </c>
      <c r="AL845">
        <v>25</v>
      </c>
      <c r="AM845">
        <v>0</v>
      </c>
      <c r="AN845" s="2">
        <f>IF((2*G845+M845-O845+3*V845+2*AB845+2*AE845+2*AH845+3*AJ845)&gt;=7,1,0)</f>
        <v>0</v>
      </c>
    </row>
    <row r="846" spans="1:40" x14ac:dyDescent="0.25">
      <c r="A846" t="s">
        <v>27</v>
      </c>
      <c r="B846" s="1">
        <v>39549</v>
      </c>
      <c r="C846" s="6">
        <f t="shared" si="130"/>
        <v>2008</v>
      </c>
      <c r="D846">
        <v>77.099999999999994</v>
      </c>
      <c r="E846">
        <v>59.1</v>
      </c>
      <c r="F846">
        <v>67.099999999999994</v>
      </c>
      <c r="G846" s="2">
        <f t="shared" si="131"/>
        <v>0</v>
      </c>
      <c r="H846">
        <v>77.099999999999994</v>
      </c>
      <c r="I846">
        <v>59.1</v>
      </c>
      <c r="J846">
        <v>67.099999999999994</v>
      </c>
      <c r="K846">
        <v>56</v>
      </c>
      <c r="L846">
        <v>68.599999999999994</v>
      </c>
      <c r="M846" s="2">
        <f t="shared" si="132"/>
        <v>0</v>
      </c>
      <c r="N846">
        <v>0</v>
      </c>
      <c r="O846" s="2">
        <f t="shared" si="133"/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s="2">
        <f t="shared" si="134"/>
        <v>0</v>
      </c>
      <c r="W846">
        <v>20.8</v>
      </c>
      <c r="X846" s="2">
        <f t="shared" si="135"/>
        <v>1</v>
      </c>
      <c r="Y846">
        <v>170.9</v>
      </c>
      <c r="Z846" s="2" t="str">
        <f>CHOOSE(MATCH(Y846,{0;11;80;111;161;191;241;281;341},1),"North","NorthEast","East","SouthEast","South","SouthWest","West","NorthWest","North")</f>
        <v>South</v>
      </c>
      <c r="AA846" s="4">
        <f>CHOOSE(MATCH(Z846,{"South";"SouthEast";"SouthWest";"North";"NorthEast";"East";"West";"NorthWest"},0),1,2,3,4,5,6,7,8)</f>
        <v>1</v>
      </c>
      <c r="AB846" s="2">
        <f t="shared" si="136"/>
        <v>0</v>
      </c>
      <c r="AC846">
        <v>1014.6</v>
      </c>
      <c r="AD846" t="s">
        <v>1024</v>
      </c>
      <c r="AE846" s="2">
        <f t="shared" si="137"/>
        <v>1</v>
      </c>
      <c r="AF846" t="s">
        <v>1311</v>
      </c>
      <c r="AG846" s="2">
        <f t="shared" si="138"/>
        <v>4</v>
      </c>
      <c r="AH846" s="2">
        <f t="shared" si="139"/>
        <v>0</v>
      </c>
      <c r="AI846" s="3">
        <v>169.99999999883579</v>
      </c>
      <c r="AJ846" s="2">
        <v>0</v>
      </c>
      <c r="AK846">
        <v>0</v>
      </c>
      <c r="AL846">
        <v>0.5</v>
      </c>
      <c r="AM846">
        <v>0</v>
      </c>
      <c r="AN846" s="2">
        <f>IF((2*G846+M846-O846+3*V846+2*AB846+2*AE846+2*AH846+3*AJ846)&gt;=7,1,0)</f>
        <v>0</v>
      </c>
    </row>
    <row r="847" spans="1:40" x14ac:dyDescent="0.25">
      <c r="A847" t="s">
        <v>27</v>
      </c>
      <c r="B847" s="1">
        <v>39550</v>
      </c>
      <c r="C847" s="6">
        <f t="shared" si="130"/>
        <v>2008</v>
      </c>
      <c r="D847">
        <v>89.7</v>
      </c>
      <c r="E847">
        <v>69.900000000000006</v>
      </c>
      <c r="F847">
        <v>77</v>
      </c>
      <c r="G847" s="2">
        <f t="shared" si="131"/>
        <v>1</v>
      </c>
      <c r="H847">
        <v>89</v>
      </c>
      <c r="I847">
        <v>69.900000000000006</v>
      </c>
      <c r="J847">
        <v>77</v>
      </c>
      <c r="K847">
        <v>54.3</v>
      </c>
      <c r="L847">
        <v>46.1</v>
      </c>
      <c r="M847" s="2">
        <f t="shared" si="132"/>
        <v>1</v>
      </c>
      <c r="N847">
        <v>0</v>
      </c>
      <c r="O847" s="2">
        <f t="shared" si="133"/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s="2">
        <f t="shared" si="134"/>
        <v>0</v>
      </c>
      <c r="W847">
        <v>23</v>
      </c>
      <c r="X847" s="2">
        <f t="shared" si="135"/>
        <v>1</v>
      </c>
      <c r="Y847">
        <v>169.5</v>
      </c>
      <c r="Z847" s="2" t="str">
        <f>CHOOSE(MATCH(Y847,{0;11;80;111;161;191;241;281;341},1),"North","NorthEast","East","SouthEast","South","SouthWest","West","NorthWest","North")</f>
        <v>South</v>
      </c>
      <c r="AA847" s="4">
        <f>CHOOSE(MATCH(Z847,{"South";"SouthEast";"SouthWest";"North";"NorthEast";"East";"West";"NorthWest"},0),1,2,3,4,5,6,7,8)</f>
        <v>1</v>
      </c>
      <c r="AB847" s="2">
        <f t="shared" si="136"/>
        <v>0</v>
      </c>
      <c r="AC847">
        <v>1014.6</v>
      </c>
      <c r="AD847" t="s">
        <v>951</v>
      </c>
      <c r="AE847" s="2">
        <f t="shared" si="137"/>
        <v>1</v>
      </c>
      <c r="AF847" t="s">
        <v>1312</v>
      </c>
      <c r="AG847" s="2">
        <f t="shared" si="138"/>
        <v>4</v>
      </c>
      <c r="AH847" s="2">
        <f t="shared" si="139"/>
        <v>0</v>
      </c>
      <c r="AI847" s="3">
        <v>1379.9999999930151</v>
      </c>
      <c r="AJ847" s="2">
        <v>1</v>
      </c>
      <c r="AK847">
        <v>0</v>
      </c>
      <c r="AL847">
        <v>15</v>
      </c>
      <c r="AM847">
        <v>0</v>
      </c>
      <c r="AN847" s="2">
        <f>IF((2*G847+M847-O847+3*V847+2*AB847+2*AE847+2*AH847+3*AJ847)&gt;=7,1,0)</f>
        <v>1</v>
      </c>
    </row>
    <row r="848" spans="1:40" x14ac:dyDescent="0.25">
      <c r="A848" t="s">
        <v>27</v>
      </c>
      <c r="B848" s="1">
        <v>39551</v>
      </c>
      <c r="C848" s="6">
        <f t="shared" si="130"/>
        <v>2008</v>
      </c>
      <c r="D848">
        <v>89.7</v>
      </c>
      <c r="E848">
        <v>69.900000000000006</v>
      </c>
      <c r="F848">
        <v>77.8</v>
      </c>
      <c r="G848" s="2">
        <f t="shared" si="131"/>
        <v>1</v>
      </c>
      <c r="H848">
        <v>86.8</v>
      </c>
      <c r="I848">
        <v>69.900000000000006</v>
      </c>
      <c r="J848">
        <v>77.3</v>
      </c>
      <c r="K848">
        <v>54.7</v>
      </c>
      <c r="L848">
        <v>47.5</v>
      </c>
      <c r="M848" s="2">
        <f t="shared" si="132"/>
        <v>1</v>
      </c>
      <c r="N848">
        <v>0</v>
      </c>
      <c r="O848" s="2">
        <f t="shared" si="133"/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 s="2">
        <f t="shared" si="134"/>
        <v>0</v>
      </c>
      <c r="W848">
        <v>23</v>
      </c>
      <c r="X848" s="2">
        <f t="shared" si="135"/>
        <v>1</v>
      </c>
      <c r="Y848">
        <v>175.1</v>
      </c>
      <c r="Z848" s="2" t="str">
        <f>CHOOSE(MATCH(Y848,{0;11;80;111;161;191;241;281;341},1),"North","NorthEast","East","SouthEast","South","SouthWest","West","NorthWest","North")</f>
        <v>South</v>
      </c>
      <c r="AA848" s="4">
        <f>CHOOSE(MATCH(Z848,{"South";"SouthEast";"SouthWest";"North";"NorthEast";"East";"West";"NorthWest"},0),1,2,3,4,5,6,7,8)</f>
        <v>1</v>
      </c>
      <c r="AB848" s="2">
        <f t="shared" si="136"/>
        <v>0</v>
      </c>
      <c r="AC848">
        <v>1014.9</v>
      </c>
      <c r="AD848" t="s">
        <v>1313</v>
      </c>
      <c r="AE848" s="2">
        <f t="shared" si="137"/>
        <v>0</v>
      </c>
      <c r="AF848" t="s">
        <v>1314</v>
      </c>
      <c r="AG848" s="2">
        <f t="shared" si="138"/>
        <v>4</v>
      </c>
      <c r="AH848" s="2">
        <f t="shared" si="139"/>
        <v>0</v>
      </c>
      <c r="AI848" s="3">
        <v>1550.0000000023281</v>
      </c>
      <c r="AJ848" s="2">
        <v>1</v>
      </c>
      <c r="AK848">
        <v>0</v>
      </c>
      <c r="AL848">
        <v>40</v>
      </c>
      <c r="AM848">
        <v>0</v>
      </c>
      <c r="AN848" s="2">
        <f>IF((2*G848+M848-O848+3*V848+2*AB848+2*AE848+2*AH848+3*AJ848)&gt;=7,1,0)</f>
        <v>0</v>
      </c>
    </row>
    <row r="849" spans="1:40" x14ac:dyDescent="0.25">
      <c r="A849" t="s">
        <v>27</v>
      </c>
      <c r="B849" s="1">
        <v>39553</v>
      </c>
      <c r="C849" s="6">
        <f t="shared" si="130"/>
        <v>2008</v>
      </c>
      <c r="D849">
        <v>73.5</v>
      </c>
      <c r="E849">
        <v>62.7</v>
      </c>
      <c r="F849">
        <v>65.400000000000006</v>
      </c>
      <c r="G849" s="2">
        <f t="shared" si="131"/>
        <v>0</v>
      </c>
      <c r="H849">
        <v>73.5</v>
      </c>
      <c r="I849">
        <v>62.7</v>
      </c>
      <c r="J849">
        <v>65.400000000000006</v>
      </c>
      <c r="K849">
        <v>52.4</v>
      </c>
      <c r="L849">
        <v>64.2</v>
      </c>
      <c r="M849" s="2">
        <f t="shared" si="132"/>
        <v>1</v>
      </c>
      <c r="N849">
        <v>0</v>
      </c>
      <c r="O849" s="2">
        <f t="shared" si="133"/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s="2">
        <f t="shared" si="134"/>
        <v>0</v>
      </c>
      <c r="W849">
        <v>20.8</v>
      </c>
      <c r="X849" s="2">
        <f t="shared" si="135"/>
        <v>1</v>
      </c>
      <c r="Y849">
        <v>304</v>
      </c>
      <c r="Z849" s="2" t="str">
        <f>CHOOSE(MATCH(Y849,{0;11;80;111;161;191;241;281;341},1),"North","NorthEast","East","SouthEast","South","SouthWest","West","NorthWest","North")</f>
        <v>NorthWest</v>
      </c>
      <c r="AA849" s="4">
        <f>CHOOSE(MATCH(Z849,{"South";"SouthEast";"SouthWest";"North";"NorthEast";"East";"West";"NorthWest"},0),1,2,3,4,5,6,7,8)</f>
        <v>8</v>
      </c>
      <c r="AB849" s="2">
        <f t="shared" si="136"/>
        <v>1</v>
      </c>
      <c r="AC849">
        <v>1010.9</v>
      </c>
      <c r="AD849" t="s">
        <v>309</v>
      </c>
      <c r="AE849" s="2">
        <f t="shared" si="137"/>
        <v>1</v>
      </c>
      <c r="AF849" t="s">
        <v>1315</v>
      </c>
      <c r="AG849" s="2">
        <f t="shared" si="138"/>
        <v>4</v>
      </c>
      <c r="AH849" s="2">
        <f t="shared" si="139"/>
        <v>0</v>
      </c>
      <c r="AI849" s="3">
        <v>6124.9999999953434</v>
      </c>
      <c r="AJ849" s="2">
        <v>1</v>
      </c>
      <c r="AK849">
        <v>0</v>
      </c>
      <c r="AL849">
        <v>500</v>
      </c>
      <c r="AM849">
        <v>0</v>
      </c>
      <c r="AN849" s="2">
        <f>IF((2*G849+M849-O849+3*V849+2*AB849+2*AE849+2*AH849+3*AJ849)&gt;=7,1,0)</f>
        <v>1</v>
      </c>
    </row>
    <row r="850" spans="1:40" x14ac:dyDescent="0.25">
      <c r="A850" t="s">
        <v>27</v>
      </c>
      <c r="B850" s="1">
        <v>39555</v>
      </c>
      <c r="C850" s="6">
        <f t="shared" si="130"/>
        <v>2008</v>
      </c>
      <c r="D850">
        <v>64.5</v>
      </c>
      <c r="E850">
        <v>48.3</v>
      </c>
      <c r="F850">
        <v>57.5</v>
      </c>
      <c r="G850" s="2">
        <f t="shared" si="131"/>
        <v>0</v>
      </c>
      <c r="H850">
        <v>64.5</v>
      </c>
      <c r="I850">
        <v>44.7</v>
      </c>
      <c r="J850">
        <v>57.1</v>
      </c>
      <c r="K850">
        <v>47.5</v>
      </c>
      <c r="L850">
        <v>69.3</v>
      </c>
      <c r="M850" s="2">
        <f t="shared" si="132"/>
        <v>0</v>
      </c>
      <c r="N850">
        <v>0</v>
      </c>
      <c r="O850" s="2">
        <f t="shared" si="133"/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 s="2">
        <f t="shared" si="134"/>
        <v>0</v>
      </c>
      <c r="W850">
        <v>13.9</v>
      </c>
      <c r="X850" s="2">
        <f t="shared" si="135"/>
        <v>0</v>
      </c>
      <c r="Y850">
        <v>125.6</v>
      </c>
      <c r="Z850" s="2" t="str">
        <f>CHOOSE(MATCH(Y850,{0;11;80;111;161;191;241;281;341},1),"North","NorthEast","East","SouthEast","South","SouthWest","West","NorthWest","North")</f>
        <v>SouthEast</v>
      </c>
      <c r="AA850" s="4">
        <f>CHOOSE(MATCH(Z850,{"South";"SouthEast";"SouthWest";"North";"NorthEast";"East";"West";"NorthWest"},0),1,2,3,4,5,6,7,8)</f>
        <v>2</v>
      </c>
      <c r="AB850" s="2">
        <f t="shared" si="136"/>
        <v>0</v>
      </c>
      <c r="AC850">
        <v>1018.3</v>
      </c>
      <c r="AD850" t="s">
        <v>251</v>
      </c>
      <c r="AE850" s="2">
        <f t="shared" si="137"/>
        <v>1</v>
      </c>
      <c r="AF850" t="s">
        <v>1316</v>
      </c>
      <c r="AG850" s="2">
        <f t="shared" si="138"/>
        <v>4</v>
      </c>
      <c r="AH850" s="2">
        <f t="shared" si="139"/>
        <v>0</v>
      </c>
      <c r="AI850" s="3">
        <v>389.99999999301508</v>
      </c>
      <c r="AJ850" s="2">
        <v>1</v>
      </c>
      <c r="AK850">
        <v>0</v>
      </c>
      <c r="AL850">
        <v>4</v>
      </c>
      <c r="AM850">
        <v>0</v>
      </c>
      <c r="AN850" s="2">
        <f>IF((2*G850+M850-O850+3*V850+2*AB850+2*AE850+2*AH850+3*AJ850)&gt;=7,1,0)</f>
        <v>0</v>
      </c>
    </row>
    <row r="851" spans="1:40" x14ac:dyDescent="0.25">
      <c r="A851" t="s">
        <v>27</v>
      </c>
      <c r="B851" s="1">
        <v>39557</v>
      </c>
      <c r="C851" s="6">
        <f t="shared" si="130"/>
        <v>2008</v>
      </c>
      <c r="D851">
        <v>69.900000000000006</v>
      </c>
      <c r="E851">
        <v>55.5</v>
      </c>
      <c r="F851">
        <v>62.6</v>
      </c>
      <c r="G851" s="2">
        <f t="shared" si="131"/>
        <v>0</v>
      </c>
      <c r="H851">
        <v>69.900000000000006</v>
      </c>
      <c r="I851">
        <v>55.5</v>
      </c>
      <c r="J851">
        <v>62.6</v>
      </c>
      <c r="K851">
        <v>56.6</v>
      </c>
      <c r="L851">
        <v>81</v>
      </c>
      <c r="M851" s="2">
        <f t="shared" si="132"/>
        <v>0</v>
      </c>
      <c r="N851">
        <v>0</v>
      </c>
      <c r="O851" s="2">
        <f t="shared" si="133"/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 s="2">
        <f t="shared" si="134"/>
        <v>0</v>
      </c>
      <c r="W851">
        <v>10.3</v>
      </c>
      <c r="X851" s="2">
        <f t="shared" si="135"/>
        <v>0</v>
      </c>
      <c r="Y851">
        <v>115.4</v>
      </c>
      <c r="Z851" s="2" t="str">
        <f>CHOOSE(MATCH(Y851,{0;11;80;111;161;191;241;281;341},1),"North","NorthEast","East","SouthEast","South","SouthWest","West","NorthWest","North")</f>
        <v>SouthEast</v>
      </c>
      <c r="AA851" s="4">
        <f>CHOOSE(MATCH(Z851,{"South";"SouthEast";"SouthWest";"North";"NorthEast";"East";"West";"NorthWest"},0),1,2,3,4,5,6,7,8)</f>
        <v>2</v>
      </c>
      <c r="AB851" s="2">
        <f t="shared" si="136"/>
        <v>0</v>
      </c>
      <c r="AC851">
        <v>1013.7</v>
      </c>
      <c r="AD851" t="s">
        <v>1317</v>
      </c>
      <c r="AE851" s="2">
        <f t="shared" si="137"/>
        <v>1</v>
      </c>
      <c r="AF851" t="s">
        <v>1318</v>
      </c>
      <c r="AG851" s="2">
        <f t="shared" si="138"/>
        <v>4</v>
      </c>
      <c r="AH851" s="2">
        <f t="shared" si="139"/>
        <v>0</v>
      </c>
      <c r="AI851" s="3">
        <v>451.99999999604188</v>
      </c>
      <c r="AJ851" s="2">
        <v>1</v>
      </c>
      <c r="AK851">
        <v>0</v>
      </c>
      <c r="AL851">
        <v>20</v>
      </c>
      <c r="AM851">
        <v>0</v>
      </c>
      <c r="AN851" s="2">
        <f>IF((2*G851+M851-O851+3*V851+2*AB851+2*AE851+2*AH851+3*AJ851)&gt;=7,1,0)</f>
        <v>0</v>
      </c>
    </row>
    <row r="852" spans="1:40" x14ac:dyDescent="0.25">
      <c r="A852" t="s">
        <v>27</v>
      </c>
      <c r="B852" s="1">
        <v>39558</v>
      </c>
      <c r="C852" s="6">
        <f t="shared" si="130"/>
        <v>2008</v>
      </c>
      <c r="D852">
        <v>89.7</v>
      </c>
      <c r="E852">
        <v>59.1</v>
      </c>
      <c r="F852">
        <v>78</v>
      </c>
      <c r="G852" s="2">
        <f t="shared" si="131"/>
        <v>1</v>
      </c>
      <c r="H852">
        <v>86.3</v>
      </c>
      <c r="I852">
        <v>59.1</v>
      </c>
      <c r="J852">
        <v>76.7</v>
      </c>
      <c r="K852">
        <v>45.7</v>
      </c>
      <c r="L852">
        <v>36.299999999999997</v>
      </c>
      <c r="M852" s="2">
        <f t="shared" si="132"/>
        <v>1</v>
      </c>
      <c r="N852">
        <v>0</v>
      </c>
      <c r="O852" s="2">
        <f t="shared" si="133"/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 s="2">
        <f t="shared" si="134"/>
        <v>0</v>
      </c>
      <c r="W852">
        <v>34.4</v>
      </c>
      <c r="X852" s="2">
        <f t="shared" si="135"/>
        <v>1</v>
      </c>
      <c r="Y852">
        <v>170.3</v>
      </c>
      <c r="Z852" s="2" t="str">
        <f>CHOOSE(MATCH(Y852,{0;11;80;111;161;191;241;281;341},1),"North","NorthEast","East","SouthEast","South","SouthWest","West","NorthWest","North")</f>
        <v>South</v>
      </c>
      <c r="AA852" s="4">
        <f>CHOOSE(MATCH(Z852,{"South";"SouthEast";"SouthWest";"North";"NorthEast";"East";"West";"NorthWest"},0),1,2,3,4,5,6,7,8)</f>
        <v>1</v>
      </c>
      <c r="AB852" s="2">
        <f t="shared" si="136"/>
        <v>0</v>
      </c>
      <c r="AC852">
        <v>1010</v>
      </c>
      <c r="AD852" t="s">
        <v>229</v>
      </c>
      <c r="AE852" s="2">
        <f t="shared" si="137"/>
        <v>1</v>
      </c>
      <c r="AF852" t="s">
        <v>1319</v>
      </c>
      <c r="AG852" s="2">
        <f t="shared" si="138"/>
        <v>4</v>
      </c>
      <c r="AH852" s="2">
        <f t="shared" si="139"/>
        <v>0</v>
      </c>
      <c r="AI852" s="3">
        <v>0</v>
      </c>
      <c r="AJ852" s="2">
        <v>0</v>
      </c>
      <c r="AK852">
        <v>0</v>
      </c>
      <c r="AL852">
        <v>8</v>
      </c>
      <c r="AM852">
        <v>0</v>
      </c>
      <c r="AN852" s="2">
        <f>IF((2*G852+M852-O852+3*V852+2*AB852+2*AE852+2*AH852+3*AJ852)&gt;=7,1,0)</f>
        <v>0</v>
      </c>
    </row>
    <row r="853" spans="1:40" x14ac:dyDescent="0.25">
      <c r="A853" t="s">
        <v>27</v>
      </c>
      <c r="B853" s="1">
        <v>39558</v>
      </c>
      <c r="C853" s="6">
        <f t="shared" si="130"/>
        <v>2008</v>
      </c>
      <c r="D853">
        <v>89.7</v>
      </c>
      <c r="E853">
        <v>59.1</v>
      </c>
      <c r="F853">
        <v>78</v>
      </c>
      <c r="G853" s="2">
        <f t="shared" si="131"/>
        <v>1</v>
      </c>
      <c r="H853">
        <v>86.3</v>
      </c>
      <c r="I853">
        <v>59.1</v>
      </c>
      <c r="J853">
        <v>76.7</v>
      </c>
      <c r="K853">
        <v>45.7</v>
      </c>
      <c r="L853">
        <v>36.299999999999997</v>
      </c>
      <c r="M853" s="2">
        <f t="shared" si="132"/>
        <v>1</v>
      </c>
      <c r="N853">
        <v>0</v>
      </c>
      <c r="O853" s="2">
        <f t="shared" si="133"/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 s="2">
        <f t="shared" si="134"/>
        <v>0</v>
      </c>
      <c r="W853">
        <v>34.4</v>
      </c>
      <c r="X853" s="2">
        <f t="shared" si="135"/>
        <v>1</v>
      </c>
      <c r="Y853">
        <v>170.3</v>
      </c>
      <c r="Z853" s="2" t="str">
        <f>CHOOSE(MATCH(Y853,{0;11;80;111;161;191;241;281;341},1),"North","NorthEast","East","SouthEast","South","SouthWest","West","NorthWest","North")</f>
        <v>South</v>
      </c>
      <c r="AA853" s="4">
        <f>CHOOSE(MATCH(Z853,{"South";"SouthEast";"SouthWest";"North";"NorthEast";"East";"West";"NorthWest"},0),1,2,3,4,5,6,7,8)</f>
        <v>1</v>
      </c>
      <c r="AB853" s="2">
        <f t="shared" si="136"/>
        <v>0</v>
      </c>
      <c r="AC853">
        <v>1010</v>
      </c>
      <c r="AD853" t="s">
        <v>246</v>
      </c>
      <c r="AE853" s="2">
        <f t="shared" si="137"/>
        <v>1</v>
      </c>
      <c r="AF853" t="s">
        <v>1320</v>
      </c>
      <c r="AG853" s="2">
        <f t="shared" si="138"/>
        <v>4</v>
      </c>
      <c r="AH853" s="2">
        <f t="shared" si="139"/>
        <v>0</v>
      </c>
      <c r="AI853" s="3">
        <v>415.00000000116421</v>
      </c>
      <c r="AJ853" s="2">
        <v>1</v>
      </c>
      <c r="AK853">
        <v>0</v>
      </c>
      <c r="AL853">
        <v>2</v>
      </c>
      <c r="AM853">
        <v>0</v>
      </c>
      <c r="AN853" s="2">
        <f>IF((2*G853+M853-O853+3*V853+2*AB853+2*AE853+2*AH853+3*AJ853)&gt;=7,1,0)</f>
        <v>1</v>
      </c>
    </row>
    <row r="854" spans="1:40" x14ac:dyDescent="0.25">
      <c r="A854" t="s">
        <v>27</v>
      </c>
      <c r="B854" s="1">
        <v>39560</v>
      </c>
      <c r="C854" s="6">
        <f t="shared" si="130"/>
        <v>2008</v>
      </c>
      <c r="D854">
        <v>96.9</v>
      </c>
      <c r="E854">
        <v>66.3</v>
      </c>
      <c r="F854">
        <v>83.6</v>
      </c>
      <c r="G854" s="2">
        <f t="shared" si="131"/>
        <v>1</v>
      </c>
      <c r="H854">
        <v>94</v>
      </c>
      <c r="I854">
        <v>66.3</v>
      </c>
      <c r="J854">
        <v>81.5</v>
      </c>
      <c r="K854">
        <v>48.3</v>
      </c>
      <c r="L854">
        <v>34.4</v>
      </c>
      <c r="M854" s="2">
        <f t="shared" si="132"/>
        <v>1</v>
      </c>
      <c r="N854">
        <v>0</v>
      </c>
      <c r="O854" s="2">
        <f t="shared" si="133"/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s="2">
        <f t="shared" si="134"/>
        <v>0</v>
      </c>
      <c r="W854">
        <v>24.2</v>
      </c>
      <c r="X854" s="2">
        <f t="shared" si="135"/>
        <v>1</v>
      </c>
      <c r="Y854">
        <v>188.9</v>
      </c>
      <c r="Z854" s="2" t="str">
        <f>CHOOSE(MATCH(Y854,{0;11;80;111;161;191;241;281;341},1),"North","NorthEast","East","SouthEast","South","SouthWest","West","NorthWest","North")</f>
        <v>South</v>
      </c>
      <c r="AA854" s="4">
        <f>CHOOSE(MATCH(Z854,{"South";"SouthEast";"SouthWest";"North";"NorthEast";"East";"West";"NorthWest"},0),1,2,3,4,5,6,7,8)</f>
        <v>1</v>
      </c>
      <c r="AB854" s="2">
        <f t="shared" si="136"/>
        <v>0</v>
      </c>
      <c r="AC854">
        <v>1008.2</v>
      </c>
      <c r="AD854" t="s">
        <v>930</v>
      </c>
      <c r="AE854" s="2">
        <f t="shared" si="137"/>
        <v>1</v>
      </c>
      <c r="AF854" t="s">
        <v>1321</v>
      </c>
      <c r="AG854" s="2">
        <f t="shared" si="138"/>
        <v>4</v>
      </c>
      <c r="AH854" s="2">
        <f t="shared" si="139"/>
        <v>0</v>
      </c>
      <c r="AI854" s="3">
        <v>300.00000000349252</v>
      </c>
      <c r="AJ854" s="2">
        <v>0</v>
      </c>
      <c r="AK854">
        <v>0</v>
      </c>
      <c r="AL854">
        <v>1</v>
      </c>
      <c r="AM854">
        <v>0</v>
      </c>
      <c r="AN854" s="2">
        <f>IF((2*G854+M854-O854+3*V854+2*AB854+2*AE854+2*AH854+3*AJ854)&gt;=7,1,0)</f>
        <v>0</v>
      </c>
    </row>
    <row r="855" spans="1:40" x14ac:dyDescent="0.25">
      <c r="A855" t="s">
        <v>27</v>
      </c>
      <c r="B855" s="1">
        <v>39562</v>
      </c>
      <c r="C855" s="6">
        <f t="shared" si="130"/>
        <v>2008</v>
      </c>
      <c r="D855">
        <v>68.099999999999994</v>
      </c>
      <c r="E855">
        <v>53.7</v>
      </c>
      <c r="F855">
        <v>61.8</v>
      </c>
      <c r="G855" s="2">
        <f t="shared" si="131"/>
        <v>0</v>
      </c>
      <c r="H855">
        <v>68.099999999999994</v>
      </c>
      <c r="I855">
        <v>53.7</v>
      </c>
      <c r="J855">
        <v>61.8</v>
      </c>
      <c r="K855">
        <v>52.8</v>
      </c>
      <c r="L855">
        <v>72.900000000000006</v>
      </c>
      <c r="M855" s="2">
        <f t="shared" si="132"/>
        <v>0</v>
      </c>
      <c r="N855">
        <v>0</v>
      </c>
      <c r="O855" s="2">
        <f t="shared" si="133"/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 s="2">
        <f t="shared" si="134"/>
        <v>0</v>
      </c>
      <c r="W855">
        <v>24.2</v>
      </c>
      <c r="X855" s="2">
        <f t="shared" si="135"/>
        <v>1</v>
      </c>
      <c r="Y855">
        <v>294.8</v>
      </c>
      <c r="Z855" s="2" t="str">
        <f>CHOOSE(MATCH(Y855,{0;11;80;111;161;191;241;281;341},1),"North","NorthEast","East","SouthEast","South","SouthWest","West","NorthWest","North")</f>
        <v>NorthWest</v>
      </c>
      <c r="AA855" s="4">
        <f>CHOOSE(MATCH(Z855,{"South";"SouthEast";"SouthWest";"North";"NorthEast";"East";"West";"NorthWest"},0),1,2,3,4,5,6,7,8)</f>
        <v>8</v>
      </c>
      <c r="AB855" s="2">
        <f t="shared" si="136"/>
        <v>1</v>
      </c>
      <c r="AC855">
        <v>1013.9</v>
      </c>
      <c r="AD855" t="s">
        <v>429</v>
      </c>
      <c r="AE855" s="2">
        <f t="shared" si="137"/>
        <v>1</v>
      </c>
      <c r="AF855" t="s">
        <v>1322</v>
      </c>
      <c r="AG855" s="2">
        <f t="shared" si="138"/>
        <v>4</v>
      </c>
      <c r="AH855" s="2">
        <f t="shared" si="139"/>
        <v>0</v>
      </c>
      <c r="AI855" s="3">
        <v>284.99999999650748</v>
      </c>
      <c r="AJ855" s="2">
        <v>0</v>
      </c>
      <c r="AK855">
        <v>0</v>
      </c>
      <c r="AL855">
        <v>1</v>
      </c>
      <c r="AM855">
        <v>0</v>
      </c>
      <c r="AN855" s="2">
        <f>IF((2*G855+M855-O855+3*V855+2*AB855+2*AE855+2*AH855+3*AJ855)&gt;=7,1,0)</f>
        <v>0</v>
      </c>
    </row>
    <row r="856" spans="1:40" x14ac:dyDescent="0.25">
      <c r="A856" t="s">
        <v>27</v>
      </c>
      <c r="B856" s="1">
        <v>39562</v>
      </c>
      <c r="C856" s="6">
        <f t="shared" si="130"/>
        <v>2008</v>
      </c>
      <c r="D856">
        <v>68.099999999999994</v>
      </c>
      <c r="E856">
        <v>53.7</v>
      </c>
      <c r="F856">
        <v>61.8</v>
      </c>
      <c r="G856" s="2">
        <f t="shared" si="131"/>
        <v>0</v>
      </c>
      <c r="H856">
        <v>68.099999999999994</v>
      </c>
      <c r="I856">
        <v>53.7</v>
      </c>
      <c r="J856">
        <v>61.8</v>
      </c>
      <c r="K856">
        <v>52.8</v>
      </c>
      <c r="L856">
        <v>72.900000000000006</v>
      </c>
      <c r="M856" s="2">
        <f t="shared" si="132"/>
        <v>0</v>
      </c>
      <c r="N856">
        <v>0</v>
      </c>
      <c r="O856" s="2">
        <f t="shared" si="133"/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 s="2">
        <f t="shared" si="134"/>
        <v>0</v>
      </c>
      <c r="W856">
        <v>24.2</v>
      </c>
      <c r="X856" s="2">
        <f t="shared" si="135"/>
        <v>1</v>
      </c>
      <c r="Y856">
        <v>294.8</v>
      </c>
      <c r="Z856" s="2" t="str">
        <f>CHOOSE(MATCH(Y856,{0;11;80;111;161;191;241;281;341},1),"North","NorthEast","East","SouthEast","South","SouthWest","West","NorthWest","North")</f>
        <v>NorthWest</v>
      </c>
      <c r="AA856" s="4">
        <f>CHOOSE(MATCH(Z856,{"South";"SouthEast";"SouthWest";"North";"NorthEast";"East";"West";"NorthWest"},0),1,2,3,4,5,6,7,8)</f>
        <v>8</v>
      </c>
      <c r="AB856" s="2">
        <f t="shared" si="136"/>
        <v>1</v>
      </c>
      <c r="AC856">
        <v>1013.9</v>
      </c>
      <c r="AD856" t="s">
        <v>320</v>
      </c>
      <c r="AE856" s="2">
        <f t="shared" si="137"/>
        <v>0</v>
      </c>
      <c r="AF856" t="s">
        <v>1323</v>
      </c>
      <c r="AG856" s="2">
        <f t="shared" si="138"/>
        <v>4</v>
      </c>
      <c r="AH856" s="2">
        <f t="shared" si="139"/>
        <v>0</v>
      </c>
      <c r="AI856" s="3">
        <v>59.99999999650754</v>
      </c>
      <c r="AJ856" s="2">
        <v>0</v>
      </c>
      <c r="AK856">
        <v>0.1</v>
      </c>
      <c r="AL856">
        <v>0</v>
      </c>
      <c r="AM856">
        <v>0</v>
      </c>
      <c r="AN856" s="2">
        <f>IF((2*G856+M856-O856+3*V856+2*AB856+2*AE856+2*AH856+3*AJ856)&gt;=7,1,0)</f>
        <v>0</v>
      </c>
    </row>
    <row r="857" spans="1:40" x14ac:dyDescent="0.25">
      <c r="A857" t="s">
        <v>27</v>
      </c>
      <c r="B857" s="1">
        <v>39574</v>
      </c>
      <c r="C857" s="6">
        <f t="shared" si="130"/>
        <v>2008</v>
      </c>
      <c r="D857">
        <v>68.099999999999994</v>
      </c>
      <c r="E857">
        <v>59.1</v>
      </c>
      <c r="F857">
        <v>63.4</v>
      </c>
      <c r="G857" s="2">
        <f t="shared" si="131"/>
        <v>0</v>
      </c>
      <c r="H857">
        <v>68.099999999999994</v>
      </c>
      <c r="I857">
        <v>59.1</v>
      </c>
      <c r="J857">
        <v>63.4</v>
      </c>
      <c r="K857">
        <v>54.5</v>
      </c>
      <c r="L857">
        <v>72.900000000000006</v>
      </c>
      <c r="M857" s="2">
        <f t="shared" si="132"/>
        <v>0</v>
      </c>
      <c r="N857">
        <v>0</v>
      </c>
      <c r="O857" s="2">
        <f t="shared" si="133"/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 s="2">
        <f t="shared" si="134"/>
        <v>0</v>
      </c>
      <c r="W857">
        <v>13.9</v>
      </c>
      <c r="X857" s="2">
        <f t="shared" si="135"/>
        <v>0</v>
      </c>
      <c r="Y857">
        <v>316.8</v>
      </c>
      <c r="Z857" s="2" t="str">
        <f>CHOOSE(MATCH(Y857,{0;11;80;111;161;191;241;281;341},1),"North","NorthEast","East","SouthEast","South","SouthWest","West","NorthWest","North")</f>
        <v>NorthWest</v>
      </c>
      <c r="AA857" s="4">
        <f>CHOOSE(MATCH(Z857,{"South";"SouthEast";"SouthWest";"North";"NorthEast";"East";"West";"NorthWest"},0),1,2,3,4,5,6,7,8)</f>
        <v>8</v>
      </c>
      <c r="AB857" s="2">
        <f t="shared" si="136"/>
        <v>1</v>
      </c>
      <c r="AC857">
        <v>1016</v>
      </c>
      <c r="AD857" t="s">
        <v>195</v>
      </c>
      <c r="AE857" s="2">
        <f t="shared" si="137"/>
        <v>1</v>
      </c>
      <c r="AF857" t="s">
        <v>1324</v>
      </c>
      <c r="AG857" s="2">
        <f t="shared" si="138"/>
        <v>5</v>
      </c>
      <c r="AH857" s="2">
        <f t="shared" si="139"/>
        <v>0</v>
      </c>
      <c r="AI857" s="3">
        <v>271.00000000325957</v>
      </c>
      <c r="AJ857" s="2">
        <v>0</v>
      </c>
      <c r="AK857">
        <v>0</v>
      </c>
      <c r="AL857">
        <v>0.15</v>
      </c>
      <c r="AM857">
        <v>0</v>
      </c>
      <c r="AN857" s="2">
        <f>IF((2*G857+M857-O857+3*V857+2*AB857+2*AE857+2*AH857+3*AJ857)&gt;=7,1,0)</f>
        <v>0</v>
      </c>
    </row>
    <row r="858" spans="1:40" x14ac:dyDescent="0.25">
      <c r="A858" t="s">
        <v>27</v>
      </c>
      <c r="B858" s="1">
        <v>39575</v>
      </c>
      <c r="C858" s="6">
        <f t="shared" si="130"/>
        <v>2008</v>
      </c>
      <c r="D858">
        <v>68.099999999999994</v>
      </c>
      <c r="E858">
        <v>57.3</v>
      </c>
      <c r="F858">
        <v>63</v>
      </c>
      <c r="G858" s="2">
        <f t="shared" si="131"/>
        <v>0</v>
      </c>
      <c r="H858">
        <v>68.099999999999994</v>
      </c>
      <c r="I858">
        <v>57.3</v>
      </c>
      <c r="J858">
        <v>63</v>
      </c>
      <c r="K858">
        <v>54</v>
      </c>
      <c r="L858">
        <v>72.8</v>
      </c>
      <c r="M858" s="2">
        <f t="shared" si="132"/>
        <v>0</v>
      </c>
      <c r="N858">
        <v>0</v>
      </c>
      <c r="O858" s="2">
        <f t="shared" si="133"/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 s="2">
        <f t="shared" si="134"/>
        <v>0</v>
      </c>
      <c r="W858">
        <v>21.9</v>
      </c>
      <c r="X858" s="2">
        <f t="shared" si="135"/>
        <v>1</v>
      </c>
      <c r="Y858">
        <v>317.60000000000002</v>
      </c>
      <c r="Z858" s="2" t="str">
        <f>CHOOSE(MATCH(Y858,{0;11;80;111;161;191;241;281;341},1),"North","NorthEast","East","SouthEast","South","SouthWest","West","NorthWest","North")</f>
        <v>NorthWest</v>
      </c>
      <c r="AA858" s="4">
        <f>CHOOSE(MATCH(Z858,{"South";"SouthEast";"SouthWest";"North";"NorthEast";"East";"West";"NorthWest"},0),1,2,3,4,5,6,7,8)</f>
        <v>8</v>
      </c>
      <c r="AB858" s="2">
        <f t="shared" si="136"/>
        <v>1</v>
      </c>
      <c r="AC858">
        <v>1011.8</v>
      </c>
      <c r="AD858" t="s">
        <v>251</v>
      </c>
      <c r="AE858" s="2">
        <f t="shared" si="137"/>
        <v>1</v>
      </c>
      <c r="AF858" t="s">
        <v>1325</v>
      </c>
      <c r="AG858" s="2">
        <f t="shared" si="138"/>
        <v>5</v>
      </c>
      <c r="AH858" s="2">
        <f t="shared" si="139"/>
        <v>0</v>
      </c>
      <c r="AI858" s="3">
        <v>419.99999999650748</v>
      </c>
      <c r="AJ858" s="2">
        <v>1</v>
      </c>
      <c r="AK858">
        <v>0</v>
      </c>
      <c r="AL858">
        <v>1.5</v>
      </c>
      <c r="AM858">
        <v>0</v>
      </c>
      <c r="AN858" s="2">
        <f>IF((2*G858+M858-O858+3*V858+2*AB858+2*AE858+2*AH858+3*AJ858)&gt;=7,1,0)</f>
        <v>0</v>
      </c>
    </row>
    <row r="859" spans="1:40" x14ac:dyDescent="0.25">
      <c r="A859" t="s">
        <v>27</v>
      </c>
      <c r="B859" s="1">
        <v>39583</v>
      </c>
      <c r="C859" s="6">
        <f t="shared" si="130"/>
        <v>2008</v>
      </c>
      <c r="D859">
        <v>69.900000000000006</v>
      </c>
      <c r="E859">
        <v>57.3</v>
      </c>
      <c r="F859">
        <v>65</v>
      </c>
      <c r="G859" s="2">
        <f t="shared" si="131"/>
        <v>0</v>
      </c>
      <c r="H859">
        <v>69.900000000000006</v>
      </c>
      <c r="I859">
        <v>57.3</v>
      </c>
      <c r="J859">
        <v>65</v>
      </c>
      <c r="K859">
        <v>57.5</v>
      </c>
      <c r="L859">
        <v>76.900000000000006</v>
      </c>
      <c r="M859" s="2">
        <f t="shared" si="132"/>
        <v>0</v>
      </c>
      <c r="N859">
        <v>0</v>
      </c>
      <c r="O859" s="2">
        <f t="shared" si="133"/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s="2">
        <f t="shared" si="134"/>
        <v>0</v>
      </c>
      <c r="W859">
        <v>13.9</v>
      </c>
      <c r="X859" s="2">
        <f t="shared" si="135"/>
        <v>0</v>
      </c>
      <c r="Y859">
        <v>320.60000000000002</v>
      </c>
      <c r="Z859" s="2" t="str">
        <f>CHOOSE(MATCH(Y859,{0;11;80;111;161;191;241;281;341},1),"North","NorthEast","East","SouthEast","South","SouthWest","West","NorthWest","North")</f>
        <v>NorthWest</v>
      </c>
      <c r="AA859" s="4">
        <f>CHOOSE(MATCH(Z859,{"South";"SouthEast";"SouthWest";"North";"NorthEast";"East";"West";"NorthWest"},0),1,2,3,4,5,6,7,8)</f>
        <v>8</v>
      </c>
      <c r="AB859" s="2">
        <f t="shared" si="136"/>
        <v>1</v>
      </c>
      <c r="AC859">
        <v>1013.2</v>
      </c>
      <c r="AD859" t="s">
        <v>930</v>
      </c>
      <c r="AE859" s="2">
        <f t="shared" si="137"/>
        <v>1</v>
      </c>
      <c r="AF859" t="s">
        <v>1326</v>
      </c>
      <c r="AG859" s="2">
        <f t="shared" si="138"/>
        <v>5</v>
      </c>
      <c r="AH859" s="2">
        <f t="shared" si="139"/>
        <v>0</v>
      </c>
      <c r="AI859" s="3">
        <v>290.00000000232831</v>
      </c>
      <c r="AJ859" s="2">
        <v>0</v>
      </c>
      <c r="AK859">
        <v>0</v>
      </c>
      <c r="AL859">
        <v>10</v>
      </c>
      <c r="AM859">
        <v>0</v>
      </c>
      <c r="AN859" s="2">
        <f>IF((2*G859+M859-O859+3*V859+2*AB859+2*AE859+2*AH859+3*AJ859)&gt;=7,1,0)</f>
        <v>0</v>
      </c>
    </row>
    <row r="860" spans="1:40" x14ac:dyDescent="0.25">
      <c r="A860" t="s">
        <v>27</v>
      </c>
      <c r="B860" s="1">
        <v>39593</v>
      </c>
      <c r="C860" s="6">
        <f t="shared" si="130"/>
        <v>2008</v>
      </c>
      <c r="D860">
        <v>75.3</v>
      </c>
      <c r="E860">
        <v>59.1</v>
      </c>
      <c r="F860">
        <v>67.8</v>
      </c>
      <c r="G860" s="2">
        <f t="shared" si="131"/>
        <v>0</v>
      </c>
      <c r="H860">
        <v>75.3</v>
      </c>
      <c r="I860">
        <v>59.1</v>
      </c>
      <c r="J860">
        <v>67.8</v>
      </c>
      <c r="K860">
        <v>57.8</v>
      </c>
      <c r="L860">
        <v>71</v>
      </c>
      <c r="M860" s="2">
        <f t="shared" si="132"/>
        <v>0</v>
      </c>
      <c r="N860">
        <v>0</v>
      </c>
      <c r="O860" s="2">
        <f t="shared" si="133"/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s="2">
        <f t="shared" si="134"/>
        <v>0</v>
      </c>
      <c r="W860">
        <v>12.8</v>
      </c>
      <c r="X860" s="2">
        <f t="shared" si="135"/>
        <v>0</v>
      </c>
      <c r="Y860">
        <v>227.6</v>
      </c>
      <c r="Z860" s="2" t="str">
        <f>CHOOSE(MATCH(Y860,{0;11;80;111;161;191;241;281;341},1),"North","NorthEast","East","SouthEast","South","SouthWest","West","NorthWest","North")</f>
        <v>SouthWest</v>
      </c>
      <c r="AA860" s="4">
        <f>CHOOSE(MATCH(Z860,{"South";"SouthEast";"SouthWest";"North";"NorthEast";"East";"West";"NorthWest"},0),1,2,3,4,5,6,7,8)</f>
        <v>3</v>
      </c>
      <c r="AB860" s="2">
        <f t="shared" si="136"/>
        <v>0</v>
      </c>
      <c r="AC860">
        <v>1013.9</v>
      </c>
      <c r="AD860" t="s">
        <v>346</v>
      </c>
      <c r="AE860" s="2">
        <f t="shared" si="137"/>
        <v>1</v>
      </c>
      <c r="AF860" t="s">
        <v>1327</v>
      </c>
      <c r="AG860" s="2">
        <f t="shared" si="138"/>
        <v>5</v>
      </c>
      <c r="AH860" s="2">
        <f t="shared" si="139"/>
        <v>0</v>
      </c>
      <c r="AI860" s="3">
        <v>979.99999999883585</v>
      </c>
      <c r="AJ860" s="2">
        <v>1</v>
      </c>
      <c r="AK860">
        <v>0</v>
      </c>
      <c r="AL860">
        <v>10</v>
      </c>
      <c r="AM860">
        <v>0</v>
      </c>
      <c r="AN860" s="2">
        <f>IF((2*G860+M860-O860+3*V860+2*AB860+2*AE860+2*AH860+3*AJ860)&gt;=7,1,0)</f>
        <v>0</v>
      </c>
    </row>
    <row r="861" spans="1:40" x14ac:dyDescent="0.25">
      <c r="A861" t="s">
        <v>27</v>
      </c>
      <c r="B861" s="1">
        <v>39606</v>
      </c>
      <c r="C861" s="6">
        <f t="shared" si="130"/>
        <v>2008</v>
      </c>
      <c r="D861">
        <v>77.099999999999994</v>
      </c>
      <c r="E861">
        <v>62.7</v>
      </c>
      <c r="F861">
        <v>70.900000000000006</v>
      </c>
      <c r="G861" s="2">
        <f t="shared" si="131"/>
        <v>1</v>
      </c>
      <c r="H861">
        <v>77.099999999999994</v>
      </c>
      <c r="I861">
        <v>62.7</v>
      </c>
      <c r="J861">
        <v>70.900000000000006</v>
      </c>
      <c r="K861">
        <v>60.3</v>
      </c>
      <c r="L861">
        <v>70</v>
      </c>
      <c r="M861" s="2">
        <f t="shared" si="132"/>
        <v>0</v>
      </c>
      <c r="N861">
        <v>0</v>
      </c>
      <c r="O861" s="2">
        <f t="shared" si="133"/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s="2">
        <f t="shared" si="134"/>
        <v>0</v>
      </c>
      <c r="W861">
        <v>15</v>
      </c>
      <c r="X861" s="2">
        <f t="shared" si="135"/>
        <v>0</v>
      </c>
      <c r="Y861">
        <v>299.5</v>
      </c>
      <c r="Z861" s="2" t="str">
        <f>CHOOSE(MATCH(Y861,{0;11;80;111;161;191;241;281;341},1),"North","NorthEast","East","SouthEast","South","SouthWest","West","NorthWest","North")</f>
        <v>NorthWest</v>
      </c>
      <c r="AA861" s="4">
        <f>CHOOSE(MATCH(Z861,{"South";"SouthEast";"SouthWest";"North";"NorthEast";"East";"West";"NorthWest"},0),1,2,3,4,5,6,7,8)</f>
        <v>8</v>
      </c>
      <c r="AB861" s="2">
        <f t="shared" si="136"/>
        <v>1</v>
      </c>
      <c r="AC861">
        <v>1010.7</v>
      </c>
      <c r="AD861" t="s">
        <v>1328</v>
      </c>
      <c r="AE861" s="2">
        <f t="shared" si="137"/>
        <v>0</v>
      </c>
      <c r="AF861" t="s">
        <v>1329</v>
      </c>
      <c r="AG861" s="2">
        <f t="shared" si="138"/>
        <v>6</v>
      </c>
      <c r="AH861" s="2">
        <f t="shared" si="139"/>
        <v>1</v>
      </c>
      <c r="AI861" s="3">
        <v>114.99999999767169</v>
      </c>
      <c r="AJ861" s="2">
        <v>0</v>
      </c>
      <c r="AK861">
        <v>0</v>
      </c>
      <c r="AL861">
        <v>0.6</v>
      </c>
      <c r="AM861">
        <v>0</v>
      </c>
      <c r="AN861" s="2">
        <f>IF((2*G861+M861-O861+3*V861+2*AB861+2*AE861+2*AH861+3*AJ861)&gt;=7,1,0)</f>
        <v>0</v>
      </c>
    </row>
    <row r="862" spans="1:40" x14ac:dyDescent="0.25">
      <c r="A862" t="s">
        <v>27</v>
      </c>
      <c r="B862" s="1">
        <v>39618</v>
      </c>
      <c r="C862" s="6">
        <f t="shared" si="130"/>
        <v>2008</v>
      </c>
      <c r="D862">
        <v>91.5</v>
      </c>
      <c r="E862">
        <v>71.7</v>
      </c>
      <c r="F862">
        <v>81</v>
      </c>
      <c r="G862" s="2">
        <f t="shared" si="131"/>
        <v>1</v>
      </c>
      <c r="H862">
        <v>94.5</v>
      </c>
      <c r="I862">
        <v>71.7</v>
      </c>
      <c r="J862">
        <v>82.3</v>
      </c>
      <c r="K862">
        <v>62.9</v>
      </c>
      <c r="L862">
        <v>55.2</v>
      </c>
      <c r="M862" s="2">
        <f t="shared" si="132"/>
        <v>1</v>
      </c>
      <c r="N862">
        <v>0</v>
      </c>
      <c r="O862" s="2">
        <f t="shared" si="133"/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s="2">
        <f t="shared" si="134"/>
        <v>0</v>
      </c>
      <c r="W862">
        <v>8.1</v>
      </c>
      <c r="X862" s="2">
        <f t="shared" si="135"/>
        <v>0</v>
      </c>
      <c r="Y862">
        <v>181.1</v>
      </c>
      <c r="Z862" s="2" t="str">
        <f>CHOOSE(MATCH(Y862,{0;11;80;111;161;191;241;281;341},1),"North","NorthEast","East","SouthEast","South","SouthWest","West","NorthWest","North")</f>
        <v>South</v>
      </c>
      <c r="AA862" s="4">
        <f>CHOOSE(MATCH(Z862,{"South";"SouthEast";"SouthWest";"North";"NorthEast";"East";"West";"NorthWest"},0),1,2,3,4,5,6,7,8)</f>
        <v>1</v>
      </c>
      <c r="AB862" s="2">
        <f t="shared" si="136"/>
        <v>0</v>
      </c>
      <c r="AC862">
        <v>1010.4</v>
      </c>
      <c r="AD862" t="s">
        <v>836</v>
      </c>
      <c r="AE862" s="2">
        <f t="shared" si="137"/>
        <v>1</v>
      </c>
      <c r="AF862" t="s">
        <v>1330</v>
      </c>
      <c r="AG862" s="2">
        <f t="shared" si="138"/>
        <v>6</v>
      </c>
      <c r="AH862" s="2">
        <f t="shared" si="139"/>
        <v>1</v>
      </c>
      <c r="AI862" s="3">
        <v>7535.0000000023283</v>
      </c>
      <c r="AJ862" s="2">
        <v>1</v>
      </c>
      <c r="AK862">
        <v>0</v>
      </c>
      <c r="AL862">
        <v>490</v>
      </c>
      <c r="AM862">
        <v>0</v>
      </c>
      <c r="AN862" s="2">
        <f>IF((2*G862+M862-O862+3*V862+2*AB862+2*AE862+2*AH862+3*AJ862)&gt;=7,1,0)</f>
        <v>1</v>
      </c>
    </row>
    <row r="863" spans="1:40" x14ac:dyDescent="0.25">
      <c r="A863" t="s">
        <v>27</v>
      </c>
      <c r="B863" s="1">
        <v>39618</v>
      </c>
      <c r="C863" s="6">
        <f t="shared" si="130"/>
        <v>2008</v>
      </c>
      <c r="D863">
        <v>91.5</v>
      </c>
      <c r="E863">
        <v>71.7</v>
      </c>
      <c r="F863">
        <v>81</v>
      </c>
      <c r="G863" s="2">
        <f t="shared" si="131"/>
        <v>1</v>
      </c>
      <c r="H863">
        <v>94.5</v>
      </c>
      <c r="I863">
        <v>71.7</v>
      </c>
      <c r="J863">
        <v>82.3</v>
      </c>
      <c r="K863">
        <v>62.9</v>
      </c>
      <c r="L863">
        <v>55.2</v>
      </c>
      <c r="M863" s="2">
        <f t="shared" si="132"/>
        <v>1</v>
      </c>
      <c r="N863">
        <v>0</v>
      </c>
      <c r="O863" s="2">
        <f t="shared" si="133"/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s="2">
        <f t="shared" si="134"/>
        <v>0</v>
      </c>
      <c r="W863">
        <v>8.1</v>
      </c>
      <c r="X863" s="2">
        <f t="shared" si="135"/>
        <v>0</v>
      </c>
      <c r="Y863">
        <v>181.1</v>
      </c>
      <c r="Z863" s="2" t="str">
        <f>CHOOSE(MATCH(Y863,{0;11;80;111;161;191;241;281;341},1),"North","NorthEast","East","SouthEast","South","SouthWest","West","NorthWest","North")</f>
        <v>South</v>
      </c>
      <c r="AA863" s="4">
        <f>CHOOSE(MATCH(Z863,{"South";"SouthEast";"SouthWest";"North";"NorthEast";"East";"West";"NorthWest"},0),1,2,3,4,5,6,7,8)</f>
        <v>1</v>
      </c>
      <c r="AB863" s="2">
        <f t="shared" si="136"/>
        <v>0</v>
      </c>
      <c r="AC863">
        <v>1010.4</v>
      </c>
      <c r="AD863" t="s">
        <v>1331</v>
      </c>
      <c r="AE863" s="2">
        <f t="shared" si="137"/>
        <v>1</v>
      </c>
      <c r="AF863" t="s">
        <v>1332</v>
      </c>
      <c r="AG863" s="2">
        <f t="shared" si="138"/>
        <v>6</v>
      </c>
      <c r="AH863" s="2">
        <f t="shared" si="139"/>
        <v>1</v>
      </c>
      <c r="AI863" s="3">
        <v>150.00000000698489</v>
      </c>
      <c r="AJ863" s="2">
        <v>0</v>
      </c>
      <c r="AK863">
        <v>0</v>
      </c>
      <c r="AL863">
        <v>2</v>
      </c>
      <c r="AM863">
        <v>0</v>
      </c>
      <c r="AN863" s="2">
        <f>IF((2*G863+M863-O863+3*V863+2*AB863+2*AE863+2*AH863+3*AJ863)&gt;=7,1,0)</f>
        <v>0</v>
      </c>
    </row>
    <row r="864" spans="1:40" x14ac:dyDescent="0.25">
      <c r="A864" t="s">
        <v>27</v>
      </c>
      <c r="B864" s="1">
        <v>39618</v>
      </c>
      <c r="C864" s="6">
        <f t="shared" si="130"/>
        <v>2008</v>
      </c>
      <c r="D864">
        <v>91.5</v>
      </c>
      <c r="E864">
        <v>71.7</v>
      </c>
      <c r="F864">
        <v>81</v>
      </c>
      <c r="G864" s="2">
        <f t="shared" si="131"/>
        <v>1</v>
      </c>
      <c r="H864">
        <v>94.5</v>
      </c>
      <c r="I864">
        <v>71.7</v>
      </c>
      <c r="J864">
        <v>82.3</v>
      </c>
      <c r="K864">
        <v>62.9</v>
      </c>
      <c r="L864">
        <v>55.2</v>
      </c>
      <c r="M864" s="2">
        <f t="shared" si="132"/>
        <v>1</v>
      </c>
      <c r="N864">
        <v>0</v>
      </c>
      <c r="O864" s="2">
        <f t="shared" si="133"/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s="2">
        <f t="shared" si="134"/>
        <v>0</v>
      </c>
      <c r="W864">
        <v>8.1</v>
      </c>
      <c r="X864" s="2">
        <f t="shared" si="135"/>
        <v>0</v>
      </c>
      <c r="Y864">
        <v>181.1</v>
      </c>
      <c r="Z864" s="2" t="str">
        <f>CHOOSE(MATCH(Y864,{0;11;80;111;161;191;241;281;341},1),"North","NorthEast","East","SouthEast","South","SouthWest","West","NorthWest","North")</f>
        <v>South</v>
      </c>
      <c r="AA864" s="4">
        <f>CHOOSE(MATCH(Z864,{"South";"SouthEast";"SouthWest";"North";"NorthEast";"East";"West";"NorthWest"},0),1,2,3,4,5,6,7,8)</f>
        <v>1</v>
      </c>
      <c r="AB864" s="2">
        <f t="shared" si="136"/>
        <v>0</v>
      </c>
      <c r="AC864">
        <v>1010.4</v>
      </c>
      <c r="AD864" t="s">
        <v>1333</v>
      </c>
      <c r="AE864" s="2">
        <f t="shared" si="137"/>
        <v>1</v>
      </c>
      <c r="AF864" t="s">
        <v>1334</v>
      </c>
      <c r="AG864" s="2">
        <f t="shared" si="138"/>
        <v>6</v>
      </c>
      <c r="AH864" s="2">
        <f t="shared" si="139"/>
        <v>1</v>
      </c>
      <c r="AI864" s="3">
        <v>14555.00000000233</v>
      </c>
      <c r="AJ864" s="2">
        <v>1</v>
      </c>
      <c r="AK864">
        <v>0</v>
      </c>
      <c r="AL864">
        <v>1</v>
      </c>
      <c r="AM864">
        <v>0</v>
      </c>
      <c r="AN864" s="2">
        <f>IF((2*G864+M864-O864+3*V864+2*AB864+2*AE864+2*AH864+3*AJ864)&gt;=7,1,0)</f>
        <v>1</v>
      </c>
    </row>
    <row r="865" spans="1:40" x14ac:dyDescent="0.25">
      <c r="A865" t="s">
        <v>27</v>
      </c>
      <c r="B865" s="1">
        <v>39628</v>
      </c>
      <c r="C865" s="6">
        <f t="shared" si="130"/>
        <v>2008</v>
      </c>
      <c r="D865">
        <v>84.3</v>
      </c>
      <c r="E865">
        <v>69.900000000000006</v>
      </c>
      <c r="F865">
        <v>78.8</v>
      </c>
      <c r="G865" s="2">
        <f t="shared" si="131"/>
        <v>1</v>
      </c>
      <c r="H865">
        <v>89.8</v>
      </c>
      <c r="I865">
        <v>69.900000000000006</v>
      </c>
      <c r="J865">
        <v>80.900000000000006</v>
      </c>
      <c r="K865">
        <v>67.599999999999994</v>
      </c>
      <c r="L865">
        <v>69.599999999999994</v>
      </c>
      <c r="M865" s="2">
        <f t="shared" si="132"/>
        <v>0</v>
      </c>
      <c r="N865">
        <v>0</v>
      </c>
      <c r="O865" s="2">
        <f t="shared" si="133"/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s="2">
        <f t="shared" si="134"/>
        <v>0</v>
      </c>
      <c r="W865">
        <v>21.9</v>
      </c>
      <c r="X865" s="2">
        <f t="shared" si="135"/>
        <v>1</v>
      </c>
      <c r="Y865">
        <v>306.7</v>
      </c>
      <c r="Z865" s="2" t="str">
        <f>CHOOSE(MATCH(Y865,{0;11;80;111;161;191;241;281;341},1),"North","NorthEast","East","SouthEast","South","SouthWest","West","NorthWest","North")</f>
        <v>NorthWest</v>
      </c>
      <c r="AA865" s="4">
        <f>CHOOSE(MATCH(Z865,{"South";"SouthEast";"SouthWest";"North";"NorthEast";"East";"West";"NorthWest"},0),1,2,3,4,5,6,7,8)</f>
        <v>8</v>
      </c>
      <c r="AB865" s="2">
        <f t="shared" si="136"/>
        <v>1</v>
      </c>
      <c r="AC865">
        <v>1011.7</v>
      </c>
      <c r="AD865" t="s">
        <v>34</v>
      </c>
      <c r="AE865" s="2">
        <f t="shared" si="137"/>
        <v>1</v>
      </c>
      <c r="AF865" t="s">
        <v>1335</v>
      </c>
      <c r="AG865" s="2">
        <f t="shared" si="138"/>
        <v>6</v>
      </c>
      <c r="AH865" s="2">
        <f t="shared" si="139"/>
        <v>1</v>
      </c>
      <c r="AI865" s="3">
        <v>46.000000003259629</v>
      </c>
      <c r="AJ865" s="2">
        <v>0</v>
      </c>
      <c r="AK865">
        <v>0</v>
      </c>
      <c r="AL865">
        <v>0.02</v>
      </c>
      <c r="AM865">
        <v>0</v>
      </c>
      <c r="AN865" s="2">
        <f>IF((2*G865+M865-O865+3*V865+2*AB865+2*AE865+2*AH865+3*AJ865)&gt;=7,1,0)</f>
        <v>1</v>
      </c>
    </row>
    <row r="866" spans="1:40" x14ac:dyDescent="0.25">
      <c r="A866" t="s">
        <v>27</v>
      </c>
      <c r="B866" s="1">
        <v>39632</v>
      </c>
      <c r="C866" s="6">
        <f t="shared" si="130"/>
        <v>2008</v>
      </c>
      <c r="D866">
        <v>86.1</v>
      </c>
      <c r="E866">
        <v>78.900000000000006</v>
      </c>
      <c r="F866">
        <v>82.2</v>
      </c>
      <c r="G866" s="2">
        <f t="shared" si="131"/>
        <v>1</v>
      </c>
      <c r="H866">
        <v>88.5</v>
      </c>
      <c r="I866">
        <v>78.900000000000006</v>
      </c>
      <c r="J866">
        <v>83.9</v>
      </c>
      <c r="K866">
        <v>65.599999999999994</v>
      </c>
      <c r="L866">
        <v>57.5</v>
      </c>
      <c r="M866" s="2">
        <f t="shared" si="132"/>
        <v>1</v>
      </c>
      <c r="N866">
        <v>0</v>
      </c>
      <c r="O866" s="2">
        <f t="shared" si="133"/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s="2">
        <f t="shared" si="134"/>
        <v>0</v>
      </c>
      <c r="W866">
        <v>21.9</v>
      </c>
      <c r="X866" s="2">
        <f t="shared" si="135"/>
        <v>1</v>
      </c>
      <c r="Y866">
        <v>302.8</v>
      </c>
      <c r="Z866" s="2" t="str">
        <f>CHOOSE(MATCH(Y866,{0;11;80;111;161;191;241;281;341},1),"North","NorthEast","East","SouthEast","South","SouthWest","West","NorthWest","North")</f>
        <v>NorthWest</v>
      </c>
      <c r="AA866" s="4">
        <f>CHOOSE(MATCH(Z866,{"South";"SouthEast";"SouthWest";"North";"NorthEast";"East";"West";"NorthWest"},0),1,2,3,4,5,6,7,8)</f>
        <v>8</v>
      </c>
      <c r="AB866" s="2">
        <f t="shared" si="136"/>
        <v>1</v>
      </c>
      <c r="AC866">
        <v>1008.5</v>
      </c>
      <c r="AD866" t="s">
        <v>772</v>
      </c>
      <c r="AE866" s="2">
        <f t="shared" si="137"/>
        <v>1</v>
      </c>
      <c r="AF866" t="s">
        <v>1336</v>
      </c>
      <c r="AG866" s="2">
        <f t="shared" si="138"/>
        <v>7</v>
      </c>
      <c r="AH866" s="2">
        <f t="shared" si="139"/>
        <v>1</v>
      </c>
      <c r="AI866" s="3">
        <v>4815</v>
      </c>
      <c r="AJ866" s="2">
        <v>1</v>
      </c>
      <c r="AK866">
        <v>0</v>
      </c>
      <c r="AL866">
        <v>250</v>
      </c>
      <c r="AM866">
        <v>0</v>
      </c>
      <c r="AN866" s="2">
        <f>IF((2*G866+M866-O866+3*V866+2*AB866+2*AE866+2*AH866+3*AJ866)&gt;=7,1,0)</f>
        <v>1</v>
      </c>
    </row>
    <row r="867" spans="1:40" x14ac:dyDescent="0.25">
      <c r="A867" t="s">
        <v>27</v>
      </c>
      <c r="B867" s="1">
        <v>39636</v>
      </c>
      <c r="C867" s="6">
        <f t="shared" si="130"/>
        <v>2008</v>
      </c>
      <c r="D867">
        <v>86.1</v>
      </c>
      <c r="E867">
        <v>73.5</v>
      </c>
      <c r="F867">
        <v>80.8</v>
      </c>
      <c r="G867" s="2">
        <f t="shared" si="131"/>
        <v>1</v>
      </c>
      <c r="H867">
        <v>88.6</v>
      </c>
      <c r="I867">
        <v>73.5</v>
      </c>
      <c r="J867">
        <v>82.3</v>
      </c>
      <c r="K867">
        <v>68.599999999999994</v>
      </c>
      <c r="L867">
        <v>68.7</v>
      </c>
      <c r="M867" s="2">
        <f t="shared" si="132"/>
        <v>0</v>
      </c>
      <c r="N867">
        <v>0</v>
      </c>
      <c r="O867" s="2">
        <f t="shared" si="133"/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s="2">
        <f t="shared" si="134"/>
        <v>0</v>
      </c>
      <c r="W867">
        <v>20.8</v>
      </c>
      <c r="X867" s="2">
        <f t="shared" si="135"/>
        <v>1</v>
      </c>
      <c r="Y867">
        <v>311.60000000000002</v>
      </c>
      <c r="Z867" s="2" t="str">
        <f>CHOOSE(MATCH(Y867,{0;11;80;111;161;191;241;281;341},1),"North","NorthEast","East","SouthEast","South","SouthWest","West","NorthWest","North")</f>
        <v>NorthWest</v>
      </c>
      <c r="AA867" s="4">
        <f>CHOOSE(MATCH(Z867,{"South";"SouthEast";"SouthWest";"North";"NorthEast";"East";"West";"NorthWest"},0),1,2,3,4,5,6,7,8)</f>
        <v>8</v>
      </c>
      <c r="AB867" s="2">
        <f t="shared" si="136"/>
        <v>1</v>
      </c>
      <c r="AC867">
        <v>1011.8</v>
      </c>
      <c r="AD867" t="s">
        <v>1328</v>
      </c>
      <c r="AE867" s="2">
        <f t="shared" si="137"/>
        <v>0</v>
      </c>
      <c r="AF867" t="s">
        <v>1337</v>
      </c>
      <c r="AG867" s="2">
        <f t="shared" si="138"/>
        <v>7</v>
      </c>
      <c r="AH867" s="2">
        <f t="shared" si="139"/>
        <v>1</v>
      </c>
      <c r="AI867" s="3">
        <v>90</v>
      </c>
      <c r="AJ867" s="2">
        <v>0</v>
      </c>
      <c r="AK867">
        <v>0</v>
      </c>
      <c r="AL867">
        <v>0.1</v>
      </c>
      <c r="AM867">
        <v>0</v>
      </c>
      <c r="AN867" s="2">
        <f>IF((2*G867+M867-O867+3*V867+2*AB867+2*AE867+2*AH867+3*AJ867)&gt;=7,1,0)</f>
        <v>0</v>
      </c>
    </row>
    <row r="868" spans="1:40" x14ac:dyDescent="0.25">
      <c r="A868" t="s">
        <v>27</v>
      </c>
      <c r="B868" s="1">
        <v>39639</v>
      </c>
      <c r="C868" s="6">
        <f t="shared" si="130"/>
        <v>2008</v>
      </c>
      <c r="D868">
        <v>84.3</v>
      </c>
      <c r="E868">
        <v>78.900000000000006</v>
      </c>
      <c r="F868">
        <v>82.3</v>
      </c>
      <c r="G868" s="2">
        <f t="shared" si="131"/>
        <v>1</v>
      </c>
      <c r="H868">
        <v>92.7</v>
      </c>
      <c r="I868">
        <v>78.900000000000006</v>
      </c>
      <c r="J868">
        <v>86.4</v>
      </c>
      <c r="K868">
        <v>70.3</v>
      </c>
      <c r="L868">
        <v>67.400000000000006</v>
      </c>
      <c r="M868" s="2">
        <f t="shared" si="132"/>
        <v>0</v>
      </c>
      <c r="N868">
        <v>0</v>
      </c>
      <c r="O868" s="2">
        <f t="shared" si="133"/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 s="2">
        <f t="shared" si="134"/>
        <v>0</v>
      </c>
      <c r="W868">
        <v>20.8</v>
      </c>
      <c r="X868" s="2">
        <f t="shared" si="135"/>
        <v>1</v>
      </c>
      <c r="Y868">
        <v>312.3</v>
      </c>
      <c r="Z868" s="2" t="str">
        <f>CHOOSE(MATCH(Y868,{0;11;80;111;161;191;241;281;341},1),"North","NorthEast","East","SouthEast","South","SouthWest","West","NorthWest","North")</f>
        <v>NorthWest</v>
      </c>
      <c r="AA868" s="4">
        <f>CHOOSE(MATCH(Z868,{"South";"SouthEast";"SouthWest";"North";"NorthEast";"East";"West";"NorthWest"},0),1,2,3,4,5,6,7,8)</f>
        <v>8</v>
      </c>
      <c r="AB868" s="2">
        <f t="shared" si="136"/>
        <v>1</v>
      </c>
      <c r="AC868">
        <v>1009.4</v>
      </c>
      <c r="AD868" t="s">
        <v>1338</v>
      </c>
      <c r="AE868" s="2">
        <f t="shared" si="137"/>
        <v>0</v>
      </c>
      <c r="AF868" t="s">
        <v>1339</v>
      </c>
      <c r="AG868" s="2">
        <f t="shared" si="138"/>
        <v>7</v>
      </c>
      <c r="AH868" s="2">
        <f t="shared" si="139"/>
        <v>1</v>
      </c>
      <c r="AI868" s="3">
        <v>155.00000000232831</v>
      </c>
      <c r="AJ868" s="2">
        <v>0</v>
      </c>
      <c r="AK868">
        <v>0</v>
      </c>
      <c r="AL868">
        <v>1</v>
      </c>
      <c r="AM868">
        <v>0</v>
      </c>
      <c r="AN868" s="2">
        <f>IF((2*G868+M868-O868+3*V868+2*AB868+2*AE868+2*AH868+3*AJ868)&gt;=7,1,0)</f>
        <v>0</v>
      </c>
    </row>
    <row r="869" spans="1:40" x14ac:dyDescent="0.25">
      <c r="A869" t="s">
        <v>27</v>
      </c>
      <c r="B869" s="1">
        <v>39641</v>
      </c>
      <c r="C869" s="6">
        <f t="shared" si="130"/>
        <v>2008</v>
      </c>
      <c r="D869">
        <v>82.5</v>
      </c>
      <c r="E869">
        <v>77.099999999999994</v>
      </c>
      <c r="F869">
        <v>79.099999999999994</v>
      </c>
      <c r="G869" s="2">
        <f t="shared" si="131"/>
        <v>1</v>
      </c>
      <c r="H869">
        <v>84.1</v>
      </c>
      <c r="I869">
        <v>77.099999999999994</v>
      </c>
      <c r="J869">
        <v>79.7</v>
      </c>
      <c r="K869">
        <v>65</v>
      </c>
      <c r="L869">
        <v>62.2</v>
      </c>
      <c r="M869" s="2">
        <f t="shared" si="132"/>
        <v>1</v>
      </c>
      <c r="N869">
        <v>0</v>
      </c>
      <c r="O869" s="2">
        <f t="shared" si="133"/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s="2">
        <f t="shared" si="134"/>
        <v>0</v>
      </c>
      <c r="W869">
        <v>20.8</v>
      </c>
      <c r="X869" s="2">
        <f t="shared" si="135"/>
        <v>1</v>
      </c>
      <c r="Y869">
        <v>311.89999999999998</v>
      </c>
      <c r="Z869" s="2" t="str">
        <f>CHOOSE(MATCH(Y869,{0;11;80;111;161;191;241;281;341},1),"North","NorthEast","East","SouthEast","South","SouthWest","West","NorthWest","North")</f>
        <v>NorthWest</v>
      </c>
      <c r="AA869" s="4">
        <f>CHOOSE(MATCH(Z869,{"South";"SouthEast";"SouthWest";"North";"NorthEast";"East";"West";"NorthWest"},0),1,2,3,4,5,6,7,8)</f>
        <v>8</v>
      </c>
      <c r="AB869" s="2">
        <f t="shared" si="136"/>
        <v>1</v>
      </c>
      <c r="AC869">
        <v>1009.3</v>
      </c>
      <c r="AD869" t="s">
        <v>403</v>
      </c>
      <c r="AE869" s="2">
        <f t="shared" si="137"/>
        <v>1</v>
      </c>
      <c r="AF869" t="s">
        <v>1340</v>
      </c>
      <c r="AG869" s="2">
        <f t="shared" si="138"/>
        <v>7</v>
      </c>
      <c r="AH869" s="2">
        <f t="shared" si="139"/>
        <v>1</v>
      </c>
      <c r="AI869" s="3">
        <v>1335.000000003492</v>
      </c>
      <c r="AJ869" s="2">
        <v>1</v>
      </c>
      <c r="AK869">
        <v>0</v>
      </c>
      <c r="AL869">
        <v>3</v>
      </c>
      <c r="AM869">
        <v>0</v>
      </c>
      <c r="AN869" s="2">
        <f>IF((2*G869+M869-O869+3*V869+2*AB869+2*AE869+2*AH869+3*AJ869)&gt;=7,1,0)</f>
        <v>1</v>
      </c>
    </row>
    <row r="870" spans="1:40" x14ac:dyDescent="0.25">
      <c r="A870" t="s">
        <v>27</v>
      </c>
      <c r="B870" s="1">
        <v>39642</v>
      </c>
      <c r="C870" s="6">
        <f t="shared" si="130"/>
        <v>2008</v>
      </c>
      <c r="D870">
        <v>80.7</v>
      </c>
      <c r="E870">
        <v>75.3</v>
      </c>
      <c r="F870">
        <v>78.2</v>
      </c>
      <c r="G870" s="2">
        <f t="shared" si="131"/>
        <v>1</v>
      </c>
      <c r="H870">
        <v>82.9</v>
      </c>
      <c r="I870">
        <v>75.3</v>
      </c>
      <c r="J870">
        <v>78.8</v>
      </c>
      <c r="K870">
        <v>64.900000000000006</v>
      </c>
      <c r="L870">
        <v>63.7</v>
      </c>
      <c r="M870" s="2">
        <f t="shared" si="132"/>
        <v>1</v>
      </c>
      <c r="N870">
        <v>0</v>
      </c>
      <c r="O870" s="2">
        <f t="shared" si="133"/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 s="2">
        <f t="shared" si="134"/>
        <v>0</v>
      </c>
      <c r="W870">
        <v>23</v>
      </c>
      <c r="X870" s="2">
        <f t="shared" si="135"/>
        <v>1</v>
      </c>
      <c r="Y870">
        <v>313.7</v>
      </c>
      <c r="Z870" s="2" t="str">
        <f>CHOOSE(MATCH(Y870,{0;11;80;111;161;191;241;281;341},1),"North","NorthEast","East","SouthEast","South","SouthWest","West","NorthWest","North")</f>
        <v>NorthWest</v>
      </c>
      <c r="AA870" s="4">
        <f>CHOOSE(MATCH(Z870,{"South";"SouthEast";"SouthWest";"North";"NorthEast";"East";"West";"NorthWest"},0),1,2,3,4,5,6,7,8)</f>
        <v>8</v>
      </c>
      <c r="AB870" s="2">
        <f t="shared" si="136"/>
        <v>1</v>
      </c>
      <c r="AC870">
        <v>1010.2</v>
      </c>
      <c r="AD870" t="s">
        <v>496</v>
      </c>
      <c r="AE870" s="2">
        <f t="shared" si="137"/>
        <v>1</v>
      </c>
      <c r="AF870" t="s">
        <v>1341</v>
      </c>
      <c r="AG870" s="2">
        <f t="shared" si="138"/>
        <v>7</v>
      </c>
      <c r="AH870" s="2">
        <f t="shared" si="139"/>
        <v>1</v>
      </c>
      <c r="AI870" s="3">
        <v>3800.0000000023279</v>
      </c>
      <c r="AJ870" s="2">
        <v>1</v>
      </c>
      <c r="AK870">
        <v>0</v>
      </c>
      <c r="AL870">
        <v>20</v>
      </c>
      <c r="AM870">
        <v>0</v>
      </c>
      <c r="AN870" s="2">
        <f>IF((2*G870+M870-O870+3*V870+2*AB870+2*AE870+2*AH870+3*AJ870)&gt;=7,1,0)</f>
        <v>1</v>
      </c>
    </row>
    <row r="871" spans="1:40" x14ac:dyDescent="0.25">
      <c r="A871" t="s">
        <v>27</v>
      </c>
      <c r="B871" s="1">
        <v>39643</v>
      </c>
      <c r="C871" s="6">
        <f t="shared" si="130"/>
        <v>2008</v>
      </c>
      <c r="D871">
        <v>84.3</v>
      </c>
      <c r="E871">
        <v>69.900000000000006</v>
      </c>
      <c r="F871">
        <v>78.900000000000006</v>
      </c>
      <c r="G871" s="2">
        <f t="shared" si="131"/>
        <v>1</v>
      </c>
      <c r="H871">
        <v>86.6</v>
      </c>
      <c r="I871">
        <v>69.900000000000006</v>
      </c>
      <c r="J871">
        <v>80.3</v>
      </c>
      <c r="K871">
        <v>65.2</v>
      </c>
      <c r="L871">
        <v>63.1</v>
      </c>
      <c r="M871" s="2">
        <f t="shared" si="132"/>
        <v>1</v>
      </c>
      <c r="N871">
        <v>0</v>
      </c>
      <c r="O871" s="2">
        <f t="shared" si="133"/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s="2">
        <f t="shared" si="134"/>
        <v>0</v>
      </c>
      <c r="W871">
        <v>21.9</v>
      </c>
      <c r="X871" s="2">
        <f t="shared" si="135"/>
        <v>1</v>
      </c>
      <c r="Y871">
        <v>315.60000000000002</v>
      </c>
      <c r="Z871" s="2" t="str">
        <f>CHOOSE(MATCH(Y871,{0;11;80;111;161;191;241;281;341},1),"North","NorthEast","East","SouthEast","South","SouthWest","West","NorthWest","North")</f>
        <v>NorthWest</v>
      </c>
      <c r="AA871" s="4">
        <f>CHOOSE(MATCH(Z871,{"South";"SouthEast";"SouthWest";"North";"NorthEast";"East";"West";"NorthWest"},0),1,2,3,4,5,6,7,8)</f>
        <v>8</v>
      </c>
      <c r="AB871" s="2">
        <f t="shared" si="136"/>
        <v>1</v>
      </c>
      <c r="AC871">
        <v>1013.3</v>
      </c>
      <c r="AD871" t="s">
        <v>1342</v>
      </c>
      <c r="AE871" s="2">
        <f t="shared" si="137"/>
        <v>0</v>
      </c>
      <c r="AF871" t="s">
        <v>1343</v>
      </c>
      <c r="AG871" s="2">
        <f t="shared" si="138"/>
        <v>7</v>
      </c>
      <c r="AH871" s="2">
        <f t="shared" si="139"/>
        <v>1</v>
      </c>
      <c r="AI871" s="3">
        <v>419.99999999650748</v>
      </c>
      <c r="AJ871" s="2">
        <v>1</v>
      </c>
      <c r="AK871">
        <v>0</v>
      </c>
      <c r="AL871">
        <v>8</v>
      </c>
      <c r="AM871">
        <v>0</v>
      </c>
      <c r="AN871" s="2">
        <f>IF((2*G871+M871-O871+3*V871+2*AB871+2*AE871+2*AH871+3*AJ871)&gt;=7,1,0)</f>
        <v>1</v>
      </c>
    </row>
    <row r="872" spans="1:40" x14ac:dyDescent="0.25">
      <c r="A872" t="s">
        <v>27</v>
      </c>
      <c r="B872" s="1">
        <v>39645</v>
      </c>
      <c r="C872" s="6">
        <f t="shared" si="130"/>
        <v>2008</v>
      </c>
      <c r="D872">
        <v>87.9</v>
      </c>
      <c r="E872">
        <v>71.7</v>
      </c>
      <c r="F872">
        <v>81</v>
      </c>
      <c r="G872" s="2">
        <f t="shared" si="131"/>
        <v>1</v>
      </c>
      <c r="H872">
        <v>88.6</v>
      </c>
      <c r="I872">
        <v>71.7</v>
      </c>
      <c r="J872">
        <v>82.5</v>
      </c>
      <c r="K872">
        <v>65.5</v>
      </c>
      <c r="L872">
        <v>60.6</v>
      </c>
      <c r="M872" s="2">
        <f t="shared" si="132"/>
        <v>1</v>
      </c>
      <c r="N872">
        <v>0</v>
      </c>
      <c r="O872" s="2">
        <f t="shared" si="133"/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s="2">
        <f t="shared" si="134"/>
        <v>0</v>
      </c>
      <c r="W872">
        <v>26.4</v>
      </c>
      <c r="X872" s="2">
        <f t="shared" si="135"/>
        <v>1</v>
      </c>
      <c r="Y872">
        <v>313.2</v>
      </c>
      <c r="Z872" s="2" t="str">
        <f>CHOOSE(MATCH(Y872,{0;11;80;111;161;191;241;281;341},1),"North","NorthEast","East","SouthEast","South","SouthWest","West","NorthWest","North")</f>
        <v>NorthWest</v>
      </c>
      <c r="AA872" s="4">
        <f>CHOOSE(MATCH(Z872,{"South";"SouthEast";"SouthWest";"North";"NorthEast";"East";"West";"NorthWest"},0),1,2,3,4,5,6,7,8)</f>
        <v>8</v>
      </c>
      <c r="AB872" s="2">
        <f t="shared" si="136"/>
        <v>1</v>
      </c>
      <c r="AC872">
        <v>1008.7</v>
      </c>
      <c r="AD872" t="s">
        <v>1344</v>
      </c>
      <c r="AE872" s="2">
        <f t="shared" si="137"/>
        <v>0</v>
      </c>
      <c r="AF872" t="s">
        <v>1345</v>
      </c>
      <c r="AG872" s="2">
        <f t="shared" si="138"/>
        <v>7</v>
      </c>
      <c r="AH872" s="2">
        <f t="shared" si="139"/>
        <v>1</v>
      </c>
      <c r="AI872" s="3">
        <v>744.99999999767169</v>
      </c>
      <c r="AJ872" s="2">
        <v>1</v>
      </c>
      <c r="AK872">
        <v>0</v>
      </c>
      <c r="AL872">
        <v>15</v>
      </c>
      <c r="AM872">
        <v>0</v>
      </c>
      <c r="AN872" s="2">
        <f>IF((2*G872+M872-O872+3*V872+2*AB872+2*AE872+2*AH872+3*AJ872)&gt;=7,1,0)</f>
        <v>1</v>
      </c>
    </row>
    <row r="873" spans="1:40" x14ac:dyDescent="0.25">
      <c r="A873" t="s">
        <v>27</v>
      </c>
      <c r="B873" s="1">
        <v>39646</v>
      </c>
      <c r="C873" s="6">
        <f t="shared" si="130"/>
        <v>2008</v>
      </c>
      <c r="D873">
        <v>80.7</v>
      </c>
      <c r="E873">
        <v>75.3</v>
      </c>
      <c r="F873">
        <v>77.7</v>
      </c>
      <c r="G873" s="2">
        <f t="shared" si="131"/>
        <v>1</v>
      </c>
      <c r="H873">
        <v>82.4</v>
      </c>
      <c r="I873">
        <v>75.3</v>
      </c>
      <c r="J873">
        <v>78</v>
      </c>
      <c r="K873">
        <v>62.9</v>
      </c>
      <c r="L873">
        <v>60.7</v>
      </c>
      <c r="M873" s="2">
        <f t="shared" si="132"/>
        <v>1</v>
      </c>
      <c r="N873">
        <v>0</v>
      </c>
      <c r="O873" s="2">
        <f t="shared" si="133"/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s="2">
        <f t="shared" si="134"/>
        <v>0</v>
      </c>
      <c r="W873">
        <v>24.2</v>
      </c>
      <c r="X873" s="2">
        <f t="shared" si="135"/>
        <v>1</v>
      </c>
      <c r="Y873">
        <v>322.3</v>
      </c>
      <c r="Z873" s="2" t="str">
        <f>CHOOSE(MATCH(Y873,{0;11;80;111;161;191;241;281;341},1),"North","NorthEast","East","SouthEast","South","SouthWest","West","NorthWest","North")</f>
        <v>NorthWest</v>
      </c>
      <c r="AA873" s="4">
        <f>CHOOSE(MATCH(Z873,{"South";"SouthEast";"SouthWest";"North";"NorthEast";"East";"West";"NorthWest"},0),1,2,3,4,5,6,7,8)</f>
        <v>8</v>
      </c>
      <c r="AB873" s="2">
        <f t="shared" si="136"/>
        <v>1</v>
      </c>
      <c r="AC873">
        <v>1010.5</v>
      </c>
      <c r="AD873" t="s">
        <v>491</v>
      </c>
      <c r="AE873" s="2">
        <f t="shared" si="137"/>
        <v>0</v>
      </c>
      <c r="AF873" t="s">
        <v>1346</v>
      </c>
      <c r="AG873" s="2">
        <f t="shared" si="138"/>
        <v>7</v>
      </c>
      <c r="AH873" s="2">
        <f t="shared" si="139"/>
        <v>1</v>
      </c>
      <c r="AI873" s="3">
        <v>4770</v>
      </c>
      <c r="AJ873" s="2">
        <v>1</v>
      </c>
      <c r="AK873">
        <v>0</v>
      </c>
      <c r="AL873">
        <v>1000</v>
      </c>
      <c r="AM873">
        <v>0</v>
      </c>
      <c r="AN873" s="2">
        <f>IF((2*G873+M873-O873+3*V873+2*AB873+2*AE873+2*AH873+3*AJ873)&gt;=7,1,0)</f>
        <v>1</v>
      </c>
    </row>
    <row r="874" spans="1:40" x14ac:dyDescent="0.25">
      <c r="A874" t="s">
        <v>27</v>
      </c>
      <c r="B874" s="1">
        <v>39647</v>
      </c>
      <c r="C874" s="6">
        <f t="shared" si="130"/>
        <v>2008</v>
      </c>
      <c r="D874">
        <v>82.5</v>
      </c>
      <c r="E874">
        <v>75.3</v>
      </c>
      <c r="F874">
        <v>78.900000000000006</v>
      </c>
      <c r="G874" s="2">
        <f t="shared" si="131"/>
        <v>1</v>
      </c>
      <c r="H874">
        <v>85.5</v>
      </c>
      <c r="I874">
        <v>75.3</v>
      </c>
      <c r="J874">
        <v>79.900000000000006</v>
      </c>
      <c r="K874">
        <v>65.5</v>
      </c>
      <c r="L874">
        <v>63.8</v>
      </c>
      <c r="M874" s="2">
        <f t="shared" si="132"/>
        <v>1</v>
      </c>
      <c r="N874">
        <v>0</v>
      </c>
      <c r="O874" s="2">
        <f t="shared" si="133"/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s="2">
        <f t="shared" si="134"/>
        <v>0</v>
      </c>
      <c r="W874">
        <v>20.8</v>
      </c>
      <c r="X874" s="2">
        <f t="shared" si="135"/>
        <v>1</v>
      </c>
      <c r="Y874">
        <v>307.8</v>
      </c>
      <c r="Z874" s="2" t="str">
        <f>CHOOSE(MATCH(Y874,{0;11;80;111;161;191;241;281;341},1),"North","NorthEast","East","SouthEast","South","SouthWest","West","NorthWest","North")</f>
        <v>NorthWest</v>
      </c>
      <c r="AA874" s="4">
        <f>CHOOSE(MATCH(Z874,{"South";"SouthEast";"SouthWest";"North";"NorthEast";"East";"West";"NorthWest"},0),1,2,3,4,5,6,7,8)</f>
        <v>8</v>
      </c>
      <c r="AB874" s="2">
        <f t="shared" si="136"/>
        <v>1</v>
      </c>
      <c r="AC874">
        <v>1010.1</v>
      </c>
      <c r="AD874" t="s">
        <v>619</v>
      </c>
      <c r="AE874" s="2">
        <f t="shared" si="137"/>
        <v>0</v>
      </c>
      <c r="AF874" t="s">
        <v>1347</v>
      </c>
      <c r="AG874" s="2">
        <f t="shared" si="138"/>
        <v>7</v>
      </c>
      <c r="AH874" s="2">
        <f t="shared" si="139"/>
        <v>1</v>
      </c>
      <c r="AI874" s="3">
        <v>75.00000000349246</v>
      </c>
      <c r="AJ874" s="2">
        <v>0</v>
      </c>
      <c r="AK874">
        <v>0</v>
      </c>
      <c r="AL874">
        <v>1</v>
      </c>
      <c r="AM874">
        <v>0</v>
      </c>
      <c r="AN874" s="2">
        <f>IF((2*G874+M874-O874+3*V874+2*AB874+2*AE874+2*AH874+3*AJ874)&gt;=7,1,0)</f>
        <v>0</v>
      </c>
    </row>
    <row r="875" spans="1:40" x14ac:dyDescent="0.25">
      <c r="A875" t="s">
        <v>27</v>
      </c>
      <c r="B875" s="1">
        <v>39651</v>
      </c>
      <c r="C875" s="6">
        <f t="shared" si="130"/>
        <v>2008</v>
      </c>
      <c r="D875">
        <v>87.9</v>
      </c>
      <c r="E875">
        <v>71.7</v>
      </c>
      <c r="F875">
        <v>80.5</v>
      </c>
      <c r="G875" s="2">
        <f t="shared" si="131"/>
        <v>1</v>
      </c>
      <c r="H875">
        <v>94.4</v>
      </c>
      <c r="I875">
        <v>71.7</v>
      </c>
      <c r="J875">
        <v>83</v>
      </c>
      <c r="K875">
        <v>66.5</v>
      </c>
      <c r="L875">
        <v>62.8</v>
      </c>
      <c r="M875" s="2">
        <f t="shared" si="132"/>
        <v>1</v>
      </c>
      <c r="N875">
        <v>0</v>
      </c>
      <c r="O875" s="2">
        <f t="shared" si="133"/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 s="2">
        <f t="shared" si="134"/>
        <v>0</v>
      </c>
      <c r="W875">
        <v>12.8</v>
      </c>
      <c r="X875" s="2">
        <f t="shared" si="135"/>
        <v>0</v>
      </c>
      <c r="Y875">
        <v>237.5</v>
      </c>
      <c r="Z875" s="2" t="str">
        <f>CHOOSE(MATCH(Y875,{0;11;80;111;161;191;241;281;341},1),"North","NorthEast","East","SouthEast","South","SouthWest","West","NorthWest","North")</f>
        <v>SouthWest</v>
      </c>
      <c r="AA875" s="4">
        <f>CHOOSE(MATCH(Z875,{"South";"SouthEast";"SouthWest";"North";"NorthEast";"East";"West";"NorthWest"},0),1,2,3,4,5,6,7,8)</f>
        <v>3</v>
      </c>
      <c r="AB875" s="2">
        <f t="shared" si="136"/>
        <v>0</v>
      </c>
      <c r="AC875">
        <v>1007.9</v>
      </c>
      <c r="AD875" t="s">
        <v>625</v>
      </c>
      <c r="AE875" s="2">
        <f t="shared" si="137"/>
        <v>1</v>
      </c>
      <c r="AF875" t="s">
        <v>1348</v>
      </c>
      <c r="AG875" s="2">
        <f t="shared" si="138"/>
        <v>7</v>
      </c>
      <c r="AH875" s="2">
        <f t="shared" si="139"/>
        <v>1</v>
      </c>
      <c r="AI875" s="3">
        <v>1725.0000000069849</v>
      </c>
      <c r="AJ875" s="2">
        <v>1</v>
      </c>
      <c r="AK875">
        <v>0</v>
      </c>
      <c r="AL875">
        <v>20</v>
      </c>
      <c r="AM875">
        <v>0</v>
      </c>
      <c r="AN875" s="2">
        <f>IF((2*G875+M875-O875+3*V875+2*AB875+2*AE875+2*AH875+3*AJ875)&gt;=7,1,0)</f>
        <v>1</v>
      </c>
    </row>
    <row r="876" spans="1:40" x14ac:dyDescent="0.25">
      <c r="A876" t="s">
        <v>27</v>
      </c>
      <c r="B876" s="1">
        <v>39652</v>
      </c>
      <c r="C876" s="6">
        <f t="shared" si="130"/>
        <v>2008</v>
      </c>
      <c r="D876">
        <v>87.9</v>
      </c>
      <c r="E876">
        <v>77.099999999999994</v>
      </c>
      <c r="F876">
        <v>82.2</v>
      </c>
      <c r="G876" s="2">
        <f t="shared" si="131"/>
        <v>1</v>
      </c>
      <c r="H876">
        <v>96.1</v>
      </c>
      <c r="I876">
        <v>77.099999999999994</v>
      </c>
      <c r="J876">
        <v>85.1</v>
      </c>
      <c r="K876">
        <v>65.3</v>
      </c>
      <c r="L876">
        <v>57.1</v>
      </c>
      <c r="M876" s="2">
        <f t="shared" si="132"/>
        <v>1</v>
      </c>
      <c r="N876">
        <v>0</v>
      </c>
      <c r="O876" s="2">
        <f t="shared" si="133"/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s="2">
        <f t="shared" si="134"/>
        <v>0</v>
      </c>
      <c r="W876">
        <v>24.2</v>
      </c>
      <c r="X876" s="2">
        <f t="shared" si="135"/>
        <v>1</v>
      </c>
      <c r="Y876">
        <v>293.39999999999998</v>
      </c>
      <c r="Z876" s="2" t="str">
        <f>CHOOSE(MATCH(Y876,{0;11;80;111;161;191;241;281;341},1),"North","NorthEast","East","SouthEast","South","SouthWest","West","NorthWest","North")</f>
        <v>NorthWest</v>
      </c>
      <c r="AA876" s="4">
        <f>CHOOSE(MATCH(Z876,{"South";"SouthEast";"SouthWest";"North";"NorthEast";"East";"West";"NorthWest"},0),1,2,3,4,5,6,7,8)</f>
        <v>8</v>
      </c>
      <c r="AB876" s="2">
        <f t="shared" si="136"/>
        <v>1</v>
      </c>
      <c r="AC876">
        <v>1005.5</v>
      </c>
      <c r="AD876" t="s">
        <v>126</v>
      </c>
      <c r="AE876" s="2">
        <f t="shared" si="137"/>
        <v>1</v>
      </c>
      <c r="AF876" t="s">
        <v>1349</v>
      </c>
      <c r="AG876" s="2">
        <f t="shared" si="138"/>
        <v>7</v>
      </c>
      <c r="AH876" s="2">
        <f t="shared" si="139"/>
        <v>1</v>
      </c>
      <c r="AI876" s="3">
        <v>2369.9999999930151</v>
      </c>
      <c r="AJ876" s="2">
        <v>1</v>
      </c>
      <c r="AK876">
        <v>0</v>
      </c>
      <c r="AL876">
        <v>100</v>
      </c>
      <c r="AM876">
        <v>0</v>
      </c>
      <c r="AN876" s="2">
        <f>IF((2*G876+M876-O876+3*V876+2*AB876+2*AE876+2*AH876+3*AJ876)&gt;=7,1,0)</f>
        <v>1</v>
      </c>
    </row>
    <row r="877" spans="1:40" x14ac:dyDescent="0.25">
      <c r="A877" t="s">
        <v>27</v>
      </c>
      <c r="B877" s="1">
        <v>39656</v>
      </c>
      <c r="C877" s="6">
        <f t="shared" si="130"/>
        <v>2008</v>
      </c>
      <c r="D877">
        <v>82.5</v>
      </c>
      <c r="E877">
        <v>71.7</v>
      </c>
      <c r="F877">
        <v>77.3</v>
      </c>
      <c r="G877" s="2">
        <f t="shared" si="131"/>
        <v>1</v>
      </c>
      <c r="H877">
        <v>89.7</v>
      </c>
      <c r="I877">
        <v>71.7</v>
      </c>
      <c r="J877">
        <v>79.400000000000006</v>
      </c>
      <c r="K877">
        <v>66.3</v>
      </c>
      <c r="L877">
        <v>69.8</v>
      </c>
      <c r="M877" s="2">
        <f t="shared" si="132"/>
        <v>0</v>
      </c>
      <c r="N877">
        <v>0</v>
      </c>
      <c r="O877" s="2">
        <f t="shared" si="133"/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s="2">
        <f t="shared" si="134"/>
        <v>0</v>
      </c>
      <c r="W877">
        <v>13.9</v>
      </c>
      <c r="X877" s="2">
        <f t="shared" si="135"/>
        <v>0</v>
      </c>
      <c r="Y877">
        <v>324.60000000000002</v>
      </c>
      <c r="Z877" s="2" t="str">
        <f>CHOOSE(MATCH(Y877,{0;11;80;111;161;191;241;281;341},1),"North","NorthEast","East","SouthEast","South","SouthWest","West","NorthWest","North")</f>
        <v>NorthWest</v>
      </c>
      <c r="AA877" s="4">
        <f>CHOOSE(MATCH(Z877,{"South";"SouthEast";"SouthWest";"North";"NorthEast";"East";"West";"NorthWest"},0),1,2,3,4,5,6,7,8)</f>
        <v>8</v>
      </c>
      <c r="AB877" s="2">
        <f t="shared" si="136"/>
        <v>1</v>
      </c>
      <c r="AC877">
        <v>1007.9</v>
      </c>
      <c r="AD877" t="s">
        <v>1350</v>
      </c>
      <c r="AE877" s="2">
        <f t="shared" si="137"/>
        <v>0</v>
      </c>
      <c r="AF877" t="s">
        <v>1351</v>
      </c>
      <c r="AG877" s="2">
        <f t="shared" si="138"/>
        <v>7</v>
      </c>
      <c r="AH877" s="2">
        <f t="shared" si="139"/>
        <v>1</v>
      </c>
      <c r="AI877" s="3">
        <v>460.00000000116421</v>
      </c>
      <c r="AJ877" s="2">
        <v>1</v>
      </c>
      <c r="AK877">
        <v>0</v>
      </c>
      <c r="AL877">
        <v>2</v>
      </c>
      <c r="AM877">
        <v>0</v>
      </c>
      <c r="AN877" s="2">
        <f>IF((2*G877+M877-O877+3*V877+2*AB877+2*AE877+2*AH877+3*AJ877)&gt;=7,1,0)</f>
        <v>1</v>
      </c>
    </row>
    <row r="878" spans="1:40" x14ac:dyDescent="0.25">
      <c r="A878" t="s">
        <v>27</v>
      </c>
      <c r="B878" s="1">
        <v>39656</v>
      </c>
      <c r="C878" s="6">
        <f t="shared" si="130"/>
        <v>2008</v>
      </c>
      <c r="D878">
        <v>82.5</v>
      </c>
      <c r="E878">
        <v>71.7</v>
      </c>
      <c r="F878">
        <v>77.3</v>
      </c>
      <c r="G878" s="2">
        <f t="shared" si="131"/>
        <v>1</v>
      </c>
      <c r="H878">
        <v>89.7</v>
      </c>
      <c r="I878">
        <v>71.7</v>
      </c>
      <c r="J878">
        <v>79.400000000000006</v>
      </c>
      <c r="K878">
        <v>66.3</v>
      </c>
      <c r="L878">
        <v>69.8</v>
      </c>
      <c r="M878" s="2">
        <f t="shared" si="132"/>
        <v>0</v>
      </c>
      <c r="N878">
        <v>0</v>
      </c>
      <c r="O878" s="2">
        <f t="shared" si="133"/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 s="2">
        <f t="shared" si="134"/>
        <v>0</v>
      </c>
      <c r="W878">
        <v>13.9</v>
      </c>
      <c r="X878" s="2">
        <f t="shared" si="135"/>
        <v>0</v>
      </c>
      <c r="Y878">
        <v>324.60000000000002</v>
      </c>
      <c r="Z878" s="2" t="str">
        <f>CHOOSE(MATCH(Y878,{0;11;80;111;161;191;241;281;341},1),"North","NorthEast","East","SouthEast","South","SouthWest","West","NorthWest","North")</f>
        <v>NorthWest</v>
      </c>
      <c r="AA878" s="4">
        <f>CHOOSE(MATCH(Z878,{"South";"SouthEast";"SouthWest";"North";"NorthEast";"East";"West";"NorthWest"},0),1,2,3,4,5,6,7,8)</f>
        <v>8</v>
      </c>
      <c r="AB878" s="2">
        <f t="shared" si="136"/>
        <v>1</v>
      </c>
      <c r="AC878">
        <v>1007.9</v>
      </c>
      <c r="AD878" t="s">
        <v>1352</v>
      </c>
      <c r="AE878" s="2">
        <f t="shared" si="137"/>
        <v>0</v>
      </c>
      <c r="AF878" t="s">
        <v>1353</v>
      </c>
      <c r="AG878" s="2">
        <f t="shared" si="138"/>
        <v>7</v>
      </c>
      <c r="AH878" s="2">
        <f t="shared" si="139"/>
        <v>1</v>
      </c>
      <c r="AI878" s="3">
        <v>799.99999999883585</v>
      </c>
      <c r="AJ878" s="2">
        <v>1</v>
      </c>
      <c r="AK878">
        <v>2</v>
      </c>
      <c r="AL878">
        <v>0</v>
      </c>
      <c r="AM878">
        <v>0</v>
      </c>
      <c r="AN878" s="2">
        <f>IF((2*G878+M878-O878+3*V878+2*AB878+2*AE878+2*AH878+3*AJ878)&gt;=7,1,0)</f>
        <v>1</v>
      </c>
    </row>
    <row r="879" spans="1:40" x14ac:dyDescent="0.25">
      <c r="A879" t="s">
        <v>27</v>
      </c>
      <c r="B879" s="1">
        <v>39659</v>
      </c>
      <c r="C879" s="6">
        <f t="shared" si="130"/>
        <v>2008</v>
      </c>
      <c r="D879">
        <v>82.5</v>
      </c>
      <c r="E879">
        <v>77.099999999999994</v>
      </c>
      <c r="F879">
        <v>79.2</v>
      </c>
      <c r="G879" s="2">
        <f t="shared" si="131"/>
        <v>1</v>
      </c>
      <c r="H879">
        <v>84.8</v>
      </c>
      <c r="I879">
        <v>77.099999999999994</v>
      </c>
      <c r="J879">
        <v>80.099999999999994</v>
      </c>
      <c r="K879">
        <v>66</v>
      </c>
      <c r="L879">
        <v>64.2</v>
      </c>
      <c r="M879" s="2">
        <f t="shared" si="132"/>
        <v>1</v>
      </c>
      <c r="N879">
        <v>0</v>
      </c>
      <c r="O879" s="2">
        <f t="shared" si="133"/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 s="2">
        <f t="shared" si="134"/>
        <v>0</v>
      </c>
      <c r="W879">
        <v>21.9</v>
      </c>
      <c r="X879" s="2">
        <f t="shared" si="135"/>
        <v>1</v>
      </c>
      <c r="Y879">
        <v>308.89999999999998</v>
      </c>
      <c r="Z879" s="2" t="str">
        <f>CHOOSE(MATCH(Y879,{0;11;80;111;161;191;241;281;341},1),"North","NorthEast","East","SouthEast","South","SouthWest","West","NorthWest","North")</f>
        <v>NorthWest</v>
      </c>
      <c r="AA879" s="4">
        <f>CHOOSE(MATCH(Z879,{"South";"SouthEast";"SouthWest";"North";"NorthEast";"East";"West";"NorthWest"},0),1,2,3,4,5,6,7,8)</f>
        <v>8</v>
      </c>
      <c r="AB879" s="2">
        <f t="shared" si="136"/>
        <v>1</v>
      </c>
      <c r="AC879">
        <v>1010.4</v>
      </c>
      <c r="AD879" t="s">
        <v>609</v>
      </c>
      <c r="AE879" s="2">
        <f t="shared" si="137"/>
        <v>1</v>
      </c>
      <c r="AF879" t="s">
        <v>1354</v>
      </c>
      <c r="AG879" s="2">
        <f t="shared" si="138"/>
        <v>7</v>
      </c>
      <c r="AH879" s="2">
        <f t="shared" si="139"/>
        <v>1</v>
      </c>
      <c r="AI879" s="3">
        <v>5285.0000000023283</v>
      </c>
      <c r="AJ879" s="2">
        <v>1</v>
      </c>
      <c r="AK879">
        <v>0</v>
      </c>
      <c r="AL879">
        <v>200</v>
      </c>
      <c r="AM879">
        <v>0</v>
      </c>
      <c r="AN879" s="2">
        <f>IF((2*G879+M879-O879+3*V879+2*AB879+2*AE879+2*AH879+3*AJ879)&gt;=7,1,0)</f>
        <v>1</v>
      </c>
    </row>
    <row r="880" spans="1:40" x14ac:dyDescent="0.25">
      <c r="A880" t="s">
        <v>27</v>
      </c>
      <c r="B880" s="1">
        <v>39660</v>
      </c>
      <c r="C880" s="6">
        <f t="shared" si="130"/>
        <v>2008</v>
      </c>
      <c r="D880">
        <v>82.5</v>
      </c>
      <c r="E880">
        <v>77.099999999999994</v>
      </c>
      <c r="F880">
        <v>79.3</v>
      </c>
      <c r="G880" s="2">
        <f t="shared" si="131"/>
        <v>1</v>
      </c>
      <c r="H880">
        <v>86.4</v>
      </c>
      <c r="I880">
        <v>77.099999999999994</v>
      </c>
      <c r="J880">
        <v>80.5</v>
      </c>
      <c r="K880">
        <v>68</v>
      </c>
      <c r="L880">
        <v>68.599999999999994</v>
      </c>
      <c r="M880" s="2">
        <f t="shared" si="132"/>
        <v>0</v>
      </c>
      <c r="N880">
        <v>0</v>
      </c>
      <c r="O880" s="2">
        <f t="shared" si="133"/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 s="2">
        <f t="shared" si="134"/>
        <v>0</v>
      </c>
      <c r="W880">
        <v>21.9</v>
      </c>
      <c r="X880" s="2">
        <f t="shared" si="135"/>
        <v>1</v>
      </c>
      <c r="Y880">
        <v>309.10000000000002</v>
      </c>
      <c r="Z880" s="2" t="str">
        <f>CHOOSE(MATCH(Y880,{0;11;80;111;161;191;241;281;341},1),"North","NorthEast","East","SouthEast","South","SouthWest","West","NorthWest","North")</f>
        <v>NorthWest</v>
      </c>
      <c r="AA880" s="4">
        <f>CHOOSE(MATCH(Z880,{"South";"SouthEast";"SouthWest";"North";"NorthEast";"East";"West";"NorthWest"},0),1,2,3,4,5,6,7,8)</f>
        <v>8</v>
      </c>
      <c r="AB880" s="2">
        <f t="shared" si="136"/>
        <v>1</v>
      </c>
      <c r="AC880">
        <v>1010.1</v>
      </c>
      <c r="AD880" t="s">
        <v>1313</v>
      </c>
      <c r="AE880" s="2">
        <f t="shared" si="137"/>
        <v>0</v>
      </c>
      <c r="AF880" t="s">
        <v>1355</v>
      </c>
      <c r="AG880" s="2">
        <f t="shared" si="138"/>
        <v>7</v>
      </c>
      <c r="AH880" s="2">
        <f t="shared" si="139"/>
        <v>1</v>
      </c>
      <c r="AI880" s="3">
        <v>4054.9999999953429</v>
      </c>
      <c r="AJ880" s="2">
        <v>1</v>
      </c>
      <c r="AK880">
        <v>0</v>
      </c>
      <c r="AL880">
        <v>650</v>
      </c>
      <c r="AM880">
        <v>0</v>
      </c>
      <c r="AN880" s="2">
        <f>IF((2*G880+M880-O880+3*V880+2*AB880+2*AE880+2*AH880+3*AJ880)&gt;=7,1,0)</f>
        <v>1</v>
      </c>
    </row>
    <row r="881" spans="1:40" x14ac:dyDescent="0.25">
      <c r="A881" t="s">
        <v>27</v>
      </c>
      <c r="B881" s="1">
        <v>39663</v>
      </c>
      <c r="C881" s="6">
        <f t="shared" si="130"/>
        <v>2008</v>
      </c>
      <c r="D881">
        <v>80.7</v>
      </c>
      <c r="E881">
        <v>75.3</v>
      </c>
      <c r="F881">
        <v>77.8</v>
      </c>
      <c r="G881" s="2">
        <f t="shared" si="131"/>
        <v>1</v>
      </c>
      <c r="H881">
        <v>83.4</v>
      </c>
      <c r="I881">
        <v>75.3</v>
      </c>
      <c r="J881">
        <v>78.5</v>
      </c>
      <c r="K881">
        <v>66.7</v>
      </c>
      <c r="L881">
        <v>68.900000000000006</v>
      </c>
      <c r="M881" s="2">
        <f t="shared" si="132"/>
        <v>0</v>
      </c>
      <c r="N881">
        <v>0</v>
      </c>
      <c r="O881" s="2">
        <f t="shared" si="133"/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 s="2">
        <f t="shared" si="134"/>
        <v>0</v>
      </c>
      <c r="W881">
        <v>24.2</v>
      </c>
      <c r="X881" s="2">
        <f t="shared" si="135"/>
        <v>1</v>
      </c>
      <c r="Y881">
        <v>305.3</v>
      </c>
      <c r="Z881" s="2" t="str">
        <f>CHOOSE(MATCH(Y881,{0;11;80;111;161;191;241;281;341},1),"North","NorthEast","East","SouthEast","South","SouthWest","West","NorthWest","North")</f>
        <v>NorthWest</v>
      </c>
      <c r="AA881" s="4">
        <f>CHOOSE(MATCH(Z881,{"South";"SouthEast";"SouthWest";"North";"NorthEast";"East";"West";"NorthWest"},0),1,2,3,4,5,6,7,8)</f>
        <v>8</v>
      </c>
      <c r="AB881" s="2">
        <f t="shared" si="136"/>
        <v>1</v>
      </c>
      <c r="AC881">
        <v>1010.3</v>
      </c>
      <c r="AD881" t="s">
        <v>1356</v>
      </c>
      <c r="AE881" s="2">
        <f t="shared" si="137"/>
        <v>1</v>
      </c>
      <c r="AF881" t="s">
        <v>1357</v>
      </c>
      <c r="AG881" s="2">
        <f t="shared" si="138"/>
        <v>8</v>
      </c>
      <c r="AH881" s="2">
        <f t="shared" si="139"/>
        <v>1</v>
      </c>
      <c r="AI881" s="3">
        <v>34.000000006053597</v>
      </c>
      <c r="AJ881" s="2">
        <v>0</v>
      </c>
      <c r="AK881">
        <v>0</v>
      </c>
      <c r="AL881">
        <v>0.01</v>
      </c>
      <c r="AM881">
        <v>0</v>
      </c>
      <c r="AN881" s="2">
        <f>IF((2*G881+M881-O881+3*V881+2*AB881+2*AE881+2*AH881+3*AJ881)&gt;=7,1,0)</f>
        <v>1</v>
      </c>
    </row>
    <row r="882" spans="1:40" x14ac:dyDescent="0.25">
      <c r="A882" t="s">
        <v>27</v>
      </c>
      <c r="B882" s="1">
        <v>39663</v>
      </c>
      <c r="C882" s="6">
        <f t="shared" si="130"/>
        <v>2008</v>
      </c>
      <c r="D882">
        <v>80.7</v>
      </c>
      <c r="E882">
        <v>75.3</v>
      </c>
      <c r="F882">
        <v>77.8</v>
      </c>
      <c r="G882" s="2">
        <f t="shared" si="131"/>
        <v>1</v>
      </c>
      <c r="H882">
        <v>83.4</v>
      </c>
      <c r="I882">
        <v>75.3</v>
      </c>
      <c r="J882">
        <v>78.5</v>
      </c>
      <c r="K882">
        <v>66.7</v>
      </c>
      <c r="L882">
        <v>68.900000000000006</v>
      </c>
      <c r="M882" s="2">
        <f t="shared" si="132"/>
        <v>0</v>
      </c>
      <c r="N882">
        <v>0</v>
      </c>
      <c r="O882" s="2">
        <f t="shared" si="133"/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s="2">
        <f t="shared" si="134"/>
        <v>0</v>
      </c>
      <c r="W882">
        <v>24.2</v>
      </c>
      <c r="X882" s="2">
        <f t="shared" si="135"/>
        <v>1</v>
      </c>
      <c r="Y882">
        <v>305.3</v>
      </c>
      <c r="Z882" s="2" t="str">
        <f>CHOOSE(MATCH(Y882,{0;11;80;111;161;191;241;281;341},1),"North","NorthEast","East","SouthEast","South","SouthWest","West","NorthWest","North")</f>
        <v>NorthWest</v>
      </c>
      <c r="AA882" s="4">
        <f>CHOOSE(MATCH(Z882,{"South";"SouthEast";"SouthWest";"North";"NorthEast";"East";"West";"NorthWest"},0),1,2,3,4,5,6,7,8)</f>
        <v>8</v>
      </c>
      <c r="AB882" s="2">
        <f t="shared" si="136"/>
        <v>1</v>
      </c>
      <c r="AC882">
        <v>1010.3</v>
      </c>
      <c r="AD882" t="s">
        <v>1358</v>
      </c>
      <c r="AE882" s="2">
        <f t="shared" si="137"/>
        <v>1</v>
      </c>
      <c r="AF882" t="s">
        <v>1359</v>
      </c>
      <c r="AG882" s="2">
        <f t="shared" si="138"/>
        <v>8</v>
      </c>
      <c r="AH882" s="2">
        <f t="shared" si="139"/>
        <v>1</v>
      </c>
      <c r="AI882" s="3">
        <v>1441.0000000032601</v>
      </c>
      <c r="AJ882" s="2">
        <v>1</v>
      </c>
      <c r="AK882">
        <v>27</v>
      </c>
      <c r="AL882">
        <v>0</v>
      </c>
      <c r="AM882">
        <v>0</v>
      </c>
      <c r="AN882" s="2">
        <f>IF((2*G882+M882-O882+3*V882+2*AB882+2*AE882+2*AH882+3*AJ882)&gt;=7,1,0)</f>
        <v>1</v>
      </c>
    </row>
    <row r="883" spans="1:40" x14ac:dyDescent="0.25">
      <c r="A883" t="s">
        <v>27</v>
      </c>
      <c r="B883" s="1">
        <v>39666</v>
      </c>
      <c r="C883" s="6">
        <f t="shared" si="130"/>
        <v>2008</v>
      </c>
      <c r="D883">
        <v>84.3</v>
      </c>
      <c r="E883">
        <v>69.900000000000006</v>
      </c>
      <c r="F883">
        <v>78.5</v>
      </c>
      <c r="G883" s="2">
        <f t="shared" si="131"/>
        <v>1</v>
      </c>
      <c r="H883">
        <v>91.1</v>
      </c>
      <c r="I883">
        <v>69.900000000000006</v>
      </c>
      <c r="J883">
        <v>80.900000000000006</v>
      </c>
      <c r="K883">
        <v>64.599999999999994</v>
      </c>
      <c r="L883">
        <v>62.5</v>
      </c>
      <c r="M883" s="2">
        <f t="shared" si="132"/>
        <v>1</v>
      </c>
      <c r="N883">
        <v>0</v>
      </c>
      <c r="O883" s="2">
        <f t="shared" si="133"/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 s="2">
        <f t="shared" si="134"/>
        <v>0</v>
      </c>
      <c r="W883">
        <v>18.3</v>
      </c>
      <c r="X883" s="2">
        <f t="shared" si="135"/>
        <v>1</v>
      </c>
      <c r="Y883">
        <v>306.10000000000002</v>
      </c>
      <c r="Z883" s="2" t="str">
        <f>CHOOSE(MATCH(Y883,{0;11;80;111;161;191;241;281;341},1),"North","NorthEast","East","SouthEast","South","SouthWest","West","NorthWest","North")</f>
        <v>NorthWest</v>
      </c>
      <c r="AA883" s="4">
        <f>CHOOSE(MATCH(Z883,{"South";"SouthEast";"SouthWest";"North";"NorthEast";"East";"West";"NorthWest"},0),1,2,3,4,5,6,7,8)</f>
        <v>8</v>
      </c>
      <c r="AB883" s="2">
        <f t="shared" si="136"/>
        <v>1</v>
      </c>
      <c r="AC883">
        <v>1007</v>
      </c>
      <c r="AD883" t="s">
        <v>951</v>
      </c>
      <c r="AE883" s="2">
        <f t="shared" si="137"/>
        <v>1</v>
      </c>
      <c r="AF883" t="s">
        <v>1360</v>
      </c>
      <c r="AG883" s="2">
        <f t="shared" si="138"/>
        <v>8</v>
      </c>
      <c r="AH883" s="2">
        <f t="shared" si="139"/>
        <v>1</v>
      </c>
      <c r="AI883" s="3">
        <v>235.00000000116421</v>
      </c>
      <c r="AJ883" s="2">
        <v>0</v>
      </c>
      <c r="AK883">
        <v>0</v>
      </c>
      <c r="AL883">
        <v>1.5</v>
      </c>
      <c r="AM883">
        <v>0</v>
      </c>
      <c r="AN883" s="2">
        <f>IF((2*G883+M883-O883+3*V883+2*AB883+2*AE883+2*AH883+3*AJ883)&gt;=7,1,0)</f>
        <v>1</v>
      </c>
    </row>
    <row r="884" spans="1:40" x14ac:dyDescent="0.25">
      <c r="A884" t="s">
        <v>27</v>
      </c>
      <c r="B884" s="1">
        <v>39667</v>
      </c>
      <c r="C884" s="6">
        <f t="shared" si="130"/>
        <v>2008</v>
      </c>
      <c r="D884">
        <v>86.1</v>
      </c>
      <c r="E884">
        <v>75.3</v>
      </c>
      <c r="F884">
        <v>82.4</v>
      </c>
      <c r="G884" s="2">
        <f t="shared" si="131"/>
        <v>1</v>
      </c>
      <c r="H884">
        <v>90.8</v>
      </c>
      <c r="I884">
        <v>75.3</v>
      </c>
      <c r="J884">
        <v>85.5</v>
      </c>
      <c r="K884">
        <v>68.599999999999994</v>
      </c>
      <c r="L884">
        <v>63.3</v>
      </c>
      <c r="M884" s="2">
        <f t="shared" si="132"/>
        <v>1</v>
      </c>
      <c r="N884">
        <v>0</v>
      </c>
      <c r="O884" s="2">
        <f t="shared" si="133"/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 s="2">
        <f t="shared" si="134"/>
        <v>0</v>
      </c>
      <c r="W884">
        <v>20.8</v>
      </c>
      <c r="X884" s="2">
        <f t="shared" si="135"/>
        <v>1</v>
      </c>
      <c r="Y884">
        <v>303.60000000000002</v>
      </c>
      <c r="Z884" s="2" t="str">
        <f>CHOOSE(MATCH(Y884,{0;11;80;111;161;191;241;281;341},1),"North","NorthEast","East","SouthEast","South","SouthWest","West","NorthWest","North")</f>
        <v>NorthWest</v>
      </c>
      <c r="AA884" s="4">
        <f>CHOOSE(MATCH(Z884,{"South";"SouthEast";"SouthWest";"North";"NorthEast";"East";"West";"NorthWest"},0),1,2,3,4,5,6,7,8)</f>
        <v>8</v>
      </c>
      <c r="AB884" s="2">
        <f t="shared" si="136"/>
        <v>1</v>
      </c>
      <c r="AC884">
        <v>1006.8</v>
      </c>
      <c r="AD884" t="s">
        <v>699</v>
      </c>
      <c r="AE884" s="2">
        <f t="shared" si="137"/>
        <v>1</v>
      </c>
      <c r="AF884" t="s">
        <v>1361</v>
      </c>
      <c r="AG884" s="2">
        <f t="shared" si="138"/>
        <v>8</v>
      </c>
      <c r="AH884" s="2">
        <f t="shared" si="139"/>
        <v>1</v>
      </c>
      <c r="AI884" s="3">
        <v>3119.999999996508</v>
      </c>
      <c r="AJ884" s="2">
        <v>1</v>
      </c>
      <c r="AK884">
        <v>0</v>
      </c>
      <c r="AL884">
        <v>8</v>
      </c>
      <c r="AM884">
        <v>0</v>
      </c>
      <c r="AN884" s="2">
        <f>IF((2*G884+M884-O884+3*V884+2*AB884+2*AE884+2*AH884+3*AJ884)&gt;=7,1,0)</f>
        <v>1</v>
      </c>
    </row>
    <row r="885" spans="1:40" x14ac:dyDescent="0.25">
      <c r="A885" t="s">
        <v>27</v>
      </c>
      <c r="B885" s="1">
        <v>39669</v>
      </c>
      <c r="C885" s="6">
        <f t="shared" si="130"/>
        <v>2008</v>
      </c>
      <c r="D885">
        <v>86.1</v>
      </c>
      <c r="E885">
        <v>73.5</v>
      </c>
      <c r="F885">
        <v>81.5</v>
      </c>
      <c r="G885" s="2">
        <f t="shared" si="131"/>
        <v>1</v>
      </c>
      <c r="H885">
        <v>90.8</v>
      </c>
      <c r="I885">
        <v>73.5</v>
      </c>
      <c r="J885">
        <v>83</v>
      </c>
      <c r="K885">
        <v>65.8</v>
      </c>
      <c r="L885">
        <v>59.4</v>
      </c>
      <c r="M885" s="2">
        <f t="shared" si="132"/>
        <v>1</v>
      </c>
      <c r="N885">
        <v>0</v>
      </c>
      <c r="O885" s="2">
        <f t="shared" si="133"/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 s="2">
        <f t="shared" si="134"/>
        <v>0</v>
      </c>
      <c r="W885">
        <v>20.8</v>
      </c>
      <c r="X885" s="2">
        <f t="shared" si="135"/>
        <v>1</v>
      </c>
      <c r="Y885">
        <v>309</v>
      </c>
      <c r="Z885" s="2" t="str">
        <f>CHOOSE(MATCH(Y885,{0;11;80;111;161;191;241;281;341},1),"North","NorthEast","East","SouthEast","South","SouthWest","West","NorthWest","North")</f>
        <v>NorthWest</v>
      </c>
      <c r="AA885" s="4">
        <f>CHOOSE(MATCH(Z885,{"South";"SouthEast";"SouthWest";"North";"NorthEast";"East";"West";"NorthWest"},0),1,2,3,4,5,6,7,8)</f>
        <v>8</v>
      </c>
      <c r="AB885" s="2">
        <f t="shared" si="136"/>
        <v>1</v>
      </c>
      <c r="AC885">
        <v>1007.1</v>
      </c>
      <c r="AD885" t="s">
        <v>1331</v>
      </c>
      <c r="AE885" s="2">
        <f t="shared" si="137"/>
        <v>1</v>
      </c>
      <c r="AF885" t="s">
        <v>1362</v>
      </c>
      <c r="AG885" s="2">
        <f t="shared" si="138"/>
        <v>8</v>
      </c>
      <c r="AH885" s="2">
        <f t="shared" si="139"/>
        <v>1</v>
      </c>
      <c r="AI885" s="3">
        <v>195.00000000698489</v>
      </c>
      <c r="AJ885" s="2">
        <v>0</v>
      </c>
      <c r="AK885">
        <v>0</v>
      </c>
      <c r="AL885">
        <v>1</v>
      </c>
      <c r="AM885">
        <v>0</v>
      </c>
      <c r="AN885" s="2">
        <f>IF((2*G885+M885-O885+3*V885+2*AB885+2*AE885+2*AH885+3*AJ885)&gt;=7,1,0)</f>
        <v>1</v>
      </c>
    </row>
    <row r="886" spans="1:40" x14ac:dyDescent="0.25">
      <c r="A886" t="s">
        <v>27</v>
      </c>
      <c r="B886" s="1">
        <v>39670</v>
      </c>
      <c r="C886" s="6">
        <f t="shared" si="130"/>
        <v>2008</v>
      </c>
      <c r="D886">
        <v>86.1</v>
      </c>
      <c r="E886">
        <v>73.5</v>
      </c>
      <c r="F886">
        <v>79.900000000000006</v>
      </c>
      <c r="G886" s="2">
        <f t="shared" si="131"/>
        <v>1</v>
      </c>
      <c r="H886">
        <v>94.4</v>
      </c>
      <c r="I886">
        <v>73.5</v>
      </c>
      <c r="J886">
        <v>83.3</v>
      </c>
      <c r="K886">
        <v>69.3</v>
      </c>
      <c r="L886">
        <v>71.2</v>
      </c>
      <c r="M886" s="2">
        <f t="shared" si="132"/>
        <v>0</v>
      </c>
      <c r="N886">
        <v>0</v>
      </c>
      <c r="O886" s="2">
        <f t="shared" si="133"/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 s="2">
        <f t="shared" si="134"/>
        <v>0</v>
      </c>
      <c r="W886">
        <v>13.9</v>
      </c>
      <c r="X886" s="2">
        <f t="shared" si="135"/>
        <v>0</v>
      </c>
      <c r="Y886">
        <v>270</v>
      </c>
      <c r="Z886" s="2" t="str">
        <f>CHOOSE(MATCH(Y886,{0;11;80;111;161;191;241;281;341},1),"North","NorthEast","East","SouthEast","South","SouthWest","West","NorthWest","North")</f>
        <v>West</v>
      </c>
      <c r="AA886" s="4">
        <f>CHOOSE(MATCH(Z886,{"South";"SouthEast";"SouthWest";"North";"NorthEast";"East";"West";"NorthWest"},0),1,2,3,4,5,6,7,8)</f>
        <v>7</v>
      </c>
      <c r="AB886" s="2">
        <f t="shared" si="136"/>
        <v>0</v>
      </c>
      <c r="AC886">
        <v>1004.9</v>
      </c>
      <c r="AD886" t="s">
        <v>1363</v>
      </c>
      <c r="AE886" s="2">
        <f t="shared" si="137"/>
        <v>1</v>
      </c>
      <c r="AF886" t="s">
        <v>1364</v>
      </c>
      <c r="AG886" s="2">
        <f t="shared" si="138"/>
        <v>8</v>
      </c>
      <c r="AH886" s="2">
        <f t="shared" si="139"/>
        <v>1</v>
      </c>
      <c r="AI886" s="3">
        <v>3410.0000000093132</v>
      </c>
      <c r="AJ886" s="2">
        <v>1</v>
      </c>
      <c r="AK886">
        <v>0</v>
      </c>
      <c r="AL886">
        <v>30</v>
      </c>
      <c r="AM886">
        <v>0</v>
      </c>
      <c r="AN886" s="2">
        <f>IF((2*G886+M886-O886+3*V886+2*AB886+2*AE886+2*AH886+3*AJ886)&gt;=7,1,0)</f>
        <v>1</v>
      </c>
    </row>
    <row r="887" spans="1:40" x14ac:dyDescent="0.25">
      <c r="A887" t="s">
        <v>27</v>
      </c>
      <c r="B887" s="1">
        <v>39678</v>
      </c>
      <c r="C887" s="6">
        <f t="shared" si="130"/>
        <v>2008</v>
      </c>
      <c r="D887">
        <v>84.3</v>
      </c>
      <c r="E887">
        <v>73.5</v>
      </c>
      <c r="F887">
        <v>79</v>
      </c>
      <c r="G887" s="2">
        <f t="shared" si="131"/>
        <v>1</v>
      </c>
      <c r="H887">
        <v>91.1</v>
      </c>
      <c r="I887">
        <v>73.5</v>
      </c>
      <c r="J887">
        <v>81.599999999999994</v>
      </c>
      <c r="K887">
        <v>69</v>
      </c>
      <c r="L887">
        <v>71.7</v>
      </c>
      <c r="M887" s="2">
        <f t="shared" si="132"/>
        <v>0</v>
      </c>
      <c r="N887">
        <v>0</v>
      </c>
      <c r="O887" s="2">
        <f t="shared" si="133"/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 s="2">
        <f t="shared" si="134"/>
        <v>0</v>
      </c>
      <c r="W887">
        <v>10.3</v>
      </c>
      <c r="X887" s="2">
        <f t="shared" si="135"/>
        <v>0</v>
      </c>
      <c r="Y887">
        <v>297.39999999999998</v>
      </c>
      <c r="Z887" s="2" t="str">
        <f>CHOOSE(MATCH(Y887,{0;11;80;111;161;191;241;281;341},1),"North","NorthEast","East","SouthEast","South","SouthWest","West","NorthWest","North")</f>
        <v>NorthWest</v>
      </c>
      <c r="AA887" s="4">
        <f>CHOOSE(MATCH(Z887,{"South";"SouthEast";"SouthWest";"North";"NorthEast";"East";"West";"NorthWest"},0),1,2,3,4,5,6,7,8)</f>
        <v>8</v>
      </c>
      <c r="AB887" s="2">
        <f t="shared" si="136"/>
        <v>1</v>
      </c>
      <c r="AC887">
        <v>1008.3</v>
      </c>
      <c r="AD887" t="s">
        <v>346</v>
      </c>
      <c r="AE887" s="2">
        <f t="shared" si="137"/>
        <v>1</v>
      </c>
      <c r="AF887" t="s">
        <v>1365</v>
      </c>
      <c r="AG887" s="2">
        <f t="shared" si="138"/>
        <v>8</v>
      </c>
      <c r="AH887" s="2">
        <f t="shared" si="139"/>
        <v>1</v>
      </c>
      <c r="AI887" s="3">
        <v>59.99999999650754</v>
      </c>
      <c r="AJ887" s="2">
        <v>0</v>
      </c>
      <c r="AK887">
        <v>0</v>
      </c>
      <c r="AL887">
        <v>0.04</v>
      </c>
      <c r="AM887">
        <v>0</v>
      </c>
      <c r="AN887" s="2">
        <f>IF((2*G887+M887-O887+3*V887+2*AB887+2*AE887+2*AH887+3*AJ887)&gt;=7,1,0)</f>
        <v>1</v>
      </c>
    </row>
    <row r="888" spans="1:40" x14ac:dyDescent="0.25">
      <c r="A888" t="s">
        <v>27</v>
      </c>
      <c r="B888" s="1">
        <v>39680</v>
      </c>
      <c r="C888" s="6">
        <f t="shared" si="130"/>
        <v>2008</v>
      </c>
      <c r="D888">
        <v>84.3</v>
      </c>
      <c r="E888">
        <v>71.7</v>
      </c>
      <c r="F888">
        <v>78.5</v>
      </c>
      <c r="G888" s="2">
        <f t="shared" si="131"/>
        <v>1</v>
      </c>
      <c r="H888">
        <v>91.1</v>
      </c>
      <c r="I888">
        <v>71.7</v>
      </c>
      <c r="J888">
        <v>81</v>
      </c>
      <c r="K888">
        <v>70.7</v>
      </c>
      <c r="L888">
        <v>77.3</v>
      </c>
      <c r="M888" s="2">
        <f t="shared" si="132"/>
        <v>0</v>
      </c>
      <c r="N888">
        <v>0</v>
      </c>
      <c r="O888" s="2">
        <f t="shared" si="133"/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 s="2">
        <f t="shared" si="134"/>
        <v>0</v>
      </c>
      <c r="W888">
        <v>19.5</v>
      </c>
      <c r="X888" s="2">
        <f t="shared" si="135"/>
        <v>1</v>
      </c>
      <c r="Y888">
        <v>318.5</v>
      </c>
      <c r="Z888" s="2" t="str">
        <f>CHOOSE(MATCH(Y888,{0;11;80;111;161;191;241;281;341},1),"North","NorthEast","East","SouthEast","South","SouthWest","West","NorthWest","North")</f>
        <v>NorthWest</v>
      </c>
      <c r="AA888" s="4">
        <f>CHOOSE(MATCH(Z888,{"South";"SouthEast";"SouthWest";"North";"NorthEast";"East";"West";"NorthWest"},0),1,2,3,4,5,6,7,8)</f>
        <v>8</v>
      </c>
      <c r="AB888" s="2">
        <f t="shared" si="136"/>
        <v>1</v>
      </c>
      <c r="AC888">
        <v>1008.2</v>
      </c>
      <c r="AD888" t="s">
        <v>1363</v>
      </c>
      <c r="AE888" s="2">
        <f t="shared" si="137"/>
        <v>1</v>
      </c>
      <c r="AF888" t="s">
        <v>1366</v>
      </c>
      <c r="AG888" s="2">
        <f t="shared" si="138"/>
        <v>8</v>
      </c>
      <c r="AH888" s="2">
        <f t="shared" si="139"/>
        <v>1</v>
      </c>
      <c r="AI888" s="3">
        <v>825.00000000698492</v>
      </c>
      <c r="AJ888" s="2">
        <v>1</v>
      </c>
      <c r="AK888">
        <v>30</v>
      </c>
      <c r="AL888">
        <v>0</v>
      </c>
      <c r="AM888">
        <v>0</v>
      </c>
      <c r="AN888" s="2">
        <f>IF((2*G888+M888-O888+3*V888+2*AB888+2*AE888+2*AH888+3*AJ888)&gt;=7,1,0)</f>
        <v>1</v>
      </c>
    </row>
    <row r="889" spans="1:40" x14ac:dyDescent="0.25">
      <c r="A889" t="s">
        <v>27</v>
      </c>
      <c r="B889" s="1">
        <v>39685</v>
      </c>
      <c r="C889" s="6">
        <f t="shared" si="130"/>
        <v>2008</v>
      </c>
      <c r="D889">
        <v>87.9</v>
      </c>
      <c r="E889">
        <v>73.5</v>
      </c>
      <c r="F889">
        <v>81.099999999999994</v>
      </c>
      <c r="G889" s="2">
        <f t="shared" si="131"/>
        <v>1</v>
      </c>
      <c r="H889">
        <v>97.4</v>
      </c>
      <c r="I889">
        <v>73.5</v>
      </c>
      <c r="J889">
        <v>84.8</v>
      </c>
      <c r="K889">
        <v>67.099999999999994</v>
      </c>
      <c r="L889">
        <v>63</v>
      </c>
      <c r="M889" s="2">
        <f t="shared" si="132"/>
        <v>1</v>
      </c>
      <c r="N889">
        <v>0</v>
      </c>
      <c r="O889" s="2">
        <f t="shared" si="133"/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 s="2">
        <f t="shared" si="134"/>
        <v>0</v>
      </c>
      <c r="W889">
        <v>9.1999999999999993</v>
      </c>
      <c r="X889" s="2">
        <f t="shared" si="135"/>
        <v>0</v>
      </c>
      <c r="Y889">
        <v>140.4</v>
      </c>
      <c r="Z889" s="2" t="str">
        <f>CHOOSE(MATCH(Y889,{0;11;80;111;161;191;241;281;341},1),"North","NorthEast","East","SouthEast","South","SouthWest","West","NorthWest","North")</f>
        <v>SouthEast</v>
      </c>
      <c r="AA889" s="4">
        <f>CHOOSE(MATCH(Z889,{"South";"SouthEast";"SouthWest";"North";"NorthEast";"East";"West";"NorthWest"},0),1,2,3,4,5,6,7,8)</f>
        <v>2</v>
      </c>
      <c r="AB889" s="2">
        <f t="shared" si="136"/>
        <v>0</v>
      </c>
      <c r="AC889">
        <v>1008.5</v>
      </c>
      <c r="AD889" t="s">
        <v>1019</v>
      </c>
      <c r="AE889" s="2">
        <f t="shared" si="137"/>
        <v>1</v>
      </c>
      <c r="AF889" t="s">
        <v>1367</v>
      </c>
      <c r="AG889" s="2">
        <f t="shared" si="138"/>
        <v>8</v>
      </c>
      <c r="AH889" s="2">
        <f t="shared" si="139"/>
        <v>1</v>
      </c>
      <c r="AI889" s="3">
        <v>4344.9999999976717</v>
      </c>
      <c r="AJ889" s="2">
        <v>1</v>
      </c>
      <c r="AK889">
        <v>0</v>
      </c>
      <c r="AL889">
        <v>125</v>
      </c>
      <c r="AM889">
        <v>0</v>
      </c>
      <c r="AN889" s="2">
        <f>IF((2*G889+M889-O889+3*V889+2*AB889+2*AE889+2*AH889+3*AJ889)&gt;=7,1,0)</f>
        <v>1</v>
      </c>
    </row>
    <row r="890" spans="1:40" x14ac:dyDescent="0.25">
      <c r="A890" t="s">
        <v>27</v>
      </c>
      <c r="B890" s="1">
        <v>39685</v>
      </c>
      <c r="C890" s="6">
        <f t="shared" si="130"/>
        <v>2008</v>
      </c>
      <c r="D890">
        <v>87.9</v>
      </c>
      <c r="E890">
        <v>73.5</v>
      </c>
      <c r="F890">
        <v>81.099999999999994</v>
      </c>
      <c r="G890" s="2">
        <f t="shared" si="131"/>
        <v>1</v>
      </c>
      <c r="H890">
        <v>97.4</v>
      </c>
      <c r="I890">
        <v>73.5</v>
      </c>
      <c r="J890">
        <v>84.8</v>
      </c>
      <c r="K890">
        <v>67.099999999999994</v>
      </c>
      <c r="L890">
        <v>63</v>
      </c>
      <c r="M890" s="2">
        <f t="shared" si="132"/>
        <v>1</v>
      </c>
      <c r="N890">
        <v>0</v>
      </c>
      <c r="O890" s="2">
        <f t="shared" si="133"/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 s="2">
        <f t="shared" si="134"/>
        <v>0</v>
      </c>
      <c r="W890">
        <v>9.1999999999999993</v>
      </c>
      <c r="X890" s="2">
        <f t="shared" si="135"/>
        <v>0</v>
      </c>
      <c r="Y890">
        <v>140.4</v>
      </c>
      <c r="Z890" s="2" t="str">
        <f>CHOOSE(MATCH(Y890,{0;11;80;111;161;191;241;281;341},1),"North","NorthEast","East","SouthEast","South","SouthWest","West","NorthWest","North")</f>
        <v>SouthEast</v>
      </c>
      <c r="AA890" s="4">
        <f>CHOOSE(MATCH(Z890,{"South";"SouthEast";"SouthWest";"North";"NorthEast";"East";"West";"NorthWest"},0),1,2,3,4,5,6,7,8)</f>
        <v>2</v>
      </c>
      <c r="AB890" s="2">
        <f t="shared" si="136"/>
        <v>0</v>
      </c>
      <c r="AC890">
        <v>1008.5</v>
      </c>
      <c r="AD890" t="s">
        <v>268</v>
      </c>
      <c r="AE890" s="2">
        <f t="shared" si="137"/>
        <v>1</v>
      </c>
      <c r="AF890" t="s">
        <v>1368</v>
      </c>
      <c r="AG890" s="2">
        <f t="shared" si="138"/>
        <v>8</v>
      </c>
      <c r="AH890" s="2">
        <f t="shared" si="139"/>
        <v>1</v>
      </c>
      <c r="AI890" s="3">
        <v>4294.9999999918509</v>
      </c>
      <c r="AJ890" s="2">
        <v>1</v>
      </c>
      <c r="AK890">
        <v>0</v>
      </c>
      <c r="AL890">
        <v>200</v>
      </c>
      <c r="AM890">
        <v>0</v>
      </c>
      <c r="AN890" s="2">
        <f>IF((2*G890+M890-O890+3*V890+2*AB890+2*AE890+2*AH890+3*AJ890)&gt;=7,1,0)</f>
        <v>1</v>
      </c>
    </row>
    <row r="891" spans="1:40" x14ac:dyDescent="0.25">
      <c r="A891" t="s">
        <v>27</v>
      </c>
      <c r="B891" s="1">
        <v>39686</v>
      </c>
      <c r="C891" s="6">
        <f t="shared" si="130"/>
        <v>2008</v>
      </c>
      <c r="D891">
        <v>86.1</v>
      </c>
      <c r="E891">
        <v>71.7</v>
      </c>
      <c r="F891">
        <v>79.400000000000006</v>
      </c>
      <c r="G891" s="2">
        <f t="shared" si="131"/>
        <v>1</v>
      </c>
      <c r="H891">
        <v>96.4</v>
      </c>
      <c r="I891">
        <v>71.7</v>
      </c>
      <c r="J891">
        <v>83.2</v>
      </c>
      <c r="K891">
        <v>71</v>
      </c>
      <c r="L891">
        <v>75.8</v>
      </c>
      <c r="M891" s="2">
        <f t="shared" si="132"/>
        <v>0</v>
      </c>
      <c r="N891">
        <v>0</v>
      </c>
      <c r="O891" s="2">
        <f t="shared" si="133"/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 s="2">
        <f t="shared" si="134"/>
        <v>0</v>
      </c>
      <c r="W891">
        <v>9.1999999999999993</v>
      </c>
      <c r="X891" s="2">
        <f t="shared" si="135"/>
        <v>0</v>
      </c>
      <c r="Y891">
        <v>318.3</v>
      </c>
      <c r="Z891" s="2" t="str">
        <f>CHOOSE(MATCH(Y891,{0;11;80;111;161;191;241;281;341},1),"North","NorthEast","East","SouthEast","South","SouthWest","West","NorthWest","North")</f>
        <v>NorthWest</v>
      </c>
      <c r="AA891" s="4">
        <f>CHOOSE(MATCH(Z891,{"South";"SouthEast";"SouthWest";"North";"NorthEast";"East";"West";"NorthWest"},0),1,2,3,4,5,6,7,8)</f>
        <v>8</v>
      </c>
      <c r="AB891" s="2">
        <f t="shared" si="136"/>
        <v>1</v>
      </c>
      <c r="AC891">
        <v>1011.9</v>
      </c>
      <c r="AD891" t="s">
        <v>607</v>
      </c>
      <c r="AE891" s="2">
        <f t="shared" si="137"/>
        <v>1</v>
      </c>
      <c r="AF891" t="s">
        <v>1369</v>
      </c>
      <c r="AG891" s="2">
        <f t="shared" si="138"/>
        <v>8</v>
      </c>
      <c r="AH891" s="2">
        <f t="shared" si="139"/>
        <v>1</v>
      </c>
      <c r="AI891" s="3">
        <v>315</v>
      </c>
      <c r="AJ891" s="2">
        <v>0</v>
      </c>
      <c r="AK891">
        <v>0</v>
      </c>
      <c r="AL891">
        <v>1</v>
      </c>
      <c r="AM891">
        <v>0</v>
      </c>
      <c r="AN891" s="2">
        <f>IF((2*G891+M891-O891+3*V891+2*AB891+2*AE891+2*AH891+3*AJ891)&gt;=7,1,0)</f>
        <v>1</v>
      </c>
    </row>
    <row r="892" spans="1:40" x14ac:dyDescent="0.25">
      <c r="A892" t="s">
        <v>27</v>
      </c>
      <c r="B892" s="1">
        <v>39690</v>
      </c>
      <c r="C892" s="6">
        <f t="shared" si="130"/>
        <v>2008</v>
      </c>
      <c r="D892">
        <v>84.3</v>
      </c>
      <c r="E892">
        <v>69.900000000000006</v>
      </c>
      <c r="F892">
        <v>77</v>
      </c>
      <c r="G892" s="2">
        <f t="shared" si="131"/>
        <v>1</v>
      </c>
      <c r="H892">
        <v>92.7</v>
      </c>
      <c r="I892">
        <v>69.900000000000006</v>
      </c>
      <c r="J892">
        <v>79.099999999999994</v>
      </c>
      <c r="K892">
        <v>69.599999999999994</v>
      </c>
      <c r="L892">
        <v>78.2</v>
      </c>
      <c r="M892" s="2">
        <f t="shared" si="132"/>
        <v>0</v>
      </c>
      <c r="N892">
        <v>0</v>
      </c>
      <c r="O892" s="2">
        <f t="shared" si="133"/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 s="2">
        <f t="shared" si="134"/>
        <v>0</v>
      </c>
      <c r="W892">
        <v>16.100000000000001</v>
      </c>
      <c r="X892" s="2">
        <f t="shared" si="135"/>
        <v>1</v>
      </c>
      <c r="Y892">
        <v>307.7</v>
      </c>
      <c r="Z892" s="2" t="str">
        <f>CHOOSE(MATCH(Y892,{0;11;80;111;161;191;241;281;341},1),"North","NorthEast","East","SouthEast","South","SouthWest","West","NorthWest","North")</f>
        <v>NorthWest</v>
      </c>
      <c r="AA892" s="4">
        <f>CHOOSE(MATCH(Z892,{"South";"SouthEast";"SouthWest";"North";"NorthEast";"East";"West";"NorthWest"},0),1,2,3,4,5,6,7,8)</f>
        <v>8</v>
      </c>
      <c r="AB892" s="2">
        <f t="shared" si="136"/>
        <v>1</v>
      </c>
      <c r="AC892">
        <v>1010</v>
      </c>
      <c r="AD892" t="s">
        <v>753</v>
      </c>
      <c r="AE892" s="2">
        <f t="shared" si="137"/>
        <v>1</v>
      </c>
      <c r="AF892" t="s">
        <v>1370</v>
      </c>
      <c r="AG892" s="2">
        <f t="shared" si="138"/>
        <v>8</v>
      </c>
      <c r="AH892" s="2">
        <f t="shared" si="139"/>
        <v>1</v>
      </c>
      <c r="AI892" s="3">
        <v>1689.9999999976719</v>
      </c>
      <c r="AJ892" s="2">
        <v>1</v>
      </c>
      <c r="AK892">
        <v>0</v>
      </c>
      <c r="AL892">
        <v>70</v>
      </c>
      <c r="AM892">
        <v>0</v>
      </c>
      <c r="AN892" s="2">
        <f>IF((2*G892+M892-O892+3*V892+2*AB892+2*AE892+2*AH892+3*AJ892)&gt;=7,1,0)</f>
        <v>1</v>
      </c>
    </row>
    <row r="893" spans="1:40" x14ac:dyDescent="0.25">
      <c r="A893" t="s">
        <v>27</v>
      </c>
      <c r="B893" s="1">
        <v>39690</v>
      </c>
      <c r="C893" s="6">
        <f t="shared" si="130"/>
        <v>2008</v>
      </c>
      <c r="D893">
        <v>84.3</v>
      </c>
      <c r="E893">
        <v>69.900000000000006</v>
      </c>
      <c r="F893">
        <v>77</v>
      </c>
      <c r="G893" s="2">
        <f t="shared" si="131"/>
        <v>1</v>
      </c>
      <c r="H893">
        <v>92.7</v>
      </c>
      <c r="I893">
        <v>69.900000000000006</v>
      </c>
      <c r="J893">
        <v>79.099999999999994</v>
      </c>
      <c r="K893">
        <v>69.599999999999994</v>
      </c>
      <c r="L893">
        <v>78.2</v>
      </c>
      <c r="M893" s="2">
        <f t="shared" si="132"/>
        <v>0</v>
      </c>
      <c r="N893">
        <v>0</v>
      </c>
      <c r="O893" s="2">
        <f t="shared" si="133"/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 s="2">
        <f t="shared" si="134"/>
        <v>0</v>
      </c>
      <c r="W893">
        <v>16.100000000000001</v>
      </c>
      <c r="X893" s="2">
        <f t="shared" si="135"/>
        <v>1</v>
      </c>
      <c r="Y893">
        <v>307.7</v>
      </c>
      <c r="Z893" s="2" t="str">
        <f>CHOOSE(MATCH(Y893,{0;11;80;111;161;191;241;281;341},1),"North","NorthEast","East","SouthEast","South","SouthWest","West","NorthWest","North")</f>
        <v>NorthWest</v>
      </c>
      <c r="AA893" s="4">
        <f>CHOOSE(MATCH(Z893,{"South";"SouthEast";"SouthWest";"North";"NorthEast";"East";"West";"NorthWest"},0),1,2,3,4,5,6,7,8)</f>
        <v>8</v>
      </c>
      <c r="AB893" s="2">
        <f t="shared" si="136"/>
        <v>1</v>
      </c>
      <c r="AC893">
        <v>1010</v>
      </c>
      <c r="AD893" t="s">
        <v>403</v>
      </c>
      <c r="AE893" s="2">
        <f t="shared" si="137"/>
        <v>1</v>
      </c>
      <c r="AF893" t="s">
        <v>1371</v>
      </c>
      <c r="AG893" s="2">
        <f t="shared" si="138"/>
        <v>8</v>
      </c>
      <c r="AH893" s="2">
        <f t="shared" si="139"/>
        <v>1</v>
      </c>
      <c r="AI893" s="3">
        <v>300.00000000349252</v>
      </c>
      <c r="AJ893" s="2">
        <v>0</v>
      </c>
      <c r="AK893">
        <v>0</v>
      </c>
      <c r="AL893">
        <v>2</v>
      </c>
      <c r="AM893">
        <v>0</v>
      </c>
      <c r="AN893" s="2">
        <f>IF((2*G893+M893-O893+3*V893+2*AB893+2*AE893+2*AH893+3*AJ893)&gt;=7,1,0)</f>
        <v>1</v>
      </c>
    </row>
    <row r="894" spans="1:40" x14ac:dyDescent="0.25">
      <c r="A894" t="s">
        <v>27</v>
      </c>
      <c r="B894" s="1">
        <v>39691</v>
      </c>
      <c r="C894" s="6">
        <f t="shared" si="130"/>
        <v>2008</v>
      </c>
      <c r="D894">
        <v>82.5</v>
      </c>
      <c r="E894">
        <v>69.900000000000006</v>
      </c>
      <c r="F894">
        <v>77.5</v>
      </c>
      <c r="G894" s="2">
        <f t="shared" si="131"/>
        <v>1</v>
      </c>
      <c r="H894">
        <v>87.4</v>
      </c>
      <c r="I894">
        <v>69.900000000000006</v>
      </c>
      <c r="J894">
        <v>78.900000000000006</v>
      </c>
      <c r="K894">
        <v>69.5</v>
      </c>
      <c r="L894">
        <v>77</v>
      </c>
      <c r="M894" s="2">
        <f t="shared" si="132"/>
        <v>0</v>
      </c>
      <c r="N894">
        <v>0</v>
      </c>
      <c r="O894" s="2">
        <f t="shared" si="133"/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 s="2">
        <f t="shared" si="134"/>
        <v>0</v>
      </c>
      <c r="W894">
        <v>19.5</v>
      </c>
      <c r="X894" s="2">
        <f t="shared" si="135"/>
        <v>1</v>
      </c>
      <c r="Y894">
        <v>307.39999999999998</v>
      </c>
      <c r="Z894" s="2" t="str">
        <f>CHOOSE(MATCH(Y894,{0;11;80;111;161;191;241;281;341},1),"North","NorthEast","East","SouthEast","South","SouthWest","West","NorthWest","North")</f>
        <v>NorthWest</v>
      </c>
      <c r="AA894" s="4">
        <f>CHOOSE(MATCH(Z894,{"South";"SouthEast";"SouthWest";"North";"NorthEast";"East";"West";"NorthWest"},0),1,2,3,4,5,6,7,8)</f>
        <v>8</v>
      </c>
      <c r="AB894" s="2">
        <f t="shared" si="136"/>
        <v>1</v>
      </c>
      <c r="AC894">
        <v>1010.8</v>
      </c>
      <c r="AD894" t="s">
        <v>1372</v>
      </c>
      <c r="AE894" s="2">
        <f t="shared" si="137"/>
        <v>1</v>
      </c>
      <c r="AF894" t="s">
        <v>1373</v>
      </c>
      <c r="AG894" s="2">
        <f t="shared" si="138"/>
        <v>8</v>
      </c>
      <c r="AH894" s="2">
        <f t="shared" si="139"/>
        <v>1</v>
      </c>
      <c r="AI894" s="3">
        <v>49.999999995343387</v>
      </c>
      <c r="AJ894" s="2">
        <v>0</v>
      </c>
      <c r="AK894">
        <v>0</v>
      </c>
      <c r="AL894">
        <v>0.01</v>
      </c>
      <c r="AM894">
        <v>0</v>
      </c>
      <c r="AN894" s="2">
        <f>IF((2*G894+M894-O894+3*V894+2*AB894+2*AE894+2*AH894+3*AJ894)&gt;=7,1,0)</f>
        <v>1</v>
      </c>
    </row>
    <row r="895" spans="1:40" x14ac:dyDescent="0.25">
      <c r="A895" t="s">
        <v>27</v>
      </c>
      <c r="B895" s="1">
        <v>39692</v>
      </c>
      <c r="C895" s="6">
        <f t="shared" si="130"/>
        <v>2008</v>
      </c>
      <c r="D895">
        <v>82.5</v>
      </c>
      <c r="E895">
        <v>73.5</v>
      </c>
      <c r="F895">
        <v>77</v>
      </c>
      <c r="G895" s="2">
        <f t="shared" si="131"/>
        <v>1</v>
      </c>
      <c r="H895">
        <v>84.8</v>
      </c>
      <c r="I895">
        <v>73.5</v>
      </c>
      <c r="J895">
        <v>77.2</v>
      </c>
      <c r="K895">
        <v>66.8</v>
      </c>
      <c r="L895">
        <v>70.900000000000006</v>
      </c>
      <c r="M895" s="2">
        <f t="shared" si="132"/>
        <v>0</v>
      </c>
      <c r="N895">
        <v>0</v>
      </c>
      <c r="O895" s="2">
        <f t="shared" si="133"/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s="2">
        <f t="shared" si="134"/>
        <v>0</v>
      </c>
      <c r="W895">
        <v>23</v>
      </c>
      <c r="X895" s="2">
        <f t="shared" si="135"/>
        <v>1</v>
      </c>
      <c r="Y895">
        <v>315.10000000000002</v>
      </c>
      <c r="Z895" s="2" t="str">
        <f>CHOOSE(MATCH(Y895,{0;11;80;111;161;191;241;281;341},1),"North","NorthEast","East","SouthEast","South","SouthWest","West","NorthWest","North")</f>
        <v>NorthWest</v>
      </c>
      <c r="AA895" s="4">
        <f>CHOOSE(MATCH(Z895,{"South";"SouthEast";"SouthWest";"North";"NorthEast";"East";"West";"NorthWest"},0),1,2,3,4,5,6,7,8)</f>
        <v>8</v>
      </c>
      <c r="AB895" s="2">
        <f t="shared" si="136"/>
        <v>1</v>
      </c>
      <c r="AC895">
        <v>1013.3</v>
      </c>
      <c r="AD895" t="s">
        <v>609</v>
      </c>
      <c r="AE895" s="2">
        <f t="shared" si="137"/>
        <v>1</v>
      </c>
      <c r="AF895" t="s">
        <v>1374</v>
      </c>
      <c r="AG895" s="2">
        <f t="shared" si="138"/>
        <v>9</v>
      </c>
      <c r="AH895" s="2">
        <f t="shared" si="139"/>
        <v>0</v>
      </c>
      <c r="AI895" s="3">
        <v>214.99999999883579</v>
      </c>
      <c r="AJ895" s="2">
        <v>0</v>
      </c>
      <c r="AK895">
        <v>0</v>
      </c>
      <c r="AL895">
        <v>2.5</v>
      </c>
      <c r="AM895">
        <v>0</v>
      </c>
      <c r="AN895" s="2">
        <f>IF((2*G895+M895-O895+3*V895+2*AB895+2*AE895+2*AH895+3*AJ895)&gt;=7,1,0)</f>
        <v>0</v>
      </c>
    </row>
    <row r="896" spans="1:40" x14ac:dyDescent="0.25">
      <c r="A896" t="s">
        <v>27</v>
      </c>
      <c r="B896" s="1">
        <v>39697</v>
      </c>
      <c r="C896" s="6">
        <f t="shared" si="130"/>
        <v>2008</v>
      </c>
      <c r="D896">
        <v>84.3</v>
      </c>
      <c r="E896">
        <v>71.7</v>
      </c>
      <c r="F896">
        <v>79.2</v>
      </c>
      <c r="G896" s="2">
        <f t="shared" si="131"/>
        <v>1</v>
      </c>
      <c r="H896">
        <v>88.6</v>
      </c>
      <c r="I896">
        <v>71.7</v>
      </c>
      <c r="J896">
        <v>80.400000000000006</v>
      </c>
      <c r="K896">
        <v>65.8</v>
      </c>
      <c r="L896">
        <v>64.099999999999994</v>
      </c>
      <c r="M896" s="2">
        <f t="shared" si="132"/>
        <v>1</v>
      </c>
      <c r="N896">
        <v>0</v>
      </c>
      <c r="O896" s="2">
        <f t="shared" si="133"/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 s="2">
        <f t="shared" si="134"/>
        <v>0</v>
      </c>
      <c r="W896">
        <v>17.2</v>
      </c>
      <c r="X896" s="2">
        <f t="shared" si="135"/>
        <v>1</v>
      </c>
      <c r="Y896">
        <v>306.5</v>
      </c>
      <c r="Z896" s="2" t="str">
        <f>CHOOSE(MATCH(Y896,{0;11;80;111;161;191;241;281;341},1),"North","NorthEast","East","SouthEast","South","SouthWest","West","NorthWest","North")</f>
        <v>NorthWest</v>
      </c>
      <c r="AA896" s="4">
        <f>CHOOSE(MATCH(Z896,{"South";"SouthEast";"SouthWest";"North";"NorthEast";"East";"West";"NorthWest"},0),1,2,3,4,5,6,7,8)</f>
        <v>8</v>
      </c>
      <c r="AB896" s="2">
        <f t="shared" si="136"/>
        <v>1</v>
      </c>
      <c r="AC896">
        <v>1011.7</v>
      </c>
      <c r="AD896" t="s">
        <v>1022</v>
      </c>
      <c r="AE896" s="2">
        <f t="shared" si="137"/>
        <v>1</v>
      </c>
      <c r="AF896" t="s">
        <v>1375</v>
      </c>
      <c r="AG896" s="2">
        <f t="shared" si="138"/>
        <v>9</v>
      </c>
      <c r="AH896" s="2">
        <f t="shared" si="139"/>
        <v>0</v>
      </c>
      <c r="AI896" s="3">
        <v>369.99999999068677</v>
      </c>
      <c r="AJ896" s="2">
        <v>1</v>
      </c>
      <c r="AK896">
        <v>0</v>
      </c>
      <c r="AL896">
        <v>2</v>
      </c>
      <c r="AM896">
        <v>0</v>
      </c>
      <c r="AN896" s="2">
        <f>IF((2*G896+M896-O896+3*V896+2*AB896+2*AE896+2*AH896+3*AJ896)&gt;=7,1,0)</f>
        <v>1</v>
      </c>
    </row>
    <row r="897" spans="1:40" x14ac:dyDescent="0.25">
      <c r="A897" t="s">
        <v>27</v>
      </c>
      <c r="B897" s="1">
        <v>39699</v>
      </c>
      <c r="C897" s="6">
        <f t="shared" si="130"/>
        <v>2008</v>
      </c>
      <c r="D897">
        <v>82.5</v>
      </c>
      <c r="E897">
        <v>69.900000000000006</v>
      </c>
      <c r="F897">
        <v>78.5</v>
      </c>
      <c r="G897" s="2">
        <f t="shared" si="131"/>
        <v>1</v>
      </c>
      <c r="H897">
        <v>86.4</v>
      </c>
      <c r="I897">
        <v>69.900000000000006</v>
      </c>
      <c r="J897">
        <v>79.599999999999994</v>
      </c>
      <c r="K897">
        <v>65</v>
      </c>
      <c r="L897">
        <v>63.5</v>
      </c>
      <c r="M897" s="2">
        <f t="shared" si="132"/>
        <v>1</v>
      </c>
      <c r="N897">
        <v>0</v>
      </c>
      <c r="O897" s="2">
        <f t="shared" si="133"/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 s="2">
        <f t="shared" si="134"/>
        <v>0</v>
      </c>
      <c r="W897">
        <v>21.9</v>
      </c>
      <c r="X897" s="2">
        <f t="shared" si="135"/>
        <v>1</v>
      </c>
      <c r="Y897">
        <v>307</v>
      </c>
      <c r="Z897" s="2" t="str">
        <f>CHOOSE(MATCH(Y897,{0;11;80;111;161;191;241;281;341},1),"North","NorthEast","East","SouthEast","South","SouthWest","West","NorthWest","North")</f>
        <v>NorthWest</v>
      </c>
      <c r="AA897" s="4">
        <f>CHOOSE(MATCH(Z897,{"South";"SouthEast";"SouthWest";"North";"NorthEast";"East";"West";"NorthWest"},0),1,2,3,4,5,6,7,8)</f>
        <v>8</v>
      </c>
      <c r="AB897" s="2">
        <f t="shared" si="136"/>
        <v>1</v>
      </c>
      <c r="AC897">
        <v>1010.5</v>
      </c>
      <c r="AD897" t="s">
        <v>616</v>
      </c>
      <c r="AE897" s="2">
        <f t="shared" si="137"/>
        <v>1</v>
      </c>
      <c r="AF897" t="s">
        <v>1376</v>
      </c>
      <c r="AG897" s="2">
        <f t="shared" si="138"/>
        <v>9</v>
      </c>
      <c r="AH897" s="2">
        <f t="shared" si="139"/>
        <v>0</v>
      </c>
      <c r="AI897" s="3">
        <v>1155.000000003492</v>
      </c>
      <c r="AJ897" s="2">
        <v>1</v>
      </c>
      <c r="AK897">
        <v>0</v>
      </c>
      <c r="AL897">
        <v>5</v>
      </c>
      <c r="AM897">
        <v>0</v>
      </c>
      <c r="AN897" s="2">
        <f>IF((2*G897+M897-O897+3*V897+2*AB897+2*AE897+2*AH897+3*AJ897)&gt;=7,1,0)</f>
        <v>1</v>
      </c>
    </row>
    <row r="898" spans="1:40" x14ac:dyDescent="0.25">
      <c r="A898" t="s">
        <v>27</v>
      </c>
      <c r="B898" s="1">
        <v>39700</v>
      </c>
      <c r="C898" s="6">
        <f t="shared" si="130"/>
        <v>2008</v>
      </c>
      <c r="D898">
        <v>87.9</v>
      </c>
      <c r="E898">
        <v>71.7</v>
      </c>
      <c r="F898">
        <v>80.8</v>
      </c>
      <c r="G898" s="2">
        <f t="shared" si="131"/>
        <v>1</v>
      </c>
      <c r="H898">
        <v>88.6</v>
      </c>
      <c r="I898">
        <v>71.7</v>
      </c>
      <c r="J898">
        <v>81.7</v>
      </c>
      <c r="K898">
        <v>64.099999999999994</v>
      </c>
      <c r="L898">
        <v>57.7</v>
      </c>
      <c r="M898" s="2">
        <f t="shared" si="132"/>
        <v>1</v>
      </c>
      <c r="N898">
        <v>0</v>
      </c>
      <c r="O898" s="2">
        <f t="shared" si="133"/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 s="2">
        <f t="shared" si="134"/>
        <v>0</v>
      </c>
      <c r="W898">
        <v>18.3</v>
      </c>
      <c r="X898" s="2">
        <f t="shared" si="135"/>
        <v>1</v>
      </c>
      <c r="Y898">
        <v>306.10000000000002</v>
      </c>
      <c r="Z898" s="2" t="str">
        <f>CHOOSE(MATCH(Y898,{0;11;80;111;161;191;241;281;341},1),"North","NorthEast","East","SouthEast","South","SouthWest","West","NorthWest","North")</f>
        <v>NorthWest</v>
      </c>
      <c r="AA898" s="4">
        <f>CHOOSE(MATCH(Z898,{"South";"SouthEast";"SouthWest";"North";"NorthEast";"East";"West";"NorthWest"},0),1,2,3,4,5,6,7,8)</f>
        <v>8</v>
      </c>
      <c r="AB898" s="2">
        <f t="shared" si="136"/>
        <v>1</v>
      </c>
      <c r="AC898">
        <v>1010.5</v>
      </c>
      <c r="AD898" t="s">
        <v>1377</v>
      </c>
      <c r="AE898" s="2">
        <f t="shared" si="137"/>
        <v>1</v>
      </c>
      <c r="AF898" t="s">
        <v>1378</v>
      </c>
      <c r="AG898" s="2">
        <f t="shared" si="138"/>
        <v>9</v>
      </c>
      <c r="AH898" s="2">
        <f t="shared" si="139"/>
        <v>0</v>
      </c>
      <c r="AI898" s="3">
        <v>6099.0000000048894</v>
      </c>
      <c r="AJ898" s="2">
        <v>1</v>
      </c>
      <c r="AK898">
        <v>0</v>
      </c>
      <c r="AL898">
        <v>200</v>
      </c>
      <c r="AM898">
        <v>0</v>
      </c>
      <c r="AN898" s="2">
        <f>IF((2*G898+M898-O898+3*V898+2*AB898+2*AE898+2*AH898+3*AJ898)&gt;=7,1,0)</f>
        <v>1</v>
      </c>
    </row>
    <row r="899" spans="1:40" x14ac:dyDescent="0.25">
      <c r="A899" t="s">
        <v>27</v>
      </c>
      <c r="B899" s="1">
        <v>39703</v>
      </c>
      <c r="C899" s="6">
        <f t="shared" ref="C899:C962" si="140">YEAR(B899)</f>
        <v>2008</v>
      </c>
      <c r="D899">
        <v>80.7</v>
      </c>
      <c r="E899">
        <v>64.5</v>
      </c>
      <c r="F899">
        <v>73.8</v>
      </c>
      <c r="G899" s="2">
        <f t="shared" ref="G899:G962" si="141">IF(F899&lt;=70,0,1)</f>
        <v>1</v>
      </c>
      <c r="H899">
        <v>84.1</v>
      </c>
      <c r="I899">
        <v>64.5</v>
      </c>
      <c r="J899">
        <v>74.5</v>
      </c>
      <c r="K899">
        <v>64.099999999999994</v>
      </c>
      <c r="L899">
        <v>72</v>
      </c>
      <c r="M899" s="2">
        <f t="shared" ref="M899:M962" si="142">IF(L899&lt;=66,1,0)</f>
        <v>0</v>
      </c>
      <c r="N899">
        <v>0</v>
      </c>
      <c r="O899" s="2">
        <f t="shared" ref="O899:O962" si="143">IF(N899&lt;=0.01,1,0)</f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 s="2">
        <f t="shared" ref="V899:V962" si="144">IF(U899&lt;=9,0,1)</f>
        <v>0</v>
      </c>
      <c r="W899">
        <v>10.3</v>
      </c>
      <c r="X899" s="2">
        <f t="shared" ref="X899:X962" si="145">IF(W899&gt;=16,1,0)</f>
        <v>0</v>
      </c>
      <c r="Y899">
        <v>247.7</v>
      </c>
      <c r="Z899" s="2" t="str">
        <f>CHOOSE(MATCH(Y899,{0;11;80;111;161;191;241;281;341},1),"North","NorthEast","East","SouthEast","South","SouthWest","West","NorthWest","North")</f>
        <v>West</v>
      </c>
      <c r="AA899" s="4">
        <f>CHOOSE(MATCH(Z899,{"South";"SouthEast";"SouthWest";"North";"NorthEast";"East";"West";"NorthWest"},0),1,2,3,4,5,6,7,8)</f>
        <v>7</v>
      </c>
      <c r="AB899" s="2">
        <f t="shared" ref="AB899:AB962" si="146">IF(OR(AA899=4,AA899=5,AA899=8),1,0)</f>
        <v>0</v>
      </c>
      <c r="AC899">
        <v>1009.6</v>
      </c>
      <c r="AD899" t="s">
        <v>499</v>
      </c>
      <c r="AE899" s="2">
        <f t="shared" ref="AE899:AE962" si="147">IF(TIMEVALUE(AD899)&lt;=TIME(12,30,0),0,1)</f>
        <v>1</v>
      </c>
      <c r="AF899" t="s">
        <v>1379</v>
      </c>
      <c r="AG899" s="2">
        <f t="shared" ref="AG899:AG962" si="148">MONTH(AF899)</f>
        <v>9</v>
      </c>
      <c r="AH899" s="2">
        <f t="shared" ref="AH899:AH962" si="149">IF(OR(AG899=6,AG899=7,AG899=8),1,0)</f>
        <v>0</v>
      </c>
      <c r="AI899" s="3">
        <v>4389.9999999976717</v>
      </c>
      <c r="AJ899" s="2">
        <v>1</v>
      </c>
      <c r="AK899">
        <v>0</v>
      </c>
      <c r="AL899">
        <v>300</v>
      </c>
      <c r="AM899">
        <v>0</v>
      </c>
      <c r="AN899" s="2">
        <f>IF((2*G899+M899-O899+3*V899+2*AB899+2*AE899+2*AH899+3*AJ899)&gt;=7,1,0)</f>
        <v>0</v>
      </c>
    </row>
    <row r="900" spans="1:40" x14ac:dyDescent="0.25">
      <c r="A900" t="s">
        <v>27</v>
      </c>
      <c r="B900" s="1">
        <v>39704</v>
      </c>
      <c r="C900" s="6">
        <f t="shared" si="140"/>
        <v>2008</v>
      </c>
      <c r="D900">
        <v>86.1</v>
      </c>
      <c r="E900">
        <v>68.099999999999994</v>
      </c>
      <c r="F900">
        <v>76.099999999999994</v>
      </c>
      <c r="G900" s="2">
        <f t="shared" si="141"/>
        <v>1</v>
      </c>
      <c r="H900">
        <v>91.1</v>
      </c>
      <c r="I900">
        <v>68.099999999999994</v>
      </c>
      <c r="J900">
        <v>77.3</v>
      </c>
      <c r="K900">
        <v>63</v>
      </c>
      <c r="L900">
        <v>65.2</v>
      </c>
      <c r="M900" s="2">
        <f t="shared" si="142"/>
        <v>1</v>
      </c>
      <c r="N900">
        <v>0</v>
      </c>
      <c r="O900" s="2">
        <f t="shared" si="143"/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 s="2">
        <f t="shared" si="144"/>
        <v>0</v>
      </c>
      <c r="W900">
        <v>12.8</v>
      </c>
      <c r="X900" s="2">
        <f t="shared" si="145"/>
        <v>0</v>
      </c>
      <c r="Y900">
        <v>155.30000000000001</v>
      </c>
      <c r="Z900" s="2" t="str">
        <f>CHOOSE(MATCH(Y900,{0;11;80;111;161;191;241;281;341},1),"North","NorthEast","East","SouthEast","South","SouthWest","West","NorthWest","North")</f>
        <v>SouthEast</v>
      </c>
      <c r="AA900" s="4">
        <f>CHOOSE(MATCH(Z900,{"South";"SouthEast";"SouthWest";"North";"NorthEast";"East";"West";"NorthWest"},0),1,2,3,4,5,6,7,8)</f>
        <v>2</v>
      </c>
      <c r="AB900" s="2">
        <f t="shared" si="146"/>
        <v>0</v>
      </c>
      <c r="AC900">
        <v>1009.9</v>
      </c>
      <c r="AD900" t="s">
        <v>99</v>
      </c>
      <c r="AE900" s="2">
        <f t="shared" si="147"/>
        <v>1</v>
      </c>
      <c r="AF900" t="s">
        <v>1380</v>
      </c>
      <c r="AG900" s="2">
        <f t="shared" si="148"/>
        <v>9</v>
      </c>
      <c r="AH900" s="2">
        <f t="shared" si="149"/>
        <v>0</v>
      </c>
      <c r="AI900" s="3">
        <v>2365.0000000081491</v>
      </c>
      <c r="AJ900" s="2">
        <v>1</v>
      </c>
      <c r="AK900">
        <v>0</v>
      </c>
      <c r="AL900">
        <v>500</v>
      </c>
      <c r="AM900">
        <v>0</v>
      </c>
      <c r="AN900" s="2">
        <f>IF((2*G900+M900-O900+3*V900+2*AB900+2*AE900+2*AH900+3*AJ900)&gt;=7,1,0)</f>
        <v>1</v>
      </c>
    </row>
    <row r="901" spans="1:40" x14ac:dyDescent="0.25">
      <c r="A901" t="s">
        <v>27</v>
      </c>
      <c r="B901" s="1">
        <v>39706</v>
      </c>
      <c r="C901" s="6">
        <f t="shared" si="140"/>
        <v>2008</v>
      </c>
      <c r="D901">
        <v>84.3</v>
      </c>
      <c r="E901">
        <v>71.7</v>
      </c>
      <c r="F901">
        <v>78.5</v>
      </c>
      <c r="G901" s="2">
        <f t="shared" si="141"/>
        <v>1</v>
      </c>
      <c r="H901">
        <v>92.7</v>
      </c>
      <c r="I901">
        <v>71.7</v>
      </c>
      <c r="J901">
        <v>81.099999999999994</v>
      </c>
      <c r="K901">
        <v>67.599999999999994</v>
      </c>
      <c r="L901">
        <v>69.400000000000006</v>
      </c>
      <c r="M901" s="2">
        <f t="shared" si="142"/>
        <v>0</v>
      </c>
      <c r="N901">
        <v>0</v>
      </c>
      <c r="O901" s="2">
        <f t="shared" si="143"/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 s="2">
        <f t="shared" si="144"/>
        <v>0</v>
      </c>
      <c r="W901">
        <v>8.1</v>
      </c>
      <c r="X901" s="2">
        <f t="shared" si="145"/>
        <v>0</v>
      </c>
      <c r="Y901">
        <v>132</v>
      </c>
      <c r="Z901" s="2" t="str">
        <f>CHOOSE(MATCH(Y901,{0;11;80;111;161;191;241;281;341},1),"North","NorthEast","East","SouthEast","South","SouthWest","West","NorthWest","North")</f>
        <v>SouthEast</v>
      </c>
      <c r="AA901" s="4">
        <f>CHOOSE(MATCH(Z901,{"South";"SouthEast";"SouthWest";"North";"NorthEast";"East";"West";"NorthWest"},0),1,2,3,4,5,6,7,8)</f>
        <v>2</v>
      </c>
      <c r="AB901" s="2">
        <f t="shared" si="146"/>
        <v>0</v>
      </c>
      <c r="AC901">
        <v>1010.1</v>
      </c>
      <c r="AD901" t="s">
        <v>1381</v>
      </c>
      <c r="AE901" s="2">
        <f t="shared" si="147"/>
        <v>0</v>
      </c>
      <c r="AF901" t="s">
        <v>1382</v>
      </c>
      <c r="AG901" s="2">
        <f t="shared" si="148"/>
        <v>9</v>
      </c>
      <c r="AH901" s="2">
        <f t="shared" si="149"/>
        <v>0</v>
      </c>
      <c r="AI901" s="3">
        <v>689.99999999650754</v>
      </c>
      <c r="AJ901" s="2">
        <v>1</v>
      </c>
      <c r="AK901">
        <v>0</v>
      </c>
      <c r="AL901">
        <v>0.03</v>
      </c>
      <c r="AM901">
        <v>0</v>
      </c>
      <c r="AN901" s="2">
        <f>IF((2*G901+M901-O901+3*V901+2*AB901+2*AE901+2*AH901+3*AJ901)&gt;=7,1,0)</f>
        <v>0</v>
      </c>
    </row>
    <row r="902" spans="1:40" x14ac:dyDescent="0.25">
      <c r="A902" t="s">
        <v>27</v>
      </c>
      <c r="B902" s="1">
        <v>39706</v>
      </c>
      <c r="C902" s="6">
        <f t="shared" si="140"/>
        <v>2008</v>
      </c>
      <c r="D902">
        <v>84.3</v>
      </c>
      <c r="E902">
        <v>71.7</v>
      </c>
      <c r="F902">
        <v>78.5</v>
      </c>
      <c r="G902" s="2">
        <f t="shared" si="141"/>
        <v>1</v>
      </c>
      <c r="H902">
        <v>92.7</v>
      </c>
      <c r="I902">
        <v>71.7</v>
      </c>
      <c r="J902">
        <v>81.099999999999994</v>
      </c>
      <c r="K902">
        <v>67.599999999999994</v>
      </c>
      <c r="L902">
        <v>69.400000000000006</v>
      </c>
      <c r="M902" s="2">
        <f t="shared" si="142"/>
        <v>0</v>
      </c>
      <c r="N902">
        <v>0</v>
      </c>
      <c r="O902" s="2">
        <f t="shared" si="143"/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 s="2">
        <f t="shared" si="144"/>
        <v>0</v>
      </c>
      <c r="W902">
        <v>8.1</v>
      </c>
      <c r="X902" s="2">
        <f t="shared" si="145"/>
        <v>0</v>
      </c>
      <c r="Y902">
        <v>132</v>
      </c>
      <c r="Z902" s="2" t="str">
        <f>CHOOSE(MATCH(Y902,{0;11;80;111;161;191;241;281;341},1),"North","NorthEast","East","SouthEast","South","SouthWest","West","NorthWest","North")</f>
        <v>SouthEast</v>
      </c>
      <c r="AA902" s="4">
        <f>CHOOSE(MATCH(Z902,{"South";"SouthEast";"SouthWest";"North";"NorthEast";"East";"West";"NorthWest"},0),1,2,3,4,5,6,7,8)</f>
        <v>2</v>
      </c>
      <c r="AB902" s="2">
        <f t="shared" si="146"/>
        <v>0</v>
      </c>
      <c r="AC902">
        <v>1010.1</v>
      </c>
      <c r="AD902" t="s">
        <v>594</v>
      </c>
      <c r="AE902" s="2">
        <f t="shared" si="147"/>
        <v>1</v>
      </c>
      <c r="AF902" t="s">
        <v>1383</v>
      </c>
      <c r="AG902" s="2">
        <f t="shared" si="148"/>
        <v>9</v>
      </c>
      <c r="AH902" s="2">
        <f t="shared" si="149"/>
        <v>0</v>
      </c>
      <c r="AI902" s="3">
        <v>619.99999999883585</v>
      </c>
      <c r="AJ902" s="2">
        <v>1</v>
      </c>
      <c r="AK902">
        <v>0</v>
      </c>
      <c r="AL902">
        <v>0.02</v>
      </c>
      <c r="AM902">
        <v>0</v>
      </c>
      <c r="AN902" s="2">
        <f>IF((2*G902+M902-O902+3*V902+2*AB902+2*AE902+2*AH902+3*AJ902)&gt;=7,1,0)</f>
        <v>0</v>
      </c>
    </row>
    <row r="903" spans="1:40" x14ac:dyDescent="0.25">
      <c r="A903" t="s">
        <v>27</v>
      </c>
      <c r="B903" s="1">
        <v>39706</v>
      </c>
      <c r="C903" s="6">
        <f t="shared" si="140"/>
        <v>2008</v>
      </c>
      <c r="D903">
        <v>84.3</v>
      </c>
      <c r="E903">
        <v>71.7</v>
      </c>
      <c r="F903">
        <v>78.5</v>
      </c>
      <c r="G903" s="2">
        <f t="shared" si="141"/>
        <v>1</v>
      </c>
      <c r="H903">
        <v>92.7</v>
      </c>
      <c r="I903">
        <v>71.7</v>
      </c>
      <c r="J903">
        <v>81.099999999999994</v>
      </c>
      <c r="K903">
        <v>67.599999999999994</v>
      </c>
      <c r="L903">
        <v>69.400000000000006</v>
      </c>
      <c r="M903" s="2">
        <f t="shared" si="142"/>
        <v>0</v>
      </c>
      <c r="N903">
        <v>0</v>
      </c>
      <c r="O903" s="2">
        <f t="shared" si="143"/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s="2">
        <f t="shared" si="144"/>
        <v>0</v>
      </c>
      <c r="W903">
        <v>8.1</v>
      </c>
      <c r="X903" s="2">
        <f t="shared" si="145"/>
        <v>0</v>
      </c>
      <c r="Y903">
        <v>132</v>
      </c>
      <c r="Z903" s="2" t="str">
        <f>CHOOSE(MATCH(Y903,{0;11;80;111;161;191;241;281;341},1),"North","NorthEast","East","SouthEast","South","SouthWest","West","NorthWest","North")</f>
        <v>SouthEast</v>
      </c>
      <c r="AA903" s="4">
        <f>CHOOSE(MATCH(Z903,{"South";"SouthEast";"SouthWest";"North";"NorthEast";"East";"West";"NorthWest"},0),1,2,3,4,5,6,7,8)</f>
        <v>2</v>
      </c>
      <c r="AB903" s="2">
        <f t="shared" si="146"/>
        <v>0</v>
      </c>
      <c r="AC903">
        <v>1010.1</v>
      </c>
      <c r="AD903" t="s">
        <v>745</v>
      </c>
      <c r="AE903" s="2">
        <f t="shared" si="147"/>
        <v>1</v>
      </c>
      <c r="AF903" t="s">
        <v>1384</v>
      </c>
      <c r="AG903" s="2">
        <f t="shared" si="148"/>
        <v>9</v>
      </c>
      <c r="AH903" s="2">
        <f t="shared" si="149"/>
        <v>0</v>
      </c>
      <c r="AI903" s="3">
        <v>15.000000006984919</v>
      </c>
      <c r="AJ903" s="2">
        <v>0</v>
      </c>
      <c r="AK903">
        <v>0</v>
      </c>
      <c r="AL903">
        <v>0.03</v>
      </c>
      <c r="AM903">
        <v>0</v>
      </c>
      <c r="AN903" s="2">
        <f>IF((2*G903+M903-O903+3*V903+2*AB903+2*AE903+2*AH903+3*AJ903)&gt;=7,1,0)</f>
        <v>0</v>
      </c>
    </row>
    <row r="904" spans="1:40" x14ac:dyDescent="0.25">
      <c r="A904" t="s">
        <v>27</v>
      </c>
      <c r="B904" s="1">
        <v>39706</v>
      </c>
      <c r="C904" s="6">
        <f t="shared" si="140"/>
        <v>2008</v>
      </c>
      <c r="D904">
        <v>84.3</v>
      </c>
      <c r="E904">
        <v>71.7</v>
      </c>
      <c r="F904">
        <v>78.5</v>
      </c>
      <c r="G904" s="2">
        <f t="shared" si="141"/>
        <v>1</v>
      </c>
      <c r="H904">
        <v>92.7</v>
      </c>
      <c r="I904">
        <v>71.7</v>
      </c>
      <c r="J904">
        <v>81.099999999999994</v>
      </c>
      <c r="K904">
        <v>67.599999999999994</v>
      </c>
      <c r="L904">
        <v>69.400000000000006</v>
      </c>
      <c r="M904" s="2">
        <f t="shared" si="142"/>
        <v>0</v>
      </c>
      <c r="N904">
        <v>0</v>
      </c>
      <c r="O904" s="2">
        <f t="shared" si="143"/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 s="2">
        <f t="shared" si="144"/>
        <v>0</v>
      </c>
      <c r="W904">
        <v>8.1</v>
      </c>
      <c r="X904" s="2">
        <f t="shared" si="145"/>
        <v>0</v>
      </c>
      <c r="Y904">
        <v>132</v>
      </c>
      <c r="Z904" s="2" t="str">
        <f>CHOOSE(MATCH(Y904,{0;11;80;111;161;191;241;281;341},1),"North","NorthEast","East","SouthEast","South","SouthWest","West","NorthWest","North")</f>
        <v>SouthEast</v>
      </c>
      <c r="AA904" s="4">
        <f>CHOOSE(MATCH(Z904,{"South";"SouthEast";"SouthWest";"North";"NorthEast";"East";"West";"NorthWest"},0),1,2,3,4,5,6,7,8)</f>
        <v>2</v>
      </c>
      <c r="AB904" s="2">
        <f t="shared" si="146"/>
        <v>0</v>
      </c>
      <c r="AC904">
        <v>1010.1</v>
      </c>
      <c r="AD904" t="s">
        <v>717</v>
      </c>
      <c r="AE904" s="2">
        <f t="shared" si="147"/>
        <v>1</v>
      </c>
      <c r="AF904" t="s">
        <v>1385</v>
      </c>
      <c r="AG904" s="2">
        <f t="shared" si="148"/>
        <v>9</v>
      </c>
      <c r="AH904" s="2">
        <f t="shared" si="149"/>
        <v>0</v>
      </c>
      <c r="AI904" s="3">
        <v>255.00000000349249</v>
      </c>
      <c r="AJ904" s="2">
        <v>0</v>
      </c>
      <c r="AK904">
        <v>1</v>
      </c>
      <c r="AL904">
        <v>0</v>
      </c>
      <c r="AM904">
        <v>0</v>
      </c>
      <c r="AN904" s="2">
        <f>IF((2*G904+M904-O904+3*V904+2*AB904+2*AE904+2*AH904+3*AJ904)&gt;=7,1,0)</f>
        <v>0</v>
      </c>
    </row>
    <row r="905" spans="1:40" x14ac:dyDescent="0.25">
      <c r="A905" t="s">
        <v>27</v>
      </c>
      <c r="B905" s="1">
        <v>39707</v>
      </c>
      <c r="C905" s="6">
        <f t="shared" si="140"/>
        <v>2008</v>
      </c>
      <c r="D905">
        <v>84.3</v>
      </c>
      <c r="E905">
        <v>75.3</v>
      </c>
      <c r="F905">
        <v>79.900000000000006</v>
      </c>
      <c r="G905" s="2">
        <f t="shared" si="141"/>
        <v>1</v>
      </c>
      <c r="H905">
        <v>92.7</v>
      </c>
      <c r="I905">
        <v>75.3</v>
      </c>
      <c r="J905">
        <v>82</v>
      </c>
      <c r="K905">
        <v>69.400000000000006</v>
      </c>
      <c r="L905">
        <v>71.5</v>
      </c>
      <c r="M905" s="2">
        <f t="shared" si="142"/>
        <v>0</v>
      </c>
      <c r="N905">
        <v>0</v>
      </c>
      <c r="O905" s="2">
        <f t="shared" si="143"/>
        <v>1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 s="2">
        <f t="shared" si="144"/>
        <v>0</v>
      </c>
      <c r="W905">
        <v>15</v>
      </c>
      <c r="X905" s="2">
        <f t="shared" si="145"/>
        <v>0</v>
      </c>
      <c r="Y905">
        <v>342.8</v>
      </c>
      <c r="Z905" s="2" t="str">
        <f>CHOOSE(MATCH(Y905,{0;11;80;111;161;191;241;281;341},1),"North","NorthEast","East","SouthEast","South","SouthWest","West","NorthWest","North")</f>
        <v>North</v>
      </c>
      <c r="AA905" s="4">
        <f>CHOOSE(MATCH(Z905,{"South";"SouthEast";"SouthWest";"North";"NorthEast";"East";"West";"NorthWest"},0),1,2,3,4,5,6,7,8)</f>
        <v>4</v>
      </c>
      <c r="AB905" s="2">
        <f t="shared" si="146"/>
        <v>1</v>
      </c>
      <c r="AC905">
        <v>1008.4</v>
      </c>
      <c r="AD905" t="s">
        <v>131</v>
      </c>
      <c r="AE905" s="2">
        <f t="shared" si="147"/>
        <v>0</v>
      </c>
      <c r="AF905" t="s">
        <v>1386</v>
      </c>
      <c r="AG905" s="2">
        <f t="shared" si="148"/>
        <v>9</v>
      </c>
      <c r="AH905" s="2">
        <f t="shared" si="149"/>
        <v>0</v>
      </c>
      <c r="AI905" s="3">
        <v>660.00000000349246</v>
      </c>
      <c r="AJ905" s="2">
        <v>1</v>
      </c>
      <c r="AK905">
        <v>1</v>
      </c>
      <c r="AL905">
        <v>0</v>
      </c>
      <c r="AM905">
        <v>0</v>
      </c>
      <c r="AN905" s="2">
        <f>IF((2*G905+M905-O905+3*V905+2*AB905+2*AE905+2*AH905+3*AJ905)&gt;=7,1,0)</f>
        <v>0</v>
      </c>
    </row>
    <row r="906" spans="1:40" x14ac:dyDescent="0.25">
      <c r="A906" t="s">
        <v>27</v>
      </c>
      <c r="B906" s="1">
        <v>39707</v>
      </c>
      <c r="C906" s="6">
        <f t="shared" si="140"/>
        <v>2008</v>
      </c>
      <c r="D906">
        <v>84.3</v>
      </c>
      <c r="E906">
        <v>75.3</v>
      </c>
      <c r="F906">
        <v>79.900000000000006</v>
      </c>
      <c r="G906" s="2">
        <f t="shared" si="141"/>
        <v>1</v>
      </c>
      <c r="H906">
        <v>92.7</v>
      </c>
      <c r="I906">
        <v>75.3</v>
      </c>
      <c r="J906">
        <v>82</v>
      </c>
      <c r="K906">
        <v>69.400000000000006</v>
      </c>
      <c r="L906">
        <v>71.5</v>
      </c>
      <c r="M906" s="2">
        <f t="shared" si="142"/>
        <v>0</v>
      </c>
      <c r="N906">
        <v>0</v>
      </c>
      <c r="O906" s="2">
        <f t="shared" si="143"/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 s="2">
        <f t="shared" si="144"/>
        <v>0</v>
      </c>
      <c r="W906">
        <v>15</v>
      </c>
      <c r="X906" s="2">
        <f t="shared" si="145"/>
        <v>0</v>
      </c>
      <c r="Y906">
        <v>342.8</v>
      </c>
      <c r="Z906" s="2" t="str">
        <f>CHOOSE(MATCH(Y906,{0;11;80;111;161;191;241;281;341},1),"North","NorthEast","East","SouthEast","South","SouthWest","West","NorthWest","North")</f>
        <v>North</v>
      </c>
      <c r="AA906" s="4">
        <f>CHOOSE(MATCH(Z906,{"South";"SouthEast";"SouthWest";"North";"NorthEast";"East";"West";"NorthWest"},0),1,2,3,4,5,6,7,8)</f>
        <v>4</v>
      </c>
      <c r="AB906" s="2">
        <f t="shared" si="146"/>
        <v>1</v>
      </c>
      <c r="AC906">
        <v>1008.4</v>
      </c>
      <c r="AD906" t="s">
        <v>1387</v>
      </c>
      <c r="AE906" s="2">
        <f t="shared" si="147"/>
        <v>1</v>
      </c>
      <c r="AF906" t="s">
        <v>1388</v>
      </c>
      <c r="AG906" s="2">
        <f t="shared" si="148"/>
        <v>9</v>
      </c>
      <c r="AH906" s="2">
        <f t="shared" si="149"/>
        <v>0</v>
      </c>
      <c r="AI906" s="3">
        <v>4815</v>
      </c>
      <c r="AJ906" s="2">
        <v>1</v>
      </c>
      <c r="AK906">
        <v>0</v>
      </c>
      <c r="AL906">
        <v>50</v>
      </c>
      <c r="AM906">
        <v>0</v>
      </c>
      <c r="AN906" s="2">
        <f>IF((2*G906+M906-O906+3*V906+2*AB906+2*AE906+2*AH906+3*AJ906)&gt;=7,1,0)</f>
        <v>1</v>
      </c>
    </row>
    <row r="907" spans="1:40" x14ac:dyDescent="0.25">
      <c r="A907" t="s">
        <v>27</v>
      </c>
      <c r="B907" s="1">
        <v>39707</v>
      </c>
      <c r="C907" s="6">
        <f t="shared" si="140"/>
        <v>2008</v>
      </c>
      <c r="D907">
        <v>84.3</v>
      </c>
      <c r="E907">
        <v>75.3</v>
      </c>
      <c r="F907">
        <v>79.900000000000006</v>
      </c>
      <c r="G907" s="2">
        <f t="shared" si="141"/>
        <v>1</v>
      </c>
      <c r="H907">
        <v>92.7</v>
      </c>
      <c r="I907">
        <v>75.3</v>
      </c>
      <c r="J907">
        <v>82</v>
      </c>
      <c r="K907">
        <v>69.400000000000006</v>
      </c>
      <c r="L907">
        <v>71.5</v>
      </c>
      <c r="M907" s="2">
        <f t="shared" si="142"/>
        <v>0</v>
      </c>
      <c r="N907">
        <v>0</v>
      </c>
      <c r="O907" s="2">
        <f t="shared" si="143"/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 s="2">
        <f t="shared" si="144"/>
        <v>0</v>
      </c>
      <c r="W907">
        <v>15</v>
      </c>
      <c r="X907" s="2">
        <f t="shared" si="145"/>
        <v>0</v>
      </c>
      <c r="Y907">
        <v>342.8</v>
      </c>
      <c r="Z907" s="2" t="str">
        <f>CHOOSE(MATCH(Y907,{0;11;80;111;161;191;241;281;341},1),"North","NorthEast","East","SouthEast","South","SouthWest","West","NorthWest","North")</f>
        <v>North</v>
      </c>
      <c r="AA907" s="4">
        <f>CHOOSE(MATCH(Z907,{"South";"SouthEast";"SouthWest";"North";"NorthEast";"East";"West";"NorthWest"},0),1,2,3,4,5,6,7,8)</f>
        <v>4</v>
      </c>
      <c r="AB907" s="2">
        <f t="shared" si="146"/>
        <v>1</v>
      </c>
      <c r="AC907">
        <v>1008.4</v>
      </c>
      <c r="AD907" t="s">
        <v>983</v>
      </c>
      <c r="AE907" s="2">
        <f t="shared" si="147"/>
        <v>1</v>
      </c>
      <c r="AF907" t="s">
        <v>1389</v>
      </c>
      <c r="AG907" s="2">
        <f t="shared" si="148"/>
        <v>9</v>
      </c>
      <c r="AH907" s="2">
        <f t="shared" si="149"/>
        <v>0</v>
      </c>
      <c r="AI907" s="3">
        <v>92.000000006519258</v>
      </c>
      <c r="AJ907" s="2">
        <v>0</v>
      </c>
      <c r="AK907">
        <v>0</v>
      </c>
      <c r="AL907">
        <v>0.05</v>
      </c>
      <c r="AM907">
        <v>0</v>
      </c>
      <c r="AN907" s="2">
        <f>IF((2*G907+M907-O907+3*V907+2*AB907+2*AE907+2*AH907+3*AJ907)&gt;=7,1,0)</f>
        <v>0</v>
      </c>
    </row>
    <row r="908" spans="1:40" x14ac:dyDescent="0.25">
      <c r="A908" t="s">
        <v>27</v>
      </c>
      <c r="B908" s="1">
        <v>39708</v>
      </c>
      <c r="C908" s="6">
        <f t="shared" si="140"/>
        <v>2008</v>
      </c>
      <c r="D908">
        <v>82.5</v>
      </c>
      <c r="E908">
        <v>69.900000000000006</v>
      </c>
      <c r="F908">
        <v>76.599999999999994</v>
      </c>
      <c r="G908" s="2">
        <f t="shared" si="141"/>
        <v>1</v>
      </c>
      <c r="H908">
        <v>85.5</v>
      </c>
      <c r="I908">
        <v>69.900000000000006</v>
      </c>
      <c r="J908">
        <v>77.5</v>
      </c>
      <c r="K908">
        <v>66</v>
      </c>
      <c r="L908">
        <v>70.7</v>
      </c>
      <c r="M908" s="2">
        <f t="shared" si="142"/>
        <v>0</v>
      </c>
      <c r="N908">
        <v>0</v>
      </c>
      <c r="O908" s="2">
        <f t="shared" si="143"/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 s="2">
        <f t="shared" si="144"/>
        <v>0</v>
      </c>
      <c r="W908">
        <v>25.3</v>
      </c>
      <c r="X908" s="2">
        <f t="shared" si="145"/>
        <v>1</v>
      </c>
      <c r="Y908">
        <v>276.89999999999998</v>
      </c>
      <c r="Z908" s="2" t="str">
        <f>CHOOSE(MATCH(Y908,{0;11;80;111;161;191;241;281;341},1),"North","NorthEast","East","SouthEast","South","SouthWest","West","NorthWest","North")</f>
        <v>West</v>
      </c>
      <c r="AA908" s="4">
        <f>CHOOSE(MATCH(Z908,{"South";"SouthEast";"SouthWest";"North";"NorthEast";"East";"West";"NorthWest"},0),1,2,3,4,5,6,7,8)</f>
        <v>7</v>
      </c>
      <c r="AB908" s="2">
        <f t="shared" si="146"/>
        <v>0</v>
      </c>
      <c r="AC908">
        <v>1008.8</v>
      </c>
      <c r="AD908" t="s">
        <v>616</v>
      </c>
      <c r="AE908" s="2">
        <f t="shared" si="147"/>
        <v>1</v>
      </c>
      <c r="AF908" t="s">
        <v>1390</v>
      </c>
      <c r="AG908" s="2">
        <f t="shared" si="148"/>
        <v>9</v>
      </c>
      <c r="AH908" s="2">
        <f t="shared" si="149"/>
        <v>0</v>
      </c>
      <c r="AI908" s="3">
        <v>439.99999999883579</v>
      </c>
      <c r="AJ908" s="2">
        <v>1</v>
      </c>
      <c r="AK908">
        <v>0</v>
      </c>
      <c r="AL908">
        <v>1</v>
      </c>
      <c r="AM908">
        <v>0</v>
      </c>
      <c r="AN908" s="2">
        <f>IF((2*G908+M908-O908+3*V908+2*AB908+2*AE908+2*AH908+3*AJ908)&gt;=7,1,0)</f>
        <v>0</v>
      </c>
    </row>
    <row r="909" spans="1:40" x14ac:dyDescent="0.25">
      <c r="A909" t="s">
        <v>27</v>
      </c>
      <c r="B909" s="1">
        <v>39708</v>
      </c>
      <c r="C909" s="6">
        <f t="shared" si="140"/>
        <v>2008</v>
      </c>
      <c r="D909">
        <v>82.5</v>
      </c>
      <c r="E909">
        <v>69.900000000000006</v>
      </c>
      <c r="F909">
        <v>76.599999999999994</v>
      </c>
      <c r="G909" s="2">
        <f t="shared" si="141"/>
        <v>1</v>
      </c>
      <c r="H909">
        <v>85.5</v>
      </c>
      <c r="I909">
        <v>69.900000000000006</v>
      </c>
      <c r="J909">
        <v>77.5</v>
      </c>
      <c r="K909">
        <v>66</v>
      </c>
      <c r="L909">
        <v>70.7</v>
      </c>
      <c r="M909" s="2">
        <f t="shared" si="142"/>
        <v>0</v>
      </c>
      <c r="N909">
        <v>0</v>
      </c>
      <c r="O909" s="2">
        <f t="shared" si="143"/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 s="2">
        <f t="shared" si="144"/>
        <v>0</v>
      </c>
      <c r="W909">
        <v>25.3</v>
      </c>
      <c r="X909" s="2">
        <f t="shared" si="145"/>
        <v>1</v>
      </c>
      <c r="Y909">
        <v>276.89999999999998</v>
      </c>
      <c r="Z909" s="2" t="str">
        <f>CHOOSE(MATCH(Y909,{0;11;80;111;161;191;241;281;341},1),"North","NorthEast","East","SouthEast","South","SouthWest","West","NorthWest","North")</f>
        <v>West</v>
      </c>
      <c r="AA909" s="4">
        <f>CHOOSE(MATCH(Z909,{"South";"SouthEast";"SouthWest";"North";"NorthEast";"East";"West";"NorthWest"},0),1,2,3,4,5,6,7,8)</f>
        <v>7</v>
      </c>
      <c r="AB909" s="2">
        <f t="shared" si="146"/>
        <v>0</v>
      </c>
      <c r="AC909">
        <v>1008.8</v>
      </c>
      <c r="AD909" t="s">
        <v>631</v>
      </c>
      <c r="AE909" s="2">
        <f t="shared" si="147"/>
        <v>1</v>
      </c>
      <c r="AF909" t="s">
        <v>1391</v>
      </c>
      <c r="AG909" s="2">
        <f t="shared" si="148"/>
        <v>9</v>
      </c>
      <c r="AH909" s="2">
        <f t="shared" si="149"/>
        <v>0</v>
      </c>
      <c r="AI909" s="3">
        <v>900</v>
      </c>
      <c r="AJ909" s="2">
        <v>1</v>
      </c>
      <c r="AK909">
        <v>0</v>
      </c>
      <c r="AL909">
        <v>1</v>
      </c>
      <c r="AM909">
        <v>0</v>
      </c>
      <c r="AN909" s="2">
        <f>IF((2*G909+M909-O909+3*V909+2*AB909+2*AE909+2*AH909+3*AJ909)&gt;=7,1,0)</f>
        <v>0</v>
      </c>
    </row>
    <row r="910" spans="1:40" x14ac:dyDescent="0.25">
      <c r="A910" t="s">
        <v>27</v>
      </c>
      <c r="B910" s="1">
        <v>39709</v>
      </c>
      <c r="C910" s="6">
        <f t="shared" si="140"/>
        <v>2008</v>
      </c>
      <c r="D910">
        <v>78.900000000000006</v>
      </c>
      <c r="E910">
        <v>71.7</v>
      </c>
      <c r="F910">
        <v>74.900000000000006</v>
      </c>
      <c r="G910" s="2">
        <f t="shared" si="141"/>
        <v>1</v>
      </c>
      <c r="H910">
        <v>78.900000000000006</v>
      </c>
      <c r="I910">
        <v>71.7</v>
      </c>
      <c r="J910">
        <v>74.900000000000006</v>
      </c>
      <c r="K910">
        <v>62.7</v>
      </c>
      <c r="L910">
        <v>66.2</v>
      </c>
      <c r="M910" s="2">
        <f t="shared" si="142"/>
        <v>0</v>
      </c>
      <c r="N910">
        <v>0</v>
      </c>
      <c r="O910" s="2">
        <f t="shared" si="143"/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 s="2">
        <f t="shared" si="144"/>
        <v>0</v>
      </c>
      <c r="W910">
        <v>19.5</v>
      </c>
      <c r="X910" s="2">
        <f t="shared" si="145"/>
        <v>1</v>
      </c>
      <c r="Y910">
        <v>311.8</v>
      </c>
      <c r="Z910" s="2" t="str">
        <f>CHOOSE(MATCH(Y910,{0;11;80;111;161;191;241;281;341},1),"North","NorthEast","East","SouthEast","South","SouthWest","West","NorthWest","North")</f>
        <v>NorthWest</v>
      </c>
      <c r="AA910" s="4">
        <f>CHOOSE(MATCH(Z910,{"South";"SouthEast";"SouthWest";"North";"NorthEast";"East";"West";"NorthWest"},0),1,2,3,4,5,6,7,8)</f>
        <v>8</v>
      </c>
      <c r="AB910" s="2">
        <f t="shared" si="146"/>
        <v>1</v>
      </c>
      <c r="AC910">
        <v>1012.2</v>
      </c>
      <c r="AD910" t="s">
        <v>484</v>
      </c>
      <c r="AE910" s="2">
        <f t="shared" si="147"/>
        <v>0</v>
      </c>
      <c r="AF910" t="s">
        <v>1392</v>
      </c>
      <c r="AG910" s="2">
        <f t="shared" si="148"/>
        <v>9</v>
      </c>
      <c r="AH910" s="2">
        <f t="shared" si="149"/>
        <v>0</v>
      </c>
      <c r="AI910" s="3">
        <v>2070</v>
      </c>
      <c r="AJ910" s="2">
        <v>1</v>
      </c>
      <c r="AK910">
        <v>0.3</v>
      </c>
      <c r="AL910">
        <v>0</v>
      </c>
      <c r="AM910">
        <v>0</v>
      </c>
      <c r="AN910" s="2">
        <f>IF((2*G910+M910-O910+3*V910+2*AB910+2*AE910+2*AH910+3*AJ910)&gt;=7,1,0)</f>
        <v>0</v>
      </c>
    </row>
    <row r="911" spans="1:40" x14ac:dyDescent="0.25">
      <c r="A911" t="s">
        <v>27</v>
      </c>
      <c r="B911" s="1">
        <v>39709</v>
      </c>
      <c r="C911" s="6">
        <f t="shared" si="140"/>
        <v>2008</v>
      </c>
      <c r="D911">
        <v>78.900000000000006</v>
      </c>
      <c r="E911">
        <v>71.7</v>
      </c>
      <c r="F911">
        <v>74.900000000000006</v>
      </c>
      <c r="G911" s="2">
        <f t="shared" si="141"/>
        <v>1</v>
      </c>
      <c r="H911">
        <v>78.900000000000006</v>
      </c>
      <c r="I911">
        <v>71.7</v>
      </c>
      <c r="J911">
        <v>74.900000000000006</v>
      </c>
      <c r="K911">
        <v>62.7</v>
      </c>
      <c r="L911">
        <v>66.2</v>
      </c>
      <c r="M911" s="2">
        <f t="shared" si="142"/>
        <v>0</v>
      </c>
      <c r="N911">
        <v>0</v>
      </c>
      <c r="O911" s="2">
        <f t="shared" si="143"/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 s="2">
        <f t="shared" si="144"/>
        <v>0</v>
      </c>
      <c r="W911">
        <v>19.5</v>
      </c>
      <c r="X911" s="2">
        <f t="shared" si="145"/>
        <v>1</v>
      </c>
      <c r="Y911">
        <v>311.8</v>
      </c>
      <c r="Z911" s="2" t="str">
        <f>CHOOSE(MATCH(Y911,{0;11;80;111;161;191;241;281;341},1),"North","NorthEast","East","SouthEast","South","SouthWest","West","NorthWest","North")</f>
        <v>NorthWest</v>
      </c>
      <c r="AA911" s="4">
        <f>CHOOSE(MATCH(Z911,{"South";"SouthEast";"SouthWest";"North";"NorthEast";"East";"West";"NorthWest"},0),1,2,3,4,5,6,7,8)</f>
        <v>8</v>
      </c>
      <c r="AB911" s="2">
        <f t="shared" si="146"/>
        <v>1</v>
      </c>
      <c r="AC911">
        <v>1012.2</v>
      </c>
      <c r="AD911" t="s">
        <v>1393</v>
      </c>
      <c r="AE911" s="2">
        <f t="shared" si="147"/>
        <v>0</v>
      </c>
      <c r="AF911" t="s">
        <v>1394</v>
      </c>
      <c r="AG911" s="2">
        <f t="shared" si="148"/>
        <v>9</v>
      </c>
      <c r="AH911" s="2">
        <f t="shared" si="149"/>
        <v>0</v>
      </c>
      <c r="AI911" s="3">
        <v>329.99999999650748</v>
      </c>
      <c r="AJ911" s="2">
        <v>0</v>
      </c>
      <c r="AK911">
        <v>0</v>
      </c>
      <c r="AL911">
        <v>0.05</v>
      </c>
      <c r="AM911">
        <v>0</v>
      </c>
      <c r="AN911" s="2">
        <f>IF((2*G911+M911-O911+3*V911+2*AB911+2*AE911+2*AH911+3*AJ911)&gt;=7,1,0)</f>
        <v>0</v>
      </c>
    </row>
    <row r="912" spans="1:40" x14ac:dyDescent="0.25">
      <c r="A912" t="s">
        <v>27</v>
      </c>
      <c r="B912" s="1">
        <v>39709</v>
      </c>
      <c r="C912" s="6">
        <f t="shared" si="140"/>
        <v>2008</v>
      </c>
      <c r="D912">
        <v>78.900000000000006</v>
      </c>
      <c r="E912">
        <v>71.7</v>
      </c>
      <c r="F912">
        <v>74.900000000000006</v>
      </c>
      <c r="G912" s="2">
        <f t="shared" si="141"/>
        <v>1</v>
      </c>
      <c r="H912">
        <v>78.900000000000006</v>
      </c>
      <c r="I912">
        <v>71.7</v>
      </c>
      <c r="J912">
        <v>74.900000000000006</v>
      </c>
      <c r="K912">
        <v>62.7</v>
      </c>
      <c r="L912">
        <v>66.2</v>
      </c>
      <c r="M912" s="2">
        <f t="shared" si="142"/>
        <v>0</v>
      </c>
      <c r="N912">
        <v>0</v>
      </c>
      <c r="O912" s="2">
        <f t="shared" si="143"/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 s="2">
        <f t="shared" si="144"/>
        <v>0</v>
      </c>
      <c r="W912">
        <v>19.5</v>
      </c>
      <c r="X912" s="2">
        <f t="shared" si="145"/>
        <v>1</v>
      </c>
      <c r="Y912">
        <v>311.8</v>
      </c>
      <c r="Z912" s="2" t="str">
        <f>CHOOSE(MATCH(Y912,{0;11;80;111;161;191;241;281;341},1),"North","NorthEast","East","SouthEast","South","SouthWest","West","NorthWest","North")</f>
        <v>NorthWest</v>
      </c>
      <c r="AA912" s="4">
        <f>CHOOSE(MATCH(Z912,{"South";"SouthEast";"SouthWest";"North";"NorthEast";"East";"West";"NorthWest"},0),1,2,3,4,5,6,7,8)</f>
        <v>8</v>
      </c>
      <c r="AB912" s="2">
        <f t="shared" si="146"/>
        <v>1</v>
      </c>
      <c r="AC912">
        <v>1012.2</v>
      </c>
      <c r="AD912" t="s">
        <v>995</v>
      </c>
      <c r="AE912" s="2">
        <f t="shared" si="147"/>
        <v>1</v>
      </c>
      <c r="AF912" t="s">
        <v>1395</v>
      </c>
      <c r="AG912" s="2">
        <f t="shared" si="148"/>
        <v>9</v>
      </c>
      <c r="AH912" s="2">
        <f t="shared" si="149"/>
        <v>0</v>
      </c>
      <c r="AI912" s="3">
        <v>3915</v>
      </c>
      <c r="AJ912" s="2">
        <v>1</v>
      </c>
      <c r="AK912">
        <v>0</v>
      </c>
      <c r="AL912">
        <v>60</v>
      </c>
      <c r="AM912">
        <v>0</v>
      </c>
      <c r="AN912" s="2">
        <f>IF((2*G912+M912-O912+3*V912+2*AB912+2*AE912+2*AH912+3*AJ912)&gt;=7,1,0)</f>
        <v>1</v>
      </c>
    </row>
    <row r="913" spans="1:40" x14ac:dyDescent="0.25">
      <c r="A913" t="s">
        <v>27</v>
      </c>
      <c r="B913" s="1">
        <v>39731</v>
      </c>
      <c r="C913" s="6">
        <f t="shared" si="140"/>
        <v>2008</v>
      </c>
      <c r="D913">
        <v>71.7</v>
      </c>
      <c r="E913">
        <v>68.099999999999994</v>
      </c>
      <c r="F913">
        <v>70.099999999999994</v>
      </c>
      <c r="G913" s="2">
        <f t="shared" si="141"/>
        <v>1</v>
      </c>
      <c r="H913">
        <v>71.7</v>
      </c>
      <c r="I913">
        <v>68.099999999999994</v>
      </c>
      <c r="J913">
        <v>70.099999999999994</v>
      </c>
      <c r="K913">
        <v>56.9</v>
      </c>
      <c r="L913">
        <v>63</v>
      </c>
      <c r="M913" s="2">
        <f t="shared" si="142"/>
        <v>1</v>
      </c>
      <c r="N913">
        <v>0</v>
      </c>
      <c r="O913" s="2">
        <f t="shared" si="143"/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s="2">
        <f t="shared" si="144"/>
        <v>0</v>
      </c>
      <c r="W913">
        <v>24.2</v>
      </c>
      <c r="X913" s="2">
        <f t="shared" si="145"/>
        <v>1</v>
      </c>
      <c r="Y913">
        <v>330.4</v>
      </c>
      <c r="Z913" s="2" t="str">
        <f>CHOOSE(MATCH(Y913,{0;11;80;111;161;191;241;281;341},1),"North","NorthEast","East","SouthEast","South","SouthWest","West","NorthWest","North")</f>
        <v>NorthWest</v>
      </c>
      <c r="AA913" s="4">
        <f>CHOOSE(MATCH(Z913,{"South";"SouthEast";"SouthWest";"North";"NorthEast";"East";"West";"NorthWest"},0),1,2,3,4,5,6,7,8)</f>
        <v>8</v>
      </c>
      <c r="AB913" s="2">
        <f t="shared" si="146"/>
        <v>1</v>
      </c>
      <c r="AC913">
        <v>1022.9</v>
      </c>
      <c r="AD913" t="s">
        <v>419</v>
      </c>
      <c r="AE913" s="2">
        <f t="shared" si="147"/>
        <v>1</v>
      </c>
      <c r="AF913" t="s">
        <v>1396</v>
      </c>
      <c r="AG913" s="2">
        <f t="shared" si="148"/>
        <v>10</v>
      </c>
      <c r="AH913" s="2">
        <f t="shared" si="149"/>
        <v>0</v>
      </c>
      <c r="AI913" s="3">
        <v>964.99999999185093</v>
      </c>
      <c r="AJ913" s="2">
        <v>1</v>
      </c>
      <c r="AK913">
        <v>0</v>
      </c>
      <c r="AL913">
        <v>150</v>
      </c>
      <c r="AM913">
        <v>0</v>
      </c>
      <c r="AN913" s="2">
        <f>IF((2*G913+M913-O913+3*V913+2*AB913+2*AE913+2*AH913+3*AJ913)&gt;=7,1,0)</f>
        <v>1</v>
      </c>
    </row>
    <row r="914" spans="1:40" x14ac:dyDescent="0.25">
      <c r="A914" t="s">
        <v>27</v>
      </c>
      <c r="B914" s="1">
        <v>39732</v>
      </c>
      <c r="C914" s="6">
        <f t="shared" si="140"/>
        <v>2008</v>
      </c>
      <c r="D914">
        <v>69.900000000000006</v>
      </c>
      <c r="E914">
        <v>68.099999999999994</v>
      </c>
      <c r="F914">
        <v>68.599999999999994</v>
      </c>
      <c r="G914" s="2">
        <f t="shared" si="141"/>
        <v>0</v>
      </c>
      <c r="H914">
        <v>69.900000000000006</v>
      </c>
      <c r="I914">
        <v>68.099999999999994</v>
      </c>
      <c r="J914">
        <v>68.599999999999994</v>
      </c>
      <c r="K914">
        <v>54.8</v>
      </c>
      <c r="L914">
        <v>61.6</v>
      </c>
      <c r="M914" s="2">
        <f t="shared" si="142"/>
        <v>1</v>
      </c>
      <c r="N914">
        <v>0</v>
      </c>
      <c r="O914" s="2">
        <f t="shared" si="143"/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 s="2">
        <f t="shared" si="144"/>
        <v>0</v>
      </c>
      <c r="W914">
        <v>27.5</v>
      </c>
      <c r="X914" s="2">
        <f t="shared" si="145"/>
        <v>1</v>
      </c>
      <c r="Y914">
        <v>332.3</v>
      </c>
      <c r="Z914" s="2" t="str">
        <f>CHOOSE(MATCH(Y914,{0;11;80;111;161;191;241;281;341},1),"North","NorthEast","East","SouthEast","South","SouthWest","West","NorthWest","North")</f>
        <v>NorthWest</v>
      </c>
      <c r="AA914" s="4">
        <f>CHOOSE(MATCH(Z914,{"South";"SouthEast";"SouthWest";"North";"NorthEast";"East";"West";"NorthWest"},0),1,2,3,4,5,6,7,8)</f>
        <v>8</v>
      </c>
      <c r="AB914" s="2">
        <f t="shared" si="146"/>
        <v>1</v>
      </c>
      <c r="AC914">
        <v>1022.9</v>
      </c>
      <c r="AD914" t="s">
        <v>332</v>
      </c>
      <c r="AE914" s="2">
        <f t="shared" si="147"/>
        <v>1</v>
      </c>
      <c r="AF914" t="s">
        <v>1397</v>
      </c>
      <c r="AG914" s="2">
        <f t="shared" si="148"/>
        <v>10</v>
      </c>
      <c r="AH914" s="2">
        <f t="shared" si="149"/>
        <v>0</v>
      </c>
      <c r="AI914" s="3">
        <v>45</v>
      </c>
      <c r="AJ914" s="2">
        <v>0</v>
      </c>
      <c r="AK914">
        <v>0</v>
      </c>
      <c r="AL914">
        <v>0.5</v>
      </c>
      <c r="AM914">
        <v>0</v>
      </c>
      <c r="AN914" s="2">
        <f>IF((2*G914+M914-O914+3*V914+2*AB914+2*AE914+2*AH914+3*AJ914)&gt;=7,1,0)</f>
        <v>0</v>
      </c>
    </row>
    <row r="915" spans="1:40" x14ac:dyDescent="0.25">
      <c r="A915" t="s">
        <v>27</v>
      </c>
      <c r="B915" s="1">
        <v>39739</v>
      </c>
      <c r="C915" s="6">
        <f t="shared" si="140"/>
        <v>2008</v>
      </c>
      <c r="D915">
        <v>73.5</v>
      </c>
      <c r="E915">
        <v>60.9</v>
      </c>
      <c r="F915">
        <v>67.5</v>
      </c>
      <c r="G915" s="2">
        <f t="shared" si="141"/>
        <v>0</v>
      </c>
      <c r="H915">
        <v>73.5</v>
      </c>
      <c r="I915">
        <v>60.9</v>
      </c>
      <c r="J915">
        <v>67.5</v>
      </c>
      <c r="K915">
        <v>59.9</v>
      </c>
      <c r="L915">
        <v>76.8</v>
      </c>
      <c r="M915" s="2">
        <f t="shared" si="142"/>
        <v>0</v>
      </c>
      <c r="N915">
        <v>0</v>
      </c>
      <c r="O915" s="2">
        <f t="shared" si="143"/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 s="2">
        <f t="shared" si="144"/>
        <v>0</v>
      </c>
      <c r="W915">
        <v>11.4</v>
      </c>
      <c r="X915" s="2">
        <f t="shared" si="145"/>
        <v>0</v>
      </c>
      <c r="Y915">
        <v>154.5</v>
      </c>
      <c r="Z915" s="2" t="str">
        <f>CHOOSE(MATCH(Y915,{0;11;80;111;161;191;241;281;341},1),"North","NorthEast","East","SouthEast","South","SouthWest","West","NorthWest","North")</f>
        <v>SouthEast</v>
      </c>
      <c r="AA915" s="4">
        <f>CHOOSE(MATCH(Z915,{"South";"SouthEast";"SouthWest";"North";"NorthEast";"East";"West";"NorthWest"},0),1,2,3,4,5,6,7,8)</f>
        <v>2</v>
      </c>
      <c r="AB915" s="2">
        <f t="shared" si="146"/>
        <v>0</v>
      </c>
      <c r="AC915">
        <v>1017.9</v>
      </c>
      <c r="AD915" t="s">
        <v>1398</v>
      </c>
      <c r="AE915" s="2">
        <f t="shared" si="147"/>
        <v>0</v>
      </c>
      <c r="AF915" t="s">
        <v>1399</v>
      </c>
      <c r="AG915" s="2">
        <f t="shared" si="148"/>
        <v>10</v>
      </c>
      <c r="AH915" s="2">
        <f t="shared" si="149"/>
        <v>0</v>
      </c>
      <c r="AI915" s="3">
        <v>784.99999999185093</v>
      </c>
      <c r="AJ915" s="2">
        <v>1</v>
      </c>
      <c r="AK915">
        <v>0</v>
      </c>
      <c r="AL915">
        <v>5</v>
      </c>
      <c r="AM915">
        <v>0</v>
      </c>
      <c r="AN915" s="2">
        <f>IF((2*G915+M915-O915+3*V915+2*AB915+2*AE915+2*AH915+3*AJ915)&gt;=7,1,0)</f>
        <v>0</v>
      </c>
    </row>
    <row r="916" spans="1:40" x14ac:dyDescent="0.25">
      <c r="A916" t="s">
        <v>27</v>
      </c>
      <c r="B916" s="1">
        <v>39742</v>
      </c>
      <c r="C916" s="6">
        <f t="shared" si="140"/>
        <v>2008</v>
      </c>
      <c r="D916">
        <v>73.5</v>
      </c>
      <c r="E916">
        <v>68.099999999999994</v>
      </c>
      <c r="F916">
        <v>69.599999999999994</v>
      </c>
      <c r="G916" s="2">
        <f t="shared" si="141"/>
        <v>0</v>
      </c>
      <c r="H916">
        <v>73.5</v>
      </c>
      <c r="I916">
        <v>68.099999999999994</v>
      </c>
      <c r="J916">
        <v>69.599999999999994</v>
      </c>
      <c r="K916">
        <v>60.2</v>
      </c>
      <c r="L916">
        <v>72.2</v>
      </c>
      <c r="M916" s="2">
        <f t="shared" si="142"/>
        <v>0</v>
      </c>
      <c r="N916">
        <v>0</v>
      </c>
      <c r="O916" s="2">
        <f t="shared" si="143"/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 s="2">
        <f t="shared" si="144"/>
        <v>0</v>
      </c>
      <c r="W916">
        <v>21.9</v>
      </c>
      <c r="X916" s="2">
        <f t="shared" si="145"/>
        <v>1</v>
      </c>
      <c r="Y916">
        <v>308.5</v>
      </c>
      <c r="Z916" s="2" t="str">
        <f>CHOOSE(MATCH(Y916,{0;11;80;111;161;191;241;281;341},1),"North","NorthEast","East","SouthEast","South","SouthWest","West","NorthWest","North")</f>
        <v>NorthWest</v>
      </c>
      <c r="AA916" s="4">
        <f>CHOOSE(MATCH(Z916,{"South";"SouthEast";"SouthWest";"North";"NorthEast";"East";"West";"NorthWest"},0),1,2,3,4,5,6,7,8)</f>
        <v>8</v>
      </c>
      <c r="AB916" s="2">
        <f t="shared" si="146"/>
        <v>1</v>
      </c>
      <c r="AC916">
        <v>1015.6</v>
      </c>
      <c r="AD916" t="s">
        <v>1400</v>
      </c>
      <c r="AE916" s="2">
        <f t="shared" si="147"/>
        <v>0</v>
      </c>
      <c r="AF916" t="s">
        <v>1401</v>
      </c>
      <c r="AG916" s="2">
        <f t="shared" si="148"/>
        <v>10</v>
      </c>
      <c r="AH916" s="2">
        <f t="shared" si="149"/>
        <v>0</v>
      </c>
      <c r="AI916" s="3">
        <v>429.99999999767169</v>
      </c>
      <c r="AJ916" s="2">
        <v>1</v>
      </c>
      <c r="AK916">
        <v>0</v>
      </c>
      <c r="AL916">
        <v>60</v>
      </c>
      <c r="AM916">
        <v>0</v>
      </c>
      <c r="AN916" s="2">
        <f>IF((2*G916+M916-O916+3*V916+2*AB916+2*AE916+2*AH916+3*AJ916)&gt;=7,1,0)</f>
        <v>0</v>
      </c>
    </row>
    <row r="917" spans="1:40" x14ac:dyDescent="0.25">
      <c r="A917" t="s">
        <v>27</v>
      </c>
      <c r="B917" s="1">
        <v>39743</v>
      </c>
      <c r="C917" s="6">
        <f t="shared" si="140"/>
        <v>2008</v>
      </c>
      <c r="D917">
        <v>71.7</v>
      </c>
      <c r="E917">
        <v>64.5</v>
      </c>
      <c r="F917">
        <v>67.5</v>
      </c>
      <c r="G917" s="2">
        <f t="shared" si="141"/>
        <v>0</v>
      </c>
      <c r="H917">
        <v>71.7</v>
      </c>
      <c r="I917">
        <v>64.5</v>
      </c>
      <c r="J917">
        <v>67.5</v>
      </c>
      <c r="K917">
        <v>56.3</v>
      </c>
      <c r="L917">
        <v>67.5</v>
      </c>
      <c r="M917" s="2">
        <f t="shared" si="142"/>
        <v>0</v>
      </c>
      <c r="N917">
        <v>0</v>
      </c>
      <c r="O917" s="2">
        <f t="shared" si="143"/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 s="2">
        <f t="shared" si="144"/>
        <v>0</v>
      </c>
      <c r="W917">
        <v>21.9</v>
      </c>
      <c r="X917" s="2">
        <f t="shared" si="145"/>
        <v>1</v>
      </c>
      <c r="Y917">
        <v>315.7</v>
      </c>
      <c r="Z917" s="2" t="str">
        <f>CHOOSE(MATCH(Y917,{0;11;80;111;161;191;241;281;341},1),"North","NorthEast","East","SouthEast","South","SouthWest","West","NorthWest","North")</f>
        <v>NorthWest</v>
      </c>
      <c r="AA917" s="4">
        <f>CHOOSE(MATCH(Z917,{"South";"SouthEast";"SouthWest";"North";"NorthEast";"East";"West";"NorthWest"},0),1,2,3,4,5,6,7,8)</f>
        <v>8</v>
      </c>
      <c r="AB917" s="2">
        <f t="shared" si="146"/>
        <v>1</v>
      </c>
      <c r="AC917">
        <v>1015.3</v>
      </c>
      <c r="AD917" t="s">
        <v>1402</v>
      </c>
      <c r="AE917" s="2">
        <f t="shared" si="147"/>
        <v>0</v>
      </c>
      <c r="AF917" t="s">
        <v>1403</v>
      </c>
      <c r="AG917" s="2">
        <f t="shared" si="148"/>
        <v>10</v>
      </c>
      <c r="AH917" s="2">
        <f t="shared" si="149"/>
        <v>0</v>
      </c>
      <c r="AI917" s="3">
        <v>3100.0000000046571</v>
      </c>
      <c r="AJ917" s="2">
        <v>1</v>
      </c>
      <c r="AK917">
        <v>0</v>
      </c>
      <c r="AL917">
        <v>100</v>
      </c>
      <c r="AM917">
        <v>0</v>
      </c>
      <c r="AN917" s="2">
        <f>IF((2*G917+M917-O917+3*V917+2*AB917+2*AE917+2*AH917+3*AJ917)&gt;=7,1,0)</f>
        <v>0</v>
      </c>
    </row>
    <row r="918" spans="1:40" x14ac:dyDescent="0.25">
      <c r="A918" t="s">
        <v>27</v>
      </c>
      <c r="B918" s="1">
        <v>39745</v>
      </c>
      <c r="C918" s="6">
        <f t="shared" si="140"/>
        <v>2008</v>
      </c>
      <c r="D918">
        <v>69.900000000000006</v>
      </c>
      <c r="E918">
        <v>64.5</v>
      </c>
      <c r="F918">
        <v>65.8</v>
      </c>
      <c r="G918" s="2">
        <f t="shared" si="141"/>
        <v>0</v>
      </c>
      <c r="H918">
        <v>69.900000000000006</v>
      </c>
      <c r="I918">
        <v>64.5</v>
      </c>
      <c r="J918">
        <v>65.8</v>
      </c>
      <c r="K918">
        <v>56.9</v>
      </c>
      <c r="L918">
        <v>73.099999999999994</v>
      </c>
      <c r="M918" s="2">
        <f t="shared" si="142"/>
        <v>0</v>
      </c>
      <c r="N918">
        <v>0</v>
      </c>
      <c r="O918" s="2">
        <f t="shared" si="143"/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 s="2">
        <f t="shared" si="144"/>
        <v>0</v>
      </c>
      <c r="W918">
        <v>17.2</v>
      </c>
      <c r="X918" s="2">
        <f t="shared" si="145"/>
        <v>1</v>
      </c>
      <c r="Y918">
        <v>316.60000000000002</v>
      </c>
      <c r="Z918" s="2" t="str">
        <f>CHOOSE(MATCH(Y918,{0;11;80;111;161;191;241;281;341},1),"North","NorthEast","East","SouthEast","South","SouthWest","West","NorthWest","North")</f>
        <v>NorthWest</v>
      </c>
      <c r="AA918" s="4">
        <f>CHOOSE(MATCH(Z918,{"South";"SouthEast";"SouthWest";"North";"NorthEast";"East";"West";"NorthWest"},0),1,2,3,4,5,6,7,8)</f>
        <v>8</v>
      </c>
      <c r="AB918" s="2">
        <f t="shared" si="146"/>
        <v>1</v>
      </c>
      <c r="AC918">
        <v>1019.2</v>
      </c>
      <c r="AD918" t="s">
        <v>560</v>
      </c>
      <c r="AE918" s="2">
        <f t="shared" si="147"/>
        <v>1</v>
      </c>
      <c r="AF918" t="s">
        <v>1404</v>
      </c>
      <c r="AG918" s="2">
        <f t="shared" si="148"/>
        <v>10</v>
      </c>
      <c r="AH918" s="2">
        <f t="shared" si="149"/>
        <v>0</v>
      </c>
      <c r="AI918" s="3">
        <v>1425.000000003492</v>
      </c>
      <c r="AJ918" s="2">
        <v>1</v>
      </c>
      <c r="AK918">
        <v>0</v>
      </c>
      <c r="AL918">
        <v>5</v>
      </c>
      <c r="AM918">
        <v>0</v>
      </c>
      <c r="AN918" s="2">
        <f>IF((2*G918+M918-O918+3*V918+2*AB918+2*AE918+2*AH918+3*AJ918)&gt;=7,1,0)</f>
        <v>0</v>
      </c>
    </row>
    <row r="919" spans="1:40" x14ac:dyDescent="0.25">
      <c r="A919" t="s">
        <v>27</v>
      </c>
      <c r="B919" s="1">
        <v>39752</v>
      </c>
      <c r="C919" s="6">
        <f t="shared" si="140"/>
        <v>2008</v>
      </c>
      <c r="D919">
        <v>82.5</v>
      </c>
      <c r="E919">
        <v>66.3</v>
      </c>
      <c r="F919">
        <v>73.099999999999994</v>
      </c>
      <c r="G919" s="2">
        <f t="shared" si="141"/>
        <v>1</v>
      </c>
      <c r="H919">
        <v>83</v>
      </c>
      <c r="I919">
        <v>66.3</v>
      </c>
      <c r="J919">
        <v>73.099999999999994</v>
      </c>
      <c r="K919">
        <v>57.8</v>
      </c>
      <c r="L919">
        <v>59.5</v>
      </c>
      <c r="M919" s="2">
        <f t="shared" si="142"/>
        <v>1</v>
      </c>
      <c r="N919">
        <v>0</v>
      </c>
      <c r="O919" s="2">
        <f t="shared" si="143"/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s="2">
        <f t="shared" si="144"/>
        <v>0</v>
      </c>
      <c r="W919">
        <v>12.8</v>
      </c>
      <c r="X919" s="2">
        <f t="shared" si="145"/>
        <v>0</v>
      </c>
      <c r="Y919">
        <v>151.4</v>
      </c>
      <c r="Z919" s="2" t="str">
        <f>CHOOSE(MATCH(Y919,{0;11;80;111;161;191;241;281;341},1),"North","NorthEast","East","SouthEast","South","SouthWest","West","NorthWest","North")</f>
        <v>SouthEast</v>
      </c>
      <c r="AA919" s="4">
        <f>CHOOSE(MATCH(Z919,{"South";"SouthEast";"SouthWest";"North";"NorthEast";"East";"West";"NorthWest"},0),1,2,3,4,5,6,7,8)</f>
        <v>2</v>
      </c>
      <c r="AB919" s="2">
        <f t="shared" si="146"/>
        <v>0</v>
      </c>
      <c r="AC919">
        <v>1020.5</v>
      </c>
      <c r="AD919" t="s">
        <v>59</v>
      </c>
      <c r="AE919" s="2">
        <f t="shared" si="147"/>
        <v>0</v>
      </c>
      <c r="AF919" t="s">
        <v>1405</v>
      </c>
      <c r="AG919" s="2">
        <f t="shared" si="148"/>
        <v>10</v>
      </c>
      <c r="AH919" s="2">
        <f t="shared" si="149"/>
        <v>0</v>
      </c>
      <c r="AI919" s="3">
        <v>450</v>
      </c>
      <c r="AJ919" s="2">
        <v>1</v>
      </c>
      <c r="AK919">
        <v>3</v>
      </c>
      <c r="AL919">
        <v>0</v>
      </c>
      <c r="AM919">
        <v>0</v>
      </c>
      <c r="AN919" s="2">
        <f>IF((2*G919+M919-O919+3*V919+2*AB919+2*AE919+2*AH919+3*AJ919)&gt;=7,1,0)</f>
        <v>0</v>
      </c>
    </row>
    <row r="920" spans="1:40" x14ac:dyDescent="0.25">
      <c r="A920" t="s">
        <v>27</v>
      </c>
      <c r="B920" s="1">
        <v>39753</v>
      </c>
      <c r="C920" s="6">
        <f t="shared" si="140"/>
        <v>2008</v>
      </c>
      <c r="D920">
        <v>78.900000000000006</v>
      </c>
      <c r="E920">
        <v>68.099999999999994</v>
      </c>
      <c r="F920">
        <v>72.900000000000006</v>
      </c>
      <c r="G920" s="2">
        <f t="shared" si="141"/>
        <v>1</v>
      </c>
      <c r="H920">
        <v>78.900000000000006</v>
      </c>
      <c r="I920">
        <v>68.099999999999994</v>
      </c>
      <c r="J920">
        <v>72.900000000000006</v>
      </c>
      <c r="K920">
        <v>55.8</v>
      </c>
      <c r="L920">
        <v>55.6</v>
      </c>
      <c r="M920" s="2">
        <f t="shared" si="142"/>
        <v>1</v>
      </c>
      <c r="N920">
        <v>0</v>
      </c>
      <c r="O920" s="2">
        <f t="shared" si="143"/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s="2">
        <f t="shared" si="144"/>
        <v>0</v>
      </c>
      <c r="W920">
        <v>13.9</v>
      </c>
      <c r="X920" s="2">
        <f t="shared" si="145"/>
        <v>0</v>
      </c>
      <c r="Y920">
        <v>175.5</v>
      </c>
      <c r="Z920" s="2" t="str">
        <f>CHOOSE(MATCH(Y920,{0;11;80;111;161;191;241;281;341},1),"North","NorthEast","East","SouthEast","South","SouthWest","West","NorthWest","North")</f>
        <v>South</v>
      </c>
      <c r="AA920" s="4">
        <f>CHOOSE(MATCH(Z920,{"South";"SouthEast";"SouthWest";"North";"NorthEast";"East";"West";"NorthWest"},0),1,2,3,4,5,6,7,8)</f>
        <v>1</v>
      </c>
      <c r="AB920" s="2">
        <f t="shared" si="146"/>
        <v>0</v>
      </c>
      <c r="AC920">
        <v>1021.1</v>
      </c>
      <c r="AD920" t="s">
        <v>357</v>
      </c>
      <c r="AE920" s="2">
        <f t="shared" si="147"/>
        <v>1</v>
      </c>
      <c r="AF920" t="s">
        <v>1406</v>
      </c>
      <c r="AG920" s="2">
        <f t="shared" si="148"/>
        <v>11</v>
      </c>
      <c r="AH920" s="2">
        <f t="shared" si="149"/>
        <v>0</v>
      </c>
      <c r="AI920" s="3">
        <v>4600.0000000011642</v>
      </c>
      <c r="AJ920" s="2">
        <v>1</v>
      </c>
      <c r="AK920">
        <v>0</v>
      </c>
      <c r="AL920">
        <v>10</v>
      </c>
      <c r="AM920">
        <v>0</v>
      </c>
      <c r="AN920" s="2">
        <f>IF((2*G920+M920-O920+3*V920+2*AB920+2*AE920+2*AH920+3*AJ920)&gt;=7,1,0)</f>
        <v>1</v>
      </c>
    </row>
    <row r="921" spans="1:40" x14ac:dyDescent="0.25">
      <c r="A921" t="s">
        <v>27</v>
      </c>
      <c r="B921" s="1">
        <v>39761</v>
      </c>
      <c r="C921" s="6">
        <f t="shared" si="140"/>
        <v>2008</v>
      </c>
      <c r="D921">
        <v>66.3</v>
      </c>
      <c r="E921">
        <v>59.1</v>
      </c>
      <c r="F921">
        <v>63.8</v>
      </c>
      <c r="G921" s="2">
        <f t="shared" si="141"/>
        <v>0</v>
      </c>
      <c r="H921">
        <v>66.3</v>
      </c>
      <c r="I921">
        <v>59.1</v>
      </c>
      <c r="J921">
        <v>63.8</v>
      </c>
      <c r="K921">
        <v>55.3</v>
      </c>
      <c r="L921">
        <v>74.2</v>
      </c>
      <c r="M921" s="2">
        <f t="shared" si="142"/>
        <v>0</v>
      </c>
      <c r="N921">
        <v>0</v>
      </c>
      <c r="O921" s="2">
        <f t="shared" si="143"/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s="2">
        <f t="shared" si="144"/>
        <v>0</v>
      </c>
      <c r="W921">
        <v>18.3</v>
      </c>
      <c r="X921" s="2">
        <f t="shared" si="145"/>
        <v>1</v>
      </c>
      <c r="Y921">
        <v>337.1</v>
      </c>
      <c r="Z921" s="2" t="str">
        <f>CHOOSE(MATCH(Y921,{0;11;80;111;161;191;241;281;341},1),"North","NorthEast","East","SouthEast","South","SouthWest","West","NorthWest","North")</f>
        <v>NorthWest</v>
      </c>
      <c r="AA921" s="4">
        <f>CHOOSE(MATCH(Z921,{"South";"SouthEast";"SouthWest";"North";"NorthEast";"East";"West";"NorthWest"},0),1,2,3,4,5,6,7,8)</f>
        <v>8</v>
      </c>
      <c r="AB921" s="2">
        <f t="shared" si="146"/>
        <v>1</v>
      </c>
      <c r="AC921">
        <v>1023</v>
      </c>
      <c r="AD921" t="s">
        <v>112</v>
      </c>
      <c r="AE921" s="2">
        <f t="shared" si="147"/>
        <v>1</v>
      </c>
      <c r="AF921" t="s">
        <v>1407</v>
      </c>
      <c r="AG921" s="2">
        <f t="shared" si="148"/>
        <v>11</v>
      </c>
      <c r="AH921" s="2">
        <f t="shared" si="149"/>
        <v>0</v>
      </c>
      <c r="AI921" s="3">
        <v>300.00000000349252</v>
      </c>
      <c r="AJ921" s="2">
        <v>0</v>
      </c>
      <c r="AK921">
        <v>0</v>
      </c>
      <c r="AL921">
        <v>2</v>
      </c>
      <c r="AM921">
        <v>0</v>
      </c>
      <c r="AN921" s="2">
        <f>IF((2*G921+M921-O921+3*V921+2*AB921+2*AE921+2*AH921+3*AJ921)&gt;=7,1,0)</f>
        <v>0</v>
      </c>
    </row>
    <row r="922" spans="1:40" x14ac:dyDescent="0.25">
      <c r="A922" t="s">
        <v>27</v>
      </c>
      <c r="B922" s="1">
        <v>39763</v>
      </c>
      <c r="C922" s="6">
        <f t="shared" si="140"/>
        <v>2008</v>
      </c>
      <c r="D922">
        <v>62.7</v>
      </c>
      <c r="E922">
        <v>59.1</v>
      </c>
      <c r="F922">
        <v>61.4</v>
      </c>
      <c r="G922" s="2">
        <f t="shared" si="141"/>
        <v>0</v>
      </c>
      <c r="H922">
        <v>62.7</v>
      </c>
      <c r="I922">
        <v>59.1</v>
      </c>
      <c r="J922">
        <v>61.4</v>
      </c>
      <c r="K922">
        <v>54.7</v>
      </c>
      <c r="L922">
        <v>78.7</v>
      </c>
      <c r="M922" s="2">
        <f t="shared" si="142"/>
        <v>0</v>
      </c>
      <c r="N922">
        <v>0.02</v>
      </c>
      <c r="O922" s="2">
        <f t="shared" si="143"/>
        <v>0</v>
      </c>
      <c r="P922">
        <v>100</v>
      </c>
      <c r="Q922">
        <v>4.17</v>
      </c>
      <c r="R922" t="s">
        <v>182</v>
      </c>
      <c r="S922">
        <v>0</v>
      </c>
      <c r="T922">
        <v>0</v>
      </c>
      <c r="U922">
        <v>0</v>
      </c>
      <c r="V922" s="2">
        <f t="shared" si="144"/>
        <v>0</v>
      </c>
      <c r="W922">
        <v>15</v>
      </c>
      <c r="X922" s="2">
        <f t="shared" si="145"/>
        <v>0</v>
      </c>
      <c r="Y922">
        <v>312.2</v>
      </c>
      <c r="Z922" s="2" t="str">
        <f>CHOOSE(MATCH(Y922,{0;11;80;111;161;191;241;281;341},1),"North","NorthEast","East","SouthEast","South","SouthWest","West","NorthWest","North")</f>
        <v>NorthWest</v>
      </c>
      <c r="AA922" s="4">
        <f>CHOOSE(MATCH(Z922,{"South";"SouthEast";"SouthWest";"North";"NorthEast";"East";"West";"NorthWest"},0),1,2,3,4,5,6,7,8)</f>
        <v>8</v>
      </c>
      <c r="AB922" s="2">
        <f t="shared" si="146"/>
        <v>1</v>
      </c>
      <c r="AC922">
        <v>1020.9</v>
      </c>
      <c r="AD922" t="s">
        <v>1022</v>
      </c>
      <c r="AE922" s="2">
        <f t="shared" si="147"/>
        <v>1</v>
      </c>
      <c r="AF922" t="s">
        <v>1408</v>
      </c>
      <c r="AG922" s="2">
        <f t="shared" si="148"/>
        <v>11</v>
      </c>
      <c r="AH922" s="2">
        <f t="shared" si="149"/>
        <v>0</v>
      </c>
      <c r="AI922" s="3">
        <v>559.99999999185093</v>
      </c>
      <c r="AJ922" s="2">
        <v>1</v>
      </c>
      <c r="AK922">
        <v>0</v>
      </c>
      <c r="AL922">
        <v>1</v>
      </c>
      <c r="AM922">
        <v>0</v>
      </c>
      <c r="AN922" s="2">
        <f>IF((2*G922+M922-O922+3*V922+2*AB922+2*AE922+2*AH922+3*AJ922)&gt;=7,1,0)</f>
        <v>1</v>
      </c>
    </row>
    <row r="923" spans="1:40" x14ac:dyDescent="0.25">
      <c r="A923" t="s">
        <v>27</v>
      </c>
      <c r="B923" s="1">
        <v>39801</v>
      </c>
      <c r="C923" s="6">
        <f t="shared" si="140"/>
        <v>2008</v>
      </c>
      <c r="D923">
        <v>68.099999999999994</v>
      </c>
      <c r="E923">
        <v>51.9</v>
      </c>
      <c r="F923">
        <v>58.9</v>
      </c>
      <c r="G923" s="2">
        <f t="shared" si="141"/>
        <v>0</v>
      </c>
      <c r="H923">
        <v>68.099999999999994</v>
      </c>
      <c r="I923">
        <v>51.9</v>
      </c>
      <c r="J923">
        <v>58.9</v>
      </c>
      <c r="K923">
        <v>51.4</v>
      </c>
      <c r="L923">
        <v>77.400000000000006</v>
      </c>
      <c r="M923" s="2">
        <f t="shared" si="142"/>
        <v>0</v>
      </c>
      <c r="N923">
        <v>0</v>
      </c>
      <c r="O923" s="2">
        <f t="shared" si="143"/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 s="2">
        <f t="shared" si="144"/>
        <v>0</v>
      </c>
      <c r="W923">
        <v>12.8</v>
      </c>
      <c r="X923" s="2">
        <f t="shared" si="145"/>
        <v>0</v>
      </c>
      <c r="Y923">
        <v>165.2</v>
      </c>
      <c r="Z923" s="2" t="str">
        <f>CHOOSE(MATCH(Y923,{0;11;80;111;161;191;241;281;341},1),"North","NorthEast","East","SouthEast","South","SouthWest","West","NorthWest","North")</f>
        <v>South</v>
      </c>
      <c r="AA923" s="4">
        <f>CHOOSE(MATCH(Z923,{"South";"SouthEast";"SouthWest";"North";"NorthEast";"East";"West";"NorthWest"},0),1,2,3,4,5,6,7,8)</f>
        <v>1</v>
      </c>
      <c r="AB923" s="2">
        <f t="shared" si="146"/>
        <v>0</v>
      </c>
      <c r="AC923">
        <v>1017.9</v>
      </c>
      <c r="AD923" t="s">
        <v>427</v>
      </c>
      <c r="AE923" s="2">
        <f t="shared" si="147"/>
        <v>1</v>
      </c>
      <c r="AF923" t="s">
        <v>1409</v>
      </c>
      <c r="AG923" s="2">
        <f t="shared" si="148"/>
        <v>12</v>
      </c>
      <c r="AH923" s="2">
        <f t="shared" si="149"/>
        <v>0</v>
      </c>
      <c r="AI923" s="3">
        <v>79.999999998835847</v>
      </c>
      <c r="AJ923" s="2">
        <v>0</v>
      </c>
      <c r="AK923">
        <v>0</v>
      </c>
      <c r="AL923">
        <v>2</v>
      </c>
      <c r="AM923">
        <v>0</v>
      </c>
      <c r="AN923" s="2">
        <f>IF((2*G923+M923-O923+3*V923+2*AB923+2*AE923+2*AH923+3*AJ923)&gt;=7,1,0)</f>
        <v>0</v>
      </c>
    </row>
    <row r="924" spans="1:40" x14ac:dyDescent="0.25">
      <c r="A924" t="s">
        <v>27</v>
      </c>
      <c r="B924" s="1">
        <v>39806</v>
      </c>
      <c r="C924" s="6">
        <f t="shared" si="140"/>
        <v>2008</v>
      </c>
      <c r="D924">
        <v>55.5</v>
      </c>
      <c r="E924">
        <v>48.3</v>
      </c>
      <c r="F924">
        <v>52.1</v>
      </c>
      <c r="G924" s="2">
        <f t="shared" si="141"/>
        <v>0</v>
      </c>
      <c r="H924">
        <v>55.5</v>
      </c>
      <c r="I924">
        <v>41.2</v>
      </c>
      <c r="J924">
        <v>51.7</v>
      </c>
      <c r="K924">
        <v>39.799999999999997</v>
      </c>
      <c r="L924">
        <v>63.9</v>
      </c>
      <c r="M924" s="2">
        <f t="shared" si="142"/>
        <v>1</v>
      </c>
      <c r="N924">
        <v>0.02</v>
      </c>
      <c r="O924" s="2">
        <f t="shared" si="143"/>
        <v>0</v>
      </c>
      <c r="P924">
        <v>100</v>
      </c>
      <c r="Q924">
        <v>4.17</v>
      </c>
      <c r="R924" t="s">
        <v>182</v>
      </c>
      <c r="S924">
        <v>0</v>
      </c>
      <c r="T924">
        <v>0</v>
      </c>
      <c r="U924">
        <v>0</v>
      </c>
      <c r="V924" s="2">
        <f t="shared" si="144"/>
        <v>0</v>
      </c>
      <c r="W924">
        <v>28.9</v>
      </c>
      <c r="X924" s="2">
        <f t="shared" si="145"/>
        <v>1</v>
      </c>
      <c r="Y924">
        <v>336.9</v>
      </c>
      <c r="Z924" s="2" t="str">
        <f>CHOOSE(MATCH(Y924,{0;11;80;111;161;191;241;281;341},1),"North","NorthEast","East","SouthEast","South","SouthWest","West","NorthWest","North")</f>
        <v>NorthWest</v>
      </c>
      <c r="AA924" s="4">
        <f>CHOOSE(MATCH(Z924,{"South";"SouthEast";"SouthWest";"North";"NorthEast";"East";"West";"NorthWest"},0),1,2,3,4,5,6,7,8)</f>
        <v>8</v>
      </c>
      <c r="AB924" s="2">
        <f t="shared" si="146"/>
        <v>1</v>
      </c>
      <c r="AC924">
        <v>1018.2</v>
      </c>
      <c r="AD924" t="s">
        <v>71</v>
      </c>
      <c r="AE924" s="2">
        <f t="shared" si="147"/>
        <v>1</v>
      </c>
      <c r="AF924" t="s">
        <v>1410</v>
      </c>
      <c r="AG924" s="2">
        <f t="shared" si="148"/>
        <v>12</v>
      </c>
      <c r="AH924" s="2">
        <f t="shared" si="149"/>
        <v>0</v>
      </c>
      <c r="AI924" s="3">
        <v>114.99999999767169</v>
      </c>
      <c r="AJ924" s="2">
        <v>0</v>
      </c>
      <c r="AK924">
        <v>0</v>
      </c>
      <c r="AL924">
        <v>2</v>
      </c>
      <c r="AM924">
        <v>0</v>
      </c>
      <c r="AN924" s="2">
        <f>IF((2*G924+M924-O924+3*V924+2*AB924+2*AE924+2*AH924+3*AJ924)&gt;=7,1,0)</f>
        <v>0</v>
      </c>
    </row>
    <row r="925" spans="1:40" x14ac:dyDescent="0.25">
      <c r="A925" t="s">
        <v>27</v>
      </c>
      <c r="B925" s="1">
        <v>39818</v>
      </c>
      <c r="C925" s="6">
        <f t="shared" si="140"/>
        <v>2009</v>
      </c>
      <c r="D925">
        <v>64.5</v>
      </c>
      <c r="E925">
        <v>57.3</v>
      </c>
      <c r="F925">
        <v>60</v>
      </c>
      <c r="G925" s="2">
        <f t="shared" si="141"/>
        <v>0</v>
      </c>
      <c r="H925">
        <v>64.5</v>
      </c>
      <c r="I925">
        <v>57.3</v>
      </c>
      <c r="J925">
        <v>60</v>
      </c>
      <c r="K925">
        <v>50.2</v>
      </c>
      <c r="L925">
        <v>70.2</v>
      </c>
      <c r="M925" s="2">
        <f t="shared" si="142"/>
        <v>0</v>
      </c>
      <c r="N925">
        <v>0</v>
      </c>
      <c r="O925" s="2">
        <f t="shared" si="143"/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s="2">
        <f t="shared" si="144"/>
        <v>0</v>
      </c>
      <c r="W925">
        <v>19.5</v>
      </c>
      <c r="X925" s="2">
        <f t="shared" si="145"/>
        <v>1</v>
      </c>
      <c r="Y925">
        <v>186.3</v>
      </c>
      <c r="Z925" s="2" t="str">
        <f>CHOOSE(MATCH(Y925,{0;11;80;111;161;191;241;281;341},1),"North","NorthEast","East","SouthEast","South","SouthWest","West","NorthWest","North")</f>
        <v>South</v>
      </c>
      <c r="AA925" s="4">
        <f>CHOOSE(MATCH(Z925,{"South";"SouthEast";"SouthWest";"North";"NorthEast";"East";"West";"NorthWest"},0),1,2,3,4,5,6,7,8)</f>
        <v>1</v>
      </c>
      <c r="AB925" s="2">
        <f t="shared" si="146"/>
        <v>0</v>
      </c>
      <c r="AC925">
        <v>1011.7</v>
      </c>
      <c r="AD925" t="s">
        <v>241</v>
      </c>
      <c r="AE925" s="2">
        <f t="shared" si="147"/>
        <v>1</v>
      </c>
      <c r="AF925" t="s">
        <v>1411</v>
      </c>
      <c r="AG925" s="2">
        <f t="shared" si="148"/>
        <v>1</v>
      </c>
      <c r="AH925" s="2">
        <f t="shared" si="149"/>
        <v>0</v>
      </c>
      <c r="AI925" s="3">
        <v>194.99999999650751</v>
      </c>
      <c r="AJ925" s="2">
        <v>0</v>
      </c>
      <c r="AK925">
        <v>0</v>
      </c>
      <c r="AL925">
        <v>2</v>
      </c>
      <c r="AM925">
        <v>0</v>
      </c>
      <c r="AN925" s="2">
        <f>IF((2*G925+M925-O925+3*V925+2*AB925+2*AE925+2*AH925+3*AJ925)&gt;=7,1,0)</f>
        <v>0</v>
      </c>
    </row>
    <row r="926" spans="1:40" x14ac:dyDescent="0.25">
      <c r="A926" t="s">
        <v>27</v>
      </c>
      <c r="B926" s="1">
        <v>39850</v>
      </c>
      <c r="C926" s="6">
        <f t="shared" si="140"/>
        <v>2009</v>
      </c>
      <c r="D926">
        <v>69.900000000000006</v>
      </c>
      <c r="E926">
        <v>51.9</v>
      </c>
      <c r="F926">
        <v>60.4</v>
      </c>
      <c r="G926" s="2">
        <f t="shared" si="141"/>
        <v>0</v>
      </c>
      <c r="H926">
        <v>69.900000000000006</v>
      </c>
      <c r="I926">
        <v>51.9</v>
      </c>
      <c r="J926">
        <v>60.4</v>
      </c>
      <c r="K926">
        <v>49.4</v>
      </c>
      <c r="L926">
        <v>68.400000000000006</v>
      </c>
      <c r="M926" s="2">
        <f t="shared" si="142"/>
        <v>0</v>
      </c>
      <c r="N926">
        <v>0</v>
      </c>
      <c r="O926" s="2">
        <f t="shared" si="143"/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 s="2">
        <f t="shared" si="144"/>
        <v>0</v>
      </c>
      <c r="W926">
        <v>20.8</v>
      </c>
      <c r="X926" s="2">
        <f t="shared" si="145"/>
        <v>1</v>
      </c>
      <c r="Y926">
        <v>172.2</v>
      </c>
      <c r="Z926" s="2" t="str">
        <f>CHOOSE(MATCH(Y926,{0;11;80;111;161;191;241;281;341},1),"North","NorthEast","East","SouthEast","South","SouthWest","West","NorthWest","North")</f>
        <v>South</v>
      </c>
      <c r="AA926" s="4">
        <f>CHOOSE(MATCH(Z926,{"South";"SouthEast";"SouthWest";"North";"NorthEast";"East";"West";"NorthWest"},0),1,2,3,4,5,6,7,8)</f>
        <v>1</v>
      </c>
      <c r="AB926" s="2">
        <f t="shared" si="146"/>
        <v>0</v>
      </c>
      <c r="AC926">
        <v>1011.5</v>
      </c>
      <c r="AD926" t="s">
        <v>1412</v>
      </c>
      <c r="AE926" s="2">
        <f t="shared" si="147"/>
        <v>0</v>
      </c>
      <c r="AF926" t="s">
        <v>1413</v>
      </c>
      <c r="AG926" s="2">
        <f t="shared" si="148"/>
        <v>2</v>
      </c>
      <c r="AH926" s="2">
        <f t="shared" si="149"/>
        <v>0</v>
      </c>
      <c r="AI926" s="3">
        <v>150.00000000698489</v>
      </c>
      <c r="AJ926" s="2">
        <v>0</v>
      </c>
      <c r="AK926">
        <v>10</v>
      </c>
      <c r="AL926">
        <v>0</v>
      </c>
      <c r="AM926">
        <v>0</v>
      </c>
      <c r="AN926" s="2">
        <f>IF((2*G926+M926-O926+3*V926+2*AB926+2*AE926+2*AH926+3*AJ926)&gt;=7,1,0)</f>
        <v>0</v>
      </c>
    </row>
    <row r="927" spans="1:40" x14ac:dyDescent="0.25">
      <c r="A927" t="s">
        <v>27</v>
      </c>
      <c r="B927" s="1">
        <v>39855</v>
      </c>
      <c r="C927" s="6">
        <f t="shared" si="140"/>
        <v>2009</v>
      </c>
      <c r="D927">
        <v>66.3</v>
      </c>
      <c r="E927">
        <v>50.1</v>
      </c>
      <c r="F927">
        <v>58.9</v>
      </c>
      <c r="G927" s="2">
        <f t="shared" si="141"/>
        <v>0</v>
      </c>
      <c r="H927">
        <v>66.3</v>
      </c>
      <c r="I927">
        <v>50.1</v>
      </c>
      <c r="J927">
        <v>58.9</v>
      </c>
      <c r="K927">
        <v>48</v>
      </c>
      <c r="L927">
        <v>67.5</v>
      </c>
      <c r="M927" s="2">
        <f t="shared" si="142"/>
        <v>0</v>
      </c>
      <c r="N927">
        <v>0</v>
      </c>
      <c r="O927" s="2">
        <f t="shared" si="143"/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s="2">
        <f t="shared" si="144"/>
        <v>0</v>
      </c>
      <c r="W927">
        <v>25.3</v>
      </c>
      <c r="X927" s="2">
        <f t="shared" si="145"/>
        <v>1</v>
      </c>
      <c r="Y927">
        <v>189.8</v>
      </c>
      <c r="Z927" s="2" t="str">
        <f>CHOOSE(MATCH(Y927,{0;11;80;111;161;191;241;281;341},1),"North","NorthEast","East","SouthEast","South","SouthWest","West","NorthWest","North")</f>
        <v>South</v>
      </c>
      <c r="AA927" s="4">
        <f>CHOOSE(MATCH(Z927,{"South";"SouthEast";"SouthWest";"North";"NorthEast";"East";"West";"NorthWest"},0),1,2,3,4,5,6,7,8)</f>
        <v>1</v>
      </c>
      <c r="AB927" s="2">
        <f t="shared" si="146"/>
        <v>0</v>
      </c>
      <c r="AC927">
        <v>1010.4</v>
      </c>
      <c r="AD927" t="s">
        <v>1414</v>
      </c>
      <c r="AE927" s="2">
        <f t="shared" si="147"/>
        <v>1</v>
      </c>
      <c r="AF927" t="s">
        <v>1415</v>
      </c>
      <c r="AG927" s="2">
        <f t="shared" si="148"/>
        <v>2</v>
      </c>
      <c r="AH927" s="2">
        <f t="shared" si="149"/>
        <v>0</v>
      </c>
      <c r="AI927" s="3">
        <v>150.00000000698489</v>
      </c>
      <c r="AJ927" s="2">
        <v>0</v>
      </c>
      <c r="AK927">
        <v>0</v>
      </c>
      <c r="AL927">
        <v>0.5</v>
      </c>
      <c r="AM927">
        <v>0</v>
      </c>
      <c r="AN927" s="2">
        <f>IF((2*G927+M927-O927+3*V927+2*AB927+2*AE927+2*AH927+3*AJ927)&gt;=7,1,0)</f>
        <v>0</v>
      </c>
    </row>
    <row r="928" spans="1:40" x14ac:dyDescent="0.25">
      <c r="A928" t="s">
        <v>27</v>
      </c>
      <c r="B928" s="1">
        <v>39871</v>
      </c>
      <c r="C928" s="6">
        <f t="shared" si="140"/>
        <v>2009</v>
      </c>
      <c r="D928">
        <v>53.7</v>
      </c>
      <c r="E928">
        <v>42.9</v>
      </c>
      <c r="F928">
        <v>49.4</v>
      </c>
      <c r="G928" s="2">
        <f t="shared" si="141"/>
        <v>0</v>
      </c>
      <c r="H928">
        <v>53.7</v>
      </c>
      <c r="I928">
        <v>35.4</v>
      </c>
      <c r="J928">
        <v>46</v>
      </c>
      <c r="K928">
        <v>36.700000000000003</v>
      </c>
      <c r="L928">
        <v>62.2</v>
      </c>
      <c r="M928" s="2">
        <f t="shared" si="142"/>
        <v>1</v>
      </c>
      <c r="N928">
        <v>3.9E-2</v>
      </c>
      <c r="O928" s="2">
        <f t="shared" si="143"/>
        <v>0</v>
      </c>
      <c r="P928">
        <v>100</v>
      </c>
      <c r="Q928">
        <v>4.17</v>
      </c>
      <c r="R928" t="s">
        <v>182</v>
      </c>
      <c r="S928">
        <v>0</v>
      </c>
      <c r="T928">
        <v>0</v>
      </c>
      <c r="U928">
        <v>0</v>
      </c>
      <c r="V928" s="2">
        <f t="shared" si="144"/>
        <v>0</v>
      </c>
      <c r="W928">
        <v>28.9</v>
      </c>
      <c r="X928" s="2">
        <f t="shared" si="145"/>
        <v>1</v>
      </c>
      <c r="Y928">
        <v>321.10000000000002</v>
      </c>
      <c r="Z928" s="2" t="str">
        <f>CHOOSE(MATCH(Y928,{0;11;80;111;161;191;241;281;341},1),"North","NorthEast","East","SouthEast","South","SouthWest","West","NorthWest","North")</f>
        <v>NorthWest</v>
      </c>
      <c r="AA928" s="4">
        <f>CHOOSE(MATCH(Z928,{"South";"SouthEast";"SouthWest";"North";"NorthEast";"East";"West";"NorthWest"},0),1,2,3,4,5,6,7,8)</f>
        <v>8</v>
      </c>
      <c r="AB928" s="2">
        <f t="shared" si="146"/>
        <v>1</v>
      </c>
      <c r="AC928">
        <v>1011.4</v>
      </c>
      <c r="AD928" t="s">
        <v>1416</v>
      </c>
      <c r="AE928" s="2">
        <f t="shared" si="147"/>
        <v>1</v>
      </c>
      <c r="AF928" t="s">
        <v>1417</v>
      </c>
      <c r="AG928" s="2">
        <f t="shared" si="148"/>
        <v>2</v>
      </c>
      <c r="AH928" s="2">
        <f t="shared" si="149"/>
        <v>0</v>
      </c>
      <c r="AI928" s="3">
        <v>545.00000000582077</v>
      </c>
      <c r="AJ928" s="2">
        <v>1</v>
      </c>
      <c r="AK928">
        <v>0</v>
      </c>
      <c r="AL928">
        <v>2</v>
      </c>
      <c r="AM928">
        <v>0</v>
      </c>
      <c r="AN928" s="2">
        <f>IF((2*G928+M928-O928+3*V928+2*AB928+2*AE928+2*AH928+3*AJ928)&gt;=7,1,0)</f>
        <v>1</v>
      </c>
    </row>
    <row r="929" spans="1:40" x14ac:dyDescent="0.25">
      <c r="A929" t="s">
        <v>27</v>
      </c>
      <c r="B929" s="1">
        <v>39873</v>
      </c>
      <c r="C929" s="6">
        <f t="shared" si="140"/>
        <v>2009</v>
      </c>
      <c r="D929">
        <v>57.3</v>
      </c>
      <c r="E929">
        <v>48.3</v>
      </c>
      <c r="F929">
        <v>53.3</v>
      </c>
      <c r="G929" s="2">
        <f t="shared" si="141"/>
        <v>0</v>
      </c>
      <c r="H929">
        <v>57.3</v>
      </c>
      <c r="I929">
        <v>44.2</v>
      </c>
      <c r="J929">
        <v>52.8</v>
      </c>
      <c r="K929">
        <v>39.1</v>
      </c>
      <c r="L929">
        <v>58.9</v>
      </c>
      <c r="M929" s="2">
        <f t="shared" si="142"/>
        <v>1</v>
      </c>
      <c r="N929">
        <v>0</v>
      </c>
      <c r="O929" s="2">
        <f t="shared" si="143"/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 s="2">
        <f t="shared" si="144"/>
        <v>0</v>
      </c>
      <c r="W929">
        <v>21.9</v>
      </c>
      <c r="X929" s="2">
        <f t="shared" si="145"/>
        <v>1</v>
      </c>
      <c r="Y929">
        <v>320.39999999999998</v>
      </c>
      <c r="Z929" s="2" t="str">
        <f>CHOOSE(MATCH(Y929,{0;11;80;111;161;191;241;281;341},1),"North","NorthEast","East","SouthEast","South","SouthWest","West","NorthWest","North")</f>
        <v>NorthWest</v>
      </c>
      <c r="AA929" s="4">
        <f>CHOOSE(MATCH(Z929,{"South";"SouthEast";"SouthWest";"North";"NorthEast";"East";"West";"NorthWest"},0),1,2,3,4,5,6,7,8)</f>
        <v>8</v>
      </c>
      <c r="AB929" s="2">
        <f t="shared" si="146"/>
        <v>1</v>
      </c>
      <c r="AC929">
        <v>1020.7</v>
      </c>
      <c r="AD929" t="s">
        <v>491</v>
      </c>
      <c r="AE929" s="2">
        <f t="shared" si="147"/>
        <v>0</v>
      </c>
      <c r="AF929" t="s">
        <v>1418</v>
      </c>
      <c r="AG929" s="2">
        <f t="shared" si="148"/>
        <v>3</v>
      </c>
      <c r="AH929" s="2">
        <f t="shared" si="149"/>
        <v>0</v>
      </c>
      <c r="AI929" s="3">
        <v>225</v>
      </c>
      <c r="AJ929" s="2">
        <v>0</v>
      </c>
      <c r="AK929">
        <v>0</v>
      </c>
      <c r="AL929">
        <v>3</v>
      </c>
      <c r="AM929">
        <v>0</v>
      </c>
      <c r="AN929" s="2">
        <f>IF((2*G929+M929-O929+3*V929+2*AB929+2*AE929+2*AH929+3*AJ929)&gt;=7,1,0)</f>
        <v>0</v>
      </c>
    </row>
    <row r="930" spans="1:40" x14ac:dyDescent="0.25">
      <c r="A930" t="s">
        <v>27</v>
      </c>
      <c r="B930" s="1">
        <v>39883</v>
      </c>
      <c r="C930" s="6">
        <f t="shared" si="140"/>
        <v>2009</v>
      </c>
      <c r="D930">
        <v>60.9</v>
      </c>
      <c r="E930">
        <v>44.7</v>
      </c>
      <c r="F930">
        <v>54</v>
      </c>
      <c r="G930" s="2">
        <f t="shared" si="141"/>
        <v>0</v>
      </c>
      <c r="H930">
        <v>60.9</v>
      </c>
      <c r="I930">
        <v>40.799999999999997</v>
      </c>
      <c r="J930">
        <v>53</v>
      </c>
      <c r="K930">
        <v>45.4</v>
      </c>
      <c r="L930">
        <v>73.099999999999994</v>
      </c>
      <c r="M930" s="2">
        <f t="shared" si="142"/>
        <v>0</v>
      </c>
      <c r="N930">
        <v>0</v>
      </c>
      <c r="O930" s="2">
        <f t="shared" si="143"/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s="2">
        <f t="shared" si="144"/>
        <v>0</v>
      </c>
      <c r="W930">
        <v>16.100000000000001</v>
      </c>
      <c r="X930" s="2">
        <f t="shared" si="145"/>
        <v>1</v>
      </c>
      <c r="Y930">
        <v>120.8</v>
      </c>
      <c r="Z930" s="2" t="str">
        <f>CHOOSE(MATCH(Y930,{0;11;80;111;161;191;241;281;341},1),"North","NorthEast","East","SouthEast","South","SouthWest","West","NorthWest","North")</f>
        <v>SouthEast</v>
      </c>
      <c r="AA930" s="4">
        <f>CHOOSE(MATCH(Z930,{"South";"SouthEast";"SouthWest";"North";"NorthEast";"East";"West";"NorthWest"},0),1,2,3,4,5,6,7,8)</f>
        <v>2</v>
      </c>
      <c r="AB930" s="2">
        <f t="shared" si="146"/>
        <v>0</v>
      </c>
      <c r="AC930">
        <v>1016.3</v>
      </c>
      <c r="AD930" t="s">
        <v>69</v>
      </c>
      <c r="AE930" s="2">
        <f t="shared" si="147"/>
        <v>1</v>
      </c>
      <c r="AF930" t="s">
        <v>1419</v>
      </c>
      <c r="AG930" s="2">
        <f t="shared" si="148"/>
        <v>3</v>
      </c>
      <c r="AH930" s="2">
        <f t="shared" si="149"/>
        <v>0</v>
      </c>
      <c r="AI930" s="3">
        <v>60.000000006984919</v>
      </c>
      <c r="AJ930" s="2">
        <v>0</v>
      </c>
      <c r="AK930">
        <v>0</v>
      </c>
      <c r="AL930">
        <v>0.2</v>
      </c>
      <c r="AM930">
        <v>0</v>
      </c>
      <c r="AN930" s="2">
        <f>IF((2*G930+M930-O930+3*V930+2*AB930+2*AE930+2*AH930+3*AJ930)&gt;=7,1,0)</f>
        <v>0</v>
      </c>
    </row>
    <row r="931" spans="1:40" x14ac:dyDescent="0.25">
      <c r="A931" t="s">
        <v>27</v>
      </c>
      <c r="B931" s="1">
        <v>39889</v>
      </c>
      <c r="C931" s="6">
        <f t="shared" si="140"/>
        <v>2009</v>
      </c>
      <c r="D931">
        <v>60.9</v>
      </c>
      <c r="E931">
        <v>44.7</v>
      </c>
      <c r="F931">
        <v>52.6</v>
      </c>
      <c r="G931" s="2">
        <f t="shared" si="141"/>
        <v>0</v>
      </c>
      <c r="H931">
        <v>60.9</v>
      </c>
      <c r="I931">
        <v>39.799999999999997</v>
      </c>
      <c r="J931">
        <v>51.1</v>
      </c>
      <c r="K931">
        <v>42.3</v>
      </c>
      <c r="L931">
        <v>68.599999999999994</v>
      </c>
      <c r="M931" s="2">
        <f t="shared" si="142"/>
        <v>0</v>
      </c>
      <c r="N931">
        <v>0</v>
      </c>
      <c r="O931" s="2">
        <f t="shared" si="143"/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 s="2">
        <f t="shared" si="144"/>
        <v>0</v>
      </c>
      <c r="W931">
        <v>9.1999999999999993</v>
      </c>
      <c r="X931" s="2">
        <f t="shared" si="145"/>
        <v>0</v>
      </c>
      <c r="Y931">
        <v>147.6</v>
      </c>
      <c r="Z931" s="2" t="str">
        <f>CHOOSE(MATCH(Y931,{0;11;80;111;161;191;241;281;341},1),"North","NorthEast","East","SouthEast","South","SouthWest","West","NorthWest","North")</f>
        <v>SouthEast</v>
      </c>
      <c r="AA931" s="4">
        <f>CHOOSE(MATCH(Z931,{"South";"SouthEast";"SouthWest";"North";"NorthEast";"East";"West";"NorthWest"},0),1,2,3,4,5,6,7,8)</f>
        <v>2</v>
      </c>
      <c r="AB931" s="2">
        <f t="shared" si="146"/>
        <v>0</v>
      </c>
      <c r="AC931">
        <v>1020.2</v>
      </c>
      <c r="AD931" t="s">
        <v>1420</v>
      </c>
      <c r="AE931" s="2">
        <f t="shared" si="147"/>
        <v>1</v>
      </c>
      <c r="AF931" t="s">
        <v>1421</v>
      </c>
      <c r="AG931" s="2">
        <f t="shared" si="148"/>
        <v>3</v>
      </c>
      <c r="AH931" s="2">
        <f t="shared" si="149"/>
        <v>0</v>
      </c>
      <c r="AI931" s="3">
        <v>120.0000000034925</v>
      </c>
      <c r="AJ931" s="2">
        <v>0</v>
      </c>
      <c r="AK931">
        <v>0</v>
      </c>
      <c r="AL931">
        <v>2</v>
      </c>
      <c r="AM931">
        <v>0</v>
      </c>
      <c r="AN931" s="2">
        <f>IF((2*G931+M931-O931+3*V931+2*AB931+2*AE931+2*AH931+3*AJ931)&gt;=7,1,0)</f>
        <v>0</v>
      </c>
    </row>
    <row r="932" spans="1:40" x14ac:dyDescent="0.25">
      <c r="A932" t="s">
        <v>27</v>
      </c>
      <c r="B932" s="1">
        <v>39892</v>
      </c>
      <c r="C932" s="6">
        <f t="shared" si="140"/>
        <v>2009</v>
      </c>
      <c r="D932">
        <v>57.3</v>
      </c>
      <c r="E932">
        <v>42.9</v>
      </c>
      <c r="F932">
        <v>51.2</v>
      </c>
      <c r="G932" s="2">
        <f t="shared" si="141"/>
        <v>0</v>
      </c>
      <c r="H932">
        <v>57.3</v>
      </c>
      <c r="I932">
        <v>41.3</v>
      </c>
      <c r="J932">
        <v>50.6</v>
      </c>
      <c r="K932">
        <v>34.799999999999997</v>
      </c>
      <c r="L932">
        <v>54.3</v>
      </c>
      <c r="M932" s="2">
        <f t="shared" si="142"/>
        <v>1</v>
      </c>
      <c r="N932">
        <v>0</v>
      </c>
      <c r="O932" s="2">
        <f t="shared" si="143"/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 s="2">
        <f t="shared" si="144"/>
        <v>0</v>
      </c>
      <c r="W932">
        <v>13.9</v>
      </c>
      <c r="X932" s="2">
        <f t="shared" si="145"/>
        <v>0</v>
      </c>
      <c r="Y932">
        <v>91.9</v>
      </c>
      <c r="Z932" s="2" t="str">
        <f>CHOOSE(MATCH(Y932,{0;11;80;111;161;191;241;281;341},1),"North","NorthEast","East","SouthEast","South","SouthWest","West","NorthWest","North")</f>
        <v>East</v>
      </c>
      <c r="AA932" s="4">
        <f>CHOOSE(MATCH(Z932,{"South";"SouthEast";"SouthWest";"North";"NorthEast";"East";"West";"NorthWest"},0),1,2,3,4,5,6,7,8)</f>
        <v>6</v>
      </c>
      <c r="AB932" s="2">
        <f t="shared" si="146"/>
        <v>0</v>
      </c>
      <c r="AC932">
        <v>1017.9</v>
      </c>
      <c r="AD932" t="s">
        <v>566</v>
      </c>
      <c r="AE932" s="2">
        <f t="shared" si="147"/>
        <v>1</v>
      </c>
      <c r="AF932" t="s">
        <v>1422</v>
      </c>
      <c r="AG932" s="2">
        <f t="shared" si="148"/>
        <v>3</v>
      </c>
      <c r="AH932" s="2">
        <f t="shared" si="149"/>
        <v>0</v>
      </c>
      <c r="AI932" s="3">
        <v>979.99999999883585</v>
      </c>
      <c r="AJ932" s="2">
        <v>1</v>
      </c>
      <c r="AK932">
        <v>0</v>
      </c>
      <c r="AL932">
        <v>25</v>
      </c>
      <c r="AM932">
        <v>0</v>
      </c>
      <c r="AN932" s="2">
        <f>IF((2*G932+M932-O932+3*V932+2*AB932+2*AE932+2*AH932+3*AJ932)&gt;=7,1,0)</f>
        <v>0</v>
      </c>
    </row>
    <row r="933" spans="1:40" x14ac:dyDescent="0.25">
      <c r="A933" t="s">
        <v>27</v>
      </c>
      <c r="B933" s="1">
        <v>39893</v>
      </c>
      <c r="C933" s="6">
        <f t="shared" si="140"/>
        <v>2009</v>
      </c>
      <c r="D933">
        <v>64.5</v>
      </c>
      <c r="E933">
        <v>48.3</v>
      </c>
      <c r="F933">
        <v>58.2</v>
      </c>
      <c r="G933" s="2">
        <f t="shared" si="141"/>
        <v>0</v>
      </c>
      <c r="H933">
        <v>64.5</v>
      </c>
      <c r="I933">
        <v>44.7</v>
      </c>
      <c r="J933">
        <v>58.1</v>
      </c>
      <c r="K933">
        <v>42.8</v>
      </c>
      <c r="L933">
        <v>56.7</v>
      </c>
      <c r="M933" s="2">
        <f t="shared" si="142"/>
        <v>1</v>
      </c>
      <c r="N933">
        <v>0</v>
      </c>
      <c r="O933" s="2">
        <f t="shared" si="143"/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 s="2">
        <f t="shared" si="144"/>
        <v>0</v>
      </c>
      <c r="W933">
        <v>25.3</v>
      </c>
      <c r="X933" s="2">
        <f t="shared" si="145"/>
        <v>1</v>
      </c>
      <c r="Y933">
        <v>175.7</v>
      </c>
      <c r="Z933" s="2" t="str">
        <f>CHOOSE(MATCH(Y933,{0;11;80;111;161;191;241;281;341},1),"North","NorthEast","East","SouthEast","South","SouthWest","West","NorthWest","North")</f>
        <v>South</v>
      </c>
      <c r="AA933" s="4">
        <f>CHOOSE(MATCH(Z933,{"South";"SouthEast";"SouthWest";"North";"NorthEast";"East";"West";"NorthWest"},0),1,2,3,4,5,6,7,8)</f>
        <v>1</v>
      </c>
      <c r="AB933" s="2">
        <f t="shared" si="146"/>
        <v>0</v>
      </c>
      <c r="AC933">
        <v>1011.2</v>
      </c>
      <c r="AD933" t="s">
        <v>1423</v>
      </c>
      <c r="AE933" s="2">
        <f t="shared" si="147"/>
        <v>1</v>
      </c>
      <c r="AF933" t="s">
        <v>1424</v>
      </c>
      <c r="AG933" s="2">
        <f t="shared" si="148"/>
        <v>3</v>
      </c>
      <c r="AH933" s="2">
        <f t="shared" si="149"/>
        <v>0</v>
      </c>
      <c r="AI933" s="3">
        <v>262.99999999813741</v>
      </c>
      <c r="AJ933" s="2">
        <v>0</v>
      </c>
      <c r="AK933">
        <v>0</v>
      </c>
      <c r="AL933">
        <v>2</v>
      </c>
      <c r="AM933">
        <v>0</v>
      </c>
      <c r="AN933" s="2">
        <f>IF((2*G933+M933-O933+3*V933+2*AB933+2*AE933+2*AH933+3*AJ933)&gt;=7,1,0)</f>
        <v>0</v>
      </c>
    </row>
    <row r="934" spans="1:40" x14ac:dyDescent="0.25">
      <c r="A934" t="s">
        <v>27</v>
      </c>
      <c r="B934" s="1">
        <v>39902</v>
      </c>
      <c r="C934" s="6">
        <f t="shared" si="140"/>
        <v>2009</v>
      </c>
      <c r="D934">
        <v>68.099999999999994</v>
      </c>
      <c r="E934">
        <v>53.7</v>
      </c>
      <c r="F934">
        <v>61.9</v>
      </c>
      <c r="G934" s="2">
        <f t="shared" si="141"/>
        <v>0</v>
      </c>
      <c r="H934">
        <v>68.099999999999994</v>
      </c>
      <c r="I934">
        <v>53.7</v>
      </c>
      <c r="J934">
        <v>61.9</v>
      </c>
      <c r="K934">
        <v>52.5</v>
      </c>
      <c r="L934">
        <v>72.099999999999994</v>
      </c>
      <c r="M934" s="2">
        <f t="shared" si="142"/>
        <v>0</v>
      </c>
      <c r="N934">
        <v>0</v>
      </c>
      <c r="O934" s="2">
        <f t="shared" si="143"/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 s="2">
        <f t="shared" si="144"/>
        <v>0</v>
      </c>
      <c r="W934">
        <v>20.8</v>
      </c>
      <c r="X934" s="2">
        <f t="shared" si="145"/>
        <v>1</v>
      </c>
      <c r="Y934">
        <v>177.3</v>
      </c>
      <c r="Z934" s="2" t="str">
        <f>CHOOSE(MATCH(Y934,{0;11;80;111;161;191;241;281;341},1),"North","NorthEast","East","SouthEast","South","SouthWest","West","NorthWest","North")</f>
        <v>South</v>
      </c>
      <c r="AA934" s="4">
        <f>CHOOSE(MATCH(Z934,{"South";"SouthEast";"SouthWest";"North";"NorthEast";"East";"West";"NorthWest"},0),1,2,3,4,5,6,7,8)</f>
        <v>1</v>
      </c>
      <c r="AB934" s="2">
        <f t="shared" si="146"/>
        <v>0</v>
      </c>
      <c r="AC934">
        <v>1018.7</v>
      </c>
      <c r="AD934" t="s">
        <v>842</v>
      </c>
      <c r="AE934" s="2">
        <f t="shared" si="147"/>
        <v>1</v>
      </c>
      <c r="AF934" t="s">
        <v>1425</v>
      </c>
      <c r="AG934" s="2">
        <f t="shared" si="148"/>
        <v>3</v>
      </c>
      <c r="AH934" s="2">
        <f t="shared" si="149"/>
        <v>0</v>
      </c>
      <c r="AI934" s="3">
        <v>169.99999999883579</v>
      </c>
      <c r="AJ934" s="2">
        <v>0</v>
      </c>
      <c r="AK934">
        <v>0</v>
      </c>
      <c r="AL934">
        <v>3</v>
      </c>
      <c r="AM934">
        <v>0</v>
      </c>
      <c r="AN934" s="2">
        <f>IF((2*G934+M934-O934+3*V934+2*AB934+2*AE934+2*AH934+3*AJ934)&gt;=7,1,0)</f>
        <v>0</v>
      </c>
    </row>
    <row r="935" spans="1:40" x14ac:dyDescent="0.25">
      <c r="A935" t="s">
        <v>27</v>
      </c>
      <c r="B935" s="1">
        <v>39911</v>
      </c>
      <c r="C935" s="6">
        <f t="shared" si="140"/>
        <v>2009</v>
      </c>
      <c r="D935">
        <v>64.5</v>
      </c>
      <c r="E935">
        <v>48.3</v>
      </c>
      <c r="F935">
        <v>57.3</v>
      </c>
      <c r="G935" s="2">
        <f t="shared" si="141"/>
        <v>0</v>
      </c>
      <c r="H935">
        <v>64.5</v>
      </c>
      <c r="I935">
        <v>44.2</v>
      </c>
      <c r="J935">
        <v>56.7</v>
      </c>
      <c r="K935">
        <v>49.8</v>
      </c>
      <c r="L935">
        <v>76.2</v>
      </c>
      <c r="M935" s="2">
        <f t="shared" si="142"/>
        <v>0</v>
      </c>
      <c r="N935">
        <v>0</v>
      </c>
      <c r="O935" s="2">
        <f t="shared" si="143"/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s="2">
        <f t="shared" si="144"/>
        <v>0</v>
      </c>
      <c r="W935">
        <v>19.5</v>
      </c>
      <c r="X935" s="2">
        <f t="shared" si="145"/>
        <v>1</v>
      </c>
      <c r="Y935">
        <v>300.89999999999998</v>
      </c>
      <c r="Z935" s="2" t="str">
        <f>CHOOSE(MATCH(Y935,{0;11;80;111;161;191;241;281;341},1),"North","NorthEast","East","SouthEast","South","SouthWest","West","NorthWest","North")</f>
        <v>NorthWest</v>
      </c>
      <c r="AA935" s="4">
        <f>CHOOSE(MATCH(Z935,{"South";"SouthEast";"SouthWest";"North";"NorthEast";"East";"West";"NorthWest"},0),1,2,3,4,5,6,7,8)</f>
        <v>8</v>
      </c>
      <c r="AB935" s="2">
        <f t="shared" si="146"/>
        <v>1</v>
      </c>
      <c r="AC935">
        <v>1015.9</v>
      </c>
      <c r="AD935" t="s">
        <v>403</v>
      </c>
      <c r="AE935" s="2">
        <f t="shared" si="147"/>
        <v>1</v>
      </c>
      <c r="AF935" t="s">
        <v>1426</v>
      </c>
      <c r="AG935" s="2">
        <f t="shared" si="148"/>
        <v>4</v>
      </c>
      <c r="AH935" s="2">
        <f t="shared" si="149"/>
        <v>0</v>
      </c>
      <c r="AI935" s="3">
        <v>240.00000000698489</v>
      </c>
      <c r="AJ935" s="2">
        <v>0</v>
      </c>
      <c r="AK935">
        <v>0</v>
      </c>
      <c r="AL935">
        <v>0.2</v>
      </c>
      <c r="AM935">
        <v>0</v>
      </c>
      <c r="AN935" s="2">
        <f>IF((2*G935+M935-O935+3*V935+2*AB935+2*AE935+2*AH935+3*AJ935)&gt;=7,1,0)</f>
        <v>0</v>
      </c>
    </row>
    <row r="936" spans="1:40" x14ac:dyDescent="0.25">
      <c r="A936" t="s">
        <v>27</v>
      </c>
      <c r="B936" s="1">
        <v>39911</v>
      </c>
      <c r="C936" s="6">
        <f t="shared" si="140"/>
        <v>2009</v>
      </c>
      <c r="D936">
        <v>64.5</v>
      </c>
      <c r="E936">
        <v>48.3</v>
      </c>
      <c r="F936">
        <v>57.3</v>
      </c>
      <c r="G936" s="2">
        <f t="shared" si="141"/>
        <v>0</v>
      </c>
      <c r="H936">
        <v>64.5</v>
      </c>
      <c r="I936">
        <v>44.2</v>
      </c>
      <c r="J936">
        <v>56.7</v>
      </c>
      <c r="K936">
        <v>49.8</v>
      </c>
      <c r="L936">
        <v>76.2</v>
      </c>
      <c r="M936" s="2">
        <f t="shared" si="142"/>
        <v>0</v>
      </c>
      <c r="N936">
        <v>0</v>
      </c>
      <c r="O936" s="2">
        <f t="shared" si="143"/>
        <v>1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 s="2">
        <f t="shared" si="144"/>
        <v>0</v>
      </c>
      <c r="W936">
        <v>19.5</v>
      </c>
      <c r="X936" s="2">
        <f t="shared" si="145"/>
        <v>1</v>
      </c>
      <c r="Y936">
        <v>300.89999999999998</v>
      </c>
      <c r="Z936" s="2" t="str">
        <f>CHOOSE(MATCH(Y936,{0;11;80;111;161;191;241;281;341},1),"North","NorthEast","East","SouthEast","South","SouthWest","West","NorthWest","North")</f>
        <v>NorthWest</v>
      </c>
      <c r="AA936" s="4">
        <f>CHOOSE(MATCH(Z936,{"South";"SouthEast";"SouthWest";"North";"NorthEast";"East";"West";"NorthWest"},0),1,2,3,4,5,6,7,8)</f>
        <v>8</v>
      </c>
      <c r="AB936" s="2">
        <f t="shared" si="146"/>
        <v>1</v>
      </c>
      <c r="AC936">
        <v>1015.9</v>
      </c>
      <c r="AD936" t="s">
        <v>930</v>
      </c>
      <c r="AE936" s="2">
        <f t="shared" si="147"/>
        <v>1</v>
      </c>
      <c r="AF936" t="s">
        <v>1427</v>
      </c>
      <c r="AG936" s="2">
        <f t="shared" si="148"/>
        <v>4</v>
      </c>
      <c r="AH936" s="2">
        <f t="shared" si="149"/>
        <v>0</v>
      </c>
      <c r="AI936" s="3">
        <v>259.99999999883579</v>
      </c>
      <c r="AJ936" s="2">
        <v>0</v>
      </c>
      <c r="AK936">
        <v>0</v>
      </c>
      <c r="AL936">
        <v>0.3</v>
      </c>
      <c r="AM936">
        <v>0</v>
      </c>
      <c r="AN936" s="2">
        <f>IF((2*G936+M936-O936+3*V936+2*AB936+2*AE936+2*AH936+3*AJ936)&gt;=7,1,0)</f>
        <v>0</v>
      </c>
    </row>
    <row r="937" spans="1:40" x14ac:dyDescent="0.25">
      <c r="A937" t="s">
        <v>27</v>
      </c>
      <c r="B937" s="1">
        <v>39914</v>
      </c>
      <c r="C937" s="6">
        <f t="shared" si="140"/>
        <v>2009</v>
      </c>
      <c r="D937">
        <v>66.3</v>
      </c>
      <c r="E937">
        <v>55.5</v>
      </c>
      <c r="F937">
        <v>60.7</v>
      </c>
      <c r="G937" s="2">
        <f t="shared" si="141"/>
        <v>0</v>
      </c>
      <c r="H937">
        <v>66.3</v>
      </c>
      <c r="I937">
        <v>55.5</v>
      </c>
      <c r="J937">
        <v>60.7</v>
      </c>
      <c r="K937">
        <v>53.4</v>
      </c>
      <c r="L937">
        <v>77.2</v>
      </c>
      <c r="M937" s="2">
        <f t="shared" si="142"/>
        <v>0</v>
      </c>
      <c r="N937">
        <v>0</v>
      </c>
      <c r="O937" s="2">
        <f t="shared" si="143"/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 s="2">
        <f t="shared" si="144"/>
        <v>0</v>
      </c>
      <c r="W937">
        <v>10.3</v>
      </c>
      <c r="X937" s="2">
        <f t="shared" si="145"/>
        <v>0</v>
      </c>
      <c r="Y937">
        <v>125.2</v>
      </c>
      <c r="Z937" s="2" t="str">
        <f>CHOOSE(MATCH(Y937,{0;11;80;111;161;191;241;281;341},1),"North","NorthEast","East","SouthEast","South","SouthWest","West","NorthWest","North")</f>
        <v>SouthEast</v>
      </c>
      <c r="AA937" s="4">
        <f>CHOOSE(MATCH(Z937,{"South";"SouthEast";"SouthWest";"North";"NorthEast";"East";"West";"NorthWest"},0),1,2,3,4,5,6,7,8)</f>
        <v>2</v>
      </c>
      <c r="AB937" s="2">
        <f t="shared" si="146"/>
        <v>0</v>
      </c>
      <c r="AC937">
        <v>1011</v>
      </c>
      <c r="AD937" t="s">
        <v>708</v>
      </c>
      <c r="AE937" s="2">
        <f t="shared" si="147"/>
        <v>1</v>
      </c>
      <c r="AF937" t="s">
        <v>1428</v>
      </c>
      <c r="AG937" s="2">
        <f t="shared" si="148"/>
        <v>4</v>
      </c>
      <c r="AH937" s="2">
        <f t="shared" si="149"/>
        <v>0</v>
      </c>
      <c r="AI937" s="3">
        <v>310.00000000465661</v>
      </c>
      <c r="AJ937" s="2">
        <v>0</v>
      </c>
      <c r="AK937">
        <v>0</v>
      </c>
      <c r="AL937">
        <v>30</v>
      </c>
      <c r="AM937">
        <v>0</v>
      </c>
      <c r="AN937" s="2">
        <f>IF((2*G937+M937-O937+3*V937+2*AB937+2*AE937+2*AH937+3*AJ937)&gt;=7,1,0)</f>
        <v>0</v>
      </c>
    </row>
    <row r="938" spans="1:40" x14ac:dyDescent="0.25">
      <c r="A938" t="s">
        <v>27</v>
      </c>
      <c r="B938" s="1">
        <v>39915</v>
      </c>
      <c r="C938" s="6">
        <f t="shared" si="140"/>
        <v>2009</v>
      </c>
      <c r="D938">
        <v>66.3</v>
      </c>
      <c r="E938">
        <v>55.5</v>
      </c>
      <c r="F938">
        <v>60.8</v>
      </c>
      <c r="G938" s="2">
        <f t="shared" si="141"/>
        <v>0</v>
      </c>
      <c r="H938">
        <v>66.3</v>
      </c>
      <c r="I938">
        <v>55.5</v>
      </c>
      <c r="J938">
        <v>60.8</v>
      </c>
      <c r="K938">
        <v>56.8</v>
      </c>
      <c r="L938">
        <v>86.7</v>
      </c>
      <c r="M938" s="2">
        <f t="shared" si="142"/>
        <v>0</v>
      </c>
      <c r="N938">
        <v>0.311</v>
      </c>
      <c r="O938" s="2">
        <f t="shared" si="143"/>
        <v>0</v>
      </c>
      <c r="P938">
        <v>100</v>
      </c>
      <c r="Q938">
        <v>8.33</v>
      </c>
      <c r="R938" t="s">
        <v>182</v>
      </c>
      <c r="S938">
        <v>0</v>
      </c>
      <c r="T938">
        <v>0</v>
      </c>
      <c r="U938">
        <v>0</v>
      </c>
      <c r="V938" s="2">
        <f t="shared" si="144"/>
        <v>0</v>
      </c>
      <c r="W938">
        <v>11.4</v>
      </c>
      <c r="X938" s="2">
        <f t="shared" si="145"/>
        <v>0</v>
      </c>
      <c r="Y938">
        <v>60.7</v>
      </c>
      <c r="Z938" s="2" t="str">
        <f>CHOOSE(MATCH(Y938,{0;11;80;111;161;191;241;281;341},1),"North","NorthEast","East","SouthEast","South","SouthWest","West","NorthWest","North")</f>
        <v>NorthEast</v>
      </c>
      <c r="AA938" s="4">
        <f>CHOOSE(MATCH(Z938,{"South";"SouthEast";"SouthWest";"North";"NorthEast";"East";"West";"NorthWest"},0),1,2,3,4,5,6,7,8)</f>
        <v>5</v>
      </c>
      <c r="AB938" s="2">
        <f t="shared" si="146"/>
        <v>1</v>
      </c>
      <c r="AC938">
        <v>1011.4</v>
      </c>
      <c r="AD938" t="s">
        <v>1429</v>
      </c>
      <c r="AE938" s="2">
        <f t="shared" si="147"/>
        <v>1</v>
      </c>
      <c r="AF938" t="s">
        <v>1430</v>
      </c>
      <c r="AG938" s="2">
        <f t="shared" si="148"/>
        <v>4</v>
      </c>
      <c r="AH938" s="2">
        <f t="shared" si="149"/>
        <v>0</v>
      </c>
      <c r="AI938" s="3">
        <v>254.0000000002328</v>
      </c>
      <c r="AJ938" s="2">
        <v>0</v>
      </c>
      <c r="AK938">
        <v>0</v>
      </c>
      <c r="AL938">
        <v>3</v>
      </c>
      <c r="AM938">
        <v>0</v>
      </c>
      <c r="AN938" s="2">
        <f>IF((2*G938+M938-O938+3*V938+2*AB938+2*AE938+2*AH938+3*AJ938)&gt;=7,1,0)</f>
        <v>0</v>
      </c>
    </row>
    <row r="939" spans="1:40" x14ac:dyDescent="0.25">
      <c r="A939" t="s">
        <v>27</v>
      </c>
      <c r="B939" s="1">
        <v>39920</v>
      </c>
      <c r="C939" s="6">
        <f t="shared" si="140"/>
        <v>2009</v>
      </c>
      <c r="D939">
        <v>68.099999999999994</v>
      </c>
      <c r="E939">
        <v>50.1</v>
      </c>
      <c r="F939">
        <v>59.3</v>
      </c>
      <c r="G939" s="2">
        <f t="shared" si="141"/>
        <v>0</v>
      </c>
      <c r="H939">
        <v>68.099999999999994</v>
      </c>
      <c r="I939">
        <v>50.1</v>
      </c>
      <c r="J939">
        <v>59.3</v>
      </c>
      <c r="K939">
        <v>46.7</v>
      </c>
      <c r="L939">
        <v>63.6</v>
      </c>
      <c r="M939" s="2">
        <f t="shared" si="142"/>
        <v>1</v>
      </c>
      <c r="N939">
        <v>0</v>
      </c>
      <c r="O939" s="2">
        <f t="shared" si="143"/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 s="2">
        <f t="shared" si="144"/>
        <v>0</v>
      </c>
      <c r="W939">
        <v>8.1</v>
      </c>
      <c r="X939" s="2">
        <f t="shared" si="145"/>
        <v>0</v>
      </c>
      <c r="Y939">
        <v>187.7</v>
      </c>
      <c r="Z939" s="2" t="str">
        <f>CHOOSE(MATCH(Y939,{0;11;80;111;161;191;241;281;341},1),"North","NorthEast","East","SouthEast","South","SouthWest","West","NorthWest","North")</f>
        <v>South</v>
      </c>
      <c r="AA939" s="4">
        <f>CHOOSE(MATCH(Z939,{"South";"SouthEast";"SouthWest";"North";"NorthEast";"East";"West";"NorthWest"},0),1,2,3,4,5,6,7,8)</f>
        <v>1</v>
      </c>
      <c r="AB939" s="2">
        <f t="shared" si="146"/>
        <v>0</v>
      </c>
      <c r="AC939">
        <v>1014.7</v>
      </c>
      <c r="AD939" t="s">
        <v>1280</v>
      </c>
      <c r="AE939" s="2">
        <f t="shared" si="147"/>
        <v>1</v>
      </c>
      <c r="AF939" t="s">
        <v>1431</v>
      </c>
      <c r="AG939" s="2">
        <f t="shared" si="148"/>
        <v>4</v>
      </c>
      <c r="AH939" s="2">
        <f t="shared" si="149"/>
        <v>0</v>
      </c>
      <c r="AI939" s="3">
        <v>80.000000009313226</v>
      </c>
      <c r="AJ939" s="2">
        <v>0</v>
      </c>
      <c r="AK939">
        <v>0</v>
      </c>
      <c r="AL939">
        <v>1</v>
      </c>
      <c r="AM939">
        <v>0</v>
      </c>
      <c r="AN939" s="2">
        <f>IF((2*G939+M939-O939+3*V939+2*AB939+2*AE939+2*AH939+3*AJ939)&gt;=7,1,0)</f>
        <v>0</v>
      </c>
    </row>
    <row r="940" spans="1:40" x14ac:dyDescent="0.25">
      <c r="A940" t="s">
        <v>27</v>
      </c>
      <c r="B940" s="1">
        <v>39952</v>
      </c>
      <c r="C940" s="6">
        <f t="shared" si="140"/>
        <v>2009</v>
      </c>
      <c r="D940">
        <v>73.5</v>
      </c>
      <c r="E940">
        <v>60.9</v>
      </c>
      <c r="F940">
        <v>68.5</v>
      </c>
      <c r="G940" s="2">
        <f t="shared" si="141"/>
        <v>0</v>
      </c>
      <c r="H940">
        <v>73.5</v>
      </c>
      <c r="I940">
        <v>60.9</v>
      </c>
      <c r="J940">
        <v>68.5</v>
      </c>
      <c r="K940">
        <v>61.3</v>
      </c>
      <c r="L940">
        <v>78.099999999999994</v>
      </c>
      <c r="M940" s="2">
        <f t="shared" si="142"/>
        <v>0</v>
      </c>
      <c r="N940">
        <v>0</v>
      </c>
      <c r="O940" s="2">
        <f t="shared" si="143"/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s="2">
        <f t="shared" si="144"/>
        <v>0</v>
      </c>
      <c r="W940">
        <v>23</v>
      </c>
      <c r="X940" s="2">
        <f t="shared" si="145"/>
        <v>1</v>
      </c>
      <c r="Y940">
        <v>297.60000000000002</v>
      </c>
      <c r="Z940" s="2" t="str">
        <f>CHOOSE(MATCH(Y940,{0;11;80;111;161;191;241;281;341},1),"North","NorthEast","East","SouthEast","South","SouthWest","West","NorthWest","North")</f>
        <v>NorthWest</v>
      </c>
      <c r="AA940" s="4">
        <f>CHOOSE(MATCH(Z940,{"South";"SouthEast";"SouthWest";"North";"NorthEast";"East";"West";"NorthWest"},0),1,2,3,4,5,6,7,8)</f>
        <v>8</v>
      </c>
      <c r="AB940" s="2">
        <f t="shared" si="146"/>
        <v>1</v>
      </c>
      <c r="AC940">
        <v>1009.6</v>
      </c>
      <c r="AD940" t="s">
        <v>523</v>
      </c>
      <c r="AE940" s="2">
        <f t="shared" si="147"/>
        <v>1</v>
      </c>
      <c r="AF940" t="s">
        <v>1432</v>
      </c>
      <c r="AG940" s="2">
        <f t="shared" si="148"/>
        <v>5</v>
      </c>
      <c r="AH940" s="2">
        <f t="shared" si="149"/>
        <v>0</v>
      </c>
      <c r="AI940" s="3">
        <v>1440</v>
      </c>
      <c r="AJ940" s="2">
        <v>1</v>
      </c>
      <c r="AK940">
        <v>0</v>
      </c>
      <c r="AL940">
        <v>4</v>
      </c>
      <c r="AM940">
        <v>0</v>
      </c>
      <c r="AN940" s="2">
        <f>IF((2*G940+M940-O940+3*V940+2*AB940+2*AE940+2*AH940+3*AJ940)&gt;=7,1,0)</f>
        <v>0</v>
      </c>
    </row>
    <row r="941" spans="1:40" x14ac:dyDescent="0.25">
      <c r="A941" t="s">
        <v>27</v>
      </c>
      <c r="B941" s="1">
        <v>39975</v>
      </c>
      <c r="C941" s="6">
        <f t="shared" si="140"/>
        <v>2009</v>
      </c>
      <c r="D941">
        <v>87.9</v>
      </c>
      <c r="E941">
        <v>75.3</v>
      </c>
      <c r="F941">
        <v>81.3</v>
      </c>
      <c r="G941" s="2">
        <f t="shared" si="141"/>
        <v>1</v>
      </c>
      <c r="H941">
        <v>87.2</v>
      </c>
      <c r="I941">
        <v>75.3</v>
      </c>
      <c r="J941">
        <v>81.7</v>
      </c>
      <c r="K941">
        <v>61.5</v>
      </c>
      <c r="L941">
        <v>51.6</v>
      </c>
      <c r="M941" s="2">
        <f t="shared" si="142"/>
        <v>1</v>
      </c>
      <c r="N941">
        <v>0</v>
      </c>
      <c r="O941" s="2">
        <f t="shared" si="143"/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 s="2">
        <f t="shared" si="144"/>
        <v>0</v>
      </c>
      <c r="W941">
        <v>19.5</v>
      </c>
      <c r="X941" s="2">
        <f t="shared" si="145"/>
        <v>1</v>
      </c>
      <c r="Y941">
        <v>302.39999999999998</v>
      </c>
      <c r="Z941" s="2" t="str">
        <f>CHOOSE(MATCH(Y941,{0;11;80;111;161;191;241;281;341},1),"North","NorthEast","East","SouthEast","South","SouthWest","West","NorthWest","North")</f>
        <v>NorthWest</v>
      </c>
      <c r="AA941" s="4">
        <f>CHOOSE(MATCH(Z941,{"South";"SouthEast";"SouthWest";"North";"NorthEast";"East";"West";"NorthWest"},0),1,2,3,4,5,6,7,8)</f>
        <v>8</v>
      </c>
      <c r="AB941" s="2">
        <f t="shared" si="146"/>
        <v>1</v>
      </c>
      <c r="AC941">
        <v>1010.5</v>
      </c>
      <c r="AD941" t="s">
        <v>342</v>
      </c>
      <c r="AE941" s="2">
        <f t="shared" si="147"/>
        <v>1</v>
      </c>
      <c r="AF941" t="s">
        <v>1433</v>
      </c>
      <c r="AG941" s="2">
        <f t="shared" si="148"/>
        <v>6</v>
      </c>
      <c r="AH941" s="2">
        <f t="shared" si="149"/>
        <v>1</v>
      </c>
      <c r="AI941" s="3">
        <v>250.0000000081491</v>
      </c>
      <c r="AJ941" s="2">
        <v>0</v>
      </c>
      <c r="AK941">
        <v>0.1</v>
      </c>
      <c r="AL941">
        <v>0</v>
      </c>
      <c r="AM941">
        <v>0</v>
      </c>
      <c r="AN941" s="2">
        <f>IF((2*G941+M941-O941+3*V941+2*AB941+2*AE941+2*AH941+3*AJ941)&gt;=7,1,0)</f>
        <v>1</v>
      </c>
    </row>
    <row r="942" spans="1:40" x14ac:dyDescent="0.25">
      <c r="A942" t="s">
        <v>27</v>
      </c>
      <c r="B942" s="1">
        <v>39975</v>
      </c>
      <c r="C942" s="6">
        <f t="shared" si="140"/>
        <v>2009</v>
      </c>
      <c r="D942">
        <v>87.9</v>
      </c>
      <c r="E942">
        <v>75.3</v>
      </c>
      <c r="F942">
        <v>81.3</v>
      </c>
      <c r="G942" s="2">
        <f t="shared" si="141"/>
        <v>1</v>
      </c>
      <c r="H942">
        <v>87.2</v>
      </c>
      <c r="I942">
        <v>75.3</v>
      </c>
      <c r="J942">
        <v>81.7</v>
      </c>
      <c r="K942">
        <v>61.5</v>
      </c>
      <c r="L942">
        <v>51.6</v>
      </c>
      <c r="M942" s="2">
        <f t="shared" si="142"/>
        <v>1</v>
      </c>
      <c r="N942">
        <v>0</v>
      </c>
      <c r="O942" s="2">
        <f t="shared" si="143"/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 s="2">
        <f t="shared" si="144"/>
        <v>0</v>
      </c>
      <c r="W942">
        <v>19.5</v>
      </c>
      <c r="X942" s="2">
        <f t="shared" si="145"/>
        <v>1</v>
      </c>
      <c r="Y942">
        <v>302.39999999999998</v>
      </c>
      <c r="Z942" s="2" t="str">
        <f>CHOOSE(MATCH(Y942,{0;11;80;111;161;191;241;281;341},1),"North","NorthEast","East","SouthEast","South","SouthWest","West","NorthWest","North")</f>
        <v>NorthWest</v>
      </c>
      <c r="AA942" s="4">
        <f>CHOOSE(MATCH(Z942,{"South";"SouthEast";"SouthWest";"North";"NorthEast";"East";"West";"NorthWest"},0),1,2,3,4,5,6,7,8)</f>
        <v>8</v>
      </c>
      <c r="AB942" s="2">
        <f t="shared" si="146"/>
        <v>1</v>
      </c>
      <c r="AC942">
        <v>1010.5</v>
      </c>
      <c r="AD942" t="s">
        <v>1387</v>
      </c>
      <c r="AE942" s="2">
        <f t="shared" si="147"/>
        <v>1</v>
      </c>
      <c r="AF942" t="s">
        <v>1434</v>
      </c>
      <c r="AG942" s="2">
        <f t="shared" si="148"/>
        <v>6</v>
      </c>
      <c r="AH942" s="2">
        <f t="shared" si="149"/>
        <v>1</v>
      </c>
      <c r="AI942" s="3">
        <v>454.99999999534339</v>
      </c>
      <c r="AJ942" s="2">
        <v>1</v>
      </c>
      <c r="AK942">
        <v>2</v>
      </c>
      <c r="AL942">
        <v>0</v>
      </c>
      <c r="AM942">
        <v>0</v>
      </c>
      <c r="AN942" s="2">
        <f>IF((2*G942+M942-O942+3*V942+2*AB942+2*AE942+2*AH942+3*AJ942)&gt;=7,1,0)</f>
        <v>1</v>
      </c>
    </row>
    <row r="943" spans="1:40" x14ac:dyDescent="0.25">
      <c r="A943" t="s">
        <v>27</v>
      </c>
      <c r="B943" s="1">
        <v>39976</v>
      </c>
      <c r="C943" s="6">
        <f t="shared" si="140"/>
        <v>2009</v>
      </c>
      <c r="D943">
        <v>82.5</v>
      </c>
      <c r="E943">
        <v>71.7</v>
      </c>
      <c r="F943">
        <v>77.599999999999994</v>
      </c>
      <c r="G943" s="2">
        <f t="shared" si="141"/>
        <v>1</v>
      </c>
      <c r="H943">
        <v>86.4</v>
      </c>
      <c r="I943">
        <v>71.7</v>
      </c>
      <c r="J943">
        <v>78.599999999999994</v>
      </c>
      <c r="K943">
        <v>64.099999999999994</v>
      </c>
      <c r="L943">
        <v>64.400000000000006</v>
      </c>
      <c r="M943" s="2">
        <f t="shared" si="142"/>
        <v>1</v>
      </c>
      <c r="N943">
        <v>0</v>
      </c>
      <c r="O943" s="2">
        <f t="shared" si="143"/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 s="2">
        <f t="shared" si="144"/>
        <v>0</v>
      </c>
      <c r="W943">
        <v>9.1999999999999993</v>
      </c>
      <c r="X943" s="2">
        <f t="shared" si="145"/>
        <v>0</v>
      </c>
      <c r="Y943">
        <v>31</v>
      </c>
      <c r="Z943" s="2" t="str">
        <f>CHOOSE(MATCH(Y943,{0;11;80;111;161;191;241;281;341},1),"North","NorthEast","East","SouthEast","South","SouthWest","West","NorthWest","North")</f>
        <v>NorthEast</v>
      </c>
      <c r="AA943" s="4">
        <f>CHOOSE(MATCH(Z943,{"South";"SouthEast";"SouthWest";"North";"NorthEast";"East";"West";"NorthWest"},0),1,2,3,4,5,6,7,8)</f>
        <v>5</v>
      </c>
      <c r="AB943" s="2">
        <f t="shared" si="146"/>
        <v>1</v>
      </c>
      <c r="AC943">
        <v>1007.1</v>
      </c>
      <c r="AD943" t="s">
        <v>59</v>
      </c>
      <c r="AE943" s="2">
        <f t="shared" si="147"/>
        <v>0</v>
      </c>
      <c r="AF943" t="s">
        <v>1435</v>
      </c>
      <c r="AG943" s="2">
        <f t="shared" si="148"/>
        <v>6</v>
      </c>
      <c r="AH943" s="2">
        <f t="shared" si="149"/>
        <v>1</v>
      </c>
      <c r="AI943" s="3">
        <v>589.99999999534339</v>
      </c>
      <c r="AJ943" s="2">
        <v>1</v>
      </c>
      <c r="AK943">
        <v>0</v>
      </c>
      <c r="AL943">
        <v>2</v>
      </c>
      <c r="AM943">
        <v>0</v>
      </c>
      <c r="AN943" s="2">
        <f>IF((2*G943+M943-O943+3*V943+2*AB943+2*AE943+2*AH943+3*AJ943)&gt;=7,1,0)</f>
        <v>1</v>
      </c>
    </row>
    <row r="944" spans="1:40" x14ac:dyDescent="0.25">
      <c r="A944" t="s">
        <v>27</v>
      </c>
      <c r="B944" s="1">
        <v>39983</v>
      </c>
      <c r="C944" s="6">
        <f t="shared" si="140"/>
        <v>2009</v>
      </c>
      <c r="D944">
        <v>80.7</v>
      </c>
      <c r="E944">
        <v>73.5</v>
      </c>
      <c r="F944">
        <v>76.3</v>
      </c>
      <c r="G944" s="2">
        <f t="shared" si="141"/>
        <v>1</v>
      </c>
      <c r="H944">
        <v>81.5</v>
      </c>
      <c r="I944">
        <v>73.5</v>
      </c>
      <c r="J944">
        <v>76.400000000000006</v>
      </c>
      <c r="K944">
        <v>62.7</v>
      </c>
      <c r="L944">
        <v>63.2</v>
      </c>
      <c r="M944" s="2">
        <f t="shared" si="142"/>
        <v>1</v>
      </c>
      <c r="N944">
        <v>0</v>
      </c>
      <c r="O944" s="2">
        <f t="shared" si="143"/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s="2">
        <f t="shared" si="144"/>
        <v>0</v>
      </c>
      <c r="W944">
        <v>21.9</v>
      </c>
      <c r="X944" s="2">
        <f t="shared" si="145"/>
        <v>1</v>
      </c>
      <c r="Y944">
        <v>312.3</v>
      </c>
      <c r="Z944" s="2" t="str">
        <f>CHOOSE(MATCH(Y944,{0;11;80;111;161;191;241;281;341},1),"North","NorthEast","East","SouthEast","South","SouthWest","West","NorthWest","North")</f>
        <v>NorthWest</v>
      </c>
      <c r="AA944" s="4">
        <f>CHOOSE(MATCH(Z944,{"South";"SouthEast";"SouthWest";"North";"NorthEast";"East";"West";"NorthWest"},0),1,2,3,4,5,6,7,8)</f>
        <v>8</v>
      </c>
      <c r="AB944" s="2">
        <f t="shared" si="146"/>
        <v>1</v>
      </c>
      <c r="AC944">
        <v>1015</v>
      </c>
      <c r="AD944" t="s">
        <v>465</v>
      </c>
      <c r="AE944" s="2">
        <f t="shared" si="147"/>
        <v>1</v>
      </c>
      <c r="AF944" t="s">
        <v>1436</v>
      </c>
      <c r="AG944" s="2">
        <f t="shared" si="148"/>
        <v>6</v>
      </c>
      <c r="AH944" s="2">
        <f t="shared" si="149"/>
        <v>1</v>
      </c>
      <c r="AI944" s="3">
        <v>1564.9999999988361</v>
      </c>
      <c r="AJ944" s="2">
        <v>1</v>
      </c>
      <c r="AK944">
        <v>1</v>
      </c>
      <c r="AL944">
        <v>0</v>
      </c>
      <c r="AM944">
        <v>0</v>
      </c>
      <c r="AN944" s="2">
        <f>IF((2*G944+M944-O944+3*V944+2*AB944+2*AE944+2*AH944+3*AJ944)&gt;=7,1,0)</f>
        <v>1</v>
      </c>
    </row>
    <row r="945" spans="1:40" x14ac:dyDescent="0.25">
      <c r="A945" t="s">
        <v>27</v>
      </c>
      <c r="B945" s="1">
        <v>39984</v>
      </c>
      <c r="C945" s="6">
        <f t="shared" si="140"/>
        <v>2009</v>
      </c>
      <c r="D945">
        <v>82.5</v>
      </c>
      <c r="E945">
        <v>62.7</v>
      </c>
      <c r="F945">
        <v>72.900000000000006</v>
      </c>
      <c r="G945" s="2">
        <f t="shared" si="141"/>
        <v>1</v>
      </c>
      <c r="H945">
        <v>82.6</v>
      </c>
      <c r="I945">
        <v>62.7</v>
      </c>
      <c r="J945">
        <v>73</v>
      </c>
      <c r="K945">
        <v>61.1</v>
      </c>
      <c r="L945">
        <v>67.8</v>
      </c>
      <c r="M945" s="2">
        <f t="shared" si="142"/>
        <v>0</v>
      </c>
      <c r="N945">
        <v>0</v>
      </c>
      <c r="O945" s="2">
        <f t="shared" si="143"/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 s="2">
        <f t="shared" si="144"/>
        <v>0</v>
      </c>
      <c r="W945">
        <v>17.2</v>
      </c>
      <c r="X945" s="2">
        <f t="shared" si="145"/>
        <v>1</v>
      </c>
      <c r="Y945">
        <v>353.7</v>
      </c>
      <c r="Z945" s="2" t="str">
        <f>CHOOSE(MATCH(Y945,{0;11;80;111;161;191;241;281;341},1),"North","NorthEast","East","SouthEast","South","SouthWest","West","NorthWest","North")</f>
        <v>North</v>
      </c>
      <c r="AA945" s="4">
        <f>CHOOSE(MATCH(Z945,{"South";"SouthEast";"SouthWest";"North";"NorthEast";"East";"West";"NorthWest"},0),1,2,3,4,5,6,7,8)</f>
        <v>4</v>
      </c>
      <c r="AB945" s="2">
        <f t="shared" si="146"/>
        <v>1</v>
      </c>
      <c r="AC945">
        <v>1013.3</v>
      </c>
      <c r="AD945" t="s">
        <v>1416</v>
      </c>
      <c r="AE945" s="2">
        <f t="shared" si="147"/>
        <v>1</v>
      </c>
      <c r="AF945" t="s">
        <v>1437</v>
      </c>
      <c r="AG945" s="2">
        <f t="shared" si="148"/>
        <v>6</v>
      </c>
      <c r="AH945" s="2">
        <f t="shared" si="149"/>
        <v>1</v>
      </c>
      <c r="AI945" s="3">
        <v>619.99999999883585</v>
      </c>
      <c r="AJ945" s="2">
        <v>1</v>
      </c>
      <c r="AK945">
        <v>0</v>
      </c>
      <c r="AL945">
        <v>0.3</v>
      </c>
      <c r="AM945">
        <v>0</v>
      </c>
      <c r="AN945" s="2">
        <f>IF((2*G945+M945-O945+3*V945+2*AB945+2*AE945+2*AH945+3*AJ945)&gt;=7,1,0)</f>
        <v>1</v>
      </c>
    </row>
    <row r="946" spans="1:40" x14ac:dyDescent="0.25">
      <c r="A946" t="s">
        <v>27</v>
      </c>
      <c r="B946" s="1">
        <v>39985</v>
      </c>
      <c r="C946" s="6">
        <f t="shared" si="140"/>
        <v>2009</v>
      </c>
      <c r="D946">
        <v>82.5</v>
      </c>
      <c r="E946">
        <v>69.900000000000006</v>
      </c>
      <c r="F946">
        <v>76.2</v>
      </c>
      <c r="G946" s="2">
        <f t="shared" si="141"/>
        <v>1</v>
      </c>
      <c r="H946">
        <v>85.5</v>
      </c>
      <c r="I946">
        <v>69.900000000000006</v>
      </c>
      <c r="J946">
        <v>77.099999999999994</v>
      </c>
      <c r="K946">
        <v>61.5</v>
      </c>
      <c r="L946">
        <v>60.8</v>
      </c>
      <c r="M946" s="2">
        <f t="shared" si="142"/>
        <v>1</v>
      </c>
      <c r="N946">
        <v>0</v>
      </c>
      <c r="O946" s="2">
        <f t="shared" si="143"/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s="2">
        <f t="shared" si="144"/>
        <v>0</v>
      </c>
      <c r="W946">
        <v>8.1</v>
      </c>
      <c r="X946" s="2">
        <f t="shared" si="145"/>
        <v>0</v>
      </c>
      <c r="Y946">
        <v>9.5</v>
      </c>
      <c r="Z946" s="2" t="str">
        <f>CHOOSE(MATCH(Y946,{0;11;80;111;161;191;241;281;341},1),"North","NorthEast","East","SouthEast","South","SouthWest","West","NorthWest","North")</f>
        <v>North</v>
      </c>
      <c r="AA946" s="4">
        <f>CHOOSE(MATCH(Z946,{"South";"SouthEast";"SouthWest";"North";"NorthEast";"East";"West";"NorthWest"},0),1,2,3,4,5,6,7,8)</f>
        <v>4</v>
      </c>
      <c r="AB946" s="2">
        <f t="shared" si="146"/>
        <v>1</v>
      </c>
      <c r="AC946">
        <v>1010.4</v>
      </c>
      <c r="AD946" t="s">
        <v>1289</v>
      </c>
      <c r="AE946" s="2">
        <f t="shared" si="147"/>
        <v>0</v>
      </c>
      <c r="AF946" t="s">
        <v>1438</v>
      </c>
      <c r="AG946" s="2">
        <f t="shared" si="148"/>
        <v>6</v>
      </c>
      <c r="AH946" s="2">
        <f t="shared" si="149"/>
        <v>1</v>
      </c>
      <c r="AI946" s="3">
        <v>259.99999999883579</v>
      </c>
      <c r="AJ946" s="2">
        <v>0</v>
      </c>
      <c r="AK946">
        <v>1</v>
      </c>
      <c r="AL946">
        <v>0</v>
      </c>
      <c r="AM946">
        <v>0</v>
      </c>
      <c r="AN946" s="2">
        <f>IF((2*G946+M946-O946+3*V946+2*AB946+2*AE946+2*AH946+3*AJ946)&gt;=7,1,0)</f>
        <v>0</v>
      </c>
    </row>
    <row r="947" spans="1:40" x14ac:dyDescent="0.25">
      <c r="A947" t="s">
        <v>27</v>
      </c>
      <c r="B947" s="1">
        <v>39986</v>
      </c>
      <c r="C947" s="6">
        <f t="shared" si="140"/>
        <v>2009</v>
      </c>
      <c r="D947">
        <v>82.5</v>
      </c>
      <c r="E947">
        <v>69.900000000000006</v>
      </c>
      <c r="F947">
        <v>76.7</v>
      </c>
      <c r="G947" s="2">
        <f t="shared" si="141"/>
        <v>1</v>
      </c>
      <c r="H947">
        <v>86.4</v>
      </c>
      <c r="I947">
        <v>69.900000000000006</v>
      </c>
      <c r="J947">
        <v>77.5</v>
      </c>
      <c r="K947">
        <v>66</v>
      </c>
      <c r="L947">
        <v>69.8</v>
      </c>
      <c r="M947" s="2">
        <f t="shared" si="142"/>
        <v>0</v>
      </c>
      <c r="N947">
        <v>0</v>
      </c>
      <c r="O947" s="2">
        <f t="shared" si="143"/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s="2">
        <f t="shared" si="144"/>
        <v>0</v>
      </c>
      <c r="W947">
        <v>10.3</v>
      </c>
      <c r="X947" s="2">
        <f t="shared" si="145"/>
        <v>0</v>
      </c>
      <c r="Y947">
        <v>77.5</v>
      </c>
      <c r="Z947" s="2" t="str">
        <f>CHOOSE(MATCH(Y947,{0;11;80;111;161;191;241;281;341},1),"North","NorthEast","East","SouthEast","South","SouthWest","West","NorthWest","North")</f>
        <v>NorthEast</v>
      </c>
      <c r="AA947" s="4">
        <f>CHOOSE(MATCH(Z947,{"South";"SouthEast";"SouthWest";"North";"NorthEast";"East";"West";"NorthWest"},0),1,2,3,4,5,6,7,8)</f>
        <v>5</v>
      </c>
      <c r="AB947" s="2">
        <f t="shared" si="146"/>
        <v>1</v>
      </c>
      <c r="AC947">
        <v>1010.1</v>
      </c>
      <c r="AD947" t="s">
        <v>251</v>
      </c>
      <c r="AE947" s="2">
        <f t="shared" si="147"/>
        <v>1</v>
      </c>
      <c r="AF947" t="s">
        <v>1439</v>
      </c>
      <c r="AG947" s="2">
        <f t="shared" si="148"/>
        <v>6</v>
      </c>
      <c r="AH947" s="2">
        <f t="shared" si="149"/>
        <v>1</v>
      </c>
      <c r="AI947" s="3">
        <v>4029.9999999976721</v>
      </c>
      <c r="AJ947" s="2">
        <v>1</v>
      </c>
      <c r="AK947">
        <v>0</v>
      </c>
      <c r="AL947">
        <v>1400</v>
      </c>
      <c r="AM947">
        <v>0</v>
      </c>
      <c r="AN947" s="2">
        <f>IF((2*G947+M947-O947+3*V947+2*AB947+2*AE947+2*AH947+3*AJ947)&gt;=7,1,0)</f>
        <v>1</v>
      </c>
    </row>
    <row r="948" spans="1:40" x14ac:dyDescent="0.25">
      <c r="A948" t="s">
        <v>27</v>
      </c>
      <c r="B948" s="1">
        <v>40007</v>
      </c>
      <c r="C948" s="6">
        <f t="shared" si="140"/>
        <v>2009</v>
      </c>
      <c r="D948">
        <v>82.5</v>
      </c>
      <c r="E948">
        <v>75.3</v>
      </c>
      <c r="F948">
        <v>78.5</v>
      </c>
      <c r="G948" s="2">
        <f t="shared" si="141"/>
        <v>1</v>
      </c>
      <c r="H948">
        <v>84.8</v>
      </c>
      <c r="I948">
        <v>75.3</v>
      </c>
      <c r="J948">
        <v>79.2</v>
      </c>
      <c r="K948">
        <v>65.599999999999994</v>
      </c>
      <c r="L948">
        <v>64.900000000000006</v>
      </c>
      <c r="M948" s="2">
        <f t="shared" si="142"/>
        <v>1</v>
      </c>
      <c r="N948">
        <v>0</v>
      </c>
      <c r="O948" s="2">
        <f t="shared" si="143"/>
        <v>1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 s="2">
        <f t="shared" si="144"/>
        <v>0</v>
      </c>
      <c r="W948">
        <v>17.2</v>
      </c>
      <c r="X948" s="2">
        <f t="shared" si="145"/>
        <v>1</v>
      </c>
      <c r="Y948">
        <v>316.89999999999998</v>
      </c>
      <c r="Z948" s="2" t="str">
        <f>CHOOSE(MATCH(Y948,{0;11;80;111;161;191;241;281;341},1),"North","NorthEast","East","SouthEast","South","SouthWest","West","NorthWest","North")</f>
        <v>NorthWest</v>
      </c>
      <c r="AA948" s="4">
        <f>CHOOSE(MATCH(Z948,{"South";"SouthEast";"SouthWest";"North";"NorthEast";"East";"West";"NorthWest"},0),1,2,3,4,5,6,7,8)</f>
        <v>8</v>
      </c>
      <c r="AB948" s="2">
        <f t="shared" si="146"/>
        <v>1</v>
      </c>
      <c r="AC948">
        <v>1011.3</v>
      </c>
      <c r="AD948" t="s">
        <v>607</v>
      </c>
      <c r="AE948" s="2">
        <f t="shared" si="147"/>
        <v>1</v>
      </c>
      <c r="AF948" t="s">
        <v>1440</v>
      </c>
      <c r="AG948" s="2">
        <f t="shared" si="148"/>
        <v>7</v>
      </c>
      <c r="AH948" s="2">
        <f t="shared" si="149"/>
        <v>1</v>
      </c>
      <c r="AI948" s="3">
        <v>1270.0000000011639</v>
      </c>
      <c r="AJ948" s="2">
        <v>1</v>
      </c>
      <c r="AK948">
        <v>0</v>
      </c>
      <c r="AL948">
        <v>10</v>
      </c>
      <c r="AM948">
        <v>0</v>
      </c>
      <c r="AN948" s="2">
        <f>IF((2*G948+M948-O948+3*V948+2*AB948+2*AE948+2*AH948+3*AJ948)&gt;=7,1,0)</f>
        <v>1</v>
      </c>
    </row>
    <row r="949" spans="1:40" x14ac:dyDescent="0.25">
      <c r="A949" t="s">
        <v>27</v>
      </c>
      <c r="B949" s="1">
        <v>40007</v>
      </c>
      <c r="C949" s="6">
        <f t="shared" si="140"/>
        <v>2009</v>
      </c>
      <c r="D949">
        <v>82.5</v>
      </c>
      <c r="E949">
        <v>75.3</v>
      </c>
      <c r="F949">
        <v>78.5</v>
      </c>
      <c r="G949" s="2">
        <f t="shared" si="141"/>
        <v>1</v>
      </c>
      <c r="H949">
        <v>84.8</v>
      </c>
      <c r="I949">
        <v>75.3</v>
      </c>
      <c r="J949">
        <v>79.2</v>
      </c>
      <c r="K949">
        <v>65.599999999999994</v>
      </c>
      <c r="L949">
        <v>64.900000000000006</v>
      </c>
      <c r="M949" s="2">
        <f t="shared" si="142"/>
        <v>1</v>
      </c>
      <c r="N949">
        <v>0</v>
      </c>
      <c r="O949" s="2">
        <f t="shared" si="143"/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s="2">
        <f t="shared" si="144"/>
        <v>0</v>
      </c>
      <c r="W949">
        <v>17.2</v>
      </c>
      <c r="X949" s="2">
        <f t="shared" si="145"/>
        <v>1</v>
      </c>
      <c r="Y949">
        <v>316.89999999999998</v>
      </c>
      <c r="Z949" s="2" t="str">
        <f>CHOOSE(MATCH(Y949,{0;11;80;111;161;191;241;281;341},1),"North","NorthEast","East","SouthEast","South","SouthWest","West","NorthWest","North")</f>
        <v>NorthWest</v>
      </c>
      <c r="AA949" s="4">
        <f>CHOOSE(MATCH(Z949,{"South";"SouthEast";"SouthWest";"North";"NorthEast";"East";"West";"NorthWest"},0),1,2,3,4,5,6,7,8)</f>
        <v>8</v>
      </c>
      <c r="AB949" s="2">
        <f t="shared" si="146"/>
        <v>1</v>
      </c>
      <c r="AC949">
        <v>1011.3</v>
      </c>
      <c r="AD949" t="s">
        <v>1441</v>
      </c>
      <c r="AE949" s="2">
        <f t="shared" si="147"/>
        <v>1</v>
      </c>
      <c r="AF949" t="s">
        <v>1442</v>
      </c>
      <c r="AG949" s="2">
        <f t="shared" si="148"/>
        <v>7</v>
      </c>
      <c r="AH949" s="2">
        <f t="shared" si="149"/>
        <v>1</v>
      </c>
      <c r="AI949" s="3">
        <v>55.000000001164153</v>
      </c>
      <c r="AJ949" s="2">
        <v>0</v>
      </c>
      <c r="AK949">
        <v>0</v>
      </c>
      <c r="AL949">
        <v>0</v>
      </c>
      <c r="AM949">
        <v>0.1</v>
      </c>
      <c r="AN949" s="2">
        <f>IF((2*G949+M949-O949+3*V949+2*AB949+2*AE949+2*AH949+3*AJ949)&gt;=7,1,0)</f>
        <v>1</v>
      </c>
    </row>
    <row r="950" spans="1:40" x14ac:dyDescent="0.25">
      <c r="A950" t="s">
        <v>27</v>
      </c>
      <c r="B950" s="1">
        <v>40008</v>
      </c>
      <c r="C950" s="6">
        <f t="shared" si="140"/>
        <v>2009</v>
      </c>
      <c r="D950">
        <v>82.5</v>
      </c>
      <c r="E950">
        <v>73.5</v>
      </c>
      <c r="F950">
        <v>78.5</v>
      </c>
      <c r="G950" s="2">
        <f t="shared" si="141"/>
        <v>1</v>
      </c>
      <c r="H950">
        <v>84.8</v>
      </c>
      <c r="I950">
        <v>73.5</v>
      </c>
      <c r="J950">
        <v>79.400000000000006</v>
      </c>
      <c r="K950">
        <v>65</v>
      </c>
      <c r="L950">
        <v>63.6</v>
      </c>
      <c r="M950" s="2">
        <f t="shared" si="142"/>
        <v>1</v>
      </c>
      <c r="N950">
        <v>0</v>
      </c>
      <c r="O950" s="2">
        <f t="shared" si="143"/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 s="2">
        <f t="shared" si="144"/>
        <v>0</v>
      </c>
      <c r="W950">
        <v>23</v>
      </c>
      <c r="X950" s="2">
        <f t="shared" si="145"/>
        <v>1</v>
      </c>
      <c r="Y950">
        <v>312.89999999999998</v>
      </c>
      <c r="Z950" s="2" t="str">
        <f>CHOOSE(MATCH(Y950,{0;11;80;111;161;191;241;281;341},1),"North","NorthEast","East","SouthEast","South","SouthWest","West","NorthWest","North")</f>
        <v>NorthWest</v>
      </c>
      <c r="AA950" s="4">
        <f>CHOOSE(MATCH(Z950,{"South";"SouthEast";"SouthWest";"North";"NorthEast";"East";"West";"NorthWest"},0),1,2,3,4,5,6,7,8)</f>
        <v>8</v>
      </c>
      <c r="AB950" s="2">
        <f t="shared" si="146"/>
        <v>1</v>
      </c>
      <c r="AC950">
        <v>1012.8</v>
      </c>
      <c r="AD950" t="s">
        <v>616</v>
      </c>
      <c r="AE950" s="2">
        <f t="shared" si="147"/>
        <v>1</v>
      </c>
      <c r="AF950" t="s">
        <v>1443</v>
      </c>
      <c r="AG950" s="2">
        <f t="shared" si="148"/>
        <v>7</v>
      </c>
      <c r="AH950" s="2">
        <f t="shared" si="149"/>
        <v>1</v>
      </c>
      <c r="AI950" s="3">
        <v>70.000000008149073</v>
      </c>
      <c r="AJ950" s="2">
        <v>0</v>
      </c>
      <c r="AK950">
        <v>0</v>
      </c>
      <c r="AL950">
        <v>0.1</v>
      </c>
      <c r="AM950">
        <v>0</v>
      </c>
      <c r="AN950" s="2">
        <f>IF((2*G950+M950-O950+3*V950+2*AB950+2*AE950+2*AH950+3*AJ950)&gt;=7,1,0)</f>
        <v>1</v>
      </c>
    </row>
    <row r="951" spans="1:40" x14ac:dyDescent="0.25">
      <c r="A951" t="s">
        <v>27</v>
      </c>
      <c r="B951" s="1">
        <v>40008</v>
      </c>
      <c r="C951" s="6">
        <f t="shared" si="140"/>
        <v>2009</v>
      </c>
      <c r="D951">
        <v>82.5</v>
      </c>
      <c r="E951">
        <v>73.5</v>
      </c>
      <c r="F951">
        <v>78.5</v>
      </c>
      <c r="G951" s="2">
        <f t="shared" si="141"/>
        <v>1</v>
      </c>
      <c r="H951">
        <v>84.8</v>
      </c>
      <c r="I951">
        <v>73.5</v>
      </c>
      <c r="J951">
        <v>79.400000000000006</v>
      </c>
      <c r="K951">
        <v>65</v>
      </c>
      <c r="L951">
        <v>63.6</v>
      </c>
      <c r="M951" s="2">
        <f t="shared" si="142"/>
        <v>1</v>
      </c>
      <c r="N951">
        <v>0</v>
      </c>
      <c r="O951" s="2">
        <f t="shared" si="143"/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 s="2">
        <f t="shared" si="144"/>
        <v>0</v>
      </c>
      <c r="W951">
        <v>23</v>
      </c>
      <c r="X951" s="2">
        <f t="shared" si="145"/>
        <v>1</v>
      </c>
      <c r="Y951">
        <v>312.89999999999998</v>
      </c>
      <c r="Z951" s="2" t="str">
        <f>CHOOSE(MATCH(Y951,{0;11;80;111;161;191;241;281;341},1),"North","NorthEast","East","SouthEast","South","SouthWest","West","NorthWest","North")</f>
        <v>NorthWest</v>
      </c>
      <c r="AA951" s="4">
        <f>CHOOSE(MATCH(Z951,{"South";"SouthEast";"SouthWest";"North";"NorthEast";"East";"West";"NorthWest"},0),1,2,3,4,5,6,7,8)</f>
        <v>8</v>
      </c>
      <c r="AB951" s="2">
        <f t="shared" si="146"/>
        <v>1</v>
      </c>
      <c r="AC951">
        <v>1012.8</v>
      </c>
      <c r="AD951" t="s">
        <v>1444</v>
      </c>
      <c r="AE951" s="2">
        <f t="shared" si="147"/>
        <v>1</v>
      </c>
      <c r="AF951" t="s">
        <v>1445</v>
      </c>
      <c r="AG951" s="2">
        <f t="shared" si="148"/>
        <v>7</v>
      </c>
      <c r="AH951" s="2">
        <f t="shared" si="149"/>
        <v>1</v>
      </c>
      <c r="AI951" s="3">
        <v>119.0000000002328</v>
      </c>
      <c r="AJ951" s="2">
        <v>0</v>
      </c>
      <c r="AK951">
        <v>0</v>
      </c>
      <c r="AL951">
        <v>1</v>
      </c>
      <c r="AM951">
        <v>0</v>
      </c>
      <c r="AN951" s="2">
        <f>IF((2*G951+M951-O951+3*V951+2*AB951+2*AE951+2*AH951+3*AJ951)&gt;=7,1,0)</f>
        <v>1</v>
      </c>
    </row>
    <row r="952" spans="1:40" x14ac:dyDescent="0.25">
      <c r="A952" t="s">
        <v>27</v>
      </c>
      <c r="B952" s="1">
        <v>40011</v>
      </c>
      <c r="C952" s="6">
        <f t="shared" si="140"/>
        <v>2009</v>
      </c>
      <c r="D952">
        <v>86.1</v>
      </c>
      <c r="E952">
        <v>78.900000000000006</v>
      </c>
      <c r="F952">
        <v>82</v>
      </c>
      <c r="G952" s="2">
        <f t="shared" si="141"/>
        <v>1</v>
      </c>
      <c r="H952">
        <v>92.1</v>
      </c>
      <c r="I952">
        <v>78.900000000000006</v>
      </c>
      <c r="J952">
        <v>84.4</v>
      </c>
      <c r="K952">
        <v>68.7</v>
      </c>
      <c r="L952">
        <v>64.400000000000006</v>
      </c>
      <c r="M952" s="2">
        <f t="shared" si="142"/>
        <v>1</v>
      </c>
      <c r="N952">
        <v>0</v>
      </c>
      <c r="O952" s="2">
        <f t="shared" si="143"/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 s="2">
        <f t="shared" si="144"/>
        <v>0</v>
      </c>
      <c r="W952">
        <v>21.9</v>
      </c>
      <c r="X952" s="2">
        <f t="shared" si="145"/>
        <v>1</v>
      </c>
      <c r="Y952">
        <v>308.5</v>
      </c>
      <c r="Z952" s="2" t="str">
        <f>CHOOSE(MATCH(Y952,{0;11;80;111;161;191;241;281;341},1),"North","NorthEast","East","SouthEast","South","SouthWest","West","NorthWest","North")</f>
        <v>NorthWest</v>
      </c>
      <c r="AA952" s="4">
        <f>CHOOSE(MATCH(Z952,{"South";"SouthEast";"SouthWest";"North";"NorthEast";"East";"West";"NorthWest"},0),1,2,3,4,5,6,7,8)</f>
        <v>8</v>
      </c>
      <c r="AB952" s="2">
        <f t="shared" si="146"/>
        <v>1</v>
      </c>
      <c r="AC952">
        <v>1009.8</v>
      </c>
      <c r="AD952" t="s">
        <v>753</v>
      </c>
      <c r="AE952" s="2">
        <f t="shared" si="147"/>
        <v>1</v>
      </c>
      <c r="AF952" t="s">
        <v>1446</v>
      </c>
      <c r="AG952" s="2">
        <f t="shared" si="148"/>
        <v>7</v>
      </c>
      <c r="AH952" s="2">
        <f t="shared" si="149"/>
        <v>1</v>
      </c>
      <c r="AI952" s="3">
        <v>4700.0000000023283</v>
      </c>
      <c r="AJ952" s="2">
        <v>1</v>
      </c>
      <c r="AK952">
        <v>0</v>
      </c>
      <c r="AL952">
        <v>180</v>
      </c>
      <c r="AM952">
        <v>0</v>
      </c>
      <c r="AN952" s="2">
        <f>IF((2*G952+M952-O952+3*V952+2*AB952+2*AE952+2*AH952+3*AJ952)&gt;=7,1,0)</f>
        <v>1</v>
      </c>
    </row>
    <row r="953" spans="1:40" x14ac:dyDescent="0.25">
      <c r="A953" t="s">
        <v>27</v>
      </c>
      <c r="B953" s="1">
        <v>40013</v>
      </c>
      <c r="C953" s="6">
        <f t="shared" si="140"/>
        <v>2009</v>
      </c>
      <c r="D953">
        <v>89.7</v>
      </c>
      <c r="E953">
        <v>75.3</v>
      </c>
      <c r="F953">
        <v>82.3</v>
      </c>
      <c r="G953" s="2">
        <f t="shared" si="141"/>
        <v>1</v>
      </c>
      <c r="H953">
        <v>95.4</v>
      </c>
      <c r="I953">
        <v>75.3</v>
      </c>
      <c r="J953">
        <v>85.2</v>
      </c>
      <c r="K953">
        <v>67.099999999999994</v>
      </c>
      <c r="L953">
        <v>61.1</v>
      </c>
      <c r="M953" s="2">
        <f t="shared" si="142"/>
        <v>1</v>
      </c>
      <c r="N953">
        <v>0</v>
      </c>
      <c r="O953" s="2">
        <f t="shared" si="143"/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 s="2">
        <f t="shared" si="144"/>
        <v>0</v>
      </c>
      <c r="W953">
        <v>16.100000000000001</v>
      </c>
      <c r="X953" s="2">
        <f t="shared" si="145"/>
        <v>1</v>
      </c>
      <c r="Y953">
        <v>5.9</v>
      </c>
      <c r="Z953" s="2" t="str">
        <f>CHOOSE(MATCH(Y953,{0;11;80;111;161;191;241;281;341},1),"North","NorthEast","East","SouthEast","South","SouthWest","West","NorthWest","North")</f>
        <v>North</v>
      </c>
      <c r="AA953" s="4">
        <f>CHOOSE(MATCH(Z953,{"South";"SouthEast";"SouthWest";"North";"NorthEast";"East";"West";"NorthWest"},0),1,2,3,4,5,6,7,8)</f>
        <v>4</v>
      </c>
      <c r="AB953" s="2">
        <f t="shared" si="146"/>
        <v>1</v>
      </c>
      <c r="AC953">
        <v>1008.1</v>
      </c>
      <c r="AD953" t="s">
        <v>108</v>
      </c>
      <c r="AE953" s="2">
        <f t="shared" si="147"/>
        <v>1</v>
      </c>
      <c r="AF953" t="s">
        <v>1447</v>
      </c>
      <c r="AG953" s="2">
        <f t="shared" si="148"/>
        <v>7</v>
      </c>
      <c r="AH953" s="2">
        <f t="shared" si="149"/>
        <v>1</v>
      </c>
      <c r="AI953" s="3">
        <v>1916.0000000009311</v>
      </c>
      <c r="AJ953" s="2">
        <v>1</v>
      </c>
      <c r="AK953">
        <v>0</v>
      </c>
      <c r="AL953">
        <v>1</v>
      </c>
      <c r="AM953">
        <v>0</v>
      </c>
      <c r="AN953" s="2">
        <f>IF((2*G953+M953-O953+3*V953+2*AB953+2*AE953+2*AH953+3*AJ953)&gt;=7,1,0)</f>
        <v>1</v>
      </c>
    </row>
    <row r="954" spans="1:40" x14ac:dyDescent="0.25">
      <c r="A954" t="s">
        <v>27</v>
      </c>
      <c r="B954" s="1">
        <v>40018</v>
      </c>
      <c r="C954" s="6">
        <f t="shared" si="140"/>
        <v>2009</v>
      </c>
      <c r="D954">
        <v>84.3</v>
      </c>
      <c r="E954">
        <v>77.099999999999994</v>
      </c>
      <c r="F954">
        <v>81.8</v>
      </c>
      <c r="G954" s="2">
        <f t="shared" si="141"/>
        <v>1</v>
      </c>
      <c r="H954">
        <v>88.6</v>
      </c>
      <c r="I954">
        <v>77.099999999999994</v>
      </c>
      <c r="J954">
        <v>83.5</v>
      </c>
      <c r="K954">
        <v>65.900000000000006</v>
      </c>
      <c r="L954">
        <v>58.8</v>
      </c>
      <c r="M954" s="2">
        <f t="shared" si="142"/>
        <v>1</v>
      </c>
      <c r="N954">
        <v>0</v>
      </c>
      <c r="O954" s="2">
        <f t="shared" si="143"/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 s="2">
        <f t="shared" si="144"/>
        <v>0</v>
      </c>
      <c r="W954">
        <v>23</v>
      </c>
      <c r="X954" s="2">
        <f t="shared" si="145"/>
        <v>1</v>
      </c>
      <c r="Y954">
        <v>306.39999999999998</v>
      </c>
      <c r="Z954" s="2" t="str">
        <f>CHOOSE(MATCH(Y954,{0;11;80;111;161;191;241;281;341},1),"North","NorthEast","East","SouthEast","South","SouthWest","West","NorthWest","North")</f>
        <v>NorthWest</v>
      </c>
      <c r="AA954" s="4">
        <f>CHOOSE(MATCH(Z954,{"South";"SouthEast";"SouthWest";"North";"NorthEast";"East";"West";"NorthWest"},0),1,2,3,4,5,6,7,8)</f>
        <v>8</v>
      </c>
      <c r="AB954" s="2">
        <f t="shared" si="146"/>
        <v>1</v>
      </c>
      <c r="AC954">
        <v>1010.8</v>
      </c>
      <c r="AD954" t="s">
        <v>799</v>
      </c>
      <c r="AE954" s="2">
        <f t="shared" si="147"/>
        <v>1</v>
      </c>
      <c r="AF954" t="s">
        <v>1448</v>
      </c>
      <c r="AG954" s="2">
        <f t="shared" si="148"/>
        <v>7</v>
      </c>
      <c r="AH954" s="2">
        <f t="shared" si="149"/>
        <v>1</v>
      </c>
      <c r="AI954" s="3">
        <v>14629.99999999534</v>
      </c>
      <c r="AJ954" s="2">
        <v>1</v>
      </c>
      <c r="AK954">
        <v>800</v>
      </c>
      <c r="AL954">
        <v>1000</v>
      </c>
      <c r="AM954">
        <v>0</v>
      </c>
      <c r="AN954" s="2">
        <f>IF((2*G954+M954-O954+3*V954+2*AB954+2*AE954+2*AH954+3*AJ954)&gt;=7,1,0)</f>
        <v>1</v>
      </c>
    </row>
    <row r="955" spans="1:40" x14ac:dyDescent="0.25">
      <c r="A955" t="s">
        <v>27</v>
      </c>
      <c r="B955" s="1">
        <v>40021</v>
      </c>
      <c r="C955" s="6">
        <f t="shared" si="140"/>
        <v>2009</v>
      </c>
      <c r="D955">
        <v>82.5</v>
      </c>
      <c r="E955">
        <v>77.099999999999994</v>
      </c>
      <c r="F955">
        <v>80.599999999999994</v>
      </c>
      <c r="G955" s="2">
        <f t="shared" si="141"/>
        <v>1</v>
      </c>
      <c r="H955">
        <v>88.5</v>
      </c>
      <c r="I955">
        <v>77.099999999999994</v>
      </c>
      <c r="J955">
        <v>84.1</v>
      </c>
      <c r="K955">
        <v>71.900000000000006</v>
      </c>
      <c r="L955">
        <v>74.8</v>
      </c>
      <c r="M955" s="2">
        <f t="shared" si="142"/>
        <v>0</v>
      </c>
      <c r="N955">
        <v>0</v>
      </c>
      <c r="O955" s="2">
        <f t="shared" si="143"/>
        <v>1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 s="2">
        <f t="shared" si="144"/>
        <v>0</v>
      </c>
      <c r="W955">
        <v>18.3</v>
      </c>
      <c r="X955" s="2">
        <f t="shared" si="145"/>
        <v>1</v>
      </c>
      <c r="Y955">
        <v>318.39999999999998</v>
      </c>
      <c r="Z955" s="2" t="str">
        <f>CHOOSE(MATCH(Y955,{0;11;80;111;161;191;241;281;341},1),"North","NorthEast","East","SouthEast","South","SouthWest","West","NorthWest","North")</f>
        <v>NorthWest</v>
      </c>
      <c r="AA955" s="4">
        <f>CHOOSE(MATCH(Z955,{"South";"SouthEast";"SouthWest";"North";"NorthEast";"East";"West";"NorthWest"},0),1,2,3,4,5,6,7,8)</f>
        <v>8</v>
      </c>
      <c r="AB955" s="2">
        <f t="shared" si="146"/>
        <v>1</v>
      </c>
      <c r="AC955">
        <v>1009.8</v>
      </c>
      <c r="AD955" t="s">
        <v>158</v>
      </c>
      <c r="AE955" s="2">
        <f t="shared" si="147"/>
        <v>1</v>
      </c>
      <c r="AF955" t="s">
        <v>1449</v>
      </c>
      <c r="AG955" s="2">
        <f t="shared" si="148"/>
        <v>7</v>
      </c>
      <c r="AH955" s="2">
        <f t="shared" si="149"/>
        <v>1</v>
      </c>
      <c r="AI955" s="3">
        <v>2499.9999999976721</v>
      </c>
      <c r="AJ955" s="2">
        <v>1</v>
      </c>
      <c r="AK955">
        <v>0</v>
      </c>
      <c r="AL955">
        <v>150</v>
      </c>
      <c r="AM955">
        <v>0</v>
      </c>
      <c r="AN955" s="2">
        <f>IF((2*G955+M955-O955+3*V955+2*AB955+2*AE955+2*AH955+3*AJ955)&gt;=7,1,0)</f>
        <v>1</v>
      </c>
    </row>
    <row r="956" spans="1:40" x14ac:dyDescent="0.25">
      <c r="A956" t="s">
        <v>27</v>
      </c>
      <c r="B956" s="1">
        <v>40022</v>
      </c>
      <c r="C956" s="6">
        <f t="shared" si="140"/>
        <v>2009</v>
      </c>
      <c r="D956">
        <v>82.5</v>
      </c>
      <c r="E956">
        <v>77.099999999999994</v>
      </c>
      <c r="F956">
        <v>79.599999999999994</v>
      </c>
      <c r="G956" s="2">
        <f t="shared" si="141"/>
        <v>1</v>
      </c>
      <c r="H956">
        <v>84.8</v>
      </c>
      <c r="I956">
        <v>77.099999999999994</v>
      </c>
      <c r="J956">
        <v>80.3</v>
      </c>
      <c r="K956">
        <v>66.099999999999994</v>
      </c>
      <c r="L956">
        <v>64</v>
      </c>
      <c r="M956" s="2">
        <f t="shared" si="142"/>
        <v>1</v>
      </c>
      <c r="N956">
        <v>0</v>
      </c>
      <c r="O956" s="2">
        <f t="shared" si="143"/>
        <v>1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s="2">
        <f t="shared" si="144"/>
        <v>0</v>
      </c>
      <c r="W956">
        <v>25.3</v>
      </c>
      <c r="X956" s="2">
        <f t="shared" si="145"/>
        <v>1</v>
      </c>
      <c r="Y956">
        <v>316.3</v>
      </c>
      <c r="Z956" s="2" t="str">
        <f>CHOOSE(MATCH(Y956,{0;11;80;111;161;191;241;281;341},1),"North","NorthEast","East","SouthEast","South","SouthWest","West","NorthWest","North")</f>
        <v>NorthWest</v>
      </c>
      <c r="AA956" s="4">
        <f>CHOOSE(MATCH(Z956,{"South";"SouthEast";"SouthWest";"North";"NorthEast";"East";"West";"NorthWest"},0),1,2,3,4,5,6,7,8)</f>
        <v>8</v>
      </c>
      <c r="AB956" s="2">
        <f t="shared" si="146"/>
        <v>1</v>
      </c>
      <c r="AC956">
        <v>1011.5</v>
      </c>
      <c r="AD956" t="s">
        <v>1450</v>
      </c>
      <c r="AE956" s="2">
        <f t="shared" si="147"/>
        <v>1</v>
      </c>
      <c r="AF956" t="s">
        <v>1451</v>
      </c>
      <c r="AG956" s="2">
        <f t="shared" si="148"/>
        <v>7</v>
      </c>
      <c r="AH956" s="2">
        <f t="shared" si="149"/>
        <v>1</v>
      </c>
      <c r="AI956" s="3">
        <v>315</v>
      </c>
      <c r="AJ956" s="2">
        <v>0</v>
      </c>
      <c r="AK956">
        <v>0</v>
      </c>
      <c r="AL956">
        <v>3</v>
      </c>
      <c r="AM956">
        <v>0</v>
      </c>
      <c r="AN956" s="2">
        <f>IF((2*G956+M956-O956+3*V956+2*AB956+2*AE956+2*AH956+3*AJ956)&gt;=7,1,0)</f>
        <v>1</v>
      </c>
    </row>
    <row r="957" spans="1:40" x14ac:dyDescent="0.25">
      <c r="A957" t="s">
        <v>27</v>
      </c>
      <c r="B957" s="1">
        <v>40027</v>
      </c>
      <c r="C957" s="6">
        <f t="shared" si="140"/>
        <v>2009</v>
      </c>
      <c r="D957">
        <v>84.3</v>
      </c>
      <c r="E957">
        <v>77.099999999999994</v>
      </c>
      <c r="F957">
        <v>80.599999999999994</v>
      </c>
      <c r="G957" s="2">
        <f t="shared" si="141"/>
        <v>1</v>
      </c>
      <c r="H957">
        <v>89.8</v>
      </c>
      <c r="I957">
        <v>77.099999999999994</v>
      </c>
      <c r="J957">
        <v>82.6</v>
      </c>
      <c r="K957">
        <v>69.3</v>
      </c>
      <c r="L957">
        <v>68.8</v>
      </c>
      <c r="M957" s="2">
        <f t="shared" si="142"/>
        <v>0</v>
      </c>
      <c r="N957">
        <v>0</v>
      </c>
      <c r="O957" s="2">
        <f t="shared" si="143"/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 s="2">
        <f t="shared" si="144"/>
        <v>0</v>
      </c>
      <c r="W957">
        <v>21.9</v>
      </c>
      <c r="X957" s="2">
        <f t="shared" si="145"/>
        <v>1</v>
      </c>
      <c r="Y957">
        <v>308.7</v>
      </c>
      <c r="Z957" s="2" t="str">
        <f>CHOOSE(MATCH(Y957,{0;11;80;111;161;191;241;281;341},1),"North","NorthEast","East","SouthEast","South","SouthWest","West","NorthWest","North")</f>
        <v>NorthWest</v>
      </c>
      <c r="AA957" s="4">
        <f>CHOOSE(MATCH(Z957,{"South";"SouthEast";"SouthWest";"North";"NorthEast";"East";"West";"NorthWest"},0),1,2,3,4,5,6,7,8)</f>
        <v>8</v>
      </c>
      <c r="AB957" s="2">
        <f t="shared" si="146"/>
        <v>1</v>
      </c>
      <c r="AC957">
        <v>1010.9</v>
      </c>
      <c r="AD957" t="s">
        <v>1372</v>
      </c>
      <c r="AE957" s="2">
        <f t="shared" si="147"/>
        <v>1</v>
      </c>
      <c r="AF957" t="s">
        <v>1452</v>
      </c>
      <c r="AG957" s="2">
        <f t="shared" si="148"/>
        <v>8</v>
      </c>
      <c r="AH957" s="2">
        <f t="shared" si="149"/>
        <v>1</v>
      </c>
      <c r="AI957" s="3">
        <v>1564.9999999988361</v>
      </c>
      <c r="AJ957" s="2">
        <v>1</v>
      </c>
      <c r="AK957">
        <v>0</v>
      </c>
      <c r="AL957">
        <v>15</v>
      </c>
      <c r="AM957">
        <v>0</v>
      </c>
      <c r="AN957" s="2">
        <f>IF((2*G957+M957-O957+3*V957+2*AB957+2*AE957+2*AH957+3*AJ957)&gt;=7,1,0)</f>
        <v>1</v>
      </c>
    </row>
    <row r="958" spans="1:40" x14ac:dyDescent="0.25">
      <c r="A958" t="s">
        <v>27</v>
      </c>
      <c r="B958" s="1">
        <v>40034</v>
      </c>
      <c r="C958" s="6">
        <f t="shared" si="140"/>
        <v>2009</v>
      </c>
      <c r="D958">
        <v>82.5</v>
      </c>
      <c r="E958">
        <v>77.099999999999994</v>
      </c>
      <c r="F958">
        <v>79.400000000000006</v>
      </c>
      <c r="G958" s="2">
        <f t="shared" si="141"/>
        <v>1</v>
      </c>
      <c r="H958">
        <v>86.4</v>
      </c>
      <c r="I958">
        <v>77.099999999999994</v>
      </c>
      <c r="J958">
        <v>80.599999999999994</v>
      </c>
      <c r="K958">
        <v>67.900000000000006</v>
      </c>
      <c r="L958">
        <v>68.3</v>
      </c>
      <c r="M958" s="2">
        <f t="shared" si="142"/>
        <v>0</v>
      </c>
      <c r="N958">
        <v>0</v>
      </c>
      <c r="O958" s="2">
        <f t="shared" si="143"/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s="2">
        <f t="shared" si="144"/>
        <v>0</v>
      </c>
      <c r="W958">
        <v>23</v>
      </c>
      <c r="X958" s="2">
        <f t="shared" si="145"/>
        <v>1</v>
      </c>
      <c r="Y958">
        <v>306.10000000000002</v>
      </c>
      <c r="Z958" s="2" t="str">
        <f>CHOOSE(MATCH(Y958,{0;11;80;111;161;191;241;281;341},1),"North","NorthEast","East","SouthEast","South","SouthWest","West","NorthWest","North")</f>
        <v>NorthWest</v>
      </c>
      <c r="AA958" s="4">
        <f>CHOOSE(MATCH(Z958,{"South";"SouthEast";"SouthWest";"North";"NorthEast";"East";"West";"NorthWest"},0),1,2,3,4,5,6,7,8)</f>
        <v>8</v>
      </c>
      <c r="AB958" s="2">
        <f t="shared" si="146"/>
        <v>1</v>
      </c>
      <c r="AC958">
        <v>1010.7</v>
      </c>
      <c r="AD958" t="s">
        <v>616</v>
      </c>
      <c r="AE958" s="2">
        <f t="shared" si="147"/>
        <v>1</v>
      </c>
      <c r="AF958" t="s">
        <v>1453</v>
      </c>
      <c r="AG958" s="2">
        <f t="shared" si="148"/>
        <v>8</v>
      </c>
      <c r="AH958" s="2">
        <f t="shared" si="149"/>
        <v>1</v>
      </c>
      <c r="AI958" s="3">
        <v>1280.0000000023281</v>
      </c>
      <c r="AJ958" s="2">
        <v>1</v>
      </c>
      <c r="AK958">
        <v>0</v>
      </c>
      <c r="AL958">
        <v>10</v>
      </c>
      <c r="AM958">
        <v>0</v>
      </c>
      <c r="AN958" s="2">
        <f>IF((2*G958+M958-O958+3*V958+2*AB958+2*AE958+2*AH958+3*AJ958)&gt;=7,1,0)</f>
        <v>1</v>
      </c>
    </row>
    <row r="959" spans="1:40" x14ac:dyDescent="0.25">
      <c r="A959" t="s">
        <v>27</v>
      </c>
      <c r="B959" s="1">
        <v>40036</v>
      </c>
      <c r="C959" s="6">
        <f t="shared" si="140"/>
        <v>2009</v>
      </c>
      <c r="D959">
        <v>82.5</v>
      </c>
      <c r="E959">
        <v>75.3</v>
      </c>
      <c r="F959">
        <v>78.7</v>
      </c>
      <c r="G959" s="2">
        <f t="shared" si="141"/>
        <v>1</v>
      </c>
      <c r="H959">
        <v>84.1</v>
      </c>
      <c r="I959">
        <v>75.3</v>
      </c>
      <c r="J959">
        <v>79.2</v>
      </c>
      <c r="K959">
        <v>64.099999999999994</v>
      </c>
      <c r="L959">
        <v>61.5</v>
      </c>
      <c r="M959" s="2">
        <f t="shared" si="142"/>
        <v>1</v>
      </c>
      <c r="N959">
        <v>0</v>
      </c>
      <c r="O959" s="2">
        <f t="shared" si="143"/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 s="2">
        <f t="shared" si="144"/>
        <v>0</v>
      </c>
      <c r="W959">
        <v>23</v>
      </c>
      <c r="X959" s="2">
        <f t="shared" si="145"/>
        <v>1</v>
      </c>
      <c r="Y959">
        <v>314.8</v>
      </c>
      <c r="Z959" s="2" t="str">
        <f>CHOOSE(MATCH(Y959,{0;11;80;111;161;191;241;281;341},1),"North","NorthEast","East","SouthEast","South","SouthWest","West","NorthWest","North")</f>
        <v>NorthWest</v>
      </c>
      <c r="AA959" s="4">
        <f>CHOOSE(MATCH(Z959,{"South";"SouthEast";"SouthWest";"North";"NorthEast";"East";"West";"NorthWest"},0),1,2,3,4,5,6,7,8)</f>
        <v>8</v>
      </c>
      <c r="AB959" s="2">
        <f t="shared" si="146"/>
        <v>1</v>
      </c>
      <c r="AC959">
        <v>1012.9</v>
      </c>
      <c r="AD959" t="s">
        <v>276</v>
      </c>
      <c r="AE959" s="2">
        <f t="shared" si="147"/>
        <v>1</v>
      </c>
      <c r="AF959" t="s">
        <v>1454</v>
      </c>
      <c r="AG959" s="2">
        <f t="shared" si="148"/>
        <v>8</v>
      </c>
      <c r="AH959" s="2">
        <f t="shared" si="149"/>
        <v>1</v>
      </c>
      <c r="AI959" s="3">
        <v>409.99999999534339</v>
      </c>
      <c r="AJ959" s="2">
        <v>1</v>
      </c>
      <c r="AK959">
        <v>0</v>
      </c>
      <c r="AL959">
        <v>4</v>
      </c>
      <c r="AM959">
        <v>0</v>
      </c>
      <c r="AN959" s="2">
        <f>IF((2*G959+M959-O959+3*V959+2*AB959+2*AE959+2*AH959+3*AJ959)&gt;=7,1,0)</f>
        <v>1</v>
      </c>
    </row>
    <row r="960" spans="1:40" x14ac:dyDescent="0.25">
      <c r="A960" t="s">
        <v>27</v>
      </c>
      <c r="B960" s="1">
        <v>40041</v>
      </c>
      <c r="C960" s="6">
        <f t="shared" si="140"/>
        <v>2009</v>
      </c>
      <c r="D960">
        <v>80.7</v>
      </c>
      <c r="E960">
        <v>77.099999999999994</v>
      </c>
      <c r="F960">
        <v>78.900000000000006</v>
      </c>
      <c r="G960" s="2">
        <f t="shared" si="141"/>
        <v>1</v>
      </c>
      <c r="H960">
        <v>84.1</v>
      </c>
      <c r="I960">
        <v>77.099999999999994</v>
      </c>
      <c r="J960">
        <v>79.900000000000006</v>
      </c>
      <c r="K960">
        <v>67.5</v>
      </c>
      <c r="L960">
        <v>68.400000000000006</v>
      </c>
      <c r="M960" s="2">
        <f t="shared" si="142"/>
        <v>0</v>
      </c>
      <c r="N960">
        <v>0</v>
      </c>
      <c r="O960" s="2">
        <f t="shared" si="143"/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 s="2">
        <f t="shared" si="144"/>
        <v>0</v>
      </c>
      <c r="W960">
        <v>20.8</v>
      </c>
      <c r="X960" s="2">
        <f t="shared" si="145"/>
        <v>1</v>
      </c>
      <c r="Y960">
        <v>307.39999999999998</v>
      </c>
      <c r="Z960" s="2" t="str">
        <f>CHOOSE(MATCH(Y960,{0;11;80;111;161;191;241;281;341},1),"North","NorthEast","East","SouthEast","South","SouthWest","West","NorthWest","North")</f>
        <v>NorthWest</v>
      </c>
      <c r="AA960" s="4">
        <f>CHOOSE(MATCH(Z960,{"South";"SouthEast";"SouthWest";"North";"NorthEast";"East";"West";"NorthWest"},0),1,2,3,4,5,6,7,8)</f>
        <v>8</v>
      </c>
      <c r="AB960" s="2">
        <f t="shared" si="146"/>
        <v>1</v>
      </c>
      <c r="AC960">
        <v>1011</v>
      </c>
      <c r="AD960" t="s">
        <v>1455</v>
      </c>
      <c r="AE960" s="2">
        <f t="shared" si="147"/>
        <v>0</v>
      </c>
      <c r="AF960" t="s">
        <v>1456</v>
      </c>
      <c r="AG960" s="2">
        <f t="shared" si="148"/>
        <v>8</v>
      </c>
      <c r="AH960" s="2">
        <f t="shared" si="149"/>
        <v>1</v>
      </c>
      <c r="AI960" s="3">
        <v>149.99999999650751</v>
      </c>
      <c r="AJ960" s="2">
        <v>0</v>
      </c>
      <c r="AK960">
        <v>0</v>
      </c>
      <c r="AL960">
        <v>0.1</v>
      </c>
      <c r="AM960">
        <v>0</v>
      </c>
      <c r="AN960" s="2">
        <f>IF((2*G960+M960-O960+3*V960+2*AB960+2*AE960+2*AH960+3*AJ960)&gt;=7,1,0)</f>
        <v>0</v>
      </c>
    </row>
    <row r="961" spans="1:40" x14ac:dyDescent="0.25">
      <c r="A961" t="s">
        <v>27</v>
      </c>
      <c r="B961" s="1">
        <v>40046</v>
      </c>
      <c r="C961" s="6">
        <f t="shared" si="140"/>
        <v>2009</v>
      </c>
      <c r="D961">
        <v>82.5</v>
      </c>
      <c r="E961">
        <v>71.7</v>
      </c>
      <c r="F961">
        <v>78.400000000000006</v>
      </c>
      <c r="G961" s="2">
        <f t="shared" si="141"/>
        <v>1</v>
      </c>
      <c r="H961">
        <v>87.4</v>
      </c>
      <c r="I961">
        <v>71.7</v>
      </c>
      <c r="J961">
        <v>80.3</v>
      </c>
      <c r="K961">
        <v>68.8</v>
      </c>
      <c r="L961">
        <v>72.5</v>
      </c>
      <c r="M961" s="2">
        <f t="shared" si="142"/>
        <v>0</v>
      </c>
      <c r="N961">
        <v>0</v>
      </c>
      <c r="O961" s="2">
        <f t="shared" si="143"/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 s="2">
        <f t="shared" si="144"/>
        <v>0</v>
      </c>
      <c r="W961">
        <v>23</v>
      </c>
      <c r="X961" s="2">
        <f t="shared" si="145"/>
        <v>1</v>
      </c>
      <c r="Y961">
        <v>309.89999999999998</v>
      </c>
      <c r="Z961" s="2" t="str">
        <f>CHOOSE(MATCH(Y961,{0;11;80;111;161;191;241;281;341},1),"North","NorthEast","East","SouthEast","South","SouthWest","West","NorthWest","North")</f>
        <v>NorthWest</v>
      </c>
      <c r="AA961" s="4">
        <f>CHOOSE(MATCH(Z961,{"South";"SouthEast";"SouthWest";"North";"NorthEast";"East";"West";"NorthWest"},0),1,2,3,4,5,6,7,8)</f>
        <v>8</v>
      </c>
      <c r="AB961" s="2">
        <f t="shared" si="146"/>
        <v>1</v>
      </c>
      <c r="AC961">
        <v>1012.5</v>
      </c>
      <c r="AD961" t="s">
        <v>1457</v>
      </c>
      <c r="AE961" s="2">
        <f t="shared" si="147"/>
        <v>1</v>
      </c>
      <c r="AF961" t="s">
        <v>1458</v>
      </c>
      <c r="AG961" s="2">
        <f t="shared" si="148"/>
        <v>8</v>
      </c>
      <c r="AH961" s="2">
        <f t="shared" si="149"/>
        <v>1</v>
      </c>
      <c r="AI961" s="3">
        <v>573.00000000279397</v>
      </c>
      <c r="AJ961" s="2">
        <v>1</v>
      </c>
      <c r="AK961">
        <v>5</v>
      </c>
      <c r="AL961">
        <v>0</v>
      </c>
      <c r="AM961">
        <v>0</v>
      </c>
      <c r="AN961" s="2">
        <f>IF((2*G961+M961-O961+3*V961+2*AB961+2*AE961+2*AH961+3*AJ961)&gt;=7,1,0)</f>
        <v>1</v>
      </c>
    </row>
    <row r="962" spans="1:40" x14ac:dyDescent="0.25">
      <c r="A962" t="s">
        <v>27</v>
      </c>
      <c r="B962" s="1">
        <v>40047</v>
      </c>
      <c r="C962" s="6">
        <f t="shared" si="140"/>
        <v>2009</v>
      </c>
      <c r="D962">
        <v>80.7</v>
      </c>
      <c r="E962">
        <v>75.3</v>
      </c>
      <c r="F962">
        <v>77.7</v>
      </c>
      <c r="G962" s="2">
        <f t="shared" si="141"/>
        <v>1</v>
      </c>
      <c r="H962">
        <v>82.9</v>
      </c>
      <c r="I962">
        <v>75.3</v>
      </c>
      <c r="J962">
        <v>78.2</v>
      </c>
      <c r="K962">
        <v>63.7</v>
      </c>
      <c r="L962">
        <v>62.3</v>
      </c>
      <c r="M962" s="2">
        <f t="shared" si="142"/>
        <v>1</v>
      </c>
      <c r="N962">
        <v>0</v>
      </c>
      <c r="O962" s="2">
        <f t="shared" si="143"/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 s="2">
        <f t="shared" si="144"/>
        <v>0</v>
      </c>
      <c r="W962">
        <v>25.3</v>
      </c>
      <c r="X962" s="2">
        <f t="shared" si="145"/>
        <v>1</v>
      </c>
      <c r="Y962">
        <v>307.8</v>
      </c>
      <c r="Z962" s="2" t="str">
        <f>CHOOSE(MATCH(Y962,{0;11;80;111;161;191;241;281;341},1),"North","NorthEast","East","SouthEast","South","SouthWest","West","NorthWest","North")</f>
        <v>NorthWest</v>
      </c>
      <c r="AA962" s="4">
        <f>CHOOSE(MATCH(Z962,{"South";"SouthEast";"SouthWest";"North";"NorthEast";"East";"West";"NorthWest"},0),1,2,3,4,5,6,7,8)</f>
        <v>8</v>
      </c>
      <c r="AB962" s="2">
        <f t="shared" si="146"/>
        <v>1</v>
      </c>
      <c r="AC962">
        <v>1010.7</v>
      </c>
      <c r="AD962" t="s">
        <v>1313</v>
      </c>
      <c r="AE962" s="2">
        <f t="shared" si="147"/>
        <v>0</v>
      </c>
      <c r="AF962" t="s">
        <v>1459</v>
      </c>
      <c r="AG962" s="2">
        <f t="shared" si="148"/>
        <v>8</v>
      </c>
      <c r="AH962" s="2">
        <f t="shared" si="149"/>
        <v>1</v>
      </c>
      <c r="AI962" s="3">
        <v>454.99999999534339</v>
      </c>
      <c r="AJ962" s="2">
        <v>1</v>
      </c>
      <c r="AK962">
        <v>0</v>
      </c>
      <c r="AL962">
        <v>3</v>
      </c>
      <c r="AM962">
        <v>0</v>
      </c>
      <c r="AN962" s="2">
        <f>IF((2*G962+M962-O962+3*V962+2*AB962+2*AE962+2*AH962+3*AJ962)&gt;=7,1,0)</f>
        <v>1</v>
      </c>
    </row>
    <row r="963" spans="1:40" x14ac:dyDescent="0.25">
      <c r="A963" t="s">
        <v>27</v>
      </c>
      <c r="B963" s="1">
        <v>40048</v>
      </c>
      <c r="C963" s="6">
        <f t="shared" ref="C963:C1026" si="150">YEAR(B963)</f>
        <v>2009</v>
      </c>
      <c r="D963">
        <v>82.5</v>
      </c>
      <c r="E963">
        <v>73.5</v>
      </c>
      <c r="F963">
        <v>78</v>
      </c>
      <c r="G963" s="2">
        <f t="shared" ref="G963:G1026" si="151">IF(F963&lt;=70,0,1)</f>
        <v>1</v>
      </c>
      <c r="H963">
        <v>83</v>
      </c>
      <c r="I963">
        <v>73.5</v>
      </c>
      <c r="J963">
        <v>78.3</v>
      </c>
      <c r="K963">
        <v>61.8</v>
      </c>
      <c r="L963">
        <v>58</v>
      </c>
      <c r="M963" s="2">
        <f t="shared" ref="M963:M1026" si="152">IF(L963&lt;=66,1,0)</f>
        <v>1</v>
      </c>
      <c r="N963">
        <v>0</v>
      </c>
      <c r="O963" s="2">
        <f t="shared" ref="O963:O1026" si="153">IF(N963&lt;=0.01,1,0)</f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 s="2">
        <f t="shared" ref="V963:V1026" si="154">IF(U963&lt;=9,0,1)</f>
        <v>0</v>
      </c>
      <c r="W963">
        <v>18.3</v>
      </c>
      <c r="X963" s="2">
        <f t="shared" ref="X963:X1026" si="155">IF(W963&gt;=16,1,0)</f>
        <v>1</v>
      </c>
      <c r="Y963">
        <v>310.60000000000002</v>
      </c>
      <c r="Z963" s="2" t="str">
        <f>CHOOSE(MATCH(Y963,{0;11;80;111;161;191;241;281;341},1),"North","NorthEast","East","SouthEast","South","SouthWest","West","NorthWest","North")</f>
        <v>NorthWest</v>
      </c>
      <c r="AA963" s="4">
        <f>CHOOSE(MATCH(Z963,{"South";"SouthEast";"SouthWest";"North";"NorthEast";"East";"West";"NorthWest"},0),1,2,3,4,5,6,7,8)</f>
        <v>8</v>
      </c>
      <c r="AB963" s="2">
        <f t="shared" ref="AB963:AB1026" si="156">IF(OR(AA963=4,AA963=5,AA963=8),1,0)</f>
        <v>1</v>
      </c>
      <c r="AC963">
        <v>1008.4</v>
      </c>
      <c r="AD963" t="s">
        <v>1460</v>
      </c>
      <c r="AE963" s="2">
        <f t="shared" ref="AE963:AE1026" si="157">IF(TIMEVALUE(AD963)&lt;=TIME(12,30,0),0,1)</f>
        <v>0</v>
      </c>
      <c r="AF963" t="s">
        <v>1461</v>
      </c>
      <c r="AG963" s="2">
        <f t="shared" ref="AG963:AG1026" si="158">MONTH(AF963)</f>
        <v>8</v>
      </c>
      <c r="AH963" s="2">
        <f t="shared" ref="AH963:AH1026" si="159">IF(OR(AG963=6,AG963=7,AG963=8),1,0)</f>
        <v>1</v>
      </c>
      <c r="AI963" s="3">
        <v>1003.000000000466</v>
      </c>
      <c r="AJ963" s="2">
        <v>1</v>
      </c>
      <c r="AK963">
        <v>0</v>
      </c>
      <c r="AL963">
        <v>25</v>
      </c>
      <c r="AM963">
        <v>0</v>
      </c>
      <c r="AN963" s="2">
        <f>IF((2*G963+M963-O963+3*V963+2*AB963+2*AE963+2*AH963+3*AJ963)&gt;=7,1,0)</f>
        <v>1</v>
      </c>
    </row>
    <row r="964" spans="1:40" x14ac:dyDescent="0.25">
      <c r="A964" t="s">
        <v>27</v>
      </c>
      <c r="B964" s="1">
        <v>40049</v>
      </c>
      <c r="C964" s="6">
        <f t="shared" si="150"/>
        <v>2009</v>
      </c>
      <c r="D964">
        <v>80.7</v>
      </c>
      <c r="E964">
        <v>68.099999999999994</v>
      </c>
      <c r="F964">
        <v>75.599999999999994</v>
      </c>
      <c r="G964" s="2">
        <f t="shared" si="151"/>
        <v>1</v>
      </c>
      <c r="H964">
        <v>82.9</v>
      </c>
      <c r="I964">
        <v>68.099999999999994</v>
      </c>
      <c r="J964">
        <v>75.8</v>
      </c>
      <c r="K964">
        <v>64.400000000000006</v>
      </c>
      <c r="L964">
        <v>68.7</v>
      </c>
      <c r="M964" s="2">
        <f t="shared" si="152"/>
        <v>0</v>
      </c>
      <c r="N964">
        <v>0</v>
      </c>
      <c r="O964" s="2">
        <f t="shared" si="153"/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 s="2">
        <f t="shared" si="154"/>
        <v>0</v>
      </c>
      <c r="W964">
        <v>19.5</v>
      </c>
      <c r="X964" s="2">
        <f t="shared" si="155"/>
        <v>1</v>
      </c>
      <c r="Y964">
        <v>320.39999999999998</v>
      </c>
      <c r="Z964" s="2" t="str">
        <f>CHOOSE(MATCH(Y964,{0;11;80;111;161;191;241;281;341},1),"North","NorthEast","East","SouthEast","South","SouthWest","West","NorthWest","North")</f>
        <v>NorthWest</v>
      </c>
      <c r="AA964" s="4">
        <f>CHOOSE(MATCH(Z964,{"South";"SouthEast";"SouthWest";"North";"NorthEast";"East";"West";"NorthWest"},0),1,2,3,4,5,6,7,8)</f>
        <v>8</v>
      </c>
      <c r="AB964" s="2">
        <f t="shared" si="156"/>
        <v>1</v>
      </c>
      <c r="AC964">
        <v>1008.1</v>
      </c>
      <c r="AD964" t="s">
        <v>453</v>
      </c>
      <c r="AE964" s="2">
        <f t="shared" si="157"/>
        <v>1</v>
      </c>
      <c r="AF964" t="s">
        <v>1462</v>
      </c>
      <c r="AG964" s="2">
        <f t="shared" si="158"/>
        <v>8</v>
      </c>
      <c r="AH964" s="2">
        <f t="shared" si="159"/>
        <v>1</v>
      </c>
      <c r="AI964" s="3">
        <v>230.99999999860299</v>
      </c>
      <c r="AJ964" s="2">
        <v>0</v>
      </c>
      <c r="AK964">
        <v>0</v>
      </c>
      <c r="AL964">
        <v>0.5</v>
      </c>
      <c r="AM964">
        <v>0</v>
      </c>
      <c r="AN964" s="2">
        <f>IF((2*G964+M964-O964+3*V964+2*AB964+2*AE964+2*AH964+3*AJ964)&gt;=7,1,0)</f>
        <v>1</v>
      </c>
    </row>
    <row r="965" spans="1:40" x14ac:dyDescent="0.25">
      <c r="A965" t="s">
        <v>27</v>
      </c>
      <c r="B965" s="1">
        <v>40049</v>
      </c>
      <c r="C965" s="6">
        <f t="shared" si="150"/>
        <v>2009</v>
      </c>
      <c r="D965">
        <v>80.7</v>
      </c>
      <c r="E965">
        <v>68.099999999999994</v>
      </c>
      <c r="F965">
        <v>75.599999999999994</v>
      </c>
      <c r="G965" s="2">
        <f t="shared" si="151"/>
        <v>1</v>
      </c>
      <c r="H965">
        <v>82.9</v>
      </c>
      <c r="I965">
        <v>68.099999999999994</v>
      </c>
      <c r="J965">
        <v>75.8</v>
      </c>
      <c r="K965">
        <v>64.400000000000006</v>
      </c>
      <c r="L965">
        <v>68.7</v>
      </c>
      <c r="M965" s="2">
        <f t="shared" si="152"/>
        <v>0</v>
      </c>
      <c r="N965">
        <v>0</v>
      </c>
      <c r="O965" s="2">
        <f t="shared" si="153"/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 s="2">
        <f t="shared" si="154"/>
        <v>0</v>
      </c>
      <c r="W965">
        <v>19.5</v>
      </c>
      <c r="X965" s="2">
        <f t="shared" si="155"/>
        <v>1</v>
      </c>
      <c r="Y965">
        <v>320.39999999999998</v>
      </c>
      <c r="Z965" s="2" t="str">
        <f>CHOOSE(MATCH(Y965,{0;11;80;111;161;191;241;281;341},1),"North","NorthEast","East","SouthEast","South","SouthWest","West","NorthWest","North")</f>
        <v>NorthWest</v>
      </c>
      <c r="AA965" s="4">
        <f>CHOOSE(MATCH(Z965,{"South";"SouthEast";"SouthWest";"North";"NorthEast";"East";"West";"NorthWest"},0),1,2,3,4,5,6,7,8)</f>
        <v>8</v>
      </c>
      <c r="AB965" s="2">
        <f t="shared" si="156"/>
        <v>1</v>
      </c>
      <c r="AC965">
        <v>1008.1</v>
      </c>
      <c r="AD965" t="s">
        <v>721</v>
      </c>
      <c r="AE965" s="2">
        <f t="shared" si="157"/>
        <v>1</v>
      </c>
      <c r="AF965" t="s">
        <v>1463</v>
      </c>
      <c r="AG965" s="2">
        <f t="shared" si="158"/>
        <v>8</v>
      </c>
      <c r="AH965" s="2">
        <f t="shared" si="159"/>
        <v>1</v>
      </c>
      <c r="AI965" s="3">
        <v>69.999999997671694</v>
      </c>
      <c r="AJ965" s="2">
        <v>0</v>
      </c>
      <c r="AK965">
        <v>0</v>
      </c>
      <c r="AL965">
        <v>0.2</v>
      </c>
      <c r="AM965">
        <v>0</v>
      </c>
      <c r="AN965" s="2">
        <f>IF((2*G965+M965-O965+3*V965+2*AB965+2*AE965+2*AH965+3*AJ965)&gt;=7,1,0)</f>
        <v>1</v>
      </c>
    </row>
    <row r="966" spans="1:40" x14ac:dyDescent="0.25">
      <c r="A966" t="s">
        <v>27</v>
      </c>
      <c r="B966" s="1">
        <v>40050</v>
      </c>
      <c r="C966" s="6">
        <f t="shared" si="150"/>
        <v>2009</v>
      </c>
      <c r="D966">
        <v>80.7</v>
      </c>
      <c r="E966">
        <v>68.099999999999994</v>
      </c>
      <c r="F966">
        <v>76.599999999999994</v>
      </c>
      <c r="G966" s="2">
        <f t="shared" si="151"/>
        <v>1</v>
      </c>
      <c r="H966">
        <v>83.4</v>
      </c>
      <c r="I966">
        <v>68.099999999999994</v>
      </c>
      <c r="J966">
        <v>77.099999999999994</v>
      </c>
      <c r="K966">
        <v>65.599999999999994</v>
      </c>
      <c r="L966">
        <v>69.099999999999994</v>
      </c>
      <c r="M966" s="2">
        <f t="shared" si="152"/>
        <v>0</v>
      </c>
      <c r="N966">
        <v>0</v>
      </c>
      <c r="O966" s="2">
        <f t="shared" si="153"/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s="2">
        <f t="shared" si="154"/>
        <v>0</v>
      </c>
      <c r="W966">
        <v>18.3</v>
      </c>
      <c r="X966" s="2">
        <f t="shared" si="155"/>
        <v>1</v>
      </c>
      <c r="Y966">
        <v>310.39999999999998</v>
      </c>
      <c r="Z966" s="2" t="str">
        <f>CHOOSE(MATCH(Y966,{0;11;80;111;161;191;241;281;341},1),"North","NorthEast","East","SouthEast","South","SouthWest","West","NorthWest","North")</f>
        <v>NorthWest</v>
      </c>
      <c r="AA966" s="4">
        <f>CHOOSE(MATCH(Z966,{"South";"SouthEast";"SouthWest";"North";"NorthEast";"East";"West";"NorthWest"},0),1,2,3,4,5,6,7,8)</f>
        <v>8</v>
      </c>
      <c r="AB966" s="2">
        <f t="shared" si="156"/>
        <v>1</v>
      </c>
      <c r="AC966">
        <v>1012.2</v>
      </c>
      <c r="AD966" t="s">
        <v>699</v>
      </c>
      <c r="AE966" s="2">
        <f t="shared" si="157"/>
        <v>1</v>
      </c>
      <c r="AF966" t="s">
        <v>1464</v>
      </c>
      <c r="AG966" s="2">
        <f t="shared" si="158"/>
        <v>8</v>
      </c>
      <c r="AH966" s="2">
        <f t="shared" si="159"/>
        <v>1</v>
      </c>
      <c r="AI966" s="3">
        <v>69.999999997671694</v>
      </c>
      <c r="AJ966" s="2">
        <v>0</v>
      </c>
      <c r="AK966">
        <v>0.1</v>
      </c>
      <c r="AL966">
        <v>0</v>
      </c>
      <c r="AM966">
        <v>0</v>
      </c>
      <c r="AN966" s="2">
        <f>IF((2*G966+M966-O966+3*V966+2*AB966+2*AE966+2*AH966+3*AJ966)&gt;=7,1,0)</f>
        <v>1</v>
      </c>
    </row>
    <row r="967" spans="1:40" x14ac:dyDescent="0.25">
      <c r="A967" t="s">
        <v>27</v>
      </c>
      <c r="B967" s="1">
        <v>40051</v>
      </c>
      <c r="C967" s="6">
        <f t="shared" si="150"/>
        <v>2009</v>
      </c>
      <c r="D967">
        <v>80.7</v>
      </c>
      <c r="E967">
        <v>73.5</v>
      </c>
      <c r="F967">
        <v>77.3</v>
      </c>
      <c r="G967" s="2">
        <f t="shared" si="151"/>
        <v>1</v>
      </c>
      <c r="H967">
        <v>82.4</v>
      </c>
      <c r="I967">
        <v>73.5</v>
      </c>
      <c r="J967">
        <v>77.7</v>
      </c>
      <c r="K967">
        <v>64.400000000000006</v>
      </c>
      <c r="L967">
        <v>65</v>
      </c>
      <c r="M967" s="2">
        <f t="shared" si="152"/>
        <v>1</v>
      </c>
      <c r="N967">
        <v>0</v>
      </c>
      <c r="O967" s="2">
        <f t="shared" si="153"/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 s="2">
        <f t="shared" si="154"/>
        <v>0</v>
      </c>
      <c r="W967">
        <v>23</v>
      </c>
      <c r="X967" s="2">
        <f t="shared" si="155"/>
        <v>1</v>
      </c>
      <c r="Y967">
        <v>316.7</v>
      </c>
      <c r="Z967" s="2" t="str">
        <f>CHOOSE(MATCH(Y967,{0;11;80;111;161;191;241;281;341},1),"North","NorthEast","East","SouthEast","South","SouthWest","West","NorthWest","North")</f>
        <v>NorthWest</v>
      </c>
      <c r="AA967" s="4">
        <f>CHOOSE(MATCH(Z967,{"South";"SouthEast";"SouthWest";"North";"NorthEast";"East";"West";"NorthWest"},0),1,2,3,4,5,6,7,8)</f>
        <v>8</v>
      </c>
      <c r="AB967" s="2">
        <f t="shared" si="156"/>
        <v>1</v>
      </c>
      <c r="AC967">
        <v>1014.5</v>
      </c>
      <c r="AD967" t="s">
        <v>501</v>
      </c>
      <c r="AE967" s="2">
        <f t="shared" si="157"/>
        <v>1</v>
      </c>
      <c r="AF967" t="s">
        <v>1465</v>
      </c>
      <c r="AG967" s="2">
        <f t="shared" si="158"/>
        <v>8</v>
      </c>
      <c r="AH967" s="2">
        <f t="shared" si="159"/>
        <v>1</v>
      </c>
      <c r="AI967" s="3">
        <v>284.99999999650748</v>
      </c>
      <c r="AJ967" s="2">
        <v>0</v>
      </c>
      <c r="AK967">
        <v>0.1</v>
      </c>
      <c r="AL967">
        <v>0</v>
      </c>
      <c r="AM967">
        <v>0</v>
      </c>
      <c r="AN967" s="2">
        <f>IF((2*G967+M967-O967+3*V967+2*AB967+2*AE967+2*AH967+3*AJ967)&gt;=7,1,0)</f>
        <v>1</v>
      </c>
    </row>
    <row r="968" spans="1:40" x14ac:dyDescent="0.25">
      <c r="A968" t="s">
        <v>27</v>
      </c>
      <c r="B968" s="1">
        <v>40051</v>
      </c>
      <c r="C968" s="6">
        <f t="shared" si="150"/>
        <v>2009</v>
      </c>
      <c r="D968">
        <v>80.7</v>
      </c>
      <c r="E968">
        <v>73.5</v>
      </c>
      <c r="F968">
        <v>77.3</v>
      </c>
      <c r="G968" s="2">
        <f t="shared" si="151"/>
        <v>1</v>
      </c>
      <c r="H968">
        <v>82.4</v>
      </c>
      <c r="I968">
        <v>73.5</v>
      </c>
      <c r="J968">
        <v>77.7</v>
      </c>
      <c r="K968">
        <v>64.400000000000006</v>
      </c>
      <c r="L968">
        <v>65</v>
      </c>
      <c r="M968" s="2">
        <f t="shared" si="152"/>
        <v>1</v>
      </c>
      <c r="N968">
        <v>0</v>
      </c>
      <c r="O968" s="2">
        <f t="shared" si="153"/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 s="2">
        <f t="shared" si="154"/>
        <v>0</v>
      </c>
      <c r="W968">
        <v>23</v>
      </c>
      <c r="X968" s="2">
        <f t="shared" si="155"/>
        <v>1</v>
      </c>
      <c r="Y968">
        <v>316.7</v>
      </c>
      <c r="Z968" s="2" t="str">
        <f>CHOOSE(MATCH(Y968,{0;11;80;111;161;191;241;281;341},1),"North","NorthEast","East","SouthEast","South","SouthWest","West","NorthWest","North")</f>
        <v>NorthWest</v>
      </c>
      <c r="AA968" s="4">
        <f>CHOOSE(MATCH(Z968,{"South";"SouthEast";"SouthWest";"North";"NorthEast";"East";"West";"NorthWest"},0),1,2,3,4,5,6,7,8)</f>
        <v>8</v>
      </c>
      <c r="AB968" s="2">
        <f t="shared" si="156"/>
        <v>1</v>
      </c>
      <c r="AC968">
        <v>1014.5</v>
      </c>
      <c r="AD968" t="s">
        <v>1466</v>
      </c>
      <c r="AE968" s="2">
        <f t="shared" si="157"/>
        <v>0</v>
      </c>
      <c r="AF968" t="s">
        <v>1467</v>
      </c>
      <c r="AG968" s="2">
        <f t="shared" si="158"/>
        <v>8</v>
      </c>
      <c r="AH968" s="2">
        <f t="shared" si="159"/>
        <v>1</v>
      </c>
      <c r="AI968" s="3">
        <v>460.00000000116421</v>
      </c>
      <c r="AJ968" s="2">
        <v>1</v>
      </c>
      <c r="AK968">
        <v>0.1</v>
      </c>
      <c r="AL968">
        <v>0</v>
      </c>
      <c r="AM968">
        <v>0</v>
      </c>
      <c r="AN968" s="2">
        <f>IF((2*G968+M968-O968+3*V968+2*AB968+2*AE968+2*AH968+3*AJ968)&gt;=7,1,0)</f>
        <v>1</v>
      </c>
    </row>
    <row r="969" spans="1:40" x14ac:dyDescent="0.25">
      <c r="A969" t="s">
        <v>27</v>
      </c>
      <c r="B969" s="1">
        <v>40052</v>
      </c>
      <c r="C969" s="6">
        <f t="shared" si="150"/>
        <v>2009</v>
      </c>
      <c r="D969">
        <v>80.7</v>
      </c>
      <c r="E969">
        <v>73.5</v>
      </c>
      <c r="F969">
        <v>77</v>
      </c>
      <c r="G969" s="2">
        <f t="shared" si="151"/>
        <v>1</v>
      </c>
      <c r="H969">
        <v>83.4</v>
      </c>
      <c r="I969">
        <v>73.5</v>
      </c>
      <c r="J969">
        <v>77.3</v>
      </c>
      <c r="K969">
        <v>64.900000000000006</v>
      </c>
      <c r="L969">
        <v>66.5</v>
      </c>
      <c r="M969" s="2">
        <f t="shared" si="152"/>
        <v>0</v>
      </c>
      <c r="N969">
        <v>0</v>
      </c>
      <c r="O969" s="2">
        <f t="shared" si="153"/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s="2">
        <f t="shared" si="154"/>
        <v>0</v>
      </c>
      <c r="W969">
        <v>20.8</v>
      </c>
      <c r="X969" s="2">
        <f t="shared" si="155"/>
        <v>1</v>
      </c>
      <c r="Y969">
        <v>313.7</v>
      </c>
      <c r="Z969" s="2" t="str">
        <f>CHOOSE(MATCH(Y969,{0;11;80;111;161;191;241;281;341},1),"North","NorthEast","East","SouthEast","South","SouthWest","West","NorthWest","North")</f>
        <v>NorthWest</v>
      </c>
      <c r="AA969" s="4">
        <f>CHOOSE(MATCH(Z969,{"South";"SouthEast";"SouthWest";"North";"NorthEast";"East";"West";"NorthWest"},0),1,2,3,4,5,6,7,8)</f>
        <v>8</v>
      </c>
      <c r="AB969" s="2">
        <f t="shared" si="156"/>
        <v>1</v>
      </c>
      <c r="AC969">
        <v>1014</v>
      </c>
      <c r="AD969" t="s">
        <v>215</v>
      </c>
      <c r="AE969" s="2">
        <f t="shared" si="157"/>
        <v>1</v>
      </c>
      <c r="AF969" t="s">
        <v>1468</v>
      </c>
      <c r="AG969" s="2">
        <f t="shared" si="158"/>
        <v>8</v>
      </c>
      <c r="AH969" s="2">
        <f t="shared" si="159"/>
        <v>1</v>
      </c>
      <c r="AI969" s="3">
        <v>320.99999999860302</v>
      </c>
      <c r="AJ969" s="2">
        <v>0</v>
      </c>
      <c r="AK969">
        <v>0</v>
      </c>
      <c r="AL969">
        <v>2</v>
      </c>
      <c r="AM969">
        <v>0</v>
      </c>
      <c r="AN969" s="2">
        <f>IF((2*G969+M969-O969+3*V969+2*AB969+2*AE969+2*AH969+3*AJ969)&gt;=7,1,0)</f>
        <v>1</v>
      </c>
    </row>
    <row r="970" spans="1:40" x14ac:dyDescent="0.25">
      <c r="A970" t="s">
        <v>27</v>
      </c>
      <c r="B970" s="1">
        <v>40052</v>
      </c>
      <c r="C970" s="6">
        <f t="shared" si="150"/>
        <v>2009</v>
      </c>
      <c r="D970">
        <v>80.7</v>
      </c>
      <c r="E970">
        <v>73.5</v>
      </c>
      <c r="F970">
        <v>77</v>
      </c>
      <c r="G970" s="2">
        <f t="shared" si="151"/>
        <v>1</v>
      </c>
      <c r="H970">
        <v>83.4</v>
      </c>
      <c r="I970">
        <v>73.5</v>
      </c>
      <c r="J970">
        <v>77.3</v>
      </c>
      <c r="K970">
        <v>64.900000000000006</v>
      </c>
      <c r="L970">
        <v>66.5</v>
      </c>
      <c r="M970" s="2">
        <f t="shared" si="152"/>
        <v>0</v>
      </c>
      <c r="N970">
        <v>0</v>
      </c>
      <c r="O970" s="2">
        <f t="shared" si="153"/>
        <v>1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s="2">
        <f t="shared" si="154"/>
        <v>0</v>
      </c>
      <c r="W970">
        <v>20.8</v>
      </c>
      <c r="X970" s="2">
        <f t="shared" si="155"/>
        <v>1</v>
      </c>
      <c r="Y970">
        <v>313.7</v>
      </c>
      <c r="Z970" s="2" t="str">
        <f>CHOOSE(MATCH(Y970,{0;11;80;111;161;191;241;281;341},1),"North","NorthEast","East","SouthEast","South","SouthWest","West","NorthWest","North")</f>
        <v>NorthWest</v>
      </c>
      <c r="AA970" s="4">
        <f>CHOOSE(MATCH(Z970,{"South";"SouthEast";"SouthWest";"North";"NorthEast";"East";"West";"NorthWest"},0),1,2,3,4,5,6,7,8)</f>
        <v>8</v>
      </c>
      <c r="AB970" s="2">
        <f t="shared" si="156"/>
        <v>1</v>
      </c>
      <c r="AC970">
        <v>1014</v>
      </c>
      <c r="AD970" t="s">
        <v>296</v>
      </c>
      <c r="AE970" s="2">
        <f t="shared" si="157"/>
        <v>1</v>
      </c>
      <c r="AF970" t="s">
        <v>1469</v>
      </c>
      <c r="AG970" s="2">
        <f t="shared" si="158"/>
        <v>8</v>
      </c>
      <c r="AH970" s="2">
        <f t="shared" si="159"/>
        <v>1</v>
      </c>
      <c r="AI970" s="3">
        <v>130.00000000465661</v>
      </c>
      <c r="AJ970" s="2">
        <v>0</v>
      </c>
      <c r="AK970">
        <v>0</v>
      </c>
      <c r="AL970">
        <v>1</v>
      </c>
      <c r="AM970">
        <v>0</v>
      </c>
      <c r="AN970" s="2">
        <f>IF((2*G970+M970-O970+3*V970+2*AB970+2*AE970+2*AH970+3*AJ970)&gt;=7,1,0)</f>
        <v>1</v>
      </c>
    </row>
    <row r="971" spans="1:40" x14ac:dyDescent="0.25">
      <c r="A971" t="s">
        <v>27</v>
      </c>
      <c r="B971" s="1">
        <v>40055</v>
      </c>
      <c r="C971" s="6">
        <f t="shared" si="150"/>
        <v>2009</v>
      </c>
      <c r="D971">
        <v>84.3</v>
      </c>
      <c r="E971">
        <v>68.099999999999994</v>
      </c>
      <c r="F971">
        <v>76.599999999999994</v>
      </c>
      <c r="G971" s="2">
        <f t="shared" si="151"/>
        <v>1</v>
      </c>
      <c r="H971">
        <v>92.7</v>
      </c>
      <c r="I971">
        <v>68.099999999999994</v>
      </c>
      <c r="J971">
        <v>79</v>
      </c>
      <c r="K971">
        <v>66.5</v>
      </c>
      <c r="L971">
        <v>71.2</v>
      </c>
      <c r="M971" s="2">
        <f t="shared" si="152"/>
        <v>0</v>
      </c>
      <c r="N971">
        <v>0</v>
      </c>
      <c r="O971" s="2">
        <f t="shared" si="153"/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 s="2">
        <f t="shared" si="154"/>
        <v>0</v>
      </c>
      <c r="W971">
        <v>11.4</v>
      </c>
      <c r="X971" s="2">
        <f t="shared" si="155"/>
        <v>0</v>
      </c>
      <c r="Y971">
        <v>248.4</v>
      </c>
      <c r="Z971" s="2" t="str">
        <f>CHOOSE(MATCH(Y971,{0;11;80;111;161;191;241;281;341},1),"North","NorthEast","East","SouthEast","South","SouthWest","West","NorthWest","North")</f>
        <v>West</v>
      </c>
      <c r="AA971" s="4">
        <f>CHOOSE(MATCH(Z971,{"South";"SouthEast";"SouthWest";"North";"NorthEast";"East";"West";"NorthWest"},0),1,2,3,4,5,6,7,8)</f>
        <v>7</v>
      </c>
      <c r="AB971" s="2">
        <f t="shared" si="156"/>
        <v>0</v>
      </c>
      <c r="AC971">
        <v>1012.7</v>
      </c>
      <c r="AD971" t="s">
        <v>631</v>
      </c>
      <c r="AE971" s="2">
        <f t="shared" si="157"/>
        <v>1</v>
      </c>
      <c r="AF971" t="s">
        <v>1470</v>
      </c>
      <c r="AG971" s="2">
        <f t="shared" si="158"/>
        <v>8</v>
      </c>
      <c r="AH971" s="2">
        <f t="shared" si="159"/>
        <v>1</v>
      </c>
      <c r="AI971" s="3">
        <v>200.00000000232831</v>
      </c>
      <c r="AJ971" s="2">
        <v>0</v>
      </c>
      <c r="AK971">
        <v>0</v>
      </c>
      <c r="AL971">
        <v>1</v>
      </c>
      <c r="AM971">
        <v>0</v>
      </c>
      <c r="AN971" s="2">
        <f>IF((2*G971+M971-O971+3*V971+2*AB971+2*AE971+2*AH971+3*AJ971)&gt;=7,1,0)</f>
        <v>0</v>
      </c>
    </row>
    <row r="972" spans="1:40" x14ac:dyDescent="0.25">
      <c r="A972" t="s">
        <v>27</v>
      </c>
      <c r="B972" s="1">
        <v>40055</v>
      </c>
      <c r="C972" s="6">
        <f t="shared" si="150"/>
        <v>2009</v>
      </c>
      <c r="D972">
        <v>84.3</v>
      </c>
      <c r="E972">
        <v>68.099999999999994</v>
      </c>
      <c r="F972">
        <v>76.599999999999994</v>
      </c>
      <c r="G972" s="2">
        <f t="shared" si="151"/>
        <v>1</v>
      </c>
      <c r="H972">
        <v>92.7</v>
      </c>
      <c r="I972">
        <v>68.099999999999994</v>
      </c>
      <c r="J972">
        <v>79</v>
      </c>
      <c r="K972">
        <v>66.5</v>
      </c>
      <c r="L972">
        <v>71.2</v>
      </c>
      <c r="M972" s="2">
        <f t="shared" si="152"/>
        <v>0</v>
      </c>
      <c r="N972">
        <v>0</v>
      </c>
      <c r="O972" s="2">
        <f t="shared" si="153"/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 s="2">
        <f t="shared" si="154"/>
        <v>0</v>
      </c>
      <c r="W972">
        <v>11.4</v>
      </c>
      <c r="X972" s="2">
        <f t="shared" si="155"/>
        <v>0</v>
      </c>
      <c r="Y972">
        <v>248.4</v>
      </c>
      <c r="Z972" s="2" t="str">
        <f>CHOOSE(MATCH(Y972,{0;11;80;111;161;191;241;281;341},1),"North","NorthEast","East","SouthEast","South","SouthWest","West","NorthWest","North")</f>
        <v>West</v>
      </c>
      <c r="AA972" s="4">
        <f>CHOOSE(MATCH(Z972,{"South";"SouthEast";"SouthWest";"North";"NorthEast";"East";"West";"NorthWest"},0),1,2,3,4,5,6,7,8)</f>
        <v>7</v>
      </c>
      <c r="AB972" s="2">
        <f t="shared" si="156"/>
        <v>0</v>
      </c>
      <c r="AC972">
        <v>1012.7</v>
      </c>
      <c r="AD972" t="s">
        <v>246</v>
      </c>
      <c r="AE972" s="2">
        <f t="shared" si="157"/>
        <v>1</v>
      </c>
      <c r="AF972" t="s">
        <v>1471</v>
      </c>
      <c r="AG972" s="2">
        <f t="shared" si="158"/>
        <v>8</v>
      </c>
      <c r="AH972" s="2">
        <f t="shared" si="159"/>
        <v>1</v>
      </c>
      <c r="AI972" s="3">
        <v>265.00000000465661</v>
      </c>
      <c r="AJ972" s="2">
        <v>0</v>
      </c>
      <c r="AK972">
        <v>0.1</v>
      </c>
      <c r="AL972">
        <v>0</v>
      </c>
      <c r="AM972">
        <v>0</v>
      </c>
      <c r="AN972" s="2">
        <f>IF((2*G972+M972-O972+3*V972+2*AB972+2*AE972+2*AH972+3*AJ972)&gt;=7,1,0)</f>
        <v>0</v>
      </c>
    </row>
    <row r="973" spans="1:40" x14ac:dyDescent="0.25">
      <c r="A973" t="s">
        <v>27</v>
      </c>
      <c r="B973" s="1">
        <v>40056</v>
      </c>
      <c r="C973" s="6">
        <f t="shared" si="150"/>
        <v>2009</v>
      </c>
      <c r="D973">
        <v>84.3</v>
      </c>
      <c r="E973">
        <v>69.900000000000006</v>
      </c>
      <c r="F973">
        <v>78</v>
      </c>
      <c r="G973" s="2">
        <f t="shared" si="151"/>
        <v>1</v>
      </c>
      <c r="H973">
        <v>88.6</v>
      </c>
      <c r="I973">
        <v>69.900000000000006</v>
      </c>
      <c r="J973">
        <v>80</v>
      </c>
      <c r="K973">
        <v>69.5</v>
      </c>
      <c r="L973">
        <v>75.900000000000006</v>
      </c>
      <c r="M973" s="2">
        <f t="shared" si="152"/>
        <v>0</v>
      </c>
      <c r="N973">
        <v>0</v>
      </c>
      <c r="O973" s="2">
        <f t="shared" si="153"/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 s="2">
        <f t="shared" si="154"/>
        <v>0</v>
      </c>
      <c r="W973">
        <v>16.100000000000001</v>
      </c>
      <c r="X973" s="2">
        <f t="shared" si="155"/>
        <v>1</v>
      </c>
      <c r="Y973">
        <v>295.2</v>
      </c>
      <c r="Z973" s="2" t="str">
        <f>CHOOSE(MATCH(Y973,{0;11;80;111;161;191;241;281;341},1),"North","NorthEast","East","SouthEast","South","SouthWest","West","NorthWest","North")</f>
        <v>NorthWest</v>
      </c>
      <c r="AA973" s="4">
        <f>CHOOSE(MATCH(Z973,{"South";"SouthEast";"SouthWest";"North";"NorthEast";"East";"West";"NorthWest"},0),1,2,3,4,5,6,7,8)</f>
        <v>8</v>
      </c>
      <c r="AB973" s="2">
        <f t="shared" si="156"/>
        <v>1</v>
      </c>
      <c r="AC973">
        <v>1013.8</v>
      </c>
      <c r="AD973" t="s">
        <v>1019</v>
      </c>
      <c r="AE973" s="2">
        <f t="shared" si="157"/>
        <v>1</v>
      </c>
      <c r="AF973" t="s">
        <v>1472</v>
      </c>
      <c r="AG973" s="2">
        <f t="shared" si="158"/>
        <v>8</v>
      </c>
      <c r="AH973" s="2">
        <f t="shared" si="159"/>
        <v>1</v>
      </c>
      <c r="AI973" s="3">
        <v>1024.9999999988361</v>
      </c>
      <c r="AJ973" s="2">
        <v>1</v>
      </c>
      <c r="AK973">
        <v>0</v>
      </c>
      <c r="AL973">
        <v>1</v>
      </c>
      <c r="AM973">
        <v>0</v>
      </c>
      <c r="AN973" s="2">
        <f>IF((2*G973+M973-O973+3*V973+2*AB973+2*AE973+2*AH973+3*AJ973)&gt;=7,1,0)</f>
        <v>1</v>
      </c>
    </row>
    <row r="974" spans="1:40" x14ac:dyDescent="0.25">
      <c r="A974" t="s">
        <v>27</v>
      </c>
      <c r="B974" s="1">
        <v>40056</v>
      </c>
      <c r="C974" s="6">
        <f t="shared" si="150"/>
        <v>2009</v>
      </c>
      <c r="D974">
        <v>84.3</v>
      </c>
      <c r="E974">
        <v>69.900000000000006</v>
      </c>
      <c r="F974">
        <v>78</v>
      </c>
      <c r="G974" s="2">
        <f t="shared" si="151"/>
        <v>1</v>
      </c>
      <c r="H974">
        <v>88.6</v>
      </c>
      <c r="I974">
        <v>69.900000000000006</v>
      </c>
      <c r="J974">
        <v>80</v>
      </c>
      <c r="K974">
        <v>69.5</v>
      </c>
      <c r="L974">
        <v>75.900000000000006</v>
      </c>
      <c r="M974" s="2">
        <f t="shared" si="152"/>
        <v>0</v>
      </c>
      <c r="N974">
        <v>0</v>
      </c>
      <c r="O974" s="2">
        <f t="shared" si="153"/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 s="2">
        <f t="shared" si="154"/>
        <v>0</v>
      </c>
      <c r="W974">
        <v>16.100000000000001</v>
      </c>
      <c r="X974" s="2">
        <f t="shared" si="155"/>
        <v>1</v>
      </c>
      <c r="Y974">
        <v>295.2</v>
      </c>
      <c r="Z974" s="2" t="str">
        <f>CHOOSE(MATCH(Y974,{0;11;80;111;161;191;241;281;341},1),"North","NorthEast","East","SouthEast","South","SouthWest","West","NorthWest","North")</f>
        <v>NorthWest</v>
      </c>
      <c r="AA974" s="4">
        <f>CHOOSE(MATCH(Z974,{"South";"SouthEast";"SouthWest";"North";"NorthEast";"East";"West";"NorthWest"},0),1,2,3,4,5,6,7,8)</f>
        <v>8</v>
      </c>
      <c r="AB974" s="2">
        <f t="shared" si="156"/>
        <v>1</v>
      </c>
      <c r="AC974">
        <v>1013.8</v>
      </c>
      <c r="AD974" t="s">
        <v>799</v>
      </c>
      <c r="AE974" s="2">
        <f t="shared" si="157"/>
        <v>1</v>
      </c>
      <c r="AF974" t="s">
        <v>1473</v>
      </c>
      <c r="AG974" s="2">
        <f t="shared" si="158"/>
        <v>8</v>
      </c>
      <c r="AH974" s="2">
        <f t="shared" si="159"/>
        <v>1</v>
      </c>
      <c r="AI974" s="3">
        <v>529.99999999883585</v>
      </c>
      <c r="AJ974" s="2">
        <v>1</v>
      </c>
      <c r="AK974">
        <v>0</v>
      </c>
      <c r="AL974">
        <v>0.5</v>
      </c>
      <c r="AM974">
        <v>0</v>
      </c>
      <c r="AN974" s="2">
        <f>IF((2*G974+M974-O974+3*V974+2*AB974+2*AE974+2*AH974+3*AJ974)&gt;=7,1,0)</f>
        <v>1</v>
      </c>
    </row>
    <row r="975" spans="1:40" x14ac:dyDescent="0.25">
      <c r="A975" t="s">
        <v>27</v>
      </c>
      <c r="B975" s="1">
        <v>40057</v>
      </c>
      <c r="C975" s="6">
        <f t="shared" si="150"/>
        <v>2009</v>
      </c>
      <c r="D975">
        <v>82.5</v>
      </c>
      <c r="E975">
        <v>77.099999999999994</v>
      </c>
      <c r="F975">
        <v>79.099999999999994</v>
      </c>
      <c r="G975" s="2">
        <f t="shared" si="151"/>
        <v>1</v>
      </c>
      <c r="H975">
        <v>86.4</v>
      </c>
      <c r="I975">
        <v>77.099999999999994</v>
      </c>
      <c r="J975">
        <v>80</v>
      </c>
      <c r="K975">
        <v>68.099999999999994</v>
      </c>
      <c r="L975">
        <v>69.3</v>
      </c>
      <c r="M975" s="2">
        <f t="shared" si="152"/>
        <v>0</v>
      </c>
      <c r="N975">
        <v>0</v>
      </c>
      <c r="O975" s="2">
        <f t="shared" si="153"/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 s="2">
        <f t="shared" si="154"/>
        <v>0</v>
      </c>
      <c r="W975">
        <v>25.3</v>
      </c>
      <c r="X975" s="2">
        <f t="shared" si="155"/>
        <v>1</v>
      </c>
      <c r="Y975">
        <v>311.5</v>
      </c>
      <c r="Z975" s="2" t="str">
        <f>CHOOSE(MATCH(Y975,{0;11;80;111;161;191;241;281;341},1),"North","NorthEast","East","SouthEast","South","SouthWest","West","NorthWest","North")</f>
        <v>NorthWest</v>
      </c>
      <c r="AA975" s="4">
        <f>CHOOSE(MATCH(Z975,{"South";"SouthEast";"SouthWest";"North";"NorthEast";"East";"West";"NorthWest"},0),1,2,3,4,5,6,7,8)</f>
        <v>8</v>
      </c>
      <c r="AB975" s="2">
        <f t="shared" si="156"/>
        <v>1</v>
      </c>
      <c r="AC975">
        <v>1014.6</v>
      </c>
      <c r="AD975" t="s">
        <v>1474</v>
      </c>
      <c r="AE975" s="2">
        <f t="shared" si="157"/>
        <v>0</v>
      </c>
      <c r="AF975" t="s">
        <v>1475</v>
      </c>
      <c r="AG975" s="2">
        <f t="shared" si="158"/>
        <v>9</v>
      </c>
      <c r="AH975" s="2">
        <f t="shared" si="159"/>
        <v>0</v>
      </c>
      <c r="AI975" s="3">
        <v>160.0000000081491</v>
      </c>
      <c r="AJ975" s="2">
        <v>0</v>
      </c>
      <c r="AK975">
        <v>0.1</v>
      </c>
      <c r="AL975">
        <v>0</v>
      </c>
      <c r="AM975">
        <v>0</v>
      </c>
      <c r="AN975" s="2">
        <f>IF((2*G975+M975-O975+3*V975+2*AB975+2*AE975+2*AH975+3*AJ975)&gt;=7,1,0)</f>
        <v>0</v>
      </c>
    </row>
    <row r="976" spans="1:40" x14ac:dyDescent="0.25">
      <c r="A976" t="s">
        <v>27</v>
      </c>
      <c r="B976" s="1">
        <v>40060</v>
      </c>
      <c r="C976" s="6">
        <f t="shared" si="150"/>
        <v>2009</v>
      </c>
      <c r="D976">
        <v>84.3</v>
      </c>
      <c r="E976">
        <v>68.099999999999994</v>
      </c>
      <c r="F976">
        <v>76.599999999999994</v>
      </c>
      <c r="G976" s="2">
        <f t="shared" si="151"/>
        <v>1</v>
      </c>
      <c r="H976">
        <v>94.4</v>
      </c>
      <c r="I976">
        <v>68.099999999999994</v>
      </c>
      <c r="J976">
        <v>79.5</v>
      </c>
      <c r="K976">
        <v>67.400000000000006</v>
      </c>
      <c r="L976">
        <v>73.7</v>
      </c>
      <c r="M976" s="2">
        <f t="shared" si="152"/>
        <v>0</v>
      </c>
      <c r="N976">
        <v>0</v>
      </c>
      <c r="O976" s="2">
        <f t="shared" si="153"/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 s="2">
        <f t="shared" si="154"/>
        <v>0</v>
      </c>
      <c r="W976">
        <v>8.1</v>
      </c>
      <c r="X976" s="2">
        <f t="shared" si="155"/>
        <v>0</v>
      </c>
      <c r="Y976">
        <v>161.6</v>
      </c>
      <c r="Z976" s="2" t="str">
        <f>CHOOSE(MATCH(Y976,{0;11;80;111;161;191;241;281;341},1),"North","NorthEast","East","SouthEast","South","SouthWest","West","NorthWest","North")</f>
        <v>South</v>
      </c>
      <c r="AA976" s="4">
        <f>CHOOSE(MATCH(Z976,{"South";"SouthEast";"SouthWest";"North";"NorthEast";"East";"West";"NorthWest"},0),1,2,3,4,5,6,7,8)</f>
        <v>1</v>
      </c>
      <c r="AB976" s="2">
        <f t="shared" si="156"/>
        <v>0</v>
      </c>
      <c r="AC976">
        <v>1011.8</v>
      </c>
      <c r="AD976" t="s">
        <v>619</v>
      </c>
      <c r="AE976" s="2">
        <f t="shared" si="157"/>
        <v>0</v>
      </c>
      <c r="AF976" t="s">
        <v>1476</v>
      </c>
      <c r="AG976" s="2">
        <f t="shared" si="158"/>
        <v>9</v>
      </c>
      <c r="AH976" s="2">
        <f t="shared" si="159"/>
        <v>0</v>
      </c>
      <c r="AI976" s="3">
        <v>185.00000000582079</v>
      </c>
      <c r="AJ976" s="2">
        <v>0</v>
      </c>
      <c r="AK976">
        <v>0</v>
      </c>
      <c r="AL976">
        <v>6</v>
      </c>
      <c r="AM976">
        <v>0</v>
      </c>
      <c r="AN976" s="2">
        <f>IF((2*G976+M976-O976+3*V976+2*AB976+2*AE976+2*AH976+3*AJ976)&gt;=7,1,0)</f>
        <v>0</v>
      </c>
    </row>
    <row r="977" spans="1:40" x14ac:dyDescent="0.25">
      <c r="A977" t="s">
        <v>27</v>
      </c>
      <c r="B977" s="1">
        <v>40076</v>
      </c>
      <c r="C977" s="6">
        <f t="shared" si="150"/>
        <v>2009</v>
      </c>
      <c r="D977">
        <v>75.3</v>
      </c>
      <c r="E977">
        <v>71.599999999999994</v>
      </c>
      <c r="F977">
        <v>73.7</v>
      </c>
      <c r="G977" s="2">
        <f t="shared" si="151"/>
        <v>1</v>
      </c>
      <c r="H977">
        <v>75.3</v>
      </c>
      <c r="I977">
        <v>71.599999999999994</v>
      </c>
      <c r="J977">
        <v>73.7</v>
      </c>
      <c r="K977">
        <v>62.7</v>
      </c>
      <c r="L977">
        <v>68.599999999999994</v>
      </c>
      <c r="M977" s="2">
        <f t="shared" si="152"/>
        <v>0</v>
      </c>
      <c r="N977">
        <v>0</v>
      </c>
      <c r="O977" s="2">
        <f t="shared" si="153"/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 s="2">
        <f t="shared" si="154"/>
        <v>0</v>
      </c>
      <c r="W977">
        <v>19.5</v>
      </c>
      <c r="X977" s="2">
        <f t="shared" si="155"/>
        <v>1</v>
      </c>
      <c r="Y977">
        <v>321.5</v>
      </c>
      <c r="Z977" s="2" t="str">
        <f>CHOOSE(MATCH(Y977,{0;11;80;111;161;191;241;281;341},1),"North","NorthEast","East","SouthEast","South","SouthWest","West","NorthWest","North")</f>
        <v>NorthWest</v>
      </c>
      <c r="AA977" s="4">
        <f>CHOOSE(MATCH(Z977,{"South";"SouthEast";"SouthWest";"North";"NorthEast";"East";"West";"NorthWest"},0),1,2,3,4,5,6,7,8)</f>
        <v>8</v>
      </c>
      <c r="AB977" s="2">
        <f t="shared" si="156"/>
        <v>1</v>
      </c>
      <c r="AC977">
        <v>1012.6</v>
      </c>
      <c r="AD977" t="s">
        <v>627</v>
      </c>
      <c r="AE977" s="2">
        <f t="shared" si="157"/>
        <v>0</v>
      </c>
      <c r="AF977" t="s">
        <v>1477</v>
      </c>
      <c r="AG977" s="2">
        <f t="shared" si="158"/>
        <v>9</v>
      </c>
      <c r="AH977" s="2">
        <f t="shared" si="159"/>
        <v>0</v>
      </c>
      <c r="AI977" s="3">
        <v>335.00000000232831</v>
      </c>
      <c r="AJ977" s="2">
        <v>0</v>
      </c>
      <c r="AK977">
        <v>0</v>
      </c>
      <c r="AL977">
        <v>1</v>
      </c>
      <c r="AM977">
        <v>0</v>
      </c>
      <c r="AN977" s="2">
        <f>IF((2*G977+M977-O977+3*V977+2*AB977+2*AE977+2*AH977+3*AJ977)&gt;=7,1,0)</f>
        <v>0</v>
      </c>
    </row>
    <row r="978" spans="1:40" x14ac:dyDescent="0.25">
      <c r="A978" t="s">
        <v>27</v>
      </c>
      <c r="B978" s="1">
        <v>40077</v>
      </c>
      <c r="C978" s="6">
        <f t="shared" si="150"/>
        <v>2009</v>
      </c>
      <c r="D978">
        <v>73.5</v>
      </c>
      <c r="E978">
        <v>69.8</v>
      </c>
      <c r="F978">
        <v>71.5</v>
      </c>
      <c r="G978" s="2">
        <f t="shared" si="151"/>
        <v>1</v>
      </c>
      <c r="H978">
        <v>73.5</v>
      </c>
      <c r="I978">
        <v>69.8</v>
      </c>
      <c r="J978">
        <v>71.5</v>
      </c>
      <c r="K978">
        <v>57.6</v>
      </c>
      <c r="L978">
        <v>61.6</v>
      </c>
      <c r="M978" s="2">
        <f t="shared" si="152"/>
        <v>1</v>
      </c>
      <c r="N978">
        <v>0</v>
      </c>
      <c r="O978" s="2">
        <f t="shared" si="153"/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 s="2">
        <f t="shared" si="154"/>
        <v>0</v>
      </c>
      <c r="W978">
        <v>18.3</v>
      </c>
      <c r="X978" s="2">
        <f t="shared" si="155"/>
        <v>1</v>
      </c>
      <c r="Y978">
        <v>331.2</v>
      </c>
      <c r="Z978" s="2" t="str">
        <f>CHOOSE(MATCH(Y978,{0;11;80;111;161;191;241;281;341},1),"North","NorthEast","East","SouthEast","South","SouthWest","West","NorthWest","North")</f>
        <v>NorthWest</v>
      </c>
      <c r="AA978" s="4">
        <f>CHOOSE(MATCH(Z978,{"South";"SouthEast";"SouthWest";"North";"NorthEast";"East";"West";"NorthWest"},0),1,2,3,4,5,6,7,8)</f>
        <v>8</v>
      </c>
      <c r="AB978" s="2">
        <f t="shared" si="156"/>
        <v>1</v>
      </c>
      <c r="AC978">
        <v>1015.3</v>
      </c>
      <c r="AD978" t="s">
        <v>629</v>
      </c>
      <c r="AE978" s="2">
        <f t="shared" si="157"/>
        <v>1</v>
      </c>
      <c r="AF978" t="s">
        <v>1478</v>
      </c>
      <c r="AG978" s="2">
        <f t="shared" si="158"/>
        <v>9</v>
      </c>
      <c r="AH978" s="2">
        <f t="shared" si="159"/>
        <v>0</v>
      </c>
      <c r="AI978" s="3">
        <v>1410.0000000069849</v>
      </c>
      <c r="AJ978" s="2">
        <v>1</v>
      </c>
      <c r="AK978">
        <v>10</v>
      </c>
      <c r="AL978">
        <v>0</v>
      </c>
      <c r="AM978">
        <v>0</v>
      </c>
      <c r="AN978" s="2">
        <f>IF((2*G978+M978-O978+3*V978+2*AB978+2*AE978+2*AH978+3*AJ978)&gt;=7,1,0)</f>
        <v>1</v>
      </c>
    </row>
    <row r="979" spans="1:40" x14ac:dyDescent="0.25">
      <c r="A979" t="s">
        <v>27</v>
      </c>
      <c r="B979" s="1">
        <v>40079</v>
      </c>
      <c r="C979" s="6">
        <f t="shared" si="150"/>
        <v>2009</v>
      </c>
      <c r="D979">
        <v>75.3</v>
      </c>
      <c r="E979">
        <v>69.8</v>
      </c>
      <c r="F979">
        <v>72</v>
      </c>
      <c r="G979" s="2">
        <f t="shared" si="151"/>
        <v>1</v>
      </c>
      <c r="H979">
        <v>75.3</v>
      </c>
      <c r="I979">
        <v>69.8</v>
      </c>
      <c r="J979">
        <v>72</v>
      </c>
      <c r="K979">
        <v>61.5</v>
      </c>
      <c r="L979">
        <v>69.7</v>
      </c>
      <c r="M979" s="2">
        <f t="shared" si="152"/>
        <v>0</v>
      </c>
      <c r="N979">
        <v>0</v>
      </c>
      <c r="O979" s="2">
        <f t="shared" si="153"/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 s="2">
        <f t="shared" si="154"/>
        <v>0</v>
      </c>
      <c r="W979">
        <v>15</v>
      </c>
      <c r="X979" s="2">
        <f t="shared" si="155"/>
        <v>0</v>
      </c>
      <c r="Y979">
        <v>329</v>
      </c>
      <c r="Z979" s="2" t="str">
        <f>CHOOSE(MATCH(Y979,{0;11;80;111;161;191;241;281;341},1),"North","NorthEast","East","SouthEast","South","SouthWest","West","NorthWest","North")</f>
        <v>NorthWest</v>
      </c>
      <c r="AA979" s="4">
        <f>CHOOSE(MATCH(Z979,{"South";"SouthEast";"SouthWest";"North";"NorthEast";"East";"West";"NorthWest"},0),1,2,3,4,5,6,7,8)</f>
        <v>8</v>
      </c>
      <c r="AB979" s="2">
        <f t="shared" si="156"/>
        <v>1</v>
      </c>
      <c r="AC979">
        <v>1020.9</v>
      </c>
      <c r="AD979" t="s">
        <v>287</v>
      </c>
      <c r="AE979" s="2">
        <f t="shared" si="157"/>
        <v>1</v>
      </c>
      <c r="AF979" t="s">
        <v>1479</v>
      </c>
      <c r="AG979" s="2">
        <f t="shared" si="158"/>
        <v>9</v>
      </c>
      <c r="AH979" s="2">
        <f t="shared" si="159"/>
        <v>0</v>
      </c>
      <c r="AI979" s="3">
        <v>1815.0000000069849</v>
      </c>
      <c r="AJ979" s="2">
        <v>1</v>
      </c>
      <c r="AK979">
        <v>0</v>
      </c>
      <c r="AL979">
        <v>50</v>
      </c>
      <c r="AM979">
        <v>0</v>
      </c>
      <c r="AN979" s="2">
        <f>IF((2*G979+M979-O979+3*V979+2*AB979+2*AE979+2*AH979+3*AJ979)&gt;=7,1,0)</f>
        <v>1</v>
      </c>
    </row>
    <row r="980" spans="1:40" x14ac:dyDescent="0.25">
      <c r="A980" t="s">
        <v>27</v>
      </c>
      <c r="B980" s="1">
        <v>40080</v>
      </c>
      <c r="C980" s="6">
        <f t="shared" si="150"/>
        <v>2009</v>
      </c>
      <c r="D980">
        <v>77.099999999999994</v>
      </c>
      <c r="E980">
        <v>64.5</v>
      </c>
      <c r="F980">
        <v>70.5</v>
      </c>
      <c r="G980" s="2">
        <f t="shared" si="151"/>
        <v>1</v>
      </c>
      <c r="H980">
        <v>77.099999999999994</v>
      </c>
      <c r="I980">
        <v>64.5</v>
      </c>
      <c r="J980">
        <v>70.5</v>
      </c>
      <c r="K980">
        <v>63.6</v>
      </c>
      <c r="L980">
        <v>79.2</v>
      </c>
      <c r="M980" s="2">
        <f t="shared" si="152"/>
        <v>0</v>
      </c>
      <c r="N980">
        <v>0</v>
      </c>
      <c r="O980" s="2">
        <f t="shared" si="153"/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 s="2">
        <f t="shared" si="154"/>
        <v>0</v>
      </c>
      <c r="W980">
        <v>11.7</v>
      </c>
      <c r="X980" s="2">
        <f t="shared" si="155"/>
        <v>0</v>
      </c>
      <c r="Y980">
        <v>325.60000000000002</v>
      </c>
      <c r="Z980" s="2" t="str">
        <f>CHOOSE(MATCH(Y980,{0;11;80;111;161;191;241;281;341},1),"North","NorthEast","East","SouthEast","South","SouthWest","West","NorthWest","North")</f>
        <v>NorthWest</v>
      </c>
      <c r="AA980" s="4">
        <f>CHOOSE(MATCH(Z980,{"South";"SouthEast";"SouthWest";"North";"NorthEast";"East";"West";"NorthWest"},0),1,2,3,4,5,6,7,8)</f>
        <v>8</v>
      </c>
      <c r="AB980" s="2">
        <f t="shared" si="156"/>
        <v>1</v>
      </c>
      <c r="AC980">
        <v>1018.6</v>
      </c>
      <c r="AD980" t="s">
        <v>1480</v>
      </c>
      <c r="AE980" s="2">
        <f t="shared" si="157"/>
        <v>0</v>
      </c>
      <c r="AF980" t="s">
        <v>1481</v>
      </c>
      <c r="AG980" s="2">
        <f t="shared" si="158"/>
        <v>9</v>
      </c>
      <c r="AH980" s="2">
        <f t="shared" si="159"/>
        <v>0</v>
      </c>
      <c r="AI980" s="3">
        <v>442.99999999813741</v>
      </c>
      <c r="AJ980" s="2">
        <v>1</v>
      </c>
      <c r="AK980">
        <v>0</v>
      </c>
      <c r="AL980">
        <v>0.6</v>
      </c>
      <c r="AM980">
        <v>0</v>
      </c>
      <c r="AN980" s="2">
        <f>IF((2*G980+M980-O980+3*V980+2*AB980+2*AE980+2*AH980+3*AJ980)&gt;=7,1,0)</f>
        <v>0</v>
      </c>
    </row>
    <row r="981" spans="1:40" x14ac:dyDescent="0.25">
      <c r="A981" t="s">
        <v>27</v>
      </c>
      <c r="B981" s="1">
        <v>40088</v>
      </c>
      <c r="C981" s="6">
        <f t="shared" si="150"/>
        <v>2009</v>
      </c>
      <c r="D981">
        <v>84.2</v>
      </c>
      <c r="E981">
        <v>64.5</v>
      </c>
      <c r="F981">
        <v>72.8</v>
      </c>
      <c r="G981" s="2">
        <f t="shared" si="151"/>
        <v>1</v>
      </c>
      <c r="H981">
        <v>84.4</v>
      </c>
      <c r="I981">
        <v>64.5</v>
      </c>
      <c r="J981">
        <v>72.900000000000006</v>
      </c>
      <c r="K981">
        <v>59.2</v>
      </c>
      <c r="L981">
        <v>63.1</v>
      </c>
      <c r="M981" s="2">
        <f t="shared" si="152"/>
        <v>1</v>
      </c>
      <c r="N981">
        <v>0</v>
      </c>
      <c r="O981" s="2">
        <f t="shared" si="153"/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 s="2">
        <f t="shared" si="154"/>
        <v>0</v>
      </c>
      <c r="W981">
        <v>19.5</v>
      </c>
      <c r="X981" s="2">
        <f t="shared" si="155"/>
        <v>1</v>
      </c>
      <c r="Y981">
        <v>157.30000000000001</v>
      </c>
      <c r="Z981" s="2" t="str">
        <f>CHOOSE(MATCH(Y981,{0;11;80;111;161;191;241;281;341},1),"North","NorthEast","East","SouthEast","South","SouthWest","West","NorthWest","North")</f>
        <v>SouthEast</v>
      </c>
      <c r="AA981" s="4">
        <f>CHOOSE(MATCH(Z981,{"South";"SouthEast";"SouthWest";"North";"NorthEast";"East";"West";"NorthWest"},0),1,2,3,4,5,6,7,8)</f>
        <v>2</v>
      </c>
      <c r="AB981" s="2">
        <f t="shared" si="156"/>
        <v>0</v>
      </c>
      <c r="AC981">
        <v>1014.6</v>
      </c>
      <c r="AD981" t="s">
        <v>357</v>
      </c>
      <c r="AE981" s="2">
        <f t="shared" si="157"/>
        <v>1</v>
      </c>
      <c r="AF981" t="s">
        <v>1482</v>
      </c>
      <c r="AG981" s="2">
        <f t="shared" si="158"/>
        <v>10</v>
      </c>
      <c r="AH981" s="2">
        <f t="shared" si="159"/>
        <v>0</v>
      </c>
      <c r="AI981" s="3">
        <v>265.00000000465661</v>
      </c>
      <c r="AJ981" s="2">
        <v>0</v>
      </c>
      <c r="AK981">
        <v>0</v>
      </c>
      <c r="AL981">
        <v>6</v>
      </c>
      <c r="AM981">
        <v>0</v>
      </c>
      <c r="AN981" s="2">
        <f>IF((2*G981+M981-O981+3*V981+2*AB981+2*AE981+2*AH981+3*AJ981)&gt;=7,1,0)</f>
        <v>0</v>
      </c>
    </row>
    <row r="982" spans="1:40" x14ac:dyDescent="0.25">
      <c r="A982" t="s">
        <v>27</v>
      </c>
      <c r="B982" s="1">
        <v>40089</v>
      </c>
      <c r="C982" s="6">
        <f t="shared" si="150"/>
        <v>2009</v>
      </c>
      <c r="D982">
        <v>86.1</v>
      </c>
      <c r="E982">
        <v>68.099999999999994</v>
      </c>
      <c r="F982">
        <v>76.900000000000006</v>
      </c>
      <c r="G982" s="2">
        <f t="shared" si="151"/>
        <v>1</v>
      </c>
      <c r="H982">
        <v>87.6</v>
      </c>
      <c r="I982">
        <v>68.099999999999994</v>
      </c>
      <c r="J982">
        <v>77.3</v>
      </c>
      <c r="K982">
        <v>63.7</v>
      </c>
      <c r="L982">
        <v>64.900000000000006</v>
      </c>
      <c r="M982" s="2">
        <f t="shared" si="152"/>
        <v>1</v>
      </c>
      <c r="N982">
        <v>0</v>
      </c>
      <c r="O982" s="2">
        <f t="shared" si="153"/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 s="2">
        <f t="shared" si="154"/>
        <v>0</v>
      </c>
      <c r="W982">
        <v>28.9</v>
      </c>
      <c r="X982" s="2">
        <f t="shared" si="155"/>
        <v>1</v>
      </c>
      <c r="Y982">
        <v>181.5</v>
      </c>
      <c r="Z982" s="2" t="str">
        <f>CHOOSE(MATCH(Y982,{0;11;80;111;161;191;241;281;341},1),"North","NorthEast","East","SouthEast","South","SouthWest","West","NorthWest","North")</f>
        <v>South</v>
      </c>
      <c r="AA982" s="4">
        <f>CHOOSE(MATCH(Z982,{"South";"SouthEast";"SouthWest";"North";"NorthEast";"East";"West";"NorthWest"},0),1,2,3,4,5,6,7,8)</f>
        <v>1</v>
      </c>
      <c r="AB982" s="2">
        <f t="shared" si="156"/>
        <v>0</v>
      </c>
      <c r="AC982">
        <v>1011.7</v>
      </c>
      <c r="AD982" t="s">
        <v>1483</v>
      </c>
      <c r="AE982" s="2">
        <f t="shared" si="157"/>
        <v>0</v>
      </c>
      <c r="AF982" t="s">
        <v>1484</v>
      </c>
      <c r="AG982" s="2">
        <f t="shared" si="158"/>
        <v>10</v>
      </c>
      <c r="AH982" s="2">
        <f t="shared" si="159"/>
        <v>0</v>
      </c>
      <c r="AI982" s="3">
        <v>75.00000000349246</v>
      </c>
      <c r="AJ982" s="2">
        <v>0</v>
      </c>
      <c r="AK982">
        <v>0</v>
      </c>
      <c r="AL982">
        <v>1</v>
      </c>
      <c r="AM982">
        <v>0</v>
      </c>
      <c r="AN982" s="2">
        <f>IF((2*G982+M982-O982+3*V982+2*AB982+2*AE982+2*AH982+3*AJ982)&gt;=7,1,0)</f>
        <v>0</v>
      </c>
    </row>
    <row r="983" spans="1:40" x14ac:dyDescent="0.25">
      <c r="A983" t="s">
        <v>27</v>
      </c>
      <c r="B983" s="1">
        <v>40089</v>
      </c>
      <c r="C983" s="6">
        <f t="shared" si="150"/>
        <v>2009</v>
      </c>
      <c r="D983">
        <v>86.1</v>
      </c>
      <c r="E983">
        <v>68.099999999999994</v>
      </c>
      <c r="F983">
        <v>76.900000000000006</v>
      </c>
      <c r="G983" s="2">
        <f t="shared" si="151"/>
        <v>1</v>
      </c>
      <c r="H983">
        <v>87.6</v>
      </c>
      <c r="I983">
        <v>68.099999999999994</v>
      </c>
      <c r="J983">
        <v>77.3</v>
      </c>
      <c r="K983">
        <v>63.7</v>
      </c>
      <c r="L983">
        <v>64.900000000000006</v>
      </c>
      <c r="M983" s="2">
        <f t="shared" si="152"/>
        <v>1</v>
      </c>
      <c r="N983">
        <v>0</v>
      </c>
      <c r="O983" s="2">
        <f t="shared" si="153"/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 s="2">
        <f t="shared" si="154"/>
        <v>0</v>
      </c>
      <c r="W983">
        <v>28.9</v>
      </c>
      <c r="X983" s="2">
        <f t="shared" si="155"/>
        <v>1</v>
      </c>
      <c r="Y983">
        <v>181.5</v>
      </c>
      <c r="Z983" s="2" t="str">
        <f>CHOOSE(MATCH(Y983,{0;11;80;111;161;191;241;281;341},1),"North","NorthEast","East","SouthEast","South","SouthWest","West","NorthWest","North")</f>
        <v>South</v>
      </c>
      <c r="AA983" s="4">
        <f>CHOOSE(MATCH(Z983,{"South";"SouthEast";"SouthWest";"North";"NorthEast";"East";"West";"NorthWest"},0),1,2,3,4,5,6,7,8)</f>
        <v>1</v>
      </c>
      <c r="AB983" s="2">
        <f t="shared" si="156"/>
        <v>0</v>
      </c>
      <c r="AC983">
        <v>1011.7</v>
      </c>
      <c r="AD983" t="s">
        <v>560</v>
      </c>
      <c r="AE983" s="2">
        <f t="shared" si="157"/>
        <v>1</v>
      </c>
      <c r="AF983" t="s">
        <v>1485</v>
      </c>
      <c r="AG983" s="2">
        <f t="shared" si="158"/>
        <v>10</v>
      </c>
      <c r="AH983" s="2">
        <f t="shared" si="159"/>
        <v>0</v>
      </c>
      <c r="AI983" s="3">
        <v>194.99999999650751</v>
      </c>
      <c r="AJ983" s="2">
        <v>0</v>
      </c>
      <c r="AK983">
        <v>0</v>
      </c>
      <c r="AL983">
        <v>1</v>
      </c>
      <c r="AM983">
        <v>0</v>
      </c>
      <c r="AN983" s="2">
        <f>IF((2*G983+M983-O983+3*V983+2*AB983+2*AE983+2*AH983+3*AJ983)&gt;=7,1,0)</f>
        <v>0</v>
      </c>
    </row>
    <row r="984" spans="1:40" x14ac:dyDescent="0.25">
      <c r="A984" t="s">
        <v>27</v>
      </c>
      <c r="B984" s="1">
        <v>40093</v>
      </c>
      <c r="C984" s="6">
        <f t="shared" si="150"/>
        <v>2009</v>
      </c>
      <c r="D984">
        <v>75.3</v>
      </c>
      <c r="E984">
        <v>69.8</v>
      </c>
      <c r="F984">
        <v>72</v>
      </c>
      <c r="G984" s="2">
        <f t="shared" si="151"/>
        <v>1</v>
      </c>
      <c r="H984">
        <v>75.3</v>
      </c>
      <c r="I984">
        <v>69.8</v>
      </c>
      <c r="J984">
        <v>72</v>
      </c>
      <c r="K984">
        <v>62</v>
      </c>
      <c r="L984">
        <v>71.099999999999994</v>
      </c>
      <c r="M984" s="2">
        <f t="shared" si="152"/>
        <v>0</v>
      </c>
      <c r="N984">
        <v>0</v>
      </c>
      <c r="O984" s="2">
        <f t="shared" si="153"/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 s="2">
        <f t="shared" si="154"/>
        <v>0</v>
      </c>
      <c r="W984">
        <v>18.3</v>
      </c>
      <c r="X984" s="2">
        <f t="shared" si="155"/>
        <v>1</v>
      </c>
      <c r="Y984">
        <v>316.5</v>
      </c>
      <c r="Z984" s="2" t="str">
        <f>CHOOSE(MATCH(Y984,{0;11;80;111;161;191;241;281;341},1),"North","NorthEast","East","SouthEast","South","SouthWest","West","NorthWest","North")</f>
        <v>NorthWest</v>
      </c>
      <c r="AA984" s="4">
        <f>CHOOSE(MATCH(Z984,{"South";"SouthEast";"SouthWest";"North";"NorthEast";"East";"West";"NorthWest"},0),1,2,3,4,5,6,7,8)</f>
        <v>8</v>
      </c>
      <c r="AB984" s="2">
        <f t="shared" si="156"/>
        <v>1</v>
      </c>
      <c r="AC984">
        <v>1015.9</v>
      </c>
      <c r="AD984" t="s">
        <v>607</v>
      </c>
      <c r="AE984" s="2">
        <f t="shared" si="157"/>
        <v>1</v>
      </c>
      <c r="AF984" t="s">
        <v>1486</v>
      </c>
      <c r="AG984" s="2">
        <f t="shared" si="158"/>
        <v>10</v>
      </c>
      <c r="AH984" s="2">
        <f t="shared" si="159"/>
        <v>0</v>
      </c>
      <c r="AI984" s="3">
        <v>59.99999999650754</v>
      </c>
      <c r="AJ984" s="2">
        <v>0</v>
      </c>
      <c r="AK984">
        <v>0</v>
      </c>
      <c r="AL984">
        <v>0.1</v>
      </c>
      <c r="AM984">
        <v>0</v>
      </c>
      <c r="AN984" s="2">
        <f>IF((2*G984+M984-O984+3*V984+2*AB984+2*AE984+2*AH984+3*AJ984)&gt;=7,1,0)</f>
        <v>0</v>
      </c>
    </row>
    <row r="985" spans="1:40" x14ac:dyDescent="0.25">
      <c r="A985" t="s">
        <v>27</v>
      </c>
      <c r="B985" s="1">
        <v>40096</v>
      </c>
      <c r="C985" s="6">
        <f t="shared" si="150"/>
        <v>2009</v>
      </c>
      <c r="D985">
        <v>77.099999999999994</v>
      </c>
      <c r="E985">
        <v>60.8</v>
      </c>
      <c r="F985">
        <v>68.5</v>
      </c>
      <c r="G985" s="2">
        <f t="shared" si="151"/>
        <v>0</v>
      </c>
      <c r="H985">
        <v>77.099999999999994</v>
      </c>
      <c r="I985">
        <v>60.8</v>
      </c>
      <c r="J985">
        <v>68.5</v>
      </c>
      <c r="K985">
        <v>62.1</v>
      </c>
      <c r="L985">
        <v>80.599999999999994</v>
      </c>
      <c r="M985" s="2">
        <f t="shared" si="152"/>
        <v>0</v>
      </c>
      <c r="N985">
        <v>0</v>
      </c>
      <c r="O985" s="2">
        <f t="shared" si="153"/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 s="2">
        <f t="shared" si="154"/>
        <v>0</v>
      </c>
      <c r="W985">
        <v>10.3</v>
      </c>
      <c r="X985" s="2">
        <f t="shared" si="155"/>
        <v>0</v>
      </c>
      <c r="Y985">
        <v>180.1</v>
      </c>
      <c r="Z985" s="2" t="str">
        <f>CHOOSE(MATCH(Y985,{0;11;80;111;161;191;241;281;341},1),"North","NorthEast","East","SouthEast","South","SouthWest","West","NorthWest","North")</f>
        <v>South</v>
      </c>
      <c r="AA985" s="4">
        <f>CHOOSE(MATCH(Z985,{"South";"SouthEast";"SouthWest";"North";"NorthEast";"East";"West";"NorthWest"},0),1,2,3,4,5,6,7,8)</f>
        <v>1</v>
      </c>
      <c r="AB985" s="2">
        <f t="shared" si="156"/>
        <v>0</v>
      </c>
      <c r="AC985">
        <v>1014.2</v>
      </c>
      <c r="AD985" t="s">
        <v>463</v>
      </c>
      <c r="AE985" s="2">
        <f t="shared" si="157"/>
        <v>0</v>
      </c>
      <c r="AF985" t="s">
        <v>1487</v>
      </c>
      <c r="AG985" s="2">
        <f t="shared" si="158"/>
        <v>10</v>
      </c>
      <c r="AH985" s="2">
        <f t="shared" si="159"/>
        <v>0</v>
      </c>
      <c r="AI985" s="3">
        <v>210.00000000349249</v>
      </c>
      <c r="AJ985" s="2">
        <v>0</v>
      </c>
      <c r="AK985">
        <v>0</v>
      </c>
      <c r="AL985">
        <v>0.1</v>
      </c>
      <c r="AM985">
        <v>0</v>
      </c>
      <c r="AN985" s="2">
        <f>IF((2*G985+M985-O985+3*V985+2*AB985+2*AE985+2*AH985+3*AJ985)&gt;=7,1,0)</f>
        <v>0</v>
      </c>
    </row>
    <row r="986" spans="1:40" x14ac:dyDescent="0.25">
      <c r="A986" t="s">
        <v>27</v>
      </c>
      <c r="B986" s="1">
        <v>40096</v>
      </c>
      <c r="C986" s="6">
        <f t="shared" si="150"/>
        <v>2009</v>
      </c>
      <c r="D986">
        <v>77.099999999999994</v>
      </c>
      <c r="E986">
        <v>60.8</v>
      </c>
      <c r="F986">
        <v>68.5</v>
      </c>
      <c r="G986" s="2">
        <f t="shared" si="151"/>
        <v>0</v>
      </c>
      <c r="H986">
        <v>77.099999999999994</v>
      </c>
      <c r="I986">
        <v>60.8</v>
      </c>
      <c r="J986">
        <v>68.5</v>
      </c>
      <c r="K986">
        <v>62.1</v>
      </c>
      <c r="L986">
        <v>80.599999999999994</v>
      </c>
      <c r="M986" s="2">
        <f t="shared" si="152"/>
        <v>0</v>
      </c>
      <c r="N986">
        <v>0</v>
      </c>
      <c r="O986" s="2">
        <f t="shared" si="153"/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 s="2">
        <f t="shared" si="154"/>
        <v>0</v>
      </c>
      <c r="W986">
        <v>10.3</v>
      </c>
      <c r="X986" s="2">
        <f t="shared" si="155"/>
        <v>0</v>
      </c>
      <c r="Y986">
        <v>180.1</v>
      </c>
      <c r="Z986" s="2" t="str">
        <f>CHOOSE(MATCH(Y986,{0;11;80;111;161;191;241;281;341},1),"North","NorthEast","East","SouthEast","South","SouthWest","West","NorthWest","North")</f>
        <v>South</v>
      </c>
      <c r="AA986" s="4">
        <f>CHOOSE(MATCH(Z986,{"South";"SouthEast";"SouthWest";"North";"NorthEast";"East";"West";"NorthWest"},0),1,2,3,4,5,6,7,8)</f>
        <v>1</v>
      </c>
      <c r="AB986" s="2">
        <f t="shared" si="156"/>
        <v>0</v>
      </c>
      <c r="AC986">
        <v>1014.2</v>
      </c>
      <c r="AD986" t="s">
        <v>627</v>
      </c>
      <c r="AE986" s="2">
        <f t="shared" si="157"/>
        <v>0</v>
      </c>
      <c r="AF986" t="s">
        <v>1488</v>
      </c>
      <c r="AG986" s="2">
        <f t="shared" si="158"/>
        <v>10</v>
      </c>
      <c r="AH986" s="2">
        <f t="shared" si="159"/>
        <v>0</v>
      </c>
      <c r="AI986" s="3">
        <v>214.99999999883579</v>
      </c>
      <c r="AJ986" s="2">
        <v>0</v>
      </c>
      <c r="AK986">
        <v>0</v>
      </c>
      <c r="AL986">
        <v>0.1</v>
      </c>
      <c r="AM986">
        <v>0</v>
      </c>
      <c r="AN986" s="2">
        <f>IF((2*G986+M986-O986+3*V986+2*AB986+2*AE986+2*AH986+3*AJ986)&gt;=7,1,0)</f>
        <v>0</v>
      </c>
    </row>
    <row r="987" spans="1:40" x14ac:dyDescent="0.25">
      <c r="A987" t="s">
        <v>27</v>
      </c>
      <c r="B987" s="1">
        <v>40096</v>
      </c>
      <c r="C987" s="6">
        <f t="shared" si="150"/>
        <v>2009</v>
      </c>
      <c r="D987">
        <v>77.099999999999994</v>
      </c>
      <c r="E987">
        <v>60.8</v>
      </c>
      <c r="F987">
        <v>68.5</v>
      </c>
      <c r="G987" s="2">
        <f t="shared" si="151"/>
        <v>0</v>
      </c>
      <c r="H987">
        <v>77.099999999999994</v>
      </c>
      <c r="I987">
        <v>60.8</v>
      </c>
      <c r="J987">
        <v>68.5</v>
      </c>
      <c r="K987">
        <v>62.1</v>
      </c>
      <c r="L987">
        <v>80.599999999999994</v>
      </c>
      <c r="M987" s="2">
        <f t="shared" si="152"/>
        <v>0</v>
      </c>
      <c r="N987">
        <v>0</v>
      </c>
      <c r="O987" s="2">
        <f t="shared" si="153"/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 s="2">
        <f t="shared" si="154"/>
        <v>0</v>
      </c>
      <c r="W987">
        <v>10.3</v>
      </c>
      <c r="X987" s="2">
        <f t="shared" si="155"/>
        <v>0</v>
      </c>
      <c r="Y987">
        <v>180.1</v>
      </c>
      <c r="Z987" s="2" t="str">
        <f>CHOOSE(MATCH(Y987,{0;11;80;111;161;191;241;281;341},1),"North","NorthEast","East","SouthEast","South","SouthWest","West","NorthWest","North")</f>
        <v>South</v>
      </c>
      <c r="AA987" s="4">
        <f>CHOOSE(MATCH(Z987,{"South";"SouthEast";"SouthWest";"North";"NorthEast";"East";"West";"NorthWest"},0),1,2,3,4,5,6,7,8)</f>
        <v>1</v>
      </c>
      <c r="AB987" s="2">
        <f t="shared" si="156"/>
        <v>0</v>
      </c>
      <c r="AC987">
        <v>1014.2</v>
      </c>
      <c r="AD987" t="s">
        <v>607</v>
      </c>
      <c r="AE987" s="2">
        <f t="shared" si="157"/>
        <v>1</v>
      </c>
      <c r="AF987" t="s">
        <v>1489</v>
      </c>
      <c r="AG987" s="2">
        <f t="shared" si="158"/>
        <v>10</v>
      </c>
      <c r="AH987" s="2">
        <f t="shared" si="159"/>
        <v>0</v>
      </c>
      <c r="AI987" s="3">
        <v>129.99999999417921</v>
      </c>
      <c r="AJ987" s="2">
        <v>0</v>
      </c>
      <c r="AK987">
        <v>0</v>
      </c>
      <c r="AL987">
        <v>2</v>
      </c>
      <c r="AM987">
        <v>0</v>
      </c>
      <c r="AN987" s="2">
        <f>IF((2*G987+M987-O987+3*V987+2*AB987+2*AE987+2*AH987+3*AJ987)&gt;=7,1,0)</f>
        <v>0</v>
      </c>
    </row>
    <row r="988" spans="1:40" x14ac:dyDescent="0.25">
      <c r="A988" t="s">
        <v>27</v>
      </c>
      <c r="B988" s="1">
        <v>40096</v>
      </c>
      <c r="C988" s="6">
        <f t="shared" si="150"/>
        <v>2009</v>
      </c>
      <c r="D988">
        <v>77.099999999999994</v>
      </c>
      <c r="E988">
        <v>60.8</v>
      </c>
      <c r="F988">
        <v>68.5</v>
      </c>
      <c r="G988" s="2">
        <f t="shared" si="151"/>
        <v>0</v>
      </c>
      <c r="H988">
        <v>77.099999999999994</v>
      </c>
      <c r="I988">
        <v>60.8</v>
      </c>
      <c r="J988">
        <v>68.5</v>
      </c>
      <c r="K988">
        <v>62.1</v>
      </c>
      <c r="L988">
        <v>80.599999999999994</v>
      </c>
      <c r="M988" s="2">
        <f t="shared" si="152"/>
        <v>0</v>
      </c>
      <c r="N988">
        <v>0</v>
      </c>
      <c r="O988" s="2">
        <f t="shared" si="153"/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 s="2">
        <f t="shared" si="154"/>
        <v>0</v>
      </c>
      <c r="W988">
        <v>10.3</v>
      </c>
      <c r="X988" s="2">
        <f t="shared" si="155"/>
        <v>0</v>
      </c>
      <c r="Y988">
        <v>180.1</v>
      </c>
      <c r="Z988" s="2" t="str">
        <f>CHOOSE(MATCH(Y988,{0;11;80;111;161;191;241;281;341},1),"North","NorthEast","East","SouthEast","South","SouthWest","West","NorthWest","North")</f>
        <v>South</v>
      </c>
      <c r="AA988" s="4">
        <f>CHOOSE(MATCH(Z988,{"South";"SouthEast";"SouthWest";"North";"NorthEast";"East";"West";"NorthWest"},0),1,2,3,4,5,6,7,8)</f>
        <v>1</v>
      </c>
      <c r="AB988" s="2">
        <f t="shared" si="156"/>
        <v>0</v>
      </c>
      <c r="AC988">
        <v>1014.2</v>
      </c>
      <c r="AD988" t="s">
        <v>268</v>
      </c>
      <c r="AE988" s="2">
        <f t="shared" si="157"/>
        <v>1</v>
      </c>
      <c r="AF988" t="s">
        <v>1490</v>
      </c>
      <c r="AG988" s="2">
        <f t="shared" si="158"/>
        <v>10</v>
      </c>
      <c r="AH988" s="2">
        <f t="shared" si="159"/>
        <v>0</v>
      </c>
      <c r="AI988" s="3">
        <v>1759.9999999953429</v>
      </c>
      <c r="AJ988" s="2">
        <v>1</v>
      </c>
      <c r="AK988">
        <v>0</v>
      </c>
      <c r="AL988">
        <v>14.5</v>
      </c>
      <c r="AM988">
        <v>0</v>
      </c>
      <c r="AN988" s="2">
        <f>IF((2*G988+M988-O988+3*V988+2*AB988+2*AE988+2*AH988+3*AJ988)&gt;=7,1,0)</f>
        <v>0</v>
      </c>
    </row>
    <row r="989" spans="1:40" x14ac:dyDescent="0.25">
      <c r="A989" t="s">
        <v>27</v>
      </c>
      <c r="B989" s="1">
        <v>40097</v>
      </c>
      <c r="C989" s="6">
        <f t="shared" si="150"/>
        <v>2009</v>
      </c>
      <c r="D989">
        <v>75.3</v>
      </c>
      <c r="E989">
        <v>60.9</v>
      </c>
      <c r="F989">
        <v>68.2</v>
      </c>
      <c r="G989" s="2">
        <f t="shared" si="151"/>
        <v>0</v>
      </c>
      <c r="H989">
        <v>75.3</v>
      </c>
      <c r="I989">
        <v>60.9</v>
      </c>
      <c r="J989">
        <v>68.2</v>
      </c>
      <c r="K989">
        <v>59.2</v>
      </c>
      <c r="L989">
        <v>73.5</v>
      </c>
      <c r="M989" s="2">
        <f t="shared" si="152"/>
        <v>0</v>
      </c>
      <c r="N989">
        <v>0</v>
      </c>
      <c r="O989" s="2">
        <f t="shared" si="153"/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 s="2">
        <f t="shared" si="154"/>
        <v>0</v>
      </c>
      <c r="W989">
        <v>9.1999999999999993</v>
      </c>
      <c r="X989" s="2">
        <f t="shared" si="155"/>
        <v>0</v>
      </c>
      <c r="Y989">
        <v>153.30000000000001</v>
      </c>
      <c r="Z989" s="2" t="str">
        <f>CHOOSE(MATCH(Y989,{0;11;80;111;161;191;241;281;341},1),"North","NorthEast","East","SouthEast","South","SouthWest","West","NorthWest","North")</f>
        <v>SouthEast</v>
      </c>
      <c r="AA989" s="4">
        <f>CHOOSE(MATCH(Z989,{"South";"SouthEast";"SouthWest";"North";"NorthEast";"East";"West";"NorthWest"},0),1,2,3,4,5,6,7,8)</f>
        <v>2</v>
      </c>
      <c r="AB989" s="2">
        <f t="shared" si="156"/>
        <v>0</v>
      </c>
      <c r="AC989">
        <v>1013.4</v>
      </c>
      <c r="AD989" t="s">
        <v>1387</v>
      </c>
      <c r="AE989" s="2">
        <f t="shared" si="157"/>
        <v>1</v>
      </c>
      <c r="AF989" t="s">
        <v>1491</v>
      </c>
      <c r="AG989" s="2">
        <f t="shared" si="158"/>
        <v>10</v>
      </c>
      <c r="AH989" s="2">
        <f t="shared" si="159"/>
        <v>0</v>
      </c>
      <c r="AI989" s="3">
        <v>154.9999999918509</v>
      </c>
      <c r="AJ989" s="2">
        <v>0</v>
      </c>
      <c r="AK989">
        <v>0</v>
      </c>
      <c r="AL989">
        <v>1</v>
      </c>
      <c r="AM989">
        <v>0</v>
      </c>
      <c r="AN989" s="2">
        <f>IF((2*G989+M989-O989+3*V989+2*AB989+2*AE989+2*AH989+3*AJ989)&gt;=7,1,0)</f>
        <v>0</v>
      </c>
    </row>
    <row r="990" spans="1:40" x14ac:dyDescent="0.25">
      <c r="A990" t="s">
        <v>27</v>
      </c>
      <c r="B990" s="1">
        <v>40099</v>
      </c>
      <c r="C990" s="6">
        <f t="shared" si="150"/>
        <v>2009</v>
      </c>
      <c r="D990">
        <v>84.3</v>
      </c>
      <c r="E990">
        <v>68</v>
      </c>
      <c r="F990">
        <v>74.599999999999994</v>
      </c>
      <c r="G990" s="2">
        <f t="shared" si="151"/>
        <v>1</v>
      </c>
      <c r="H990">
        <v>85</v>
      </c>
      <c r="I990">
        <v>68</v>
      </c>
      <c r="J990">
        <v>74.8</v>
      </c>
      <c r="K990">
        <v>60.9</v>
      </c>
      <c r="L990">
        <v>63.8</v>
      </c>
      <c r="M990" s="2">
        <f t="shared" si="152"/>
        <v>1</v>
      </c>
      <c r="N990">
        <v>0</v>
      </c>
      <c r="O990" s="2">
        <f t="shared" si="153"/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 s="2">
        <f t="shared" si="154"/>
        <v>0</v>
      </c>
      <c r="W990">
        <v>25.3</v>
      </c>
      <c r="X990" s="2">
        <f t="shared" si="155"/>
        <v>1</v>
      </c>
      <c r="Y990">
        <v>195.1</v>
      </c>
      <c r="Z990" s="2" t="str">
        <f>CHOOSE(MATCH(Y990,{0;11;80;111;161;191;241;281;341},1),"North","NorthEast","East","SouthEast","South","SouthWest","West","NorthWest","North")</f>
        <v>SouthWest</v>
      </c>
      <c r="AA990" s="4">
        <f>CHOOSE(MATCH(Z990,{"South";"SouthEast";"SouthWest";"North";"NorthEast";"East";"West";"NorthWest"},0),1,2,3,4,5,6,7,8)</f>
        <v>3</v>
      </c>
      <c r="AB990" s="2">
        <f t="shared" si="156"/>
        <v>0</v>
      </c>
      <c r="AC990">
        <v>1009.2</v>
      </c>
      <c r="AD990" t="s">
        <v>586</v>
      </c>
      <c r="AE990" s="2">
        <f t="shared" si="157"/>
        <v>0</v>
      </c>
      <c r="AF990" t="s">
        <v>1492</v>
      </c>
      <c r="AG990" s="2">
        <f t="shared" si="158"/>
        <v>10</v>
      </c>
      <c r="AH990" s="2">
        <f t="shared" si="159"/>
        <v>0</v>
      </c>
      <c r="AI990" s="3">
        <v>380.00000000232831</v>
      </c>
      <c r="AJ990" s="2">
        <v>1</v>
      </c>
      <c r="AK990">
        <v>0</v>
      </c>
      <c r="AL990">
        <v>5</v>
      </c>
      <c r="AM990">
        <v>0</v>
      </c>
      <c r="AN990" s="2">
        <f>IF((2*G990+M990-O990+3*V990+2*AB990+2*AE990+2*AH990+3*AJ990)&gt;=7,1,0)</f>
        <v>0</v>
      </c>
    </row>
    <row r="991" spans="1:40" x14ac:dyDescent="0.25">
      <c r="A991" t="s">
        <v>27</v>
      </c>
      <c r="B991" s="1">
        <v>40099</v>
      </c>
      <c r="C991" s="6">
        <f t="shared" si="150"/>
        <v>2009</v>
      </c>
      <c r="D991">
        <v>84.3</v>
      </c>
      <c r="E991">
        <v>68</v>
      </c>
      <c r="F991">
        <v>74.599999999999994</v>
      </c>
      <c r="G991" s="2">
        <f t="shared" si="151"/>
        <v>1</v>
      </c>
      <c r="H991">
        <v>85</v>
      </c>
      <c r="I991">
        <v>68</v>
      </c>
      <c r="J991">
        <v>74.8</v>
      </c>
      <c r="K991">
        <v>60.9</v>
      </c>
      <c r="L991">
        <v>63.8</v>
      </c>
      <c r="M991" s="2">
        <f t="shared" si="152"/>
        <v>1</v>
      </c>
      <c r="N991">
        <v>0</v>
      </c>
      <c r="O991" s="2">
        <f t="shared" si="153"/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 s="2">
        <f t="shared" si="154"/>
        <v>0</v>
      </c>
      <c r="W991">
        <v>25.3</v>
      </c>
      <c r="X991" s="2">
        <f t="shared" si="155"/>
        <v>1</v>
      </c>
      <c r="Y991">
        <v>195.1</v>
      </c>
      <c r="Z991" s="2" t="str">
        <f>CHOOSE(MATCH(Y991,{0;11;80;111;161;191;241;281;341},1),"North","NorthEast","East","SouthEast","South","SouthWest","West","NorthWest","North")</f>
        <v>SouthWest</v>
      </c>
      <c r="AA991" s="4">
        <f>CHOOSE(MATCH(Z991,{"South";"SouthEast";"SouthWest";"North";"NorthEast";"East";"West";"NorthWest"},0),1,2,3,4,5,6,7,8)</f>
        <v>3</v>
      </c>
      <c r="AB991" s="2">
        <f t="shared" si="156"/>
        <v>0</v>
      </c>
      <c r="AC991">
        <v>1009.2</v>
      </c>
      <c r="AD991" t="s">
        <v>543</v>
      </c>
      <c r="AE991" s="2">
        <f t="shared" si="157"/>
        <v>1</v>
      </c>
      <c r="AF991" t="s">
        <v>1493</v>
      </c>
      <c r="AG991" s="2">
        <f t="shared" si="158"/>
        <v>10</v>
      </c>
      <c r="AH991" s="2">
        <f t="shared" si="159"/>
        <v>0</v>
      </c>
      <c r="AI991" s="3">
        <v>435.00000000349252</v>
      </c>
      <c r="AJ991" s="2">
        <v>1</v>
      </c>
      <c r="AK991">
        <v>0.8</v>
      </c>
      <c r="AL991">
        <v>0</v>
      </c>
      <c r="AM991">
        <v>0</v>
      </c>
      <c r="AN991" s="2">
        <f>IF((2*G991+M991-O991+3*V991+2*AB991+2*AE991+2*AH991+3*AJ991)&gt;=7,1,0)</f>
        <v>1</v>
      </c>
    </row>
    <row r="992" spans="1:40" x14ac:dyDescent="0.25">
      <c r="A992" t="s">
        <v>27</v>
      </c>
      <c r="B992" s="1">
        <v>40101</v>
      </c>
      <c r="C992" s="6">
        <f t="shared" si="150"/>
        <v>2009</v>
      </c>
      <c r="D992">
        <v>82.5</v>
      </c>
      <c r="E992">
        <v>59</v>
      </c>
      <c r="F992">
        <v>70.7</v>
      </c>
      <c r="G992" s="2">
        <f t="shared" si="151"/>
        <v>1</v>
      </c>
      <c r="H992">
        <v>83.5</v>
      </c>
      <c r="I992">
        <v>59</v>
      </c>
      <c r="J992">
        <v>70.900000000000006</v>
      </c>
      <c r="K992">
        <v>59.3</v>
      </c>
      <c r="L992">
        <v>68.3</v>
      </c>
      <c r="M992" s="2">
        <f t="shared" si="152"/>
        <v>0</v>
      </c>
      <c r="N992">
        <v>1.2E-2</v>
      </c>
      <c r="O992" s="2">
        <f t="shared" si="153"/>
        <v>0</v>
      </c>
      <c r="P992">
        <v>100</v>
      </c>
      <c r="Q992">
        <v>4.17</v>
      </c>
      <c r="R992" t="s">
        <v>182</v>
      </c>
      <c r="S992">
        <v>0</v>
      </c>
      <c r="T992">
        <v>0</v>
      </c>
      <c r="U992">
        <v>0</v>
      </c>
      <c r="V992" s="2">
        <f t="shared" si="154"/>
        <v>0</v>
      </c>
      <c r="W992">
        <v>15</v>
      </c>
      <c r="X992" s="2">
        <f t="shared" si="155"/>
        <v>0</v>
      </c>
      <c r="Y992">
        <v>174</v>
      </c>
      <c r="Z992" s="2" t="str">
        <f>CHOOSE(MATCH(Y992,{0;11;80;111;161;191;241;281;341},1),"North","NorthEast","East","SouthEast","South","SouthWest","West","NorthWest","North")</f>
        <v>South</v>
      </c>
      <c r="AA992" s="4">
        <f>CHOOSE(MATCH(Z992,{"South";"SouthEast";"SouthWest";"North";"NorthEast";"East";"West";"NorthWest"},0),1,2,3,4,5,6,7,8)</f>
        <v>1</v>
      </c>
      <c r="AB992" s="2">
        <f t="shared" si="156"/>
        <v>0</v>
      </c>
      <c r="AC992">
        <v>1013.9</v>
      </c>
      <c r="AD992" t="s">
        <v>1019</v>
      </c>
      <c r="AE992" s="2">
        <f t="shared" si="157"/>
        <v>1</v>
      </c>
      <c r="AF992" t="s">
        <v>1494</v>
      </c>
      <c r="AG992" s="2">
        <f t="shared" si="158"/>
        <v>10</v>
      </c>
      <c r="AH992" s="2">
        <f t="shared" si="159"/>
        <v>0</v>
      </c>
      <c r="AI992" s="3">
        <v>225</v>
      </c>
      <c r="AJ992" s="2">
        <v>0</v>
      </c>
      <c r="AK992">
        <v>0</v>
      </c>
      <c r="AL992">
        <v>0.5</v>
      </c>
      <c r="AM992">
        <v>0</v>
      </c>
      <c r="AN992" s="2">
        <f>IF((2*G992+M992-O992+3*V992+2*AB992+2*AE992+2*AH992+3*AJ992)&gt;=7,1,0)</f>
        <v>0</v>
      </c>
    </row>
    <row r="993" spans="1:40" x14ac:dyDescent="0.25">
      <c r="A993" t="s">
        <v>27</v>
      </c>
      <c r="B993" s="1">
        <v>40102</v>
      </c>
      <c r="C993" s="6">
        <f t="shared" si="150"/>
        <v>2009</v>
      </c>
      <c r="D993">
        <v>87.9</v>
      </c>
      <c r="E993">
        <v>71.599999999999994</v>
      </c>
      <c r="F993">
        <v>79.3</v>
      </c>
      <c r="G993" s="2">
        <f t="shared" si="151"/>
        <v>1</v>
      </c>
      <c r="H993">
        <v>87.6</v>
      </c>
      <c r="I993">
        <v>71.599999999999994</v>
      </c>
      <c r="J993">
        <v>79.3</v>
      </c>
      <c r="K993">
        <v>61</v>
      </c>
      <c r="L993">
        <v>55.5</v>
      </c>
      <c r="M993" s="2">
        <f t="shared" si="152"/>
        <v>1</v>
      </c>
      <c r="N993">
        <v>0</v>
      </c>
      <c r="O993" s="2">
        <f t="shared" si="153"/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 s="2">
        <f t="shared" si="154"/>
        <v>0</v>
      </c>
      <c r="W993">
        <v>27.5</v>
      </c>
      <c r="X993" s="2">
        <f t="shared" si="155"/>
        <v>1</v>
      </c>
      <c r="Y993">
        <v>183.4</v>
      </c>
      <c r="Z993" s="2" t="str">
        <f>CHOOSE(MATCH(Y993,{0;11;80;111;161;191;241;281;341},1),"North","NorthEast","East","SouthEast","South","SouthWest","West","NorthWest","North")</f>
        <v>South</v>
      </c>
      <c r="AA993" s="4">
        <f>CHOOSE(MATCH(Z993,{"South";"SouthEast";"SouthWest";"North";"NorthEast";"East";"West";"NorthWest"},0),1,2,3,4,5,6,7,8)</f>
        <v>1</v>
      </c>
      <c r="AB993" s="2">
        <f t="shared" si="156"/>
        <v>0</v>
      </c>
      <c r="AC993">
        <v>1011.2</v>
      </c>
      <c r="AD993" t="s">
        <v>1495</v>
      </c>
      <c r="AE993" s="2">
        <f t="shared" si="157"/>
        <v>0</v>
      </c>
      <c r="AF993" t="s">
        <v>1496</v>
      </c>
      <c r="AG993" s="2">
        <f t="shared" si="158"/>
        <v>10</v>
      </c>
      <c r="AH993" s="2">
        <f t="shared" si="159"/>
        <v>0</v>
      </c>
      <c r="AI993" s="3">
        <v>699.99999999767169</v>
      </c>
      <c r="AJ993" s="2">
        <v>1</v>
      </c>
      <c r="AK993">
        <v>0</v>
      </c>
      <c r="AL993">
        <v>7</v>
      </c>
      <c r="AM993">
        <v>0</v>
      </c>
      <c r="AN993" s="2">
        <f>IF((2*G993+M993-O993+3*V993+2*AB993+2*AE993+2*AH993+3*AJ993)&gt;=7,1,0)</f>
        <v>0</v>
      </c>
    </row>
    <row r="994" spans="1:40" x14ac:dyDescent="0.25">
      <c r="A994" t="s">
        <v>27</v>
      </c>
      <c r="B994" s="1">
        <v>40102</v>
      </c>
      <c r="C994" s="6">
        <f t="shared" si="150"/>
        <v>2009</v>
      </c>
      <c r="D994">
        <v>87.9</v>
      </c>
      <c r="E994">
        <v>71.599999999999994</v>
      </c>
      <c r="F994">
        <v>79.3</v>
      </c>
      <c r="G994" s="2">
        <f t="shared" si="151"/>
        <v>1</v>
      </c>
      <c r="H994">
        <v>87.6</v>
      </c>
      <c r="I994">
        <v>71.599999999999994</v>
      </c>
      <c r="J994">
        <v>79.3</v>
      </c>
      <c r="K994">
        <v>61</v>
      </c>
      <c r="L994">
        <v>55.5</v>
      </c>
      <c r="M994" s="2">
        <f t="shared" si="152"/>
        <v>1</v>
      </c>
      <c r="N994">
        <v>0</v>
      </c>
      <c r="O994" s="2">
        <f t="shared" si="153"/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 s="2">
        <f t="shared" si="154"/>
        <v>0</v>
      </c>
      <c r="W994">
        <v>27.5</v>
      </c>
      <c r="X994" s="2">
        <f t="shared" si="155"/>
        <v>1</v>
      </c>
      <c r="Y994">
        <v>183.4</v>
      </c>
      <c r="Z994" s="2" t="str">
        <f>CHOOSE(MATCH(Y994,{0;11;80;111;161;191;241;281;341},1),"North","NorthEast","East","SouthEast","South","SouthWest","West","NorthWest","North")</f>
        <v>South</v>
      </c>
      <c r="AA994" s="4">
        <f>CHOOSE(MATCH(Z994,{"South";"SouthEast";"SouthWest";"North";"NorthEast";"East";"West";"NorthWest"},0),1,2,3,4,5,6,7,8)</f>
        <v>1</v>
      </c>
      <c r="AB994" s="2">
        <f t="shared" si="156"/>
        <v>0</v>
      </c>
      <c r="AC994">
        <v>1011.2</v>
      </c>
      <c r="AD994" t="s">
        <v>699</v>
      </c>
      <c r="AE994" s="2">
        <f t="shared" si="157"/>
        <v>1</v>
      </c>
      <c r="AF994" t="s">
        <v>1497</v>
      </c>
      <c r="AG994" s="2">
        <f t="shared" si="158"/>
        <v>10</v>
      </c>
      <c r="AH994" s="2">
        <f t="shared" si="159"/>
        <v>0</v>
      </c>
      <c r="AI994" s="3">
        <v>180</v>
      </c>
      <c r="AJ994" s="2">
        <v>0</v>
      </c>
      <c r="AK994">
        <v>0</v>
      </c>
      <c r="AL994">
        <v>2</v>
      </c>
      <c r="AM994">
        <v>0</v>
      </c>
      <c r="AN994" s="2">
        <f>IF((2*G994+M994-O994+3*V994+2*AB994+2*AE994+2*AH994+3*AJ994)&gt;=7,1,0)</f>
        <v>0</v>
      </c>
    </row>
    <row r="995" spans="1:40" x14ac:dyDescent="0.25">
      <c r="A995" t="s">
        <v>27</v>
      </c>
      <c r="B995" s="1">
        <v>40107</v>
      </c>
      <c r="C995" s="6">
        <f t="shared" si="150"/>
        <v>2009</v>
      </c>
      <c r="D995">
        <v>71.7</v>
      </c>
      <c r="E995">
        <v>62.7</v>
      </c>
      <c r="F995">
        <v>68.2</v>
      </c>
      <c r="G995" s="2">
        <f t="shared" si="151"/>
        <v>0</v>
      </c>
      <c r="H995">
        <v>71.7</v>
      </c>
      <c r="I995">
        <v>62.7</v>
      </c>
      <c r="J995">
        <v>68.2</v>
      </c>
      <c r="K995">
        <v>52.9</v>
      </c>
      <c r="L995">
        <v>58.6</v>
      </c>
      <c r="M995" s="2">
        <f t="shared" si="152"/>
        <v>1</v>
      </c>
      <c r="N995">
        <v>0</v>
      </c>
      <c r="O995" s="2">
        <f t="shared" si="153"/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 s="2">
        <f t="shared" si="154"/>
        <v>0</v>
      </c>
      <c r="W995">
        <v>18.3</v>
      </c>
      <c r="X995" s="2">
        <f t="shared" si="155"/>
        <v>1</v>
      </c>
      <c r="Y995">
        <v>296</v>
      </c>
      <c r="Z995" s="2" t="str">
        <f>CHOOSE(MATCH(Y995,{0;11;80;111;161;191;241;281;341},1),"North","NorthEast","East","SouthEast","South","SouthWest","West","NorthWest","North")</f>
        <v>NorthWest</v>
      </c>
      <c r="AA995" s="4">
        <f>CHOOSE(MATCH(Z995,{"South";"SouthEast";"SouthWest";"North";"NorthEast";"East";"West";"NorthWest"},0),1,2,3,4,5,6,7,8)</f>
        <v>8</v>
      </c>
      <c r="AB995" s="2">
        <f t="shared" si="156"/>
        <v>1</v>
      </c>
      <c r="AC995">
        <v>1018.2</v>
      </c>
      <c r="AD995" t="s">
        <v>465</v>
      </c>
      <c r="AE995" s="2">
        <f t="shared" si="157"/>
        <v>1</v>
      </c>
      <c r="AF995" t="s">
        <v>1498</v>
      </c>
      <c r="AG995" s="2">
        <f t="shared" si="158"/>
        <v>10</v>
      </c>
      <c r="AH995" s="2">
        <f t="shared" si="159"/>
        <v>0</v>
      </c>
      <c r="AI995" s="3">
        <v>79.999999998835847</v>
      </c>
      <c r="AJ995" s="2">
        <v>0</v>
      </c>
      <c r="AK995">
        <v>0</v>
      </c>
      <c r="AL995">
        <v>5</v>
      </c>
      <c r="AM995">
        <v>0</v>
      </c>
      <c r="AN995" s="2">
        <f>IF((2*G995+M995-O995+3*V995+2*AB995+2*AE995+2*AH995+3*AJ995)&gt;=7,1,0)</f>
        <v>0</v>
      </c>
    </row>
    <row r="996" spans="1:40" x14ac:dyDescent="0.25">
      <c r="A996" t="s">
        <v>27</v>
      </c>
      <c r="B996" s="1">
        <v>40107</v>
      </c>
      <c r="C996" s="6">
        <f t="shared" si="150"/>
        <v>2009</v>
      </c>
      <c r="D996">
        <v>71.7</v>
      </c>
      <c r="E996">
        <v>62.7</v>
      </c>
      <c r="F996">
        <v>68.2</v>
      </c>
      <c r="G996" s="2">
        <f t="shared" si="151"/>
        <v>0</v>
      </c>
      <c r="H996">
        <v>71.7</v>
      </c>
      <c r="I996">
        <v>62.7</v>
      </c>
      <c r="J996">
        <v>68.2</v>
      </c>
      <c r="K996">
        <v>52.9</v>
      </c>
      <c r="L996">
        <v>58.6</v>
      </c>
      <c r="M996" s="2">
        <f t="shared" si="152"/>
        <v>1</v>
      </c>
      <c r="N996">
        <v>0</v>
      </c>
      <c r="O996" s="2">
        <f t="shared" si="153"/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 s="2">
        <f t="shared" si="154"/>
        <v>0</v>
      </c>
      <c r="W996">
        <v>18.3</v>
      </c>
      <c r="X996" s="2">
        <f t="shared" si="155"/>
        <v>1</v>
      </c>
      <c r="Y996">
        <v>296</v>
      </c>
      <c r="Z996" s="2" t="str">
        <f>CHOOSE(MATCH(Y996,{0;11;80;111;161;191;241;281;341},1),"North","NorthEast","East","SouthEast","South","SouthWest","West","NorthWest","North")</f>
        <v>NorthWest</v>
      </c>
      <c r="AA996" s="4">
        <f>CHOOSE(MATCH(Z996,{"South";"SouthEast";"SouthWest";"North";"NorthEast";"East";"West";"NorthWest"},0),1,2,3,4,5,6,7,8)</f>
        <v>8</v>
      </c>
      <c r="AB996" s="2">
        <f t="shared" si="156"/>
        <v>1</v>
      </c>
      <c r="AC996">
        <v>1018.2</v>
      </c>
      <c r="AD996" t="s">
        <v>699</v>
      </c>
      <c r="AE996" s="2">
        <f t="shared" si="157"/>
        <v>1</v>
      </c>
      <c r="AF996" t="s">
        <v>1499</v>
      </c>
      <c r="AG996" s="2">
        <f t="shared" si="158"/>
        <v>10</v>
      </c>
      <c r="AH996" s="2">
        <f t="shared" si="159"/>
        <v>0</v>
      </c>
      <c r="AI996" s="3">
        <v>139.99999999534339</v>
      </c>
      <c r="AJ996" s="2">
        <v>0</v>
      </c>
      <c r="AK996">
        <v>0</v>
      </c>
      <c r="AL996">
        <v>3</v>
      </c>
      <c r="AM996">
        <v>0</v>
      </c>
      <c r="AN996" s="2">
        <f>IF((2*G996+M996-O996+3*V996+2*AB996+2*AE996+2*AH996+3*AJ996)&gt;=7,1,0)</f>
        <v>0</v>
      </c>
    </row>
    <row r="997" spans="1:40" x14ac:dyDescent="0.25">
      <c r="A997" t="s">
        <v>27</v>
      </c>
      <c r="B997" s="1">
        <v>40108</v>
      </c>
      <c r="C997" s="6">
        <f t="shared" si="150"/>
        <v>2009</v>
      </c>
      <c r="D997">
        <v>73.5</v>
      </c>
      <c r="E997">
        <v>55.5</v>
      </c>
      <c r="F997">
        <v>64.8</v>
      </c>
      <c r="G997" s="2">
        <f t="shared" si="151"/>
        <v>0</v>
      </c>
      <c r="H997">
        <v>73.5</v>
      </c>
      <c r="I997">
        <v>55.5</v>
      </c>
      <c r="J997">
        <v>64.8</v>
      </c>
      <c r="K997">
        <v>51.7</v>
      </c>
      <c r="L997">
        <v>63.5</v>
      </c>
      <c r="M997" s="2">
        <f t="shared" si="152"/>
        <v>1</v>
      </c>
      <c r="N997">
        <v>0</v>
      </c>
      <c r="O997" s="2">
        <f t="shared" si="153"/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 s="2">
        <f t="shared" si="154"/>
        <v>0</v>
      </c>
      <c r="W997">
        <v>9.1999999999999993</v>
      </c>
      <c r="X997" s="2">
        <f t="shared" si="155"/>
        <v>0</v>
      </c>
      <c r="Y997">
        <v>291.39999999999998</v>
      </c>
      <c r="Z997" s="2" t="str">
        <f>CHOOSE(MATCH(Y997,{0;11;80;111;161;191;241;281;341},1),"North","NorthEast","East","SouthEast","South","SouthWest","West","NorthWest","North")</f>
        <v>NorthWest</v>
      </c>
      <c r="AA997" s="4">
        <f>CHOOSE(MATCH(Z997,{"South";"SouthEast";"SouthWest";"North";"NorthEast";"East";"West";"NorthWest"},0),1,2,3,4,5,6,7,8)</f>
        <v>8</v>
      </c>
      <c r="AB997" s="2">
        <f t="shared" si="156"/>
        <v>1</v>
      </c>
      <c r="AC997">
        <v>1019</v>
      </c>
      <c r="AD997" t="s">
        <v>954</v>
      </c>
      <c r="AE997" s="2">
        <f t="shared" si="157"/>
        <v>0</v>
      </c>
      <c r="AF997" t="s">
        <v>1500</v>
      </c>
      <c r="AG997" s="2">
        <f t="shared" si="158"/>
        <v>10</v>
      </c>
      <c r="AH997" s="2">
        <f t="shared" si="159"/>
        <v>0</v>
      </c>
      <c r="AI997" s="3">
        <v>1480.0000000046571</v>
      </c>
      <c r="AJ997" s="2">
        <v>1</v>
      </c>
      <c r="AK997">
        <v>0</v>
      </c>
      <c r="AL997">
        <v>300</v>
      </c>
      <c r="AM997">
        <v>0</v>
      </c>
      <c r="AN997" s="2">
        <f>IF((2*G997+M997-O997+3*V997+2*AB997+2*AE997+2*AH997+3*AJ997)&gt;=7,1,0)</f>
        <v>0</v>
      </c>
    </row>
    <row r="998" spans="1:40" x14ac:dyDescent="0.25">
      <c r="A998" t="s">
        <v>27</v>
      </c>
      <c r="B998" s="1">
        <v>40109</v>
      </c>
      <c r="C998" s="6">
        <f t="shared" si="150"/>
        <v>2009</v>
      </c>
      <c r="D998">
        <v>73.5</v>
      </c>
      <c r="E998">
        <v>57.3</v>
      </c>
      <c r="F998">
        <v>65.7</v>
      </c>
      <c r="G998" s="2">
        <f t="shared" si="151"/>
        <v>0</v>
      </c>
      <c r="H998">
        <v>73.5</v>
      </c>
      <c r="I998">
        <v>57.3</v>
      </c>
      <c r="J998">
        <v>65.7</v>
      </c>
      <c r="K998">
        <v>54.2</v>
      </c>
      <c r="L998">
        <v>67</v>
      </c>
      <c r="M998" s="2">
        <f t="shared" si="152"/>
        <v>0</v>
      </c>
      <c r="N998">
        <v>0</v>
      </c>
      <c r="O998" s="2">
        <f t="shared" si="153"/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 s="2">
        <f t="shared" si="154"/>
        <v>0</v>
      </c>
      <c r="W998">
        <v>19.5</v>
      </c>
      <c r="X998" s="2">
        <f t="shared" si="155"/>
        <v>1</v>
      </c>
      <c r="Y998">
        <v>152.5</v>
      </c>
      <c r="Z998" s="2" t="str">
        <f>CHOOSE(MATCH(Y998,{0;11;80;111;161;191;241;281;341},1),"North","NorthEast","East","SouthEast","South","SouthWest","West","NorthWest","North")</f>
        <v>SouthEast</v>
      </c>
      <c r="AA998" s="4">
        <f>CHOOSE(MATCH(Z998,{"South";"SouthEast";"SouthWest";"North";"NorthEast";"East";"West";"NorthWest"},0),1,2,3,4,5,6,7,8)</f>
        <v>2</v>
      </c>
      <c r="AB998" s="2">
        <f t="shared" si="156"/>
        <v>0</v>
      </c>
      <c r="AC998">
        <v>1015.3</v>
      </c>
      <c r="AD998" t="s">
        <v>400</v>
      </c>
      <c r="AE998" s="2">
        <f t="shared" si="157"/>
        <v>1</v>
      </c>
      <c r="AF998" t="s">
        <v>1501</v>
      </c>
      <c r="AG998" s="2">
        <f t="shared" si="158"/>
        <v>10</v>
      </c>
      <c r="AH998" s="2">
        <f t="shared" si="159"/>
        <v>0</v>
      </c>
      <c r="AI998" s="3">
        <v>155.00000000232831</v>
      </c>
      <c r="AJ998" s="2">
        <v>0</v>
      </c>
      <c r="AK998">
        <v>0</v>
      </c>
      <c r="AL998">
        <v>20</v>
      </c>
      <c r="AM998">
        <v>0</v>
      </c>
      <c r="AN998" s="2">
        <f>IF((2*G998+M998-O998+3*V998+2*AB998+2*AE998+2*AH998+3*AJ998)&gt;=7,1,0)</f>
        <v>0</v>
      </c>
    </row>
    <row r="999" spans="1:40" x14ac:dyDescent="0.25">
      <c r="A999" t="s">
        <v>27</v>
      </c>
      <c r="B999" s="1">
        <v>40134</v>
      </c>
      <c r="C999" s="6">
        <f t="shared" si="150"/>
        <v>2009</v>
      </c>
      <c r="D999">
        <v>68.099999999999994</v>
      </c>
      <c r="E999">
        <v>55.5</v>
      </c>
      <c r="F999">
        <v>60.9</v>
      </c>
      <c r="G999" s="2">
        <f t="shared" si="151"/>
        <v>0</v>
      </c>
      <c r="H999">
        <v>68.099999999999994</v>
      </c>
      <c r="I999">
        <v>55.5</v>
      </c>
      <c r="J999">
        <v>60.9</v>
      </c>
      <c r="K999">
        <v>55.6</v>
      </c>
      <c r="L999">
        <v>83</v>
      </c>
      <c r="M999" s="2">
        <f t="shared" si="152"/>
        <v>0</v>
      </c>
      <c r="N999">
        <v>0</v>
      </c>
      <c r="O999" s="2">
        <f t="shared" si="153"/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 s="2">
        <f t="shared" si="154"/>
        <v>0</v>
      </c>
      <c r="W999">
        <v>7</v>
      </c>
      <c r="X999" s="2">
        <f t="shared" si="155"/>
        <v>0</v>
      </c>
      <c r="Y999">
        <v>184.4</v>
      </c>
      <c r="Z999" s="2" t="str">
        <f>CHOOSE(MATCH(Y999,{0;11;80;111;161;191;241;281;341},1),"North","NorthEast","East","SouthEast","South","SouthWest","West","NorthWest","North")</f>
        <v>South</v>
      </c>
      <c r="AA999" s="4">
        <f>CHOOSE(MATCH(Z999,{"South";"SouthEast";"SouthWest";"North";"NorthEast";"East";"West";"NorthWest"},0),1,2,3,4,5,6,7,8)</f>
        <v>1</v>
      </c>
      <c r="AB999" s="2">
        <f t="shared" si="156"/>
        <v>0</v>
      </c>
      <c r="AC999">
        <v>1019.9</v>
      </c>
      <c r="AD999" t="s">
        <v>1328</v>
      </c>
      <c r="AE999" s="2">
        <f t="shared" si="157"/>
        <v>0</v>
      </c>
      <c r="AF999" t="s">
        <v>1502</v>
      </c>
      <c r="AG999" s="2">
        <f t="shared" si="158"/>
        <v>11</v>
      </c>
      <c r="AH999" s="2">
        <f t="shared" si="159"/>
        <v>0</v>
      </c>
      <c r="AI999" s="3">
        <v>59.99999999650754</v>
      </c>
      <c r="AJ999" s="2">
        <v>0</v>
      </c>
      <c r="AK999">
        <v>0</v>
      </c>
      <c r="AL999">
        <v>1</v>
      </c>
      <c r="AM999">
        <v>0</v>
      </c>
      <c r="AN999" s="2">
        <f>IF((2*G999+M999-O999+3*V999+2*AB999+2*AE999+2*AH999+3*AJ999)&gt;=7,1,0)</f>
        <v>0</v>
      </c>
    </row>
    <row r="1000" spans="1:40" x14ac:dyDescent="0.25">
      <c r="A1000" t="s">
        <v>27</v>
      </c>
      <c r="B1000" s="1">
        <v>40135</v>
      </c>
      <c r="C1000" s="6">
        <f t="shared" si="150"/>
        <v>2009</v>
      </c>
      <c r="D1000">
        <v>68.099999999999994</v>
      </c>
      <c r="E1000">
        <v>55.5</v>
      </c>
      <c r="F1000">
        <v>61.5</v>
      </c>
      <c r="G1000" s="2">
        <f t="shared" si="151"/>
        <v>0</v>
      </c>
      <c r="H1000">
        <v>68.099999999999994</v>
      </c>
      <c r="I1000">
        <v>55.5</v>
      </c>
      <c r="J1000">
        <v>61.5</v>
      </c>
      <c r="K1000">
        <v>56.6</v>
      </c>
      <c r="L1000">
        <v>84.4</v>
      </c>
      <c r="M1000" s="2">
        <f t="shared" si="152"/>
        <v>0</v>
      </c>
      <c r="N1000">
        <v>0</v>
      </c>
      <c r="O1000" s="2">
        <f t="shared" si="153"/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 s="2">
        <f t="shared" si="154"/>
        <v>0</v>
      </c>
      <c r="W1000">
        <v>13.9</v>
      </c>
      <c r="X1000" s="2">
        <f t="shared" si="155"/>
        <v>0</v>
      </c>
      <c r="Y1000">
        <v>300.5</v>
      </c>
      <c r="Z1000" s="2" t="str">
        <f>CHOOSE(MATCH(Y1000,{0;11;80;111;161;191;241;281;341},1),"North","NorthEast","East","SouthEast","South","SouthWest","West","NorthWest","North")</f>
        <v>NorthWest</v>
      </c>
      <c r="AA1000" s="4">
        <f>CHOOSE(MATCH(Z1000,{"South";"SouthEast";"SouthWest";"North";"NorthEast";"East";"West";"NorthWest"},0),1,2,3,4,5,6,7,8)</f>
        <v>8</v>
      </c>
      <c r="AB1000" s="2">
        <f t="shared" si="156"/>
        <v>1</v>
      </c>
      <c r="AC1000">
        <v>1021.8</v>
      </c>
      <c r="AD1000" t="s">
        <v>1503</v>
      </c>
      <c r="AE1000" s="2">
        <f t="shared" si="157"/>
        <v>0</v>
      </c>
      <c r="AF1000" t="s">
        <v>1504</v>
      </c>
      <c r="AG1000" s="2">
        <f t="shared" si="158"/>
        <v>11</v>
      </c>
      <c r="AH1000" s="2">
        <f t="shared" si="159"/>
        <v>0</v>
      </c>
      <c r="AI1000" s="3">
        <v>720</v>
      </c>
      <c r="AJ1000" s="2">
        <v>1</v>
      </c>
      <c r="AK1000">
        <v>0</v>
      </c>
      <c r="AL1000">
        <v>20</v>
      </c>
      <c r="AM1000">
        <v>0</v>
      </c>
      <c r="AN1000" s="2">
        <f>IF((2*G1000+M1000-O1000+3*V1000+2*AB1000+2*AE1000+2*AH1000+3*AJ1000)&gt;=7,1,0)</f>
        <v>0</v>
      </c>
    </row>
    <row r="1001" spans="1:40" x14ac:dyDescent="0.25">
      <c r="A1001" t="s">
        <v>27</v>
      </c>
      <c r="B1001" s="1">
        <v>40138</v>
      </c>
      <c r="C1001" s="6">
        <f t="shared" si="150"/>
        <v>2009</v>
      </c>
      <c r="D1001">
        <v>68.099999999999994</v>
      </c>
      <c r="E1001">
        <v>55.5</v>
      </c>
      <c r="F1001">
        <v>61.3</v>
      </c>
      <c r="G1001" s="2">
        <f t="shared" si="151"/>
        <v>0</v>
      </c>
      <c r="H1001">
        <v>68.099999999999994</v>
      </c>
      <c r="I1001">
        <v>55.5</v>
      </c>
      <c r="J1001">
        <v>61.3</v>
      </c>
      <c r="K1001">
        <v>56.5</v>
      </c>
      <c r="L1001">
        <v>84.8</v>
      </c>
      <c r="M1001" s="2">
        <f t="shared" si="152"/>
        <v>0</v>
      </c>
      <c r="N1001">
        <v>0</v>
      </c>
      <c r="O1001" s="2">
        <f t="shared" si="153"/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 s="2">
        <f t="shared" si="154"/>
        <v>0</v>
      </c>
      <c r="W1001">
        <v>16.100000000000001</v>
      </c>
      <c r="X1001" s="2">
        <f t="shared" si="155"/>
        <v>1</v>
      </c>
      <c r="Y1001">
        <v>288.3</v>
      </c>
      <c r="Z1001" s="2" t="str">
        <f>CHOOSE(MATCH(Y1001,{0;11;80;111;161;191;241;281;341},1),"North","NorthEast","East","SouthEast","South","SouthWest","West","NorthWest","North")</f>
        <v>NorthWest</v>
      </c>
      <c r="AA1001" s="4">
        <f>CHOOSE(MATCH(Z1001,{"South";"SouthEast";"SouthWest";"North";"NorthEast";"East";"West";"NorthWest"},0),1,2,3,4,5,6,7,8)</f>
        <v>8</v>
      </c>
      <c r="AB1001" s="2">
        <f t="shared" si="156"/>
        <v>1</v>
      </c>
      <c r="AC1001">
        <v>1026.4000000000001</v>
      </c>
      <c r="AD1001" t="s">
        <v>251</v>
      </c>
      <c r="AE1001" s="2">
        <f t="shared" si="157"/>
        <v>1</v>
      </c>
      <c r="AF1001" t="s">
        <v>1505</v>
      </c>
      <c r="AG1001" s="2">
        <f t="shared" si="158"/>
        <v>11</v>
      </c>
      <c r="AH1001" s="2">
        <f t="shared" si="159"/>
        <v>0</v>
      </c>
      <c r="AI1001" s="3">
        <v>100.0000000011642</v>
      </c>
      <c r="AJ1001" s="2">
        <v>0</v>
      </c>
      <c r="AK1001">
        <v>0</v>
      </c>
      <c r="AL1001">
        <v>0.1</v>
      </c>
      <c r="AM1001">
        <v>0</v>
      </c>
      <c r="AN1001" s="2">
        <f>IF((2*G1001+M1001-O1001+3*V1001+2*AB1001+2*AE1001+2*AH1001+3*AJ1001)&gt;=7,1,0)</f>
        <v>0</v>
      </c>
    </row>
    <row r="1002" spans="1:40" x14ac:dyDescent="0.25">
      <c r="A1002" t="s">
        <v>27</v>
      </c>
      <c r="B1002" s="1">
        <v>40143</v>
      </c>
      <c r="C1002" s="6">
        <f t="shared" si="150"/>
        <v>2009</v>
      </c>
      <c r="D1002">
        <v>66.3</v>
      </c>
      <c r="E1002">
        <v>55.5</v>
      </c>
      <c r="F1002">
        <v>61.4</v>
      </c>
      <c r="G1002" s="2">
        <f t="shared" si="151"/>
        <v>0</v>
      </c>
      <c r="H1002">
        <v>66.3</v>
      </c>
      <c r="I1002">
        <v>55.5</v>
      </c>
      <c r="J1002">
        <v>61.4</v>
      </c>
      <c r="K1002">
        <v>55</v>
      </c>
      <c r="L1002">
        <v>79.7</v>
      </c>
      <c r="M1002" s="2">
        <f t="shared" si="152"/>
        <v>0</v>
      </c>
      <c r="N1002">
        <v>0</v>
      </c>
      <c r="O1002" s="2">
        <f t="shared" si="153"/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 s="2">
        <f t="shared" si="154"/>
        <v>0</v>
      </c>
      <c r="W1002">
        <v>10.3</v>
      </c>
      <c r="X1002" s="2">
        <f t="shared" si="155"/>
        <v>0</v>
      </c>
      <c r="Y1002">
        <v>337.8</v>
      </c>
      <c r="Z1002" s="2" t="str">
        <f>CHOOSE(MATCH(Y1002,{0;11;80;111;161;191;241;281;341},1),"North","NorthEast","East","SouthEast","South","SouthWest","West","NorthWest","North")</f>
        <v>NorthWest</v>
      </c>
      <c r="AA1002" s="4">
        <f>CHOOSE(MATCH(Z1002,{"South";"SouthEast";"SouthWest";"North";"NorthEast";"East";"West";"NorthWest"},0),1,2,3,4,5,6,7,8)</f>
        <v>8</v>
      </c>
      <c r="AB1002" s="2">
        <f t="shared" si="156"/>
        <v>1</v>
      </c>
      <c r="AC1002">
        <v>1020.4</v>
      </c>
      <c r="AD1002" t="s">
        <v>235</v>
      </c>
      <c r="AE1002" s="2">
        <f t="shared" si="157"/>
        <v>1</v>
      </c>
      <c r="AF1002" t="s">
        <v>1506</v>
      </c>
      <c r="AG1002" s="2">
        <f t="shared" si="158"/>
        <v>11</v>
      </c>
      <c r="AH1002" s="2">
        <f t="shared" si="159"/>
        <v>0</v>
      </c>
      <c r="AI1002" s="3">
        <v>1509.9999999976719</v>
      </c>
      <c r="AJ1002" s="2">
        <v>1</v>
      </c>
      <c r="AK1002">
        <v>0</v>
      </c>
      <c r="AL1002">
        <v>29</v>
      </c>
      <c r="AM1002">
        <v>0</v>
      </c>
      <c r="AN1002" s="2">
        <f>IF((2*G1002+M1002-O1002+3*V1002+2*AB1002+2*AE1002+2*AH1002+3*AJ1002)&gt;=7,1,0)</f>
        <v>0</v>
      </c>
    </row>
    <row r="1003" spans="1:40" x14ac:dyDescent="0.25">
      <c r="A1003" t="s">
        <v>27</v>
      </c>
      <c r="B1003" s="1">
        <v>40144</v>
      </c>
      <c r="C1003" s="6">
        <f t="shared" si="150"/>
        <v>2009</v>
      </c>
      <c r="D1003">
        <v>66.3</v>
      </c>
      <c r="E1003">
        <v>51.9</v>
      </c>
      <c r="F1003">
        <v>58.6</v>
      </c>
      <c r="G1003" s="2">
        <f t="shared" si="151"/>
        <v>0</v>
      </c>
      <c r="H1003">
        <v>66.3</v>
      </c>
      <c r="I1003">
        <v>51.9</v>
      </c>
      <c r="J1003">
        <v>58.6</v>
      </c>
      <c r="K1003">
        <v>52.4</v>
      </c>
      <c r="L1003">
        <v>80.599999999999994</v>
      </c>
      <c r="M1003" s="2">
        <f t="shared" si="152"/>
        <v>0</v>
      </c>
      <c r="N1003">
        <v>0</v>
      </c>
      <c r="O1003" s="2">
        <f t="shared" si="153"/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 s="2">
        <f t="shared" si="154"/>
        <v>0</v>
      </c>
      <c r="W1003">
        <v>12.8</v>
      </c>
      <c r="X1003" s="2">
        <f t="shared" si="155"/>
        <v>0</v>
      </c>
      <c r="Y1003">
        <v>195.8</v>
      </c>
      <c r="Z1003" s="2" t="str">
        <f>CHOOSE(MATCH(Y1003,{0;11;80;111;161;191;241;281;341},1),"North","NorthEast","East","SouthEast","South","SouthWest","West","NorthWest","North")</f>
        <v>SouthWest</v>
      </c>
      <c r="AA1003" s="4">
        <f>CHOOSE(MATCH(Z1003,{"South";"SouthEast";"SouthWest";"North";"NorthEast";"East";"West";"NorthWest"},0),1,2,3,4,5,6,7,8)</f>
        <v>3</v>
      </c>
      <c r="AB1003" s="2">
        <f t="shared" si="156"/>
        <v>0</v>
      </c>
      <c r="AC1003">
        <v>1020.9</v>
      </c>
      <c r="AD1003" t="s">
        <v>625</v>
      </c>
      <c r="AE1003" s="2">
        <f t="shared" si="157"/>
        <v>1</v>
      </c>
      <c r="AF1003" t="s">
        <v>1507</v>
      </c>
      <c r="AG1003" s="2">
        <f t="shared" si="158"/>
        <v>11</v>
      </c>
      <c r="AH1003" s="2">
        <f t="shared" si="159"/>
        <v>0</v>
      </c>
      <c r="AI1003" s="3">
        <v>385.00000000814907</v>
      </c>
      <c r="AJ1003" s="2">
        <v>1</v>
      </c>
      <c r="AK1003">
        <v>0</v>
      </c>
      <c r="AL1003">
        <v>2.5</v>
      </c>
      <c r="AM1003">
        <v>0</v>
      </c>
      <c r="AN1003" s="2">
        <f>IF((2*G1003+M1003-O1003+3*V1003+2*AB1003+2*AE1003+2*AH1003+3*AJ1003)&gt;=7,1,0)</f>
        <v>0</v>
      </c>
    </row>
    <row r="1004" spans="1:40" x14ac:dyDescent="0.25">
      <c r="A1004" t="s">
        <v>27</v>
      </c>
      <c r="B1004" s="1">
        <v>40167</v>
      </c>
      <c r="C1004" s="6">
        <f t="shared" si="150"/>
        <v>2009</v>
      </c>
      <c r="D1004">
        <v>71.7</v>
      </c>
      <c r="E1004">
        <v>62.7</v>
      </c>
      <c r="F1004">
        <v>67.099999999999994</v>
      </c>
      <c r="G1004" s="2">
        <f t="shared" si="151"/>
        <v>0</v>
      </c>
      <c r="H1004">
        <v>71.7</v>
      </c>
      <c r="I1004">
        <v>62.7</v>
      </c>
      <c r="J1004">
        <v>67.099999999999994</v>
      </c>
      <c r="K1004">
        <v>51.6</v>
      </c>
      <c r="L1004">
        <v>57.8</v>
      </c>
      <c r="M1004" s="2">
        <f t="shared" si="152"/>
        <v>1</v>
      </c>
      <c r="N1004">
        <v>0</v>
      </c>
      <c r="O1004" s="2">
        <f t="shared" si="153"/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 s="2">
        <f t="shared" si="154"/>
        <v>0</v>
      </c>
      <c r="W1004">
        <v>27.5</v>
      </c>
      <c r="X1004" s="2">
        <f t="shared" si="155"/>
        <v>1</v>
      </c>
      <c r="Y1004">
        <v>174.5</v>
      </c>
      <c r="Z1004" s="2" t="str">
        <f>CHOOSE(MATCH(Y1004,{0;11;80;111;161;191;241;281;341},1),"North","NorthEast","East","SouthEast","South","SouthWest","West","NorthWest","North")</f>
        <v>South</v>
      </c>
      <c r="AA1004" s="4">
        <f>CHOOSE(MATCH(Z1004,{"South";"SouthEast";"SouthWest";"North";"NorthEast";"East";"West";"NorthWest"},0),1,2,3,4,5,6,7,8)</f>
        <v>1</v>
      </c>
      <c r="AB1004" s="2">
        <f t="shared" si="156"/>
        <v>0</v>
      </c>
      <c r="AC1004">
        <v>1004.1</v>
      </c>
      <c r="AD1004" t="s">
        <v>1508</v>
      </c>
      <c r="AE1004" s="2">
        <f t="shared" si="157"/>
        <v>1</v>
      </c>
      <c r="AF1004" t="s">
        <v>1509</v>
      </c>
      <c r="AG1004" s="2">
        <f t="shared" si="158"/>
        <v>12</v>
      </c>
      <c r="AH1004" s="2">
        <f t="shared" si="159"/>
        <v>0</v>
      </c>
      <c r="AI1004" s="3">
        <v>242.0000000030268</v>
      </c>
      <c r="AJ1004" s="2">
        <v>0</v>
      </c>
      <c r="AK1004">
        <v>0</v>
      </c>
      <c r="AL1004">
        <v>2</v>
      </c>
      <c r="AM1004">
        <v>0</v>
      </c>
      <c r="AN1004" s="2">
        <f>IF((2*G1004+M1004-O1004+3*V1004+2*AB1004+2*AE1004+2*AH1004+3*AJ1004)&gt;=7,1,0)</f>
        <v>0</v>
      </c>
    </row>
    <row r="1005" spans="1:40" x14ac:dyDescent="0.25">
      <c r="A1005" t="s">
        <v>27</v>
      </c>
      <c r="B1005" s="1">
        <v>40170</v>
      </c>
      <c r="C1005" s="6">
        <f t="shared" si="150"/>
        <v>2009</v>
      </c>
      <c r="D1005">
        <v>66.3</v>
      </c>
      <c r="E1005">
        <v>46.5</v>
      </c>
      <c r="F1005">
        <v>57.1</v>
      </c>
      <c r="G1005" s="2">
        <f t="shared" si="151"/>
        <v>0</v>
      </c>
      <c r="H1005">
        <v>66.3</v>
      </c>
      <c r="I1005">
        <v>43</v>
      </c>
      <c r="J1005">
        <v>56.9</v>
      </c>
      <c r="K1005">
        <v>50</v>
      </c>
      <c r="L1005">
        <v>77.599999999999994</v>
      </c>
      <c r="M1005" s="2">
        <f t="shared" si="152"/>
        <v>0</v>
      </c>
      <c r="N1005">
        <v>0</v>
      </c>
      <c r="O1005" s="2">
        <f t="shared" si="153"/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 s="2">
        <f t="shared" si="154"/>
        <v>0</v>
      </c>
      <c r="W1005">
        <v>11.4</v>
      </c>
      <c r="X1005" s="2">
        <f t="shared" si="155"/>
        <v>0</v>
      </c>
      <c r="Y1005">
        <v>177.3</v>
      </c>
      <c r="Z1005" s="2" t="str">
        <f>CHOOSE(MATCH(Y1005,{0;11;80;111;161;191;241;281;341},1),"North","NorthEast","East","SouthEast","South","SouthWest","West","NorthWest","North")</f>
        <v>South</v>
      </c>
      <c r="AA1005" s="4">
        <f>CHOOSE(MATCH(Z1005,{"South";"SouthEast";"SouthWest";"North";"NorthEast";"East";"West";"NorthWest"},0),1,2,3,4,5,6,7,8)</f>
        <v>1</v>
      </c>
      <c r="AB1005" s="2">
        <f t="shared" si="156"/>
        <v>0</v>
      </c>
      <c r="AC1005">
        <v>1020.9</v>
      </c>
      <c r="AD1005" t="s">
        <v>745</v>
      </c>
      <c r="AE1005" s="2">
        <f t="shared" si="157"/>
        <v>1</v>
      </c>
      <c r="AF1005" t="s">
        <v>1510</v>
      </c>
      <c r="AG1005" s="2">
        <f t="shared" si="158"/>
        <v>12</v>
      </c>
      <c r="AH1005" s="2">
        <f t="shared" si="159"/>
        <v>0</v>
      </c>
      <c r="AI1005" s="3">
        <v>360</v>
      </c>
      <c r="AJ1005" s="2">
        <v>0</v>
      </c>
      <c r="AK1005">
        <v>0</v>
      </c>
      <c r="AL1005">
        <v>10</v>
      </c>
      <c r="AM1005">
        <v>0</v>
      </c>
      <c r="AN1005" s="2">
        <f>IF((2*G1005+M1005-O1005+3*V1005+2*AB1005+2*AE1005+2*AH1005+3*AJ1005)&gt;=7,1,0)</f>
        <v>0</v>
      </c>
    </row>
    <row r="1006" spans="1:40" x14ac:dyDescent="0.25">
      <c r="A1006" t="s">
        <v>27</v>
      </c>
      <c r="B1006" s="1">
        <v>40171</v>
      </c>
      <c r="C1006" s="6">
        <f t="shared" si="150"/>
        <v>2009</v>
      </c>
      <c r="D1006">
        <v>68.099999999999994</v>
      </c>
      <c r="E1006">
        <v>55.5</v>
      </c>
      <c r="F1006">
        <v>60.1</v>
      </c>
      <c r="G1006" s="2">
        <f t="shared" si="151"/>
        <v>0</v>
      </c>
      <c r="H1006">
        <v>68.099999999999994</v>
      </c>
      <c r="I1006">
        <v>55.5</v>
      </c>
      <c r="J1006">
        <v>60.1</v>
      </c>
      <c r="K1006">
        <v>52</v>
      </c>
      <c r="L1006">
        <v>75</v>
      </c>
      <c r="M1006" s="2">
        <f t="shared" si="152"/>
        <v>0</v>
      </c>
      <c r="N1006">
        <v>0</v>
      </c>
      <c r="O1006" s="2">
        <f t="shared" si="153"/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 s="2">
        <f t="shared" si="154"/>
        <v>0</v>
      </c>
      <c r="W1006">
        <v>18.3</v>
      </c>
      <c r="X1006" s="2">
        <f t="shared" si="155"/>
        <v>1</v>
      </c>
      <c r="Y1006">
        <v>179.7</v>
      </c>
      <c r="Z1006" s="2" t="str">
        <f>CHOOSE(MATCH(Y1006,{0;11;80;111;161;191;241;281;341},1),"North","NorthEast","East","SouthEast","South","SouthWest","West","NorthWest","North")</f>
        <v>South</v>
      </c>
      <c r="AA1006" s="4">
        <f>CHOOSE(MATCH(Z1006,{"South";"SouthEast";"SouthWest";"North";"NorthEast";"East";"West";"NorthWest"},0),1,2,3,4,5,6,7,8)</f>
        <v>1</v>
      </c>
      <c r="AB1006" s="2">
        <f t="shared" si="156"/>
        <v>0</v>
      </c>
      <c r="AC1006">
        <v>1020</v>
      </c>
      <c r="AD1006" t="s">
        <v>1511</v>
      </c>
      <c r="AE1006" s="2">
        <f t="shared" si="157"/>
        <v>1</v>
      </c>
      <c r="AF1006" t="s">
        <v>1512</v>
      </c>
      <c r="AG1006" s="2">
        <f t="shared" si="158"/>
        <v>12</v>
      </c>
      <c r="AH1006" s="2">
        <f t="shared" si="159"/>
        <v>0</v>
      </c>
      <c r="AI1006" s="3">
        <v>120.9999999962747</v>
      </c>
      <c r="AJ1006" s="2">
        <v>0</v>
      </c>
      <c r="AK1006">
        <v>0</v>
      </c>
      <c r="AL1006">
        <v>1</v>
      </c>
      <c r="AM1006">
        <v>0</v>
      </c>
      <c r="AN1006" s="2">
        <f>IF((2*G1006+M1006-O1006+3*V1006+2*AB1006+2*AE1006+2*AH1006+3*AJ1006)&gt;=7,1,0)</f>
        <v>0</v>
      </c>
    </row>
    <row r="1007" spans="1:40" x14ac:dyDescent="0.25">
      <c r="A1007" t="s">
        <v>27</v>
      </c>
      <c r="B1007" s="1">
        <v>40179</v>
      </c>
      <c r="C1007" s="6">
        <f t="shared" si="150"/>
        <v>2010</v>
      </c>
      <c r="D1007">
        <v>82.4</v>
      </c>
      <c r="E1007">
        <v>62.6</v>
      </c>
      <c r="F1007">
        <v>71.8</v>
      </c>
      <c r="G1007" s="2">
        <f t="shared" si="151"/>
        <v>1</v>
      </c>
      <c r="H1007">
        <v>80.8</v>
      </c>
      <c r="I1007">
        <v>62.6</v>
      </c>
      <c r="J1007">
        <v>71.7</v>
      </c>
      <c r="K1007">
        <v>43.9</v>
      </c>
      <c r="L1007">
        <v>39</v>
      </c>
      <c r="M1007" s="2">
        <f t="shared" si="152"/>
        <v>1</v>
      </c>
      <c r="N1007">
        <v>0</v>
      </c>
      <c r="O1007" s="2">
        <f t="shared" si="153"/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25.3</v>
      </c>
      <c r="V1007" s="2">
        <f t="shared" si="154"/>
        <v>1</v>
      </c>
      <c r="W1007">
        <v>27.5</v>
      </c>
      <c r="X1007" s="2">
        <f t="shared" si="155"/>
        <v>1</v>
      </c>
      <c r="Y1007">
        <v>182.9</v>
      </c>
      <c r="Z1007" s="2" t="str">
        <f>CHOOSE(MATCH(Y1007,{0;11;80;111;161;191;241;281;341},1),"North","NorthEast","East","SouthEast","South","SouthWest","West","NorthWest","North")</f>
        <v>South</v>
      </c>
      <c r="AA1007" s="4">
        <f>CHOOSE(MATCH(Z1007,{"South";"SouthEast";"SouthWest";"North";"NorthEast";"East";"West";"NorthWest"},0),1,2,3,4,5,6,7,8)</f>
        <v>1</v>
      </c>
      <c r="AB1007" s="2">
        <f t="shared" si="156"/>
        <v>0</v>
      </c>
      <c r="AC1007">
        <v>1007.6</v>
      </c>
      <c r="AD1007" t="s">
        <v>76</v>
      </c>
      <c r="AE1007" s="2">
        <f t="shared" si="157"/>
        <v>1</v>
      </c>
      <c r="AF1007" t="s">
        <v>1513</v>
      </c>
      <c r="AG1007" s="2">
        <f t="shared" si="158"/>
        <v>1</v>
      </c>
      <c r="AH1007" s="2">
        <f t="shared" si="159"/>
        <v>0</v>
      </c>
      <c r="AI1007" s="3">
        <v>1215.999999992782</v>
      </c>
      <c r="AJ1007" s="2">
        <v>1</v>
      </c>
      <c r="AK1007">
        <v>0</v>
      </c>
      <c r="AL1007">
        <v>7</v>
      </c>
      <c r="AM1007">
        <v>0</v>
      </c>
      <c r="AN1007" s="2">
        <f>IF((2*G1007+M1007-O1007+3*V1007+2*AB1007+2*AE1007+2*AH1007+3*AJ1007)&gt;=7,1,0)</f>
        <v>1</v>
      </c>
    </row>
    <row r="1008" spans="1:40" x14ac:dyDescent="0.25">
      <c r="A1008" t="s">
        <v>27</v>
      </c>
      <c r="B1008" s="1">
        <v>40179</v>
      </c>
      <c r="C1008" s="6">
        <f t="shared" si="150"/>
        <v>2010</v>
      </c>
      <c r="D1008">
        <v>82.4</v>
      </c>
      <c r="E1008">
        <v>62.6</v>
      </c>
      <c r="F1008">
        <v>71.8</v>
      </c>
      <c r="G1008" s="2">
        <f t="shared" si="151"/>
        <v>1</v>
      </c>
      <c r="H1008">
        <v>80.8</v>
      </c>
      <c r="I1008">
        <v>62.6</v>
      </c>
      <c r="J1008">
        <v>71.7</v>
      </c>
      <c r="K1008">
        <v>43.9</v>
      </c>
      <c r="L1008">
        <v>39</v>
      </c>
      <c r="M1008" s="2">
        <f t="shared" si="152"/>
        <v>1</v>
      </c>
      <c r="N1008">
        <v>0</v>
      </c>
      <c r="O1008" s="2">
        <f t="shared" si="153"/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25.3</v>
      </c>
      <c r="V1008" s="2">
        <f t="shared" si="154"/>
        <v>1</v>
      </c>
      <c r="W1008">
        <v>27.5</v>
      </c>
      <c r="X1008" s="2">
        <f t="shared" si="155"/>
        <v>1</v>
      </c>
      <c r="Y1008">
        <v>182.9</v>
      </c>
      <c r="Z1008" s="2" t="str">
        <f>CHOOSE(MATCH(Y1008,{0;11;80;111;161;191;241;281;341},1),"North","NorthEast","East","SouthEast","South","SouthWest","West","NorthWest","North")</f>
        <v>South</v>
      </c>
      <c r="AA1008" s="4">
        <f>CHOOSE(MATCH(Z1008,{"South";"SouthEast";"SouthWest";"North";"NorthEast";"East";"West";"NorthWest"},0),1,2,3,4,5,6,7,8)</f>
        <v>1</v>
      </c>
      <c r="AB1008" s="2">
        <f t="shared" si="156"/>
        <v>0</v>
      </c>
      <c r="AC1008">
        <v>1007.6</v>
      </c>
      <c r="AD1008" t="s">
        <v>209</v>
      </c>
      <c r="AE1008" s="2">
        <f t="shared" si="157"/>
        <v>0</v>
      </c>
      <c r="AF1008" t="s">
        <v>1514</v>
      </c>
      <c r="AG1008" s="2">
        <f t="shared" si="158"/>
        <v>1</v>
      </c>
      <c r="AH1008" s="2">
        <f t="shared" si="159"/>
        <v>0</v>
      </c>
      <c r="AI1008" s="3">
        <v>260.9999999916181</v>
      </c>
      <c r="AJ1008" s="2">
        <v>0</v>
      </c>
      <c r="AK1008">
        <v>0</v>
      </c>
      <c r="AL1008">
        <v>20</v>
      </c>
      <c r="AM1008">
        <v>0</v>
      </c>
      <c r="AN1008" s="2">
        <f>IF((2*G1008+M1008-O1008+3*V1008+2*AB1008+2*AE1008+2*AH1008+3*AJ1008)&gt;=7,1,0)</f>
        <v>0</v>
      </c>
    </row>
    <row r="1009" spans="1:40" x14ac:dyDescent="0.25">
      <c r="A1009" t="s">
        <v>27</v>
      </c>
      <c r="B1009" s="1">
        <v>40181</v>
      </c>
      <c r="C1009" s="6">
        <f t="shared" si="150"/>
        <v>2010</v>
      </c>
      <c r="D1009">
        <v>66.2</v>
      </c>
      <c r="E1009">
        <v>51.8</v>
      </c>
      <c r="F1009">
        <v>59.9</v>
      </c>
      <c r="G1009" s="2">
        <f t="shared" si="151"/>
        <v>0</v>
      </c>
      <c r="H1009">
        <v>66.2</v>
      </c>
      <c r="I1009">
        <v>51.8</v>
      </c>
      <c r="J1009">
        <v>59.9</v>
      </c>
      <c r="K1009">
        <v>46.9</v>
      </c>
      <c r="L1009">
        <v>62.7</v>
      </c>
      <c r="M1009" s="2">
        <f t="shared" si="152"/>
        <v>1</v>
      </c>
      <c r="N1009">
        <v>0</v>
      </c>
      <c r="O1009" s="2">
        <f t="shared" si="153"/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 s="2">
        <f t="shared" si="154"/>
        <v>0</v>
      </c>
      <c r="W1009">
        <v>20.8</v>
      </c>
      <c r="X1009" s="2">
        <f t="shared" si="155"/>
        <v>1</v>
      </c>
      <c r="Y1009">
        <v>268</v>
      </c>
      <c r="Z1009" s="2" t="str">
        <f>CHOOSE(MATCH(Y1009,{0;11;80;111;161;191;241;281;341},1),"North","NorthEast","East","SouthEast","South","SouthWest","West","NorthWest","North")</f>
        <v>West</v>
      </c>
      <c r="AA1009" s="4">
        <f>CHOOSE(MATCH(Z1009,{"South";"SouthEast";"SouthWest";"North";"NorthEast";"East";"West";"NorthWest"},0),1,2,3,4,5,6,7,8)</f>
        <v>7</v>
      </c>
      <c r="AB1009" s="2">
        <f t="shared" si="156"/>
        <v>0</v>
      </c>
      <c r="AC1009">
        <v>1011.9</v>
      </c>
      <c r="AD1009" t="s">
        <v>112</v>
      </c>
      <c r="AE1009" s="2">
        <f t="shared" si="157"/>
        <v>1</v>
      </c>
      <c r="AF1009" t="s">
        <v>1515</v>
      </c>
      <c r="AG1009" s="2">
        <f t="shared" si="158"/>
        <v>1</v>
      </c>
      <c r="AH1009" s="2">
        <f t="shared" si="159"/>
        <v>0</v>
      </c>
      <c r="AI1009" s="3">
        <v>59.99999999650754</v>
      </c>
      <c r="AJ1009" s="2">
        <v>0</v>
      </c>
      <c r="AK1009">
        <v>0</v>
      </c>
      <c r="AL1009">
        <v>1</v>
      </c>
      <c r="AM1009">
        <v>0</v>
      </c>
      <c r="AN1009" s="2">
        <f>IF((2*G1009+M1009-O1009+3*V1009+2*AB1009+2*AE1009+2*AH1009+3*AJ1009)&gt;=7,1,0)</f>
        <v>0</v>
      </c>
    </row>
    <row r="1010" spans="1:40" x14ac:dyDescent="0.25">
      <c r="A1010" t="s">
        <v>27</v>
      </c>
      <c r="B1010" s="1">
        <v>40186</v>
      </c>
      <c r="C1010" s="6">
        <f t="shared" si="150"/>
        <v>2010</v>
      </c>
      <c r="D1010">
        <v>68</v>
      </c>
      <c r="E1010">
        <v>60.8</v>
      </c>
      <c r="F1010">
        <v>63.1</v>
      </c>
      <c r="G1010" s="2">
        <f t="shared" si="151"/>
        <v>0</v>
      </c>
      <c r="H1010">
        <v>68</v>
      </c>
      <c r="I1010">
        <v>60.8</v>
      </c>
      <c r="J1010">
        <v>63.1</v>
      </c>
      <c r="K1010">
        <v>50.6</v>
      </c>
      <c r="L1010">
        <v>64.099999999999994</v>
      </c>
      <c r="M1010" s="2">
        <f t="shared" si="152"/>
        <v>1</v>
      </c>
      <c r="N1010">
        <v>0</v>
      </c>
      <c r="O1010" s="2">
        <f t="shared" si="153"/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43.6</v>
      </c>
      <c r="V1010" s="2">
        <f t="shared" si="154"/>
        <v>1</v>
      </c>
      <c r="W1010">
        <v>32.200000000000003</v>
      </c>
      <c r="X1010" s="2">
        <f t="shared" si="155"/>
        <v>1</v>
      </c>
      <c r="Y1010">
        <v>176.8</v>
      </c>
      <c r="Z1010" s="2" t="str">
        <f>CHOOSE(MATCH(Y1010,{0;11;80;111;161;191;241;281;341},1),"North","NorthEast","East","SouthEast","South","SouthWest","West","NorthWest","North")</f>
        <v>South</v>
      </c>
      <c r="AA1010" s="4">
        <f>CHOOSE(MATCH(Z1010,{"South";"SouthEast";"SouthWest";"North";"NorthEast";"East";"West";"NorthWest"},0),1,2,3,4,5,6,7,8)</f>
        <v>1</v>
      </c>
      <c r="AB1010" s="2">
        <f t="shared" si="156"/>
        <v>0</v>
      </c>
      <c r="AC1010">
        <v>1017.5</v>
      </c>
      <c r="AD1010" t="s">
        <v>673</v>
      </c>
      <c r="AE1010" s="2">
        <f t="shared" si="157"/>
        <v>0</v>
      </c>
      <c r="AF1010" t="s">
        <v>1516</v>
      </c>
      <c r="AG1010" s="2">
        <f t="shared" si="158"/>
        <v>1</v>
      </c>
      <c r="AH1010" s="2">
        <f t="shared" si="159"/>
        <v>0</v>
      </c>
      <c r="AI1010" s="3">
        <v>75.99999999627471</v>
      </c>
      <c r="AJ1010" s="2">
        <v>0</v>
      </c>
      <c r="AK1010">
        <v>0</v>
      </c>
      <c r="AL1010">
        <v>1</v>
      </c>
      <c r="AM1010">
        <v>0</v>
      </c>
      <c r="AN1010" s="2">
        <f>IF((2*G1010+M1010-O1010+3*V1010+2*AB1010+2*AE1010+2*AH1010+3*AJ1010)&gt;=7,1,0)</f>
        <v>0</v>
      </c>
    </row>
    <row r="1011" spans="1:40" x14ac:dyDescent="0.25">
      <c r="A1011" t="s">
        <v>27</v>
      </c>
      <c r="B1011" s="1">
        <v>40186</v>
      </c>
      <c r="C1011" s="6">
        <f t="shared" si="150"/>
        <v>2010</v>
      </c>
      <c r="D1011">
        <v>68</v>
      </c>
      <c r="E1011">
        <v>60.8</v>
      </c>
      <c r="F1011">
        <v>63.1</v>
      </c>
      <c r="G1011" s="2">
        <f t="shared" si="151"/>
        <v>0</v>
      </c>
      <c r="H1011">
        <v>68</v>
      </c>
      <c r="I1011">
        <v>60.8</v>
      </c>
      <c r="J1011">
        <v>63.1</v>
      </c>
      <c r="K1011">
        <v>50.6</v>
      </c>
      <c r="L1011">
        <v>64.099999999999994</v>
      </c>
      <c r="M1011" s="2">
        <f t="shared" si="152"/>
        <v>1</v>
      </c>
      <c r="N1011">
        <v>0</v>
      </c>
      <c r="O1011" s="2">
        <f t="shared" si="153"/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43.6</v>
      </c>
      <c r="V1011" s="2">
        <f t="shared" si="154"/>
        <v>1</v>
      </c>
      <c r="W1011">
        <v>32.200000000000003</v>
      </c>
      <c r="X1011" s="2">
        <f t="shared" si="155"/>
        <v>1</v>
      </c>
      <c r="Y1011">
        <v>176.8</v>
      </c>
      <c r="Z1011" s="2" t="str">
        <f>CHOOSE(MATCH(Y1011,{0;11;80;111;161;191;241;281;341},1),"North","NorthEast","East","SouthEast","South","SouthWest","West","NorthWest","North")</f>
        <v>South</v>
      </c>
      <c r="AA1011" s="4">
        <f>CHOOSE(MATCH(Z1011,{"South";"SouthEast";"SouthWest";"North";"NorthEast";"East";"West";"NorthWest"},0),1,2,3,4,5,6,7,8)</f>
        <v>1</v>
      </c>
      <c r="AB1011" s="2">
        <f t="shared" si="156"/>
        <v>0</v>
      </c>
      <c r="AC1011">
        <v>1017.5</v>
      </c>
      <c r="AD1011" t="s">
        <v>619</v>
      </c>
      <c r="AE1011" s="2">
        <f t="shared" si="157"/>
        <v>0</v>
      </c>
      <c r="AF1011" t="s">
        <v>1517</v>
      </c>
      <c r="AG1011" s="2">
        <f t="shared" si="158"/>
        <v>1</v>
      </c>
      <c r="AH1011" s="2">
        <f t="shared" si="159"/>
        <v>0</v>
      </c>
      <c r="AI1011" s="3">
        <v>210.00000000349249</v>
      </c>
      <c r="AJ1011" s="2">
        <v>0</v>
      </c>
      <c r="AK1011">
        <v>0.5</v>
      </c>
      <c r="AL1011">
        <v>0</v>
      </c>
      <c r="AM1011">
        <v>0</v>
      </c>
      <c r="AN1011" s="2">
        <f>IF((2*G1011+M1011-O1011+3*V1011+2*AB1011+2*AE1011+2*AH1011+3*AJ1011)&gt;=7,1,0)</f>
        <v>0</v>
      </c>
    </row>
    <row r="1012" spans="1:40" x14ac:dyDescent="0.25">
      <c r="A1012" t="s">
        <v>27</v>
      </c>
      <c r="B1012" s="1">
        <v>40188</v>
      </c>
      <c r="C1012" s="6">
        <f t="shared" si="150"/>
        <v>2010</v>
      </c>
      <c r="D1012">
        <v>64.5</v>
      </c>
      <c r="E1012">
        <v>55.4</v>
      </c>
      <c r="F1012">
        <v>61.7</v>
      </c>
      <c r="G1012" s="2">
        <f t="shared" si="151"/>
        <v>0</v>
      </c>
      <c r="H1012">
        <v>64.5</v>
      </c>
      <c r="I1012">
        <v>55.4</v>
      </c>
      <c r="J1012">
        <v>61.7</v>
      </c>
      <c r="K1012">
        <v>52.5</v>
      </c>
      <c r="L1012">
        <v>72.2</v>
      </c>
      <c r="M1012" s="2">
        <f t="shared" si="152"/>
        <v>0</v>
      </c>
      <c r="N1012">
        <v>0</v>
      </c>
      <c r="O1012" s="2">
        <f t="shared" si="153"/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32.200000000000003</v>
      </c>
      <c r="V1012" s="2">
        <f t="shared" si="154"/>
        <v>1</v>
      </c>
      <c r="W1012">
        <v>20.8</v>
      </c>
      <c r="X1012" s="2">
        <f t="shared" si="155"/>
        <v>1</v>
      </c>
      <c r="Y1012">
        <v>248.8</v>
      </c>
      <c r="Z1012" s="2" t="str">
        <f>CHOOSE(MATCH(Y1012,{0;11;80;111;161;191;241;281;341},1),"North","NorthEast","East","SouthEast","South","SouthWest","West","NorthWest","North")</f>
        <v>West</v>
      </c>
      <c r="AA1012" s="4">
        <f>CHOOSE(MATCH(Z1012,{"South";"SouthEast";"SouthWest";"North";"NorthEast";"East";"West";"NorthWest"},0),1,2,3,4,5,6,7,8)</f>
        <v>7</v>
      </c>
      <c r="AB1012" s="2">
        <f t="shared" si="156"/>
        <v>0</v>
      </c>
      <c r="AC1012">
        <v>1013.9</v>
      </c>
      <c r="AD1012" t="s">
        <v>118</v>
      </c>
      <c r="AE1012" s="2">
        <f t="shared" si="157"/>
        <v>0</v>
      </c>
      <c r="AF1012" t="s">
        <v>1518</v>
      </c>
      <c r="AG1012" s="2">
        <f t="shared" si="158"/>
        <v>1</v>
      </c>
      <c r="AH1012" s="2">
        <f t="shared" si="159"/>
        <v>0</v>
      </c>
      <c r="AI1012" s="3">
        <v>114.99999999767169</v>
      </c>
      <c r="AJ1012" s="2">
        <v>0</v>
      </c>
      <c r="AK1012">
        <v>0</v>
      </c>
      <c r="AL1012">
        <v>1</v>
      </c>
      <c r="AM1012">
        <v>0</v>
      </c>
      <c r="AN1012" s="2">
        <f>IF((2*G1012+M1012-O1012+3*V1012+2*AB1012+2*AE1012+2*AH1012+3*AJ1012)&gt;=7,1,0)</f>
        <v>0</v>
      </c>
    </row>
    <row r="1013" spans="1:40" x14ac:dyDescent="0.25">
      <c r="A1013" t="s">
        <v>27</v>
      </c>
      <c r="B1013" s="1">
        <v>40211</v>
      </c>
      <c r="C1013" s="6">
        <f t="shared" si="150"/>
        <v>2010</v>
      </c>
      <c r="D1013">
        <v>62.6</v>
      </c>
      <c r="E1013">
        <v>50.1</v>
      </c>
      <c r="F1013">
        <v>56.1</v>
      </c>
      <c r="G1013" s="2">
        <f t="shared" si="151"/>
        <v>0</v>
      </c>
      <c r="H1013">
        <v>62.6</v>
      </c>
      <c r="I1013">
        <v>50.1</v>
      </c>
      <c r="J1013">
        <v>56.1</v>
      </c>
      <c r="K1013">
        <v>43.5</v>
      </c>
      <c r="L1013">
        <v>63.8</v>
      </c>
      <c r="M1013" s="2">
        <f t="shared" si="152"/>
        <v>1</v>
      </c>
      <c r="N1013">
        <v>0</v>
      </c>
      <c r="O1013" s="2">
        <f t="shared" si="153"/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46.1</v>
      </c>
      <c r="V1013" s="2">
        <f t="shared" si="154"/>
        <v>1</v>
      </c>
      <c r="W1013">
        <v>35.6</v>
      </c>
      <c r="X1013" s="2">
        <f t="shared" si="155"/>
        <v>1</v>
      </c>
      <c r="Y1013">
        <v>263.39999999999998</v>
      </c>
      <c r="Z1013" s="2" t="str">
        <f>CHOOSE(MATCH(Y1013,{0;11;80;111;161;191;241;281;341},1),"North","NorthEast","East","SouthEast","South","SouthWest","West","NorthWest","North")</f>
        <v>West</v>
      </c>
      <c r="AA1013" s="4">
        <f>CHOOSE(MATCH(Z1013,{"South";"SouthEast";"SouthWest";"North";"NorthEast";"East";"West";"NorthWest"},0),1,2,3,4,5,6,7,8)</f>
        <v>7</v>
      </c>
      <c r="AB1013" s="2">
        <f t="shared" si="156"/>
        <v>0</v>
      </c>
      <c r="AC1013">
        <v>1008.4</v>
      </c>
      <c r="AD1013" t="s">
        <v>491</v>
      </c>
      <c r="AE1013" s="2">
        <f t="shared" si="157"/>
        <v>0</v>
      </c>
      <c r="AF1013" t="s">
        <v>1519</v>
      </c>
      <c r="AG1013" s="2">
        <f t="shared" si="158"/>
        <v>2</v>
      </c>
      <c r="AH1013" s="2">
        <f t="shared" si="159"/>
        <v>0</v>
      </c>
      <c r="AI1013" s="3">
        <v>119.99999999301509</v>
      </c>
      <c r="AJ1013" s="2">
        <v>0</v>
      </c>
      <c r="AK1013">
        <v>0</v>
      </c>
      <c r="AL1013">
        <v>1</v>
      </c>
      <c r="AM1013">
        <v>0</v>
      </c>
      <c r="AN1013" s="2">
        <f>IF((2*G1013+M1013-O1013+3*V1013+2*AB1013+2*AE1013+2*AH1013+3*AJ1013)&gt;=7,1,0)</f>
        <v>0</v>
      </c>
    </row>
    <row r="1014" spans="1:40" x14ac:dyDescent="0.25">
      <c r="A1014" t="s">
        <v>27</v>
      </c>
      <c r="B1014" s="1">
        <v>40213</v>
      </c>
      <c r="C1014" s="6">
        <f t="shared" si="150"/>
        <v>2010</v>
      </c>
      <c r="D1014">
        <v>55.4</v>
      </c>
      <c r="E1014">
        <v>41</v>
      </c>
      <c r="F1014">
        <v>47.7</v>
      </c>
      <c r="G1014" s="2">
        <f t="shared" si="151"/>
        <v>0</v>
      </c>
      <c r="H1014">
        <v>55.4</v>
      </c>
      <c r="I1014">
        <v>36.4</v>
      </c>
      <c r="J1014">
        <v>45.7</v>
      </c>
      <c r="K1014">
        <v>35.4</v>
      </c>
      <c r="L1014">
        <v>62.8</v>
      </c>
      <c r="M1014" s="2">
        <f t="shared" si="152"/>
        <v>1</v>
      </c>
      <c r="N1014">
        <v>0</v>
      </c>
      <c r="O1014" s="2">
        <f t="shared" si="153"/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 s="2">
        <f t="shared" si="154"/>
        <v>0</v>
      </c>
      <c r="W1014">
        <v>16.100000000000001</v>
      </c>
      <c r="X1014" s="2">
        <f t="shared" si="155"/>
        <v>1</v>
      </c>
      <c r="Y1014">
        <v>279.10000000000002</v>
      </c>
      <c r="Z1014" s="2" t="str">
        <f>CHOOSE(MATCH(Y1014,{0;11;80;111;161;191;241;281;341},1),"North","NorthEast","East","SouthEast","South","SouthWest","West","NorthWest","North")</f>
        <v>West</v>
      </c>
      <c r="AA1014" s="4">
        <f>CHOOSE(MATCH(Z1014,{"South";"SouthEast";"SouthWest";"North";"NorthEast";"East";"West";"NorthWest"},0),1,2,3,4,5,6,7,8)</f>
        <v>7</v>
      </c>
      <c r="AB1014" s="2">
        <f t="shared" si="156"/>
        <v>0</v>
      </c>
      <c r="AC1014">
        <v>1022.5</v>
      </c>
      <c r="AD1014" t="s">
        <v>1328</v>
      </c>
      <c r="AE1014" s="2">
        <f t="shared" si="157"/>
        <v>0</v>
      </c>
      <c r="AF1014" t="s">
        <v>1520</v>
      </c>
      <c r="AG1014" s="2">
        <f t="shared" si="158"/>
        <v>2</v>
      </c>
      <c r="AH1014" s="2">
        <f t="shared" si="159"/>
        <v>0</v>
      </c>
      <c r="AI1014" s="3">
        <v>120.0000000034925</v>
      </c>
      <c r="AJ1014" s="2">
        <v>0</v>
      </c>
      <c r="AK1014">
        <v>0</v>
      </c>
      <c r="AL1014">
        <v>4</v>
      </c>
      <c r="AM1014">
        <v>0</v>
      </c>
      <c r="AN1014" s="2">
        <f>IF((2*G1014+M1014-O1014+3*V1014+2*AB1014+2*AE1014+2*AH1014+3*AJ1014)&gt;=7,1,0)</f>
        <v>0</v>
      </c>
    </row>
    <row r="1015" spans="1:40" x14ac:dyDescent="0.25">
      <c r="A1015" t="s">
        <v>27</v>
      </c>
      <c r="B1015" s="1">
        <v>40219</v>
      </c>
      <c r="C1015" s="6">
        <f t="shared" si="150"/>
        <v>2010</v>
      </c>
      <c r="D1015">
        <v>68</v>
      </c>
      <c r="E1015">
        <v>53.6</v>
      </c>
      <c r="F1015">
        <v>62.2</v>
      </c>
      <c r="G1015" s="2">
        <f t="shared" si="151"/>
        <v>0</v>
      </c>
      <c r="H1015">
        <v>68</v>
      </c>
      <c r="I1015">
        <v>53.6</v>
      </c>
      <c r="J1015">
        <v>62.2</v>
      </c>
      <c r="K1015">
        <v>48.6</v>
      </c>
      <c r="L1015">
        <v>61.6</v>
      </c>
      <c r="M1015" s="2">
        <f t="shared" si="152"/>
        <v>1</v>
      </c>
      <c r="N1015">
        <v>1.2E-2</v>
      </c>
      <c r="O1015" s="2">
        <f t="shared" si="153"/>
        <v>0</v>
      </c>
      <c r="P1015">
        <v>100</v>
      </c>
      <c r="Q1015">
        <v>4.17</v>
      </c>
      <c r="R1015" t="s">
        <v>182</v>
      </c>
      <c r="S1015">
        <v>0</v>
      </c>
      <c r="T1015">
        <v>0</v>
      </c>
      <c r="U1015">
        <v>35.6</v>
      </c>
      <c r="V1015" s="2">
        <f t="shared" si="154"/>
        <v>1</v>
      </c>
      <c r="W1015">
        <v>24.2</v>
      </c>
      <c r="X1015" s="2">
        <f t="shared" si="155"/>
        <v>1</v>
      </c>
      <c r="Y1015">
        <v>189.7</v>
      </c>
      <c r="Z1015" s="2" t="str">
        <f>CHOOSE(MATCH(Y1015,{0;11;80;111;161;191;241;281;341},1),"North","NorthEast","East","SouthEast","South","SouthWest","West","NorthWest","North")</f>
        <v>South</v>
      </c>
      <c r="AA1015" s="4">
        <f>CHOOSE(MATCH(Z1015,{"South";"SouthEast";"SouthWest";"North";"NorthEast";"East";"West";"NorthWest"},0),1,2,3,4,5,6,7,8)</f>
        <v>1</v>
      </c>
      <c r="AB1015" s="2">
        <f t="shared" si="156"/>
        <v>0</v>
      </c>
      <c r="AC1015">
        <v>1003.6</v>
      </c>
      <c r="AD1015" t="s">
        <v>823</v>
      </c>
      <c r="AE1015" s="2">
        <f t="shared" si="157"/>
        <v>0</v>
      </c>
      <c r="AF1015" t="s">
        <v>1521</v>
      </c>
      <c r="AG1015" s="2">
        <f t="shared" si="158"/>
        <v>2</v>
      </c>
      <c r="AH1015" s="2">
        <f t="shared" si="159"/>
        <v>0</v>
      </c>
      <c r="AI1015" s="3">
        <v>84.999999994179234</v>
      </c>
      <c r="AJ1015" s="2">
        <v>0</v>
      </c>
      <c r="AK1015">
        <v>0</v>
      </c>
      <c r="AL1015">
        <v>0.3</v>
      </c>
      <c r="AM1015">
        <v>0</v>
      </c>
      <c r="AN1015" s="2">
        <f>IF((2*G1015+M1015-O1015+3*V1015+2*AB1015+2*AE1015+2*AH1015+3*AJ1015)&gt;=7,1,0)</f>
        <v>0</v>
      </c>
    </row>
    <row r="1016" spans="1:40" x14ac:dyDescent="0.25">
      <c r="A1016" t="s">
        <v>27</v>
      </c>
      <c r="B1016" s="1">
        <v>40224</v>
      </c>
      <c r="C1016" s="6">
        <f t="shared" si="150"/>
        <v>2010</v>
      </c>
      <c r="D1016">
        <v>69.8</v>
      </c>
      <c r="E1016">
        <v>53.6</v>
      </c>
      <c r="F1016">
        <v>61.3</v>
      </c>
      <c r="G1016" s="2">
        <f t="shared" si="151"/>
        <v>0</v>
      </c>
      <c r="H1016">
        <v>69.8</v>
      </c>
      <c r="I1016">
        <v>53.6</v>
      </c>
      <c r="J1016">
        <v>61.3</v>
      </c>
      <c r="K1016">
        <v>50.8</v>
      </c>
      <c r="L1016">
        <v>68.900000000000006</v>
      </c>
      <c r="M1016" s="2">
        <f t="shared" si="152"/>
        <v>0</v>
      </c>
      <c r="N1016">
        <v>0</v>
      </c>
      <c r="O1016" s="2">
        <f t="shared" si="153"/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33.299999999999997</v>
      </c>
      <c r="V1016" s="2">
        <f t="shared" si="154"/>
        <v>1</v>
      </c>
      <c r="W1016">
        <v>25.3</v>
      </c>
      <c r="X1016" s="2">
        <f t="shared" si="155"/>
        <v>1</v>
      </c>
      <c r="Y1016">
        <v>284.60000000000002</v>
      </c>
      <c r="Z1016" s="2" t="str">
        <f>CHOOSE(MATCH(Y1016,{0;11;80;111;161;191;241;281;341},1),"North","NorthEast","East","SouthEast","South","SouthWest","West","NorthWest","North")</f>
        <v>NorthWest</v>
      </c>
      <c r="AA1016" s="4">
        <f>CHOOSE(MATCH(Z1016,{"South";"SouthEast";"SouthWest";"North";"NorthEast";"East";"West";"NorthWest"},0),1,2,3,4,5,6,7,8)</f>
        <v>8</v>
      </c>
      <c r="AB1016" s="2">
        <f t="shared" si="156"/>
        <v>1</v>
      </c>
      <c r="AC1016">
        <v>1005.4</v>
      </c>
      <c r="AD1016" t="s">
        <v>69</v>
      </c>
      <c r="AE1016" s="2">
        <f t="shared" si="157"/>
        <v>1</v>
      </c>
      <c r="AF1016" t="s">
        <v>1522</v>
      </c>
      <c r="AG1016" s="2">
        <f t="shared" si="158"/>
        <v>2</v>
      </c>
      <c r="AH1016" s="2">
        <f t="shared" si="159"/>
        <v>0</v>
      </c>
      <c r="AI1016" s="3">
        <v>75.00000000349246</v>
      </c>
      <c r="AJ1016" s="2">
        <v>0</v>
      </c>
      <c r="AK1016">
        <v>0</v>
      </c>
      <c r="AL1016">
        <v>0.2</v>
      </c>
      <c r="AM1016">
        <v>0</v>
      </c>
      <c r="AN1016" s="2">
        <f>IF((2*G1016+M1016-O1016+3*V1016+2*AB1016+2*AE1016+2*AH1016+3*AJ1016)&gt;=7,1,0)</f>
        <v>0</v>
      </c>
    </row>
    <row r="1017" spans="1:40" x14ac:dyDescent="0.25">
      <c r="A1017" t="s">
        <v>27</v>
      </c>
      <c r="B1017" s="1">
        <v>40228</v>
      </c>
      <c r="C1017" s="6">
        <f t="shared" si="150"/>
        <v>2010</v>
      </c>
      <c r="D1017">
        <v>69.8</v>
      </c>
      <c r="E1017">
        <v>55.4</v>
      </c>
      <c r="F1017">
        <v>64.400000000000006</v>
      </c>
      <c r="G1017" s="2">
        <f t="shared" si="151"/>
        <v>0</v>
      </c>
      <c r="H1017">
        <v>69.8</v>
      </c>
      <c r="I1017">
        <v>55.4</v>
      </c>
      <c r="J1017">
        <v>64.400000000000006</v>
      </c>
      <c r="K1017">
        <v>51</v>
      </c>
      <c r="L1017">
        <v>62.9</v>
      </c>
      <c r="M1017" s="2">
        <f t="shared" si="152"/>
        <v>1</v>
      </c>
      <c r="N1017">
        <v>0</v>
      </c>
      <c r="O1017" s="2">
        <f t="shared" si="153"/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36.9</v>
      </c>
      <c r="V1017" s="2">
        <f t="shared" si="154"/>
        <v>1</v>
      </c>
      <c r="W1017">
        <v>25.3</v>
      </c>
      <c r="X1017" s="2">
        <f t="shared" si="155"/>
        <v>1</v>
      </c>
      <c r="Y1017">
        <v>163</v>
      </c>
      <c r="Z1017" s="2" t="str">
        <f>CHOOSE(MATCH(Y1017,{0;11;80;111;161;191;241;281;341},1),"North","NorthEast","East","SouthEast","South","SouthWest","West","NorthWest","North")</f>
        <v>South</v>
      </c>
      <c r="AA1017" s="4">
        <f>CHOOSE(MATCH(Z1017,{"South";"SouthEast";"SouthWest";"North";"NorthEast";"East";"West";"NorthWest"},0),1,2,3,4,5,6,7,8)</f>
        <v>1</v>
      </c>
      <c r="AB1017" s="2">
        <f t="shared" si="156"/>
        <v>0</v>
      </c>
      <c r="AC1017">
        <v>1012.9</v>
      </c>
      <c r="AD1017" t="s">
        <v>1450</v>
      </c>
      <c r="AE1017" s="2">
        <f t="shared" si="157"/>
        <v>1</v>
      </c>
      <c r="AF1017" t="s">
        <v>1523</v>
      </c>
      <c r="AG1017" s="2">
        <f t="shared" si="158"/>
        <v>2</v>
      </c>
      <c r="AH1017" s="2">
        <f t="shared" si="159"/>
        <v>0</v>
      </c>
      <c r="AI1017" s="3">
        <v>145.00000000116421</v>
      </c>
      <c r="AJ1017" s="2">
        <v>0</v>
      </c>
      <c r="AK1017">
        <v>0</v>
      </c>
      <c r="AL1017">
        <v>1</v>
      </c>
      <c r="AM1017">
        <v>0</v>
      </c>
      <c r="AN1017" s="2">
        <f>IF((2*G1017+M1017-O1017+3*V1017+2*AB1017+2*AE1017+2*AH1017+3*AJ1017)&gt;=7,1,0)</f>
        <v>0</v>
      </c>
    </row>
    <row r="1018" spans="1:40" x14ac:dyDescent="0.25">
      <c r="A1018" t="s">
        <v>27</v>
      </c>
      <c r="B1018" s="1">
        <v>40228</v>
      </c>
      <c r="C1018" s="6">
        <f t="shared" si="150"/>
        <v>2010</v>
      </c>
      <c r="D1018">
        <v>69.8</v>
      </c>
      <c r="E1018">
        <v>55.4</v>
      </c>
      <c r="F1018">
        <v>64.400000000000006</v>
      </c>
      <c r="G1018" s="2">
        <f t="shared" si="151"/>
        <v>0</v>
      </c>
      <c r="H1018">
        <v>69.8</v>
      </c>
      <c r="I1018">
        <v>55.4</v>
      </c>
      <c r="J1018">
        <v>64.400000000000006</v>
      </c>
      <c r="K1018">
        <v>51</v>
      </c>
      <c r="L1018">
        <v>62.9</v>
      </c>
      <c r="M1018" s="2">
        <f t="shared" si="152"/>
        <v>1</v>
      </c>
      <c r="N1018">
        <v>0</v>
      </c>
      <c r="O1018" s="2">
        <f t="shared" si="153"/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36.9</v>
      </c>
      <c r="V1018" s="2">
        <f t="shared" si="154"/>
        <v>1</v>
      </c>
      <c r="W1018">
        <v>25.3</v>
      </c>
      <c r="X1018" s="2">
        <f t="shared" si="155"/>
        <v>1</v>
      </c>
      <c r="Y1018">
        <v>163</v>
      </c>
      <c r="Z1018" s="2" t="str">
        <f>CHOOSE(MATCH(Y1018,{0;11;80;111;161;191;241;281;341},1),"North","NorthEast","East","SouthEast","South","SouthWest","West","NorthWest","North")</f>
        <v>South</v>
      </c>
      <c r="AA1018" s="4">
        <f>CHOOSE(MATCH(Z1018,{"South";"SouthEast";"SouthWest";"North";"NorthEast";"East";"West";"NorthWest"},0),1,2,3,4,5,6,7,8)</f>
        <v>1</v>
      </c>
      <c r="AB1018" s="2">
        <f t="shared" si="156"/>
        <v>0</v>
      </c>
      <c r="AC1018">
        <v>1012.9</v>
      </c>
      <c r="AD1018" t="s">
        <v>836</v>
      </c>
      <c r="AE1018" s="2">
        <f t="shared" si="157"/>
        <v>1</v>
      </c>
      <c r="AF1018" t="s">
        <v>1524</v>
      </c>
      <c r="AG1018" s="2">
        <f t="shared" si="158"/>
        <v>2</v>
      </c>
      <c r="AH1018" s="2">
        <f t="shared" si="159"/>
        <v>0</v>
      </c>
      <c r="AI1018" s="3">
        <v>175.00000000465661</v>
      </c>
      <c r="AJ1018" s="2">
        <v>0</v>
      </c>
      <c r="AK1018">
        <v>0</v>
      </c>
      <c r="AL1018">
        <v>1</v>
      </c>
      <c r="AM1018">
        <v>0</v>
      </c>
      <c r="AN1018" s="2">
        <f>IF((2*G1018+M1018-O1018+3*V1018+2*AB1018+2*AE1018+2*AH1018+3*AJ1018)&gt;=7,1,0)</f>
        <v>0</v>
      </c>
    </row>
    <row r="1019" spans="1:40" x14ac:dyDescent="0.25">
      <c r="A1019" t="s">
        <v>27</v>
      </c>
      <c r="B1019" s="1">
        <v>40229</v>
      </c>
      <c r="C1019" s="6">
        <f t="shared" si="150"/>
        <v>2010</v>
      </c>
      <c r="D1019">
        <v>80.599999999999994</v>
      </c>
      <c r="E1019">
        <v>66.2</v>
      </c>
      <c r="F1019">
        <v>73.3</v>
      </c>
      <c r="G1019" s="2">
        <f t="shared" si="151"/>
        <v>1</v>
      </c>
      <c r="H1019">
        <v>80.3</v>
      </c>
      <c r="I1019">
        <v>66.2</v>
      </c>
      <c r="J1019">
        <v>73.2</v>
      </c>
      <c r="K1019">
        <v>49.1</v>
      </c>
      <c r="L1019">
        <v>44.1</v>
      </c>
      <c r="M1019" s="2">
        <f t="shared" si="152"/>
        <v>1</v>
      </c>
      <c r="N1019">
        <v>0</v>
      </c>
      <c r="O1019" s="2">
        <f t="shared" si="153"/>
        <v>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41.4</v>
      </c>
      <c r="V1019" s="2">
        <f t="shared" si="154"/>
        <v>1</v>
      </c>
      <c r="W1019">
        <v>30</v>
      </c>
      <c r="X1019" s="2">
        <f t="shared" si="155"/>
        <v>1</v>
      </c>
      <c r="Y1019">
        <v>198.1</v>
      </c>
      <c r="Z1019" s="2" t="str">
        <f>CHOOSE(MATCH(Y1019,{0;11;80;111;161;191;241;281;341},1),"North","NorthEast","East","SouthEast","South","SouthWest","West","NorthWest","North")</f>
        <v>SouthWest</v>
      </c>
      <c r="AA1019" s="4">
        <f>CHOOSE(MATCH(Z1019,{"South";"SouthEast";"SouthWest";"North";"NorthEast";"East";"West";"NorthWest"},0),1,2,3,4,5,6,7,8)</f>
        <v>3</v>
      </c>
      <c r="AB1019" s="2">
        <f t="shared" si="156"/>
        <v>0</v>
      </c>
      <c r="AC1019">
        <v>1007.1</v>
      </c>
      <c r="AD1019" t="s">
        <v>427</v>
      </c>
      <c r="AE1019" s="2">
        <f t="shared" si="157"/>
        <v>1</v>
      </c>
      <c r="AF1019" t="s">
        <v>1525</v>
      </c>
      <c r="AG1019" s="2">
        <f t="shared" si="158"/>
        <v>2</v>
      </c>
      <c r="AH1019" s="2">
        <f t="shared" si="159"/>
        <v>0</v>
      </c>
      <c r="AI1019" s="3">
        <v>249.99999999767169</v>
      </c>
      <c r="AJ1019" s="2">
        <v>0</v>
      </c>
      <c r="AK1019">
        <v>0</v>
      </c>
      <c r="AL1019">
        <v>10</v>
      </c>
      <c r="AM1019">
        <v>0</v>
      </c>
      <c r="AN1019" s="2">
        <f>IF((2*G1019+M1019-O1019+3*V1019+2*AB1019+2*AE1019+2*AH1019+3*AJ1019)&gt;=7,1,0)</f>
        <v>1</v>
      </c>
    </row>
    <row r="1020" spans="1:40" x14ac:dyDescent="0.25">
      <c r="A1020" t="s">
        <v>27</v>
      </c>
      <c r="B1020" s="1">
        <v>40229</v>
      </c>
      <c r="C1020" s="6">
        <f t="shared" si="150"/>
        <v>2010</v>
      </c>
      <c r="D1020">
        <v>80.599999999999994</v>
      </c>
      <c r="E1020">
        <v>66.2</v>
      </c>
      <c r="F1020">
        <v>73.3</v>
      </c>
      <c r="G1020" s="2">
        <f t="shared" si="151"/>
        <v>1</v>
      </c>
      <c r="H1020">
        <v>80.3</v>
      </c>
      <c r="I1020">
        <v>66.2</v>
      </c>
      <c r="J1020">
        <v>73.2</v>
      </c>
      <c r="K1020">
        <v>49.1</v>
      </c>
      <c r="L1020">
        <v>44.1</v>
      </c>
      <c r="M1020" s="2">
        <f t="shared" si="152"/>
        <v>1</v>
      </c>
      <c r="N1020">
        <v>0</v>
      </c>
      <c r="O1020" s="2">
        <f t="shared" si="153"/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41.4</v>
      </c>
      <c r="V1020" s="2">
        <f t="shared" si="154"/>
        <v>1</v>
      </c>
      <c r="W1020">
        <v>30</v>
      </c>
      <c r="X1020" s="2">
        <f t="shared" si="155"/>
        <v>1</v>
      </c>
      <c r="Y1020">
        <v>198.1</v>
      </c>
      <c r="Z1020" s="2" t="str">
        <f>CHOOSE(MATCH(Y1020,{0;11;80;111;161;191;241;281;341},1),"North","NorthEast","East","SouthEast","South","SouthWest","West","NorthWest","North")</f>
        <v>SouthWest</v>
      </c>
      <c r="AA1020" s="4">
        <f>CHOOSE(MATCH(Z1020,{"South";"SouthEast";"SouthWest";"North";"NorthEast";"East";"West";"NorthWest"},0),1,2,3,4,5,6,7,8)</f>
        <v>3</v>
      </c>
      <c r="AB1020" s="2">
        <f t="shared" si="156"/>
        <v>0</v>
      </c>
      <c r="AC1020">
        <v>1007.1</v>
      </c>
      <c r="AD1020" t="s">
        <v>1282</v>
      </c>
      <c r="AE1020" s="2">
        <f t="shared" si="157"/>
        <v>0</v>
      </c>
      <c r="AF1020" t="s">
        <v>1526</v>
      </c>
      <c r="AG1020" s="2">
        <f t="shared" si="158"/>
        <v>2</v>
      </c>
      <c r="AH1020" s="2">
        <f t="shared" si="159"/>
        <v>0</v>
      </c>
      <c r="AI1020" s="3">
        <v>1399.9999999953429</v>
      </c>
      <c r="AJ1020" s="2">
        <v>1</v>
      </c>
      <c r="AK1020">
        <v>0</v>
      </c>
      <c r="AL1020">
        <v>100</v>
      </c>
      <c r="AM1020">
        <v>0</v>
      </c>
      <c r="AN1020" s="2">
        <f>IF((2*G1020+M1020-O1020+3*V1020+2*AB1020+2*AE1020+2*AH1020+3*AJ1020)&gt;=7,1,0)</f>
        <v>1</v>
      </c>
    </row>
    <row r="1021" spans="1:40" x14ac:dyDescent="0.25">
      <c r="A1021" t="s">
        <v>27</v>
      </c>
      <c r="B1021" s="1">
        <v>40231</v>
      </c>
      <c r="C1021" s="6">
        <f t="shared" si="150"/>
        <v>2010</v>
      </c>
      <c r="D1021">
        <v>60.8</v>
      </c>
      <c r="E1021">
        <v>51.8</v>
      </c>
      <c r="F1021">
        <v>56.2</v>
      </c>
      <c r="G1021" s="2">
        <f t="shared" si="151"/>
        <v>0</v>
      </c>
      <c r="H1021">
        <v>60.8</v>
      </c>
      <c r="I1021">
        <v>51.8</v>
      </c>
      <c r="J1021">
        <v>56.2</v>
      </c>
      <c r="K1021">
        <v>45.7</v>
      </c>
      <c r="L1021">
        <v>68.400000000000006</v>
      </c>
      <c r="M1021" s="2">
        <f t="shared" si="152"/>
        <v>0</v>
      </c>
      <c r="N1021">
        <v>0</v>
      </c>
      <c r="O1021" s="2">
        <f t="shared" si="153"/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 s="2">
        <f t="shared" si="154"/>
        <v>0</v>
      </c>
      <c r="W1021">
        <v>11.4</v>
      </c>
      <c r="X1021" s="2">
        <f t="shared" si="155"/>
        <v>0</v>
      </c>
      <c r="Y1021">
        <v>269.8</v>
      </c>
      <c r="Z1021" s="2" t="str">
        <f>CHOOSE(MATCH(Y1021,{0;11;80;111;161;191;241;281;341},1),"North","NorthEast","East","SouthEast","South","SouthWest","West","NorthWest","North")</f>
        <v>West</v>
      </c>
      <c r="AA1021" s="4">
        <f>CHOOSE(MATCH(Z1021,{"South";"SouthEast";"SouthWest";"North";"NorthEast";"East";"West";"NorthWest"},0),1,2,3,4,5,6,7,8)</f>
        <v>7</v>
      </c>
      <c r="AB1021" s="2">
        <f t="shared" si="156"/>
        <v>0</v>
      </c>
      <c r="AC1021">
        <v>1016.4</v>
      </c>
      <c r="AD1021" t="s">
        <v>73</v>
      </c>
      <c r="AE1021" s="2">
        <f t="shared" si="157"/>
        <v>1</v>
      </c>
      <c r="AF1021" t="s">
        <v>1527</v>
      </c>
      <c r="AG1021" s="2">
        <f t="shared" si="158"/>
        <v>2</v>
      </c>
      <c r="AH1021" s="2">
        <f t="shared" si="159"/>
        <v>0</v>
      </c>
      <c r="AI1021" s="3">
        <v>59.99999999650754</v>
      </c>
      <c r="AJ1021" s="2">
        <v>0</v>
      </c>
      <c r="AK1021">
        <v>0</v>
      </c>
      <c r="AL1021">
        <v>1</v>
      </c>
      <c r="AM1021">
        <v>0</v>
      </c>
      <c r="AN1021" s="2">
        <f>IF((2*G1021+M1021-O1021+3*V1021+2*AB1021+2*AE1021+2*AH1021+3*AJ1021)&gt;=7,1,0)</f>
        <v>0</v>
      </c>
    </row>
    <row r="1022" spans="1:40" x14ac:dyDescent="0.25">
      <c r="A1022" t="s">
        <v>27</v>
      </c>
      <c r="B1022" s="1">
        <v>40234</v>
      </c>
      <c r="C1022" s="6">
        <f t="shared" si="150"/>
        <v>2010</v>
      </c>
      <c r="D1022">
        <v>66.2</v>
      </c>
      <c r="E1022">
        <v>57.2</v>
      </c>
      <c r="F1022">
        <v>60.1</v>
      </c>
      <c r="G1022" s="2">
        <f t="shared" si="151"/>
        <v>0</v>
      </c>
      <c r="H1022">
        <v>66.2</v>
      </c>
      <c r="I1022">
        <v>57.2</v>
      </c>
      <c r="J1022">
        <v>60.1</v>
      </c>
      <c r="K1022">
        <v>50.2</v>
      </c>
      <c r="L1022">
        <v>70.400000000000006</v>
      </c>
      <c r="M1022" s="2">
        <f t="shared" si="152"/>
        <v>0</v>
      </c>
      <c r="N1022">
        <v>0</v>
      </c>
      <c r="O1022" s="2">
        <f t="shared" si="153"/>
        <v>1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 s="2">
        <f t="shared" si="154"/>
        <v>0</v>
      </c>
      <c r="W1022">
        <v>27.5</v>
      </c>
      <c r="X1022" s="2">
        <f t="shared" si="155"/>
        <v>1</v>
      </c>
      <c r="Y1022">
        <v>276.5</v>
      </c>
      <c r="Z1022" s="2" t="str">
        <f>CHOOSE(MATCH(Y1022,{0;11;80;111;161;191;241;281;341},1),"North","NorthEast","East","SouthEast","South","SouthWest","West","NorthWest","North")</f>
        <v>West</v>
      </c>
      <c r="AA1022" s="4">
        <f>CHOOSE(MATCH(Z1022,{"South";"SouthEast";"SouthWest";"North";"NorthEast";"East";"West";"NorthWest"},0),1,2,3,4,5,6,7,8)</f>
        <v>7</v>
      </c>
      <c r="AB1022" s="2">
        <f t="shared" si="156"/>
        <v>0</v>
      </c>
      <c r="AC1022">
        <v>1003.6</v>
      </c>
      <c r="AD1022" t="s">
        <v>346</v>
      </c>
      <c r="AE1022" s="2">
        <f t="shared" si="157"/>
        <v>1</v>
      </c>
      <c r="AF1022" t="s">
        <v>1528</v>
      </c>
      <c r="AG1022" s="2">
        <f t="shared" si="158"/>
        <v>2</v>
      </c>
      <c r="AH1022" s="2">
        <f t="shared" si="159"/>
        <v>0</v>
      </c>
      <c r="AI1022" s="3">
        <v>280.00000000116421</v>
      </c>
      <c r="AJ1022" s="2">
        <v>0</v>
      </c>
      <c r="AK1022">
        <v>0</v>
      </c>
      <c r="AL1022">
        <v>2</v>
      </c>
      <c r="AM1022">
        <v>0</v>
      </c>
      <c r="AN1022" s="2">
        <f>IF((2*G1022+M1022-O1022+3*V1022+2*AB1022+2*AE1022+2*AH1022+3*AJ1022)&gt;=7,1,0)</f>
        <v>0</v>
      </c>
    </row>
    <row r="1023" spans="1:40" x14ac:dyDescent="0.25">
      <c r="A1023" t="s">
        <v>27</v>
      </c>
      <c r="B1023" s="1">
        <v>40236</v>
      </c>
      <c r="C1023" s="6">
        <f t="shared" si="150"/>
        <v>2010</v>
      </c>
      <c r="D1023">
        <v>69.8</v>
      </c>
      <c r="E1023">
        <v>50</v>
      </c>
      <c r="F1023">
        <v>60</v>
      </c>
      <c r="G1023" s="2">
        <f t="shared" si="151"/>
        <v>0</v>
      </c>
      <c r="H1023">
        <v>69.8</v>
      </c>
      <c r="I1023">
        <v>50</v>
      </c>
      <c r="J1023">
        <v>60</v>
      </c>
      <c r="K1023">
        <v>46.6</v>
      </c>
      <c r="L1023">
        <v>62.8</v>
      </c>
      <c r="M1023" s="2">
        <f t="shared" si="152"/>
        <v>1</v>
      </c>
      <c r="N1023">
        <v>0</v>
      </c>
      <c r="O1023" s="2">
        <f t="shared" si="153"/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42.5</v>
      </c>
      <c r="V1023" s="2">
        <f t="shared" si="154"/>
        <v>1</v>
      </c>
      <c r="W1023">
        <v>31.1</v>
      </c>
      <c r="X1023" s="2">
        <f t="shared" si="155"/>
        <v>1</v>
      </c>
      <c r="Y1023">
        <v>252.8</v>
      </c>
      <c r="Z1023" s="2" t="str">
        <f>CHOOSE(MATCH(Y1023,{0;11;80;111;161;191;241;281;341},1),"North","NorthEast","East","SouthEast","South","SouthWest","West","NorthWest","North")</f>
        <v>West</v>
      </c>
      <c r="AA1023" s="4">
        <f>CHOOSE(MATCH(Z1023,{"South";"SouthEast";"SouthWest";"North";"NorthEast";"East";"West";"NorthWest"},0),1,2,3,4,5,6,7,8)</f>
        <v>7</v>
      </c>
      <c r="AB1023" s="2">
        <f t="shared" si="156"/>
        <v>0</v>
      </c>
      <c r="AC1023">
        <v>1006.2</v>
      </c>
      <c r="AD1023" t="s">
        <v>143</v>
      </c>
      <c r="AE1023" s="2">
        <f t="shared" si="157"/>
        <v>0</v>
      </c>
      <c r="AF1023" t="s">
        <v>1529</v>
      </c>
      <c r="AG1023" s="2">
        <f t="shared" si="158"/>
        <v>2</v>
      </c>
      <c r="AH1023" s="2">
        <f t="shared" si="159"/>
        <v>0</v>
      </c>
      <c r="AI1023" s="3">
        <v>415.00000000116421</v>
      </c>
      <c r="AJ1023" s="2">
        <v>1</v>
      </c>
      <c r="AK1023">
        <v>0</v>
      </c>
      <c r="AL1023">
        <v>2</v>
      </c>
      <c r="AM1023">
        <v>0</v>
      </c>
      <c r="AN1023" s="2">
        <f>IF((2*G1023+M1023-O1023+3*V1023+2*AB1023+2*AE1023+2*AH1023+3*AJ1023)&gt;=7,1,0)</f>
        <v>0</v>
      </c>
    </row>
    <row r="1024" spans="1:40" x14ac:dyDescent="0.25">
      <c r="A1024" t="s">
        <v>27</v>
      </c>
      <c r="B1024" s="1">
        <v>40236</v>
      </c>
      <c r="C1024" s="6">
        <f t="shared" si="150"/>
        <v>2010</v>
      </c>
      <c r="D1024">
        <v>69.8</v>
      </c>
      <c r="E1024">
        <v>50</v>
      </c>
      <c r="F1024">
        <v>60</v>
      </c>
      <c r="G1024" s="2">
        <f t="shared" si="151"/>
        <v>0</v>
      </c>
      <c r="H1024">
        <v>69.8</v>
      </c>
      <c r="I1024">
        <v>50</v>
      </c>
      <c r="J1024">
        <v>60</v>
      </c>
      <c r="K1024">
        <v>46.6</v>
      </c>
      <c r="L1024">
        <v>62.8</v>
      </c>
      <c r="M1024" s="2">
        <f t="shared" si="152"/>
        <v>1</v>
      </c>
      <c r="N1024">
        <v>0</v>
      </c>
      <c r="O1024" s="2">
        <f t="shared" si="153"/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42.5</v>
      </c>
      <c r="V1024" s="2">
        <f t="shared" si="154"/>
        <v>1</v>
      </c>
      <c r="W1024">
        <v>31.1</v>
      </c>
      <c r="X1024" s="2">
        <f t="shared" si="155"/>
        <v>1</v>
      </c>
      <c r="Y1024">
        <v>252.8</v>
      </c>
      <c r="Z1024" s="2" t="str">
        <f>CHOOSE(MATCH(Y1024,{0;11;80;111;161;191;241;281;341},1),"North","NorthEast","East","SouthEast","South","SouthWest","West","NorthWest","North")</f>
        <v>West</v>
      </c>
      <c r="AA1024" s="4">
        <f>CHOOSE(MATCH(Z1024,{"South";"SouthEast";"SouthWest";"North";"NorthEast";"East";"West";"NorthWest"},0),1,2,3,4,5,6,7,8)</f>
        <v>7</v>
      </c>
      <c r="AB1024" s="2">
        <f t="shared" si="156"/>
        <v>0</v>
      </c>
      <c r="AC1024">
        <v>1006.2</v>
      </c>
      <c r="AD1024" t="s">
        <v>496</v>
      </c>
      <c r="AE1024" s="2">
        <f t="shared" si="157"/>
        <v>1</v>
      </c>
      <c r="AF1024" t="s">
        <v>1530</v>
      </c>
      <c r="AG1024" s="2">
        <f t="shared" si="158"/>
        <v>2</v>
      </c>
      <c r="AH1024" s="2">
        <f t="shared" si="159"/>
        <v>0</v>
      </c>
      <c r="AI1024" s="3">
        <v>1120.0000000046571</v>
      </c>
      <c r="AJ1024" s="2">
        <v>1</v>
      </c>
      <c r="AK1024">
        <v>0</v>
      </c>
      <c r="AL1024">
        <v>20</v>
      </c>
      <c r="AM1024">
        <v>0</v>
      </c>
      <c r="AN1024" s="2">
        <f>IF((2*G1024+M1024-O1024+3*V1024+2*AB1024+2*AE1024+2*AH1024+3*AJ1024)&gt;=7,1,0)</f>
        <v>1</v>
      </c>
    </row>
    <row r="1025" spans="1:40" x14ac:dyDescent="0.25">
      <c r="A1025" t="s">
        <v>27</v>
      </c>
      <c r="B1025" s="1">
        <v>40239</v>
      </c>
      <c r="C1025" s="6">
        <f t="shared" si="150"/>
        <v>2010</v>
      </c>
      <c r="D1025">
        <v>69.8</v>
      </c>
      <c r="E1025">
        <v>57.2</v>
      </c>
      <c r="F1025">
        <v>65.599999999999994</v>
      </c>
      <c r="G1025" s="2">
        <f t="shared" si="151"/>
        <v>0</v>
      </c>
      <c r="H1025">
        <v>69.8</v>
      </c>
      <c r="I1025">
        <v>57.2</v>
      </c>
      <c r="J1025">
        <v>65.599999999999994</v>
      </c>
      <c r="K1025">
        <v>50.5</v>
      </c>
      <c r="L1025">
        <v>59.6</v>
      </c>
      <c r="M1025" s="2">
        <f t="shared" si="152"/>
        <v>1</v>
      </c>
      <c r="N1025">
        <v>0</v>
      </c>
      <c r="O1025" s="2">
        <f t="shared" si="153"/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 s="2">
        <f t="shared" si="154"/>
        <v>0</v>
      </c>
      <c r="W1025">
        <v>27.5</v>
      </c>
      <c r="X1025" s="2">
        <f t="shared" si="155"/>
        <v>1</v>
      </c>
      <c r="Y1025">
        <v>218.9</v>
      </c>
      <c r="Z1025" s="2" t="str">
        <f>CHOOSE(MATCH(Y1025,{0;11;80;111;161;191;241;281;341},1),"North","NorthEast","East","SouthEast","South","SouthWest","West","NorthWest","North")</f>
        <v>SouthWest</v>
      </c>
      <c r="AA1025" s="4">
        <f>CHOOSE(MATCH(Z1025,{"South";"SouthEast";"SouthWest";"North";"NorthEast";"East";"West";"NorthWest"},0),1,2,3,4,5,6,7,8)</f>
        <v>3</v>
      </c>
      <c r="AB1025" s="2">
        <f t="shared" si="156"/>
        <v>0</v>
      </c>
      <c r="AC1025">
        <v>1010.6</v>
      </c>
      <c r="AD1025" t="s">
        <v>419</v>
      </c>
      <c r="AE1025" s="2">
        <f t="shared" si="157"/>
        <v>1</v>
      </c>
      <c r="AF1025" t="s">
        <v>1531</v>
      </c>
      <c r="AG1025" s="2">
        <f t="shared" si="158"/>
        <v>3</v>
      </c>
      <c r="AH1025" s="2">
        <f t="shared" si="159"/>
        <v>0</v>
      </c>
      <c r="AI1025" s="3">
        <v>994.99999999534339</v>
      </c>
      <c r="AJ1025" s="2">
        <v>1</v>
      </c>
      <c r="AK1025">
        <v>0</v>
      </c>
      <c r="AL1025">
        <v>13</v>
      </c>
      <c r="AM1025">
        <v>0</v>
      </c>
      <c r="AN1025" s="2">
        <f>IF((2*G1025+M1025-O1025+3*V1025+2*AB1025+2*AE1025+2*AH1025+3*AJ1025)&gt;=7,1,0)</f>
        <v>0</v>
      </c>
    </row>
    <row r="1026" spans="1:40" x14ac:dyDescent="0.25">
      <c r="A1026" t="s">
        <v>27</v>
      </c>
      <c r="B1026" s="1">
        <v>40239</v>
      </c>
      <c r="C1026" s="6">
        <f t="shared" si="150"/>
        <v>2010</v>
      </c>
      <c r="D1026">
        <v>69.8</v>
      </c>
      <c r="E1026">
        <v>57.2</v>
      </c>
      <c r="F1026">
        <v>65.599999999999994</v>
      </c>
      <c r="G1026" s="2">
        <f t="shared" si="151"/>
        <v>0</v>
      </c>
      <c r="H1026">
        <v>69.8</v>
      </c>
      <c r="I1026">
        <v>57.2</v>
      </c>
      <c r="J1026">
        <v>65.599999999999994</v>
      </c>
      <c r="K1026">
        <v>50.5</v>
      </c>
      <c r="L1026">
        <v>59.6</v>
      </c>
      <c r="M1026" s="2">
        <f t="shared" si="152"/>
        <v>1</v>
      </c>
      <c r="N1026">
        <v>0</v>
      </c>
      <c r="O1026" s="2">
        <f t="shared" si="153"/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 s="2">
        <f t="shared" si="154"/>
        <v>0</v>
      </c>
      <c r="W1026">
        <v>27.5</v>
      </c>
      <c r="X1026" s="2">
        <f t="shared" si="155"/>
        <v>1</v>
      </c>
      <c r="Y1026">
        <v>218.9</v>
      </c>
      <c r="Z1026" s="2" t="str">
        <f>CHOOSE(MATCH(Y1026,{0;11;80;111;161;191;241;281;341},1),"North","NorthEast","East","SouthEast","South","SouthWest","West","NorthWest","North")</f>
        <v>SouthWest</v>
      </c>
      <c r="AA1026" s="4">
        <f>CHOOSE(MATCH(Z1026,{"South";"SouthEast";"SouthWest";"North";"NorthEast";"East";"West";"NorthWest"},0),1,2,3,4,5,6,7,8)</f>
        <v>3</v>
      </c>
      <c r="AB1026" s="2">
        <f t="shared" si="156"/>
        <v>0</v>
      </c>
      <c r="AC1026">
        <v>1010.6</v>
      </c>
      <c r="AD1026" t="s">
        <v>287</v>
      </c>
      <c r="AE1026" s="2">
        <f t="shared" si="157"/>
        <v>1</v>
      </c>
      <c r="AF1026" t="s">
        <v>1532</v>
      </c>
      <c r="AG1026" s="2">
        <f t="shared" si="158"/>
        <v>3</v>
      </c>
      <c r="AH1026" s="2">
        <f t="shared" si="159"/>
        <v>0</v>
      </c>
      <c r="AI1026" s="3">
        <v>465.00000000698492</v>
      </c>
      <c r="AJ1026" s="2">
        <v>1</v>
      </c>
      <c r="AK1026">
        <v>0</v>
      </c>
      <c r="AL1026">
        <v>20</v>
      </c>
      <c r="AM1026">
        <v>0</v>
      </c>
      <c r="AN1026" s="2">
        <f>IF((2*G1026+M1026-O1026+3*V1026+2*AB1026+2*AE1026+2*AH1026+3*AJ1026)&gt;=7,1,0)</f>
        <v>0</v>
      </c>
    </row>
    <row r="1027" spans="1:40" x14ac:dyDescent="0.25">
      <c r="A1027" t="s">
        <v>27</v>
      </c>
      <c r="B1027" s="1">
        <v>40240</v>
      </c>
      <c r="C1027" s="6">
        <f t="shared" ref="C1027:C1090" si="160">YEAR(B1027)</f>
        <v>2010</v>
      </c>
      <c r="D1027">
        <v>64.400000000000006</v>
      </c>
      <c r="E1027">
        <v>51.8</v>
      </c>
      <c r="F1027">
        <v>60</v>
      </c>
      <c r="G1027" s="2">
        <f t="shared" ref="G1027:G1090" si="161">IF(F1027&lt;=70,0,1)</f>
        <v>0</v>
      </c>
      <c r="H1027">
        <v>64.400000000000006</v>
      </c>
      <c r="I1027">
        <v>51.8</v>
      </c>
      <c r="J1027">
        <v>60</v>
      </c>
      <c r="K1027">
        <v>49.1</v>
      </c>
      <c r="L1027">
        <v>67.5</v>
      </c>
      <c r="M1027" s="2">
        <f t="shared" ref="M1027:M1090" si="162">IF(L1027&lt;=66,1,0)</f>
        <v>0</v>
      </c>
      <c r="N1027">
        <v>0</v>
      </c>
      <c r="O1027" s="2">
        <f t="shared" ref="O1027:O1090" si="163">IF(N1027&lt;=0.01,1,0)</f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 s="2">
        <f t="shared" ref="V1027:V1090" si="164">IF(U1027&lt;=9,0,1)</f>
        <v>0</v>
      </c>
      <c r="W1027">
        <v>24.2</v>
      </c>
      <c r="X1027" s="2">
        <f t="shared" ref="X1027:X1090" si="165">IF(W1027&gt;=16,1,0)</f>
        <v>1</v>
      </c>
      <c r="Y1027">
        <v>315.8</v>
      </c>
      <c r="Z1027" s="2" t="str">
        <f>CHOOSE(MATCH(Y1027,{0;11;80;111;161;191;241;281;341},1),"North","NorthEast","East","SouthEast","South","SouthWest","West","NorthWest","North")</f>
        <v>NorthWest</v>
      </c>
      <c r="AA1027" s="4">
        <f>CHOOSE(MATCH(Z1027,{"South";"SouthEast";"SouthWest";"North";"NorthEast";"East";"West";"NorthWest"},0),1,2,3,4,5,6,7,8)</f>
        <v>8</v>
      </c>
      <c r="AB1027" s="2">
        <f t="shared" ref="AB1027:AB1090" si="166">IF(OR(AA1027=4,AA1027=5,AA1027=8),1,0)</f>
        <v>1</v>
      </c>
      <c r="AC1027">
        <v>1018.3</v>
      </c>
      <c r="AD1027" t="s">
        <v>229</v>
      </c>
      <c r="AE1027" s="2">
        <f t="shared" ref="AE1027:AE1090" si="167">IF(TIMEVALUE(AD1027)&lt;=TIME(12,30,0),0,1)</f>
        <v>1</v>
      </c>
      <c r="AF1027" t="s">
        <v>1533</v>
      </c>
      <c r="AG1027" s="2">
        <f t="shared" ref="AG1027:AG1090" si="168">MONTH(AF1027)</f>
        <v>3</v>
      </c>
      <c r="AH1027" s="2">
        <f t="shared" ref="AH1027:AH1090" si="169">IF(OR(AG1027=6,AG1027=7,AG1027=8),1,0)</f>
        <v>0</v>
      </c>
      <c r="AI1027" s="3">
        <v>90</v>
      </c>
      <c r="AJ1027" s="2">
        <v>0</v>
      </c>
      <c r="AK1027">
        <v>0</v>
      </c>
      <c r="AL1027">
        <v>0.5</v>
      </c>
      <c r="AM1027">
        <v>0</v>
      </c>
      <c r="AN1027" s="2">
        <f>IF((2*G1027+M1027-O1027+3*V1027+2*AB1027+2*AE1027+2*AH1027+3*AJ1027)&gt;=7,1,0)</f>
        <v>0</v>
      </c>
    </row>
    <row r="1028" spans="1:40" x14ac:dyDescent="0.25">
      <c r="A1028" t="s">
        <v>27</v>
      </c>
      <c r="B1028" s="1">
        <v>40243</v>
      </c>
      <c r="C1028" s="6">
        <f t="shared" si="160"/>
        <v>2010</v>
      </c>
      <c r="D1028">
        <v>68</v>
      </c>
      <c r="E1028">
        <v>51.8</v>
      </c>
      <c r="F1028">
        <v>58.9</v>
      </c>
      <c r="G1028" s="2">
        <f t="shared" si="161"/>
        <v>0</v>
      </c>
      <c r="H1028">
        <v>68</v>
      </c>
      <c r="I1028">
        <v>51.8</v>
      </c>
      <c r="J1028">
        <v>58.9</v>
      </c>
      <c r="K1028">
        <v>49.8</v>
      </c>
      <c r="L1028">
        <v>72.8</v>
      </c>
      <c r="M1028" s="2">
        <f t="shared" si="162"/>
        <v>0</v>
      </c>
      <c r="N1028">
        <v>0</v>
      </c>
      <c r="O1028" s="2">
        <f t="shared" si="163"/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 s="2">
        <f t="shared" si="164"/>
        <v>0</v>
      </c>
      <c r="W1028">
        <v>18.3</v>
      </c>
      <c r="X1028" s="2">
        <f t="shared" si="165"/>
        <v>1</v>
      </c>
      <c r="Y1028">
        <v>224.6</v>
      </c>
      <c r="Z1028" s="2" t="str">
        <f>CHOOSE(MATCH(Y1028,{0;11;80;111;161;191;241;281;341},1),"North","NorthEast","East","SouthEast","South","SouthWest","West","NorthWest","North")</f>
        <v>SouthWest</v>
      </c>
      <c r="AA1028" s="4">
        <f>CHOOSE(MATCH(Z1028,{"South";"SouthEast";"SouthWest";"North";"NorthEast";"East";"West";"NorthWest"},0),1,2,3,4,5,6,7,8)</f>
        <v>3</v>
      </c>
      <c r="AB1028" s="2">
        <f t="shared" si="166"/>
        <v>0</v>
      </c>
      <c r="AC1028">
        <v>1012.2</v>
      </c>
      <c r="AD1028" t="s">
        <v>439</v>
      </c>
      <c r="AE1028" s="2">
        <f t="shared" si="167"/>
        <v>1</v>
      </c>
      <c r="AF1028" t="s">
        <v>1534</v>
      </c>
      <c r="AG1028" s="2">
        <f t="shared" si="168"/>
        <v>3</v>
      </c>
      <c r="AH1028" s="2">
        <f t="shared" si="169"/>
        <v>0</v>
      </c>
      <c r="AI1028" s="3">
        <v>105.9999999997672</v>
      </c>
      <c r="AJ1028" s="2">
        <v>0</v>
      </c>
      <c r="AK1028">
        <v>0</v>
      </c>
      <c r="AL1028">
        <v>2</v>
      </c>
      <c r="AM1028">
        <v>0</v>
      </c>
      <c r="AN1028" s="2">
        <f>IF((2*G1028+M1028-O1028+3*V1028+2*AB1028+2*AE1028+2*AH1028+3*AJ1028)&gt;=7,1,0)</f>
        <v>0</v>
      </c>
    </row>
    <row r="1029" spans="1:40" x14ac:dyDescent="0.25">
      <c r="A1029" t="s">
        <v>27</v>
      </c>
      <c r="B1029" s="1">
        <v>40243</v>
      </c>
      <c r="C1029" s="6">
        <f t="shared" si="160"/>
        <v>2010</v>
      </c>
      <c r="D1029">
        <v>68</v>
      </c>
      <c r="E1029">
        <v>51.8</v>
      </c>
      <c r="F1029">
        <v>58.9</v>
      </c>
      <c r="G1029" s="2">
        <f t="shared" si="161"/>
        <v>0</v>
      </c>
      <c r="H1029">
        <v>68</v>
      </c>
      <c r="I1029">
        <v>51.8</v>
      </c>
      <c r="J1029">
        <v>58.9</v>
      </c>
      <c r="K1029">
        <v>49.8</v>
      </c>
      <c r="L1029">
        <v>72.8</v>
      </c>
      <c r="M1029" s="2">
        <f t="shared" si="162"/>
        <v>0</v>
      </c>
      <c r="N1029">
        <v>0</v>
      </c>
      <c r="O1029" s="2">
        <f t="shared" si="163"/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 s="2">
        <f t="shared" si="164"/>
        <v>0</v>
      </c>
      <c r="W1029">
        <v>18.3</v>
      </c>
      <c r="X1029" s="2">
        <f t="shared" si="165"/>
        <v>1</v>
      </c>
      <c r="Y1029">
        <v>224.6</v>
      </c>
      <c r="Z1029" s="2" t="str">
        <f>CHOOSE(MATCH(Y1029,{0;11;80;111;161;191;241;281;341},1),"North","NorthEast","East","SouthEast","South","SouthWest","West","NorthWest","North")</f>
        <v>SouthWest</v>
      </c>
      <c r="AA1029" s="4">
        <f>CHOOSE(MATCH(Z1029,{"South";"SouthEast";"SouthWest";"North";"NorthEast";"East";"West";"NorthWest"},0),1,2,3,4,5,6,7,8)</f>
        <v>3</v>
      </c>
      <c r="AB1029" s="2">
        <f t="shared" si="166"/>
        <v>0</v>
      </c>
      <c r="AC1029">
        <v>1012.2</v>
      </c>
      <c r="AD1029" t="s">
        <v>566</v>
      </c>
      <c r="AE1029" s="2">
        <f t="shared" si="167"/>
        <v>1</v>
      </c>
      <c r="AF1029" t="s">
        <v>1535</v>
      </c>
      <c r="AG1029" s="2">
        <f t="shared" si="168"/>
        <v>3</v>
      </c>
      <c r="AH1029" s="2">
        <f t="shared" si="169"/>
        <v>0</v>
      </c>
      <c r="AI1029" s="3">
        <v>870.00000000698492</v>
      </c>
      <c r="AJ1029" s="2">
        <v>1</v>
      </c>
      <c r="AK1029">
        <v>0</v>
      </c>
      <c r="AL1029">
        <v>15</v>
      </c>
      <c r="AM1029">
        <v>0</v>
      </c>
      <c r="AN1029" s="2">
        <f>IF((2*G1029+M1029-O1029+3*V1029+2*AB1029+2*AE1029+2*AH1029+3*AJ1029)&gt;=7,1,0)</f>
        <v>0</v>
      </c>
    </row>
    <row r="1030" spans="1:40" x14ac:dyDescent="0.25">
      <c r="A1030" t="s">
        <v>27</v>
      </c>
      <c r="B1030" s="1">
        <v>40249</v>
      </c>
      <c r="C1030" s="6">
        <f t="shared" si="160"/>
        <v>2010</v>
      </c>
      <c r="D1030">
        <v>64.400000000000006</v>
      </c>
      <c r="E1030">
        <v>51.8</v>
      </c>
      <c r="F1030">
        <v>59.1</v>
      </c>
      <c r="G1030" s="2">
        <f t="shared" si="161"/>
        <v>0</v>
      </c>
      <c r="H1030">
        <v>64.400000000000006</v>
      </c>
      <c r="I1030">
        <v>51.8</v>
      </c>
      <c r="J1030">
        <v>59.1</v>
      </c>
      <c r="K1030">
        <v>46.2</v>
      </c>
      <c r="L1030">
        <v>62.8</v>
      </c>
      <c r="M1030" s="2">
        <f t="shared" si="162"/>
        <v>1</v>
      </c>
      <c r="N1030">
        <v>0</v>
      </c>
      <c r="O1030" s="2">
        <f t="shared" si="163"/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 s="2">
        <f t="shared" si="164"/>
        <v>0</v>
      </c>
      <c r="W1030">
        <v>20.8</v>
      </c>
      <c r="X1030" s="2">
        <f t="shared" si="165"/>
        <v>1</v>
      </c>
      <c r="Y1030">
        <v>299.5</v>
      </c>
      <c r="Z1030" s="2" t="str">
        <f>CHOOSE(MATCH(Y1030,{0;11;80;111;161;191;241;281;341},1),"North","NorthEast","East","SouthEast","South","SouthWest","West","NorthWest","North")</f>
        <v>NorthWest</v>
      </c>
      <c r="AA1030" s="4">
        <f>CHOOSE(MATCH(Z1030,{"South";"SouthEast";"SouthWest";"North";"NorthEast";"East";"West";"NorthWest"},0),1,2,3,4,5,6,7,8)</f>
        <v>8</v>
      </c>
      <c r="AB1030" s="2">
        <f t="shared" si="166"/>
        <v>1</v>
      </c>
      <c r="AC1030">
        <v>1015.4</v>
      </c>
      <c r="AD1030" t="s">
        <v>1328</v>
      </c>
      <c r="AE1030" s="2">
        <f t="shared" si="167"/>
        <v>0</v>
      </c>
      <c r="AF1030" t="s">
        <v>1536</v>
      </c>
      <c r="AG1030" s="2">
        <f t="shared" si="168"/>
        <v>3</v>
      </c>
      <c r="AH1030" s="2">
        <f t="shared" si="169"/>
        <v>0</v>
      </c>
      <c r="AI1030" s="3">
        <v>435.00000000349252</v>
      </c>
      <c r="AJ1030" s="2">
        <v>1</v>
      </c>
      <c r="AK1030">
        <v>0</v>
      </c>
      <c r="AL1030">
        <v>2</v>
      </c>
      <c r="AM1030">
        <v>0</v>
      </c>
      <c r="AN1030" s="2">
        <f>IF((2*G1030+M1030-O1030+3*V1030+2*AB1030+2*AE1030+2*AH1030+3*AJ1030)&gt;=7,1,0)</f>
        <v>0</v>
      </c>
    </row>
    <row r="1031" spans="1:40" x14ac:dyDescent="0.25">
      <c r="A1031" t="s">
        <v>27</v>
      </c>
      <c r="B1031" s="1">
        <v>40266</v>
      </c>
      <c r="C1031" s="6">
        <f t="shared" si="160"/>
        <v>2010</v>
      </c>
      <c r="D1031">
        <v>64.400000000000006</v>
      </c>
      <c r="E1031">
        <v>53.6</v>
      </c>
      <c r="F1031">
        <v>60.3</v>
      </c>
      <c r="G1031" s="2">
        <f t="shared" si="161"/>
        <v>0</v>
      </c>
      <c r="H1031">
        <v>64.400000000000006</v>
      </c>
      <c r="I1031">
        <v>53.6</v>
      </c>
      <c r="J1031">
        <v>60.3</v>
      </c>
      <c r="K1031">
        <v>47.8</v>
      </c>
      <c r="L1031">
        <v>63.6</v>
      </c>
      <c r="M1031" s="2">
        <f t="shared" si="162"/>
        <v>1</v>
      </c>
      <c r="N1031">
        <v>0</v>
      </c>
      <c r="O1031" s="2">
        <f t="shared" si="163"/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 s="2">
        <f t="shared" si="164"/>
        <v>0</v>
      </c>
      <c r="W1031">
        <v>18.3</v>
      </c>
      <c r="X1031" s="2">
        <f t="shared" si="165"/>
        <v>1</v>
      </c>
      <c r="Y1031">
        <v>296.3</v>
      </c>
      <c r="Z1031" s="2" t="str">
        <f>CHOOSE(MATCH(Y1031,{0;11;80;111;161;191;241;281;341},1),"North","NorthEast","East","SouthEast","South","SouthWest","West","NorthWest","North")</f>
        <v>NorthWest</v>
      </c>
      <c r="AA1031" s="4">
        <f>CHOOSE(MATCH(Z1031,{"South";"SouthEast";"SouthWest";"North";"NorthEast";"East";"West";"NorthWest"},0),1,2,3,4,5,6,7,8)</f>
        <v>8</v>
      </c>
      <c r="AB1031" s="2">
        <f t="shared" si="166"/>
        <v>1</v>
      </c>
      <c r="AC1031">
        <v>1014.9</v>
      </c>
      <c r="AD1031" t="s">
        <v>876</v>
      </c>
      <c r="AE1031" s="2">
        <f t="shared" si="167"/>
        <v>1</v>
      </c>
      <c r="AF1031" t="s">
        <v>1537</v>
      </c>
      <c r="AG1031" s="2">
        <f t="shared" si="168"/>
        <v>3</v>
      </c>
      <c r="AH1031" s="2">
        <f t="shared" si="169"/>
        <v>0</v>
      </c>
      <c r="AI1031" s="3">
        <v>145.00000000116421</v>
      </c>
      <c r="AJ1031" s="2">
        <v>0</v>
      </c>
      <c r="AK1031">
        <v>0</v>
      </c>
      <c r="AL1031">
        <v>5</v>
      </c>
      <c r="AM1031">
        <v>0</v>
      </c>
      <c r="AN1031" s="2">
        <f>IF((2*G1031+M1031-O1031+3*V1031+2*AB1031+2*AE1031+2*AH1031+3*AJ1031)&gt;=7,1,0)</f>
        <v>0</v>
      </c>
    </row>
    <row r="1032" spans="1:40" x14ac:dyDescent="0.25">
      <c r="A1032" t="s">
        <v>27</v>
      </c>
      <c r="B1032" s="1">
        <v>40267</v>
      </c>
      <c r="C1032" s="6">
        <f t="shared" si="160"/>
        <v>2010</v>
      </c>
      <c r="D1032">
        <v>68</v>
      </c>
      <c r="E1032">
        <v>48.2</v>
      </c>
      <c r="F1032">
        <v>58.1</v>
      </c>
      <c r="G1032" s="2">
        <f t="shared" si="161"/>
        <v>0</v>
      </c>
      <c r="H1032">
        <v>68</v>
      </c>
      <c r="I1032">
        <v>44.1</v>
      </c>
      <c r="J1032">
        <v>57.9</v>
      </c>
      <c r="K1032">
        <v>48.7</v>
      </c>
      <c r="L1032">
        <v>71.900000000000006</v>
      </c>
      <c r="M1032" s="2">
        <f t="shared" si="162"/>
        <v>0</v>
      </c>
      <c r="N1032">
        <v>0</v>
      </c>
      <c r="O1032" s="2">
        <f t="shared" si="163"/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 s="2">
        <f t="shared" si="164"/>
        <v>0</v>
      </c>
      <c r="W1032">
        <v>12.8</v>
      </c>
      <c r="X1032" s="2">
        <f t="shared" si="165"/>
        <v>0</v>
      </c>
      <c r="Y1032">
        <v>140.80000000000001</v>
      </c>
      <c r="Z1032" s="2" t="str">
        <f>CHOOSE(MATCH(Y1032,{0;11;80;111;161;191;241;281;341},1),"North","NorthEast","East","SouthEast","South","SouthWest","West","NorthWest","North")</f>
        <v>SouthEast</v>
      </c>
      <c r="AA1032" s="4">
        <f>CHOOSE(MATCH(Z1032,{"South";"SouthEast";"SouthWest";"North";"NorthEast";"East";"West";"NorthWest"},0),1,2,3,4,5,6,7,8)</f>
        <v>2</v>
      </c>
      <c r="AB1032" s="2">
        <f t="shared" si="166"/>
        <v>0</v>
      </c>
      <c r="AC1032">
        <v>1018.8</v>
      </c>
      <c r="AD1032" t="s">
        <v>1538</v>
      </c>
      <c r="AE1032" s="2">
        <f t="shared" si="167"/>
        <v>1</v>
      </c>
      <c r="AF1032" t="s">
        <v>1539</v>
      </c>
      <c r="AG1032" s="2">
        <f t="shared" si="168"/>
        <v>3</v>
      </c>
      <c r="AH1032" s="2">
        <f t="shared" si="169"/>
        <v>0</v>
      </c>
      <c r="AI1032" s="3">
        <v>55.000000001164153</v>
      </c>
      <c r="AJ1032" s="2">
        <v>0</v>
      </c>
      <c r="AK1032">
        <v>0</v>
      </c>
      <c r="AL1032">
        <v>1</v>
      </c>
      <c r="AM1032">
        <v>0</v>
      </c>
      <c r="AN1032" s="2">
        <f>IF((2*G1032+M1032-O1032+3*V1032+2*AB1032+2*AE1032+2*AH1032+3*AJ1032)&gt;=7,1,0)</f>
        <v>0</v>
      </c>
    </row>
    <row r="1033" spans="1:40" x14ac:dyDescent="0.25">
      <c r="A1033" t="s">
        <v>27</v>
      </c>
      <c r="B1033" s="1">
        <v>40268</v>
      </c>
      <c r="C1033" s="6">
        <f t="shared" si="160"/>
        <v>2010</v>
      </c>
      <c r="D1033">
        <v>77</v>
      </c>
      <c r="E1033">
        <v>55.4</v>
      </c>
      <c r="F1033">
        <v>66.599999999999994</v>
      </c>
      <c r="G1033" s="2">
        <f t="shared" si="161"/>
        <v>0</v>
      </c>
      <c r="H1033">
        <v>77</v>
      </c>
      <c r="I1033">
        <v>55.4</v>
      </c>
      <c r="J1033">
        <v>66.599999999999994</v>
      </c>
      <c r="K1033">
        <v>41.4</v>
      </c>
      <c r="L1033">
        <v>40.6</v>
      </c>
      <c r="M1033" s="2">
        <f t="shared" si="162"/>
        <v>1</v>
      </c>
      <c r="N1033">
        <v>0</v>
      </c>
      <c r="O1033" s="2">
        <f t="shared" si="163"/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49.4</v>
      </c>
      <c r="V1033" s="2">
        <f t="shared" si="164"/>
        <v>1</v>
      </c>
      <c r="W1033">
        <v>36.9</v>
      </c>
      <c r="X1033" s="2">
        <f t="shared" si="165"/>
        <v>1</v>
      </c>
      <c r="Y1033">
        <v>182.6</v>
      </c>
      <c r="Z1033" s="2" t="str">
        <f>CHOOSE(MATCH(Y1033,{0;11;80;111;161;191;241;281;341},1),"North","NorthEast","East","SouthEast","South","SouthWest","West","NorthWest","North")</f>
        <v>South</v>
      </c>
      <c r="AA1033" s="4">
        <f>CHOOSE(MATCH(Z1033,{"South";"SouthEast";"SouthWest";"North";"NorthEast";"East";"West";"NorthWest"},0),1,2,3,4,5,6,7,8)</f>
        <v>1</v>
      </c>
      <c r="AB1033" s="2">
        <f t="shared" si="166"/>
        <v>0</v>
      </c>
      <c r="AC1033">
        <v>1013.5</v>
      </c>
      <c r="AD1033" t="s">
        <v>209</v>
      </c>
      <c r="AE1033" s="2">
        <f t="shared" si="167"/>
        <v>0</v>
      </c>
      <c r="AF1033" t="s">
        <v>1540</v>
      </c>
      <c r="AG1033" s="2">
        <f t="shared" si="168"/>
        <v>3</v>
      </c>
      <c r="AH1033" s="2">
        <f t="shared" si="169"/>
        <v>0</v>
      </c>
      <c r="AI1033" s="3">
        <v>4730.999999998603</v>
      </c>
      <c r="AJ1033" s="2">
        <v>1</v>
      </c>
      <c r="AK1033">
        <v>290</v>
      </c>
      <c r="AL1033">
        <v>0</v>
      </c>
      <c r="AM1033">
        <v>0</v>
      </c>
      <c r="AN1033" s="2">
        <f>IF((2*G1033+M1033-O1033+3*V1033+2*AB1033+2*AE1033+2*AH1033+3*AJ1033)&gt;=7,1,0)</f>
        <v>0</v>
      </c>
    </row>
    <row r="1034" spans="1:40" x14ac:dyDescent="0.25">
      <c r="A1034" t="s">
        <v>27</v>
      </c>
      <c r="B1034" s="1">
        <v>40276</v>
      </c>
      <c r="C1034" s="6">
        <f t="shared" si="160"/>
        <v>2010</v>
      </c>
      <c r="D1034">
        <v>64.400000000000006</v>
      </c>
      <c r="E1034">
        <v>48.8</v>
      </c>
      <c r="F1034">
        <v>60.1</v>
      </c>
      <c r="G1034" s="2">
        <f t="shared" si="161"/>
        <v>0</v>
      </c>
      <c r="H1034">
        <v>64.400000000000006</v>
      </c>
      <c r="I1034">
        <v>48</v>
      </c>
      <c r="J1034">
        <v>60</v>
      </c>
      <c r="K1034">
        <v>48.3</v>
      </c>
      <c r="L1034">
        <v>65.599999999999994</v>
      </c>
      <c r="M1034" s="2">
        <f t="shared" si="162"/>
        <v>1</v>
      </c>
      <c r="N1034">
        <v>0</v>
      </c>
      <c r="O1034" s="2">
        <f t="shared" si="163"/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 s="2">
        <f t="shared" si="164"/>
        <v>0</v>
      </c>
      <c r="W1034">
        <v>17.2</v>
      </c>
      <c r="X1034" s="2">
        <f t="shared" si="165"/>
        <v>1</v>
      </c>
      <c r="Y1034">
        <v>320.7</v>
      </c>
      <c r="Z1034" s="2" t="str">
        <f>CHOOSE(MATCH(Y1034,{0;11;80;111;161;191;241;281;341},1),"North","NorthEast","East","SouthEast","South","SouthWest","West","NorthWest","North")</f>
        <v>NorthWest</v>
      </c>
      <c r="AA1034" s="4">
        <f>CHOOSE(MATCH(Z1034,{"South";"SouthEast";"SouthWest";"North";"NorthEast";"East";"West";"NorthWest"},0),1,2,3,4,5,6,7,8)</f>
        <v>8</v>
      </c>
      <c r="AB1034" s="2">
        <f t="shared" si="166"/>
        <v>1</v>
      </c>
      <c r="AC1034">
        <v>1018.2</v>
      </c>
      <c r="AD1034" t="s">
        <v>619</v>
      </c>
      <c r="AE1034" s="2">
        <f t="shared" si="167"/>
        <v>0</v>
      </c>
      <c r="AF1034" t="s">
        <v>1541</v>
      </c>
      <c r="AG1034" s="2">
        <f t="shared" si="168"/>
        <v>4</v>
      </c>
      <c r="AH1034" s="2">
        <f t="shared" si="169"/>
        <v>0</v>
      </c>
      <c r="AI1034" s="3">
        <v>90</v>
      </c>
      <c r="AJ1034" s="2">
        <v>0</v>
      </c>
      <c r="AK1034">
        <v>0</v>
      </c>
      <c r="AL1034">
        <v>1</v>
      </c>
      <c r="AM1034">
        <v>0</v>
      </c>
      <c r="AN1034" s="2">
        <f>IF((2*G1034+M1034-O1034+3*V1034+2*AB1034+2*AE1034+2*AH1034+3*AJ1034)&gt;=7,1,0)</f>
        <v>0</v>
      </c>
    </row>
    <row r="1035" spans="1:40" x14ac:dyDescent="0.25">
      <c r="A1035" t="s">
        <v>27</v>
      </c>
      <c r="B1035" s="1">
        <v>40277</v>
      </c>
      <c r="C1035" s="6">
        <f t="shared" si="160"/>
        <v>2010</v>
      </c>
      <c r="D1035">
        <v>64.400000000000006</v>
      </c>
      <c r="E1035">
        <v>57.2</v>
      </c>
      <c r="F1035">
        <v>60.7</v>
      </c>
      <c r="G1035" s="2">
        <f t="shared" si="161"/>
        <v>0</v>
      </c>
      <c r="H1035">
        <v>64.400000000000006</v>
      </c>
      <c r="I1035">
        <v>57.2</v>
      </c>
      <c r="J1035">
        <v>60.7</v>
      </c>
      <c r="K1035">
        <v>47.8</v>
      </c>
      <c r="L1035">
        <v>63</v>
      </c>
      <c r="M1035" s="2">
        <f t="shared" si="162"/>
        <v>1</v>
      </c>
      <c r="N1035">
        <v>0</v>
      </c>
      <c r="O1035" s="2">
        <f t="shared" si="163"/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s="2">
        <f t="shared" si="164"/>
        <v>0</v>
      </c>
      <c r="W1035">
        <v>12.8</v>
      </c>
      <c r="X1035" s="2">
        <f t="shared" si="165"/>
        <v>0</v>
      </c>
      <c r="Y1035">
        <v>347.4</v>
      </c>
      <c r="Z1035" s="2" t="str">
        <f>CHOOSE(MATCH(Y1035,{0;11;80;111;161;191;241;281;341},1),"North","NorthEast","East","SouthEast","South","SouthWest","West","NorthWest","North")</f>
        <v>North</v>
      </c>
      <c r="AA1035" s="4">
        <f>CHOOSE(MATCH(Z1035,{"South";"SouthEast";"SouthWest";"North";"NorthEast";"East";"West";"NorthWest"},0),1,2,3,4,5,6,7,8)</f>
        <v>4</v>
      </c>
      <c r="AB1035" s="2">
        <f t="shared" si="166"/>
        <v>1</v>
      </c>
      <c r="AC1035">
        <v>1018.7</v>
      </c>
      <c r="AD1035" t="s">
        <v>1024</v>
      </c>
      <c r="AE1035" s="2">
        <f t="shared" si="167"/>
        <v>1</v>
      </c>
      <c r="AF1035" t="s">
        <v>1542</v>
      </c>
      <c r="AG1035" s="2">
        <f t="shared" si="168"/>
        <v>4</v>
      </c>
      <c r="AH1035" s="2">
        <f t="shared" si="169"/>
        <v>0</v>
      </c>
      <c r="AI1035" s="3">
        <v>1309.9999999953429</v>
      </c>
      <c r="AJ1035" s="2">
        <v>1</v>
      </c>
      <c r="AK1035">
        <v>0</v>
      </c>
      <c r="AL1035">
        <v>7</v>
      </c>
      <c r="AM1035">
        <v>0</v>
      </c>
      <c r="AN1035" s="2">
        <f>IF((2*G1035+M1035-O1035+3*V1035+2*AB1035+2*AE1035+2*AH1035+3*AJ1035)&gt;=7,1,0)</f>
        <v>1</v>
      </c>
    </row>
    <row r="1036" spans="1:40" x14ac:dyDescent="0.25">
      <c r="A1036" t="s">
        <v>27</v>
      </c>
      <c r="B1036" s="1">
        <v>40277</v>
      </c>
      <c r="C1036" s="6">
        <f t="shared" si="160"/>
        <v>2010</v>
      </c>
      <c r="D1036">
        <v>64.400000000000006</v>
      </c>
      <c r="E1036">
        <v>57.2</v>
      </c>
      <c r="F1036">
        <v>60.7</v>
      </c>
      <c r="G1036" s="2">
        <f t="shared" si="161"/>
        <v>0</v>
      </c>
      <c r="H1036">
        <v>64.400000000000006</v>
      </c>
      <c r="I1036">
        <v>57.2</v>
      </c>
      <c r="J1036">
        <v>60.7</v>
      </c>
      <c r="K1036">
        <v>47.8</v>
      </c>
      <c r="L1036">
        <v>63</v>
      </c>
      <c r="M1036" s="2">
        <f t="shared" si="162"/>
        <v>1</v>
      </c>
      <c r="N1036">
        <v>0</v>
      </c>
      <c r="O1036" s="2">
        <f t="shared" si="163"/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 s="2">
        <f t="shared" si="164"/>
        <v>0</v>
      </c>
      <c r="W1036">
        <v>12.8</v>
      </c>
      <c r="X1036" s="2">
        <f t="shared" si="165"/>
        <v>0</v>
      </c>
      <c r="Y1036">
        <v>347.4</v>
      </c>
      <c r="Z1036" s="2" t="str">
        <f>CHOOSE(MATCH(Y1036,{0;11;80;111;161;191;241;281;341},1),"North","NorthEast","East","SouthEast","South","SouthWest","West","NorthWest","North")</f>
        <v>North</v>
      </c>
      <c r="AA1036" s="4">
        <f>CHOOSE(MATCH(Z1036,{"South";"SouthEast";"SouthWest";"North";"NorthEast";"East";"West";"NorthWest"},0),1,2,3,4,5,6,7,8)</f>
        <v>4</v>
      </c>
      <c r="AB1036" s="2">
        <f t="shared" si="166"/>
        <v>1</v>
      </c>
      <c r="AC1036">
        <v>1018.7</v>
      </c>
      <c r="AD1036" t="s">
        <v>266</v>
      </c>
      <c r="AE1036" s="2">
        <f t="shared" si="167"/>
        <v>1</v>
      </c>
      <c r="AF1036" t="s">
        <v>1543</v>
      </c>
      <c r="AG1036" s="2">
        <f t="shared" si="168"/>
        <v>4</v>
      </c>
      <c r="AH1036" s="2">
        <f t="shared" si="169"/>
        <v>0</v>
      </c>
      <c r="AI1036" s="3">
        <v>108.99999999906871</v>
      </c>
      <c r="AJ1036" s="2">
        <v>0</v>
      </c>
      <c r="AK1036">
        <v>0</v>
      </c>
      <c r="AL1036">
        <v>0.5</v>
      </c>
      <c r="AM1036">
        <v>0</v>
      </c>
      <c r="AN1036" s="2">
        <f>IF((2*G1036+M1036-O1036+3*V1036+2*AB1036+2*AE1036+2*AH1036+3*AJ1036)&gt;=7,1,0)</f>
        <v>0</v>
      </c>
    </row>
    <row r="1037" spans="1:40" x14ac:dyDescent="0.25">
      <c r="A1037" t="s">
        <v>27</v>
      </c>
      <c r="B1037" s="1">
        <v>40277</v>
      </c>
      <c r="C1037" s="6">
        <f t="shared" si="160"/>
        <v>2010</v>
      </c>
      <c r="D1037">
        <v>64.400000000000006</v>
      </c>
      <c r="E1037">
        <v>57.2</v>
      </c>
      <c r="F1037">
        <v>60.7</v>
      </c>
      <c r="G1037" s="2">
        <f t="shared" si="161"/>
        <v>0</v>
      </c>
      <c r="H1037">
        <v>64.400000000000006</v>
      </c>
      <c r="I1037">
        <v>57.2</v>
      </c>
      <c r="J1037">
        <v>60.7</v>
      </c>
      <c r="K1037">
        <v>47.8</v>
      </c>
      <c r="L1037">
        <v>63</v>
      </c>
      <c r="M1037" s="2">
        <f t="shared" si="162"/>
        <v>1</v>
      </c>
      <c r="N1037">
        <v>0</v>
      </c>
      <c r="O1037" s="2">
        <f t="shared" si="163"/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 s="2">
        <f t="shared" si="164"/>
        <v>0</v>
      </c>
      <c r="W1037">
        <v>12.8</v>
      </c>
      <c r="X1037" s="2">
        <f t="shared" si="165"/>
        <v>0</v>
      </c>
      <c r="Y1037">
        <v>347.4</v>
      </c>
      <c r="Z1037" s="2" t="str">
        <f>CHOOSE(MATCH(Y1037,{0;11;80;111;161;191;241;281;341},1),"North","NorthEast","East","SouthEast","South","SouthWest","West","NorthWest","North")</f>
        <v>North</v>
      </c>
      <c r="AA1037" s="4">
        <f>CHOOSE(MATCH(Z1037,{"South";"SouthEast";"SouthWest";"North";"NorthEast";"East";"West";"NorthWest"},0),1,2,3,4,5,6,7,8)</f>
        <v>4</v>
      </c>
      <c r="AB1037" s="2">
        <f t="shared" si="166"/>
        <v>1</v>
      </c>
      <c r="AC1037">
        <v>1018.7</v>
      </c>
      <c r="AD1037" t="s">
        <v>251</v>
      </c>
      <c r="AE1037" s="2">
        <f t="shared" si="167"/>
        <v>1</v>
      </c>
      <c r="AF1037" t="s">
        <v>1544</v>
      </c>
      <c r="AG1037" s="2">
        <f t="shared" si="168"/>
        <v>4</v>
      </c>
      <c r="AH1037" s="2">
        <f t="shared" si="169"/>
        <v>0</v>
      </c>
      <c r="AI1037" s="3">
        <v>129.99999999417921</v>
      </c>
      <c r="AJ1037" s="2">
        <v>0</v>
      </c>
      <c r="AK1037">
        <v>0</v>
      </c>
      <c r="AL1037">
        <v>2</v>
      </c>
      <c r="AM1037">
        <v>0</v>
      </c>
      <c r="AN1037" s="2">
        <f>IF((2*G1037+M1037-O1037+3*V1037+2*AB1037+2*AE1037+2*AH1037+3*AJ1037)&gt;=7,1,0)</f>
        <v>0</v>
      </c>
    </row>
    <row r="1038" spans="1:40" x14ac:dyDescent="0.25">
      <c r="A1038" t="s">
        <v>27</v>
      </c>
      <c r="B1038" s="1">
        <v>40279</v>
      </c>
      <c r="C1038" s="6">
        <f t="shared" si="160"/>
        <v>2010</v>
      </c>
      <c r="D1038">
        <v>64.400000000000006</v>
      </c>
      <c r="E1038">
        <v>53.6</v>
      </c>
      <c r="F1038">
        <v>59.6</v>
      </c>
      <c r="G1038" s="2">
        <f t="shared" si="161"/>
        <v>0</v>
      </c>
      <c r="H1038">
        <v>64.400000000000006</v>
      </c>
      <c r="I1038">
        <v>53.6</v>
      </c>
      <c r="J1038">
        <v>59.6</v>
      </c>
      <c r="K1038">
        <v>48.6</v>
      </c>
      <c r="L1038">
        <v>67.400000000000006</v>
      </c>
      <c r="M1038" s="2">
        <f t="shared" si="162"/>
        <v>0</v>
      </c>
      <c r="N1038">
        <v>0.02</v>
      </c>
      <c r="O1038" s="2">
        <f t="shared" si="163"/>
        <v>0</v>
      </c>
      <c r="P1038">
        <v>100</v>
      </c>
      <c r="Q1038">
        <v>4.17</v>
      </c>
      <c r="R1038" t="s">
        <v>182</v>
      </c>
      <c r="S1038">
        <v>0</v>
      </c>
      <c r="T1038">
        <v>0</v>
      </c>
      <c r="U1038">
        <v>0</v>
      </c>
      <c r="V1038" s="2">
        <f t="shared" si="164"/>
        <v>0</v>
      </c>
      <c r="W1038">
        <v>23</v>
      </c>
      <c r="X1038" s="2">
        <f t="shared" si="165"/>
        <v>1</v>
      </c>
      <c r="Y1038">
        <v>317.89999999999998</v>
      </c>
      <c r="Z1038" s="2" t="str">
        <f>CHOOSE(MATCH(Y1038,{0;11;80;111;161;191;241;281;341},1),"North","NorthEast","East","SouthEast","South","SouthWest","West","NorthWest","North")</f>
        <v>NorthWest</v>
      </c>
      <c r="AA1038" s="4">
        <f>CHOOSE(MATCH(Z1038,{"South";"SouthEast";"SouthWest";"North";"NorthEast";"East";"West";"NorthWest"},0),1,2,3,4,5,6,7,8)</f>
        <v>8</v>
      </c>
      <c r="AB1038" s="2">
        <f t="shared" si="166"/>
        <v>1</v>
      </c>
      <c r="AC1038">
        <v>1008.4</v>
      </c>
      <c r="AD1038" t="s">
        <v>357</v>
      </c>
      <c r="AE1038" s="2">
        <f t="shared" si="167"/>
        <v>1</v>
      </c>
      <c r="AF1038" t="s">
        <v>1545</v>
      </c>
      <c r="AG1038" s="2">
        <f t="shared" si="168"/>
        <v>4</v>
      </c>
      <c r="AH1038" s="2">
        <f t="shared" si="169"/>
        <v>0</v>
      </c>
      <c r="AI1038" s="3">
        <v>155.00000000232831</v>
      </c>
      <c r="AJ1038" s="2">
        <v>0</v>
      </c>
      <c r="AK1038">
        <v>0</v>
      </c>
      <c r="AL1038">
        <v>0.1</v>
      </c>
      <c r="AM1038">
        <v>0</v>
      </c>
      <c r="AN1038" s="2">
        <f>IF((2*G1038+M1038-O1038+3*V1038+2*AB1038+2*AE1038+2*AH1038+3*AJ1038)&gt;=7,1,0)</f>
        <v>0</v>
      </c>
    </row>
    <row r="1039" spans="1:40" x14ac:dyDescent="0.25">
      <c r="A1039" t="s">
        <v>27</v>
      </c>
      <c r="B1039" s="1">
        <v>40281</v>
      </c>
      <c r="C1039" s="6">
        <f t="shared" si="160"/>
        <v>2010</v>
      </c>
      <c r="D1039">
        <v>64.400000000000006</v>
      </c>
      <c r="E1039">
        <v>51.8</v>
      </c>
      <c r="F1039">
        <v>58.2</v>
      </c>
      <c r="G1039" s="2">
        <f t="shared" si="161"/>
        <v>0</v>
      </c>
      <c r="H1039">
        <v>64.400000000000006</v>
      </c>
      <c r="I1039">
        <v>51.8</v>
      </c>
      <c r="J1039">
        <v>58.2</v>
      </c>
      <c r="K1039">
        <v>49.9</v>
      </c>
      <c r="L1039">
        <v>74.7</v>
      </c>
      <c r="M1039" s="2">
        <f t="shared" si="162"/>
        <v>0</v>
      </c>
      <c r="N1039">
        <v>0</v>
      </c>
      <c r="O1039" s="2">
        <f t="shared" si="163"/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 s="2">
        <f t="shared" si="164"/>
        <v>0</v>
      </c>
      <c r="W1039">
        <v>9.1999999999999993</v>
      </c>
      <c r="X1039" s="2">
        <f t="shared" si="165"/>
        <v>0</v>
      </c>
      <c r="Y1039">
        <v>121.5</v>
      </c>
      <c r="Z1039" s="2" t="str">
        <f>CHOOSE(MATCH(Y1039,{0;11;80;111;161;191;241;281;341},1),"North","NorthEast","East","SouthEast","South","SouthWest","West","NorthWest","North")</f>
        <v>SouthEast</v>
      </c>
      <c r="AA1039" s="4">
        <f>CHOOSE(MATCH(Z1039,{"South";"SouthEast";"SouthWest";"North";"NorthEast";"East";"West";"NorthWest"},0),1,2,3,4,5,6,7,8)</f>
        <v>2</v>
      </c>
      <c r="AB1039" s="2">
        <f t="shared" si="166"/>
        <v>0</v>
      </c>
      <c r="AC1039">
        <v>1015.2</v>
      </c>
      <c r="AD1039" t="s">
        <v>566</v>
      </c>
      <c r="AE1039" s="2">
        <f t="shared" si="167"/>
        <v>1</v>
      </c>
      <c r="AF1039" t="s">
        <v>1546</v>
      </c>
      <c r="AG1039" s="2">
        <f t="shared" si="168"/>
        <v>4</v>
      </c>
      <c r="AH1039" s="2">
        <f t="shared" si="169"/>
        <v>0</v>
      </c>
      <c r="AI1039" s="3">
        <v>120.0000000034925</v>
      </c>
      <c r="AJ1039" s="2">
        <v>0</v>
      </c>
      <c r="AK1039">
        <v>0</v>
      </c>
      <c r="AL1039">
        <v>25</v>
      </c>
      <c r="AM1039">
        <v>0</v>
      </c>
      <c r="AN1039" s="2">
        <f>IF((2*G1039+M1039-O1039+3*V1039+2*AB1039+2*AE1039+2*AH1039+3*AJ1039)&gt;=7,1,0)</f>
        <v>0</v>
      </c>
    </row>
    <row r="1040" spans="1:40" x14ac:dyDescent="0.25">
      <c r="A1040" t="s">
        <v>27</v>
      </c>
      <c r="B1040" s="1">
        <v>40281</v>
      </c>
      <c r="C1040" s="6">
        <f t="shared" si="160"/>
        <v>2010</v>
      </c>
      <c r="D1040">
        <v>64.400000000000006</v>
      </c>
      <c r="E1040">
        <v>51.8</v>
      </c>
      <c r="F1040">
        <v>58.2</v>
      </c>
      <c r="G1040" s="2">
        <f t="shared" si="161"/>
        <v>0</v>
      </c>
      <c r="H1040">
        <v>64.400000000000006</v>
      </c>
      <c r="I1040">
        <v>51.8</v>
      </c>
      <c r="J1040">
        <v>58.2</v>
      </c>
      <c r="K1040">
        <v>49.9</v>
      </c>
      <c r="L1040">
        <v>74.7</v>
      </c>
      <c r="M1040" s="2">
        <f t="shared" si="162"/>
        <v>0</v>
      </c>
      <c r="N1040">
        <v>0</v>
      </c>
      <c r="O1040" s="2">
        <f t="shared" si="163"/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 s="2">
        <f t="shared" si="164"/>
        <v>0</v>
      </c>
      <c r="W1040">
        <v>9.1999999999999993</v>
      </c>
      <c r="X1040" s="2">
        <f t="shared" si="165"/>
        <v>0</v>
      </c>
      <c r="Y1040">
        <v>121.5</v>
      </c>
      <c r="Z1040" s="2" t="str">
        <f>CHOOSE(MATCH(Y1040,{0;11;80;111;161;191;241;281;341},1),"North","NorthEast","East","SouthEast","South","SouthWest","West","NorthWest","North")</f>
        <v>SouthEast</v>
      </c>
      <c r="AA1040" s="4">
        <f>CHOOSE(MATCH(Z1040,{"South";"SouthEast";"SouthWest";"North";"NorthEast";"East";"West";"NorthWest"},0),1,2,3,4,5,6,7,8)</f>
        <v>2</v>
      </c>
      <c r="AB1040" s="2">
        <f t="shared" si="166"/>
        <v>0</v>
      </c>
      <c r="AC1040">
        <v>1015.2</v>
      </c>
      <c r="AD1040" t="s">
        <v>787</v>
      </c>
      <c r="AE1040" s="2">
        <f t="shared" si="167"/>
        <v>0</v>
      </c>
      <c r="AF1040" t="s">
        <v>1547</v>
      </c>
      <c r="AG1040" s="2">
        <f t="shared" si="168"/>
        <v>4</v>
      </c>
      <c r="AH1040" s="2">
        <f t="shared" si="169"/>
        <v>0</v>
      </c>
      <c r="AI1040" s="3">
        <v>775.00000000116415</v>
      </c>
      <c r="AJ1040" s="2">
        <v>1</v>
      </c>
      <c r="AK1040">
        <v>0</v>
      </c>
      <c r="AL1040">
        <v>1</v>
      </c>
      <c r="AM1040">
        <v>0</v>
      </c>
      <c r="AN1040" s="2">
        <f>IF((2*G1040+M1040-O1040+3*V1040+2*AB1040+2*AE1040+2*AH1040+3*AJ1040)&gt;=7,1,0)</f>
        <v>0</v>
      </c>
    </row>
    <row r="1041" spans="1:40" x14ac:dyDescent="0.25">
      <c r="A1041" t="s">
        <v>27</v>
      </c>
      <c r="B1041" s="1">
        <v>40285</v>
      </c>
      <c r="C1041" s="6">
        <f t="shared" si="160"/>
        <v>2010</v>
      </c>
      <c r="D1041">
        <v>86</v>
      </c>
      <c r="E1041">
        <v>64.400000000000006</v>
      </c>
      <c r="F1041">
        <v>72.5</v>
      </c>
      <c r="G1041" s="2">
        <f t="shared" si="161"/>
        <v>1</v>
      </c>
      <c r="H1041">
        <v>83.1</v>
      </c>
      <c r="I1041">
        <v>64.400000000000006</v>
      </c>
      <c r="J1041">
        <v>72.2</v>
      </c>
      <c r="K1041">
        <v>53.7</v>
      </c>
      <c r="L1041">
        <v>55.2</v>
      </c>
      <c r="M1041" s="2">
        <f t="shared" si="162"/>
        <v>1</v>
      </c>
      <c r="N1041">
        <v>0</v>
      </c>
      <c r="O1041" s="2">
        <f t="shared" si="163"/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 s="2">
        <f t="shared" si="164"/>
        <v>0</v>
      </c>
      <c r="W1041">
        <v>25.3</v>
      </c>
      <c r="X1041" s="2">
        <f t="shared" si="165"/>
        <v>1</v>
      </c>
      <c r="Y1041">
        <v>183.6</v>
      </c>
      <c r="Z1041" s="2" t="str">
        <f>CHOOSE(MATCH(Y1041,{0;11;80;111;161;191;241;281;341},1),"North","NorthEast","East","SouthEast","South","SouthWest","West","NorthWest","North")</f>
        <v>South</v>
      </c>
      <c r="AA1041" s="4">
        <f>CHOOSE(MATCH(Z1041,{"South";"SouthEast";"SouthWest";"North";"NorthEast";"East";"West";"NorthWest"},0),1,2,3,4,5,6,7,8)</f>
        <v>1</v>
      </c>
      <c r="AB1041" s="2">
        <f t="shared" si="166"/>
        <v>0</v>
      </c>
      <c r="AC1041">
        <v>1010</v>
      </c>
      <c r="AD1041" t="s">
        <v>158</v>
      </c>
      <c r="AE1041" s="2">
        <f t="shared" si="167"/>
        <v>1</v>
      </c>
      <c r="AF1041" t="s">
        <v>1548</v>
      </c>
      <c r="AG1041" s="2">
        <f t="shared" si="168"/>
        <v>4</v>
      </c>
      <c r="AH1041" s="2">
        <f t="shared" si="169"/>
        <v>0</v>
      </c>
      <c r="AI1041" s="3">
        <v>1090.0000000011639</v>
      </c>
      <c r="AJ1041" s="2">
        <v>1</v>
      </c>
      <c r="AK1041">
        <v>0</v>
      </c>
      <c r="AL1041">
        <v>4</v>
      </c>
      <c r="AM1041">
        <v>0</v>
      </c>
      <c r="AN1041" s="2">
        <f>IF((2*G1041+M1041-O1041+3*V1041+2*AB1041+2*AE1041+2*AH1041+3*AJ1041)&gt;=7,1,0)</f>
        <v>1</v>
      </c>
    </row>
    <row r="1042" spans="1:40" x14ac:dyDescent="0.25">
      <c r="A1042" t="s">
        <v>27</v>
      </c>
      <c r="B1042" s="1">
        <v>40292</v>
      </c>
      <c r="C1042" s="6">
        <f t="shared" si="160"/>
        <v>2010</v>
      </c>
      <c r="D1042">
        <v>77</v>
      </c>
      <c r="E1042">
        <v>55.4</v>
      </c>
      <c r="F1042">
        <v>66.5</v>
      </c>
      <c r="G1042" s="2">
        <f t="shared" si="161"/>
        <v>0</v>
      </c>
      <c r="H1042">
        <v>77</v>
      </c>
      <c r="I1042">
        <v>55.4</v>
      </c>
      <c r="J1042">
        <v>66.5</v>
      </c>
      <c r="K1042">
        <v>42.7</v>
      </c>
      <c r="L1042">
        <v>43.4</v>
      </c>
      <c r="M1042" s="2">
        <f t="shared" si="162"/>
        <v>1</v>
      </c>
      <c r="N1042">
        <v>0</v>
      </c>
      <c r="O1042" s="2">
        <f t="shared" si="163"/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 s="2">
        <f t="shared" si="164"/>
        <v>0</v>
      </c>
      <c r="W1042">
        <v>18.3</v>
      </c>
      <c r="X1042" s="2">
        <f t="shared" si="165"/>
        <v>1</v>
      </c>
      <c r="Y1042">
        <v>166.4</v>
      </c>
      <c r="Z1042" s="2" t="str">
        <f>CHOOSE(MATCH(Y1042,{0;11;80;111;161;191;241;281;341},1),"North","NorthEast","East","SouthEast","South","SouthWest","West","NorthWest","North")</f>
        <v>South</v>
      </c>
      <c r="AA1042" s="4">
        <f>CHOOSE(MATCH(Z1042,{"South";"SouthEast";"SouthWest";"North";"NorthEast";"East";"West";"NorthWest"},0),1,2,3,4,5,6,7,8)</f>
        <v>1</v>
      </c>
      <c r="AB1042" s="2">
        <f t="shared" si="166"/>
        <v>0</v>
      </c>
      <c r="AC1042">
        <v>1016.1</v>
      </c>
      <c r="AD1042" t="s">
        <v>309</v>
      </c>
      <c r="AE1042" s="2">
        <f t="shared" si="167"/>
        <v>1</v>
      </c>
      <c r="AF1042" t="s">
        <v>1549</v>
      </c>
      <c r="AG1042" s="2">
        <f t="shared" si="168"/>
        <v>4</v>
      </c>
      <c r="AH1042" s="2">
        <f t="shared" si="169"/>
        <v>0</v>
      </c>
      <c r="AI1042" s="3">
        <v>319.99999999534339</v>
      </c>
      <c r="AJ1042" s="2">
        <v>0</v>
      </c>
      <c r="AK1042">
        <v>0</v>
      </c>
      <c r="AL1042">
        <v>2</v>
      </c>
      <c r="AM1042">
        <v>0</v>
      </c>
      <c r="AN1042" s="2">
        <f>IF((2*G1042+M1042-O1042+3*V1042+2*AB1042+2*AE1042+2*AH1042+3*AJ1042)&gt;=7,1,0)</f>
        <v>0</v>
      </c>
    </row>
    <row r="1043" spans="1:40" x14ac:dyDescent="0.25">
      <c r="A1043" t="s">
        <v>27</v>
      </c>
      <c r="B1043" s="1">
        <v>40292</v>
      </c>
      <c r="C1043" s="6">
        <f t="shared" si="160"/>
        <v>2010</v>
      </c>
      <c r="D1043">
        <v>77</v>
      </c>
      <c r="E1043">
        <v>55.4</v>
      </c>
      <c r="F1043">
        <v>66.5</v>
      </c>
      <c r="G1043" s="2">
        <f t="shared" si="161"/>
        <v>0</v>
      </c>
      <c r="H1043">
        <v>77</v>
      </c>
      <c r="I1043">
        <v>55.4</v>
      </c>
      <c r="J1043">
        <v>66.5</v>
      </c>
      <c r="K1043">
        <v>42.7</v>
      </c>
      <c r="L1043">
        <v>43.4</v>
      </c>
      <c r="M1043" s="2">
        <f t="shared" si="162"/>
        <v>1</v>
      </c>
      <c r="N1043">
        <v>0</v>
      </c>
      <c r="O1043" s="2">
        <f t="shared" si="163"/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 s="2">
        <f t="shared" si="164"/>
        <v>0</v>
      </c>
      <c r="W1043">
        <v>18.3</v>
      </c>
      <c r="X1043" s="2">
        <f t="shared" si="165"/>
        <v>1</v>
      </c>
      <c r="Y1043">
        <v>166.4</v>
      </c>
      <c r="Z1043" s="2" t="str">
        <f>CHOOSE(MATCH(Y1043,{0;11;80;111;161;191;241;281;341},1),"North","NorthEast","East","SouthEast","South","SouthWest","West","NorthWest","North")</f>
        <v>South</v>
      </c>
      <c r="AA1043" s="4">
        <f>CHOOSE(MATCH(Z1043,{"South";"SouthEast";"SouthWest";"North";"NorthEast";"East";"West";"NorthWest"},0),1,2,3,4,5,6,7,8)</f>
        <v>1</v>
      </c>
      <c r="AB1043" s="2">
        <f t="shared" si="166"/>
        <v>0</v>
      </c>
      <c r="AC1043">
        <v>1016.1</v>
      </c>
      <c r="AD1043" t="s">
        <v>995</v>
      </c>
      <c r="AE1043" s="2">
        <f t="shared" si="167"/>
        <v>1</v>
      </c>
      <c r="AF1043" t="s">
        <v>1550</v>
      </c>
      <c r="AG1043" s="2">
        <f t="shared" si="168"/>
        <v>4</v>
      </c>
      <c r="AH1043" s="2">
        <f t="shared" si="169"/>
        <v>0</v>
      </c>
      <c r="AI1043" s="3">
        <v>420.00000000698492</v>
      </c>
      <c r="AJ1043" s="2">
        <v>1</v>
      </c>
      <c r="AK1043">
        <v>0</v>
      </c>
      <c r="AL1043">
        <v>20</v>
      </c>
      <c r="AM1043">
        <v>0</v>
      </c>
      <c r="AN1043" s="2">
        <f>IF((2*G1043+M1043-O1043+3*V1043+2*AB1043+2*AE1043+2*AH1043+3*AJ1043)&gt;=7,1,0)</f>
        <v>0</v>
      </c>
    </row>
    <row r="1044" spans="1:40" x14ac:dyDescent="0.25">
      <c r="A1044" t="s">
        <v>27</v>
      </c>
      <c r="B1044" s="1">
        <v>40293</v>
      </c>
      <c r="C1044" s="6">
        <f t="shared" si="160"/>
        <v>2010</v>
      </c>
      <c r="D1044">
        <v>73.8</v>
      </c>
      <c r="E1044">
        <v>59</v>
      </c>
      <c r="F1044">
        <v>67.099999999999994</v>
      </c>
      <c r="G1044" s="2">
        <f t="shared" si="161"/>
        <v>0</v>
      </c>
      <c r="H1044">
        <v>73.8</v>
      </c>
      <c r="I1044">
        <v>59</v>
      </c>
      <c r="J1044">
        <v>67.099999999999994</v>
      </c>
      <c r="K1044">
        <v>47.9</v>
      </c>
      <c r="L1044">
        <v>52.5</v>
      </c>
      <c r="M1044" s="2">
        <f t="shared" si="162"/>
        <v>1</v>
      </c>
      <c r="N1044">
        <v>0</v>
      </c>
      <c r="O1044" s="2">
        <f t="shared" si="163"/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 s="2">
        <f t="shared" si="164"/>
        <v>0</v>
      </c>
      <c r="W1044">
        <v>16.100000000000001</v>
      </c>
      <c r="X1044" s="2">
        <f t="shared" si="165"/>
        <v>1</v>
      </c>
      <c r="Y1044">
        <v>183.6</v>
      </c>
      <c r="Z1044" s="2" t="str">
        <f>CHOOSE(MATCH(Y1044,{0;11;80;111;161;191;241;281;341},1),"North","NorthEast","East","SouthEast","South","SouthWest","West","NorthWest","North")</f>
        <v>South</v>
      </c>
      <c r="AA1044" s="4">
        <f>CHOOSE(MATCH(Z1044,{"South";"SouthEast";"SouthWest";"North";"NorthEast";"East";"West";"NorthWest"},0),1,2,3,4,5,6,7,8)</f>
        <v>1</v>
      </c>
      <c r="AB1044" s="2">
        <f t="shared" si="166"/>
        <v>0</v>
      </c>
      <c r="AC1044">
        <v>1013</v>
      </c>
      <c r="AD1044" t="s">
        <v>979</v>
      </c>
      <c r="AE1044" s="2">
        <f t="shared" si="167"/>
        <v>1</v>
      </c>
      <c r="AF1044" t="s">
        <v>1551</v>
      </c>
      <c r="AG1044" s="2">
        <f t="shared" si="168"/>
        <v>4</v>
      </c>
      <c r="AH1044" s="2">
        <f t="shared" si="169"/>
        <v>0</v>
      </c>
      <c r="AI1044" s="3">
        <v>74.999999993015081</v>
      </c>
      <c r="AJ1044" s="2">
        <v>0</v>
      </c>
      <c r="AK1044">
        <v>0</v>
      </c>
      <c r="AL1044">
        <v>1</v>
      </c>
      <c r="AM1044">
        <v>0</v>
      </c>
      <c r="AN1044" s="2">
        <f>IF((2*G1044+M1044-O1044+3*V1044+2*AB1044+2*AE1044+2*AH1044+3*AJ1044)&gt;=7,1,0)</f>
        <v>0</v>
      </c>
    </row>
    <row r="1045" spans="1:40" x14ac:dyDescent="0.25">
      <c r="A1045" t="s">
        <v>27</v>
      </c>
      <c r="B1045" s="1">
        <v>40294</v>
      </c>
      <c r="C1045" s="6">
        <f t="shared" si="160"/>
        <v>2010</v>
      </c>
      <c r="D1045">
        <v>68</v>
      </c>
      <c r="E1045">
        <v>53.6</v>
      </c>
      <c r="F1045">
        <v>62.5</v>
      </c>
      <c r="G1045" s="2">
        <f t="shared" si="161"/>
        <v>0</v>
      </c>
      <c r="H1045">
        <v>68</v>
      </c>
      <c r="I1045">
        <v>53.6</v>
      </c>
      <c r="J1045">
        <v>62.5</v>
      </c>
      <c r="K1045">
        <v>55.1</v>
      </c>
      <c r="L1045">
        <v>77</v>
      </c>
      <c r="M1045" s="2">
        <f t="shared" si="162"/>
        <v>0</v>
      </c>
      <c r="N1045">
        <v>0</v>
      </c>
      <c r="O1045" s="2">
        <f t="shared" si="163"/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 s="2">
        <f t="shared" si="164"/>
        <v>0</v>
      </c>
      <c r="W1045">
        <v>18.3</v>
      </c>
      <c r="X1045" s="2">
        <f t="shared" si="165"/>
        <v>1</v>
      </c>
      <c r="Y1045">
        <v>304.2</v>
      </c>
      <c r="Z1045" s="2" t="str">
        <f>CHOOSE(MATCH(Y1045,{0;11;80;111;161;191;241;281;341},1),"North","NorthEast","East","SouthEast","South","SouthWest","West","NorthWest","North")</f>
        <v>NorthWest</v>
      </c>
      <c r="AA1045" s="4">
        <f>CHOOSE(MATCH(Z1045,{"South";"SouthEast";"SouthWest";"North";"NorthEast";"East";"West";"NorthWest"},0),1,2,3,4,5,6,7,8)</f>
        <v>8</v>
      </c>
      <c r="AB1045" s="2">
        <f t="shared" si="166"/>
        <v>1</v>
      </c>
      <c r="AC1045">
        <v>1012.2</v>
      </c>
      <c r="AD1045" t="s">
        <v>1552</v>
      </c>
      <c r="AE1045" s="2">
        <f t="shared" si="167"/>
        <v>1</v>
      </c>
      <c r="AF1045" t="s">
        <v>1553</v>
      </c>
      <c r="AG1045" s="2">
        <f t="shared" si="168"/>
        <v>4</v>
      </c>
      <c r="AH1045" s="2">
        <f t="shared" si="169"/>
        <v>0</v>
      </c>
      <c r="AI1045" s="3">
        <v>1380.000000003492</v>
      </c>
      <c r="AJ1045" s="2">
        <v>1</v>
      </c>
      <c r="AK1045">
        <v>0</v>
      </c>
      <c r="AL1045">
        <v>2</v>
      </c>
      <c r="AM1045">
        <v>0</v>
      </c>
      <c r="AN1045" s="2">
        <f>IF((2*G1045+M1045-O1045+3*V1045+2*AB1045+2*AE1045+2*AH1045+3*AJ1045)&gt;=7,1,0)</f>
        <v>0</v>
      </c>
    </row>
    <row r="1046" spans="1:40" x14ac:dyDescent="0.25">
      <c r="A1046" t="s">
        <v>27</v>
      </c>
      <c r="B1046" s="1">
        <v>40294</v>
      </c>
      <c r="C1046" s="6">
        <f t="shared" si="160"/>
        <v>2010</v>
      </c>
      <c r="D1046">
        <v>68</v>
      </c>
      <c r="E1046">
        <v>53.6</v>
      </c>
      <c r="F1046">
        <v>62.5</v>
      </c>
      <c r="G1046" s="2">
        <f t="shared" si="161"/>
        <v>0</v>
      </c>
      <c r="H1046">
        <v>68</v>
      </c>
      <c r="I1046">
        <v>53.6</v>
      </c>
      <c r="J1046">
        <v>62.5</v>
      </c>
      <c r="K1046">
        <v>55.1</v>
      </c>
      <c r="L1046">
        <v>77</v>
      </c>
      <c r="M1046" s="2">
        <f t="shared" si="162"/>
        <v>0</v>
      </c>
      <c r="N1046">
        <v>0</v>
      </c>
      <c r="O1046" s="2">
        <f t="shared" si="163"/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 s="2">
        <f t="shared" si="164"/>
        <v>0</v>
      </c>
      <c r="W1046">
        <v>18.3</v>
      </c>
      <c r="X1046" s="2">
        <f t="shared" si="165"/>
        <v>1</v>
      </c>
      <c r="Y1046">
        <v>304.2</v>
      </c>
      <c r="Z1046" s="2" t="str">
        <f>CHOOSE(MATCH(Y1046,{0;11;80;111;161;191;241;281;341},1),"North","NorthEast","East","SouthEast","South","SouthWest","West","NorthWest","North")</f>
        <v>NorthWest</v>
      </c>
      <c r="AA1046" s="4">
        <f>CHOOSE(MATCH(Z1046,{"South";"SouthEast";"SouthWest";"North";"NorthEast";"East";"West";"NorthWest"},0),1,2,3,4,5,6,7,8)</f>
        <v>8</v>
      </c>
      <c r="AB1046" s="2">
        <f t="shared" si="166"/>
        <v>1</v>
      </c>
      <c r="AC1046">
        <v>1012.2</v>
      </c>
      <c r="AD1046" t="s">
        <v>1495</v>
      </c>
      <c r="AE1046" s="2">
        <f t="shared" si="167"/>
        <v>0</v>
      </c>
      <c r="AF1046" t="s">
        <v>1554</v>
      </c>
      <c r="AG1046" s="2">
        <f t="shared" si="168"/>
        <v>4</v>
      </c>
      <c r="AH1046" s="2">
        <f t="shared" si="169"/>
        <v>0</v>
      </c>
      <c r="AI1046" s="3">
        <v>544.99999999534339</v>
      </c>
      <c r="AJ1046" s="2">
        <v>1</v>
      </c>
      <c r="AK1046">
        <v>0</v>
      </c>
      <c r="AL1046">
        <v>130</v>
      </c>
      <c r="AM1046">
        <v>0</v>
      </c>
      <c r="AN1046" s="2">
        <f>IF((2*G1046+M1046-O1046+3*V1046+2*AB1046+2*AE1046+2*AH1046+3*AJ1046)&gt;=7,1,0)</f>
        <v>0</v>
      </c>
    </row>
    <row r="1047" spans="1:40" x14ac:dyDescent="0.25">
      <c r="A1047" t="s">
        <v>27</v>
      </c>
      <c r="B1047" s="1">
        <v>40295</v>
      </c>
      <c r="C1047" s="6">
        <f t="shared" si="160"/>
        <v>2010</v>
      </c>
      <c r="D1047">
        <v>64.5</v>
      </c>
      <c r="E1047">
        <v>60.8</v>
      </c>
      <c r="F1047">
        <v>62.8</v>
      </c>
      <c r="G1047" s="2">
        <f t="shared" si="161"/>
        <v>0</v>
      </c>
      <c r="H1047">
        <v>64.5</v>
      </c>
      <c r="I1047">
        <v>60.8</v>
      </c>
      <c r="J1047">
        <v>62.8</v>
      </c>
      <c r="K1047">
        <v>54.2</v>
      </c>
      <c r="L1047">
        <v>73.7</v>
      </c>
      <c r="M1047" s="2">
        <f t="shared" si="162"/>
        <v>0</v>
      </c>
      <c r="N1047">
        <v>0</v>
      </c>
      <c r="O1047" s="2">
        <f t="shared" si="163"/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27.5</v>
      </c>
      <c r="V1047" s="2">
        <f t="shared" si="164"/>
        <v>1</v>
      </c>
      <c r="W1047">
        <v>20.8</v>
      </c>
      <c r="X1047" s="2">
        <f t="shared" si="165"/>
        <v>1</v>
      </c>
      <c r="Y1047">
        <v>323.10000000000002</v>
      </c>
      <c r="Z1047" s="2" t="str">
        <f>CHOOSE(MATCH(Y1047,{0;11;80;111;161;191;241;281;341},1),"North","NorthEast","East","SouthEast","South","SouthWest","West","NorthWest","North")</f>
        <v>NorthWest</v>
      </c>
      <c r="AA1047" s="4">
        <f>CHOOSE(MATCH(Z1047,{"South";"SouthEast";"SouthWest";"North";"NorthEast";"East";"West";"NorthWest"},0),1,2,3,4,5,6,7,8)</f>
        <v>8</v>
      </c>
      <c r="AB1047" s="2">
        <f t="shared" si="166"/>
        <v>1</v>
      </c>
      <c r="AC1047">
        <v>1015</v>
      </c>
      <c r="AD1047" t="s">
        <v>1555</v>
      </c>
      <c r="AE1047" s="2">
        <f t="shared" si="167"/>
        <v>0</v>
      </c>
      <c r="AF1047" t="s">
        <v>1556</v>
      </c>
      <c r="AG1047" s="2">
        <f t="shared" si="168"/>
        <v>4</v>
      </c>
      <c r="AH1047" s="2">
        <f t="shared" si="169"/>
        <v>0</v>
      </c>
      <c r="AI1047" s="3">
        <v>1130.000000005821</v>
      </c>
      <c r="AJ1047" s="2">
        <v>1</v>
      </c>
      <c r="AK1047">
        <v>0</v>
      </c>
      <c r="AL1047">
        <v>7</v>
      </c>
      <c r="AM1047">
        <v>0</v>
      </c>
      <c r="AN1047" s="2">
        <f>IF((2*G1047+M1047-O1047+3*V1047+2*AB1047+2*AE1047+2*AH1047+3*AJ1047)&gt;=7,1,0)</f>
        <v>1</v>
      </c>
    </row>
    <row r="1048" spans="1:40" x14ac:dyDescent="0.25">
      <c r="A1048" t="s">
        <v>27</v>
      </c>
      <c r="B1048" s="1">
        <v>40296</v>
      </c>
      <c r="C1048" s="6">
        <f t="shared" si="160"/>
        <v>2010</v>
      </c>
      <c r="D1048">
        <v>64.5</v>
      </c>
      <c r="E1048">
        <v>57.6</v>
      </c>
      <c r="F1048">
        <v>61.6</v>
      </c>
      <c r="G1048" s="2">
        <f t="shared" si="161"/>
        <v>0</v>
      </c>
      <c r="H1048">
        <v>64.5</v>
      </c>
      <c r="I1048">
        <v>57.6</v>
      </c>
      <c r="J1048">
        <v>61.6</v>
      </c>
      <c r="K1048">
        <v>49.9</v>
      </c>
      <c r="L1048">
        <v>65.900000000000006</v>
      </c>
      <c r="M1048" s="2">
        <f t="shared" si="162"/>
        <v>1</v>
      </c>
      <c r="N1048">
        <v>0</v>
      </c>
      <c r="O1048" s="2">
        <f t="shared" si="163"/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 s="2">
        <f t="shared" si="164"/>
        <v>0</v>
      </c>
      <c r="W1048">
        <v>23</v>
      </c>
      <c r="X1048" s="2">
        <f t="shared" si="165"/>
        <v>1</v>
      </c>
      <c r="Y1048">
        <v>321</v>
      </c>
      <c r="Z1048" s="2" t="str">
        <f>CHOOSE(MATCH(Y1048,{0;11;80;111;161;191;241;281;341},1),"North","NorthEast","East","SouthEast","South","SouthWest","West","NorthWest","North")</f>
        <v>NorthWest</v>
      </c>
      <c r="AA1048" s="4">
        <f>CHOOSE(MATCH(Z1048,{"South";"SouthEast";"SouthWest";"North";"NorthEast";"East";"West";"NorthWest"},0),1,2,3,4,5,6,7,8)</f>
        <v>8</v>
      </c>
      <c r="AB1048" s="2">
        <f t="shared" si="166"/>
        <v>1</v>
      </c>
      <c r="AC1048">
        <v>1016.6</v>
      </c>
      <c r="AD1048" t="s">
        <v>439</v>
      </c>
      <c r="AE1048" s="2">
        <f t="shared" si="167"/>
        <v>1</v>
      </c>
      <c r="AF1048" t="s">
        <v>1557</v>
      </c>
      <c r="AG1048" s="2">
        <f t="shared" si="168"/>
        <v>4</v>
      </c>
      <c r="AH1048" s="2">
        <f t="shared" si="169"/>
        <v>0</v>
      </c>
      <c r="AI1048" s="3">
        <v>460.9999999939464</v>
      </c>
      <c r="AJ1048" s="2">
        <v>1</v>
      </c>
      <c r="AK1048">
        <v>0</v>
      </c>
      <c r="AL1048">
        <v>25</v>
      </c>
      <c r="AM1048">
        <v>0</v>
      </c>
      <c r="AN1048" s="2">
        <f>IF((2*G1048+M1048-O1048+3*V1048+2*AB1048+2*AE1048+2*AH1048+3*AJ1048)&gt;=7,1,0)</f>
        <v>1</v>
      </c>
    </row>
    <row r="1049" spans="1:40" x14ac:dyDescent="0.25">
      <c r="A1049" t="s">
        <v>27</v>
      </c>
      <c r="B1049" s="1">
        <v>40297</v>
      </c>
      <c r="C1049" s="6">
        <f t="shared" si="160"/>
        <v>2010</v>
      </c>
      <c r="D1049">
        <v>64.5</v>
      </c>
      <c r="E1049">
        <v>59</v>
      </c>
      <c r="F1049">
        <v>61.3</v>
      </c>
      <c r="G1049" s="2">
        <f t="shared" si="161"/>
        <v>0</v>
      </c>
      <c r="H1049">
        <v>64.5</v>
      </c>
      <c r="I1049">
        <v>59</v>
      </c>
      <c r="J1049">
        <v>61.3</v>
      </c>
      <c r="K1049">
        <v>47.5</v>
      </c>
      <c r="L1049">
        <v>60.7</v>
      </c>
      <c r="M1049" s="2">
        <f t="shared" si="162"/>
        <v>1</v>
      </c>
      <c r="N1049">
        <v>0</v>
      </c>
      <c r="O1049" s="2">
        <f t="shared" si="163"/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 s="2">
        <f t="shared" si="164"/>
        <v>0</v>
      </c>
      <c r="W1049">
        <v>23</v>
      </c>
      <c r="X1049" s="2">
        <f t="shared" si="165"/>
        <v>1</v>
      </c>
      <c r="Y1049">
        <v>312.60000000000002</v>
      </c>
      <c r="Z1049" s="2" t="str">
        <f>CHOOSE(MATCH(Y1049,{0;11;80;111;161;191;241;281;341},1),"North","NorthEast","East","SouthEast","South","SouthWest","West","NorthWest","North")</f>
        <v>NorthWest</v>
      </c>
      <c r="AA1049" s="4">
        <f>CHOOSE(MATCH(Z1049,{"South";"SouthEast";"SouthWest";"North";"NorthEast";"East";"West";"NorthWest"},0),1,2,3,4,5,6,7,8)</f>
        <v>8</v>
      </c>
      <c r="AB1049" s="2">
        <f t="shared" si="166"/>
        <v>1</v>
      </c>
      <c r="AC1049">
        <v>1014.8</v>
      </c>
      <c r="AD1049" t="s">
        <v>400</v>
      </c>
      <c r="AE1049" s="2">
        <f t="shared" si="167"/>
        <v>1</v>
      </c>
      <c r="AF1049" t="s">
        <v>1558</v>
      </c>
      <c r="AG1049" s="2">
        <f t="shared" si="168"/>
        <v>4</v>
      </c>
      <c r="AH1049" s="2">
        <f t="shared" si="169"/>
        <v>0</v>
      </c>
      <c r="AI1049" s="3">
        <v>1654.9999999988361</v>
      </c>
      <c r="AJ1049" s="2">
        <v>1</v>
      </c>
      <c r="AK1049">
        <v>0</v>
      </c>
      <c r="AL1049">
        <v>1</v>
      </c>
      <c r="AM1049">
        <v>0</v>
      </c>
      <c r="AN1049" s="2">
        <f>IF((2*G1049+M1049-O1049+3*V1049+2*AB1049+2*AE1049+2*AH1049+3*AJ1049)&gt;=7,1,0)</f>
        <v>1</v>
      </c>
    </row>
    <row r="1050" spans="1:40" x14ac:dyDescent="0.25">
      <c r="A1050" t="s">
        <v>27</v>
      </c>
      <c r="B1050" s="1">
        <v>40298</v>
      </c>
      <c r="C1050" s="6">
        <f t="shared" si="160"/>
        <v>2010</v>
      </c>
      <c r="D1050">
        <v>66.2</v>
      </c>
      <c r="E1050">
        <v>59</v>
      </c>
      <c r="F1050">
        <v>62.2</v>
      </c>
      <c r="G1050" s="2">
        <f t="shared" si="161"/>
        <v>0</v>
      </c>
      <c r="H1050">
        <v>66.2</v>
      </c>
      <c r="I1050">
        <v>59</v>
      </c>
      <c r="J1050">
        <v>62.2</v>
      </c>
      <c r="K1050">
        <v>49.3</v>
      </c>
      <c r="L1050">
        <v>62.9</v>
      </c>
      <c r="M1050" s="2">
        <f t="shared" si="162"/>
        <v>1</v>
      </c>
      <c r="N1050">
        <v>0</v>
      </c>
      <c r="O1050" s="2">
        <f t="shared" si="163"/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 s="2">
        <f t="shared" si="164"/>
        <v>0</v>
      </c>
      <c r="W1050">
        <v>23</v>
      </c>
      <c r="X1050" s="2">
        <f t="shared" si="165"/>
        <v>1</v>
      </c>
      <c r="Y1050">
        <v>305.60000000000002</v>
      </c>
      <c r="Z1050" s="2" t="str">
        <f>CHOOSE(MATCH(Y1050,{0;11;80;111;161;191;241;281;341},1),"North","NorthEast","East","SouthEast","South","SouthWest","West","NorthWest","North")</f>
        <v>NorthWest</v>
      </c>
      <c r="AA1050" s="4">
        <f>CHOOSE(MATCH(Z1050,{"South";"SouthEast";"SouthWest";"North";"NorthEast";"East";"West";"NorthWest"},0),1,2,3,4,5,6,7,8)</f>
        <v>8</v>
      </c>
      <c r="AB1050" s="2">
        <f t="shared" si="166"/>
        <v>1</v>
      </c>
      <c r="AC1050">
        <v>1013.5</v>
      </c>
      <c r="AD1050" t="s">
        <v>637</v>
      </c>
      <c r="AE1050" s="2">
        <f t="shared" si="167"/>
        <v>1</v>
      </c>
      <c r="AF1050" t="s">
        <v>1559</v>
      </c>
      <c r="AG1050" s="2">
        <f t="shared" si="168"/>
        <v>4</v>
      </c>
      <c r="AH1050" s="2">
        <f t="shared" si="169"/>
        <v>0</v>
      </c>
      <c r="AI1050" s="3">
        <v>1274.999999996508</v>
      </c>
      <c r="AJ1050" s="2">
        <v>1</v>
      </c>
      <c r="AK1050">
        <v>0</v>
      </c>
      <c r="AL1050">
        <v>40</v>
      </c>
      <c r="AM1050">
        <v>0</v>
      </c>
      <c r="AN1050" s="2">
        <f>IF((2*G1050+M1050-O1050+3*V1050+2*AB1050+2*AE1050+2*AH1050+3*AJ1050)&gt;=7,1,0)</f>
        <v>1</v>
      </c>
    </row>
    <row r="1051" spans="1:40" x14ac:dyDescent="0.25">
      <c r="A1051" t="s">
        <v>27</v>
      </c>
      <c r="B1051" s="1">
        <v>40306</v>
      </c>
      <c r="C1051" s="6">
        <f t="shared" si="160"/>
        <v>2010</v>
      </c>
      <c r="D1051">
        <v>82.5</v>
      </c>
      <c r="E1051">
        <v>62.6</v>
      </c>
      <c r="F1051">
        <v>70.099999999999994</v>
      </c>
      <c r="G1051" s="2">
        <f t="shared" si="161"/>
        <v>1</v>
      </c>
      <c r="H1051">
        <v>80.3</v>
      </c>
      <c r="I1051">
        <v>62.6</v>
      </c>
      <c r="J1051">
        <v>70</v>
      </c>
      <c r="K1051">
        <v>58.2</v>
      </c>
      <c r="L1051">
        <v>69.3</v>
      </c>
      <c r="M1051" s="2">
        <f t="shared" si="162"/>
        <v>0</v>
      </c>
      <c r="N1051">
        <v>0</v>
      </c>
      <c r="O1051" s="2">
        <f t="shared" si="163"/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28.9</v>
      </c>
      <c r="V1051" s="2">
        <f t="shared" si="164"/>
        <v>1</v>
      </c>
      <c r="W1051">
        <v>21.9</v>
      </c>
      <c r="X1051" s="2">
        <f t="shared" si="165"/>
        <v>1</v>
      </c>
      <c r="Y1051">
        <v>112.1</v>
      </c>
      <c r="Z1051" s="2" t="str">
        <f>CHOOSE(MATCH(Y1051,{0;11;80;111;161;191;241;281;341},1),"North","NorthEast","East","SouthEast","South","SouthWest","West","NorthWest","North")</f>
        <v>SouthEast</v>
      </c>
      <c r="AA1051" s="4">
        <f>CHOOSE(MATCH(Z1051,{"South";"SouthEast";"SouthWest";"North";"NorthEast";"East";"West";"NorthWest"},0),1,2,3,4,5,6,7,8)</f>
        <v>2</v>
      </c>
      <c r="AB1051" s="2">
        <f t="shared" si="166"/>
        <v>0</v>
      </c>
      <c r="AC1051">
        <v>1007.9</v>
      </c>
      <c r="AD1051" t="s">
        <v>501</v>
      </c>
      <c r="AE1051" s="2">
        <f t="shared" si="167"/>
        <v>1</v>
      </c>
      <c r="AF1051" t="s">
        <v>1560</v>
      </c>
      <c r="AG1051" s="2">
        <f t="shared" si="168"/>
        <v>5</v>
      </c>
      <c r="AH1051" s="2">
        <f t="shared" si="169"/>
        <v>0</v>
      </c>
      <c r="AI1051" s="3">
        <v>1014.999999997672</v>
      </c>
      <c r="AJ1051" s="2">
        <v>1</v>
      </c>
      <c r="AK1051">
        <v>0</v>
      </c>
      <c r="AL1051">
        <v>50</v>
      </c>
      <c r="AM1051">
        <v>0</v>
      </c>
      <c r="AN1051" s="2">
        <f>IF((2*G1051+M1051-O1051+3*V1051+2*AB1051+2*AE1051+2*AH1051+3*AJ1051)&gt;=7,1,0)</f>
        <v>1</v>
      </c>
    </row>
    <row r="1052" spans="1:40" x14ac:dyDescent="0.25">
      <c r="A1052" t="s">
        <v>27</v>
      </c>
      <c r="B1052" s="1">
        <v>40314</v>
      </c>
      <c r="C1052" s="6">
        <f t="shared" si="160"/>
        <v>2010</v>
      </c>
      <c r="D1052">
        <v>73.5</v>
      </c>
      <c r="E1052">
        <v>66.2</v>
      </c>
      <c r="F1052">
        <v>69.7</v>
      </c>
      <c r="G1052" s="2">
        <f t="shared" si="161"/>
        <v>0</v>
      </c>
      <c r="H1052">
        <v>73.5</v>
      </c>
      <c r="I1052">
        <v>66.2</v>
      </c>
      <c r="J1052">
        <v>69.7</v>
      </c>
      <c r="K1052">
        <v>55.6</v>
      </c>
      <c r="L1052">
        <v>61.6</v>
      </c>
      <c r="M1052" s="2">
        <f t="shared" si="162"/>
        <v>1</v>
      </c>
      <c r="N1052">
        <v>0</v>
      </c>
      <c r="O1052" s="2">
        <f t="shared" si="163"/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 s="2">
        <f t="shared" si="164"/>
        <v>0</v>
      </c>
      <c r="W1052">
        <v>27.5</v>
      </c>
      <c r="X1052" s="2">
        <f t="shared" si="165"/>
        <v>1</v>
      </c>
      <c r="Y1052">
        <v>303.3</v>
      </c>
      <c r="Z1052" s="2" t="str">
        <f>CHOOSE(MATCH(Y1052,{0;11;80;111;161;191;241;281;341},1),"North","NorthEast","East","SouthEast","South","SouthWest","West","NorthWest","North")</f>
        <v>NorthWest</v>
      </c>
      <c r="AA1052" s="4">
        <f>CHOOSE(MATCH(Z1052,{"South";"SouthEast";"SouthWest";"North";"NorthEast";"East";"West";"NorthWest"},0),1,2,3,4,5,6,7,8)</f>
        <v>8</v>
      </c>
      <c r="AB1052" s="2">
        <f t="shared" si="166"/>
        <v>1</v>
      </c>
      <c r="AC1052">
        <v>1011.9</v>
      </c>
      <c r="AD1052" t="s">
        <v>1561</v>
      </c>
      <c r="AE1052" s="2">
        <f t="shared" si="167"/>
        <v>1</v>
      </c>
      <c r="AF1052" t="s">
        <v>1562</v>
      </c>
      <c r="AG1052" s="2">
        <f t="shared" si="168"/>
        <v>5</v>
      </c>
      <c r="AH1052" s="2">
        <f t="shared" si="169"/>
        <v>0</v>
      </c>
      <c r="AI1052" s="3">
        <v>34.999999998835847</v>
      </c>
      <c r="AJ1052" s="2">
        <v>0</v>
      </c>
      <c r="AK1052">
        <v>0.5</v>
      </c>
      <c r="AL1052">
        <v>0</v>
      </c>
      <c r="AM1052">
        <v>0</v>
      </c>
      <c r="AN1052" s="2">
        <f>IF((2*G1052+M1052-O1052+3*V1052+2*AB1052+2*AE1052+2*AH1052+3*AJ1052)&gt;=7,1,0)</f>
        <v>0</v>
      </c>
    </row>
    <row r="1053" spans="1:40" x14ac:dyDescent="0.25">
      <c r="A1053" t="s">
        <v>27</v>
      </c>
      <c r="B1053" s="1">
        <v>40314</v>
      </c>
      <c r="C1053" s="6">
        <f t="shared" si="160"/>
        <v>2010</v>
      </c>
      <c r="D1053">
        <v>73.5</v>
      </c>
      <c r="E1053">
        <v>66.2</v>
      </c>
      <c r="F1053">
        <v>69.7</v>
      </c>
      <c r="G1053" s="2">
        <f t="shared" si="161"/>
        <v>0</v>
      </c>
      <c r="H1053">
        <v>73.5</v>
      </c>
      <c r="I1053">
        <v>66.2</v>
      </c>
      <c r="J1053">
        <v>69.7</v>
      </c>
      <c r="K1053">
        <v>55.6</v>
      </c>
      <c r="L1053">
        <v>61.6</v>
      </c>
      <c r="M1053" s="2">
        <f t="shared" si="162"/>
        <v>1</v>
      </c>
      <c r="N1053">
        <v>0</v>
      </c>
      <c r="O1053" s="2">
        <f t="shared" si="163"/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 s="2">
        <f t="shared" si="164"/>
        <v>0</v>
      </c>
      <c r="W1053">
        <v>27.5</v>
      </c>
      <c r="X1053" s="2">
        <f t="shared" si="165"/>
        <v>1</v>
      </c>
      <c r="Y1053">
        <v>303.3</v>
      </c>
      <c r="Z1053" s="2" t="str">
        <f>CHOOSE(MATCH(Y1053,{0;11;80;111;161;191;241;281;341},1),"North","NorthEast","East","SouthEast","South","SouthWest","West","NorthWest","North")</f>
        <v>NorthWest</v>
      </c>
      <c r="AA1053" s="4">
        <f>CHOOSE(MATCH(Z1053,{"South";"SouthEast";"SouthWest";"North";"NorthEast";"East";"West";"NorthWest"},0),1,2,3,4,5,6,7,8)</f>
        <v>8</v>
      </c>
      <c r="AB1053" s="2">
        <f t="shared" si="166"/>
        <v>1</v>
      </c>
      <c r="AC1053">
        <v>1011.9</v>
      </c>
      <c r="AD1053" t="s">
        <v>1563</v>
      </c>
      <c r="AE1053" s="2">
        <f t="shared" si="167"/>
        <v>1</v>
      </c>
      <c r="AF1053" t="s">
        <v>1564</v>
      </c>
      <c r="AG1053" s="2">
        <f t="shared" si="168"/>
        <v>5</v>
      </c>
      <c r="AH1053" s="2">
        <f t="shared" si="169"/>
        <v>0</v>
      </c>
      <c r="AI1053" s="3">
        <v>312.00000000069849</v>
      </c>
      <c r="AJ1053" s="2">
        <v>0</v>
      </c>
      <c r="AK1053">
        <v>0</v>
      </c>
      <c r="AL1053">
        <v>7</v>
      </c>
      <c r="AM1053">
        <v>0</v>
      </c>
      <c r="AN1053" s="2">
        <f>IF((2*G1053+M1053-O1053+3*V1053+2*AB1053+2*AE1053+2*AH1053+3*AJ1053)&gt;=7,1,0)</f>
        <v>0</v>
      </c>
    </row>
    <row r="1054" spans="1:40" x14ac:dyDescent="0.25">
      <c r="A1054" t="s">
        <v>27</v>
      </c>
      <c r="B1054" s="1">
        <v>40321</v>
      </c>
      <c r="C1054" s="6">
        <f t="shared" si="160"/>
        <v>2010</v>
      </c>
      <c r="D1054">
        <v>71.599999999999994</v>
      </c>
      <c r="E1054">
        <v>57.2</v>
      </c>
      <c r="F1054">
        <v>65.5</v>
      </c>
      <c r="G1054" s="2">
        <f t="shared" si="161"/>
        <v>0</v>
      </c>
      <c r="H1054">
        <v>71.599999999999994</v>
      </c>
      <c r="I1054">
        <v>57.2</v>
      </c>
      <c r="J1054">
        <v>65.5</v>
      </c>
      <c r="K1054">
        <v>58</v>
      </c>
      <c r="L1054">
        <v>76.8</v>
      </c>
      <c r="M1054" s="2">
        <f t="shared" si="162"/>
        <v>0</v>
      </c>
      <c r="N1054">
        <v>0</v>
      </c>
      <c r="O1054" s="2">
        <f t="shared" si="163"/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 s="2">
        <f t="shared" si="164"/>
        <v>0</v>
      </c>
      <c r="W1054">
        <v>12.8</v>
      </c>
      <c r="X1054" s="2">
        <f t="shared" si="165"/>
        <v>0</v>
      </c>
      <c r="Y1054">
        <v>312.89999999999998</v>
      </c>
      <c r="Z1054" s="2" t="str">
        <f>CHOOSE(MATCH(Y1054,{0;11;80;111;161;191;241;281;341},1),"North","NorthEast","East","SouthEast","South","SouthWest","West","NorthWest","North")</f>
        <v>NorthWest</v>
      </c>
      <c r="AA1054" s="4">
        <f>CHOOSE(MATCH(Z1054,{"South";"SouthEast";"SouthWest";"North";"NorthEast";"East";"West";"NorthWest"},0),1,2,3,4,5,6,7,8)</f>
        <v>8</v>
      </c>
      <c r="AB1054" s="2">
        <f t="shared" si="166"/>
        <v>1</v>
      </c>
      <c r="AC1054">
        <v>1013.6</v>
      </c>
      <c r="AD1054" t="s">
        <v>619</v>
      </c>
      <c r="AE1054" s="2">
        <f t="shared" si="167"/>
        <v>0</v>
      </c>
      <c r="AF1054" t="s">
        <v>1565</v>
      </c>
      <c r="AG1054" s="2">
        <f t="shared" si="168"/>
        <v>5</v>
      </c>
      <c r="AH1054" s="2">
        <f t="shared" si="169"/>
        <v>0</v>
      </c>
      <c r="AI1054" s="3">
        <v>4200.0000000069849</v>
      </c>
      <c r="AJ1054" s="2">
        <v>1</v>
      </c>
      <c r="AK1054">
        <v>0</v>
      </c>
      <c r="AL1054">
        <v>1</v>
      </c>
      <c r="AM1054">
        <v>0</v>
      </c>
      <c r="AN1054" s="2">
        <f>IF((2*G1054+M1054-O1054+3*V1054+2*AB1054+2*AE1054+2*AH1054+3*AJ1054)&gt;=7,1,0)</f>
        <v>0</v>
      </c>
    </row>
    <row r="1055" spans="1:40" x14ac:dyDescent="0.25">
      <c r="A1055" t="s">
        <v>27</v>
      </c>
      <c r="B1055" s="1">
        <v>40326</v>
      </c>
      <c r="C1055" s="6">
        <f t="shared" si="160"/>
        <v>2010</v>
      </c>
      <c r="D1055">
        <v>77</v>
      </c>
      <c r="E1055">
        <v>62.6</v>
      </c>
      <c r="F1055">
        <v>70.900000000000006</v>
      </c>
      <c r="G1055" s="2">
        <f t="shared" si="161"/>
        <v>1</v>
      </c>
      <c r="H1055">
        <v>77</v>
      </c>
      <c r="I1055">
        <v>62.6</v>
      </c>
      <c r="J1055">
        <v>70.900000000000006</v>
      </c>
      <c r="K1055">
        <v>56.8</v>
      </c>
      <c r="L1055">
        <v>61.2</v>
      </c>
      <c r="M1055" s="2">
        <f t="shared" si="162"/>
        <v>1</v>
      </c>
      <c r="N1055">
        <v>0</v>
      </c>
      <c r="O1055" s="2">
        <f t="shared" si="163"/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 s="2">
        <f t="shared" si="164"/>
        <v>0</v>
      </c>
      <c r="W1055">
        <v>12.8</v>
      </c>
      <c r="X1055" s="2">
        <f t="shared" si="165"/>
        <v>0</v>
      </c>
      <c r="Y1055">
        <v>172</v>
      </c>
      <c r="Z1055" s="2" t="str">
        <f>CHOOSE(MATCH(Y1055,{0;11;80;111;161;191;241;281;341},1),"North","NorthEast","East","SouthEast","South","SouthWest","West","NorthWest","North")</f>
        <v>South</v>
      </c>
      <c r="AA1055" s="4">
        <f>CHOOSE(MATCH(Z1055,{"South";"SouthEast";"SouthWest";"North";"NorthEast";"East";"West";"NorthWest"},0),1,2,3,4,5,6,7,8)</f>
        <v>1</v>
      </c>
      <c r="AB1055" s="2">
        <f t="shared" si="166"/>
        <v>0</v>
      </c>
      <c r="AC1055">
        <v>1012.7</v>
      </c>
      <c r="AD1055" t="s">
        <v>1566</v>
      </c>
      <c r="AE1055" s="2">
        <f t="shared" si="167"/>
        <v>0</v>
      </c>
      <c r="AF1055" t="s">
        <v>1567</v>
      </c>
      <c r="AG1055" s="2">
        <f t="shared" si="168"/>
        <v>5</v>
      </c>
      <c r="AH1055" s="2">
        <f t="shared" si="169"/>
        <v>0</v>
      </c>
      <c r="AI1055" s="3">
        <v>105.00000000698491</v>
      </c>
      <c r="AJ1055" s="2">
        <v>0</v>
      </c>
      <c r="AK1055">
        <v>0</v>
      </c>
      <c r="AL1055">
        <v>0.1</v>
      </c>
      <c r="AM1055">
        <v>0</v>
      </c>
      <c r="AN1055" s="2">
        <f>IF((2*G1055+M1055-O1055+3*V1055+2*AB1055+2*AE1055+2*AH1055+3*AJ1055)&gt;=7,1,0)</f>
        <v>0</v>
      </c>
    </row>
    <row r="1056" spans="1:40" x14ac:dyDescent="0.25">
      <c r="A1056" t="s">
        <v>27</v>
      </c>
      <c r="B1056" s="1">
        <v>40326</v>
      </c>
      <c r="C1056" s="6">
        <f t="shared" si="160"/>
        <v>2010</v>
      </c>
      <c r="D1056">
        <v>77</v>
      </c>
      <c r="E1056">
        <v>62.6</v>
      </c>
      <c r="F1056">
        <v>70.900000000000006</v>
      </c>
      <c r="G1056" s="2">
        <f t="shared" si="161"/>
        <v>1</v>
      </c>
      <c r="H1056">
        <v>77</v>
      </c>
      <c r="I1056">
        <v>62.6</v>
      </c>
      <c r="J1056">
        <v>70.900000000000006</v>
      </c>
      <c r="K1056">
        <v>56.8</v>
      </c>
      <c r="L1056">
        <v>61.2</v>
      </c>
      <c r="M1056" s="2">
        <f t="shared" si="162"/>
        <v>1</v>
      </c>
      <c r="N1056">
        <v>0</v>
      </c>
      <c r="O1056" s="2">
        <f t="shared" si="163"/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 s="2">
        <f t="shared" si="164"/>
        <v>0</v>
      </c>
      <c r="W1056">
        <v>12.8</v>
      </c>
      <c r="X1056" s="2">
        <f t="shared" si="165"/>
        <v>0</v>
      </c>
      <c r="Y1056">
        <v>172</v>
      </c>
      <c r="Z1056" s="2" t="str">
        <f>CHOOSE(MATCH(Y1056,{0;11;80;111;161;191;241;281;341},1),"North","NorthEast","East","SouthEast","South","SouthWest","West","NorthWest","North")</f>
        <v>South</v>
      </c>
      <c r="AA1056" s="4">
        <f>CHOOSE(MATCH(Z1056,{"South";"SouthEast";"SouthWest";"North";"NorthEast";"East";"West";"NorthWest"},0),1,2,3,4,5,6,7,8)</f>
        <v>1</v>
      </c>
      <c r="AB1056" s="2">
        <f t="shared" si="166"/>
        <v>0</v>
      </c>
      <c r="AC1056">
        <v>1012.7</v>
      </c>
      <c r="AD1056" t="s">
        <v>1566</v>
      </c>
      <c r="AE1056" s="2">
        <f t="shared" si="167"/>
        <v>0</v>
      </c>
      <c r="AF1056" t="s">
        <v>1567</v>
      </c>
      <c r="AG1056" s="2">
        <f t="shared" si="168"/>
        <v>5</v>
      </c>
      <c r="AH1056" s="2">
        <f t="shared" si="169"/>
        <v>0</v>
      </c>
      <c r="AI1056" s="3">
        <v>105.00000000698491</v>
      </c>
      <c r="AJ1056" s="2">
        <v>0</v>
      </c>
      <c r="AK1056">
        <v>0</v>
      </c>
      <c r="AL1056">
        <v>0.2</v>
      </c>
      <c r="AM1056">
        <v>0</v>
      </c>
      <c r="AN1056" s="2">
        <f>IF((2*G1056+M1056-O1056+3*V1056+2*AB1056+2*AE1056+2*AH1056+3*AJ1056)&gt;=7,1,0)</f>
        <v>0</v>
      </c>
    </row>
    <row r="1057" spans="1:40" x14ac:dyDescent="0.25">
      <c r="A1057" t="s">
        <v>27</v>
      </c>
      <c r="B1057" s="1">
        <v>40340</v>
      </c>
      <c r="C1057" s="6">
        <f t="shared" si="160"/>
        <v>2010</v>
      </c>
      <c r="D1057">
        <v>78.900000000000006</v>
      </c>
      <c r="E1057">
        <v>73.400000000000006</v>
      </c>
      <c r="F1057">
        <v>76.2</v>
      </c>
      <c r="G1057" s="2">
        <f t="shared" si="161"/>
        <v>1</v>
      </c>
      <c r="H1057">
        <v>78.900000000000006</v>
      </c>
      <c r="I1057">
        <v>73.400000000000006</v>
      </c>
      <c r="J1057">
        <v>76.2</v>
      </c>
      <c r="K1057">
        <v>65.2</v>
      </c>
      <c r="L1057">
        <v>69.099999999999994</v>
      </c>
      <c r="M1057" s="2">
        <f t="shared" si="162"/>
        <v>0</v>
      </c>
      <c r="N1057">
        <v>0</v>
      </c>
      <c r="O1057" s="2">
        <f t="shared" si="163"/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 s="2">
        <f t="shared" si="164"/>
        <v>0</v>
      </c>
      <c r="W1057">
        <v>19.5</v>
      </c>
      <c r="X1057" s="2">
        <f t="shared" si="165"/>
        <v>1</v>
      </c>
      <c r="Y1057">
        <v>307.7</v>
      </c>
      <c r="Z1057" s="2" t="str">
        <f>CHOOSE(MATCH(Y1057,{0;11;80;111;161;191;241;281;341},1),"North","NorthEast","East","SouthEast","South","SouthWest","West","NorthWest","North")</f>
        <v>NorthWest</v>
      </c>
      <c r="AA1057" s="4">
        <f>CHOOSE(MATCH(Z1057,{"South";"SouthEast";"SouthWest";"North";"NorthEast";"East";"West";"NorthWest"},0),1,2,3,4,5,6,7,8)</f>
        <v>8</v>
      </c>
      <c r="AB1057" s="2">
        <f t="shared" si="166"/>
        <v>1</v>
      </c>
      <c r="AC1057">
        <v>1010.6</v>
      </c>
      <c r="AD1057" t="s">
        <v>1022</v>
      </c>
      <c r="AE1057" s="2">
        <f t="shared" si="167"/>
        <v>1</v>
      </c>
      <c r="AF1057" t="s">
        <v>1568</v>
      </c>
      <c r="AG1057" s="2">
        <f t="shared" si="168"/>
        <v>6</v>
      </c>
      <c r="AH1057" s="2">
        <f t="shared" si="169"/>
        <v>1</v>
      </c>
      <c r="AI1057" s="3">
        <v>1009.999999991851</v>
      </c>
      <c r="AJ1057" s="2">
        <v>1</v>
      </c>
      <c r="AK1057">
        <v>0</v>
      </c>
      <c r="AL1057">
        <v>48</v>
      </c>
      <c r="AM1057">
        <v>0</v>
      </c>
      <c r="AN1057" s="2">
        <f>IF((2*G1057+M1057-O1057+3*V1057+2*AB1057+2*AE1057+2*AH1057+3*AJ1057)&gt;=7,1,0)</f>
        <v>1</v>
      </c>
    </row>
    <row r="1058" spans="1:40" x14ac:dyDescent="0.25">
      <c r="A1058" t="s">
        <v>27</v>
      </c>
      <c r="B1058" s="1">
        <v>40341</v>
      </c>
      <c r="C1058" s="6">
        <f t="shared" si="160"/>
        <v>2010</v>
      </c>
      <c r="D1058">
        <v>80.599999999999994</v>
      </c>
      <c r="E1058">
        <v>73.400000000000006</v>
      </c>
      <c r="F1058">
        <v>76.3</v>
      </c>
      <c r="G1058" s="2">
        <f t="shared" si="161"/>
        <v>1</v>
      </c>
      <c r="H1058">
        <v>83.3</v>
      </c>
      <c r="I1058">
        <v>73.400000000000006</v>
      </c>
      <c r="J1058">
        <v>76.400000000000006</v>
      </c>
      <c r="K1058">
        <v>66.7</v>
      </c>
      <c r="L1058">
        <v>72.7</v>
      </c>
      <c r="M1058" s="2">
        <f t="shared" si="162"/>
        <v>0</v>
      </c>
      <c r="N1058">
        <v>0</v>
      </c>
      <c r="O1058" s="2">
        <f t="shared" si="163"/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 s="2">
        <f t="shared" si="164"/>
        <v>0</v>
      </c>
      <c r="W1058">
        <v>15</v>
      </c>
      <c r="X1058" s="2">
        <f t="shared" si="165"/>
        <v>0</v>
      </c>
      <c r="Y1058">
        <v>315.10000000000002</v>
      </c>
      <c r="Z1058" s="2" t="str">
        <f>CHOOSE(MATCH(Y1058,{0;11;80;111;161;191;241;281;341},1),"North","NorthEast","East","SouthEast","South","SouthWest","West","NorthWest","North")</f>
        <v>NorthWest</v>
      </c>
      <c r="AA1058" s="4">
        <f>CHOOSE(MATCH(Z1058,{"South";"SouthEast";"SouthWest";"North";"NorthEast";"East";"West";"NorthWest"},0),1,2,3,4,5,6,7,8)</f>
        <v>8</v>
      </c>
      <c r="AB1058" s="2">
        <f t="shared" si="166"/>
        <v>1</v>
      </c>
      <c r="AC1058">
        <v>1010.4</v>
      </c>
      <c r="AD1058" t="s">
        <v>590</v>
      </c>
      <c r="AE1058" s="2">
        <f t="shared" si="167"/>
        <v>0</v>
      </c>
      <c r="AF1058" t="s">
        <v>1569</v>
      </c>
      <c r="AG1058" s="2">
        <f t="shared" si="168"/>
        <v>6</v>
      </c>
      <c r="AH1058" s="2">
        <f t="shared" si="169"/>
        <v>1</v>
      </c>
      <c r="AI1058" s="3">
        <v>509.99999999650748</v>
      </c>
      <c r="AJ1058" s="2">
        <v>1</v>
      </c>
      <c r="AK1058">
        <v>0</v>
      </c>
      <c r="AL1058">
        <v>50</v>
      </c>
      <c r="AM1058">
        <v>0</v>
      </c>
      <c r="AN1058" s="2">
        <f>IF((2*G1058+M1058-O1058+3*V1058+2*AB1058+2*AE1058+2*AH1058+3*AJ1058)&gt;=7,1,0)</f>
        <v>1</v>
      </c>
    </row>
    <row r="1059" spans="1:40" x14ac:dyDescent="0.25">
      <c r="A1059" t="s">
        <v>27</v>
      </c>
      <c r="B1059" s="1">
        <v>40342</v>
      </c>
      <c r="C1059" s="6">
        <f t="shared" si="160"/>
        <v>2010</v>
      </c>
      <c r="D1059">
        <v>84.2</v>
      </c>
      <c r="E1059">
        <v>68</v>
      </c>
      <c r="F1059">
        <v>76.599999999999994</v>
      </c>
      <c r="G1059" s="2">
        <f t="shared" si="161"/>
        <v>1</v>
      </c>
      <c r="H1059">
        <v>85.7</v>
      </c>
      <c r="I1059">
        <v>68</v>
      </c>
      <c r="J1059">
        <v>77.599999999999994</v>
      </c>
      <c r="K1059">
        <v>63.4</v>
      </c>
      <c r="L1059">
        <v>64.599999999999994</v>
      </c>
      <c r="M1059" s="2">
        <f t="shared" si="162"/>
        <v>1</v>
      </c>
      <c r="N1059">
        <v>0</v>
      </c>
      <c r="O1059" s="2">
        <f t="shared" si="163"/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 s="2">
        <f t="shared" si="164"/>
        <v>0</v>
      </c>
      <c r="W1059">
        <v>13.9</v>
      </c>
      <c r="X1059" s="2">
        <f t="shared" si="165"/>
        <v>0</v>
      </c>
      <c r="Y1059">
        <v>294.60000000000002</v>
      </c>
      <c r="Z1059" s="2" t="str">
        <f>CHOOSE(MATCH(Y1059,{0;11;80;111;161;191;241;281;341},1),"North","NorthEast","East","SouthEast","South","SouthWest","West","NorthWest","North")</f>
        <v>NorthWest</v>
      </c>
      <c r="AA1059" s="4">
        <f>CHOOSE(MATCH(Z1059,{"South";"SouthEast";"SouthWest";"North";"NorthEast";"East";"West";"NorthWest"},0),1,2,3,4,5,6,7,8)</f>
        <v>8</v>
      </c>
      <c r="AB1059" s="2">
        <f t="shared" si="166"/>
        <v>1</v>
      </c>
      <c r="AC1059">
        <v>1010.3</v>
      </c>
      <c r="AD1059" t="s">
        <v>153</v>
      </c>
      <c r="AE1059" s="2">
        <f t="shared" si="167"/>
        <v>1</v>
      </c>
      <c r="AF1059" t="s">
        <v>1570</v>
      </c>
      <c r="AG1059" s="2">
        <f t="shared" si="168"/>
        <v>6</v>
      </c>
      <c r="AH1059" s="2">
        <f t="shared" si="169"/>
        <v>1</v>
      </c>
      <c r="AI1059" s="3">
        <v>29.999999993015081</v>
      </c>
      <c r="AJ1059" s="2">
        <v>0</v>
      </c>
      <c r="AK1059">
        <v>0</v>
      </c>
      <c r="AL1059">
        <v>0.1</v>
      </c>
      <c r="AM1059">
        <v>0</v>
      </c>
      <c r="AN1059" s="2">
        <f>IF((2*G1059+M1059-O1059+3*V1059+2*AB1059+2*AE1059+2*AH1059+3*AJ1059)&gt;=7,1,0)</f>
        <v>1</v>
      </c>
    </row>
    <row r="1060" spans="1:40" x14ac:dyDescent="0.25">
      <c r="A1060" t="s">
        <v>27</v>
      </c>
      <c r="B1060" s="1">
        <v>40343</v>
      </c>
      <c r="C1060" s="6">
        <f t="shared" si="160"/>
        <v>2010</v>
      </c>
      <c r="D1060">
        <v>84.2</v>
      </c>
      <c r="E1060">
        <v>69.900000000000006</v>
      </c>
      <c r="F1060">
        <v>77.5</v>
      </c>
      <c r="G1060" s="2">
        <f t="shared" si="161"/>
        <v>1</v>
      </c>
      <c r="H1060">
        <v>89.6</v>
      </c>
      <c r="I1060">
        <v>69.900000000000006</v>
      </c>
      <c r="J1060">
        <v>79.400000000000006</v>
      </c>
      <c r="K1060">
        <v>66</v>
      </c>
      <c r="L1060">
        <v>68</v>
      </c>
      <c r="M1060" s="2">
        <f t="shared" si="162"/>
        <v>0</v>
      </c>
      <c r="N1060">
        <v>0</v>
      </c>
      <c r="O1060" s="2">
        <f t="shared" si="163"/>
        <v>1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 s="2">
        <f t="shared" si="164"/>
        <v>0</v>
      </c>
      <c r="W1060">
        <v>13.9</v>
      </c>
      <c r="X1060" s="2">
        <f t="shared" si="165"/>
        <v>0</v>
      </c>
      <c r="Y1060">
        <v>296.10000000000002</v>
      </c>
      <c r="Z1060" s="2" t="str">
        <f>CHOOSE(MATCH(Y1060,{0;11;80;111;161;191;241;281;341},1),"North","NorthEast","East","SouthEast","South","SouthWest","West","NorthWest","North")</f>
        <v>NorthWest</v>
      </c>
      <c r="AA1060" s="4">
        <f>CHOOSE(MATCH(Z1060,{"South";"SouthEast";"SouthWest";"North";"NorthEast";"East";"West";"NorthWest"},0),1,2,3,4,5,6,7,8)</f>
        <v>8</v>
      </c>
      <c r="AB1060" s="2">
        <f t="shared" si="166"/>
        <v>1</v>
      </c>
      <c r="AC1060">
        <v>1010.5</v>
      </c>
      <c r="AD1060" t="s">
        <v>1420</v>
      </c>
      <c r="AE1060" s="2">
        <f t="shared" si="167"/>
        <v>1</v>
      </c>
      <c r="AF1060" t="s">
        <v>1571</v>
      </c>
      <c r="AG1060" s="2">
        <f t="shared" si="168"/>
        <v>6</v>
      </c>
      <c r="AH1060" s="2">
        <f t="shared" si="169"/>
        <v>1</v>
      </c>
      <c r="AI1060" s="3">
        <v>430.00000000814907</v>
      </c>
      <c r="AJ1060" s="2">
        <v>1</v>
      </c>
      <c r="AK1060">
        <v>0</v>
      </c>
      <c r="AL1060">
        <v>20</v>
      </c>
      <c r="AM1060">
        <v>0</v>
      </c>
      <c r="AN1060" s="2">
        <f>IF((2*G1060+M1060-O1060+3*V1060+2*AB1060+2*AE1060+2*AH1060+3*AJ1060)&gt;=7,1,0)</f>
        <v>1</v>
      </c>
    </row>
    <row r="1061" spans="1:40" x14ac:dyDescent="0.25">
      <c r="A1061" t="s">
        <v>27</v>
      </c>
      <c r="B1061" s="1">
        <v>40344</v>
      </c>
      <c r="C1061" s="6">
        <f t="shared" si="160"/>
        <v>2010</v>
      </c>
      <c r="D1061">
        <v>91.4</v>
      </c>
      <c r="E1061">
        <v>71.599999999999994</v>
      </c>
      <c r="F1061">
        <v>81.400000000000006</v>
      </c>
      <c r="G1061" s="2">
        <f t="shared" si="161"/>
        <v>1</v>
      </c>
      <c r="H1061">
        <v>97</v>
      </c>
      <c r="I1061">
        <v>71.599999999999994</v>
      </c>
      <c r="J1061">
        <v>83.5</v>
      </c>
      <c r="K1061">
        <v>66.099999999999994</v>
      </c>
      <c r="L1061">
        <v>61</v>
      </c>
      <c r="M1061" s="2">
        <f t="shared" si="162"/>
        <v>1</v>
      </c>
      <c r="N1061">
        <v>0</v>
      </c>
      <c r="O1061" s="2">
        <f t="shared" si="163"/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 s="2">
        <f t="shared" si="164"/>
        <v>0</v>
      </c>
      <c r="W1061">
        <v>8.1</v>
      </c>
      <c r="X1061" s="2">
        <f t="shared" si="165"/>
        <v>0</v>
      </c>
      <c r="Y1061">
        <v>142.19999999999999</v>
      </c>
      <c r="Z1061" s="2" t="str">
        <f>CHOOSE(MATCH(Y1061,{0;11;80;111;161;191;241;281;341},1),"North","NorthEast","East","SouthEast","South","SouthWest","West","NorthWest","North")</f>
        <v>SouthEast</v>
      </c>
      <c r="AA1061" s="4">
        <f>CHOOSE(MATCH(Z1061,{"South";"SouthEast";"SouthWest";"North";"NorthEast";"East";"West";"NorthWest"},0),1,2,3,4,5,6,7,8)</f>
        <v>2</v>
      </c>
      <c r="AB1061" s="2">
        <f t="shared" si="166"/>
        <v>0</v>
      </c>
      <c r="AC1061">
        <v>1012.1</v>
      </c>
      <c r="AD1061" t="s">
        <v>1572</v>
      </c>
      <c r="AE1061" s="2">
        <f t="shared" si="167"/>
        <v>1</v>
      </c>
      <c r="AF1061" t="s">
        <v>1573</v>
      </c>
      <c r="AG1061" s="2">
        <f t="shared" si="168"/>
        <v>6</v>
      </c>
      <c r="AH1061" s="2">
        <f t="shared" si="169"/>
        <v>1</v>
      </c>
      <c r="AI1061" s="3">
        <v>769.00000000256114</v>
      </c>
      <c r="AJ1061" s="2">
        <v>1</v>
      </c>
      <c r="AK1061">
        <v>0</v>
      </c>
      <c r="AL1061">
        <v>20</v>
      </c>
      <c r="AM1061">
        <v>0</v>
      </c>
      <c r="AN1061" s="2">
        <f>IF((2*G1061+M1061-O1061+3*V1061+2*AB1061+2*AE1061+2*AH1061+3*AJ1061)&gt;=7,1,0)</f>
        <v>1</v>
      </c>
    </row>
    <row r="1062" spans="1:40" x14ac:dyDescent="0.25">
      <c r="A1062" t="s">
        <v>27</v>
      </c>
      <c r="B1062" s="1">
        <v>40345</v>
      </c>
      <c r="C1062" s="6">
        <f t="shared" si="160"/>
        <v>2010</v>
      </c>
      <c r="D1062">
        <v>91.4</v>
      </c>
      <c r="E1062">
        <v>75.2</v>
      </c>
      <c r="F1062">
        <v>84.1</v>
      </c>
      <c r="G1062" s="2">
        <f t="shared" si="161"/>
        <v>1</v>
      </c>
      <c r="H1062">
        <v>100.3</v>
      </c>
      <c r="I1062">
        <v>75.2</v>
      </c>
      <c r="J1062">
        <v>87.2</v>
      </c>
      <c r="K1062">
        <v>65.900000000000006</v>
      </c>
      <c r="L1062">
        <v>54.7</v>
      </c>
      <c r="M1062" s="2">
        <f t="shared" si="162"/>
        <v>1</v>
      </c>
      <c r="N1062">
        <v>0</v>
      </c>
      <c r="O1062" s="2">
        <f t="shared" si="163"/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 s="2">
        <f t="shared" si="164"/>
        <v>0</v>
      </c>
      <c r="W1062">
        <v>9.1999999999999993</v>
      </c>
      <c r="X1062" s="2">
        <f t="shared" si="165"/>
        <v>0</v>
      </c>
      <c r="Y1062">
        <v>184.6</v>
      </c>
      <c r="Z1062" s="2" t="str">
        <f>CHOOSE(MATCH(Y1062,{0;11;80;111;161;191;241;281;341},1),"North","NorthEast","East","SouthEast","South","SouthWest","West","NorthWest","North")</f>
        <v>South</v>
      </c>
      <c r="AA1062" s="4">
        <f>CHOOSE(MATCH(Z1062,{"South";"SouthEast";"SouthWest";"North";"NorthEast";"East";"West";"NorthWest"},0),1,2,3,4,5,6,7,8)</f>
        <v>1</v>
      </c>
      <c r="AB1062" s="2">
        <f t="shared" si="166"/>
        <v>0</v>
      </c>
      <c r="AC1062">
        <v>1012.1</v>
      </c>
      <c r="AD1062" t="s">
        <v>118</v>
      </c>
      <c r="AE1062" s="2">
        <f t="shared" si="167"/>
        <v>0</v>
      </c>
      <c r="AF1062" t="s">
        <v>1574</v>
      </c>
      <c r="AG1062" s="2">
        <f t="shared" si="168"/>
        <v>6</v>
      </c>
      <c r="AH1062" s="2">
        <f t="shared" si="169"/>
        <v>1</v>
      </c>
      <c r="AI1062" s="3">
        <v>604.99999999185093</v>
      </c>
      <c r="AJ1062" s="2">
        <v>1</v>
      </c>
      <c r="AK1062">
        <v>0</v>
      </c>
      <c r="AL1062">
        <v>10</v>
      </c>
      <c r="AM1062">
        <v>0</v>
      </c>
      <c r="AN1062" s="2">
        <f>IF((2*G1062+M1062-O1062+3*V1062+2*AB1062+2*AE1062+2*AH1062+3*AJ1062)&gt;=7,1,0)</f>
        <v>1</v>
      </c>
    </row>
    <row r="1063" spans="1:40" x14ac:dyDescent="0.25">
      <c r="A1063" t="s">
        <v>27</v>
      </c>
      <c r="B1063" s="1">
        <v>40346</v>
      </c>
      <c r="C1063" s="6">
        <f t="shared" si="160"/>
        <v>2010</v>
      </c>
      <c r="D1063">
        <v>98.6</v>
      </c>
      <c r="E1063">
        <v>77</v>
      </c>
      <c r="F1063">
        <v>87.7</v>
      </c>
      <c r="G1063" s="2">
        <f t="shared" si="161"/>
        <v>1</v>
      </c>
      <c r="H1063">
        <v>99.2</v>
      </c>
      <c r="I1063">
        <v>77</v>
      </c>
      <c r="J1063">
        <v>89</v>
      </c>
      <c r="K1063">
        <v>62.1</v>
      </c>
      <c r="L1063">
        <v>44.3</v>
      </c>
      <c r="M1063" s="2">
        <f t="shared" si="162"/>
        <v>1</v>
      </c>
      <c r="N1063">
        <v>0</v>
      </c>
      <c r="O1063" s="2">
        <f t="shared" si="163"/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 s="2">
        <f t="shared" si="164"/>
        <v>0</v>
      </c>
      <c r="W1063">
        <v>17.2</v>
      </c>
      <c r="X1063" s="2">
        <f t="shared" si="165"/>
        <v>1</v>
      </c>
      <c r="Y1063">
        <v>282.7</v>
      </c>
      <c r="Z1063" s="2" t="str">
        <f>CHOOSE(MATCH(Y1063,{0;11;80;111;161;191;241;281;341},1),"North","NorthEast","East","SouthEast","South","SouthWest","West","NorthWest","North")</f>
        <v>NorthWest</v>
      </c>
      <c r="AA1063" s="4">
        <f>CHOOSE(MATCH(Z1063,{"South";"SouthEast";"SouthWest";"North";"NorthEast";"East";"West";"NorthWest"},0),1,2,3,4,5,6,7,8)</f>
        <v>8</v>
      </c>
      <c r="AB1063" s="2">
        <f t="shared" si="166"/>
        <v>1</v>
      </c>
      <c r="AC1063">
        <v>1009.4</v>
      </c>
      <c r="AD1063" t="s">
        <v>1575</v>
      </c>
      <c r="AE1063" s="2">
        <f t="shared" si="167"/>
        <v>0</v>
      </c>
      <c r="AF1063" t="s">
        <v>1576</v>
      </c>
      <c r="AG1063" s="2">
        <f t="shared" si="168"/>
        <v>6</v>
      </c>
      <c r="AH1063" s="2">
        <f t="shared" si="169"/>
        <v>1</v>
      </c>
      <c r="AI1063" s="3">
        <v>205.0000000081491</v>
      </c>
      <c r="AJ1063" s="2">
        <v>0</v>
      </c>
      <c r="AK1063">
        <v>0</v>
      </c>
      <c r="AL1063">
        <v>3</v>
      </c>
      <c r="AM1063">
        <v>0</v>
      </c>
      <c r="AN1063" s="2">
        <f>IF((2*G1063+M1063-O1063+3*V1063+2*AB1063+2*AE1063+2*AH1063+3*AJ1063)&gt;=7,1,0)</f>
        <v>0</v>
      </c>
    </row>
    <row r="1064" spans="1:40" x14ac:dyDescent="0.25">
      <c r="A1064" t="s">
        <v>27</v>
      </c>
      <c r="B1064" s="1">
        <v>40347</v>
      </c>
      <c r="C1064" s="6">
        <f t="shared" si="160"/>
        <v>2010</v>
      </c>
      <c r="D1064">
        <v>84.2</v>
      </c>
      <c r="E1064">
        <v>73.400000000000006</v>
      </c>
      <c r="F1064">
        <v>79.7</v>
      </c>
      <c r="G1064" s="2">
        <f t="shared" si="161"/>
        <v>1</v>
      </c>
      <c r="H1064">
        <v>91</v>
      </c>
      <c r="I1064">
        <v>73.400000000000006</v>
      </c>
      <c r="J1064">
        <v>82.5</v>
      </c>
      <c r="K1064">
        <v>70.599999999999994</v>
      </c>
      <c r="L1064">
        <v>74</v>
      </c>
      <c r="M1064" s="2">
        <f t="shared" si="162"/>
        <v>0</v>
      </c>
      <c r="N1064">
        <v>0</v>
      </c>
      <c r="O1064" s="2">
        <f t="shared" si="163"/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 s="2">
        <f t="shared" si="164"/>
        <v>0</v>
      </c>
      <c r="W1064">
        <v>18.3</v>
      </c>
      <c r="X1064" s="2">
        <f t="shared" si="165"/>
        <v>1</v>
      </c>
      <c r="Y1064">
        <v>320.60000000000002</v>
      </c>
      <c r="Z1064" s="2" t="str">
        <f>CHOOSE(MATCH(Y1064,{0;11;80;111;161;191;241;281;341},1),"North","NorthEast","East","SouthEast","South","SouthWest","West","NorthWest","North")</f>
        <v>NorthWest</v>
      </c>
      <c r="AA1064" s="4">
        <f>CHOOSE(MATCH(Z1064,{"South";"SouthEast";"SouthWest";"North";"NorthEast";"East";"West";"NorthWest"},0),1,2,3,4,5,6,7,8)</f>
        <v>8</v>
      </c>
      <c r="AB1064" s="2">
        <f t="shared" si="166"/>
        <v>1</v>
      </c>
      <c r="AC1064">
        <v>1007.7</v>
      </c>
      <c r="AD1064" t="s">
        <v>1577</v>
      </c>
      <c r="AE1064" s="2">
        <f t="shared" si="167"/>
        <v>1</v>
      </c>
      <c r="AF1064" t="s">
        <v>1578</v>
      </c>
      <c r="AG1064" s="2">
        <f t="shared" si="168"/>
        <v>6</v>
      </c>
      <c r="AH1064" s="2">
        <f t="shared" si="169"/>
        <v>1</v>
      </c>
      <c r="AI1064" s="3">
        <v>455.00000000582082</v>
      </c>
      <c r="AJ1064" s="2">
        <v>1</v>
      </c>
      <c r="AK1064">
        <v>0</v>
      </c>
      <c r="AL1064">
        <v>30</v>
      </c>
      <c r="AM1064">
        <v>0</v>
      </c>
      <c r="AN1064" s="2">
        <f>IF((2*G1064+M1064-O1064+3*V1064+2*AB1064+2*AE1064+2*AH1064+3*AJ1064)&gt;=7,1,0)</f>
        <v>1</v>
      </c>
    </row>
    <row r="1065" spans="1:40" x14ac:dyDescent="0.25">
      <c r="A1065" t="s">
        <v>27</v>
      </c>
      <c r="B1065" s="1">
        <v>40352</v>
      </c>
      <c r="C1065" s="6">
        <f t="shared" si="160"/>
        <v>2010</v>
      </c>
      <c r="D1065">
        <v>80.599999999999994</v>
      </c>
      <c r="E1065">
        <v>68</v>
      </c>
      <c r="F1065">
        <v>75.099999999999994</v>
      </c>
      <c r="G1065" s="2">
        <f t="shared" si="161"/>
        <v>1</v>
      </c>
      <c r="H1065">
        <v>81.5</v>
      </c>
      <c r="I1065">
        <v>68</v>
      </c>
      <c r="J1065">
        <v>75.099999999999994</v>
      </c>
      <c r="K1065">
        <v>59.8</v>
      </c>
      <c r="L1065">
        <v>59.6</v>
      </c>
      <c r="M1065" s="2">
        <f t="shared" si="162"/>
        <v>1</v>
      </c>
      <c r="N1065">
        <v>0</v>
      </c>
      <c r="O1065" s="2">
        <f t="shared" si="163"/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 s="2">
        <f t="shared" si="164"/>
        <v>0</v>
      </c>
      <c r="W1065">
        <v>30</v>
      </c>
      <c r="X1065" s="2">
        <f t="shared" si="165"/>
        <v>1</v>
      </c>
      <c r="Y1065">
        <v>295.10000000000002</v>
      </c>
      <c r="Z1065" s="2" t="str">
        <f>CHOOSE(MATCH(Y1065,{0;11;80;111;161;191;241;281;341},1),"North","NorthEast","East","SouthEast","South","SouthWest","West","NorthWest","North")</f>
        <v>NorthWest</v>
      </c>
      <c r="AA1065" s="4">
        <f>CHOOSE(MATCH(Z1065,{"South";"SouthEast";"SouthWest";"North";"NorthEast";"East";"West";"NorthWest"},0),1,2,3,4,5,6,7,8)</f>
        <v>8</v>
      </c>
      <c r="AB1065" s="2">
        <f t="shared" si="166"/>
        <v>1</v>
      </c>
      <c r="AC1065">
        <v>1006.3</v>
      </c>
      <c r="AD1065" t="s">
        <v>403</v>
      </c>
      <c r="AE1065" s="2">
        <f t="shared" si="167"/>
        <v>1</v>
      </c>
      <c r="AF1065" t="s">
        <v>1579</v>
      </c>
      <c r="AG1065" s="2">
        <f t="shared" si="168"/>
        <v>6</v>
      </c>
      <c r="AH1065" s="2">
        <f t="shared" si="169"/>
        <v>1</v>
      </c>
      <c r="AI1065" s="3">
        <v>1695.000000003492</v>
      </c>
      <c r="AJ1065" s="2">
        <v>1</v>
      </c>
      <c r="AK1065">
        <v>0</v>
      </c>
      <c r="AL1065">
        <v>0.2</v>
      </c>
      <c r="AM1065">
        <v>0</v>
      </c>
      <c r="AN1065" s="2">
        <f>IF((2*G1065+M1065-O1065+3*V1065+2*AB1065+2*AE1065+2*AH1065+3*AJ1065)&gt;=7,1,0)</f>
        <v>1</v>
      </c>
    </row>
    <row r="1066" spans="1:40" x14ac:dyDescent="0.25">
      <c r="A1066" t="s">
        <v>27</v>
      </c>
      <c r="B1066" s="1">
        <v>40365</v>
      </c>
      <c r="C1066" s="6">
        <f t="shared" si="160"/>
        <v>2010</v>
      </c>
      <c r="D1066">
        <v>84.3</v>
      </c>
      <c r="E1066">
        <v>71.599999999999994</v>
      </c>
      <c r="F1066">
        <v>79.8</v>
      </c>
      <c r="G1066" s="2">
        <f t="shared" si="161"/>
        <v>1</v>
      </c>
      <c r="H1066">
        <v>89.8</v>
      </c>
      <c r="I1066">
        <v>71.599999999999994</v>
      </c>
      <c r="J1066">
        <v>81.2</v>
      </c>
      <c r="K1066">
        <v>67.3</v>
      </c>
      <c r="L1066">
        <v>66.2</v>
      </c>
      <c r="M1066" s="2">
        <f t="shared" si="162"/>
        <v>0</v>
      </c>
      <c r="N1066">
        <v>0</v>
      </c>
      <c r="O1066" s="2">
        <f t="shared" si="163"/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 s="2">
        <f t="shared" si="164"/>
        <v>0</v>
      </c>
      <c r="W1066">
        <v>17.2</v>
      </c>
      <c r="X1066" s="2">
        <f t="shared" si="165"/>
        <v>1</v>
      </c>
      <c r="Y1066">
        <v>315.8</v>
      </c>
      <c r="Z1066" s="2" t="str">
        <f>CHOOSE(MATCH(Y1066,{0;11;80;111;161;191;241;281;341},1),"North","NorthEast","East","SouthEast","South","SouthWest","West","NorthWest","North")</f>
        <v>NorthWest</v>
      </c>
      <c r="AA1066" s="4">
        <f>CHOOSE(MATCH(Z1066,{"South";"SouthEast";"SouthWest";"North";"NorthEast";"East";"West";"NorthWest"},0),1,2,3,4,5,6,7,8)</f>
        <v>8</v>
      </c>
      <c r="AB1066" s="2">
        <f t="shared" si="166"/>
        <v>1</v>
      </c>
      <c r="AC1066">
        <v>1010</v>
      </c>
      <c r="AD1066" t="s">
        <v>1580</v>
      </c>
      <c r="AE1066" s="2">
        <f t="shared" si="167"/>
        <v>1</v>
      </c>
      <c r="AF1066" t="s">
        <v>1581</v>
      </c>
      <c r="AG1066" s="2">
        <f t="shared" si="168"/>
        <v>7</v>
      </c>
      <c r="AH1066" s="2">
        <f t="shared" si="169"/>
        <v>1</v>
      </c>
      <c r="AI1066" s="3">
        <v>1407.000000007683</v>
      </c>
      <c r="AJ1066" s="2">
        <v>1</v>
      </c>
      <c r="AK1066">
        <v>0</v>
      </c>
      <c r="AL1066">
        <v>30</v>
      </c>
      <c r="AM1066">
        <v>0</v>
      </c>
      <c r="AN1066" s="2">
        <f>IF((2*G1066+M1066-O1066+3*V1066+2*AB1066+2*AE1066+2*AH1066+3*AJ1066)&gt;=7,1,0)</f>
        <v>1</v>
      </c>
    </row>
    <row r="1067" spans="1:40" x14ac:dyDescent="0.25">
      <c r="A1067" t="s">
        <v>27</v>
      </c>
      <c r="B1067" s="1">
        <v>40366</v>
      </c>
      <c r="C1067" s="6">
        <f t="shared" si="160"/>
        <v>2010</v>
      </c>
      <c r="D1067">
        <v>86</v>
      </c>
      <c r="E1067">
        <v>69.8</v>
      </c>
      <c r="F1067">
        <v>79.599999999999994</v>
      </c>
      <c r="G1067" s="2">
        <f t="shared" si="161"/>
        <v>1</v>
      </c>
      <c r="H1067">
        <v>88.4</v>
      </c>
      <c r="I1067">
        <v>69.8</v>
      </c>
      <c r="J1067">
        <v>80.900000000000006</v>
      </c>
      <c r="K1067">
        <v>64.2</v>
      </c>
      <c r="L1067">
        <v>60</v>
      </c>
      <c r="M1067" s="2">
        <f t="shared" si="162"/>
        <v>1</v>
      </c>
      <c r="N1067">
        <v>0</v>
      </c>
      <c r="O1067" s="2">
        <f t="shared" si="163"/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 s="2">
        <f t="shared" si="164"/>
        <v>0</v>
      </c>
      <c r="W1067">
        <v>18.3</v>
      </c>
      <c r="X1067" s="2">
        <f t="shared" si="165"/>
        <v>1</v>
      </c>
      <c r="Y1067">
        <v>302.10000000000002</v>
      </c>
      <c r="Z1067" s="2" t="str">
        <f>CHOOSE(MATCH(Y1067,{0;11;80;111;161;191;241;281;341},1),"North","NorthEast","East","SouthEast","South","SouthWest","West","NorthWest","North")</f>
        <v>NorthWest</v>
      </c>
      <c r="AA1067" s="4">
        <f>CHOOSE(MATCH(Z1067,{"South";"SouthEast";"SouthWest";"North";"NorthEast";"East";"West";"NorthWest"},0),1,2,3,4,5,6,7,8)</f>
        <v>8</v>
      </c>
      <c r="AB1067" s="2">
        <f t="shared" si="166"/>
        <v>1</v>
      </c>
      <c r="AC1067">
        <v>1010.6</v>
      </c>
      <c r="AD1067" t="s">
        <v>153</v>
      </c>
      <c r="AE1067" s="2">
        <f t="shared" si="167"/>
        <v>1</v>
      </c>
      <c r="AF1067" t="s">
        <v>1582</v>
      </c>
      <c r="AG1067" s="2">
        <f t="shared" si="168"/>
        <v>7</v>
      </c>
      <c r="AH1067" s="2">
        <f t="shared" si="169"/>
        <v>1</v>
      </c>
      <c r="AI1067" s="3">
        <v>1360.0000000011639</v>
      </c>
      <c r="AJ1067" s="2">
        <v>1</v>
      </c>
      <c r="AK1067">
        <v>0</v>
      </c>
      <c r="AL1067">
        <v>8</v>
      </c>
      <c r="AM1067">
        <v>0</v>
      </c>
      <c r="AN1067" s="2">
        <f>IF((2*G1067+M1067-O1067+3*V1067+2*AB1067+2*AE1067+2*AH1067+3*AJ1067)&gt;=7,1,0)</f>
        <v>1</v>
      </c>
    </row>
    <row r="1068" spans="1:40" x14ac:dyDescent="0.25">
      <c r="A1068" t="s">
        <v>27</v>
      </c>
      <c r="B1068" s="1">
        <v>40366</v>
      </c>
      <c r="C1068" s="6">
        <f t="shared" si="160"/>
        <v>2010</v>
      </c>
      <c r="D1068">
        <v>86</v>
      </c>
      <c r="E1068">
        <v>69.8</v>
      </c>
      <c r="F1068">
        <v>79.599999999999994</v>
      </c>
      <c r="G1068" s="2">
        <f t="shared" si="161"/>
        <v>1</v>
      </c>
      <c r="H1068">
        <v>88.4</v>
      </c>
      <c r="I1068">
        <v>69.8</v>
      </c>
      <c r="J1068">
        <v>80.900000000000006</v>
      </c>
      <c r="K1068">
        <v>64.2</v>
      </c>
      <c r="L1068">
        <v>60</v>
      </c>
      <c r="M1068" s="2">
        <f t="shared" si="162"/>
        <v>1</v>
      </c>
      <c r="N1068">
        <v>0</v>
      </c>
      <c r="O1068" s="2">
        <f t="shared" si="163"/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 s="2">
        <f t="shared" si="164"/>
        <v>0</v>
      </c>
      <c r="W1068">
        <v>18.3</v>
      </c>
      <c r="X1068" s="2">
        <f t="shared" si="165"/>
        <v>1</v>
      </c>
      <c r="Y1068">
        <v>302.10000000000002</v>
      </c>
      <c r="Z1068" s="2" t="str">
        <f>CHOOSE(MATCH(Y1068,{0;11;80;111;161;191;241;281;341},1),"North","NorthEast","East","SouthEast","South","SouthWest","West","NorthWest","North")</f>
        <v>NorthWest</v>
      </c>
      <c r="AA1068" s="4">
        <f>CHOOSE(MATCH(Z1068,{"South";"SouthEast";"SouthWest";"North";"NorthEast";"East";"West";"NorthWest"},0),1,2,3,4,5,6,7,8)</f>
        <v>8</v>
      </c>
      <c r="AB1068" s="2">
        <f t="shared" si="166"/>
        <v>1</v>
      </c>
      <c r="AC1068">
        <v>1010.6</v>
      </c>
      <c r="AD1068" t="s">
        <v>866</v>
      </c>
      <c r="AE1068" s="2">
        <f t="shared" si="167"/>
        <v>1</v>
      </c>
      <c r="AF1068" t="s">
        <v>1583</v>
      </c>
      <c r="AG1068" s="2">
        <f t="shared" si="168"/>
        <v>7</v>
      </c>
      <c r="AH1068" s="2">
        <f t="shared" si="169"/>
        <v>1</v>
      </c>
      <c r="AI1068" s="3">
        <v>2836.0000000032601</v>
      </c>
      <c r="AJ1068" s="2">
        <v>1</v>
      </c>
      <c r="AK1068">
        <v>0</v>
      </c>
      <c r="AL1068">
        <v>15</v>
      </c>
      <c r="AM1068">
        <v>0</v>
      </c>
      <c r="AN1068" s="2">
        <f>IF((2*G1068+M1068-O1068+3*V1068+2*AB1068+2*AE1068+2*AH1068+3*AJ1068)&gt;=7,1,0)</f>
        <v>1</v>
      </c>
    </row>
    <row r="1069" spans="1:40" x14ac:dyDescent="0.25">
      <c r="A1069" t="s">
        <v>27</v>
      </c>
      <c r="B1069" s="1">
        <v>40370</v>
      </c>
      <c r="C1069" s="6">
        <f t="shared" si="160"/>
        <v>2010</v>
      </c>
      <c r="D1069">
        <v>80.599999999999994</v>
      </c>
      <c r="E1069">
        <v>75.2</v>
      </c>
      <c r="F1069">
        <v>77.7</v>
      </c>
      <c r="G1069" s="2">
        <f t="shared" si="161"/>
        <v>1</v>
      </c>
      <c r="H1069">
        <v>83.3</v>
      </c>
      <c r="I1069">
        <v>75.2</v>
      </c>
      <c r="J1069">
        <v>78.5</v>
      </c>
      <c r="K1069">
        <v>67.599999999999994</v>
      </c>
      <c r="L1069">
        <v>71.400000000000006</v>
      </c>
      <c r="M1069" s="2">
        <f t="shared" si="162"/>
        <v>0</v>
      </c>
      <c r="N1069">
        <v>0</v>
      </c>
      <c r="O1069" s="2">
        <f t="shared" si="163"/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 s="2">
        <f t="shared" si="164"/>
        <v>0</v>
      </c>
      <c r="W1069">
        <v>17.2</v>
      </c>
      <c r="X1069" s="2">
        <f t="shared" si="165"/>
        <v>1</v>
      </c>
      <c r="Y1069">
        <v>311.3</v>
      </c>
      <c r="Z1069" s="2" t="str">
        <f>CHOOSE(MATCH(Y1069,{0;11;80;111;161;191;241;281;341},1),"North","NorthEast","East","SouthEast","South","SouthWest","West","NorthWest","North")</f>
        <v>NorthWest</v>
      </c>
      <c r="AA1069" s="4">
        <f>CHOOSE(MATCH(Z1069,{"South";"SouthEast";"SouthWest";"North";"NorthEast";"East";"West";"NorthWest"},0),1,2,3,4,5,6,7,8)</f>
        <v>8</v>
      </c>
      <c r="AB1069" s="2">
        <f t="shared" si="166"/>
        <v>1</v>
      </c>
      <c r="AC1069">
        <v>1013.5</v>
      </c>
      <c r="AD1069" t="s">
        <v>266</v>
      </c>
      <c r="AE1069" s="2">
        <f t="shared" si="167"/>
        <v>1</v>
      </c>
      <c r="AF1069" t="s">
        <v>1584</v>
      </c>
      <c r="AG1069" s="2">
        <f t="shared" si="168"/>
        <v>7</v>
      </c>
      <c r="AH1069" s="2">
        <f t="shared" si="169"/>
        <v>1</v>
      </c>
      <c r="AI1069" s="3">
        <v>380.00000000232831</v>
      </c>
      <c r="AJ1069" s="2">
        <v>1</v>
      </c>
      <c r="AK1069">
        <v>0</v>
      </c>
      <c r="AL1069">
        <v>10</v>
      </c>
      <c r="AM1069">
        <v>0</v>
      </c>
      <c r="AN1069" s="2">
        <f>IF((2*G1069+M1069-O1069+3*V1069+2*AB1069+2*AE1069+2*AH1069+3*AJ1069)&gt;=7,1,0)</f>
        <v>1</v>
      </c>
    </row>
    <row r="1070" spans="1:40" x14ac:dyDescent="0.25">
      <c r="A1070" t="s">
        <v>27</v>
      </c>
      <c r="B1070" s="1">
        <v>40370</v>
      </c>
      <c r="C1070" s="6">
        <f t="shared" si="160"/>
        <v>2010</v>
      </c>
      <c r="D1070">
        <v>80.599999999999994</v>
      </c>
      <c r="E1070">
        <v>75.2</v>
      </c>
      <c r="F1070">
        <v>77.7</v>
      </c>
      <c r="G1070" s="2">
        <f t="shared" si="161"/>
        <v>1</v>
      </c>
      <c r="H1070">
        <v>83.3</v>
      </c>
      <c r="I1070">
        <v>75.2</v>
      </c>
      <c r="J1070">
        <v>78.5</v>
      </c>
      <c r="K1070">
        <v>67.599999999999994</v>
      </c>
      <c r="L1070">
        <v>71.400000000000006</v>
      </c>
      <c r="M1070" s="2">
        <f t="shared" si="162"/>
        <v>0</v>
      </c>
      <c r="N1070">
        <v>0</v>
      </c>
      <c r="O1070" s="2">
        <f t="shared" si="163"/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 s="2">
        <f t="shared" si="164"/>
        <v>0</v>
      </c>
      <c r="W1070">
        <v>17.2</v>
      </c>
      <c r="X1070" s="2">
        <f t="shared" si="165"/>
        <v>1</v>
      </c>
      <c r="Y1070">
        <v>311.3</v>
      </c>
      <c r="Z1070" s="2" t="str">
        <f>CHOOSE(MATCH(Y1070,{0;11;80;111;161;191;241;281;341},1),"North","NorthEast","East","SouthEast","South","SouthWest","West","NorthWest","North")</f>
        <v>NorthWest</v>
      </c>
      <c r="AA1070" s="4">
        <f>CHOOSE(MATCH(Z1070,{"South";"SouthEast";"SouthWest";"North";"NorthEast";"East";"West";"NorthWest"},0),1,2,3,4,5,6,7,8)</f>
        <v>8</v>
      </c>
      <c r="AB1070" s="2">
        <f t="shared" si="166"/>
        <v>1</v>
      </c>
      <c r="AC1070">
        <v>1013.5</v>
      </c>
      <c r="AD1070" t="s">
        <v>942</v>
      </c>
      <c r="AE1070" s="2">
        <f t="shared" si="167"/>
        <v>1</v>
      </c>
      <c r="AF1070" t="s">
        <v>1585</v>
      </c>
      <c r="AG1070" s="2">
        <f t="shared" si="168"/>
        <v>7</v>
      </c>
      <c r="AH1070" s="2">
        <f t="shared" si="169"/>
        <v>1</v>
      </c>
      <c r="AI1070" s="3">
        <v>5944.9999999953434</v>
      </c>
      <c r="AJ1070" s="2">
        <v>1</v>
      </c>
      <c r="AK1070">
        <v>0</v>
      </c>
      <c r="AL1070">
        <v>250</v>
      </c>
      <c r="AM1070">
        <v>0</v>
      </c>
      <c r="AN1070" s="2">
        <f>IF((2*G1070+M1070-O1070+3*V1070+2*AB1070+2*AE1070+2*AH1070+3*AJ1070)&gt;=7,1,0)</f>
        <v>1</v>
      </c>
    </row>
    <row r="1071" spans="1:40" x14ac:dyDescent="0.25">
      <c r="A1071" t="s">
        <v>27</v>
      </c>
      <c r="B1071" s="1">
        <v>40374</v>
      </c>
      <c r="C1071" s="6">
        <f t="shared" si="160"/>
        <v>2010</v>
      </c>
      <c r="D1071">
        <v>89.6</v>
      </c>
      <c r="E1071">
        <v>73.400000000000006</v>
      </c>
      <c r="F1071">
        <v>82.9</v>
      </c>
      <c r="G1071" s="2">
        <f t="shared" si="161"/>
        <v>1</v>
      </c>
      <c r="H1071">
        <v>94.9</v>
      </c>
      <c r="I1071">
        <v>73.400000000000006</v>
      </c>
      <c r="J1071">
        <v>86.3</v>
      </c>
      <c r="K1071">
        <v>69.3</v>
      </c>
      <c r="L1071">
        <v>64.3</v>
      </c>
      <c r="M1071" s="2">
        <f t="shared" si="162"/>
        <v>1</v>
      </c>
      <c r="N1071">
        <v>0</v>
      </c>
      <c r="O1071" s="2">
        <f t="shared" si="163"/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 s="2">
        <f t="shared" si="164"/>
        <v>0</v>
      </c>
      <c r="W1071">
        <v>21.9</v>
      </c>
      <c r="X1071" s="2">
        <f t="shared" si="165"/>
        <v>1</v>
      </c>
      <c r="Y1071">
        <v>300.7</v>
      </c>
      <c r="Z1071" s="2" t="str">
        <f>CHOOSE(MATCH(Y1071,{0;11;80;111;161;191;241;281;341},1),"North","NorthEast","East","SouthEast","South","SouthWest","West","NorthWest","North")</f>
        <v>NorthWest</v>
      </c>
      <c r="AA1071" s="4">
        <f>CHOOSE(MATCH(Z1071,{"South";"SouthEast";"SouthWest";"North";"NorthEast";"East";"West";"NorthWest"},0),1,2,3,4,5,6,7,8)</f>
        <v>8</v>
      </c>
      <c r="AB1071" s="2">
        <f t="shared" si="166"/>
        <v>1</v>
      </c>
      <c r="AC1071">
        <v>1007.1</v>
      </c>
      <c r="AD1071" t="s">
        <v>979</v>
      </c>
      <c r="AE1071" s="2">
        <f t="shared" si="167"/>
        <v>1</v>
      </c>
      <c r="AF1071" t="s">
        <v>1586</v>
      </c>
      <c r="AG1071" s="2">
        <f t="shared" si="168"/>
        <v>7</v>
      </c>
      <c r="AH1071" s="2">
        <f t="shared" si="169"/>
        <v>1</v>
      </c>
      <c r="AI1071" s="3">
        <v>5410.0000000011642</v>
      </c>
      <c r="AJ1071" s="2">
        <v>1</v>
      </c>
      <c r="AK1071">
        <v>750</v>
      </c>
      <c r="AL1071">
        <v>0</v>
      </c>
      <c r="AM1071">
        <v>0</v>
      </c>
      <c r="AN1071" s="2">
        <f>IF((2*G1071+M1071-O1071+3*V1071+2*AB1071+2*AE1071+2*AH1071+3*AJ1071)&gt;=7,1,0)</f>
        <v>1</v>
      </c>
    </row>
    <row r="1072" spans="1:40" x14ac:dyDescent="0.25">
      <c r="A1072" t="s">
        <v>27</v>
      </c>
      <c r="B1072" s="1">
        <v>40375</v>
      </c>
      <c r="C1072" s="6">
        <f t="shared" si="160"/>
        <v>2010</v>
      </c>
      <c r="D1072">
        <v>86</v>
      </c>
      <c r="E1072">
        <v>80.599999999999994</v>
      </c>
      <c r="F1072">
        <v>82.6</v>
      </c>
      <c r="G1072" s="2">
        <f t="shared" si="161"/>
        <v>1</v>
      </c>
      <c r="H1072">
        <v>92</v>
      </c>
      <c r="I1072">
        <v>83.3</v>
      </c>
      <c r="J1072">
        <v>87</v>
      </c>
      <c r="K1072">
        <v>70.7</v>
      </c>
      <c r="L1072">
        <v>67.400000000000006</v>
      </c>
      <c r="M1072" s="2">
        <f t="shared" si="162"/>
        <v>0</v>
      </c>
      <c r="N1072">
        <v>0</v>
      </c>
      <c r="O1072" s="2">
        <f t="shared" si="163"/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 s="2">
        <f t="shared" si="164"/>
        <v>0</v>
      </c>
      <c r="W1072">
        <v>21.9</v>
      </c>
      <c r="X1072" s="2">
        <f t="shared" si="165"/>
        <v>1</v>
      </c>
      <c r="Y1072">
        <v>305.10000000000002</v>
      </c>
      <c r="Z1072" s="2" t="str">
        <f>CHOOSE(MATCH(Y1072,{0;11;80;111;161;191;241;281;341},1),"North","NorthEast","East","SouthEast","South","SouthWest","West","NorthWest","North")</f>
        <v>NorthWest</v>
      </c>
      <c r="AA1072" s="4">
        <f>CHOOSE(MATCH(Z1072,{"South";"SouthEast";"SouthWest";"North";"NorthEast";"East";"West";"NorthWest"},0),1,2,3,4,5,6,7,8)</f>
        <v>8</v>
      </c>
      <c r="AB1072" s="2">
        <f t="shared" si="166"/>
        <v>1</v>
      </c>
      <c r="AC1072">
        <v>1008.8</v>
      </c>
      <c r="AD1072" t="s">
        <v>1331</v>
      </c>
      <c r="AE1072" s="2">
        <f t="shared" si="167"/>
        <v>1</v>
      </c>
      <c r="AF1072" t="s">
        <v>1587</v>
      </c>
      <c r="AG1072" s="2">
        <f t="shared" si="168"/>
        <v>7</v>
      </c>
      <c r="AH1072" s="2">
        <f t="shared" si="169"/>
        <v>1</v>
      </c>
      <c r="AI1072" s="3">
        <v>130.00000000465661</v>
      </c>
      <c r="AJ1072" s="2">
        <v>0</v>
      </c>
      <c r="AK1072">
        <v>0.1</v>
      </c>
      <c r="AL1072">
        <v>0</v>
      </c>
      <c r="AM1072">
        <v>0</v>
      </c>
      <c r="AN1072" s="2">
        <f>IF((2*G1072+M1072-O1072+3*V1072+2*AB1072+2*AE1072+2*AH1072+3*AJ1072)&gt;=7,1,0)</f>
        <v>1</v>
      </c>
    </row>
    <row r="1073" spans="1:40" x14ac:dyDescent="0.25">
      <c r="A1073" t="s">
        <v>27</v>
      </c>
      <c r="B1073" s="1">
        <v>40375</v>
      </c>
      <c r="C1073" s="6">
        <f t="shared" si="160"/>
        <v>2010</v>
      </c>
      <c r="D1073">
        <v>86</v>
      </c>
      <c r="E1073">
        <v>80.599999999999994</v>
      </c>
      <c r="F1073">
        <v>82.6</v>
      </c>
      <c r="G1073" s="2">
        <f t="shared" si="161"/>
        <v>1</v>
      </c>
      <c r="H1073">
        <v>92</v>
      </c>
      <c r="I1073">
        <v>83.3</v>
      </c>
      <c r="J1073">
        <v>87</v>
      </c>
      <c r="K1073">
        <v>70.7</v>
      </c>
      <c r="L1073">
        <v>67.400000000000006</v>
      </c>
      <c r="M1073" s="2">
        <f t="shared" si="162"/>
        <v>0</v>
      </c>
      <c r="N1073">
        <v>0</v>
      </c>
      <c r="O1073" s="2">
        <f t="shared" si="163"/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 s="2">
        <f t="shared" si="164"/>
        <v>0</v>
      </c>
      <c r="W1073">
        <v>21.9</v>
      </c>
      <c r="X1073" s="2">
        <f t="shared" si="165"/>
        <v>1</v>
      </c>
      <c r="Y1073">
        <v>305.10000000000002</v>
      </c>
      <c r="Z1073" s="2" t="str">
        <f>CHOOSE(MATCH(Y1073,{0;11;80;111;161;191;241;281;341},1),"North","NorthEast","East","SouthEast","South","SouthWest","West","NorthWest","North")</f>
        <v>NorthWest</v>
      </c>
      <c r="AA1073" s="4">
        <f>CHOOSE(MATCH(Z1073,{"South";"SouthEast";"SouthWest";"North";"NorthEast";"East";"West";"NorthWest"},0),1,2,3,4,5,6,7,8)</f>
        <v>8</v>
      </c>
      <c r="AB1073" s="2">
        <f t="shared" si="166"/>
        <v>1</v>
      </c>
      <c r="AC1073">
        <v>1008.8</v>
      </c>
      <c r="AD1073" t="s">
        <v>298</v>
      </c>
      <c r="AE1073" s="2">
        <f t="shared" si="167"/>
        <v>1</v>
      </c>
      <c r="AF1073" t="s">
        <v>1588</v>
      </c>
      <c r="AG1073" s="2">
        <f t="shared" si="168"/>
        <v>7</v>
      </c>
      <c r="AH1073" s="2">
        <f t="shared" si="169"/>
        <v>1</v>
      </c>
      <c r="AI1073" s="3">
        <v>1919.9999999930151</v>
      </c>
      <c r="AJ1073" s="2">
        <v>1</v>
      </c>
      <c r="AK1073">
        <v>0</v>
      </c>
      <c r="AL1073">
        <v>80</v>
      </c>
      <c r="AM1073">
        <v>0</v>
      </c>
      <c r="AN1073" s="2">
        <f>IF((2*G1073+M1073-O1073+3*V1073+2*AB1073+2*AE1073+2*AH1073+3*AJ1073)&gt;=7,1,0)</f>
        <v>1</v>
      </c>
    </row>
    <row r="1074" spans="1:40" x14ac:dyDescent="0.25">
      <c r="A1074" t="s">
        <v>27</v>
      </c>
      <c r="B1074" s="1">
        <v>40376</v>
      </c>
      <c r="C1074" s="6">
        <f t="shared" si="160"/>
        <v>2010</v>
      </c>
      <c r="D1074">
        <v>84.2</v>
      </c>
      <c r="E1074">
        <v>80.599999999999994</v>
      </c>
      <c r="F1074">
        <v>81.7</v>
      </c>
      <c r="G1074" s="2">
        <f t="shared" si="161"/>
        <v>1</v>
      </c>
      <c r="H1074">
        <v>89.6</v>
      </c>
      <c r="I1074">
        <v>82.8</v>
      </c>
      <c r="J1074">
        <v>85.6</v>
      </c>
      <c r="K1074">
        <v>70.099999999999994</v>
      </c>
      <c r="L1074">
        <v>68</v>
      </c>
      <c r="M1074" s="2">
        <f t="shared" si="162"/>
        <v>0</v>
      </c>
      <c r="N1074">
        <v>0</v>
      </c>
      <c r="O1074" s="2">
        <f t="shared" si="163"/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 s="2">
        <f t="shared" si="164"/>
        <v>0</v>
      </c>
      <c r="W1074">
        <v>20.8</v>
      </c>
      <c r="X1074" s="2">
        <f t="shared" si="165"/>
        <v>1</v>
      </c>
      <c r="Y1074">
        <v>306.89999999999998</v>
      </c>
      <c r="Z1074" s="2" t="str">
        <f>CHOOSE(MATCH(Y1074,{0;11;80;111;161;191;241;281;341},1),"North","NorthEast","East","SouthEast","South","SouthWest","West","NorthWest","North")</f>
        <v>NorthWest</v>
      </c>
      <c r="AA1074" s="4">
        <f>CHOOSE(MATCH(Z1074,{"South";"SouthEast";"SouthWest";"North";"NorthEast";"East";"West";"NorthWest"},0),1,2,3,4,5,6,7,8)</f>
        <v>8</v>
      </c>
      <c r="AB1074" s="2">
        <f t="shared" si="166"/>
        <v>1</v>
      </c>
      <c r="AC1074">
        <v>1009.9</v>
      </c>
      <c r="AD1074" t="s">
        <v>699</v>
      </c>
      <c r="AE1074" s="2">
        <f t="shared" si="167"/>
        <v>1</v>
      </c>
      <c r="AF1074" t="s">
        <v>1589</v>
      </c>
      <c r="AG1074" s="2">
        <f t="shared" si="168"/>
        <v>7</v>
      </c>
      <c r="AH1074" s="2">
        <f t="shared" si="169"/>
        <v>1</v>
      </c>
      <c r="AI1074" s="3">
        <v>4545</v>
      </c>
      <c r="AJ1074" s="2">
        <v>1</v>
      </c>
      <c r="AK1074">
        <v>12</v>
      </c>
      <c r="AL1074">
        <v>1</v>
      </c>
      <c r="AM1074">
        <v>0</v>
      </c>
      <c r="AN1074" s="2">
        <f>IF((2*G1074+M1074-O1074+3*V1074+2*AB1074+2*AE1074+2*AH1074+3*AJ1074)&gt;=7,1,0)</f>
        <v>1</v>
      </c>
    </row>
    <row r="1075" spans="1:40" x14ac:dyDescent="0.25">
      <c r="A1075" t="s">
        <v>27</v>
      </c>
      <c r="B1075" s="1">
        <v>40376</v>
      </c>
      <c r="C1075" s="6">
        <f t="shared" si="160"/>
        <v>2010</v>
      </c>
      <c r="D1075">
        <v>84.2</v>
      </c>
      <c r="E1075">
        <v>80.599999999999994</v>
      </c>
      <c r="F1075">
        <v>81.7</v>
      </c>
      <c r="G1075" s="2">
        <f t="shared" si="161"/>
        <v>1</v>
      </c>
      <c r="H1075">
        <v>89.6</v>
      </c>
      <c r="I1075">
        <v>82.8</v>
      </c>
      <c r="J1075">
        <v>85.6</v>
      </c>
      <c r="K1075">
        <v>70.099999999999994</v>
      </c>
      <c r="L1075">
        <v>68</v>
      </c>
      <c r="M1075" s="2">
        <f t="shared" si="162"/>
        <v>0</v>
      </c>
      <c r="N1075">
        <v>0</v>
      </c>
      <c r="O1075" s="2">
        <f t="shared" si="163"/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 s="2">
        <f t="shared" si="164"/>
        <v>0</v>
      </c>
      <c r="W1075">
        <v>20.8</v>
      </c>
      <c r="X1075" s="2">
        <f t="shared" si="165"/>
        <v>1</v>
      </c>
      <c r="Y1075">
        <v>306.89999999999998</v>
      </c>
      <c r="Z1075" s="2" t="str">
        <f>CHOOSE(MATCH(Y1075,{0;11;80;111;161;191;241;281;341},1),"North","NorthEast","East","SouthEast","South","SouthWest","West","NorthWest","North")</f>
        <v>NorthWest</v>
      </c>
      <c r="AA1075" s="4">
        <f>CHOOSE(MATCH(Z1075,{"South";"SouthEast";"SouthWest";"North";"NorthEast";"East";"West";"NorthWest"},0),1,2,3,4,5,6,7,8)</f>
        <v>8</v>
      </c>
      <c r="AB1075" s="2">
        <f t="shared" si="166"/>
        <v>1</v>
      </c>
      <c r="AC1075">
        <v>1009.9</v>
      </c>
      <c r="AD1075" t="s">
        <v>149</v>
      </c>
      <c r="AE1075" s="2">
        <f t="shared" si="167"/>
        <v>0</v>
      </c>
      <c r="AF1075" t="s">
        <v>1590</v>
      </c>
      <c r="AG1075" s="2">
        <f t="shared" si="168"/>
        <v>7</v>
      </c>
      <c r="AH1075" s="2">
        <f t="shared" si="169"/>
        <v>1</v>
      </c>
      <c r="AI1075" s="3">
        <v>515.99999999511056</v>
      </c>
      <c r="AJ1075" s="2">
        <v>1</v>
      </c>
      <c r="AK1075">
        <v>1</v>
      </c>
      <c r="AL1075">
        <v>0</v>
      </c>
      <c r="AM1075">
        <v>0</v>
      </c>
      <c r="AN1075" s="2">
        <f>IF((2*G1075+M1075-O1075+3*V1075+2*AB1075+2*AE1075+2*AH1075+3*AJ1075)&gt;=7,1,0)</f>
        <v>1</v>
      </c>
    </row>
    <row r="1076" spans="1:40" x14ac:dyDescent="0.25">
      <c r="A1076" t="s">
        <v>27</v>
      </c>
      <c r="B1076" s="1">
        <v>40376</v>
      </c>
      <c r="C1076" s="6">
        <f t="shared" si="160"/>
        <v>2010</v>
      </c>
      <c r="D1076">
        <v>84.2</v>
      </c>
      <c r="E1076">
        <v>80.599999999999994</v>
      </c>
      <c r="F1076">
        <v>81.7</v>
      </c>
      <c r="G1076" s="2">
        <f t="shared" si="161"/>
        <v>1</v>
      </c>
      <c r="H1076">
        <v>89.6</v>
      </c>
      <c r="I1076">
        <v>82.8</v>
      </c>
      <c r="J1076">
        <v>85.6</v>
      </c>
      <c r="K1076">
        <v>70.099999999999994</v>
      </c>
      <c r="L1076">
        <v>68</v>
      </c>
      <c r="M1076" s="2">
        <f t="shared" si="162"/>
        <v>0</v>
      </c>
      <c r="N1076">
        <v>0</v>
      </c>
      <c r="O1076" s="2">
        <f t="shared" si="163"/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 s="2">
        <f t="shared" si="164"/>
        <v>0</v>
      </c>
      <c r="W1076">
        <v>20.8</v>
      </c>
      <c r="X1076" s="2">
        <f t="shared" si="165"/>
        <v>1</v>
      </c>
      <c r="Y1076">
        <v>306.89999999999998</v>
      </c>
      <c r="Z1076" s="2" t="str">
        <f>CHOOSE(MATCH(Y1076,{0;11;80;111;161;191;241;281;341},1),"North","NorthEast","East","SouthEast","South","SouthWest","West","NorthWest","North")</f>
        <v>NorthWest</v>
      </c>
      <c r="AA1076" s="4">
        <f>CHOOSE(MATCH(Z1076,{"South";"SouthEast";"SouthWest";"North";"NorthEast";"East";"West";"NorthWest"},0),1,2,3,4,5,6,7,8)</f>
        <v>8</v>
      </c>
      <c r="AB1076" s="2">
        <f t="shared" si="166"/>
        <v>1</v>
      </c>
      <c r="AC1076">
        <v>1009.9</v>
      </c>
      <c r="AD1076" t="s">
        <v>403</v>
      </c>
      <c r="AE1076" s="2">
        <f t="shared" si="167"/>
        <v>1</v>
      </c>
      <c r="AF1076" t="s">
        <v>1591</v>
      </c>
      <c r="AG1076" s="2">
        <f t="shared" si="168"/>
        <v>7</v>
      </c>
      <c r="AH1076" s="2">
        <f t="shared" si="169"/>
        <v>1</v>
      </c>
      <c r="AI1076" s="3">
        <v>1680.0000000069849</v>
      </c>
      <c r="AJ1076" s="2">
        <v>1</v>
      </c>
      <c r="AK1076">
        <v>0</v>
      </c>
      <c r="AL1076">
        <v>100</v>
      </c>
      <c r="AM1076">
        <v>0</v>
      </c>
      <c r="AN1076" s="2">
        <f>IF((2*G1076+M1076-O1076+3*V1076+2*AB1076+2*AE1076+2*AH1076+3*AJ1076)&gt;=7,1,0)</f>
        <v>1</v>
      </c>
    </row>
    <row r="1077" spans="1:40" x14ac:dyDescent="0.25">
      <c r="A1077" t="s">
        <v>27</v>
      </c>
      <c r="B1077" s="1">
        <v>40378</v>
      </c>
      <c r="C1077" s="6">
        <f t="shared" si="160"/>
        <v>2010</v>
      </c>
      <c r="D1077">
        <v>86</v>
      </c>
      <c r="E1077">
        <v>77</v>
      </c>
      <c r="F1077">
        <v>82</v>
      </c>
      <c r="G1077" s="2">
        <f t="shared" si="161"/>
        <v>1</v>
      </c>
      <c r="H1077">
        <v>90.6</v>
      </c>
      <c r="I1077">
        <v>77</v>
      </c>
      <c r="J1077">
        <v>84.8</v>
      </c>
      <c r="K1077">
        <v>68.3</v>
      </c>
      <c r="L1077">
        <v>63.5</v>
      </c>
      <c r="M1077" s="2">
        <f t="shared" si="162"/>
        <v>1</v>
      </c>
      <c r="N1077">
        <v>0</v>
      </c>
      <c r="O1077" s="2">
        <f t="shared" si="163"/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 s="2">
        <f t="shared" si="164"/>
        <v>0</v>
      </c>
      <c r="W1077">
        <v>19.5</v>
      </c>
      <c r="X1077" s="2">
        <f t="shared" si="165"/>
        <v>1</v>
      </c>
      <c r="Y1077">
        <v>301.60000000000002</v>
      </c>
      <c r="Z1077" s="2" t="str">
        <f>CHOOSE(MATCH(Y1077,{0;11;80;111;161;191;241;281;341},1),"North","NorthEast","East","SouthEast","South","SouthWest","West","NorthWest","North")</f>
        <v>NorthWest</v>
      </c>
      <c r="AA1077" s="4">
        <f>CHOOSE(MATCH(Z1077,{"South";"SouthEast";"SouthWest";"North";"NorthEast";"East";"West";"NorthWest"},0),1,2,3,4,5,6,7,8)</f>
        <v>8</v>
      </c>
      <c r="AB1077" s="2">
        <f t="shared" si="166"/>
        <v>1</v>
      </c>
      <c r="AC1077">
        <v>1009.7</v>
      </c>
      <c r="AD1077" t="s">
        <v>566</v>
      </c>
      <c r="AE1077" s="2">
        <f t="shared" si="167"/>
        <v>1</v>
      </c>
      <c r="AF1077" t="s">
        <v>1592</v>
      </c>
      <c r="AG1077" s="2">
        <f t="shared" si="168"/>
        <v>7</v>
      </c>
      <c r="AH1077" s="2">
        <f t="shared" si="169"/>
        <v>1</v>
      </c>
      <c r="AI1077" s="3">
        <v>200.00000000232831</v>
      </c>
      <c r="AJ1077" s="2">
        <v>0</v>
      </c>
      <c r="AK1077">
        <v>0</v>
      </c>
      <c r="AL1077">
        <v>0.1</v>
      </c>
      <c r="AM1077">
        <v>0</v>
      </c>
      <c r="AN1077" s="2">
        <f>IF((2*G1077+M1077-O1077+3*V1077+2*AB1077+2*AE1077+2*AH1077+3*AJ1077)&gt;=7,1,0)</f>
        <v>1</v>
      </c>
    </row>
    <row r="1078" spans="1:40" x14ac:dyDescent="0.25">
      <c r="A1078" t="s">
        <v>27</v>
      </c>
      <c r="B1078" s="1">
        <v>40378</v>
      </c>
      <c r="C1078" s="6">
        <f t="shared" si="160"/>
        <v>2010</v>
      </c>
      <c r="D1078">
        <v>86</v>
      </c>
      <c r="E1078">
        <v>77</v>
      </c>
      <c r="F1078">
        <v>82</v>
      </c>
      <c r="G1078" s="2">
        <f t="shared" si="161"/>
        <v>1</v>
      </c>
      <c r="H1078">
        <v>90.6</v>
      </c>
      <c r="I1078">
        <v>77</v>
      </c>
      <c r="J1078">
        <v>84.8</v>
      </c>
      <c r="K1078">
        <v>68.3</v>
      </c>
      <c r="L1078">
        <v>63.5</v>
      </c>
      <c r="M1078" s="2">
        <f t="shared" si="162"/>
        <v>1</v>
      </c>
      <c r="N1078">
        <v>0</v>
      </c>
      <c r="O1078" s="2">
        <f t="shared" si="163"/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 s="2">
        <f t="shared" si="164"/>
        <v>0</v>
      </c>
      <c r="W1078">
        <v>19.5</v>
      </c>
      <c r="X1078" s="2">
        <f t="shared" si="165"/>
        <v>1</v>
      </c>
      <c r="Y1078">
        <v>301.60000000000002</v>
      </c>
      <c r="Z1078" s="2" t="str">
        <f>CHOOSE(MATCH(Y1078,{0;11;80;111;161;191;241;281;341},1),"North","NorthEast","East","SouthEast","South","SouthWest","West","NorthWest","North")</f>
        <v>NorthWest</v>
      </c>
      <c r="AA1078" s="4">
        <f>CHOOSE(MATCH(Z1078,{"South";"SouthEast";"SouthWest";"North";"NorthEast";"East";"West";"NorthWest"},0),1,2,3,4,5,6,7,8)</f>
        <v>8</v>
      </c>
      <c r="AB1078" s="2">
        <f t="shared" si="166"/>
        <v>1</v>
      </c>
      <c r="AC1078">
        <v>1009.7</v>
      </c>
      <c r="AD1078" t="s">
        <v>112</v>
      </c>
      <c r="AE1078" s="2">
        <f t="shared" si="167"/>
        <v>1</v>
      </c>
      <c r="AF1078" t="s">
        <v>1593</v>
      </c>
      <c r="AG1078" s="2">
        <f t="shared" si="168"/>
        <v>7</v>
      </c>
      <c r="AH1078" s="2">
        <f t="shared" si="169"/>
        <v>1</v>
      </c>
      <c r="AI1078" s="3">
        <v>180</v>
      </c>
      <c r="AJ1078" s="2">
        <v>0</v>
      </c>
      <c r="AK1078">
        <v>0</v>
      </c>
      <c r="AL1078">
        <v>0.1</v>
      </c>
      <c r="AM1078">
        <v>0</v>
      </c>
      <c r="AN1078" s="2">
        <f>IF((2*G1078+M1078-O1078+3*V1078+2*AB1078+2*AE1078+2*AH1078+3*AJ1078)&gt;=7,1,0)</f>
        <v>1</v>
      </c>
    </row>
    <row r="1079" spans="1:40" x14ac:dyDescent="0.25">
      <c r="A1079" t="s">
        <v>27</v>
      </c>
      <c r="B1079" s="1">
        <v>40378</v>
      </c>
      <c r="C1079" s="6">
        <f t="shared" si="160"/>
        <v>2010</v>
      </c>
      <c r="D1079">
        <v>86</v>
      </c>
      <c r="E1079">
        <v>77</v>
      </c>
      <c r="F1079">
        <v>82</v>
      </c>
      <c r="G1079" s="2">
        <f t="shared" si="161"/>
        <v>1</v>
      </c>
      <c r="H1079">
        <v>90.6</v>
      </c>
      <c r="I1079">
        <v>77</v>
      </c>
      <c r="J1079">
        <v>84.8</v>
      </c>
      <c r="K1079">
        <v>68.3</v>
      </c>
      <c r="L1079">
        <v>63.5</v>
      </c>
      <c r="M1079" s="2">
        <f t="shared" si="162"/>
        <v>1</v>
      </c>
      <c r="N1079">
        <v>0</v>
      </c>
      <c r="O1079" s="2">
        <f t="shared" si="163"/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 s="2">
        <f t="shared" si="164"/>
        <v>0</v>
      </c>
      <c r="W1079">
        <v>19.5</v>
      </c>
      <c r="X1079" s="2">
        <f t="shared" si="165"/>
        <v>1</v>
      </c>
      <c r="Y1079">
        <v>301.60000000000002</v>
      </c>
      <c r="Z1079" s="2" t="str">
        <f>CHOOSE(MATCH(Y1079,{0;11;80;111;161;191;241;281;341},1),"North","NorthEast","East","SouthEast","South","SouthWest","West","NorthWest","North")</f>
        <v>NorthWest</v>
      </c>
      <c r="AA1079" s="4">
        <f>CHOOSE(MATCH(Z1079,{"South";"SouthEast";"SouthWest";"North";"NorthEast";"East";"West";"NorthWest"},0),1,2,3,4,5,6,7,8)</f>
        <v>8</v>
      </c>
      <c r="AB1079" s="2">
        <f t="shared" si="166"/>
        <v>1</v>
      </c>
      <c r="AC1079">
        <v>1009.7</v>
      </c>
      <c r="AD1079" t="s">
        <v>501</v>
      </c>
      <c r="AE1079" s="2">
        <f t="shared" si="167"/>
        <v>1</v>
      </c>
      <c r="AF1079" t="s">
        <v>1594</v>
      </c>
      <c r="AG1079" s="2">
        <f t="shared" si="168"/>
        <v>7</v>
      </c>
      <c r="AH1079" s="2">
        <f t="shared" si="169"/>
        <v>1</v>
      </c>
      <c r="AI1079" s="3">
        <v>145.00000000116421</v>
      </c>
      <c r="AJ1079" s="2">
        <v>0</v>
      </c>
      <c r="AK1079">
        <v>0.5</v>
      </c>
      <c r="AL1079">
        <v>0</v>
      </c>
      <c r="AM1079">
        <v>0</v>
      </c>
      <c r="AN1079" s="2">
        <f>IF((2*G1079+M1079-O1079+3*V1079+2*AB1079+2*AE1079+2*AH1079+3*AJ1079)&gt;=7,1,0)</f>
        <v>1</v>
      </c>
    </row>
    <row r="1080" spans="1:40" x14ac:dyDescent="0.25">
      <c r="A1080" t="s">
        <v>27</v>
      </c>
      <c r="B1080" s="1">
        <v>40378</v>
      </c>
      <c r="C1080" s="6">
        <f t="shared" si="160"/>
        <v>2010</v>
      </c>
      <c r="D1080">
        <v>86</v>
      </c>
      <c r="E1080">
        <v>77</v>
      </c>
      <c r="F1080">
        <v>82</v>
      </c>
      <c r="G1080" s="2">
        <f t="shared" si="161"/>
        <v>1</v>
      </c>
      <c r="H1080">
        <v>90.6</v>
      </c>
      <c r="I1080">
        <v>77</v>
      </c>
      <c r="J1080">
        <v>84.8</v>
      </c>
      <c r="K1080">
        <v>68.3</v>
      </c>
      <c r="L1080">
        <v>63.5</v>
      </c>
      <c r="M1080" s="2">
        <f t="shared" si="162"/>
        <v>1</v>
      </c>
      <c r="N1080">
        <v>0</v>
      </c>
      <c r="O1080" s="2">
        <f t="shared" si="163"/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 s="2">
        <f t="shared" si="164"/>
        <v>0</v>
      </c>
      <c r="W1080">
        <v>19.5</v>
      </c>
      <c r="X1080" s="2">
        <f t="shared" si="165"/>
        <v>1</v>
      </c>
      <c r="Y1080">
        <v>301.60000000000002</v>
      </c>
      <c r="Z1080" s="2" t="str">
        <f>CHOOSE(MATCH(Y1080,{0;11;80;111;161;191;241;281;341},1),"North","NorthEast","East","SouthEast","South","SouthWest","West","NorthWest","North")</f>
        <v>NorthWest</v>
      </c>
      <c r="AA1080" s="4">
        <f>CHOOSE(MATCH(Z1080,{"South";"SouthEast";"SouthWest";"North";"NorthEast";"East";"West";"NorthWest"},0),1,2,3,4,5,6,7,8)</f>
        <v>8</v>
      </c>
      <c r="AB1080" s="2">
        <f t="shared" si="166"/>
        <v>1</v>
      </c>
      <c r="AC1080">
        <v>1009.7</v>
      </c>
      <c r="AD1080" t="s">
        <v>1420</v>
      </c>
      <c r="AE1080" s="2">
        <f t="shared" si="167"/>
        <v>1</v>
      </c>
      <c r="AF1080" t="s">
        <v>1595</v>
      </c>
      <c r="AG1080" s="2">
        <f t="shared" si="168"/>
        <v>7</v>
      </c>
      <c r="AH1080" s="2">
        <f t="shared" si="169"/>
        <v>1</v>
      </c>
      <c r="AI1080" s="3">
        <v>2955.000000003492</v>
      </c>
      <c r="AJ1080" s="2">
        <v>1</v>
      </c>
      <c r="AK1080">
        <v>0</v>
      </c>
      <c r="AL1080">
        <v>10</v>
      </c>
      <c r="AM1080">
        <v>0</v>
      </c>
      <c r="AN1080" s="2">
        <f>IF((2*G1080+M1080-O1080+3*V1080+2*AB1080+2*AE1080+2*AH1080+3*AJ1080)&gt;=7,1,0)</f>
        <v>1</v>
      </c>
    </row>
    <row r="1081" spans="1:40" x14ac:dyDescent="0.25">
      <c r="A1081" t="s">
        <v>27</v>
      </c>
      <c r="B1081" s="1">
        <v>40378</v>
      </c>
      <c r="C1081" s="6">
        <f t="shared" si="160"/>
        <v>2010</v>
      </c>
      <c r="D1081">
        <v>86</v>
      </c>
      <c r="E1081">
        <v>77</v>
      </c>
      <c r="F1081">
        <v>82</v>
      </c>
      <c r="G1081" s="2">
        <f t="shared" si="161"/>
        <v>1</v>
      </c>
      <c r="H1081">
        <v>90.6</v>
      </c>
      <c r="I1081">
        <v>77</v>
      </c>
      <c r="J1081">
        <v>84.8</v>
      </c>
      <c r="K1081">
        <v>68.3</v>
      </c>
      <c r="L1081">
        <v>63.5</v>
      </c>
      <c r="M1081" s="2">
        <f t="shared" si="162"/>
        <v>1</v>
      </c>
      <c r="N1081">
        <v>0</v>
      </c>
      <c r="O1081" s="2">
        <f t="shared" si="163"/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 s="2">
        <f t="shared" si="164"/>
        <v>0</v>
      </c>
      <c r="W1081">
        <v>19.5</v>
      </c>
      <c r="X1081" s="2">
        <f t="shared" si="165"/>
        <v>1</v>
      </c>
      <c r="Y1081">
        <v>301.60000000000002</v>
      </c>
      <c r="Z1081" s="2" t="str">
        <f>CHOOSE(MATCH(Y1081,{0;11;80;111;161;191;241;281;341},1),"North","NorthEast","East","SouthEast","South","SouthWest","West","NorthWest","North")</f>
        <v>NorthWest</v>
      </c>
      <c r="AA1081" s="4">
        <f>CHOOSE(MATCH(Z1081,{"South";"SouthEast";"SouthWest";"North";"NorthEast";"East";"West";"NorthWest"},0),1,2,3,4,5,6,7,8)</f>
        <v>8</v>
      </c>
      <c r="AB1081" s="2">
        <f t="shared" si="166"/>
        <v>1</v>
      </c>
      <c r="AC1081">
        <v>1009.7</v>
      </c>
      <c r="AD1081" t="s">
        <v>753</v>
      </c>
      <c r="AE1081" s="2">
        <f t="shared" si="167"/>
        <v>1</v>
      </c>
      <c r="AF1081" t="s">
        <v>1596</v>
      </c>
      <c r="AG1081" s="2">
        <f t="shared" si="168"/>
        <v>7</v>
      </c>
      <c r="AH1081" s="2">
        <f t="shared" si="169"/>
        <v>1</v>
      </c>
      <c r="AI1081" s="3">
        <v>785.00000000232831</v>
      </c>
      <c r="AJ1081" s="2">
        <v>1</v>
      </c>
      <c r="AK1081">
        <v>0</v>
      </c>
      <c r="AL1081">
        <v>100</v>
      </c>
      <c r="AM1081">
        <v>0</v>
      </c>
      <c r="AN1081" s="2">
        <f>IF((2*G1081+M1081-O1081+3*V1081+2*AB1081+2*AE1081+2*AH1081+3*AJ1081)&gt;=7,1,0)</f>
        <v>1</v>
      </c>
    </row>
    <row r="1082" spans="1:40" x14ac:dyDescent="0.25">
      <c r="A1082" t="s">
        <v>27</v>
      </c>
      <c r="B1082" s="1">
        <v>40382</v>
      </c>
      <c r="C1082" s="6">
        <f t="shared" si="160"/>
        <v>2010</v>
      </c>
      <c r="D1082">
        <v>86</v>
      </c>
      <c r="E1082">
        <v>80.599999999999994</v>
      </c>
      <c r="F1082">
        <v>84</v>
      </c>
      <c r="G1082" s="2">
        <f t="shared" si="161"/>
        <v>1</v>
      </c>
      <c r="H1082">
        <v>95.2</v>
      </c>
      <c r="I1082">
        <v>83.9</v>
      </c>
      <c r="J1082">
        <v>89.4</v>
      </c>
      <c r="K1082">
        <v>70.900000000000006</v>
      </c>
      <c r="L1082">
        <v>65.2</v>
      </c>
      <c r="M1082" s="2">
        <f t="shared" si="162"/>
        <v>1</v>
      </c>
      <c r="N1082">
        <v>0</v>
      </c>
      <c r="O1082" s="2">
        <f t="shared" si="163"/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 s="2">
        <f t="shared" si="164"/>
        <v>0</v>
      </c>
      <c r="W1082">
        <v>24.2</v>
      </c>
      <c r="X1082" s="2">
        <f t="shared" si="165"/>
        <v>1</v>
      </c>
      <c r="Y1082">
        <v>301.7</v>
      </c>
      <c r="Z1082" s="2" t="str">
        <f>CHOOSE(MATCH(Y1082,{0;11;80;111;161;191;241;281;341},1),"North","NorthEast","East","SouthEast","South","SouthWest","West","NorthWest","North")</f>
        <v>NorthWest</v>
      </c>
      <c r="AA1082" s="4">
        <f>CHOOSE(MATCH(Z1082,{"South";"SouthEast";"SouthWest";"North";"NorthEast";"East";"West";"NorthWest"},0),1,2,3,4,5,6,7,8)</f>
        <v>8</v>
      </c>
      <c r="AB1082" s="2">
        <f t="shared" si="166"/>
        <v>1</v>
      </c>
      <c r="AC1082">
        <v>1007.4</v>
      </c>
      <c r="AD1082" t="s">
        <v>339</v>
      </c>
      <c r="AE1082" s="2">
        <f t="shared" si="167"/>
        <v>0</v>
      </c>
      <c r="AF1082" t="s">
        <v>1597</v>
      </c>
      <c r="AG1082" s="2">
        <f t="shared" si="168"/>
        <v>7</v>
      </c>
      <c r="AH1082" s="2">
        <f t="shared" si="169"/>
        <v>1</v>
      </c>
      <c r="AI1082" s="3">
        <v>1569.999999994179</v>
      </c>
      <c r="AJ1082" s="2">
        <v>1</v>
      </c>
      <c r="AK1082">
        <v>0</v>
      </c>
      <c r="AL1082">
        <v>3</v>
      </c>
      <c r="AM1082">
        <v>0</v>
      </c>
      <c r="AN1082" s="2">
        <f>IF((2*G1082+M1082-O1082+3*V1082+2*AB1082+2*AE1082+2*AH1082+3*AJ1082)&gt;=7,1,0)</f>
        <v>1</v>
      </c>
    </row>
    <row r="1083" spans="1:40" x14ac:dyDescent="0.25">
      <c r="A1083" t="s">
        <v>27</v>
      </c>
      <c r="B1083" s="1">
        <v>40382</v>
      </c>
      <c r="C1083" s="6">
        <f t="shared" si="160"/>
        <v>2010</v>
      </c>
      <c r="D1083">
        <v>86</v>
      </c>
      <c r="E1083">
        <v>80.599999999999994</v>
      </c>
      <c r="F1083">
        <v>84</v>
      </c>
      <c r="G1083" s="2">
        <f t="shared" si="161"/>
        <v>1</v>
      </c>
      <c r="H1083">
        <v>95.2</v>
      </c>
      <c r="I1083">
        <v>83.9</v>
      </c>
      <c r="J1083">
        <v>89.4</v>
      </c>
      <c r="K1083">
        <v>70.900000000000006</v>
      </c>
      <c r="L1083">
        <v>65.2</v>
      </c>
      <c r="M1083" s="2">
        <f t="shared" si="162"/>
        <v>1</v>
      </c>
      <c r="N1083">
        <v>0</v>
      </c>
      <c r="O1083" s="2">
        <f t="shared" si="163"/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 s="2">
        <f t="shared" si="164"/>
        <v>0</v>
      </c>
      <c r="W1083">
        <v>24.2</v>
      </c>
      <c r="X1083" s="2">
        <f t="shared" si="165"/>
        <v>1</v>
      </c>
      <c r="Y1083">
        <v>301.7</v>
      </c>
      <c r="Z1083" s="2" t="str">
        <f>CHOOSE(MATCH(Y1083,{0;11;80;111;161;191;241;281;341},1),"North","NorthEast","East","SouthEast","South","SouthWest","West","NorthWest","North")</f>
        <v>NorthWest</v>
      </c>
      <c r="AA1083" s="4">
        <f>CHOOSE(MATCH(Z1083,{"South";"SouthEast";"SouthWest";"North";"NorthEast";"East";"West";"NorthWest"},0),1,2,3,4,5,6,7,8)</f>
        <v>8</v>
      </c>
      <c r="AB1083" s="2">
        <f t="shared" si="166"/>
        <v>1</v>
      </c>
      <c r="AC1083">
        <v>1007.4</v>
      </c>
      <c r="AD1083" t="s">
        <v>1598</v>
      </c>
      <c r="AE1083" s="2">
        <f t="shared" si="167"/>
        <v>0</v>
      </c>
      <c r="AF1083" t="s">
        <v>1599</v>
      </c>
      <c r="AG1083" s="2">
        <f t="shared" si="168"/>
        <v>7</v>
      </c>
      <c r="AH1083" s="2">
        <f t="shared" si="169"/>
        <v>1</v>
      </c>
      <c r="AI1083" s="3">
        <v>2340</v>
      </c>
      <c r="AJ1083" s="2">
        <v>1</v>
      </c>
      <c r="AK1083">
        <v>50</v>
      </c>
      <c r="AL1083">
        <v>0</v>
      </c>
      <c r="AM1083">
        <v>0</v>
      </c>
      <c r="AN1083" s="2">
        <f>IF((2*G1083+M1083-O1083+3*V1083+2*AB1083+2*AE1083+2*AH1083+3*AJ1083)&gt;=7,1,0)</f>
        <v>1</v>
      </c>
    </row>
    <row r="1084" spans="1:40" x14ac:dyDescent="0.25">
      <c r="A1084" t="s">
        <v>27</v>
      </c>
      <c r="B1084" s="1">
        <v>40384</v>
      </c>
      <c r="C1084" s="6">
        <f t="shared" si="160"/>
        <v>2010</v>
      </c>
      <c r="D1084">
        <v>91.4</v>
      </c>
      <c r="E1084">
        <v>77</v>
      </c>
      <c r="F1084">
        <v>83.8</v>
      </c>
      <c r="G1084" s="2">
        <f t="shared" si="161"/>
        <v>1</v>
      </c>
      <c r="H1084">
        <v>100.2</v>
      </c>
      <c r="I1084">
        <v>77</v>
      </c>
      <c r="J1084">
        <v>89</v>
      </c>
      <c r="K1084">
        <v>70.3</v>
      </c>
      <c r="L1084">
        <v>65</v>
      </c>
      <c r="M1084" s="2">
        <f t="shared" si="162"/>
        <v>1</v>
      </c>
      <c r="N1084">
        <v>0</v>
      </c>
      <c r="O1084" s="2">
        <f t="shared" si="163"/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 s="2">
        <f t="shared" si="164"/>
        <v>0</v>
      </c>
      <c r="W1084">
        <v>19.5</v>
      </c>
      <c r="X1084" s="2">
        <f t="shared" si="165"/>
        <v>1</v>
      </c>
      <c r="Y1084">
        <v>268.5</v>
      </c>
      <c r="Z1084" s="2" t="str">
        <f>CHOOSE(MATCH(Y1084,{0;11;80;111;161;191;241;281;341},1),"North","NorthEast","East","SouthEast","South","SouthWest","West","NorthWest","North")</f>
        <v>West</v>
      </c>
      <c r="AA1084" s="4">
        <f>CHOOSE(MATCH(Z1084,{"South";"SouthEast";"SouthWest";"North";"NorthEast";"East";"West";"NorthWest"},0),1,2,3,4,5,6,7,8)</f>
        <v>7</v>
      </c>
      <c r="AB1084" s="2">
        <f t="shared" si="166"/>
        <v>0</v>
      </c>
      <c r="AC1084">
        <v>1001.1</v>
      </c>
      <c r="AD1084" t="s">
        <v>1600</v>
      </c>
      <c r="AE1084" s="2">
        <f t="shared" si="167"/>
        <v>1</v>
      </c>
      <c r="AF1084" t="s">
        <v>1601</v>
      </c>
      <c r="AG1084" s="2">
        <f t="shared" si="168"/>
        <v>7</v>
      </c>
      <c r="AH1084" s="2">
        <f t="shared" si="169"/>
        <v>1</v>
      </c>
      <c r="AI1084" s="3">
        <v>1370.0000000023281</v>
      </c>
      <c r="AJ1084" s="2">
        <v>1</v>
      </c>
      <c r="AK1084">
        <v>0</v>
      </c>
      <c r="AL1084">
        <v>15</v>
      </c>
      <c r="AM1084">
        <v>0</v>
      </c>
      <c r="AN1084" s="2">
        <f>IF((2*G1084+M1084-O1084+3*V1084+2*AB1084+2*AE1084+2*AH1084+3*AJ1084)&gt;=7,1,0)</f>
        <v>1</v>
      </c>
    </row>
    <row r="1085" spans="1:40" x14ac:dyDescent="0.25">
      <c r="A1085" t="s">
        <v>27</v>
      </c>
      <c r="B1085" s="1">
        <v>40385</v>
      </c>
      <c r="C1085" s="6">
        <f t="shared" si="160"/>
        <v>2010</v>
      </c>
      <c r="D1085">
        <v>86</v>
      </c>
      <c r="E1085">
        <v>73.400000000000006</v>
      </c>
      <c r="F1085">
        <v>80.400000000000006</v>
      </c>
      <c r="G1085" s="2">
        <f t="shared" si="161"/>
        <v>1</v>
      </c>
      <c r="H1085">
        <v>90.6</v>
      </c>
      <c r="I1085">
        <v>73.400000000000006</v>
      </c>
      <c r="J1085">
        <v>82.6</v>
      </c>
      <c r="K1085">
        <v>68.7</v>
      </c>
      <c r="L1085">
        <v>68.3</v>
      </c>
      <c r="M1085" s="2">
        <f t="shared" si="162"/>
        <v>0</v>
      </c>
      <c r="N1085">
        <v>0</v>
      </c>
      <c r="O1085" s="2">
        <f t="shared" si="163"/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 s="2">
        <f t="shared" si="164"/>
        <v>0</v>
      </c>
      <c r="W1085">
        <v>21.9</v>
      </c>
      <c r="X1085" s="2">
        <f t="shared" si="165"/>
        <v>1</v>
      </c>
      <c r="Y1085">
        <v>286.2</v>
      </c>
      <c r="Z1085" s="2" t="str">
        <f>CHOOSE(MATCH(Y1085,{0;11;80;111;161;191;241;281;341},1),"North","NorthEast","East","SouthEast","South","SouthWest","West","NorthWest","North")</f>
        <v>NorthWest</v>
      </c>
      <c r="AA1085" s="4">
        <f>CHOOSE(MATCH(Z1085,{"South";"SouthEast";"SouthWest";"North";"NorthEast";"East";"West";"NorthWest"},0),1,2,3,4,5,6,7,8)</f>
        <v>8</v>
      </c>
      <c r="AB1085" s="2">
        <f t="shared" si="166"/>
        <v>1</v>
      </c>
      <c r="AC1085">
        <v>1002.9</v>
      </c>
      <c r="AD1085" t="s">
        <v>1483</v>
      </c>
      <c r="AE1085" s="2">
        <f t="shared" si="167"/>
        <v>0</v>
      </c>
      <c r="AF1085" t="s">
        <v>1602</v>
      </c>
      <c r="AG1085" s="2">
        <f t="shared" si="168"/>
        <v>7</v>
      </c>
      <c r="AH1085" s="2">
        <f t="shared" si="169"/>
        <v>1</v>
      </c>
      <c r="AI1085" s="3">
        <v>205.0000000081491</v>
      </c>
      <c r="AJ1085" s="2">
        <v>0</v>
      </c>
      <c r="AK1085">
        <v>0</v>
      </c>
      <c r="AL1085">
        <v>2</v>
      </c>
      <c r="AM1085">
        <v>0</v>
      </c>
      <c r="AN1085" s="2">
        <f>IF((2*G1085+M1085-O1085+3*V1085+2*AB1085+2*AE1085+2*AH1085+3*AJ1085)&gt;=7,1,0)</f>
        <v>0</v>
      </c>
    </row>
    <row r="1086" spans="1:40" x14ac:dyDescent="0.25">
      <c r="A1086" t="s">
        <v>27</v>
      </c>
      <c r="B1086" s="1">
        <v>40388</v>
      </c>
      <c r="C1086" s="6">
        <f t="shared" si="160"/>
        <v>2010</v>
      </c>
      <c r="D1086">
        <v>84.2</v>
      </c>
      <c r="E1086">
        <v>75.2</v>
      </c>
      <c r="F1086">
        <v>79.599999999999994</v>
      </c>
      <c r="G1086" s="2">
        <f t="shared" si="161"/>
        <v>1</v>
      </c>
      <c r="H1086">
        <v>88.5</v>
      </c>
      <c r="I1086">
        <v>75.2</v>
      </c>
      <c r="J1086">
        <v>80.900000000000006</v>
      </c>
      <c r="K1086">
        <v>67</v>
      </c>
      <c r="L1086">
        <v>65.599999999999994</v>
      </c>
      <c r="M1086" s="2">
        <f t="shared" si="162"/>
        <v>1</v>
      </c>
      <c r="N1086">
        <v>0</v>
      </c>
      <c r="O1086" s="2">
        <f t="shared" si="163"/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 s="2">
        <f t="shared" si="164"/>
        <v>0</v>
      </c>
      <c r="W1086">
        <v>21.9</v>
      </c>
      <c r="X1086" s="2">
        <f t="shared" si="165"/>
        <v>1</v>
      </c>
      <c r="Y1086">
        <v>309.3</v>
      </c>
      <c r="Z1086" s="2" t="str">
        <f>CHOOSE(MATCH(Y1086,{0;11;80;111;161;191;241;281;341},1),"North","NorthEast","East","SouthEast","South","SouthWest","West","NorthWest","North")</f>
        <v>NorthWest</v>
      </c>
      <c r="AA1086" s="4">
        <f>CHOOSE(MATCH(Z1086,{"South";"SouthEast";"SouthWest";"North";"NorthEast";"East";"West";"NorthWest"},0),1,2,3,4,5,6,7,8)</f>
        <v>8</v>
      </c>
      <c r="AB1086" s="2">
        <f t="shared" si="166"/>
        <v>1</v>
      </c>
      <c r="AC1086">
        <v>1009.3</v>
      </c>
      <c r="AD1086" t="s">
        <v>1603</v>
      </c>
      <c r="AE1086" s="2">
        <f t="shared" si="167"/>
        <v>1</v>
      </c>
      <c r="AF1086" t="s">
        <v>1604</v>
      </c>
      <c r="AG1086" s="2">
        <f t="shared" si="168"/>
        <v>7</v>
      </c>
      <c r="AH1086" s="2">
        <f t="shared" si="169"/>
        <v>1</v>
      </c>
      <c r="AI1086" s="3">
        <v>1495.0000000011639</v>
      </c>
      <c r="AJ1086" s="2">
        <v>1</v>
      </c>
      <c r="AK1086">
        <v>0</v>
      </c>
      <c r="AL1086">
        <v>5</v>
      </c>
      <c r="AM1086">
        <v>0</v>
      </c>
      <c r="AN1086" s="2">
        <f>IF((2*G1086+M1086-O1086+3*V1086+2*AB1086+2*AE1086+2*AH1086+3*AJ1086)&gt;=7,1,0)</f>
        <v>1</v>
      </c>
    </row>
    <row r="1087" spans="1:40" x14ac:dyDescent="0.25">
      <c r="A1087" t="s">
        <v>27</v>
      </c>
      <c r="B1087" s="1">
        <v>40389</v>
      </c>
      <c r="C1087" s="6">
        <f t="shared" si="160"/>
        <v>2010</v>
      </c>
      <c r="D1087">
        <v>82.4</v>
      </c>
      <c r="E1087">
        <v>73.7</v>
      </c>
      <c r="F1087">
        <v>78.8</v>
      </c>
      <c r="G1087" s="2">
        <f t="shared" si="161"/>
        <v>1</v>
      </c>
      <c r="H1087">
        <v>86.2</v>
      </c>
      <c r="I1087">
        <v>73.7</v>
      </c>
      <c r="J1087">
        <v>79.900000000000006</v>
      </c>
      <c r="K1087">
        <v>66.599999999999994</v>
      </c>
      <c r="L1087">
        <v>66.5</v>
      </c>
      <c r="M1087" s="2">
        <f t="shared" si="162"/>
        <v>0</v>
      </c>
      <c r="N1087">
        <v>0</v>
      </c>
      <c r="O1087" s="2">
        <f t="shared" si="163"/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 s="2">
        <f t="shared" si="164"/>
        <v>0</v>
      </c>
      <c r="W1087">
        <v>18.3</v>
      </c>
      <c r="X1087" s="2">
        <f t="shared" si="165"/>
        <v>1</v>
      </c>
      <c r="Y1087">
        <v>313.60000000000002</v>
      </c>
      <c r="Z1087" s="2" t="str">
        <f>CHOOSE(MATCH(Y1087,{0;11;80;111;161;191;241;281;341},1),"North","NorthEast","East","SouthEast","South","SouthWest","West","NorthWest","North")</f>
        <v>NorthWest</v>
      </c>
      <c r="AA1087" s="4">
        <f>CHOOSE(MATCH(Z1087,{"South";"SouthEast";"SouthWest";"North";"NorthEast";"East";"West";"NorthWest"},0),1,2,3,4,5,6,7,8)</f>
        <v>8</v>
      </c>
      <c r="AB1087" s="2">
        <f t="shared" si="166"/>
        <v>1</v>
      </c>
      <c r="AC1087">
        <v>1009.2</v>
      </c>
      <c r="AD1087" t="s">
        <v>129</v>
      </c>
      <c r="AE1087" s="2">
        <f t="shared" si="167"/>
        <v>1</v>
      </c>
      <c r="AF1087" t="s">
        <v>1605</v>
      </c>
      <c r="AG1087" s="2">
        <f t="shared" si="168"/>
        <v>7</v>
      </c>
      <c r="AH1087" s="2">
        <f t="shared" si="169"/>
        <v>1</v>
      </c>
      <c r="AI1087" s="3">
        <v>945</v>
      </c>
      <c r="AJ1087" s="2">
        <v>1</v>
      </c>
      <c r="AK1087">
        <v>0</v>
      </c>
      <c r="AL1087">
        <v>5</v>
      </c>
      <c r="AM1087">
        <v>0</v>
      </c>
      <c r="AN1087" s="2">
        <f>IF((2*G1087+M1087-O1087+3*V1087+2*AB1087+2*AE1087+2*AH1087+3*AJ1087)&gt;=7,1,0)</f>
        <v>1</v>
      </c>
    </row>
    <row r="1088" spans="1:40" x14ac:dyDescent="0.25">
      <c r="A1088" t="s">
        <v>27</v>
      </c>
      <c r="B1088" s="1">
        <v>40390</v>
      </c>
      <c r="C1088" s="6">
        <f t="shared" si="160"/>
        <v>2010</v>
      </c>
      <c r="D1088">
        <v>84.2</v>
      </c>
      <c r="E1088">
        <v>68</v>
      </c>
      <c r="F1088">
        <v>78.3</v>
      </c>
      <c r="G1088" s="2">
        <f t="shared" si="161"/>
        <v>1</v>
      </c>
      <c r="H1088">
        <v>91</v>
      </c>
      <c r="I1088">
        <v>68</v>
      </c>
      <c r="J1088">
        <v>80.400000000000006</v>
      </c>
      <c r="K1088">
        <v>70</v>
      </c>
      <c r="L1088">
        <v>75.900000000000006</v>
      </c>
      <c r="M1088" s="2">
        <f t="shared" si="162"/>
        <v>0</v>
      </c>
      <c r="N1088">
        <v>0</v>
      </c>
      <c r="O1088" s="2">
        <f t="shared" si="163"/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 s="2">
        <f t="shared" si="164"/>
        <v>0</v>
      </c>
      <c r="W1088">
        <v>13.9</v>
      </c>
      <c r="X1088" s="2">
        <f t="shared" si="165"/>
        <v>0</v>
      </c>
      <c r="Y1088">
        <v>327.10000000000002</v>
      </c>
      <c r="Z1088" s="2" t="str">
        <f>CHOOSE(MATCH(Y1088,{0;11;80;111;161;191;241;281;341},1),"North","NorthEast","East","SouthEast","South","SouthWest","West","NorthWest","North")</f>
        <v>NorthWest</v>
      </c>
      <c r="AA1088" s="4">
        <f>CHOOSE(MATCH(Z1088,{"South";"SouthEast";"SouthWest";"North";"NorthEast";"East";"West";"NorthWest"},0),1,2,3,4,5,6,7,8)</f>
        <v>8</v>
      </c>
      <c r="AB1088" s="2">
        <f t="shared" si="166"/>
        <v>1</v>
      </c>
      <c r="AC1088">
        <v>1010.1</v>
      </c>
      <c r="AD1088" t="s">
        <v>384</v>
      </c>
      <c r="AE1088" s="2">
        <f t="shared" si="167"/>
        <v>1</v>
      </c>
      <c r="AF1088" t="s">
        <v>1606</v>
      </c>
      <c r="AG1088" s="2">
        <f t="shared" si="168"/>
        <v>7</v>
      </c>
      <c r="AH1088" s="2">
        <f t="shared" si="169"/>
        <v>1</v>
      </c>
      <c r="AI1088" s="3">
        <v>1795.9999999974391</v>
      </c>
      <c r="AJ1088" s="2">
        <v>1</v>
      </c>
      <c r="AK1088">
        <v>0</v>
      </c>
      <c r="AL1088">
        <v>1</v>
      </c>
      <c r="AM1088">
        <v>0</v>
      </c>
      <c r="AN1088" s="2">
        <f>IF((2*G1088+M1088-O1088+3*V1088+2*AB1088+2*AE1088+2*AH1088+3*AJ1088)&gt;=7,1,0)</f>
        <v>1</v>
      </c>
    </row>
    <row r="1089" spans="1:40" x14ac:dyDescent="0.25">
      <c r="A1089" t="s">
        <v>27</v>
      </c>
      <c r="B1089" s="1">
        <v>40395</v>
      </c>
      <c r="C1089" s="6">
        <f t="shared" si="160"/>
        <v>2010</v>
      </c>
      <c r="D1089">
        <v>84.2</v>
      </c>
      <c r="E1089">
        <v>75.2</v>
      </c>
      <c r="F1089">
        <v>81.3</v>
      </c>
      <c r="G1089" s="2">
        <f t="shared" si="161"/>
        <v>1</v>
      </c>
      <c r="H1089">
        <v>94.2</v>
      </c>
      <c r="I1089">
        <v>75.2</v>
      </c>
      <c r="J1089">
        <v>86.9</v>
      </c>
      <c r="K1089">
        <v>75.7</v>
      </c>
      <c r="L1089">
        <v>83.3</v>
      </c>
      <c r="M1089" s="2">
        <f t="shared" si="162"/>
        <v>0</v>
      </c>
      <c r="N1089">
        <v>0</v>
      </c>
      <c r="O1089" s="2">
        <f t="shared" si="163"/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 s="2">
        <f t="shared" si="164"/>
        <v>0</v>
      </c>
      <c r="W1089">
        <v>13.9</v>
      </c>
      <c r="X1089" s="2">
        <f t="shared" si="165"/>
        <v>0</v>
      </c>
      <c r="Y1089">
        <v>327.8</v>
      </c>
      <c r="Z1089" s="2" t="str">
        <f>CHOOSE(MATCH(Y1089,{0;11;80;111;161;191;241;281;341},1),"North","NorthEast","East","SouthEast","South","SouthWest","West","NorthWest","North")</f>
        <v>NorthWest</v>
      </c>
      <c r="AA1089" s="4">
        <f>CHOOSE(MATCH(Z1089,{"South";"SouthEast";"SouthWest";"North";"NorthEast";"East";"West";"NorthWest"},0),1,2,3,4,5,6,7,8)</f>
        <v>8</v>
      </c>
      <c r="AB1089" s="2">
        <f t="shared" si="166"/>
        <v>1</v>
      </c>
      <c r="AC1089">
        <v>1003.6</v>
      </c>
      <c r="AD1089" t="s">
        <v>1387</v>
      </c>
      <c r="AE1089" s="2">
        <f t="shared" si="167"/>
        <v>1</v>
      </c>
      <c r="AF1089" t="s">
        <v>1607</v>
      </c>
      <c r="AG1089" s="2">
        <f t="shared" si="168"/>
        <v>8</v>
      </c>
      <c r="AH1089" s="2">
        <f t="shared" si="169"/>
        <v>1</v>
      </c>
      <c r="AI1089" s="3">
        <v>2754.9999999906868</v>
      </c>
      <c r="AJ1089" s="2">
        <v>1</v>
      </c>
      <c r="AK1089">
        <v>50</v>
      </c>
      <c r="AL1089">
        <v>0</v>
      </c>
      <c r="AM1089">
        <v>0</v>
      </c>
      <c r="AN1089" s="2">
        <f>IF((2*G1089+M1089-O1089+3*V1089+2*AB1089+2*AE1089+2*AH1089+3*AJ1089)&gt;=7,1,0)</f>
        <v>1</v>
      </c>
    </row>
    <row r="1090" spans="1:40" x14ac:dyDescent="0.25">
      <c r="A1090" t="s">
        <v>27</v>
      </c>
      <c r="B1090" s="1">
        <v>40395</v>
      </c>
      <c r="C1090" s="6">
        <f t="shared" si="160"/>
        <v>2010</v>
      </c>
      <c r="D1090">
        <v>84.2</v>
      </c>
      <c r="E1090">
        <v>75.2</v>
      </c>
      <c r="F1090">
        <v>81.3</v>
      </c>
      <c r="G1090" s="2">
        <f t="shared" si="161"/>
        <v>1</v>
      </c>
      <c r="H1090">
        <v>94.2</v>
      </c>
      <c r="I1090">
        <v>75.2</v>
      </c>
      <c r="J1090">
        <v>86.9</v>
      </c>
      <c r="K1090">
        <v>75.7</v>
      </c>
      <c r="L1090">
        <v>83.3</v>
      </c>
      <c r="M1090" s="2">
        <f t="shared" si="162"/>
        <v>0</v>
      </c>
      <c r="N1090">
        <v>0</v>
      </c>
      <c r="O1090" s="2">
        <f t="shared" si="163"/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 s="2">
        <f t="shared" si="164"/>
        <v>0</v>
      </c>
      <c r="W1090">
        <v>13.9</v>
      </c>
      <c r="X1090" s="2">
        <f t="shared" si="165"/>
        <v>0</v>
      </c>
      <c r="Y1090">
        <v>327.8</v>
      </c>
      <c r="Z1090" s="2" t="str">
        <f>CHOOSE(MATCH(Y1090,{0;11;80;111;161;191;241;281;341},1),"North","NorthEast","East","SouthEast","South","SouthWest","West","NorthWest","North")</f>
        <v>NorthWest</v>
      </c>
      <c r="AA1090" s="4">
        <f>CHOOSE(MATCH(Z1090,{"South";"SouthEast";"SouthWest";"North";"NorthEast";"East";"West";"NorthWest"},0),1,2,3,4,5,6,7,8)</f>
        <v>8</v>
      </c>
      <c r="AB1090" s="2">
        <f t="shared" si="166"/>
        <v>1</v>
      </c>
      <c r="AC1090">
        <v>1003.6</v>
      </c>
      <c r="AD1090" t="s">
        <v>229</v>
      </c>
      <c r="AE1090" s="2">
        <f t="shared" si="167"/>
        <v>1</v>
      </c>
      <c r="AF1090" t="s">
        <v>1608</v>
      </c>
      <c r="AG1090" s="2">
        <f t="shared" si="168"/>
        <v>8</v>
      </c>
      <c r="AH1090" s="2">
        <f t="shared" si="169"/>
        <v>1</v>
      </c>
      <c r="AI1090" s="3">
        <v>1489.9999999953429</v>
      </c>
      <c r="AJ1090" s="2">
        <v>1</v>
      </c>
      <c r="AK1090">
        <v>0</v>
      </c>
      <c r="AL1090">
        <v>10</v>
      </c>
      <c r="AM1090">
        <v>0</v>
      </c>
      <c r="AN1090" s="2">
        <f>IF((2*G1090+M1090-O1090+3*V1090+2*AB1090+2*AE1090+2*AH1090+3*AJ1090)&gt;=7,1,0)</f>
        <v>1</v>
      </c>
    </row>
    <row r="1091" spans="1:40" x14ac:dyDescent="0.25">
      <c r="A1091" t="s">
        <v>27</v>
      </c>
      <c r="B1091" s="1">
        <v>40400</v>
      </c>
      <c r="C1091" s="6">
        <f t="shared" ref="C1091:C1154" si="170">YEAR(B1091)</f>
        <v>2010</v>
      </c>
      <c r="D1091">
        <v>87.9</v>
      </c>
      <c r="E1091">
        <v>77</v>
      </c>
      <c r="F1091">
        <v>83.3</v>
      </c>
      <c r="G1091" s="2">
        <f t="shared" ref="G1091:G1154" si="171">IF(F1091&lt;=70,0,1)</f>
        <v>1</v>
      </c>
      <c r="H1091">
        <v>98</v>
      </c>
      <c r="I1091">
        <v>77</v>
      </c>
      <c r="J1091">
        <v>90.3</v>
      </c>
      <c r="K1091">
        <v>74.900000000000006</v>
      </c>
      <c r="L1091">
        <v>76.3</v>
      </c>
      <c r="M1091" s="2">
        <f t="shared" ref="M1091:M1154" si="172">IF(L1091&lt;=66,1,0)</f>
        <v>0</v>
      </c>
      <c r="N1091">
        <v>0</v>
      </c>
      <c r="O1091" s="2">
        <f t="shared" ref="O1091:O1154" si="173">IF(N1091&lt;=0.01,1,0)</f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 s="2">
        <f t="shared" ref="V1091:V1154" si="174">IF(U1091&lt;=9,0,1)</f>
        <v>0</v>
      </c>
      <c r="W1091">
        <v>18.3</v>
      </c>
      <c r="X1091" s="2">
        <f t="shared" ref="X1091:X1154" si="175">IF(W1091&gt;=16,1,0)</f>
        <v>1</v>
      </c>
      <c r="Y1091">
        <v>305</v>
      </c>
      <c r="Z1091" s="2" t="str">
        <f>CHOOSE(MATCH(Y1091,{0;11;80;111;161;191;241;281;341},1),"North","NorthEast","East","SouthEast","South","SouthWest","West","NorthWest","North")</f>
        <v>NorthWest</v>
      </c>
      <c r="AA1091" s="4">
        <f>CHOOSE(MATCH(Z1091,{"South";"SouthEast";"SouthWest";"North";"NorthEast";"East";"West";"NorthWest"},0),1,2,3,4,5,6,7,8)</f>
        <v>8</v>
      </c>
      <c r="AB1091" s="2">
        <f t="shared" ref="AB1091:AB1154" si="176">IF(OR(AA1091=4,AA1091=5,AA1091=8),1,0)</f>
        <v>1</v>
      </c>
      <c r="AC1091">
        <v>1008.1</v>
      </c>
      <c r="AD1091" t="s">
        <v>1609</v>
      </c>
      <c r="AE1091" s="2">
        <f t="shared" ref="AE1091:AE1154" si="177">IF(TIMEVALUE(AD1091)&lt;=TIME(12,30,0),0,1)</f>
        <v>0</v>
      </c>
      <c r="AF1091" t="s">
        <v>1610</v>
      </c>
      <c r="AG1091" s="2">
        <f t="shared" ref="AG1091:AG1154" si="178">MONTH(AF1091)</f>
        <v>8</v>
      </c>
      <c r="AH1091" s="2">
        <f t="shared" ref="AH1091:AH1154" si="179">IF(OR(AG1091=6,AG1091=7,AG1091=8),1,0)</f>
        <v>1</v>
      </c>
      <c r="AI1091" s="3">
        <v>2554.9999999988358</v>
      </c>
      <c r="AJ1091" s="2">
        <v>1</v>
      </c>
      <c r="AK1091">
        <v>0</v>
      </c>
      <c r="AL1091">
        <v>7</v>
      </c>
      <c r="AM1091">
        <v>0</v>
      </c>
      <c r="AN1091" s="2">
        <f>IF((2*G1091+M1091-O1091+3*V1091+2*AB1091+2*AE1091+2*AH1091+3*AJ1091)&gt;=7,1,0)</f>
        <v>1</v>
      </c>
    </row>
    <row r="1092" spans="1:40" x14ac:dyDescent="0.25">
      <c r="A1092" t="s">
        <v>27</v>
      </c>
      <c r="B1092" s="1">
        <v>40402</v>
      </c>
      <c r="C1092" s="6">
        <f t="shared" si="170"/>
        <v>2010</v>
      </c>
      <c r="D1092">
        <v>87.9</v>
      </c>
      <c r="E1092">
        <v>73.400000000000006</v>
      </c>
      <c r="F1092">
        <v>81.5</v>
      </c>
      <c r="G1092" s="2">
        <f t="shared" si="171"/>
        <v>1</v>
      </c>
      <c r="H1092">
        <v>100</v>
      </c>
      <c r="I1092">
        <v>73.400000000000006</v>
      </c>
      <c r="J1092">
        <v>87.2</v>
      </c>
      <c r="K1092">
        <v>73.599999999999994</v>
      </c>
      <c r="L1092">
        <v>77.400000000000006</v>
      </c>
      <c r="M1092" s="2">
        <f t="shared" si="172"/>
        <v>0</v>
      </c>
      <c r="N1092">
        <v>0</v>
      </c>
      <c r="O1092" s="2">
        <f t="shared" si="173"/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 s="2">
        <f t="shared" si="174"/>
        <v>0</v>
      </c>
      <c r="W1092">
        <v>9.1999999999999993</v>
      </c>
      <c r="X1092" s="2">
        <f t="shared" si="175"/>
        <v>0</v>
      </c>
      <c r="Y1092">
        <v>190.7</v>
      </c>
      <c r="Z1092" s="2" t="str">
        <f>CHOOSE(MATCH(Y1092,{0;11;80;111;161;191;241;281;341},1),"North","NorthEast","East","SouthEast","South","SouthWest","West","NorthWest","North")</f>
        <v>South</v>
      </c>
      <c r="AA1092" s="4">
        <f>CHOOSE(MATCH(Z1092,{"South";"SouthEast";"SouthWest";"North";"NorthEast";"East";"West";"NorthWest"},0),1,2,3,4,5,6,7,8)</f>
        <v>1</v>
      </c>
      <c r="AB1092" s="2">
        <f t="shared" si="176"/>
        <v>0</v>
      </c>
      <c r="AC1092">
        <v>1009.9</v>
      </c>
      <c r="AD1092" t="s">
        <v>619</v>
      </c>
      <c r="AE1092" s="2">
        <f t="shared" si="177"/>
        <v>0</v>
      </c>
      <c r="AF1092" t="s">
        <v>1611</v>
      </c>
      <c r="AG1092" s="2">
        <f t="shared" si="178"/>
        <v>8</v>
      </c>
      <c r="AH1092" s="2">
        <f t="shared" si="179"/>
        <v>1</v>
      </c>
      <c r="AI1092" s="3">
        <v>105.00000000698491</v>
      </c>
      <c r="AJ1092" s="2">
        <v>0</v>
      </c>
      <c r="AK1092">
        <v>0</v>
      </c>
      <c r="AL1092">
        <v>1</v>
      </c>
      <c r="AM1092">
        <v>0</v>
      </c>
      <c r="AN1092" s="2">
        <f>IF((2*G1092+M1092-O1092+3*V1092+2*AB1092+2*AE1092+2*AH1092+3*AJ1092)&gt;=7,1,0)</f>
        <v>0</v>
      </c>
    </row>
    <row r="1093" spans="1:40" x14ac:dyDescent="0.25">
      <c r="A1093" t="s">
        <v>27</v>
      </c>
      <c r="B1093" s="1">
        <v>40404</v>
      </c>
      <c r="C1093" s="6">
        <f t="shared" si="170"/>
        <v>2010</v>
      </c>
      <c r="D1093">
        <v>89.6</v>
      </c>
      <c r="E1093">
        <v>74</v>
      </c>
      <c r="F1093">
        <v>82.2</v>
      </c>
      <c r="G1093" s="2">
        <f t="shared" si="171"/>
        <v>1</v>
      </c>
      <c r="H1093">
        <v>100.3</v>
      </c>
      <c r="I1093">
        <v>74</v>
      </c>
      <c r="J1093">
        <v>87.3</v>
      </c>
      <c r="K1093">
        <v>73</v>
      </c>
      <c r="L1093">
        <v>74.5</v>
      </c>
      <c r="M1093" s="2">
        <f t="shared" si="172"/>
        <v>0</v>
      </c>
      <c r="N1093">
        <v>0</v>
      </c>
      <c r="O1093" s="2">
        <f t="shared" si="173"/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 s="2">
        <f t="shared" si="174"/>
        <v>0</v>
      </c>
      <c r="W1093">
        <v>11.4</v>
      </c>
      <c r="X1093" s="2">
        <f t="shared" si="175"/>
        <v>0</v>
      </c>
      <c r="Y1093">
        <v>290.2</v>
      </c>
      <c r="Z1093" s="2" t="str">
        <f>CHOOSE(MATCH(Y1093,{0;11;80;111;161;191;241;281;341},1),"North","NorthEast","East","SouthEast","South","SouthWest","West","NorthWest","North")</f>
        <v>NorthWest</v>
      </c>
      <c r="AA1093" s="4">
        <f>CHOOSE(MATCH(Z1093,{"South";"SouthEast";"SouthWest";"North";"NorthEast";"East";"West";"NorthWest"},0),1,2,3,4,5,6,7,8)</f>
        <v>8</v>
      </c>
      <c r="AB1093" s="2">
        <f t="shared" si="176"/>
        <v>1</v>
      </c>
      <c r="AC1093">
        <v>1010.9</v>
      </c>
      <c r="AD1093" t="s">
        <v>616</v>
      </c>
      <c r="AE1093" s="2">
        <f t="shared" si="177"/>
        <v>1</v>
      </c>
      <c r="AF1093" t="s">
        <v>1612</v>
      </c>
      <c r="AG1093" s="2">
        <f t="shared" si="178"/>
        <v>8</v>
      </c>
      <c r="AH1093" s="2">
        <f t="shared" si="179"/>
        <v>1</v>
      </c>
      <c r="AI1093" s="3">
        <v>60.000000006984919</v>
      </c>
      <c r="AJ1093" s="2">
        <v>0</v>
      </c>
      <c r="AK1093">
        <v>0</v>
      </c>
      <c r="AL1093">
        <v>1</v>
      </c>
      <c r="AM1093">
        <v>0</v>
      </c>
      <c r="AN1093" s="2">
        <f>IF((2*G1093+M1093-O1093+3*V1093+2*AB1093+2*AE1093+2*AH1093+3*AJ1093)&gt;=7,1,0)</f>
        <v>1</v>
      </c>
    </row>
    <row r="1094" spans="1:40" x14ac:dyDescent="0.25">
      <c r="A1094" t="s">
        <v>27</v>
      </c>
      <c r="B1094" s="1">
        <v>40405</v>
      </c>
      <c r="C1094" s="6">
        <f t="shared" si="170"/>
        <v>2010</v>
      </c>
      <c r="D1094">
        <v>89.6</v>
      </c>
      <c r="E1094">
        <v>75.2</v>
      </c>
      <c r="F1094">
        <v>84.1</v>
      </c>
      <c r="G1094" s="2">
        <f t="shared" si="171"/>
        <v>1</v>
      </c>
      <c r="H1094">
        <v>102.4</v>
      </c>
      <c r="I1094">
        <v>75.2</v>
      </c>
      <c r="J1094">
        <v>90.9</v>
      </c>
      <c r="K1094">
        <v>73</v>
      </c>
      <c r="L1094">
        <v>69.8</v>
      </c>
      <c r="M1094" s="2">
        <f t="shared" si="172"/>
        <v>0</v>
      </c>
      <c r="N1094">
        <v>0</v>
      </c>
      <c r="O1094" s="2">
        <f t="shared" si="173"/>
        <v>1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 s="2">
        <f t="shared" si="174"/>
        <v>0</v>
      </c>
      <c r="W1094">
        <v>21.9</v>
      </c>
      <c r="X1094" s="2">
        <f t="shared" si="175"/>
        <v>1</v>
      </c>
      <c r="Y1094">
        <v>302.10000000000002</v>
      </c>
      <c r="Z1094" s="2" t="str">
        <f>CHOOSE(MATCH(Y1094,{0;11;80;111;161;191;241;281;341},1),"North","NorthEast","East","SouthEast","South","SouthWest","West","NorthWest","North")</f>
        <v>NorthWest</v>
      </c>
      <c r="AA1094" s="4">
        <f>CHOOSE(MATCH(Z1094,{"South";"SouthEast";"SouthWest";"North";"NorthEast";"East";"West";"NorthWest"},0),1,2,3,4,5,6,7,8)</f>
        <v>8</v>
      </c>
      <c r="AB1094" s="2">
        <f t="shared" si="176"/>
        <v>1</v>
      </c>
      <c r="AC1094">
        <v>1010.8</v>
      </c>
      <c r="AD1094" t="s">
        <v>1613</v>
      </c>
      <c r="AE1094" s="2">
        <f t="shared" si="177"/>
        <v>0</v>
      </c>
      <c r="AF1094" t="s">
        <v>1614</v>
      </c>
      <c r="AG1094" s="2">
        <f t="shared" si="178"/>
        <v>8</v>
      </c>
      <c r="AH1094" s="2">
        <f t="shared" si="179"/>
        <v>1</v>
      </c>
      <c r="AI1094" s="3">
        <v>8285.999999998603</v>
      </c>
      <c r="AJ1094" s="2">
        <v>1</v>
      </c>
      <c r="AK1094">
        <v>200</v>
      </c>
      <c r="AL1094">
        <v>100</v>
      </c>
      <c r="AM1094">
        <v>0</v>
      </c>
      <c r="AN1094" s="2">
        <f>IF((2*G1094+M1094-O1094+3*V1094+2*AB1094+2*AE1094+2*AH1094+3*AJ1094)&gt;=7,1,0)</f>
        <v>1</v>
      </c>
    </row>
    <row r="1095" spans="1:40" x14ac:dyDescent="0.25">
      <c r="A1095" t="s">
        <v>27</v>
      </c>
      <c r="B1095" s="1">
        <v>40406</v>
      </c>
      <c r="C1095" s="6">
        <f t="shared" si="170"/>
        <v>2010</v>
      </c>
      <c r="D1095">
        <v>91.4</v>
      </c>
      <c r="E1095">
        <v>84.2</v>
      </c>
      <c r="F1095">
        <v>87.1</v>
      </c>
      <c r="G1095" s="2">
        <f t="shared" si="171"/>
        <v>1</v>
      </c>
      <c r="H1095">
        <v>100.6</v>
      </c>
      <c r="I1095">
        <v>89.6</v>
      </c>
      <c r="J1095">
        <v>94.2</v>
      </c>
      <c r="K1095">
        <v>72.599999999999994</v>
      </c>
      <c r="L1095">
        <v>62.4</v>
      </c>
      <c r="M1095" s="2">
        <f t="shared" si="172"/>
        <v>1</v>
      </c>
      <c r="N1095">
        <v>0</v>
      </c>
      <c r="O1095" s="2">
        <f t="shared" si="173"/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 s="2">
        <f t="shared" si="174"/>
        <v>0</v>
      </c>
      <c r="W1095">
        <v>23</v>
      </c>
      <c r="X1095" s="2">
        <f t="shared" si="175"/>
        <v>1</v>
      </c>
      <c r="Y1095">
        <v>302.8</v>
      </c>
      <c r="Z1095" s="2" t="str">
        <f>CHOOSE(MATCH(Y1095,{0;11;80;111;161;191;241;281;341},1),"North","NorthEast","East","SouthEast","South","SouthWest","West","NorthWest","North")</f>
        <v>NorthWest</v>
      </c>
      <c r="AA1095" s="4">
        <f>CHOOSE(MATCH(Z1095,{"South";"SouthEast";"SouthWest";"North";"NorthEast";"East";"West";"NorthWest"},0),1,2,3,4,5,6,7,8)</f>
        <v>8</v>
      </c>
      <c r="AB1095" s="2">
        <f t="shared" si="176"/>
        <v>1</v>
      </c>
      <c r="AC1095">
        <v>1010.1</v>
      </c>
      <c r="AD1095" t="s">
        <v>888</v>
      </c>
      <c r="AE1095" s="2">
        <f t="shared" si="177"/>
        <v>1</v>
      </c>
      <c r="AF1095" t="s">
        <v>1615</v>
      </c>
      <c r="AG1095" s="2">
        <f t="shared" si="178"/>
        <v>8</v>
      </c>
      <c r="AH1095" s="2">
        <f t="shared" si="179"/>
        <v>1</v>
      </c>
      <c r="AI1095" s="3">
        <v>650.99999999511056</v>
      </c>
      <c r="AJ1095" s="2">
        <v>1</v>
      </c>
      <c r="AK1095">
        <v>0</v>
      </c>
      <c r="AL1095">
        <v>2</v>
      </c>
      <c r="AM1095">
        <v>0</v>
      </c>
      <c r="AN1095" s="2">
        <f>IF((2*G1095+M1095-O1095+3*V1095+2*AB1095+2*AE1095+2*AH1095+3*AJ1095)&gt;=7,1,0)</f>
        <v>1</v>
      </c>
    </row>
    <row r="1096" spans="1:40" x14ac:dyDescent="0.25">
      <c r="A1096" t="s">
        <v>27</v>
      </c>
      <c r="B1096" s="1">
        <v>40408</v>
      </c>
      <c r="C1096" s="6">
        <f t="shared" si="170"/>
        <v>2010</v>
      </c>
      <c r="D1096">
        <v>87.8</v>
      </c>
      <c r="E1096">
        <v>78.8</v>
      </c>
      <c r="F1096">
        <v>83.3</v>
      </c>
      <c r="G1096" s="2">
        <f t="shared" si="171"/>
        <v>1</v>
      </c>
      <c r="H1096">
        <v>100</v>
      </c>
      <c r="I1096">
        <v>78.8</v>
      </c>
      <c r="J1096">
        <v>89.8</v>
      </c>
      <c r="K1096">
        <v>71.900000000000006</v>
      </c>
      <c r="L1096">
        <v>69.099999999999994</v>
      </c>
      <c r="M1096" s="2">
        <f t="shared" si="172"/>
        <v>0</v>
      </c>
      <c r="N1096">
        <v>0</v>
      </c>
      <c r="O1096" s="2">
        <f t="shared" si="173"/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 s="2">
        <f t="shared" si="174"/>
        <v>0</v>
      </c>
      <c r="W1096">
        <v>21.9</v>
      </c>
      <c r="X1096" s="2">
        <f t="shared" si="175"/>
        <v>1</v>
      </c>
      <c r="Y1096">
        <v>299</v>
      </c>
      <c r="Z1096" s="2" t="str">
        <f>CHOOSE(MATCH(Y1096,{0;11;80;111;161;191;241;281;341},1),"North","NorthEast","East","SouthEast","South","SouthWest","West","NorthWest","North")</f>
        <v>NorthWest</v>
      </c>
      <c r="AA1096" s="4">
        <f>CHOOSE(MATCH(Z1096,{"South";"SouthEast";"SouthWest";"North";"NorthEast";"East";"West";"NorthWest"},0),1,2,3,4,5,6,7,8)</f>
        <v>8</v>
      </c>
      <c r="AB1096" s="2">
        <f t="shared" si="176"/>
        <v>1</v>
      </c>
      <c r="AC1096">
        <v>1005.9</v>
      </c>
      <c r="AD1096" t="s">
        <v>1616</v>
      </c>
      <c r="AE1096" s="2">
        <f t="shared" si="177"/>
        <v>0</v>
      </c>
      <c r="AF1096" t="s">
        <v>1617</v>
      </c>
      <c r="AG1096" s="2">
        <f t="shared" si="178"/>
        <v>8</v>
      </c>
      <c r="AH1096" s="2">
        <f t="shared" si="179"/>
        <v>1</v>
      </c>
      <c r="AI1096" s="3">
        <v>145.00000000116421</v>
      </c>
      <c r="AJ1096" s="2">
        <v>0</v>
      </c>
      <c r="AK1096">
        <v>0</v>
      </c>
      <c r="AL1096">
        <v>1</v>
      </c>
      <c r="AM1096">
        <v>0</v>
      </c>
      <c r="AN1096" s="2">
        <f>IF((2*G1096+M1096-O1096+3*V1096+2*AB1096+2*AE1096+2*AH1096+3*AJ1096)&gt;=7,1,0)</f>
        <v>0</v>
      </c>
    </row>
    <row r="1097" spans="1:40" x14ac:dyDescent="0.25">
      <c r="A1097" t="s">
        <v>27</v>
      </c>
      <c r="B1097" s="1">
        <v>40408</v>
      </c>
      <c r="C1097" s="6">
        <f t="shared" si="170"/>
        <v>2010</v>
      </c>
      <c r="D1097">
        <v>87.8</v>
      </c>
      <c r="E1097">
        <v>78.8</v>
      </c>
      <c r="F1097">
        <v>83.3</v>
      </c>
      <c r="G1097" s="2">
        <f t="shared" si="171"/>
        <v>1</v>
      </c>
      <c r="H1097">
        <v>100</v>
      </c>
      <c r="I1097">
        <v>78.8</v>
      </c>
      <c r="J1097">
        <v>89.8</v>
      </c>
      <c r="K1097">
        <v>71.900000000000006</v>
      </c>
      <c r="L1097">
        <v>69.099999999999994</v>
      </c>
      <c r="M1097" s="2">
        <f t="shared" si="172"/>
        <v>0</v>
      </c>
      <c r="N1097">
        <v>0</v>
      </c>
      <c r="O1097" s="2">
        <f t="shared" si="173"/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 s="2">
        <f t="shared" si="174"/>
        <v>0</v>
      </c>
      <c r="W1097">
        <v>21.9</v>
      </c>
      <c r="X1097" s="2">
        <f t="shared" si="175"/>
        <v>1</v>
      </c>
      <c r="Y1097">
        <v>299</v>
      </c>
      <c r="Z1097" s="2" t="str">
        <f>CHOOSE(MATCH(Y1097,{0;11;80;111;161;191;241;281;341},1),"North","NorthEast","East","SouthEast","South","SouthWest","West","NorthWest","North")</f>
        <v>NorthWest</v>
      </c>
      <c r="AA1097" s="4">
        <f>CHOOSE(MATCH(Z1097,{"South";"SouthEast";"SouthWest";"North";"NorthEast";"East";"West";"NorthWest"},0),1,2,3,4,5,6,7,8)</f>
        <v>8</v>
      </c>
      <c r="AB1097" s="2">
        <f t="shared" si="176"/>
        <v>1</v>
      </c>
      <c r="AC1097">
        <v>1005.9</v>
      </c>
      <c r="AD1097" t="s">
        <v>118</v>
      </c>
      <c r="AE1097" s="2">
        <f t="shared" si="177"/>
        <v>0</v>
      </c>
      <c r="AF1097" t="s">
        <v>1618</v>
      </c>
      <c r="AG1097" s="2">
        <f t="shared" si="178"/>
        <v>8</v>
      </c>
      <c r="AH1097" s="2">
        <f t="shared" si="179"/>
        <v>1</v>
      </c>
      <c r="AI1097" s="3">
        <v>1694.9999999930151</v>
      </c>
      <c r="AJ1097" s="2">
        <v>1</v>
      </c>
      <c r="AK1097">
        <v>7</v>
      </c>
      <c r="AL1097">
        <v>0</v>
      </c>
      <c r="AM1097">
        <v>0</v>
      </c>
      <c r="AN1097" s="2">
        <f>IF((2*G1097+M1097-O1097+3*V1097+2*AB1097+2*AE1097+2*AH1097+3*AJ1097)&gt;=7,1,0)</f>
        <v>1</v>
      </c>
    </row>
    <row r="1098" spans="1:40" x14ac:dyDescent="0.25">
      <c r="A1098" t="s">
        <v>27</v>
      </c>
      <c r="B1098" s="1">
        <v>40409</v>
      </c>
      <c r="C1098" s="6">
        <f t="shared" si="170"/>
        <v>2010</v>
      </c>
      <c r="D1098">
        <v>87.8</v>
      </c>
      <c r="E1098">
        <v>75.2</v>
      </c>
      <c r="F1098">
        <v>82.4</v>
      </c>
      <c r="G1098" s="2">
        <f t="shared" si="171"/>
        <v>1</v>
      </c>
      <c r="H1098">
        <v>102.4</v>
      </c>
      <c r="I1098">
        <v>75.2</v>
      </c>
      <c r="J1098">
        <v>88.2</v>
      </c>
      <c r="K1098">
        <v>72.900000000000006</v>
      </c>
      <c r="L1098">
        <v>73.599999999999994</v>
      </c>
      <c r="M1098" s="2">
        <f t="shared" si="172"/>
        <v>0</v>
      </c>
      <c r="N1098">
        <v>0</v>
      </c>
      <c r="O1098" s="2">
        <f t="shared" si="173"/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 s="2">
        <f t="shared" si="174"/>
        <v>0</v>
      </c>
      <c r="W1098">
        <v>16.100000000000001</v>
      </c>
      <c r="X1098" s="2">
        <f t="shared" si="175"/>
        <v>1</v>
      </c>
      <c r="Y1098">
        <v>304.2</v>
      </c>
      <c r="Z1098" s="2" t="str">
        <f>CHOOSE(MATCH(Y1098,{0;11;80;111;161;191;241;281;341},1),"North","NorthEast","East","SouthEast","South","SouthWest","West","NorthWest","North")</f>
        <v>NorthWest</v>
      </c>
      <c r="AA1098" s="4">
        <f>CHOOSE(MATCH(Z1098,{"South";"SouthEast";"SouthWest";"North";"NorthEast";"East";"West";"NorthWest"},0),1,2,3,4,5,6,7,8)</f>
        <v>8</v>
      </c>
      <c r="AB1098" s="2">
        <f t="shared" si="176"/>
        <v>1</v>
      </c>
      <c r="AC1098">
        <v>1008.2</v>
      </c>
      <c r="AD1098" t="s">
        <v>627</v>
      </c>
      <c r="AE1098" s="2">
        <f t="shared" si="177"/>
        <v>0</v>
      </c>
      <c r="AF1098" t="s">
        <v>1619</v>
      </c>
      <c r="AG1098" s="2">
        <f t="shared" si="178"/>
        <v>8</v>
      </c>
      <c r="AH1098" s="2">
        <f t="shared" si="179"/>
        <v>1</v>
      </c>
      <c r="AI1098" s="3">
        <v>560.00000000232831</v>
      </c>
      <c r="AJ1098" s="2">
        <v>1</v>
      </c>
      <c r="AK1098">
        <v>0</v>
      </c>
      <c r="AL1098">
        <v>7</v>
      </c>
      <c r="AM1098">
        <v>0</v>
      </c>
      <c r="AN1098" s="2">
        <f>IF((2*G1098+M1098-O1098+3*V1098+2*AB1098+2*AE1098+2*AH1098+3*AJ1098)&gt;=7,1,0)</f>
        <v>1</v>
      </c>
    </row>
    <row r="1099" spans="1:40" x14ac:dyDescent="0.25">
      <c r="A1099" t="s">
        <v>27</v>
      </c>
      <c r="B1099" s="1">
        <v>40409</v>
      </c>
      <c r="C1099" s="6">
        <f t="shared" si="170"/>
        <v>2010</v>
      </c>
      <c r="D1099">
        <v>87.8</v>
      </c>
      <c r="E1099">
        <v>75.2</v>
      </c>
      <c r="F1099">
        <v>82.4</v>
      </c>
      <c r="G1099" s="2">
        <f t="shared" si="171"/>
        <v>1</v>
      </c>
      <c r="H1099">
        <v>102.4</v>
      </c>
      <c r="I1099">
        <v>75.2</v>
      </c>
      <c r="J1099">
        <v>88.2</v>
      </c>
      <c r="K1099">
        <v>72.900000000000006</v>
      </c>
      <c r="L1099">
        <v>73.599999999999994</v>
      </c>
      <c r="M1099" s="2">
        <f t="shared" si="172"/>
        <v>0</v>
      </c>
      <c r="N1099">
        <v>0</v>
      </c>
      <c r="O1099" s="2">
        <f t="shared" si="173"/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 s="2">
        <f t="shared" si="174"/>
        <v>0</v>
      </c>
      <c r="W1099">
        <v>16.100000000000001</v>
      </c>
      <c r="X1099" s="2">
        <f t="shared" si="175"/>
        <v>1</v>
      </c>
      <c r="Y1099">
        <v>304.2</v>
      </c>
      <c r="Z1099" s="2" t="str">
        <f>CHOOSE(MATCH(Y1099,{0;11;80;111;161;191;241;281;341},1),"North","NorthEast","East","SouthEast","South","SouthWest","West","NorthWest","North")</f>
        <v>NorthWest</v>
      </c>
      <c r="AA1099" s="4">
        <f>CHOOSE(MATCH(Z1099,{"South";"SouthEast";"SouthWest";"North";"NorthEast";"East";"West";"NorthWest"},0),1,2,3,4,5,6,7,8)</f>
        <v>8</v>
      </c>
      <c r="AB1099" s="2">
        <f t="shared" si="176"/>
        <v>1</v>
      </c>
      <c r="AC1099">
        <v>1008.2</v>
      </c>
      <c r="AD1099" t="s">
        <v>1603</v>
      </c>
      <c r="AE1099" s="2">
        <f t="shared" si="177"/>
        <v>1</v>
      </c>
      <c r="AF1099" t="s">
        <v>1620</v>
      </c>
      <c r="AG1099" s="2">
        <f t="shared" si="178"/>
        <v>8</v>
      </c>
      <c r="AH1099" s="2">
        <f t="shared" si="179"/>
        <v>1</v>
      </c>
      <c r="AI1099" s="3">
        <v>320.00000000582082</v>
      </c>
      <c r="AJ1099" s="2">
        <v>0</v>
      </c>
      <c r="AK1099">
        <v>1</v>
      </c>
      <c r="AL1099">
        <v>0</v>
      </c>
      <c r="AM1099">
        <v>0</v>
      </c>
      <c r="AN1099" s="2">
        <f>IF((2*G1099+M1099-O1099+3*V1099+2*AB1099+2*AE1099+2*AH1099+3*AJ1099)&gt;=7,1,0)</f>
        <v>1</v>
      </c>
    </row>
    <row r="1100" spans="1:40" x14ac:dyDescent="0.25">
      <c r="A1100" t="s">
        <v>27</v>
      </c>
      <c r="B1100" s="1">
        <v>40410</v>
      </c>
      <c r="C1100" s="6">
        <f t="shared" si="170"/>
        <v>2010</v>
      </c>
      <c r="D1100">
        <v>89.7</v>
      </c>
      <c r="E1100">
        <v>75.2</v>
      </c>
      <c r="F1100">
        <v>83.7</v>
      </c>
      <c r="G1100" s="2">
        <f t="shared" si="171"/>
        <v>1</v>
      </c>
      <c r="H1100">
        <v>98.4</v>
      </c>
      <c r="I1100">
        <v>75.2</v>
      </c>
      <c r="J1100">
        <v>89.2</v>
      </c>
      <c r="K1100">
        <v>72.3</v>
      </c>
      <c r="L1100">
        <v>69.2</v>
      </c>
      <c r="M1100" s="2">
        <f t="shared" si="172"/>
        <v>0</v>
      </c>
      <c r="N1100">
        <v>0</v>
      </c>
      <c r="O1100" s="2">
        <f t="shared" si="173"/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 s="2">
        <f t="shared" si="174"/>
        <v>0</v>
      </c>
      <c r="W1100">
        <v>20.8</v>
      </c>
      <c r="X1100" s="2">
        <f t="shared" si="175"/>
        <v>1</v>
      </c>
      <c r="Y1100">
        <v>301</v>
      </c>
      <c r="Z1100" s="2" t="str">
        <f>CHOOSE(MATCH(Y1100,{0;11;80;111;161;191;241;281;341},1),"North","NorthEast","East","SouthEast","South","SouthWest","West","NorthWest","North")</f>
        <v>NorthWest</v>
      </c>
      <c r="AA1100" s="4">
        <f>CHOOSE(MATCH(Z1100,{"South";"SouthEast";"SouthWest";"North";"NorthEast";"East";"West";"NorthWest"},0),1,2,3,4,5,6,7,8)</f>
        <v>8</v>
      </c>
      <c r="AB1100" s="2">
        <f t="shared" si="176"/>
        <v>1</v>
      </c>
      <c r="AC1100">
        <v>1011</v>
      </c>
      <c r="AD1100" t="s">
        <v>1621</v>
      </c>
      <c r="AE1100" s="2">
        <f t="shared" si="177"/>
        <v>0</v>
      </c>
      <c r="AF1100" t="s">
        <v>1622</v>
      </c>
      <c r="AG1100" s="2">
        <f t="shared" si="178"/>
        <v>8</v>
      </c>
      <c r="AH1100" s="2">
        <f t="shared" si="179"/>
        <v>1</v>
      </c>
      <c r="AI1100" s="3">
        <v>219.00000000139701</v>
      </c>
      <c r="AJ1100" s="2">
        <v>0</v>
      </c>
      <c r="AK1100">
        <v>0</v>
      </c>
      <c r="AL1100">
        <v>0.8</v>
      </c>
      <c r="AM1100">
        <v>0</v>
      </c>
      <c r="AN1100" s="2">
        <f>IF((2*G1100+M1100-O1100+3*V1100+2*AB1100+2*AE1100+2*AH1100+3*AJ1100)&gt;=7,1,0)</f>
        <v>0</v>
      </c>
    </row>
    <row r="1101" spans="1:40" x14ac:dyDescent="0.25">
      <c r="A1101" t="s">
        <v>27</v>
      </c>
      <c r="B1101" s="1">
        <v>40411</v>
      </c>
      <c r="C1101" s="6">
        <f t="shared" si="170"/>
        <v>2010</v>
      </c>
      <c r="D1101">
        <v>87.9</v>
      </c>
      <c r="E1101">
        <v>80.599999999999994</v>
      </c>
      <c r="F1101">
        <v>83.4</v>
      </c>
      <c r="G1101" s="2">
        <f t="shared" si="171"/>
        <v>1</v>
      </c>
      <c r="H1101">
        <v>99.4</v>
      </c>
      <c r="I1101">
        <v>83.9</v>
      </c>
      <c r="J1101">
        <v>88.6</v>
      </c>
      <c r="K1101">
        <v>71.599999999999994</v>
      </c>
      <c r="L1101">
        <v>68</v>
      </c>
      <c r="M1101" s="2">
        <f t="shared" si="172"/>
        <v>0</v>
      </c>
      <c r="N1101">
        <v>0</v>
      </c>
      <c r="O1101" s="2">
        <f t="shared" si="173"/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 s="2">
        <f t="shared" si="174"/>
        <v>0</v>
      </c>
      <c r="W1101">
        <v>25.3</v>
      </c>
      <c r="X1101" s="2">
        <f t="shared" si="175"/>
        <v>1</v>
      </c>
      <c r="Y1101">
        <v>309.3</v>
      </c>
      <c r="Z1101" s="2" t="str">
        <f>CHOOSE(MATCH(Y1101,{0;11;80;111;161;191;241;281;341},1),"North","NorthEast","East","SouthEast","South","SouthWest","West","NorthWest","North")</f>
        <v>NorthWest</v>
      </c>
      <c r="AA1101" s="4">
        <f>CHOOSE(MATCH(Z1101,{"South";"SouthEast";"SouthWest";"North";"NorthEast";"East";"West";"NorthWest"},0),1,2,3,4,5,6,7,8)</f>
        <v>8</v>
      </c>
      <c r="AB1101" s="2">
        <f t="shared" si="176"/>
        <v>1</v>
      </c>
      <c r="AC1101">
        <v>1012.6</v>
      </c>
      <c r="AD1101" t="s">
        <v>1623</v>
      </c>
      <c r="AE1101" s="2">
        <f t="shared" si="177"/>
        <v>1</v>
      </c>
      <c r="AF1101" t="s">
        <v>1624</v>
      </c>
      <c r="AG1101" s="2">
        <f t="shared" si="178"/>
        <v>8</v>
      </c>
      <c r="AH1101" s="2">
        <f t="shared" si="179"/>
        <v>1</v>
      </c>
      <c r="AI1101" s="3">
        <v>904.99999999534339</v>
      </c>
      <c r="AJ1101" s="2">
        <v>1</v>
      </c>
      <c r="AK1101">
        <v>0</v>
      </c>
      <c r="AL1101">
        <v>6</v>
      </c>
      <c r="AM1101">
        <v>0</v>
      </c>
      <c r="AN1101" s="2">
        <f>IF((2*G1101+M1101-O1101+3*V1101+2*AB1101+2*AE1101+2*AH1101+3*AJ1101)&gt;=7,1,0)</f>
        <v>1</v>
      </c>
    </row>
    <row r="1102" spans="1:40" x14ac:dyDescent="0.25">
      <c r="A1102" t="s">
        <v>27</v>
      </c>
      <c r="B1102" s="1">
        <v>40411</v>
      </c>
      <c r="C1102" s="6">
        <f t="shared" si="170"/>
        <v>2010</v>
      </c>
      <c r="D1102">
        <v>87.9</v>
      </c>
      <c r="E1102">
        <v>80.599999999999994</v>
      </c>
      <c r="F1102">
        <v>83.4</v>
      </c>
      <c r="G1102" s="2">
        <f t="shared" si="171"/>
        <v>1</v>
      </c>
      <c r="H1102">
        <v>99.4</v>
      </c>
      <c r="I1102">
        <v>83.9</v>
      </c>
      <c r="J1102">
        <v>88.6</v>
      </c>
      <c r="K1102">
        <v>71.599999999999994</v>
      </c>
      <c r="L1102">
        <v>68</v>
      </c>
      <c r="M1102" s="2">
        <f t="shared" si="172"/>
        <v>0</v>
      </c>
      <c r="N1102">
        <v>0</v>
      </c>
      <c r="O1102" s="2">
        <f t="shared" si="173"/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 s="2">
        <f t="shared" si="174"/>
        <v>0</v>
      </c>
      <c r="W1102">
        <v>25.3</v>
      </c>
      <c r="X1102" s="2">
        <f t="shared" si="175"/>
        <v>1</v>
      </c>
      <c r="Y1102">
        <v>309.3</v>
      </c>
      <c r="Z1102" s="2" t="str">
        <f>CHOOSE(MATCH(Y1102,{0;11;80;111;161;191;241;281;341},1),"North","NorthEast","East","SouthEast","South","SouthWest","West","NorthWest","North")</f>
        <v>NorthWest</v>
      </c>
      <c r="AA1102" s="4">
        <f>CHOOSE(MATCH(Z1102,{"South";"SouthEast";"SouthWest";"North";"NorthEast";"East";"West";"NorthWest"},0),1,2,3,4,5,6,7,8)</f>
        <v>8</v>
      </c>
      <c r="AB1102" s="2">
        <f t="shared" si="176"/>
        <v>1</v>
      </c>
      <c r="AC1102">
        <v>1012.6</v>
      </c>
      <c r="AD1102" t="s">
        <v>1466</v>
      </c>
      <c r="AE1102" s="2">
        <f t="shared" si="177"/>
        <v>0</v>
      </c>
      <c r="AF1102" t="s">
        <v>1625</v>
      </c>
      <c r="AG1102" s="2">
        <f t="shared" si="178"/>
        <v>8</v>
      </c>
      <c r="AH1102" s="2">
        <f t="shared" si="179"/>
        <v>1</v>
      </c>
      <c r="AI1102" s="3">
        <v>700.00000000814907</v>
      </c>
      <c r="AJ1102" s="2">
        <v>1</v>
      </c>
      <c r="AK1102">
        <v>1</v>
      </c>
      <c r="AL1102">
        <v>0</v>
      </c>
      <c r="AM1102">
        <v>0</v>
      </c>
      <c r="AN1102" s="2">
        <f>IF((2*G1102+M1102-O1102+3*V1102+2*AB1102+2*AE1102+2*AH1102+3*AJ1102)&gt;=7,1,0)</f>
        <v>1</v>
      </c>
    </row>
    <row r="1103" spans="1:40" x14ac:dyDescent="0.25">
      <c r="A1103" t="s">
        <v>27</v>
      </c>
      <c r="B1103" s="1">
        <v>40411</v>
      </c>
      <c r="C1103" s="6">
        <f t="shared" si="170"/>
        <v>2010</v>
      </c>
      <c r="D1103">
        <v>87.9</v>
      </c>
      <c r="E1103">
        <v>80.599999999999994</v>
      </c>
      <c r="F1103">
        <v>83.4</v>
      </c>
      <c r="G1103" s="2">
        <f t="shared" si="171"/>
        <v>1</v>
      </c>
      <c r="H1103">
        <v>99.4</v>
      </c>
      <c r="I1103">
        <v>83.9</v>
      </c>
      <c r="J1103">
        <v>88.6</v>
      </c>
      <c r="K1103">
        <v>71.599999999999994</v>
      </c>
      <c r="L1103">
        <v>68</v>
      </c>
      <c r="M1103" s="2">
        <f t="shared" si="172"/>
        <v>0</v>
      </c>
      <c r="N1103">
        <v>0</v>
      </c>
      <c r="O1103" s="2">
        <f t="shared" si="173"/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 s="2">
        <f t="shared" si="174"/>
        <v>0</v>
      </c>
      <c r="W1103">
        <v>25.3</v>
      </c>
      <c r="X1103" s="2">
        <f t="shared" si="175"/>
        <v>1</v>
      </c>
      <c r="Y1103">
        <v>309.3</v>
      </c>
      <c r="Z1103" s="2" t="str">
        <f>CHOOSE(MATCH(Y1103,{0;11;80;111;161;191;241;281;341},1),"North","NorthEast","East","SouthEast","South","SouthWest","West","NorthWest","North")</f>
        <v>NorthWest</v>
      </c>
      <c r="AA1103" s="4">
        <f>CHOOSE(MATCH(Z1103,{"South";"SouthEast";"SouthWest";"North";"NorthEast";"East";"West";"NorthWest"},0),1,2,3,4,5,6,7,8)</f>
        <v>8</v>
      </c>
      <c r="AB1103" s="2">
        <f t="shared" si="176"/>
        <v>1</v>
      </c>
      <c r="AC1103">
        <v>1012.6</v>
      </c>
      <c r="AD1103" t="s">
        <v>1552</v>
      </c>
      <c r="AE1103" s="2">
        <f t="shared" si="177"/>
        <v>1</v>
      </c>
      <c r="AF1103" t="s">
        <v>1626</v>
      </c>
      <c r="AG1103" s="2">
        <f t="shared" si="178"/>
        <v>8</v>
      </c>
      <c r="AH1103" s="2">
        <f t="shared" si="179"/>
        <v>1</v>
      </c>
      <c r="AI1103" s="3">
        <v>4219.9999999988358</v>
      </c>
      <c r="AJ1103" s="2">
        <v>1</v>
      </c>
      <c r="AK1103">
        <v>50</v>
      </c>
      <c r="AL1103">
        <v>0</v>
      </c>
      <c r="AM1103">
        <v>0</v>
      </c>
      <c r="AN1103" s="2">
        <f>IF((2*G1103+M1103-O1103+3*V1103+2*AB1103+2*AE1103+2*AH1103+3*AJ1103)&gt;=7,1,0)</f>
        <v>1</v>
      </c>
    </row>
    <row r="1104" spans="1:40" x14ac:dyDescent="0.25">
      <c r="A1104" t="s">
        <v>27</v>
      </c>
      <c r="B1104" s="1">
        <v>40411</v>
      </c>
      <c r="C1104" s="6">
        <f t="shared" si="170"/>
        <v>2010</v>
      </c>
      <c r="D1104">
        <v>87.9</v>
      </c>
      <c r="E1104">
        <v>80.599999999999994</v>
      </c>
      <c r="F1104">
        <v>83.4</v>
      </c>
      <c r="G1104" s="2">
        <f t="shared" si="171"/>
        <v>1</v>
      </c>
      <c r="H1104">
        <v>99.4</v>
      </c>
      <c r="I1104">
        <v>83.9</v>
      </c>
      <c r="J1104">
        <v>88.6</v>
      </c>
      <c r="K1104">
        <v>71.599999999999994</v>
      </c>
      <c r="L1104">
        <v>68</v>
      </c>
      <c r="M1104" s="2">
        <f t="shared" si="172"/>
        <v>0</v>
      </c>
      <c r="N1104">
        <v>0</v>
      </c>
      <c r="O1104" s="2">
        <f t="shared" si="173"/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 s="2">
        <f t="shared" si="174"/>
        <v>0</v>
      </c>
      <c r="W1104">
        <v>25.3</v>
      </c>
      <c r="X1104" s="2">
        <f t="shared" si="175"/>
        <v>1</v>
      </c>
      <c r="Y1104">
        <v>309.3</v>
      </c>
      <c r="Z1104" s="2" t="str">
        <f>CHOOSE(MATCH(Y1104,{0;11;80;111;161;191;241;281;341},1),"North","NorthEast","East","SouthEast","South","SouthWest","West","NorthWest","North")</f>
        <v>NorthWest</v>
      </c>
      <c r="AA1104" s="4">
        <f>CHOOSE(MATCH(Z1104,{"South";"SouthEast";"SouthWest";"North";"NorthEast";"East";"West";"NorthWest"},0),1,2,3,4,5,6,7,8)</f>
        <v>8</v>
      </c>
      <c r="AB1104" s="2">
        <f t="shared" si="176"/>
        <v>1</v>
      </c>
      <c r="AC1104">
        <v>1012.6</v>
      </c>
      <c r="AD1104" t="s">
        <v>311</v>
      </c>
      <c r="AE1104" s="2">
        <f t="shared" si="177"/>
        <v>1</v>
      </c>
      <c r="AF1104" t="s">
        <v>1627</v>
      </c>
      <c r="AG1104" s="2">
        <f t="shared" si="178"/>
        <v>8</v>
      </c>
      <c r="AH1104" s="2">
        <f t="shared" si="179"/>
        <v>1</v>
      </c>
      <c r="AI1104" s="3">
        <v>150.00000000698489</v>
      </c>
      <c r="AJ1104" s="2">
        <v>0</v>
      </c>
      <c r="AK1104">
        <v>0</v>
      </c>
      <c r="AL1104">
        <v>0.1</v>
      </c>
      <c r="AM1104">
        <v>0</v>
      </c>
      <c r="AN1104" s="2">
        <f>IF((2*G1104+M1104-O1104+3*V1104+2*AB1104+2*AE1104+2*AH1104+3*AJ1104)&gt;=7,1,0)</f>
        <v>1</v>
      </c>
    </row>
    <row r="1105" spans="1:40" x14ac:dyDescent="0.25">
      <c r="A1105" t="s">
        <v>27</v>
      </c>
      <c r="B1105" s="1">
        <v>40411</v>
      </c>
      <c r="C1105" s="6">
        <f t="shared" si="170"/>
        <v>2010</v>
      </c>
      <c r="D1105">
        <v>87.9</v>
      </c>
      <c r="E1105">
        <v>80.599999999999994</v>
      </c>
      <c r="F1105">
        <v>83.4</v>
      </c>
      <c r="G1105" s="2">
        <f t="shared" si="171"/>
        <v>1</v>
      </c>
      <c r="H1105">
        <v>99.4</v>
      </c>
      <c r="I1105">
        <v>83.9</v>
      </c>
      <c r="J1105">
        <v>88.6</v>
      </c>
      <c r="K1105">
        <v>71.599999999999994</v>
      </c>
      <c r="L1105">
        <v>68</v>
      </c>
      <c r="M1105" s="2">
        <f t="shared" si="172"/>
        <v>0</v>
      </c>
      <c r="N1105">
        <v>0</v>
      </c>
      <c r="O1105" s="2">
        <f t="shared" si="173"/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 s="2">
        <f t="shared" si="174"/>
        <v>0</v>
      </c>
      <c r="W1105">
        <v>25.3</v>
      </c>
      <c r="X1105" s="2">
        <f t="shared" si="175"/>
        <v>1</v>
      </c>
      <c r="Y1105">
        <v>309.3</v>
      </c>
      <c r="Z1105" s="2" t="str">
        <f>CHOOSE(MATCH(Y1105,{0;11;80;111;161;191;241;281;341},1),"North","NorthEast","East","SouthEast","South","SouthWest","West","NorthWest","North")</f>
        <v>NorthWest</v>
      </c>
      <c r="AA1105" s="4">
        <f>CHOOSE(MATCH(Z1105,{"South";"SouthEast";"SouthWest";"North";"NorthEast";"East";"West";"NorthWest"},0),1,2,3,4,5,6,7,8)</f>
        <v>8</v>
      </c>
      <c r="AB1105" s="2">
        <f t="shared" si="176"/>
        <v>1</v>
      </c>
      <c r="AC1105">
        <v>1012.6</v>
      </c>
      <c r="AD1105" t="s">
        <v>1628</v>
      </c>
      <c r="AE1105" s="2">
        <f t="shared" si="177"/>
        <v>1</v>
      </c>
      <c r="AF1105" t="s">
        <v>1629</v>
      </c>
      <c r="AG1105" s="2">
        <f t="shared" si="178"/>
        <v>8</v>
      </c>
      <c r="AH1105" s="2">
        <f t="shared" si="179"/>
        <v>1</v>
      </c>
      <c r="AI1105" s="3">
        <v>1052.000000003027</v>
      </c>
      <c r="AJ1105" s="2">
        <v>1</v>
      </c>
      <c r="AK1105">
        <v>10</v>
      </c>
      <c r="AL1105">
        <v>0</v>
      </c>
      <c r="AM1105">
        <v>0</v>
      </c>
      <c r="AN1105" s="2">
        <f>IF((2*G1105+M1105-O1105+3*V1105+2*AB1105+2*AE1105+2*AH1105+3*AJ1105)&gt;=7,1,0)</f>
        <v>1</v>
      </c>
    </row>
    <row r="1106" spans="1:40" x14ac:dyDescent="0.25">
      <c r="A1106" t="s">
        <v>27</v>
      </c>
      <c r="B1106" s="1">
        <v>40412</v>
      </c>
      <c r="C1106" s="6">
        <f t="shared" si="170"/>
        <v>2010</v>
      </c>
      <c r="D1106">
        <v>80.7</v>
      </c>
      <c r="E1106">
        <v>78.8</v>
      </c>
      <c r="F1106">
        <v>79.7</v>
      </c>
      <c r="G1106" s="2">
        <f t="shared" si="171"/>
        <v>1</v>
      </c>
      <c r="H1106">
        <v>84.1</v>
      </c>
      <c r="I1106">
        <v>78.8</v>
      </c>
      <c r="J1106">
        <v>81.099999999999994</v>
      </c>
      <c r="K1106">
        <v>67.5</v>
      </c>
      <c r="L1106">
        <v>66.400000000000006</v>
      </c>
      <c r="M1106" s="2">
        <f t="shared" si="172"/>
        <v>0</v>
      </c>
      <c r="N1106">
        <v>0</v>
      </c>
      <c r="O1106" s="2">
        <f t="shared" si="173"/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30</v>
      </c>
      <c r="V1106" s="2">
        <f t="shared" si="174"/>
        <v>1</v>
      </c>
      <c r="W1106">
        <v>25.3</v>
      </c>
      <c r="X1106" s="2">
        <f t="shared" si="175"/>
        <v>1</v>
      </c>
      <c r="Y1106">
        <v>311.60000000000002</v>
      </c>
      <c r="Z1106" s="2" t="str">
        <f>CHOOSE(MATCH(Y1106,{0;11;80;111;161;191;241;281;341},1),"North","NorthEast","East","SouthEast","South","SouthWest","West","NorthWest","North")</f>
        <v>NorthWest</v>
      </c>
      <c r="AA1106" s="4">
        <f>CHOOSE(MATCH(Z1106,{"South";"SouthEast";"SouthWest";"North";"NorthEast";"East";"West";"NorthWest"},0),1,2,3,4,5,6,7,8)</f>
        <v>8</v>
      </c>
      <c r="AB1106" s="2">
        <f t="shared" si="176"/>
        <v>1</v>
      </c>
      <c r="AC1106">
        <v>1010.5</v>
      </c>
      <c r="AD1106" t="s">
        <v>246</v>
      </c>
      <c r="AE1106" s="2">
        <f t="shared" si="177"/>
        <v>1</v>
      </c>
      <c r="AF1106" t="s">
        <v>1630</v>
      </c>
      <c r="AG1106" s="2">
        <f t="shared" si="178"/>
        <v>8</v>
      </c>
      <c r="AH1106" s="2">
        <f t="shared" si="179"/>
        <v>1</v>
      </c>
      <c r="AI1106" s="3">
        <v>1105.0000000081491</v>
      </c>
      <c r="AJ1106" s="2">
        <v>1</v>
      </c>
      <c r="AK1106">
        <v>0</v>
      </c>
      <c r="AL1106">
        <v>20</v>
      </c>
      <c r="AM1106">
        <v>0</v>
      </c>
      <c r="AN1106" s="2">
        <f>IF((2*G1106+M1106-O1106+3*V1106+2*AB1106+2*AE1106+2*AH1106+3*AJ1106)&gt;=7,1,0)</f>
        <v>1</v>
      </c>
    </row>
    <row r="1107" spans="1:40" x14ac:dyDescent="0.25">
      <c r="A1107" t="s">
        <v>27</v>
      </c>
      <c r="B1107" s="1">
        <v>40412</v>
      </c>
      <c r="C1107" s="6">
        <f t="shared" si="170"/>
        <v>2010</v>
      </c>
      <c r="D1107">
        <v>80.7</v>
      </c>
      <c r="E1107">
        <v>78.8</v>
      </c>
      <c r="F1107">
        <v>79.7</v>
      </c>
      <c r="G1107" s="2">
        <f t="shared" si="171"/>
        <v>1</v>
      </c>
      <c r="H1107">
        <v>84.1</v>
      </c>
      <c r="I1107">
        <v>78.8</v>
      </c>
      <c r="J1107">
        <v>81.099999999999994</v>
      </c>
      <c r="K1107">
        <v>67.5</v>
      </c>
      <c r="L1107">
        <v>66.400000000000006</v>
      </c>
      <c r="M1107" s="2">
        <f t="shared" si="172"/>
        <v>0</v>
      </c>
      <c r="N1107">
        <v>0</v>
      </c>
      <c r="O1107" s="2">
        <f t="shared" si="173"/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30</v>
      </c>
      <c r="V1107" s="2">
        <f t="shared" si="174"/>
        <v>1</v>
      </c>
      <c r="W1107">
        <v>25.3</v>
      </c>
      <c r="X1107" s="2">
        <f t="shared" si="175"/>
        <v>1</v>
      </c>
      <c r="Y1107">
        <v>311.60000000000002</v>
      </c>
      <c r="Z1107" s="2" t="str">
        <f>CHOOSE(MATCH(Y1107,{0;11;80;111;161;191;241;281;341},1),"North","NorthEast","East","SouthEast","South","SouthWest","West","NorthWest","North")</f>
        <v>NorthWest</v>
      </c>
      <c r="AA1107" s="4">
        <f>CHOOSE(MATCH(Z1107,{"South";"SouthEast";"SouthWest";"North";"NorthEast";"East";"West";"NorthWest"},0),1,2,3,4,5,6,7,8)</f>
        <v>8</v>
      </c>
      <c r="AB1107" s="2">
        <f t="shared" si="176"/>
        <v>1</v>
      </c>
      <c r="AC1107">
        <v>1010.5</v>
      </c>
      <c r="AD1107" t="s">
        <v>1631</v>
      </c>
      <c r="AE1107" s="2">
        <f t="shared" si="177"/>
        <v>0</v>
      </c>
      <c r="AF1107" t="s">
        <v>1632</v>
      </c>
      <c r="AG1107" s="2">
        <f t="shared" si="178"/>
        <v>8</v>
      </c>
      <c r="AH1107" s="2">
        <f t="shared" si="179"/>
        <v>1</v>
      </c>
      <c r="AI1107" s="3">
        <v>5320.0000000011642</v>
      </c>
      <c r="AJ1107" s="2">
        <v>1</v>
      </c>
      <c r="AK1107">
        <v>500</v>
      </c>
      <c r="AL1107">
        <v>0</v>
      </c>
      <c r="AM1107">
        <v>0</v>
      </c>
      <c r="AN1107" s="2">
        <f>IF((2*G1107+M1107-O1107+3*V1107+2*AB1107+2*AE1107+2*AH1107+3*AJ1107)&gt;=7,1,0)</f>
        <v>1</v>
      </c>
    </row>
    <row r="1108" spans="1:40" x14ac:dyDescent="0.25">
      <c r="A1108" t="s">
        <v>27</v>
      </c>
      <c r="B1108" s="1">
        <v>40413</v>
      </c>
      <c r="C1108" s="6">
        <f t="shared" si="170"/>
        <v>2010</v>
      </c>
      <c r="D1108">
        <v>80.599999999999994</v>
      </c>
      <c r="E1108">
        <v>74.400000000000006</v>
      </c>
      <c r="F1108">
        <v>79.099999999999994</v>
      </c>
      <c r="G1108" s="2">
        <f t="shared" si="171"/>
        <v>1</v>
      </c>
      <c r="H1108">
        <v>83.9</v>
      </c>
      <c r="I1108">
        <v>74.400000000000006</v>
      </c>
      <c r="J1108">
        <v>80.3</v>
      </c>
      <c r="K1108">
        <v>68.5</v>
      </c>
      <c r="L1108">
        <v>70.3</v>
      </c>
      <c r="M1108" s="2">
        <f t="shared" si="172"/>
        <v>0</v>
      </c>
      <c r="N1108">
        <v>0</v>
      </c>
      <c r="O1108" s="2">
        <f t="shared" si="173"/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30</v>
      </c>
      <c r="V1108" s="2">
        <f t="shared" si="174"/>
        <v>1</v>
      </c>
      <c r="W1108">
        <v>25.3</v>
      </c>
      <c r="X1108" s="2">
        <f t="shared" si="175"/>
        <v>1</v>
      </c>
      <c r="Y1108">
        <v>308.2</v>
      </c>
      <c r="Z1108" s="2" t="str">
        <f>CHOOSE(MATCH(Y1108,{0;11;80;111;161;191;241;281;341},1),"North","NorthEast","East","SouthEast","South","SouthWest","West","NorthWest","North")</f>
        <v>NorthWest</v>
      </c>
      <c r="AA1108" s="4">
        <f>CHOOSE(MATCH(Z1108,{"South";"SouthEast";"SouthWest";"North";"NorthEast";"East";"West";"NorthWest"},0),1,2,3,4,5,6,7,8)</f>
        <v>8</v>
      </c>
      <c r="AB1108" s="2">
        <f t="shared" si="176"/>
        <v>1</v>
      </c>
      <c r="AC1108">
        <v>1008.7</v>
      </c>
      <c r="AD1108" t="s">
        <v>1005</v>
      </c>
      <c r="AE1108" s="2">
        <f t="shared" si="177"/>
        <v>0</v>
      </c>
      <c r="AF1108" t="s">
        <v>1633</v>
      </c>
      <c r="AG1108" s="2">
        <f t="shared" si="178"/>
        <v>8</v>
      </c>
      <c r="AH1108" s="2">
        <f t="shared" si="179"/>
        <v>1</v>
      </c>
      <c r="AI1108" s="3">
        <v>45</v>
      </c>
      <c r="AJ1108" s="2">
        <v>0</v>
      </c>
      <c r="AK1108">
        <v>0</v>
      </c>
      <c r="AL1108">
        <v>0.1</v>
      </c>
      <c r="AM1108">
        <v>0</v>
      </c>
      <c r="AN1108" s="2">
        <f>IF((2*G1108+M1108-O1108+3*V1108+2*AB1108+2*AE1108+2*AH1108+3*AJ1108)&gt;=7,1,0)</f>
        <v>1</v>
      </c>
    </row>
    <row r="1109" spans="1:40" x14ac:dyDescent="0.25">
      <c r="A1109" t="s">
        <v>27</v>
      </c>
      <c r="B1109" s="1">
        <v>40413</v>
      </c>
      <c r="C1109" s="6">
        <f t="shared" si="170"/>
        <v>2010</v>
      </c>
      <c r="D1109">
        <v>80.599999999999994</v>
      </c>
      <c r="E1109">
        <v>74.400000000000006</v>
      </c>
      <c r="F1109">
        <v>79.099999999999994</v>
      </c>
      <c r="G1109" s="2">
        <f t="shared" si="171"/>
        <v>1</v>
      </c>
      <c r="H1109">
        <v>83.9</v>
      </c>
      <c r="I1109">
        <v>74.400000000000006</v>
      </c>
      <c r="J1109">
        <v>80.3</v>
      </c>
      <c r="K1109">
        <v>68.5</v>
      </c>
      <c r="L1109">
        <v>70.3</v>
      </c>
      <c r="M1109" s="2">
        <f t="shared" si="172"/>
        <v>0</v>
      </c>
      <c r="N1109">
        <v>0</v>
      </c>
      <c r="O1109" s="2">
        <f t="shared" si="173"/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30</v>
      </c>
      <c r="V1109" s="2">
        <f t="shared" si="174"/>
        <v>1</v>
      </c>
      <c r="W1109">
        <v>25.3</v>
      </c>
      <c r="X1109" s="2">
        <f t="shared" si="175"/>
        <v>1</v>
      </c>
      <c r="Y1109">
        <v>308.2</v>
      </c>
      <c r="Z1109" s="2" t="str">
        <f>CHOOSE(MATCH(Y1109,{0;11;80;111;161;191;241;281;341},1),"North","NorthEast","East","SouthEast","South","SouthWest","West","NorthWest","North")</f>
        <v>NorthWest</v>
      </c>
      <c r="AA1109" s="4">
        <f>CHOOSE(MATCH(Z1109,{"South";"SouthEast";"SouthWest";"North";"NorthEast";"East";"West";"NorthWest"},0),1,2,3,4,5,6,7,8)</f>
        <v>8</v>
      </c>
      <c r="AB1109" s="2">
        <f t="shared" si="176"/>
        <v>1</v>
      </c>
      <c r="AC1109">
        <v>1008.7</v>
      </c>
      <c r="AD1109" t="s">
        <v>1053</v>
      </c>
      <c r="AE1109" s="2">
        <f t="shared" si="177"/>
        <v>0</v>
      </c>
      <c r="AF1109" t="s">
        <v>1634</v>
      </c>
      <c r="AG1109" s="2">
        <f t="shared" si="178"/>
        <v>8</v>
      </c>
      <c r="AH1109" s="2">
        <f t="shared" si="179"/>
        <v>1</v>
      </c>
      <c r="AI1109" s="3">
        <v>1950.9999999997669</v>
      </c>
      <c r="AJ1109" s="2">
        <v>1</v>
      </c>
      <c r="AK1109">
        <v>0</v>
      </c>
      <c r="AL1109">
        <v>12</v>
      </c>
      <c r="AM1109">
        <v>0</v>
      </c>
      <c r="AN1109" s="2">
        <f>IF((2*G1109+M1109-O1109+3*V1109+2*AB1109+2*AE1109+2*AH1109+3*AJ1109)&gt;=7,1,0)</f>
        <v>1</v>
      </c>
    </row>
    <row r="1110" spans="1:40" x14ac:dyDescent="0.25">
      <c r="A1110" t="s">
        <v>27</v>
      </c>
      <c r="B1110" s="1">
        <v>40415</v>
      </c>
      <c r="C1110" s="6">
        <f t="shared" si="170"/>
        <v>2010</v>
      </c>
      <c r="D1110">
        <v>86</v>
      </c>
      <c r="E1110">
        <v>69.8</v>
      </c>
      <c r="F1110">
        <v>79.7</v>
      </c>
      <c r="G1110" s="2">
        <f t="shared" si="171"/>
        <v>1</v>
      </c>
      <c r="H1110">
        <v>89.4</v>
      </c>
      <c r="I1110">
        <v>69.8</v>
      </c>
      <c r="J1110">
        <v>81.599999999999994</v>
      </c>
      <c r="K1110">
        <v>67.2</v>
      </c>
      <c r="L1110">
        <v>66.2</v>
      </c>
      <c r="M1110" s="2">
        <f t="shared" si="172"/>
        <v>0</v>
      </c>
      <c r="N1110">
        <v>0</v>
      </c>
      <c r="O1110" s="2">
        <f t="shared" si="173"/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 s="2">
        <f t="shared" si="174"/>
        <v>0</v>
      </c>
      <c r="W1110">
        <v>18.3</v>
      </c>
      <c r="X1110" s="2">
        <f t="shared" si="175"/>
        <v>1</v>
      </c>
      <c r="Y1110">
        <v>302.89999999999998</v>
      </c>
      <c r="Z1110" s="2" t="str">
        <f>CHOOSE(MATCH(Y1110,{0;11;80;111;161;191;241;281;341},1),"North","NorthEast","East","SouthEast","South","SouthWest","West","NorthWest","North")</f>
        <v>NorthWest</v>
      </c>
      <c r="AA1110" s="4">
        <f>CHOOSE(MATCH(Z1110,{"South";"SouthEast";"SouthWest";"North";"NorthEast";"East";"West";"NorthWest"},0),1,2,3,4,5,6,7,8)</f>
        <v>8</v>
      </c>
      <c r="AB1110" s="2">
        <f t="shared" si="176"/>
        <v>1</v>
      </c>
      <c r="AC1110">
        <v>1009.9</v>
      </c>
      <c r="AD1110" t="s">
        <v>699</v>
      </c>
      <c r="AE1110" s="2">
        <f t="shared" si="177"/>
        <v>1</v>
      </c>
      <c r="AF1110" t="s">
        <v>1635</v>
      </c>
      <c r="AG1110" s="2">
        <f t="shared" si="178"/>
        <v>8</v>
      </c>
      <c r="AH1110" s="2">
        <f t="shared" si="179"/>
        <v>1</v>
      </c>
      <c r="AI1110" s="3">
        <v>2499.9999999976721</v>
      </c>
      <c r="AJ1110" s="2">
        <v>1</v>
      </c>
      <c r="AK1110">
        <v>0</v>
      </c>
      <c r="AL1110">
        <v>5</v>
      </c>
      <c r="AM1110">
        <v>0</v>
      </c>
      <c r="AN1110" s="2">
        <f>IF((2*G1110+M1110-O1110+3*V1110+2*AB1110+2*AE1110+2*AH1110+3*AJ1110)&gt;=7,1,0)</f>
        <v>1</v>
      </c>
    </row>
    <row r="1111" spans="1:40" x14ac:dyDescent="0.25">
      <c r="A1111" t="s">
        <v>27</v>
      </c>
      <c r="B1111" s="1">
        <v>40416</v>
      </c>
      <c r="C1111" s="6">
        <f t="shared" si="170"/>
        <v>2010</v>
      </c>
      <c r="D1111">
        <v>87.8</v>
      </c>
      <c r="E1111">
        <v>71.599999999999994</v>
      </c>
      <c r="F1111">
        <v>81</v>
      </c>
      <c r="G1111" s="2">
        <f t="shared" si="171"/>
        <v>1</v>
      </c>
      <c r="H1111">
        <v>91.5</v>
      </c>
      <c r="I1111">
        <v>71.599999999999994</v>
      </c>
      <c r="J1111">
        <v>83</v>
      </c>
      <c r="K1111">
        <v>66</v>
      </c>
      <c r="L1111">
        <v>60.8</v>
      </c>
      <c r="M1111" s="2">
        <f t="shared" si="172"/>
        <v>1</v>
      </c>
      <c r="N1111">
        <v>0</v>
      </c>
      <c r="O1111" s="2">
        <f t="shared" si="173"/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 s="2">
        <f t="shared" si="174"/>
        <v>0</v>
      </c>
      <c r="W1111">
        <v>20.8</v>
      </c>
      <c r="X1111" s="2">
        <f t="shared" si="175"/>
        <v>1</v>
      </c>
      <c r="Y1111">
        <v>303.2</v>
      </c>
      <c r="Z1111" s="2" t="str">
        <f>CHOOSE(MATCH(Y1111,{0;11;80;111;161;191;241;281;341},1),"North","NorthEast","East","SouthEast","South","SouthWest","West","NorthWest","North")</f>
        <v>NorthWest</v>
      </c>
      <c r="AA1111" s="4">
        <f>CHOOSE(MATCH(Z1111,{"South";"SouthEast";"SouthWest";"North";"NorthEast";"East";"West";"NorthWest"},0),1,2,3,4,5,6,7,8)</f>
        <v>8</v>
      </c>
      <c r="AB1111" s="2">
        <f t="shared" si="176"/>
        <v>1</v>
      </c>
      <c r="AC1111">
        <v>1009.3</v>
      </c>
      <c r="AD1111" t="s">
        <v>775</v>
      </c>
      <c r="AE1111" s="2">
        <f t="shared" si="177"/>
        <v>0</v>
      </c>
      <c r="AF1111" t="s">
        <v>1636</v>
      </c>
      <c r="AG1111" s="2">
        <f t="shared" si="178"/>
        <v>8</v>
      </c>
      <c r="AH1111" s="2">
        <f t="shared" si="179"/>
        <v>1</v>
      </c>
      <c r="AI1111" s="3">
        <v>4815</v>
      </c>
      <c r="AJ1111" s="2">
        <v>1</v>
      </c>
      <c r="AK1111">
        <v>0</v>
      </c>
      <c r="AL1111">
        <v>400</v>
      </c>
      <c r="AM1111">
        <v>0</v>
      </c>
      <c r="AN1111" s="2">
        <f>IF((2*G1111+M1111-O1111+3*V1111+2*AB1111+2*AE1111+2*AH1111+3*AJ1111)&gt;=7,1,0)</f>
        <v>1</v>
      </c>
    </row>
    <row r="1112" spans="1:40" x14ac:dyDescent="0.25">
      <c r="A1112" t="s">
        <v>27</v>
      </c>
      <c r="B1112" s="1">
        <v>40417</v>
      </c>
      <c r="C1112" s="6">
        <f t="shared" si="170"/>
        <v>2010</v>
      </c>
      <c r="D1112">
        <v>86</v>
      </c>
      <c r="E1112">
        <v>80.599999999999994</v>
      </c>
      <c r="F1112">
        <v>83.3</v>
      </c>
      <c r="G1112" s="2">
        <f t="shared" si="171"/>
        <v>1</v>
      </c>
      <c r="H1112">
        <v>93.5</v>
      </c>
      <c r="I1112">
        <v>84.6</v>
      </c>
      <c r="J1112">
        <v>88.1</v>
      </c>
      <c r="K1112">
        <v>70.900000000000006</v>
      </c>
      <c r="L1112">
        <v>66.599999999999994</v>
      </c>
      <c r="M1112" s="2">
        <f t="shared" si="172"/>
        <v>0</v>
      </c>
      <c r="N1112">
        <v>0</v>
      </c>
      <c r="O1112" s="2">
        <f t="shared" si="173"/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 s="2">
        <f t="shared" si="174"/>
        <v>0</v>
      </c>
      <c r="W1112">
        <v>23</v>
      </c>
      <c r="X1112" s="2">
        <f t="shared" si="175"/>
        <v>1</v>
      </c>
      <c r="Y1112">
        <v>307.5</v>
      </c>
      <c r="Z1112" s="2" t="str">
        <f>CHOOSE(MATCH(Y1112,{0;11;80;111;161;191;241;281;341},1),"North","NorthEast","East","SouthEast","South","SouthWest","West","NorthWest","North")</f>
        <v>NorthWest</v>
      </c>
      <c r="AA1112" s="4">
        <f>CHOOSE(MATCH(Z1112,{"South";"SouthEast";"SouthWest";"North";"NorthEast";"East";"West";"NorthWest"},0),1,2,3,4,5,6,7,8)</f>
        <v>8</v>
      </c>
      <c r="AB1112" s="2">
        <f t="shared" si="176"/>
        <v>1</v>
      </c>
      <c r="AC1112">
        <v>1008.1</v>
      </c>
      <c r="AD1112" t="s">
        <v>427</v>
      </c>
      <c r="AE1112" s="2">
        <f t="shared" si="177"/>
        <v>1</v>
      </c>
      <c r="AF1112" t="s">
        <v>1637</v>
      </c>
      <c r="AG1112" s="2">
        <f t="shared" si="178"/>
        <v>8</v>
      </c>
      <c r="AH1112" s="2">
        <f t="shared" si="179"/>
        <v>1</v>
      </c>
      <c r="AI1112" s="3">
        <v>190.00000000116421</v>
      </c>
      <c r="AJ1112" s="2">
        <v>0</v>
      </c>
      <c r="AK1112">
        <v>0</v>
      </c>
      <c r="AL1112">
        <v>3</v>
      </c>
      <c r="AM1112">
        <v>0</v>
      </c>
      <c r="AN1112" s="2">
        <f>IF((2*G1112+M1112-O1112+3*V1112+2*AB1112+2*AE1112+2*AH1112+3*AJ1112)&gt;=7,1,0)</f>
        <v>1</v>
      </c>
    </row>
    <row r="1113" spans="1:40" x14ac:dyDescent="0.25">
      <c r="A1113" t="s">
        <v>27</v>
      </c>
      <c r="B1113" s="1">
        <v>40420</v>
      </c>
      <c r="C1113" s="6">
        <f t="shared" si="170"/>
        <v>2010</v>
      </c>
      <c r="D1113">
        <v>89.6</v>
      </c>
      <c r="E1113">
        <v>77</v>
      </c>
      <c r="F1113">
        <v>82.1</v>
      </c>
      <c r="G1113" s="2">
        <f t="shared" si="171"/>
        <v>1</v>
      </c>
      <c r="H1113">
        <v>100</v>
      </c>
      <c r="I1113">
        <v>77</v>
      </c>
      <c r="J1113">
        <v>86.2</v>
      </c>
      <c r="K1113">
        <v>71.400000000000006</v>
      </c>
      <c r="L1113">
        <v>70.599999999999994</v>
      </c>
      <c r="M1113" s="2">
        <f t="shared" si="172"/>
        <v>0</v>
      </c>
      <c r="N1113">
        <v>0</v>
      </c>
      <c r="O1113" s="2">
        <f t="shared" si="173"/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 s="2">
        <f t="shared" si="174"/>
        <v>0</v>
      </c>
      <c r="W1113">
        <v>13.9</v>
      </c>
      <c r="X1113" s="2">
        <f t="shared" si="175"/>
        <v>0</v>
      </c>
      <c r="Y1113">
        <v>202.9</v>
      </c>
      <c r="Z1113" s="2" t="str">
        <f>CHOOSE(MATCH(Y1113,{0;11;80;111;161;191;241;281;341},1),"North","NorthEast","East","SouthEast","South","SouthWest","West","NorthWest","North")</f>
        <v>SouthWest</v>
      </c>
      <c r="AA1113" s="4">
        <f>CHOOSE(MATCH(Z1113,{"South";"SouthEast";"SouthWest";"North";"NorthEast";"East";"West";"NorthWest"},0),1,2,3,4,5,6,7,8)</f>
        <v>3</v>
      </c>
      <c r="AB1113" s="2">
        <f t="shared" si="176"/>
        <v>0</v>
      </c>
      <c r="AC1113">
        <v>1006.1</v>
      </c>
      <c r="AD1113" t="s">
        <v>876</v>
      </c>
      <c r="AE1113" s="2">
        <f t="shared" si="177"/>
        <v>1</v>
      </c>
      <c r="AF1113" t="s">
        <v>1638</v>
      </c>
      <c r="AG1113" s="2">
        <f t="shared" si="178"/>
        <v>8</v>
      </c>
      <c r="AH1113" s="2">
        <f t="shared" si="179"/>
        <v>1</v>
      </c>
      <c r="AI1113" s="3">
        <v>114.99999999767169</v>
      </c>
      <c r="AJ1113" s="2">
        <v>0</v>
      </c>
      <c r="AK1113">
        <v>0</v>
      </c>
      <c r="AL1113">
        <v>1</v>
      </c>
      <c r="AM1113">
        <v>0</v>
      </c>
      <c r="AN1113" s="2">
        <f>IF((2*G1113+M1113-O1113+3*V1113+2*AB1113+2*AE1113+2*AH1113+3*AJ1113)&gt;=7,1,0)</f>
        <v>0</v>
      </c>
    </row>
    <row r="1114" spans="1:40" x14ac:dyDescent="0.25">
      <c r="A1114" t="s">
        <v>27</v>
      </c>
      <c r="B1114" s="1">
        <v>40421</v>
      </c>
      <c r="C1114" s="6">
        <f t="shared" si="170"/>
        <v>2010</v>
      </c>
      <c r="D1114">
        <v>86.1</v>
      </c>
      <c r="E1114">
        <v>73.400000000000006</v>
      </c>
      <c r="F1114">
        <v>79.900000000000006</v>
      </c>
      <c r="G1114" s="2">
        <f t="shared" si="171"/>
        <v>1</v>
      </c>
      <c r="H1114">
        <v>90.6</v>
      </c>
      <c r="I1114">
        <v>73.400000000000006</v>
      </c>
      <c r="J1114">
        <v>82.3</v>
      </c>
      <c r="K1114">
        <v>69.7</v>
      </c>
      <c r="L1114">
        <v>71.599999999999994</v>
      </c>
      <c r="M1114" s="2">
        <f t="shared" si="172"/>
        <v>0</v>
      </c>
      <c r="N1114">
        <v>0</v>
      </c>
      <c r="O1114" s="2">
        <f t="shared" si="173"/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 s="2">
        <f t="shared" si="174"/>
        <v>0</v>
      </c>
      <c r="W1114">
        <v>25.3</v>
      </c>
      <c r="X1114" s="2">
        <f t="shared" si="175"/>
        <v>1</v>
      </c>
      <c r="Y1114">
        <v>296.39999999999998</v>
      </c>
      <c r="Z1114" s="2" t="str">
        <f>CHOOSE(MATCH(Y1114,{0;11;80;111;161;191;241;281;341},1),"North","NorthEast","East","SouthEast","South","SouthWest","West","NorthWest","North")</f>
        <v>NorthWest</v>
      </c>
      <c r="AA1114" s="4">
        <f>CHOOSE(MATCH(Z1114,{"South";"SouthEast";"SouthWest";"North";"NorthEast";"East";"West";"NorthWest"},0),1,2,3,4,5,6,7,8)</f>
        <v>8</v>
      </c>
      <c r="AB1114" s="2">
        <f t="shared" si="176"/>
        <v>1</v>
      </c>
      <c r="AC1114">
        <v>1004</v>
      </c>
      <c r="AD1114" t="s">
        <v>1639</v>
      </c>
      <c r="AE1114" s="2">
        <f t="shared" si="177"/>
        <v>1</v>
      </c>
      <c r="AF1114" t="s">
        <v>1640</v>
      </c>
      <c r="AG1114" s="2">
        <f t="shared" si="178"/>
        <v>8</v>
      </c>
      <c r="AH1114" s="2">
        <f t="shared" si="179"/>
        <v>1</v>
      </c>
      <c r="AI1114" s="3">
        <v>724.99999999534339</v>
      </c>
      <c r="AJ1114" s="2">
        <v>1</v>
      </c>
      <c r="AK1114">
        <v>0</v>
      </c>
      <c r="AL1114">
        <v>3</v>
      </c>
      <c r="AM1114">
        <v>0</v>
      </c>
      <c r="AN1114" s="2">
        <f>IF((2*G1114+M1114-O1114+3*V1114+2*AB1114+2*AE1114+2*AH1114+3*AJ1114)&gt;=7,1,0)</f>
        <v>1</v>
      </c>
    </row>
    <row r="1115" spans="1:40" x14ac:dyDescent="0.25">
      <c r="A1115" t="s">
        <v>27</v>
      </c>
      <c r="B1115" s="1">
        <v>40421</v>
      </c>
      <c r="C1115" s="6">
        <f t="shared" si="170"/>
        <v>2010</v>
      </c>
      <c r="D1115">
        <v>86.1</v>
      </c>
      <c r="E1115">
        <v>73.400000000000006</v>
      </c>
      <c r="F1115">
        <v>79.900000000000006</v>
      </c>
      <c r="G1115" s="2">
        <f t="shared" si="171"/>
        <v>1</v>
      </c>
      <c r="H1115">
        <v>90.6</v>
      </c>
      <c r="I1115">
        <v>73.400000000000006</v>
      </c>
      <c r="J1115">
        <v>82.3</v>
      </c>
      <c r="K1115">
        <v>69.7</v>
      </c>
      <c r="L1115">
        <v>71.599999999999994</v>
      </c>
      <c r="M1115" s="2">
        <f t="shared" si="172"/>
        <v>0</v>
      </c>
      <c r="N1115">
        <v>0</v>
      </c>
      <c r="O1115" s="2">
        <f t="shared" si="173"/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 s="2">
        <f t="shared" si="174"/>
        <v>0</v>
      </c>
      <c r="W1115">
        <v>25.3</v>
      </c>
      <c r="X1115" s="2">
        <f t="shared" si="175"/>
        <v>1</v>
      </c>
      <c r="Y1115">
        <v>296.39999999999998</v>
      </c>
      <c r="Z1115" s="2" t="str">
        <f>CHOOSE(MATCH(Y1115,{0;11;80;111;161;191;241;281;341},1),"North","NorthEast","East","SouthEast","South","SouthWest","West","NorthWest","North")</f>
        <v>NorthWest</v>
      </c>
      <c r="AA1115" s="4">
        <f>CHOOSE(MATCH(Z1115,{"South";"SouthEast";"SouthWest";"North";"NorthEast";"East";"West";"NorthWest"},0),1,2,3,4,5,6,7,8)</f>
        <v>8</v>
      </c>
      <c r="AB1115" s="2">
        <f t="shared" si="176"/>
        <v>1</v>
      </c>
      <c r="AC1115">
        <v>1004</v>
      </c>
      <c r="AD1115" t="s">
        <v>1561</v>
      </c>
      <c r="AE1115" s="2">
        <f t="shared" si="177"/>
        <v>1</v>
      </c>
      <c r="AF1115" t="s">
        <v>1641</v>
      </c>
      <c r="AG1115" s="2">
        <f t="shared" si="178"/>
        <v>8</v>
      </c>
      <c r="AH1115" s="2">
        <f t="shared" si="179"/>
        <v>1</v>
      </c>
      <c r="AI1115" s="3">
        <v>55.000000001164153</v>
      </c>
      <c r="AJ1115" s="2">
        <v>0</v>
      </c>
      <c r="AK1115">
        <v>0</v>
      </c>
      <c r="AL1115">
        <v>1</v>
      </c>
      <c r="AM1115">
        <v>0</v>
      </c>
      <c r="AN1115" s="2">
        <f>IF((2*G1115+M1115-O1115+3*V1115+2*AB1115+2*AE1115+2*AH1115+3*AJ1115)&gt;=7,1,0)</f>
        <v>1</v>
      </c>
    </row>
    <row r="1116" spans="1:40" x14ac:dyDescent="0.25">
      <c r="A1116" t="s">
        <v>27</v>
      </c>
      <c r="B1116" s="1">
        <v>40421</v>
      </c>
      <c r="C1116" s="6">
        <f t="shared" si="170"/>
        <v>2010</v>
      </c>
      <c r="D1116">
        <v>86.1</v>
      </c>
      <c r="E1116">
        <v>73.400000000000006</v>
      </c>
      <c r="F1116">
        <v>79.900000000000006</v>
      </c>
      <c r="G1116" s="2">
        <f t="shared" si="171"/>
        <v>1</v>
      </c>
      <c r="H1116">
        <v>90.6</v>
      </c>
      <c r="I1116">
        <v>73.400000000000006</v>
      </c>
      <c r="J1116">
        <v>82.3</v>
      </c>
      <c r="K1116">
        <v>69.7</v>
      </c>
      <c r="L1116">
        <v>71.599999999999994</v>
      </c>
      <c r="M1116" s="2">
        <f t="shared" si="172"/>
        <v>0</v>
      </c>
      <c r="N1116">
        <v>0</v>
      </c>
      <c r="O1116" s="2">
        <f t="shared" si="173"/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 s="2">
        <f t="shared" si="174"/>
        <v>0</v>
      </c>
      <c r="W1116">
        <v>25.3</v>
      </c>
      <c r="X1116" s="2">
        <f t="shared" si="175"/>
        <v>1</v>
      </c>
      <c r="Y1116">
        <v>296.39999999999998</v>
      </c>
      <c r="Z1116" s="2" t="str">
        <f>CHOOSE(MATCH(Y1116,{0;11;80;111;161;191;241;281;341},1),"North","NorthEast","East","SouthEast","South","SouthWest","West","NorthWest","North")</f>
        <v>NorthWest</v>
      </c>
      <c r="AA1116" s="4">
        <f>CHOOSE(MATCH(Z1116,{"South";"SouthEast";"SouthWest";"North";"NorthEast";"East";"West";"NorthWest"},0),1,2,3,4,5,6,7,8)</f>
        <v>8</v>
      </c>
      <c r="AB1116" s="2">
        <f t="shared" si="176"/>
        <v>1</v>
      </c>
      <c r="AC1116">
        <v>1004</v>
      </c>
      <c r="AD1116" t="s">
        <v>1642</v>
      </c>
      <c r="AE1116" s="2">
        <f t="shared" si="177"/>
        <v>1</v>
      </c>
      <c r="AF1116" t="s">
        <v>1643</v>
      </c>
      <c r="AG1116" s="2">
        <f t="shared" si="178"/>
        <v>8</v>
      </c>
      <c r="AH1116" s="2">
        <f t="shared" si="179"/>
        <v>1</v>
      </c>
      <c r="AI1116" s="3">
        <v>924.99999999767169</v>
      </c>
      <c r="AJ1116" s="2">
        <v>1</v>
      </c>
      <c r="AK1116">
        <v>0</v>
      </c>
      <c r="AL1116">
        <v>10</v>
      </c>
      <c r="AM1116">
        <v>0</v>
      </c>
      <c r="AN1116" s="2">
        <f>IF((2*G1116+M1116-O1116+3*V1116+2*AB1116+2*AE1116+2*AH1116+3*AJ1116)&gt;=7,1,0)</f>
        <v>1</v>
      </c>
    </row>
    <row r="1117" spans="1:40" x14ac:dyDescent="0.25">
      <c r="A1117" t="s">
        <v>27</v>
      </c>
      <c r="B1117" s="1">
        <v>40422</v>
      </c>
      <c r="C1117" s="6">
        <f t="shared" si="170"/>
        <v>2010</v>
      </c>
      <c r="D1117">
        <v>86</v>
      </c>
      <c r="E1117">
        <v>71.900000000000006</v>
      </c>
      <c r="F1117">
        <v>78.400000000000006</v>
      </c>
      <c r="G1117" s="2">
        <f t="shared" si="171"/>
        <v>1</v>
      </c>
      <c r="H1117">
        <v>86.7</v>
      </c>
      <c r="I1117">
        <v>71.900000000000006</v>
      </c>
      <c r="J1117">
        <v>79.2</v>
      </c>
      <c r="K1117">
        <v>67.2</v>
      </c>
      <c r="L1117">
        <v>69.599999999999994</v>
      </c>
      <c r="M1117" s="2">
        <f t="shared" si="172"/>
        <v>0</v>
      </c>
      <c r="N1117">
        <v>0</v>
      </c>
      <c r="O1117" s="2">
        <f t="shared" si="173"/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 s="2">
        <f t="shared" si="174"/>
        <v>0</v>
      </c>
      <c r="W1117">
        <v>28.9</v>
      </c>
      <c r="X1117" s="2">
        <f t="shared" si="175"/>
        <v>1</v>
      </c>
      <c r="Y1117">
        <v>300.10000000000002</v>
      </c>
      <c r="Z1117" s="2" t="str">
        <f>CHOOSE(MATCH(Y1117,{0;11;80;111;161;191;241;281;341},1),"North","NorthEast","East","SouthEast","South","SouthWest","West","NorthWest","North")</f>
        <v>NorthWest</v>
      </c>
      <c r="AA1117" s="4">
        <f>CHOOSE(MATCH(Z1117,{"South";"SouthEast";"SouthWest";"North";"NorthEast";"East";"West";"NorthWest"},0),1,2,3,4,5,6,7,8)</f>
        <v>8</v>
      </c>
      <c r="AB1117" s="2">
        <f t="shared" si="176"/>
        <v>1</v>
      </c>
      <c r="AC1117">
        <v>1005.5</v>
      </c>
      <c r="AD1117" t="s">
        <v>1561</v>
      </c>
      <c r="AE1117" s="2">
        <f t="shared" si="177"/>
        <v>1</v>
      </c>
      <c r="AF1117" t="s">
        <v>1644</v>
      </c>
      <c r="AG1117" s="2">
        <f t="shared" si="178"/>
        <v>9</v>
      </c>
      <c r="AH1117" s="2">
        <f t="shared" si="179"/>
        <v>0</v>
      </c>
      <c r="AI1117" s="3">
        <v>2094.9999999976721</v>
      </c>
      <c r="AJ1117" s="2">
        <v>1</v>
      </c>
      <c r="AK1117">
        <v>0</v>
      </c>
      <c r="AL1117">
        <v>10</v>
      </c>
      <c r="AM1117">
        <v>0</v>
      </c>
      <c r="AN1117" s="2">
        <f>IF((2*G1117+M1117-O1117+3*V1117+2*AB1117+2*AE1117+2*AH1117+3*AJ1117)&gt;=7,1,0)</f>
        <v>1</v>
      </c>
    </row>
    <row r="1118" spans="1:40" x14ac:dyDescent="0.25">
      <c r="A1118" t="s">
        <v>27</v>
      </c>
      <c r="B1118" s="1">
        <v>40422</v>
      </c>
      <c r="C1118" s="6">
        <f t="shared" si="170"/>
        <v>2010</v>
      </c>
      <c r="D1118">
        <v>86</v>
      </c>
      <c r="E1118">
        <v>71.900000000000006</v>
      </c>
      <c r="F1118">
        <v>78.400000000000006</v>
      </c>
      <c r="G1118" s="2">
        <f t="shared" si="171"/>
        <v>1</v>
      </c>
      <c r="H1118">
        <v>86.7</v>
      </c>
      <c r="I1118">
        <v>71.900000000000006</v>
      </c>
      <c r="J1118">
        <v>79.2</v>
      </c>
      <c r="K1118">
        <v>67.2</v>
      </c>
      <c r="L1118">
        <v>69.599999999999994</v>
      </c>
      <c r="M1118" s="2">
        <f t="shared" si="172"/>
        <v>0</v>
      </c>
      <c r="N1118">
        <v>0</v>
      </c>
      <c r="O1118" s="2">
        <f t="shared" si="173"/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 s="2">
        <f t="shared" si="174"/>
        <v>0</v>
      </c>
      <c r="W1118">
        <v>28.9</v>
      </c>
      <c r="X1118" s="2">
        <f t="shared" si="175"/>
        <v>1</v>
      </c>
      <c r="Y1118">
        <v>300.10000000000002</v>
      </c>
      <c r="Z1118" s="2" t="str">
        <f>CHOOSE(MATCH(Y1118,{0;11;80;111;161;191;241;281;341},1),"North","NorthEast","East","SouthEast","South","SouthWest","West","NorthWest","North")</f>
        <v>NorthWest</v>
      </c>
      <c r="AA1118" s="4">
        <f>CHOOSE(MATCH(Z1118,{"South";"SouthEast";"SouthWest";"North";"NorthEast";"East";"West";"NorthWest"},0),1,2,3,4,5,6,7,8)</f>
        <v>8</v>
      </c>
      <c r="AB1118" s="2">
        <f t="shared" si="176"/>
        <v>1</v>
      </c>
      <c r="AC1118">
        <v>1005.5</v>
      </c>
      <c r="AD1118" t="s">
        <v>1645</v>
      </c>
      <c r="AE1118" s="2">
        <f t="shared" si="177"/>
        <v>1</v>
      </c>
      <c r="AF1118" t="s">
        <v>1646</v>
      </c>
      <c r="AG1118" s="2">
        <f t="shared" si="178"/>
        <v>9</v>
      </c>
      <c r="AH1118" s="2">
        <f t="shared" si="179"/>
        <v>0</v>
      </c>
      <c r="AI1118" s="3">
        <v>1579.9999999953429</v>
      </c>
      <c r="AJ1118" s="2">
        <v>1</v>
      </c>
      <c r="AK1118">
        <v>0</v>
      </c>
      <c r="AL1118">
        <v>5</v>
      </c>
      <c r="AM1118">
        <v>0</v>
      </c>
      <c r="AN1118" s="2">
        <f>IF((2*G1118+M1118-O1118+3*V1118+2*AB1118+2*AE1118+2*AH1118+3*AJ1118)&gt;=7,1,0)</f>
        <v>1</v>
      </c>
    </row>
    <row r="1119" spans="1:40" x14ac:dyDescent="0.25">
      <c r="A1119" t="s">
        <v>27</v>
      </c>
      <c r="B1119" s="1">
        <v>40422</v>
      </c>
      <c r="C1119" s="6">
        <f t="shared" si="170"/>
        <v>2010</v>
      </c>
      <c r="D1119">
        <v>86</v>
      </c>
      <c r="E1119">
        <v>71.900000000000006</v>
      </c>
      <c r="F1119">
        <v>78.400000000000006</v>
      </c>
      <c r="G1119" s="2">
        <f t="shared" si="171"/>
        <v>1</v>
      </c>
      <c r="H1119">
        <v>86.7</v>
      </c>
      <c r="I1119">
        <v>71.900000000000006</v>
      </c>
      <c r="J1119">
        <v>79.2</v>
      </c>
      <c r="K1119">
        <v>67.2</v>
      </c>
      <c r="L1119">
        <v>69.599999999999994</v>
      </c>
      <c r="M1119" s="2">
        <f t="shared" si="172"/>
        <v>0</v>
      </c>
      <c r="N1119">
        <v>0</v>
      </c>
      <c r="O1119" s="2">
        <f t="shared" si="173"/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 s="2">
        <f t="shared" si="174"/>
        <v>0</v>
      </c>
      <c r="W1119">
        <v>28.9</v>
      </c>
      <c r="X1119" s="2">
        <f t="shared" si="175"/>
        <v>1</v>
      </c>
      <c r="Y1119">
        <v>300.10000000000002</v>
      </c>
      <c r="Z1119" s="2" t="str">
        <f>CHOOSE(MATCH(Y1119,{0;11;80;111;161;191;241;281;341},1),"North","NorthEast","East","SouthEast","South","SouthWest","West","NorthWest","North")</f>
        <v>NorthWest</v>
      </c>
      <c r="AA1119" s="4">
        <f>CHOOSE(MATCH(Z1119,{"South";"SouthEast";"SouthWest";"North";"NorthEast";"East";"West";"NorthWest"},0),1,2,3,4,5,6,7,8)</f>
        <v>8</v>
      </c>
      <c r="AB1119" s="2">
        <f t="shared" si="176"/>
        <v>1</v>
      </c>
      <c r="AC1119">
        <v>1005.5</v>
      </c>
      <c r="AD1119" t="s">
        <v>501</v>
      </c>
      <c r="AE1119" s="2">
        <f t="shared" si="177"/>
        <v>1</v>
      </c>
      <c r="AF1119" t="s">
        <v>1647</v>
      </c>
      <c r="AG1119" s="2">
        <f t="shared" si="178"/>
        <v>9</v>
      </c>
      <c r="AH1119" s="2">
        <f t="shared" si="179"/>
        <v>0</v>
      </c>
      <c r="AI1119" s="3">
        <v>3264.9999999976721</v>
      </c>
      <c r="AJ1119" s="2">
        <v>1</v>
      </c>
      <c r="AK1119">
        <v>0</v>
      </c>
      <c r="AL1119">
        <v>150</v>
      </c>
      <c r="AM1119">
        <v>0</v>
      </c>
      <c r="AN1119" s="2">
        <f>IF((2*G1119+M1119-O1119+3*V1119+2*AB1119+2*AE1119+2*AH1119+3*AJ1119)&gt;=7,1,0)</f>
        <v>1</v>
      </c>
    </row>
    <row r="1120" spans="1:40" x14ac:dyDescent="0.25">
      <c r="A1120" t="s">
        <v>27</v>
      </c>
      <c r="B1120" s="1">
        <v>40422</v>
      </c>
      <c r="C1120" s="6">
        <f t="shared" si="170"/>
        <v>2010</v>
      </c>
      <c r="D1120">
        <v>86</v>
      </c>
      <c r="E1120">
        <v>71.900000000000006</v>
      </c>
      <c r="F1120">
        <v>78.400000000000006</v>
      </c>
      <c r="G1120" s="2">
        <f t="shared" si="171"/>
        <v>1</v>
      </c>
      <c r="H1120">
        <v>86.7</v>
      </c>
      <c r="I1120">
        <v>71.900000000000006</v>
      </c>
      <c r="J1120">
        <v>79.2</v>
      </c>
      <c r="K1120">
        <v>67.2</v>
      </c>
      <c r="L1120">
        <v>69.599999999999994</v>
      </c>
      <c r="M1120" s="2">
        <f t="shared" si="172"/>
        <v>0</v>
      </c>
      <c r="N1120">
        <v>0</v>
      </c>
      <c r="O1120" s="2">
        <f t="shared" si="173"/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 s="2">
        <f t="shared" si="174"/>
        <v>0</v>
      </c>
      <c r="W1120">
        <v>28.9</v>
      </c>
      <c r="X1120" s="2">
        <f t="shared" si="175"/>
        <v>1</v>
      </c>
      <c r="Y1120">
        <v>300.10000000000002</v>
      </c>
      <c r="Z1120" s="2" t="str">
        <f>CHOOSE(MATCH(Y1120,{0;11;80;111;161;191;241;281;341},1),"North","NorthEast","East","SouthEast","South","SouthWest","West","NorthWest","North")</f>
        <v>NorthWest</v>
      </c>
      <c r="AA1120" s="4">
        <f>CHOOSE(MATCH(Z1120,{"South";"SouthEast";"SouthWest";"North";"NorthEast";"East";"West";"NorthWest"},0),1,2,3,4,5,6,7,8)</f>
        <v>8</v>
      </c>
      <c r="AB1120" s="2">
        <f t="shared" si="176"/>
        <v>1</v>
      </c>
      <c r="AC1120">
        <v>1005.5</v>
      </c>
      <c r="AD1120" t="s">
        <v>431</v>
      </c>
      <c r="AE1120" s="2">
        <f t="shared" si="177"/>
        <v>0</v>
      </c>
      <c r="AF1120" t="s">
        <v>1648</v>
      </c>
      <c r="AG1120" s="2">
        <f t="shared" si="178"/>
        <v>9</v>
      </c>
      <c r="AH1120" s="2">
        <f t="shared" si="179"/>
        <v>0</v>
      </c>
      <c r="AI1120" s="3">
        <v>2580.9999999997672</v>
      </c>
      <c r="AJ1120" s="2">
        <v>1</v>
      </c>
      <c r="AK1120">
        <v>0</v>
      </c>
      <c r="AL1120">
        <v>50</v>
      </c>
      <c r="AM1120">
        <v>0</v>
      </c>
      <c r="AN1120" s="2">
        <f>IF((2*G1120+M1120-O1120+3*V1120+2*AB1120+2*AE1120+2*AH1120+3*AJ1120)&gt;=7,1,0)</f>
        <v>0</v>
      </c>
    </row>
    <row r="1121" spans="1:40" x14ac:dyDescent="0.25">
      <c r="A1121" t="s">
        <v>27</v>
      </c>
      <c r="B1121" s="1">
        <v>40424</v>
      </c>
      <c r="C1121" s="6">
        <f t="shared" si="170"/>
        <v>2010</v>
      </c>
      <c r="D1121">
        <v>82.4</v>
      </c>
      <c r="E1121">
        <v>64.400000000000006</v>
      </c>
      <c r="F1121">
        <v>74.5</v>
      </c>
      <c r="G1121" s="2">
        <f t="shared" si="171"/>
        <v>1</v>
      </c>
      <c r="H1121">
        <v>85.4</v>
      </c>
      <c r="I1121">
        <v>64.400000000000006</v>
      </c>
      <c r="J1121">
        <v>75</v>
      </c>
      <c r="K1121">
        <v>63.1</v>
      </c>
      <c r="L1121">
        <v>68</v>
      </c>
      <c r="M1121" s="2">
        <f t="shared" si="172"/>
        <v>0</v>
      </c>
      <c r="N1121">
        <v>0</v>
      </c>
      <c r="O1121" s="2">
        <f t="shared" si="173"/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 s="2">
        <f t="shared" si="174"/>
        <v>0</v>
      </c>
      <c r="W1121">
        <v>10.3</v>
      </c>
      <c r="X1121" s="2">
        <f t="shared" si="175"/>
        <v>0</v>
      </c>
      <c r="Y1121">
        <v>321.60000000000002</v>
      </c>
      <c r="Z1121" s="2" t="str">
        <f>CHOOSE(MATCH(Y1121,{0;11;80;111;161;191;241;281;341},1),"North","NorthEast","East","SouthEast","South","SouthWest","West","NorthWest","North")</f>
        <v>NorthWest</v>
      </c>
      <c r="AA1121" s="4">
        <f>CHOOSE(MATCH(Z1121,{"South";"SouthEast";"SouthWest";"North";"NorthEast";"East";"West";"NorthWest"},0),1,2,3,4,5,6,7,8)</f>
        <v>8</v>
      </c>
      <c r="AB1121" s="2">
        <f t="shared" si="176"/>
        <v>1</v>
      </c>
      <c r="AC1121">
        <v>1015.4</v>
      </c>
      <c r="AD1121" t="s">
        <v>71</v>
      </c>
      <c r="AE1121" s="2">
        <f t="shared" si="177"/>
        <v>1</v>
      </c>
      <c r="AF1121" t="s">
        <v>1649</v>
      </c>
      <c r="AG1121" s="2">
        <f t="shared" si="178"/>
        <v>9</v>
      </c>
      <c r="AH1121" s="2">
        <f t="shared" si="179"/>
        <v>0</v>
      </c>
      <c r="AI1121" s="3">
        <v>100.0000000011642</v>
      </c>
      <c r="AJ1121" s="2">
        <v>0</v>
      </c>
      <c r="AK1121">
        <v>0</v>
      </c>
      <c r="AL1121">
        <v>5</v>
      </c>
      <c r="AM1121">
        <v>0</v>
      </c>
      <c r="AN1121" s="2">
        <f>IF((2*G1121+M1121-O1121+3*V1121+2*AB1121+2*AE1121+2*AH1121+3*AJ1121)&gt;=7,1,0)</f>
        <v>0</v>
      </c>
    </row>
    <row r="1122" spans="1:40" x14ac:dyDescent="0.25">
      <c r="A1122" t="s">
        <v>27</v>
      </c>
      <c r="B1122" s="1">
        <v>40424</v>
      </c>
      <c r="C1122" s="6">
        <f t="shared" si="170"/>
        <v>2010</v>
      </c>
      <c r="D1122">
        <v>82.4</v>
      </c>
      <c r="E1122">
        <v>64.400000000000006</v>
      </c>
      <c r="F1122">
        <v>74.5</v>
      </c>
      <c r="G1122" s="2">
        <f t="shared" si="171"/>
        <v>1</v>
      </c>
      <c r="H1122">
        <v>85.4</v>
      </c>
      <c r="I1122">
        <v>64.400000000000006</v>
      </c>
      <c r="J1122">
        <v>75</v>
      </c>
      <c r="K1122">
        <v>63.1</v>
      </c>
      <c r="L1122">
        <v>68</v>
      </c>
      <c r="M1122" s="2">
        <f t="shared" si="172"/>
        <v>0</v>
      </c>
      <c r="N1122">
        <v>0</v>
      </c>
      <c r="O1122" s="2">
        <f t="shared" si="173"/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 s="2">
        <f t="shared" si="174"/>
        <v>0</v>
      </c>
      <c r="W1122">
        <v>10.3</v>
      </c>
      <c r="X1122" s="2">
        <f t="shared" si="175"/>
        <v>0</v>
      </c>
      <c r="Y1122">
        <v>321.60000000000002</v>
      </c>
      <c r="Z1122" s="2" t="str">
        <f>CHOOSE(MATCH(Y1122,{0;11;80;111;161;191;241;281;341},1),"North","NorthEast","East","SouthEast","South","SouthWest","West","NorthWest","North")</f>
        <v>NorthWest</v>
      </c>
      <c r="AA1122" s="4">
        <f>CHOOSE(MATCH(Z1122,{"South";"SouthEast";"SouthWest";"North";"NorthEast";"East";"West";"NorthWest"},0),1,2,3,4,5,6,7,8)</f>
        <v>8</v>
      </c>
      <c r="AB1122" s="2">
        <f t="shared" si="176"/>
        <v>1</v>
      </c>
      <c r="AC1122">
        <v>1015.4</v>
      </c>
      <c r="AD1122" t="s">
        <v>616</v>
      </c>
      <c r="AE1122" s="2">
        <f t="shared" si="177"/>
        <v>1</v>
      </c>
      <c r="AF1122" t="s">
        <v>1650</v>
      </c>
      <c r="AG1122" s="2">
        <f t="shared" si="178"/>
        <v>9</v>
      </c>
      <c r="AH1122" s="2">
        <f t="shared" si="179"/>
        <v>0</v>
      </c>
      <c r="AI1122" s="3">
        <v>600.00000000698492</v>
      </c>
      <c r="AJ1122" s="2">
        <v>1</v>
      </c>
      <c r="AK1122">
        <v>0</v>
      </c>
      <c r="AL1122">
        <v>50</v>
      </c>
      <c r="AM1122">
        <v>0</v>
      </c>
      <c r="AN1122" s="2">
        <f>IF((2*G1122+M1122-O1122+3*V1122+2*AB1122+2*AE1122+2*AH1122+3*AJ1122)&gt;=7,1,0)</f>
        <v>1</v>
      </c>
    </row>
    <row r="1123" spans="1:40" x14ac:dyDescent="0.25">
      <c r="A1123" t="s">
        <v>27</v>
      </c>
      <c r="B1123" s="1">
        <v>40426</v>
      </c>
      <c r="C1123" s="6">
        <f t="shared" si="170"/>
        <v>2010</v>
      </c>
      <c r="D1123">
        <v>84.2</v>
      </c>
      <c r="E1123">
        <v>69.8</v>
      </c>
      <c r="F1123">
        <v>76.3</v>
      </c>
      <c r="G1123" s="2">
        <f t="shared" si="171"/>
        <v>1</v>
      </c>
      <c r="H1123">
        <v>89.6</v>
      </c>
      <c r="I1123">
        <v>69.8</v>
      </c>
      <c r="J1123">
        <v>77.5</v>
      </c>
      <c r="K1123">
        <v>64.7</v>
      </c>
      <c r="L1123">
        <v>68</v>
      </c>
      <c r="M1123" s="2">
        <f t="shared" si="172"/>
        <v>0</v>
      </c>
      <c r="N1123">
        <v>0</v>
      </c>
      <c r="O1123" s="2">
        <f t="shared" si="173"/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 s="2">
        <f t="shared" si="174"/>
        <v>0</v>
      </c>
      <c r="W1123">
        <v>8.1</v>
      </c>
      <c r="X1123" s="2">
        <f t="shared" si="175"/>
        <v>0</v>
      </c>
      <c r="Y1123">
        <v>125.1</v>
      </c>
      <c r="Z1123" s="2" t="str">
        <f>CHOOSE(MATCH(Y1123,{0;11;80;111;161;191;241;281;341},1),"North","NorthEast","East","SouthEast","South","SouthWest","West","NorthWest","North")</f>
        <v>SouthEast</v>
      </c>
      <c r="AA1123" s="4">
        <f>CHOOSE(MATCH(Z1123,{"South";"SouthEast";"SouthWest";"North";"NorthEast";"East";"West";"NorthWest"},0),1,2,3,4,5,6,7,8)</f>
        <v>2</v>
      </c>
      <c r="AB1123" s="2">
        <f t="shared" si="176"/>
        <v>0</v>
      </c>
      <c r="AC1123">
        <v>1011.2</v>
      </c>
      <c r="AD1123" t="s">
        <v>629</v>
      </c>
      <c r="AE1123" s="2">
        <f t="shared" si="177"/>
        <v>1</v>
      </c>
      <c r="AF1123" t="s">
        <v>1651</v>
      </c>
      <c r="AG1123" s="2">
        <f t="shared" si="178"/>
        <v>9</v>
      </c>
      <c r="AH1123" s="2">
        <f t="shared" si="179"/>
        <v>0</v>
      </c>
      <c r="AI1123" s="3">
        <v>10.00000000116415</v>
      </c>
      <c r="AJ1123" s="2">
        <v>0</v>
      </c>
      <c r="AK1123">
        <v>0</v>
      </c>
      <c r="AL1123">
        <v>1</v>
      </c>
      <c r="AM1123">
        <v>0</v>
      </c>
      <c r="AN1123" s="2">
        <f>IF((2*G1123+M1123-O1123+3*V1123+2*AB1123+2*AE1123+2*AH1123+3*AJ1123)&gt;=7,1,0)</f>
        <v>0</v>
      </c>
    </row>
    <row r="1124" spans="1:40" x14ac:dyDescent="0.25">
      <c r="A1124" t="s">
        <v>27</v>
      </c>
      <c r="B1124" s="1">
        <v>40428</v>
      </c>
      <c r="C1124" s="6">
        <f t="shared" si="170"/>
        <v>2010</v>
      </c>
      <c r="D1124">
        <v>80.599999999999994</v>
      </c>
      <c r="E1124">
        <v>75.2</v>
      </c>
      <c r="F1124">
        <v>77.8</v>
      </c>
      <c r="G1124" s="2">
        <f t="shared" si="171"/>
        <v>1</v>
      </c>
      <c r="H1124">
        <v>82.8</v>
      </c>
      <c r="I1124">
        <v>75.2</v>
      </c>
      <c r="J1124">
        <v>78.5</v>
      </c>
      <c r="K1124">
        <v>66.7</v>
      </c>
      <c r="L1124">
        <v>69.3</v>
      </c>
      <c r="M1124" s="2">
        <f t="shared" si="172"/>
        <v>0</v>
      </c>
      <c r="N1124">
        <v>0</v>
      </c>
      <c r="O1124" s="2">
        <f t="shared" si="173"/>
        <v>1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 s="2">
        <f t="shared" si="174"/>
        <v>0</v>
      </c>
      <c r="W1124">
        <v>20.8</v>
      </c>
      <c r="X1124" s="2">
        <f t="shared" si="175"/>
        <v>1</v>
      </c>
      <c r="Y1124">
        <v>314.7</v>
      </c>
      <c r="Z1124" s="2" t="str">
        <f>CHOOSE(MATCH(Y1124,{0;11;80;111;161;191;241;281;341},1),"North","NorthEast","East","SouthEast","South","SouthWest","West","NorthWest","North")</f>
        <v>NorthWest</v>
      </c>
      <c r="AA1124" s="4">
        <f>CHOOSE(MATCH(Z1124,{"South";"SouthEast";"SouthWest";"North";"NorthEast";"East";"West";"NorthWest"},0),1,2,3,4,5,6,7,8)</f>
        <v>8</v>
      </c>
      <c r="AB1124" s="2">
        <f t="shared" si="176"/>
        <v>1</v>
      </c>
      <c r="AC1124">
        <v>1012.6</v>
      </c>
      <c r="AD1124" t="s">
        <v>118</v>
      </c>
      <c r="AE1124" s="2">
        <f t="shared" si="177"/>
        <v>0</v>
      </c>
      <c r="AF1124" t="s">
        <v>1652</v>
      </c>
      <c r="AG1124" s="2">
        <f t="shared" si="178"/>
        <v>9</v>
      </c>
      <c r="AH1124" s="2">
        <f t="shared" si="179"/>
        <v>0</v>
      </c>
      <c r="AI1124" s="3">
        <v>564.99999999767169</v>
      </c>
      <c r="AJ1124" s="2">
        <v>1</v>
      </c>
      <c r="AK1124">
        <v>0</v>
      </c>
      <c r="AL1124">
        <v>1</v>
      </c>
      <c r="AM1124">
        <v>0</v>
      </c>
      <c r="AN1124" s="2">
        <f>IF((2*G1124+M1124-O1124+3*V1124+2*AB1124+2*AE1124+2*AH1124+3*AJ1124)&gt;=7,1,0)</f>
        <v>0</v>
      </c>
    </row>
    <row r="1125" spans="1:40" x14ac:dyDescent="0.25">
      <c r="A1125" t="s">
        <v>27</v>
      </c>
      <c r="B1125" s="1">
        <v>40430</v>
      </c>
      <c r="C1125" s="6">
        <f t="shared" si="170"/>
        <v>2010</v>
      </c>
      <c r="D1125">
        <v>84.2</v>
      </c>
      <c r="E1125">
        <v>65.7</v>
      </c>
      <c r="F1125">
        <v>75.3</v>
      </c>
      <c r="G1125" s="2">
        <f t="shared" si="171"/>
        <v>1</v>
      </c>
      <c r="H1125">
        <v>87.4</v>
      </c>
      <c r="I1125">
        <v>65.7</v>
      </c>
      <c r="J1125">
        <v>76.599999999999994</v>
      </c>
      <c r="K1125">
        <v>65.3</v>
      </c>
      <c r="L1125">
        <v>71.7</v>
      </c>
      <c r="M1125" s="2">
        <f t="shared" si="172"/>
        <v>0</v>
      </c>
      <c r="N1125">
        <v>0</v>
      </c>
      <c r="O1125" s="2">
        <f t="shared" si="173"/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 s="2">
        <f t="shared" si="174"/>
        <v>0</v>
      </c>
      <c r="W1125">
        <v>9.1999999999999993</v>
      </c>
      <c r="X1125" s="2">
        <f t="shared" si="175"/>
        <v>0</v>
      </c>
      <c r="Y1125">
        <v>311.10000000000002</v>
      </c>
      <c r="Z1125" s="2" t="str">
        <f>CHOOSE(MATCH(Y1125,{0;11;80;111;161;191;241;281;341},1),"North","NorthEast","East","SouthEast","South","SouthWest","West","NorthWest","North")</f>
        <v>NorthWest</v>
      </c>
      <c r="AA1125" s="4">
        <f>CHOOSE(MATCH(Z1125,{"South";"SouthEast";"SouthWest";"North";"NorthEast";"East";"West";"NorthWest"},0),1,2,3,4,5,6,7,8)</f>
        <v>8</v>
      </c>
      <c r="AB1125" s="2">
        <f t="shared" si="176"/>
        <v>1</v>
      </c>
      <c r="AC1125">
        <v>1012.8</v>
      </c>
      <c r="AD1125" t="s">
        <v>619</v>
      </c>
      <c r="AE1125" s="2">
        <f t="shared" si="177"/>
        <v>0</v>
      </c>
      <c r="AF1125" t="s">
        <v>1653</v>
      </c>
      <c r="AG1125" s="2">
        <f t="shared" si="178"/>
        <v>9</v>
      </c>
      <c r="AH1125" s="2">
        <f t="shared" si="179"/>
        <v>0</v>
      </c>
      <c r="AI1125" s="3">
        <v>1975.0000000046571</v>
      </c>
      <c r="AJ1125" s="2">
        <v>1</v>
      </c>
      <c r="AK1125">
        <v>0</v>
      </c>
      <c r="AL1125">
        <v>65</v>
      </c>
      <c r="AM1125">
        <v>0</v>
      </c>
      <c r="AN1125" s="2">
        <f>IF((2*G1125+M1125-O1125+3*V1125+2*AB1125+2*AE1125+2*AH1125+3*AJ1125)&gt;=7,1,0)</f>
        <v>0</v>
      </c>
    </row>
    <row r="1126" spans="1:40" x14ac:dyDescent="0.25">
      <c r="A1126" t="s">
        <v>27</v>
      </c>
      <c r="B1126" s="1">
        <v>40431</v>
      </c>
      <c r="C1126" s="6">
        <f t="shared" si="170"/>
        <v>2010</v>
      </c>
      <c r="D1126">
        <v>82.4</v>
      </c>
      <c r="E1126">
        <v>66.2</v>
      </c>
      <c r="F1126">
        <v>75.2</v>
      </c>
      <c r="G1126" s="2">
        <f t="shared" si="171"/>
        <v>1</v>
      </c>
      <c r="H1126">
        <v>87.2</v>
      </c>
      <c r="I1126">
        <v>66.2</v>
      </c>
      <c r="J1126">
        <v>76.3</v>
      </c>
      <c r="K1126">
        <v>66.400000000000006</v>
      </c>
      <c r="L1126">
        <v>74.8</v>
      </c>
      <c r="M1126" s="2">
        <f t="shared" si="172"/>
        <v>0</v>
      </c>
      <c r="N1126">
        <v>0</v>
      </c>
      <c r="O1126" s="2">
        <f t="shared" si="173"/>
        <v>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 s="2">
        <f t="shared" si="174"/>
        <v>0</v>
      </c>
      <c r="W1126">
        <v>12.8</v>
      </c>
      <c r="X1126" s="2">
        <f t="shared" si="175"/>
        <v>0</v>
      </c>
      <c r="Y1126">
        <v>305.60000000000002</v>
      </c>
      <c r="Z1126" s="2" t="str">
        <f>CHOOSE(MATCH(Y1126,{0;11;80;111;161;191;241;281;341},1),"North","NorthEast","East","SouthEast","South","SouthWest","West","NorthWest","North")</f>
        <v>NorthWest</v>
      </c>
      <c r="AA1126" s="4">
        <f>CHOOSE(MATCH(Z1126,{"South";"SouthEast";"SouthWest";"North";"NorthEast";"East";"West";"NorthWest"},0),1,2,3,4,5,6,7,8)</f>
        <v>8</v>
      </c>
      <c r="AB1126" s="2">
        <f t="shared" si="176"/>
        <v>1</v>
      </c>
      <c r="AC1126">
        <v>1009.5</v>
      </c>
      <c r="AD1126" t="s">
        <v>1654</v>
      </c>
      <c r="AE1126" s="2">
        <f t="shared" si="177"/>
        <v>0</v>
      </c>
      <c r="AF1126" t="s">
        <v>1655</v>
      </c>
      <c r="AG1126" s="2">
        <f t="shared" si="178"/>
        <v>9</v>
      </c>
      <c r="AH1126" s="2">
        <f t="shared" si="179"/>
        <v>0</v>
      </c>
      <c r="AI1126" s="3">
        <v>548.00000000512227</v>
      </c>
      <c r="AJ1126" s="2">
        <v>1</v>
      </c>
      <c r="AK1126">
        <v>15</v>
      </c>
      <c r="AL1126">
        <v>0</v>
      </c>
      <c r="AM1126">
        <v>0</v>
      </c>
      <c r="AN1126" s="2">
        <f>IF((2*G1126+M1126-O1126+3*V1126+2*AB1126+2*AE1126+2*AH1126+3*AJ1126)&gt;=7,1,0)</f>
        <v>0</v>
      </c>
    </row>
    <row r="1127" spans="1:40" x14ac:dyDescent="0.25">
      <c r="A1127" t="s">
        <v>27</v>
      </c>
      <c r="B1127" s="1">
        <v>40432</v>
      </c>
      <c r="C1127" s="6">
        <f t="shared" si="170"/>
        <v>2010</v>
      </c>
      <c r="D1127">
        <v>82.4</v>
      </c>
      <c r="E1127">
        <v>66.2</v>
      </c>
      <c r="F1127">
        <v>76.099999999999994</v>
      </c>
      <c r="G1127" s="2">
        <f t="shared" si="171"/>
        <v>1</v>
      </c>
      <c r="H1127">
        <v>88.3</v>
      </c>
      <c r="I1127">
        <v>66.2</v>
      </c>
      <c r="J1127">
        <v>77.8</v>
      </c>
      <c r="K1127">
        <v>68.8</v>
      </c>
      <c r="L1127">
        <v>78.599999999999994</v>
      </c>
      <c r="M1127" s="2">
        <f t="shared" si="172"/>
        <v>0</v>
      </c>
      <c r="N1127">
        <v>0</v>
      </c>
      <c r="O1127" s="2">
        <f t="shared" si="173"/>
        <v>1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 s="2">
        <f t="shared" si="174"/>
        <v>0</v>
      </c>
      <c r="W1127">
        <v>15</v>
      </c>
      <c r="X1127" s="2">
        <f t="shared" si="175"/>
        <v>0</v>
      </c>
      <c r="Y1127">
        <v>306</v>
      </c>
      <c r="Z1127" s="2" t="str">
        <f>CHOOSE(MATCH(Y1127,{0;11;80;111;161;191;241;281;341},1),"North","NorthEast","East","SouthEast","South","SouthWest","West","NorthWest","North")</f>
        <v>NorthWest</v>
      </c>
      <c r="AA1127" s="4">
        <f>CHOOSE(MATCH(Z1127,{"South";"SouthEast";"SouthWest";"North";"NorthEast";"East";"West";"NorthWest"},0),1,2,3,4,5,6,7,8)</f>
        <v>8</v>
      </c>
      <c r="AB1127" s="2">
        <f t="shared" si="176"/>
        <v>1</v>
      </c>
      <c r="AC1127">
        <v>1008.2</v>
      </c>
      <c r="AD1127" t="s">
        <v>616</v>
      </c>
      <c r="AE1127" s="2">
        <f t="shared" si="177"/>
        <v>1</v>
      </c>
      <c r="AF1127" t="s">
        <v>1656</v>
      </c>
      <c r="AG1127" s="2">
        <f t="shared" si="178"/>
        <v>9</v>
      </c>
      <c r="AH1127" s="2">
        <f t="shared" si="179"/>
        <v>0</v>
      </c>
      <c r="AI1127" s="3">
        <v>120.0000000034925</v>
      </c>
      <c r="AJ1127" s="2">
        <v>0</v>
      </c>
      <c r="AK1127">
        <v>0</v>
      </c>
      <c r="AL1127">
        <v>0.5</v>
      </c>
      <c r="AM1127">
        <v>0</v>
      </c>
      <c r="AN1127" s="2">
        <f>IF((2*G1127+M1127-O1127+3*V1127+2*AB1127+2*AE1127+2*AH1127+3*AJ1127)&gt;=7,1,0)</f>
        <v>0</v>
      </c>
    </row>
    <row r="1128" spans="1:40" x14ac:dyDescent="0.25">
      <c r="A1128" t="s">
        <v>27</v>
      </c>
      <c r="B1128" s="1">
        <v>40433</v>
      </c>
      <c r="C1128" s="6">
        <f t="shared" si="170"/>
        <v>2010</v>
      </c>
      <c r="D1128">
        <v>80.599999999999994</v>
      </c>
      <c r="E1128">
        <v>69.8</v>
      </c>
      <c r="F1128">
        <v>74.8</v>
      </c>
      <c r="G1128" s="2">
        <f t="shared" si="171"/>
        <v>1</v>
      </c>
      <c r="H1128">
        <v>82.3</v>
      </c>
      <c r="I1128">
        <v>69.8</v>
      </c>
      <c r="J1128">
        <v>74.900000000000006</v>
      </c>
      <c r="K1128">
        <v>65.3</v>
      </c>
      <c r="L1128">
        <v>73</v>
      </c>
      <c r="M1128" s="2">
        <f t="shared" si="172"/>
        <v>0</v>
      </c>
      <c r="N1128">
        <v>0</v>
      </c>
      <c r="O1128" s="2">
        <f t="shared" si="173"/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 s="2">
        <f t="shared" si="174"/>
        <v>0</v>
      </c>
      <c r="W1128">
        <v>16.100000000000001</v>
      </c>
      <c r="X1128" s="2">
        <f t="shared" si="175"/>
        <v>1</v>
      </c>
      <c r="Y1128">
        <v>296.39999999999998</v>
      </c>
      <c r="Z1128" s="2" t="str">
        <f>CHOOSE(MATCH(Y1128,{0;11;80;111;161;191;241;281;341},1),"North","NorthEast","East","SouthEast","South","SouthWest","West","NorthWest","North")</f>
        <v>NorthWest</v>
      </c>
      <c r="AA1128" s="4">
        <f>CHOOSE(MATCH(Z1128,{"South";"SouthEast";"SouthWest";"North";"NorthEast";"East";"West";"NorthWest"},0),1,2,3,4,5,6,7,8)</f>
        <v>8</v>
      </c>
      <c r="AB1128" s="2">
        <f t="shared" si="176"/>
        <v>1</v>
      </c>
      <c r="AC1128">
        <v>1010.3</v>
      </c>
      <c r="AD1128" t="s">
        <v>625</v>
      </c>
      <c r="AE1128" s="2">
        <f t="shared" si="177"/>
        <v>1</v>
      </c>
      <c r="AF1128" t="s">
        <v>1657</v>
      </c>
      <c r="AG1128" s="2">
        <f t="shared" si="178"/>
        <v>9</v>
      </c>
      <c r="AH1128" s="2">
        <f t="shared" si="179"/>
        <v>0</v>
      </c>
      <c r="AI1128" s="3">
        <v>140.00000000582079</v>
      </c>
      <c r="AJ1128" s="2">
        <v>0</v>
      </c>
      <c r="AK1128">
        <v>0</v>
      </c>
      <c r="AL1128">
        <v>1</v>
      </c>
      <c r="AM1128">
        <v>0</v>
      </c>
      <c r="AN1128" s="2">
        <f>IF((2*G1128+M1128-O1128+3*V1128+2*AB1128+2*AE1128+2*AH1128+3*AJ1128)&gt;=7,1,0)</f>
        <v>0</v>
      </c>
    </row>
    <row r="1129" spans="1:40" x14ac:dyDescent="0.25">
      <c r="A1129" t="s">
        <v>27</v>
      </c>
      <c r="B1129" s="1">
        <v>40434</v>
      </c>
      <c r="C1129" s="6">
        <f t="shared" si="170"/>
        <v>2010</v>
      </c>
      <c r="D1129">
        <v>78.8</v>
      </c>
      <c r="E1129">
        <v>69.8</v>
      </c>
      <c r="F1129">
        <v>74.8</v>
      </c>
      <c r="G1129" s="2">
        <f t="shared" si="171"/>
        <v>1</v>
      </c>
      <c r="H1129">
        <v>78.8</v>
      </c>
      <c r="I1129">
        <v>69.8</v>
      </c>
      <c r="J1129">
        <v>74.8</v>
      </c>
      <c r="K1129">
        <v>66</v>
      </c>
      <c r="L1129">
        <v>74.400000000000006</v>
      </c>
      <c r="M1129" s="2">
        <f t="shared" si="172"/>
        <v>0</v>
      </c>
      <c r="N1129">
        <v>0</v>
      </c>
      <c r="O1129" s="2">
        <f t="shared" si="173"/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 s="2">
        <f t="shared" si="174"/>
        <v>0</v>
      </c>
      <c r="W1129">
        <v>11.4</v>
      </c>
      <c r="X1129" s="2">
        <f t="shared" si="175"/>
        <v>0</v>
      </c>
      <c r="Y1129">
        <v>324.8</v>
      </c>
      <c r="Z1129" s="2" t="str">
        <f>CHOOSE(MATCH(Y1129,{0;11;80;111;161;191;241;281;341},1),"North","NorthEast","East","SouthEast","South","SouthWest","West","NorthWest","North")</f>
        <v>NorthWest</v>
      </c>
      <c r="AA1129" s="4">
        <f>CHOOSE(MATCH(Z1129,{"South";"SouthEast";"SouthWest";"North";"NorthEast";"East";"West";"NorthWest"},0),1,2,3,4,5,6,7,8)</f>
        <v>8</v>
      </c>
      <c r="AB1129" s="2">
        <f t="shared" si="176"/>
        <v>1</v>
      </c>
      <c r="AC1129">
        <v>1013.3</v>
      </c>
      <c r="AD1129" t="s">
        <v>1331</v>
      </c>
      <c r="AE1129" s="2">
        <f t="shared" si="177"/>
        <v>1</v>
      </c>
      <c r="AF1129" t="s">
        <v>1658</v>
      </c>
      <c r="AG1129" s="2">
        <f t="shared" si="178"/>
        <v>9</v>
      </c>
      <c r="AH1129" s="2">
        <f t="shared" si="179"/>
        <v>0</v>
      </c>
      <c r="AI1129" s="3">
        <v>180</v>
      </c>
      <c r="AJ1129" s="2">
        <v>0</v>
      </c>
      <c r="AK1129">
        <v>0</v>
      </c>
      <c r="AL1129">
        <v>1</v>
      </c>
      <c r="AM1129">
        <v>0</v>
      </c>
      <c r="AN1129" s="2">
        <f>IF((2*G1129+M1129-O1129+3*V1129+2*AB1129+2*AE1129+2*AH1129+3*AJ1129)&gt;=7,1,0)</f>
        <v>0</v>
      </c>
    </row>
    <row r="1130" spans="1:40" x14ac:dyDescent="0.25">
      <c r="A1130" t="s">
        <v>27</v>
      </c>
      <c r="B1130" s="1">
        <v>40436</v>
      </c>
      <c r="C1130" s="6">
        <f t="shared" si="170"/>
        <v>2010</v>
      </c>
      <c r="D1130">
        <v>80.599999999999994</v>
      </c>
      <c r="E1130">
        <v>73.400000000000006</v>
      </c>
      <c r="F1130">
        <v>76.099999999999994</v>
      </c>
      <c r="G1130" s="2">
        <f t="shared" si="171"/>
        <v>1</v>
      </c>
      <c r="H1130">
        <v>82.3</v>
      </c>
      <c r="I1130">
        <v>73.400000000000006</v>
      </c>
      <c r="J1130">
        <v>76.3</v>
      </c>
      <c r="K1130">
        <v>63.3</v>
      </c>
      <c r="L1130">
        <v>64.7</v>
      </c>
      <c r="M1130" s="2">
        <f t="shared" si="172"/>
        <v>1</v>
      </c>
      <c r="N1130">
        <v>0</v>
      </c>
      <c r="O1130" s="2">
        <f t="shared" si="173"/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 s="2">
        <f t="shared" si="174"/>
        <v>0</v>
      </c>
      <c r="W1130">
        <v>18.3</v>
      </c>
      <c r="X1130" s="2">
        <f t="shared" si="175"/>
        <v>1</v>
      </c>
      <c r="Y1130">
        <v>314</v>
      </c>
      <c r="Z1130" s="2" t="str">
        <f>CHOOSE(MATCH(Y1130,{0;11;80;111;161;191;241;281;341},1),"North","NorthEast","East","SouthEast","South","SouthWest","West","NorthWest","North")</f>
        <v>NorthWest</v>
      </c>
      <c r="AA1130" s="4">
        <f>CHOOSE(MATCH(Z1130,{"South";"SouthEast";"SouthWest";"North";"NorthEast";"East";"West";"NorthWest"},0),1,2,3,4,5,6,7,8)</f>
        <v>8</v>
      </c>
      <c r="AB1130" s="2">
        <f t="shared" si="176"/>
        <v>1</v>
      </c>
      <c r="AC1130">
        <v>1013</v>
      </c>
      <c r="AD1130" t="s">
        <v>1019</v>
      </c>
      <c r="AE1130" s="2">
        <f t="shared" si="177"/>
        <v>1</v>
      </c>
      <c r="AF1130" t="s">
        <v>1659</v>
      </c>
      <c r="AG1130" s="2">
        <f t="shared" si="178"/>
        <v>9</v>
      </c>
      <c r="AH1130" s="2">
        <f t="shared" si="179"/>
        <v>0</v>
      </c>
      <c r="AI1130" s="3">
        <v>285.00000000698492</v>
      </c>
      <c r="AJ1130" s="2">
        <v>0</v>
      </c>
      <c r="AK1130">
        <v>2.5</v>
      </c>
      <c r="AL1130">
        <v>0</v>
      </c>
      <c r="AM1130">
        <v>0</v>
      </c>
      <c r="AN1130" s="2">
        <f>IF((2*G1130+M1130-O1130+3*V1130+2*AB1130+2*AE1130+2*AH1130+3*AJ1130)&gt;=7,1,0)</f>
        <v>0</v>
      </c>
    </row>
    <row r="1131" spans="1:40" x14ac:dyDescent="0.25">
      <c r="A1131" t="s">
        <v>27</v>
      </c>
      <c r="B1131" s="1">
        <v>40441</v>
      </c>
      <c r="C1131" s="6">
        <f t="shared" si="170"/>
        <v>2010</v>
      </c>
      <c r="D1131">
        <v>82.4</v>
      </c>
      <c r="E1131">
        <v>62.6</v>
      </c>
      <c r="F1131">
        <v>73.900000000000006</v>
      </c>
      <c r="G1131" s="2">
        <f t="shared" si="171"/>
        <v>1</v>
      </c>
      <c r="H1131">
        <v>88.3</v>
      </c>
      <c r="I1131">
        <v>62.6</v>
      </c>
      <c r="J1131">
        <v>75.2</v>
      </c>
      <c r="K1131">
        <v>65.3</v>
      </c>
      <c r="L1131">
        <v>74.8</v>
      </c>
      <c r="M1131" s="2">
        <f t="shared" si="172"/>
        <v>0</v>
      </c>
      <c r="N1131">
        <v>0</v>
      </c>
      <c r="O1131" s="2">
        <f t="shared" si="173"/>
        <v>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 s="2">
        <f t="shared" si="174"/>
        <v>0</v>
      </c>
      <c r="W1131">
        <v>9.1999999999999993</v>
      </c>
      <c r="X1131" s="2">
        <f t="shared" si="175"/>
        <v>0</v>
      </c>
      <c r="Y1131">
        <v>169</v>
      </c>
      <c r="Z1131" s="2" t="str">
        <f>CHOOSE(MATCH(Y1131,{0;11;80;111;161;191;241;281;341},1),"North","NorthEast","East","SouthEast","South","SouthWest","West","NorthWest","North")</f>
        <v>South</v>
      </c>
      <c r="AA1131" s="4">
        <f>CHOOSE(MATCH(Z1131,{"South";"SouthEast";"SouthWest";"North";"NorthEast";"East";"West";"NorthWest"},0),1,2,3,4,5,6,7,8)</f>
        <v>1</v>
      </c>
      <c r="AB1131" s="2">
        <f t="shared" si="176"/>
        <v>0</v>
      </c>
      <c r="AC1131">
        <v>1009.3</v>
      </c>
      <c r="AD1131" t="s">
        <v>619</v>
      </c>
      <c r="AE1131" s="2">
        <f t="shared" si="177"/>
        <v>0</v>
      </c>
      <c r="AF1131" t="s">
        <v>1660</v>
      </c>
      <c r="AG1131" s="2">
        <f t="shared" si="178"/>
        <v>9</v>
      </c>
      <c r="AH1131" s="2">
        <f t="shared" si="179"/>
        <v>0</v>
      </c>
      <c r="AI1131" s="3">
        <v>1785.000000003492</v>
      </c>
      <c r="AJ1131" s="2">
        <v>1</v>
      </c>
      <c r="AK1131">
        <v>0</v>
      </c>
      <c r="AL1131">
        <v>5</v>
      </c>
      <c r="AM1131">
        <v>0</v>
      </c>
      <c r="AN1131" s="2">
        <f>IF((2*G1131+M1131-O1131+3*V1131+2*AB1131+2*AE1131+2*AH1131+3*AJ1131)&gt;=7,1,0)</f>
        <v>0</v>
      </c>
    </row>
    <row r="1132" spans="1:40" x14ac:dyDescent="0.25">
      <c r="A1132" t="s">
        <v>27</v>
      </c>
      <c r="B1132" s="1">
        <v>40441</v>
      </c>
      <c r="C1132" s="6">
        <f t="shared" si="170"/>
        <v>2010</v>
      </c>
      <c r="D1132">
        <v>82.4</v>
      </c>
      <c r="E1132">
        <v>62.6</v>
      </c>
      <c r="F1132">
        <v>73.900000000000006</v>
      </c>
      <c r="G1132" s="2">
        <f t="shared" si="171"/>
        <v>1</v>
      </c>
      <c r="H1132">
        <v>88.3</v>
      </c>
      <c r="I1132">
        <v>62.6</v>
      </c>
      <c r="J1132">
        <v>75.2</v>
      </c>
      <c r="K1132">
        <v>65.3</v>
      </c>
      <c r="L1132">
        <v>74.8</v>
      </c>
      <c r="M1132" s="2">
        <f t="shared" si="172"/>
        <v>0</v>
      </c>
      <c r="N1132">
        <v>0</v>
      </c>
      <c r="O1132" s="2">
        <f t="shared" si="173"/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 s="2">
        <f t="shared" si="174"/>
        <v>0</v>
      </c>
      <c r="W1132">
        <v>9.1999999999999993</v>
      </c>
      <c r="X1132" s="2">
        <f t="shared" si="175"/>
        <v>0</v>
      </c>
      <c r="Y1132">
        <v>169</v>
      </c>
      <c r="Z1132" s="2" t="str">
        <f>CHOOSE(MATCH(Y1132,{0;11;80;111;161;191;241;281;341},1),"North","NorthEast","East","SouthEast","South","SouthWest","West","NorthWest","North")</f>
        <v>South</v>
      </c>
      <c r="AA1132" s="4">
        <f>CHOOSE(MATCH(Z1132,{"South";"SouthEast";"SouthWest";"North";"NorthEast";"East";"West";"NorthWest"},0),1,2,3,4,5,6,7,8)</f>
        <v>1</v>
      </c>
      <c r="AB1132" s="2">
        <f t="shared" si="176"/>
        <v>0</v>
      </c>
      <c r="AC1132">
        <v>1009.3</v>
      </c>
      <c r="AD1132" t="s">
        <v>1328</v>
      </c>
      <c r="AE1132" s="2">
        <f t="shared" si="177"/>
        <v>0</v>
      </c>
      <c r="AF1132" t="s">
        <v>1661</v>
      </c>
      <c r="AG1132" s="2">
        <f t="shared" si="178"/>
        <v>9</v>
      </c>
      <c r="AH1132" s="2">
        <f t="shared" si="179"/>
        <v>0</v>
      </c>
      <c r="AI1132" s="3">
        <v>789.99999999767169</v>
      </c>
      <c r="AJ1132" s="2">
        <v>1</v>
      </c>
      <c r="AK1132">
        <v>0</v>
      </c>
      <c r="AL1132">
        <v>10</v>
      </c>
      <c r="AM1132">
        <v>0</v>
      </c>
      <c r="AN1132" s="2">
        <f>IF((2*G1132+M1132-O1132+3*V1132+2*AB1132+2*AE1132+2*AH1132+3*AJ1132)&gt;=7,1,0)</f>
        <v>0</v>
      </c>
    </row>
    <row r="1133" spans="1:40" x14ac:dyDescent="0.25">
      <c r="A1133" t="s">
        <v>27</v>
      </c>
      <c r="B1133" s="1">
        <v>40443</v>
      </c>
      <c r="C1133" s="6">
        <f t="shared" si="170"/>
        <v>2010</v>
      </c>
      <c r="D1133">
        <v>77</v>
      </c>
      <c r="E1133">
        <v>73.400000000000006</v>
      </c>
      <c r="F1133">
        <v>75.400000000000006</v>
      </c>
      <c r="G1133" s="2">
        <f t="shared" si="171"/>
        <v>1</v>
      </c>
      <c r="H1133">
        <v>77</v>
      </c>
      <c r="I1133">
        <v>73.400000000000006</v>
      </c>
      <c r="J1133">
        <v>75.400000000000006</v>
      </c>
      <c r="K1133">
        <v>64.099999999999994</v>
      </c>
      <c r="L1133">
        <v>68.5</v>
      </c>
      <c r="M1133" s="2">
        <f t="shared" si="172"/>
        <v>0</v>
      </c>
      <c r="N1133">
        <v>0</v>
      </c>
      <c r="O1133" s="2">
        <f t="shared" si="173"/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 s="2">
        <f t="shared" si="174"/>
        <v>0</v>
      </c>
      <c r="W1133">
        <v>21.9</v>
      </c>
      <c r="X1133" s="2">
        <f t="shared" si="175"/>
        <v>1</v>
      </c>
      <c r="Y1133">
        <v>319.2</v>
      </c>
      <c r="Z1133" s="2" t="str">
        <f>CHOOSE(MATCH(Y1133,{0;11;80;111;161;191;241;281;341},1),"North","NorthEast","East","SouthEast","South","SouthWest","West","NorthWest","North")</f>
        <v>NorthWest</v>
      </c>
      <c r="AA1133" s="4">
        <f>CHOOSE(MATCH(Z1133,{"South";"SouthEast";"SouthWest";"North";"NorthEast";"East";"West";"NorthWest"},0),1,2,3,4,5,6,7,8)</f>
        <v>8</v>
      </c>
      <c r="AB1133" s="2">
        <f t="shared" si="176"/>
        <v>1</v>
      </c>
      <c r="AC1133">
        <v>1014.3</v>
      </c>
      <c r="AD1133" t="s">
        <v>699</v>
      </c>
      <c r="AE1133" s="2">
        <f t="shared" si="177"/>
        <v>1</v>
      </c>
      <c r="AF1133" t="s">
        <v>1662</v>
      </c>
      <c r="AG1133" s="2">
        <f t="shared" si="178"/>
        <v>9</v>
      </c>
      <c r="AH1133" s="2">
        <f t="shared" si="179"/>
        <v>0</v>
      </c>
      <c r="AI1133" s="3">
        <v>239.99999999650751</v>
      </c>
      <c r="AJ1133" s="2">
        <v>0</v>
      </c>
      <c r="AK1133">
        <v>0</v>
      </c>
      <c r="AL1133">
        <v>3</v>
      </c>
      <c r="AM1133">
        <v>0</v>
      </c>
      <c r="AN1133" s="2">
        <f>IF((2*G1133+M1133-O1133+3*V1133+2*AB1133+2*AE1133+2*AH1133+3*AJ1133)&gt;=7,1,0)</f>
        <v>0</v>
      </c>
    </row>
    <row r="1134" spans="1:40" x14ac:dyDescent="0.25">
      <c r="A1134" t="s">
        <v>27</v>
      </c>
      <c r="B1134" s="1">
        <v>40445</v>
      </c>
      <c r="C1134" s="6">
        <f t="shared" si="170"/>
        <v>2010</v>
      </c>
      <c r="D1134">
        <v>77</v>
      </c>
      <c r="E1134">
        <v>64.400000000000006</v>
      </c>
      <c r="F1134">
        <v>71.900000000000006</v>
      </c>
      <c r="G1134" s="2">
        <f t="shared" si="171"/>
        <v>1</v>
      </c>
      <c r="H1134">
        <v>77</v>
      </c>
      <c r="I1134">
        <v>64.400000000000006</v>
      </c>
      <c r="J1134">
        <v>71.900000000000006</v>
      </c>
      <c r="K1134">
        <v>63.6</v>
      </c>
      <c r="L1134">
        <v>75.5</v>
      </c>
      <c r="M1134" s="2">
        <f t="shared" si="172"/>
        <v>0</v>
      </c>
      <c r="N1134">
        <v>0</v>
      </c>
      <c r="O1134" s="2">
        <f t="shared" si="173"/>
        <v>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 s="2">
        <f t="shared" si="174"/>
        <v>0</v>
      </c>
      <c r="W1134">
        <v>12.8</v>
      </c>
      <c r="X1134" s="2">
        <f t="shared" si="175"/>
        <v>0</v>
      </c>
      <c r="Y1134">
        <v>108.3</v>
      </c>
      <c r="Z1134" s="2" t="str">
        <f>CHOOSE(MATCH(Y1134,{0;11;80;111;161;191;241;281;341},1),"North","NorthEast","East","SouthEast","South","SouthWest","West","NorthWest","North")</f>
        <v>East</v>
      </c>
      <c r="AA1134" s="4">
        <f>CHOOSE(MATCH(Z1134,{"South";"SouthEast";"SouthWest";"North";"NorthEast";"East";"West";"NorthWest"},0),1,2,3,4,5,6,7,8)</f>
        <v>6</v>
      </c>
      <c r="AB1134" s="2">
        <f t="shared" si="176"/>
        <v>0</v>
      </c>
      <c r="AC1134">
        <v>1011.6</v>
      </c>
      <c r="AD1134" t="s">
        <v>823</v>
      </c>
      <c r="AE1134" s="2">
        <f t="shared" si="177"/>
        <v>0</v>
      </c>
      <c r="AF1134" t="s">
        <v>1663</v>
      </c>
      <c r="AG1134" s="2">
        <f t="shared" si="178"/>
        <v>9</v>
      </c>
      <c r="AH1134" s="2">
        <f t="shared" si="179"/>
        <v>0</v>
      </c>
      <c r="AI1134" s="3">
        <v>1564.9999999988361</v>
      </c>
      <c r="AJ1134" s="2">
        <v>1</v>
      </c>
      <c r="AK1134">
        <v>0</v>
      </c>
      <c r="AL1134">
        <v>100</v>
      </c>
      <c r="AM1134">
        <v>0</v>
      </c>
      <c r="AN1134" s="2">
        <f>IF((2*G1134+M1134-O1134+3*V1134+2*AB1134+2*AE1134+2*AH1134+3*AJ1134)&gt;=7,1,0)</f>
        <v>0</v>
      </c>
    </row>
    <row r="1135" spans="1:40" x14ac:dyDescent="0.25">
      <c r="A1135" t="s">
        <v>27</v>
      </c>
      <c r="B1135" s="1">
        <v>40445</v>
      </c>
      <c r="C1135" s="6">
        <f t="shared" si="170"/>
        <v>2010</v>
      </c>
      <c r="D1135">
        <v>77</v>
      </c>
      <c r="E1135">
        <v>64.400000000000006</v>
      </c>
      <c r="F1135">
        <v>71.900000000000006</v>
      </c>
      <c r="G1135" s="2">
        <f t="shared" si="171"/>
        <v>1</v>
      </c>
      <c r="H1135">
        <v>77</v>
      </c>
      <c r="I1135">
        <v>64.400000000000006</v>
      </c>
      <c r="J1135">
        <v>71.900000000000006</v>
      </c>
      <c r="K1135">
        <v>63.6</v>
      </c>
      <c r="L1135">
        <v>75.5</v>
      </c>
      <c r="M1135" s="2">
        <f t="shared" si="172"/>
        <v>0</v>
      </c>
      <c r="N1135">
        <v>0</v>
      </c>
      <c r="O1135" s="2">
        <f t="shared" si="173"/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 s="2">
        <f t="shared" si="174"/>
        <v>0</v>
      </c>
      <c r="W1135">
        <v>12.8</v>
      </c>
      <c r="X1135" s="2">
        <f t="shared" si="175"/>
        <v>0</v>
      </c>
      <c r="Y1135">
        <v>108.3</v>
      </c>
      <c r="Z1135" s="2" t="str">
        <f>CHOOSE(MATCH(Y1135,{0;11;80;111;161;191;241;281;341},1),"North","NorthEast","East","SouthEast","South","SouthWest","West","NorthWest","North")</f>
        <v>East</v>
      </c>
      <c r="AA1135" s="4">
        <f>CHOOSE(MATCH(Z1135,{"South";"SouthEast";"SouthWest";"North";"NorthEast";"East";"West";"NorthWest"},0),1,2,3,4,5,6,7,8)</f>
        <v>6</v>
      </c>
      <c r="AB1135" s="2">
        <f t="shared" si="176"/>
        <v>0</v>
      </c>
      <c r="AC1135">
        <v>1011.6</v>
      </c>
      <c r="AD1135" t="s">
        <v>586</v>
      </c>
      <c r="AE1135" s="2">
        <f t="shared" si="177"/>
        <v>0</v>
      </c>
      <c r="AF1135" t="s">
        <v>1664</v>
      </c>
      <c r="AG1135" s="2">
        <f t="shared" si="178"/>
        <v>9</v>
      </c>
      <c r="AH1135" s="2">
        <f t="shared" si="179"/>
        <v>0</v>
      </c>
      <c r="AI1135" s="3">
        <v>399.99999999417918</v>
      </c>
      <c r="AJ1135" s="2">
        <v>1</v>
      </c>
      <c r="AK1135">
        <v>0</v>
      </c>
      <c r="AL1135">
        <v>3</v>
      </c>
      <c r="AM1135">
        <v>0</v>
      </c>
      <c r="AN1135" s="2">
        <f>IF((2*G1135+M1135-O1135+3*V1135+2*AB1135+2*AE1135+2*AH1135+3*AJ1135)&gt;=7,1,0)</f>
        <v>0</v>
      </c>
    </row>
    <row r="1136" spans="1:40" x14ac:dyDescent="0.25">
      <c r="A1136" t="s">
        <v>27</v>
      </c>
      <c r="B1136" s="1">
        <v>40446</v>
      </c>
      <c r="C1136" s="6">
        <f t="shared" si="170"/>
        <v>2010</v>
      </c>
      <c r="D1136">
        <v>89.6</v>
      </c>
      <c r="E1136">
        <v>73.400000000000006</v>
      </c>
      <c r="F1136">
        <v>79.599999999999994</v>
      </c>
      <c r="G1136" s="2">
        <f t="shared" si="171"/>
        <v>1</v>
      </c>
      <c r="H1136">
        <v>93.5</v>
      </c>
      <c r="I1136">
        <v>73.400000000000006</v>
      </c>
      <c r="J1136">
        <v>81</v>
      </c>
      <c r="K1136">
        <v>66.3</v>
      </c>
      <c r="L1136">
        <v>64.900000000000006</v>
      </c>
      <c r="M1136" s="2">
        <f t="shared" si="172"/>
        <v>1</v>
      </c>
      <c r="N1136">
        <v>0</v>
      </c>
      <c r="O1136" s="2">
        <f t="shared" si="173"/>
        <v>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s="2">
        <f t="shared" si="174"/>
        <v>0</v>
      </c>
      <c r="W1136">
        <v>18.3</v>
      </c>
      <c r="X1136" s="2">
        <f t="shared" si="175"/>
        <v>1</v>
      </c>
      <c r="Y1136">
        <v>168.2</v>
      </c>
      <c r="Z1136" s="2" t="str">
        <f>CHOOSE(MATCH(Y1136,{0;11;80;111;161;191;241;281;341},1),"North","NorthEast","East","SouthEast","South","SouthWest","West","NorthWest","North")</f>
        <v>South</v>
      </c>
      <c r="AA1136" s="4">
        <f>CHOOSE(MATCH(Z1136,{"South";"SouthEast";"SouthWest";"North";"NorthEast";"East";"West";"NorthWest"},0),1,2,3,4,5,6,7,8)</f>
        <v>1</v>
      </c>
      <c r="AB1136" s="2">
        <f t="shared" si="176"/>
        <v>0</v>
      </c>
      <c r="AC1136">
        <v>1008</v>
      </c>
      <c r="AD1136" t="s">
        <v>821</v>
      </c>
      <c r="AE1136" s="2">
        <f t="shared" si="177"/>
        <v>1</v>
      </c>
      <c r="AF1136" t="s">
        <v>1665</v>
      </c>
      <c r="AG1136" s="2">
        <f t="shared" si="178"/>
        <v>9</v>
      </c>
      <c r="AH1136" s="2">
        <f t="shared" si="179"/>
        <v>0</v>
      </c>
      <c r="AI1136" s="3">
        <v>1230.0000000069849</v>
      </c>
      <c r="AJ1136" s="2">
        <v>1</v>
      </c>
      <c r="AK1136">
        <v>0</v>
      </c>
      <c r="AL1136">
        <v>10</v>
      </c>
      <c r="AM1136">
        <v>0</v>
      </c>
      <c r="AN1136" s="2">
        <f>IF((2*G1136+M1136-O1136+3*V1136+2*AB1136+2*AE1136+2*AH1136+3*AJ1136)&gt;=7,1,0)</f>
        <v>1</v>
      </c>
    </row>
    <row r="1137" spans="1:40" x14ac:dyDescent="0.25">
      <c r="A1137" t="s">
        <v>27</v>
      </c>
      <c r="B1137" s="1">
        <v>40446</v>
      </c>
      <c r="C1137" s="6">
        <f t="shared" si="170"/>
        <v>2010</v>
      </c>
      <c r="D1137">
        <v>89.6</v>
      </c>
      <c r="E1137">
        <v>73.400000000000006</v>
      </c>
      <c r="F1137">
        <v>79.599999999999994</v>
      </c>
      <c r="G1137" s="2">
        <f t="shared" si="171"/>
        <v>1</v>
      </c>
      <c r="H1137">
        <v>93.5</v>
      </c>
      <c r="I1137">
        <v>73.400000000000006</v>
      </c>
      <c r="J1137">
        <v>81</v>
      </c>
      <c r="K1137">
        <v>66.3</v>
      </c>
      <c r="L1137">
        <v>64.900000000000006</v>
      </c>
      <c r="M1137" s="2">
        <f t="shared" si="172"/>
        <v>1</v>
      </c>
      <c r="N1137">
        <v>0</v>
      </c>
      <c r="O1137" s="2">
        <f t="shared" si="173"/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 s="2">
        <f t="shared" si="174"/>
        <v>0</v>
      </c>
      <c r="W1137">
        <v>18.3</v>
      </c>
      <c r="X1137" s="2">
        <f t="shared" si="175"/>
        <v>1</v>
      </c>
      <c r="Y1137">
        <v>168.2</v>
      </c>
      <c r="Z1137" s="2" t="str">
        <f>CHOOSE(MATCH(Y1137,{0;11;80;111;161;191;241;281;341},1),"North","NorthEast","East","SouthEast","South","SouthWest","West","NorthWest","North")</f>
        <v>South</v>
      </c>
      <c r="AA1137" s="4">
        <f>CHOOSE(MATCH(Z1137,{"South";"SouthEast";"SouthWest";"North";"NorthEast";"East";"West";"NorthWest"},0),1,2,3,4,5,6,7,8)</f>
        <v>1</v>
      </c>
      <c r="AB1137" s="2">
        <f t="shared" si="176"/>
        <v>0</v>
      </c>
      <c r="AC1137">
        <v>1008</v>
      </c>
      <c r="AD1137" t="s">
        <v>92</v>
      </c>
      <c r="AE1137" s="2">
        <f t="shared" si="177"/>
        <v>1</v>
      </c>
      <c r="AF1137" t="s">
        <v>1666</v>
      </c>
      <c r="AG1137" s="2">
        <f t="shared" si="178"/>
        <v>9</v>
      </c>
      <c r="AH1137" s="2">
        <f t="shared" si="179"/>
        <v>0</v>
      </c>
      <c r="AI1137" s="3">
        <v>779.99999999650754</v>
      </c>
      <c r="AJ1137" s="2">
        <v>1</v>
      </c>
      <c r="AK1137">
        <v>0</v>
      </c>
      <c r="AL1137">
        <v>10</v>
      </c>
      <c r="AM1137">
        <v>0</v>
      </c>
      <c r="AN1137" s="2">
        <f>IF((2*G1137+M1137-O1137+3*V1137+2*AB1137+2*AE1137+2*AH1137+3*AJ1137)&gt;=7,1,0)</f>
        <v>1</v>
      </c>
    </row>
    <row r="1138" spans="1:40" x14ac:dyDescent="0.25">
      <c r="A1138" t="s">
        <v>27</v>
      </c>
      <c r="B1138" s="1">
        <v>40446</v>
      </c>
      <c r="C1138" s="6">
        <f t="shared" si="170"/>
        <v>2010</v>
      </c>
      <c r="D1138">
        <v>89.6</v>
      </c>
      <c r="E1138">
        <v>73.400000000000006</v>
      </c>
      <c r="F1138">
        <v>79.599999999999994</v>
      </c>
      <c r="G1138" s="2">
        <f t="shared" si="171"/>
        <v>1</v>
      </c>
      <c r="H1138">
        <v>93.5</v>
      </c>
      <c r="I1138">
        <v>73.400000000000006</v>
      </c>
      <c r="J1138">
        <v>81</v>
      </c>
      <c r="K1138">
        <v>66.3</v>
      </c>
      <c r="L1138">
        <v>64.900000000000006</v>
      </c>
      <c r="M1138" s="2">
        <f t="shared" si="172"/>
        <v>1</v>
      </c>
      <c r="N1138">
        <v>0</v>
      </c>
      <c r="O1138" s="2">
        <f t="shared" si="173"/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s="2">
        <f t="shared" si="174"/>
        <v>0</v>
      </c>
      <c r="W1138">
        <v>18.3</v>
      </c>
      <c r="X1138" s="2">
        <f t="shared" si="175"/>
        <v>1</v>
      </c>
      <c r="Y1138">
        <v>168.2</v>
      </c>
      <c r="Z1138" s="2" t="str">
        <f>CHOOSE(MATCH(Y1138,{0;11;80;111;161;191;241;281;341},1),"North","NorthEast","East","SouthEast","South","SouthWest","West","NorthWest","North")</f>
        <v>South</v>
      </c>
      <c r="AA1138" s="4">
        <f>CHOOSE(MATCH(Z1138,{"South";"SouthEast";"SouthWest";"North";"NorthEast";"East";"West";"NorthWest"},0),1,2,3,4,5,6,7,8)</f>
        <v>1</v>
      </c>
      <c r="AB1138" s="2">
        <f t="shared" si="176"/>
        <v>0</v>
      </c>
      <c r="AC1138">
        <v>1008</v>
      </c>
      <c r="AD1138" t="s">
        <v>311</v>
      </c>
      <c r="AE1138" s="2">
        <f t="shared" si="177"/>
        <v>1</v>
      </c>
      <c r="AF1138" t="s">
        <v>1667</v>
      </c>
      <c r="AG1138" s="2">
        <f t="shared" si="178"/>
        <v>9</v>
      </c>
      <c r="AH1138" s="2">
        <f t="shared" si="179"/>
        <v>0</v>
      </c>
      <c r="AI1138" s="3">
        <v>1540.0000000011639</v>
      </c>
      <c r="AJ1138" s="2">
        <v>1</v>
      </c>
      <c r="AK1138">
        <v>0</v>
      </c>
      <c r="AL1138">
        <v>25</v>
      </c>
      <c r="AM1138">
        <v>0</v>
      </c>
      <c r="AN1138" s="2">
        <f>IF((2*G1138+M1138-O1138+3*V1138+2*AB1138+2*AE1138+2*AH1138+3*AJ1138)&gt;=7,1,0)</f>
        <v>1</v>
      </c>
    </row>
    <row r="1139" spans="1:40" x14ac:dyDescent="0.25">
      <c r="A1139" t="s">
        <v>27</v>
      </c>
      <c r="B1139" s="1">
        <v>40447</v>
      </c>
      <c r="C1139" s="6">
        <f t="shared" si="170"/>
        <v>2010</v>
      </c>
      <c r="D1139">
        <v>86.3</v>
      </c>
      <c r="E1139">
        <v>77</v>
      </c>
      <c r="F1139">
        <v>80</v>
      </c>
      <c r="G1139" s="2">
        <f t="shared" si="171"/>
        <v>1</v>
      </c>
      <c r="H1139">
        <v>86.2</v>
      </c>
      <c r="I1139">
        <v>77</v>
      </c>
      <c r="J1139">
        <v>82</v>
      </c>
      <c r="K1139">
        <v>69.400000000000006</v>
      </c>
      <c r="L1139">
        <v>71.8</v>
      </c>
      <c r="M1139" s="2">
        <f t="shared" si="172"/>
        <v>0</v>
      </c>
      <c r="N1139">
        <v>0</v>
      </c>
      <c r="O1139" s="2">
        <f t="shared" si="173"/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 s="2">
        <f t="shared" si="174"/>
        <v>0</v>
      </c>
      <c r="W1139">
        <v>20.8</v>
      </c>
      <c r="X1139" s="2">
        <f t="shared" si="175"/>
        <v>1</v>
      </c>
      <c r="Y1139">
        <v>252.1</v>
      </c>
      <c r="Z1139" s="2" t="str">
        <f>CHOOSE(MATCH(Y1139,{0;11;80;111;161;191;241;281;341},1),"North","NorthEast","East","SouthEast","South","SouthWest","West","NorthWest","North")</f>
        <v>West</v>
      </c>
      <c r="AA1139" s="4">
        <f>CHOOSE(MATCH(Z1139,{"South";"SouthEast";"SouthWest";"North";"NorthEast";"East";"West";"NorthWest"},0),1,2,3,4,5,6,7,8)</f>
        <v>7</v>
      </c>
      <c r="AB1139" s="2">
        <f t="shared" si="176"/>
        <v>0</v>
      </c>
      <c r="AC1139">
        <v>1008.5</v>
      </c>
      <c r="AD1139" t="s">
        <v>566</v>
      </c>
      <c r="AE1139" s="2">
        <f t="shared" si="177"/>
        <v>1</v>
      </c>
      <c r="AF1139" t="s">
        <v>1668</v>
      </c>
      <c r="AG1139" s="2">
        <f t="shared" si="178"/>
        <v>9</v>
      </c>
      <c r="AH1139" s="2">
        <f t="shared" si="179"/>
        <v>0</v>
      </c>
      <c r="AI1139" s="3">
        <v>850.00000000465661</v>
      </c>
      <c r="AJ1139" s="2">
        <v>1</v>
      </c>
      <c r="AK1139">
        <v>0</v>
      </c>
      <c r="AL1139">
        <v>10</v>
      </c>
      <c r="AM1139">
        <v>0</v>
      </c>
      <c r="AN1139" s="2">
        <f>IF((2*G1139+M1139-O1139+3*V1139+2*AB1139+2*AE1139+2*AH1139+3*AJ1139)&gt;=7,1,0)</f>
        <v>0</v>
      </c>
    </row>
    <row r="1140" spans="1:40" x14ac:dyDescent="0.25">
      <c r="A1140" t="s">
        <v>27</v>
      </c>
      <c r="B1140" s="1">
        <v>40450</v>
      </c>
      <c r="C1140" s="6">
        <f t="shared" si="170"/>
        <v>2010</v>
      </c>
      <c r="D1140">
        <v>95</v>
      </c>
      <c r="E1140">
        <v>74.400000000000006</v>
      </c>
      <c r="F1140">
        <v>83.2</v>
      </c>
      <c r="G1140" s="2">
        <f t="shared" si="171"/>
        <v>1</v>
      </c>
      <c r="H1140">
        <v>95.3</v>
      </c>
      <c r="I1140">
        <v>74.400000000000006</v>
      </c>
      <c r="J1140">
        <v>84.1</v>
      </c>
      <c r="K1140">
        <v>61.8</v>
      </c>
      <c r="L1140">
        <v>51</v>
      </c>
      <c r="M1140" s="2">
        <f t="shared" si="172"/>
        <v>1</v>
      </c>
      <c r="N1140">
        <v>0</v>
      </c>
      <c r="O1140" s="2">
        <f t="shared" si="173"/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33.299999999999997</v>
      </c>
      <c r="V1140" s="2">
        <f t="shared" si="174"/>
        <v>1</v>
      </c>
      <c r="W1140">
        <v>21.9</v>
      </c>
      <c r="X1140" s="2">
        <f t="shared" si="175"/>
        <v>1</v>
      </c>
      <c r="Y1140">
        <v>178.1</v>
      </c>
      <c r="Z1140" s="2" t="str">
        <f>CHOOSE(MATCH(Y1140,{0;11;80;111;161;191;241;281;341},1),"North","NorthEast","East","SouthEast","South","SouthWest","West","NorthWest","North")</f>
        <v>South</v>
      </c>
      <c r="AA1140" s="4">
        <f>CHOOSE(MATCH(Z1140,{"South";"SouthEast";"SouthWest";"North";"NorthEast";"East";"West";"NorthWest"},0),1,2,3,4,5,6,7,8)</f>
        <v>1</v>
      </c>
      <c r="AB1140" s="2">
        <f t="shared" si="176"/>
        <v>0</v>
      </c>
      <c r="AC1140">
        <v>1009.8</v>
      </c>
      <c r="AD1140" t="s">
        <v>623</v>
      </c>
      <c r="AE1140" s="2">
        <f t="shared" si="177"/>
        <v>0</v>
      </c>
      <c r="AF1140" t="s">
        <v>1669</v>
      </c>
      <c r="AG1140" s="2">
        <f t="shared" si="178"/>
        <v>9</v>
      </c>
      <c r="AH1140" s="2">
        <f t="shared" si="179"/>
        <v>0</v>
      </c>
      <c r="AI1140" s="3">
        <v>149.99999999650751</v>
      </c>
      <c r="AJ1140" s="2">
        <v>0</v>
      </c>
      <c r="AK1140">
        <v>0</v>
      </c>
      <c r="AL1140">
        <v>1</v>
      </c>
      <c r="AM1140">
        <v>0</v>
      </c>
      <c r="AN1140" s="2">
        <f>IF((2*G1140+M1140-O1140+3*V1140+2*AB1140+2*AE1140+2*AH1140+3*AJ1140)&gt;=7,1,0)</f>
        <v>0</v>
      </c>
    </row>
    <row r="1141" spans="1:40" x14ac:dyDescent="0.25">
      <c r="A1141" t="s">
        <v>27</v>
      </c>
      <c r="B1141" s="1">
        <v>40450</v>
      </c>
      <c r="C1141" s="6">
        <f t="shared" si="170"/>
        <v>2010</v>
      </c>
      <c r="D1141">
        <v>95</v>
      </c>
      <c r="E1141">
        <v>74.400000000000006</v>
      </c>
      <c r="F1141">
        <v>83.2</v>
      </c>
      <c r="G1141" s="2">
        <f t="shared" si="171"/>
        <v>1</v>
      </c>
      <c r="H1141">
        <v>95.3</v>
      </c>
      <c r="I1141">
        <v>74.400000000000006</v>
      </c>
      <c r="J1141">
        <v>84.1</v>
      </c>
      <c r="K1141">
        <v>61.8</v>
      </c>
      <c r="L1141">
        <v>51</v>
      </c>
      <c r="M1141" s="2">
        <f t="shared" si="172"/>
        <v>1</v>
      </c>
      <c r="N1141">
        <v>0</v>
      </c>
      <c r="O1141" s="2">
        <f t="shared" si="173"/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33.299999999999997</v>
      </c>
      <c r="V1141" s="2">
        <f t="shared" si="174"/>
        <v>1</v>
      </c>
      <c r="W1141">
        <v>21.9</v>
      </c>
      <c r="X1141" s="2">
        <f t="shared" si="175"/>
        <v>1</v>
      </c>
      <c r="Y1141">
        <v>178.1</v>
      </c>
      <c r="Z1141" s="2" t="str">
        <f>CHOOSE(MATCH(Y1141,{0;11;80;111;161;191;241;281;341},1),"North","NorthEast","East","SouthEast","South","SouthWest","West","NorthWest","North")</f>
        <v>South</v>
      </c>
      <c r="AA1141" s="4">
        <f>CHOOSE(MATCH(Z1141,{"South";"SouthEast";"SouthWest";"North";"NorthEast";"East";"West";"NorthWest"},0),1,2,3,4,5,6,7,8)</f>
        <v>1</v>
      </c>
      <c r="AB1141" s="2">
        <f t="shared" si="176"/>
        <v>0</v>
      </c>
      <c r="AC1141">
        <v>1009.8</v>
      </c>
      <c r="AD1141" t="s">
        <v>1670</v>
      </c>
      <c r="AE1141" s="2">
        <f t="shared" si="177"/>
        <v>0</v>
      </c>
      <c r="AF1141" t="s">
        <v>1671</v>
      </c>
      <c r="AG1141" s="2">
        <f t="shared" si="178"/>
        <v>9</v>
      </c>
      <c r="AH1141" s="2">
        <f t="shared" si="179"/>
        <v>0</v>
      </c>
      <c r="AI1141" s="3">
        <v>159.99999999767169</v>
      </c>
      <c r="AJ1141" s="2">
        <v>0</v>
      </c>
      <c r="AK1141">
        <v>0</v>
      </c>
      <c r="AL1141">
        <v>20</v>
      </c>
      <c r="AM1141">
        <v>0</v>
      </c>
      <c r="AN1141" s="2">
        <f>IF((2*G1141+M1141-O1141+3*V1141+2*AB1141+2*AE1141+2*AH1141+3*AJ1141)&gt;=7,1,0)</f>
        <v>0</v>
      </c>
    </row>
    <row r="1142" spans="1:40" x14ac:dyDescent="0.25">
      <c r="A1142" t="s">
        <v>27</v>
      </c>
      <c r="B1142" s="1">
        <v>40450</v>
      </c>
      <c r="C1142" s="6">
        <f t="shared" si="170"/>
        <v>2010</v>
      </c>
      <c r="D1142">
        <v>95</v>
      </c>
      <c r="E1142">
        <v>74.400000000000006</v>
      </c>
      <c r="F1142">
        <v>83.2</v>
      </c>
      <c r="G1142" s="2">
        <f t="shared" si="171"/>
        <v>1</v>
      </c>
      <c r="H1142">
        <v>95.3</v>
      </c>
      <c r="I1142">
        <v>74.400000000000006</v>
      </c>
      <c r="J1142">
        <v>84.1</v>
      </c>
      <c r="K1142">
        <v>61.8</v>
      </c>
      <c r="L1142">
        <v>51</v>
      </c>
      <c r="M1142" s="2">
        <f t="shared" si="172"/>
        <v>1</v>
      </c>
      <c r="N1142">
        <v>0</v>
      </c>
      <c r="O1142" s="2">
        <f t="shared" si="173"/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33.299999999999997</v>
      </c>
      <c r="V1142" s="2">
        <f t="shared" si="174"/>
        <v>1</v>
      </c>
      <c r="W1142">
        <v>21.9</v>
      </c>
      <c r="X1142" s="2">
        <f t="shared" si="175"/>
        <v>1</v>
      </c>
      <c r="Y1142">
        <v>178.1</v>
      </c>
      <c r="Z1142" s="2" t="str">
        <f>CHOOSE(MATCH(Y1142,{0;11;80;111;161;191;241;281;341},1),"North","NorthEast","East","SouthEast","South","SouthWest","West","NorthWest","North")</f>
        <v>South</v>
      </c>
      <c r="AA1142" s="4">
        <f>CHOOSE(MATCH(Z1142,{"South";"SouthEast";"SouthWest";"North";"NorthEast";"East";"West";"NorthWest"},0),1,2,3,4,5,6,7,8)</f>
        <v>1</v>
      </c>
      <c r="AB1142" s="2">
        <f t="shared" si="176"/>
        <v>0</v>
      </c>
      <c r="AC1142">
        <v>1009.8</v>
      </c>
      <c r="AD1142" t="s">
        <v>1672</v>
      </c>
      <c r="AE1142" s="2">
        <f t="shared" si="177"/>
        <v>0</v>
      </c>
      <c r="AF1142" t="s">
        <v>1673</v>
      </c>
      <c r="AG1142" s="2">
        <f t="shared" si="178"/>
        <v>9</v>
      </c>
      <c r="AH1142" s="2">
        <f t="shared" si="179"/>
        <v>0</v>
      </c>
      <c r="AI1142" s="3">
        <v>139.99999999534339</v>
      </c>
      <c r="AJ1142" s="2">
        <v>0</v>
      </c>
      <c r="AK1142">
        <v>0</v>
      </c>
      <c r="AL1142">
        <v>10</v>
      </c>
      <c r="AM1142">
        <v>0</v>
      </c>
      <c r="AN1142" s="2">
        <f>IF((2*G1142+M1142-O1142+3*V1142+2*AB1142+2*AE1142+2*AH1142+3*AJ1142)&gt;=7,1,0)</f>
        <v>0</v>
      </c>
    </row>
    <row r="1143" spans="1:40" x14ac:dyDescent="0.25">
      <c r="A1143" t="s">
        <v>27</v>
      </c>
      <c r="B1143" s="1">
        <v>40450</v>
      </c>
      <c r="C1143" s="6">
        <f t="shared" si="170"/>
        <v>2010</v>
      </c>
      <c r="D1143">
        <v>95</v>
      </c>
      <c r="E1143">
        <v>74.400000000000006</v>
      </c>
      <c r="F1143">
        <v>83.2</v>
      </c>
      <c r="G1143" s="2">
        <f t="shared" si="171"/>
        <v>1</v>
      </c>
      <c r="H1143">
        <v>95.3</v>
      </c>
      <c r="I1143">
        <v>74.400000000000006</v>
      </c>
      <c r="J1143">
        <v>84.1</v>
      </c>
      <c r="K1143">
        <v>61.8</v>
      </c>
      <c r="L1143">
        <v>51</v>
      </c>
      <c r="M1143" s="2">
        <f t="shared" si="172"/>
        <v>1</v>
      </c>
      <c r="N1143">
        <v>0</v>
      </c>
      <c r="O1143" s="2">
        <f t="shared" si="173"/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33.299999999999997</v>
      </c>
      <c r="V1143" s="2">
        <f t="shared" si="174"/>
        <v>1</v>
      </c>
      <c r="W1143">
        <v>21.9</v>
      </c>
      <c r="X1143" s="2">
        <f t="shared" si="175"/>
        <v>1</v>
      </c>
      <c r="Y1143">
        <v>178.1</v>
      </c>
      <c r="Z1143" s="2" t="str">
        <f>CHOOSE(MATCH(Y1143,{0;11;80;111;161;191;241;281;341},1),"North","NorthEast","East","SouthEast","South","SouthWest","West","NorthWest","North")</f>
        <v>South</v>
      </c>
      <c r="AA1143" s="4">
        <f>CHOOSE(MATCH(Z1143,{"South";"SouthEast";"SouthWest";"North";"NorthEast";"East";"West";"NorthWest"},0),1,2,3,4,5,6,7,8)</f>
        <v>1</v>
      </c>
      <c r="AB1143" s="2">
        <f t="shared" si="176"/>
        <v>0</v>
      </c>
      <c r="AC1143">
        <v>1009.8</v>
      </c>
      <c r="AD1143" t="s">
        <v>1674</v>
      </c>
      <c r="AE1143" s="2">
        <f t="shared" si="177"/>
        <v>0</v>
      </c>
      <c r="AF1143" t="s">
        <v>1675</v>
      </c>
      <c r="AG1143" s="2">
        <f t="shared" si="178"/>
        <v>9</v>
      </c>
      <c r="AH1143" s="2">
        <f t="shared" si="179"/>
        <v>0</v>
      </c>
      <c r="AI1143" s="3">
        <v>4745.0000000023283</v>
      </c>
      <c r="AJ1143" s="2">
        <v>1</v>
      </c>
      <c r="AK1143">
        <v>0</v>
      </c>
      <c r="AL1143">
        <v>100</v>
      </c>
      <c r="AM1143">
        <v>0</v>
      </c>
      <c r="AN1143" s="2">
        <f>IF((2*G1143+M1143-O1143+3*V1143+2*AB1143+2*AE1143+2*AH1143+3*AJ1143)&gt;=7,1,0)</f>
        <v>1</v>
      </c>
    </row>
    <row r="1144" spans="1:40" x14ac:dyDescent="0.25">
      <c r="A1144" t="s">
        <v>27</v>
      </c>
      <c r="B1144" s="1">
        <v>40450</v>
      </c>
      <c r="C1144" s="6">
        <f t="shared" si="170"/>
        <v>2010</v>
      </c>
      <c r="D1144">
        <v>95</v>
      </c>
      <c r="E1144">
        <v>74.400000000000006</v>
      </c>
      <c r="F1144">
        <v>83.2</v>
      </c>
      <c r="G1144" s="2">
        <f t="shared" si="171"/>
        <v>1</v>
      </c>
      <c r="H1144">
        <v>95.3</v>
      </c>
      <c r="I1144">
        <v>74.400000000000006</v>
      </c>
      <c r="J1144">
        <v>84.1</v>
      </c>
      <c r="K1144">
        <v>61.8</v>
      </c>
      <c r="L1144">
        <v>51</v>
      </c>
      <c r="M1144" s="2">
        <f t="shared" si="172"/>
        <v>1</v>
      </c>
      <c r="N1144">
        <v>0</v>
      </c>
      <c r="O1144" s="2">
        <f t="shared" si="173"/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33.299999999999997</v>
      </c>
      <c r="V1144" s="2">
        <f t="shared" si="174"/>
        <v>1</v>
      </c>
      <c r="W1144">
        <v>21.9</v>
      </c>
      <c r="X1144" s="2">
        <f t="shared" si="175"/>
        <v>1</v>
      </c>
      <c r="Y1144">
        <v>178.1</v>
      </c>
      <c r="Z1144" s="2" t="str">
        <f>CHOOSE(MATCH(Y1144,{0;11;80;111;161;191;241;281;341},1),"North","NorthEast","East","SouthEast","South","SouthWest","West","NorthWest","North")</f>
        <v>South</v>
      </c>
      <c r="AA1144" s="4">
        <f>CHOOSE(MATCH(Z1144,{"South";"SouthEast";"SouthWest";"North";"NorthEast";"East";"West";"NorthWest"},0),1,2,3,4,5,6,7,8)</f>
        <v>1</v>
      </c>
      <c r="AB1144" s="2">
        <f t="shared" si="176"/>
        <v>0</v>
      </c>
      <c r="AC1144">
        <v>1009.8</v>
      </c>
      <c r="AD1144" t="s">
        <v>823</v>
      </c>
      <c r="AE1144" s="2">
        <f t="shared" si="177"/>
        <v>0</v>
      </c>
      <c r="AF1144" t="s">
        <v>1676</v>
      </c>
      <c r="AG1144" s="2">
        <f t="shared" si="178"/>
        <v>9</v>
      </c>
      <c r="AH1144" s="2">
        <f t="shared" si="179"/>
        <v>0</v>
      </c>
      <c r="AI1144" s="3">
        <v>419.99999999650748</v>
      </c>
      <c r="AJ1144" s="2">
        <v>1</v>
      </c>
      <c r="AK1144">
        <v>0</v>
      </c>
      <c r="AL1144">
        <v>2</v>
      </c>
      <c r="AM1144">
        <v>0</v>
      </c>
      <c r="AN1144" s="2">
        <f>IF((2*G1144+M1144-O1144+3*V1144+2*AB1144+2*AE1144+2*AH1144+3*AJ1144)&gt;=7,1,0)</f>
        <v>1</v>
      </c>
    </row>
    <row r="1145" spans="1:40" x14ac:dyDescent="0.25">
      <c r="A1145" t="s">
        <v>27</v>
      </c>
      <c r="B1145" s="1">
        <v>40450</v>
      </c>
      <c r="C1145" s="6">
        <f t="shared" si="170"/>
        <v>2010</v>
      </c>
      <c r="D1145">
        <v>95</v>
      </c>
      <c r="E1145">
        <v>74.400000000000006</v>
      </c>
      <c r="F1145">
        <v>83.2</v>
      </c>
      <c r="G1145" s="2">
        <f t="shared" si="171"/>
        <v>1</v>
      </c>
      <c r="H1145">
        <v>95.3</v>
      </c>
      <c r="I1145">
        <v>74.400000000000006</v>
      </c>
      <c r="J1145">
        <v>84.1</v>
      </c>
      <c r="K1145">
        <v>61.8</v>
      </c>
      <c r="L1145">
        <v>51</v>
      </c>
      <c r="M1145" s="2">
        <f t="shared" si="172"/>
        <v>1</v>
      </c>
      <c r="N1145">
        <v>0</v>
      </c>
      <c r="O1145" s="2">
        <f t="shared" si="173"/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33.299999999999997</v>
      </c>
      <c r="V1145" s="2">
        <f t="shared" si="174"/>
        <v>1</v>
      </c>
      <c r="W1145">
        <v>21.9</v>
      </c>
      <c r="X1145" s="2">
        <f t="shared" si="175"/>
        <v>1</v>
      </c>
      <c r="Y1145">
        <v>178.1</v>
      </c>
      <c r="Z1145" s="2" t="str">
        <f>CHOOSE(MATCH(Y1145,{0;11;80;111;161;191;241;281;341},1),"North","NorthEast","East","SouthEast","South","SouthWest","West","NorthWest","North")</f>
        <v>South</v>
      </c>
      <c r="AA1145" s="4">
        <f>CHOOSE(MATCH(Z1145,{"South";"SouthEast";"SouthWest";"North";"NorthEast";"East";"West";"NorthWest"},0),1,2,3,4,5,6,7,8)</f>
        <v>1</v>
      </c>
      <c r="AB1145" s="2">
        <f t="shared" si="176"/>
        <v>0</v>
      </c>
      <c r="AC1145">
        <v>1009.8</v>
      </c>
      <c r="AD1145" t="s">
        <v>37</v>
      </c>
      <c r="AE1145" s="2">
        <f t="shared" si="177"/>
        <v>1</v>
      </c>
      <c r="AF1145" t="s">
        <v>1677</v>
      </c>
      <c r="AG1145" s="2">
        <f t="shared" si="178"/>
        <v>9</v>
      </c>
      <c r="AH1145" s="2">
        <f t="shared" si="179"/>
        <v>0</v>
      </c>
      <c r="AI1145" s="3">
        <v>2463.000000002794</v>
      </c>
      <c r="AJ1145" s="2">
        <v>1</v>
      </c>
      <c r="AK1145">
        <v>0</v>
      </c>
      <c r="AL1145">
        <v>290</v>
      </c>
      <c r="AM1145">
        <v>0</v>
      </c>
      <c r="AN1145" s="2">
        <f>IF((2*G1145+M1145-O1145+3*V1145+2*AB1145+2*AE1145+2*AH1145+3*AJ1145)&gt;=7,1,0)</f>
        <v>1</v>
      </c>
    </row>
    <row r="1146" spans="1:40" x14ac:dyDescent="0.25">
      <c r="A1146" t="s">
        <v>27</v>
      </c>
      <c r="B1146" s="1">
        <v>40451</v>
      </c>
      <c r="C1146" s="6">
        <f t="shared" si="170"/>
        <v>2010</v>
      </c>
      <c r="D1146">
        <v>82.4</v>
      </c>
      <c r="E1146">
        <v>69.8</v>
      </c>
      <c r="F1146">
        <v>77.7</v>
      </c>
      <c r="G1146" s="2">
        <f t="shared" si="171"/>
        <v>1</v>
      </c>
      <c r="H1146">
        <v>84.7</v>
      </c>
      <c r="I1146">
        <v>69.8</v>
      </c>
      <c r="J1146">
        <v>78.2</v>
      </c>
      <c r="K1146">
        <v>66.900000000000006</v>
      </c>
      <c r="L1146">
        <v>70.2</v>
      </c>
      <c r="M1146" s="2">
        <f t="shared" si="172"/>
        <v>0</v>
      </c>
      <c r="N1146">
        <v>3.9E-2</v>
      </c>
      <c r="O1146" s="2">
        <f t="shared" si="173"/>
        <v>0</v>
      </c>
      <c r="P1146">
        <v>100</v>
      </c>
      <c r="Q1146">
        <v>4.17</v>
      </c>
      <c r="R1146" t="s">
        <v>182</v>
      </c>
      <c r="S1146">
        <v>0</v>
      </c>
      <c r="T1146">
        <v>0</v>
      </c>
      <c r="U1146">
        <v>0</v>
      </c>
      <c r="V1146" s="2">
        <f t="shared" si="174"/>
        <v>0</v>
      </c>
      <c r="W1146">
        <v>19.5</v>
      </c>
      <c r="X1146" s="2">
        <f t="shared" si="175"/>
        <v>1</v>
      </c>
      <c r="Y1146">
        <v>300</v>
      </c>
      <c r="Z1146" s="2" t="str">
        <f>CHOOSE(MATCH(Y1146,{0;11;80;111;161;191;241;281;341},1),"North","NorthEast","East","SouthEast","South","SouthWest","West","NorthWest","North")</f>
        <v>NorthWest</v>
      </c>
      <c r="AA1146" s="4">
        <f>CHOOSE(MATCH(Z1146,{"South";"SouthEast";"SouthWest";"North";"NorthEast";"East";"West";"NorthWest"},0),1,2,3,4,5,6,7,8)</f>
        <v>8</v>
      </c>
      <c r="AB1146" s="2">
        <f t="shared" si="176"/>
        <v>1</v>
      </c>
      <c r="AC1146">
        <v>1011.9</v>
      </c>
      <c r="AD1146" t="s">
        <v>814</v>
      </c>
      <c r="AE1146" s="2">
        <f t="shared" si="177"/>
        <v>1</v>
      </c>
      <c r="AF1146" t="s">
        <v>1678</v>
      </c>
      <c r="AG1146" s="2">
        <f t="shared" si="178"/>
        <v>9</v>
      </c>
      <c r="AH1146" s="2">
        <f t="shared" si="179"/>
        <v>0</v>
      </c>
      <c r="AI1146" s="3">
        <v>1365.9999999997669</v>
      </c>
      <c r="AJ1146" s="2">
        <v>1</v>
      </c>
      <c r="AK1146">
        <v>0</v>
      </c>
      <c r="AL1146">
        <v>2</v>
      </c>
      <c r="AM1146">
        <v>0</v>
      </c>
      <c r="AN1146" s="2">
        <f>IF((2*G1146+M1146-O1146+3*V1146+2*AB1146+2*AE1146+2*AH1146+3*AJ1146)&gt;=7,1,0)</f>
        <v>1</v>
      </c>
    </row>
    <row r="1147" spans="1:40" x14ac:dyDescent="0.25">
      <c r="A1147" t="s">
        <v>27</v>
      </c>
      <c r="B1147" s="1">
        <v>40452</v>
      </c>
      <c r="C1147" s="6">
        <f t="shared" si="170"/>
        <v>2010</v>
      </c>
      <c r="D1147">
        <v>78.8</v>
      </c>
      <c r="E1147">
        <v>66.2</v>
      </c>
      <c r="F1147">
        <v>73.2</v>
      </c>
      <c r="G1147" s="2">
        <f t="shared" si="171"/>
        <v>1</v>
      </c>
      <c r="H1147">
        <v>78.8</v>
      </c>
      <c r="I1147">
        <v>66.2</v>
      </c>
      <c r="J1147">
        <v>73.2</v>
      </c>
      <c r="K1147">
        <v>64.5</v>
      </c>
      <c r="L1147">
        <v>75</v>
      </c>
      <c r="M1147" s="2">
        <f t="shared" si="172"/>
        <v>0</v>
      </c>
      <c r="N1147">
        <v>0</v>
      </c>
      <c r="O1147" s="2">
        <f t="shared" si="173"/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 s="2">
        <f t="shared" si="174"/>
        <v>0</v>
      </c>
      <c r="W1147">
        <v>12.8</v>
      </c>
      <c r="X1147" s="2">
        <f t="shared" si="175"/>
        <v>0</v>
      </c>
      <c r="Y1147">
        <v>95.5</v>
      </c>
      <c r="Z1147" s="2" t="str">
        <f>CHOOSE(MATCH(Y1147,{0;11;80;111;161;191;241;281;341},1),"North","NorthEast","East","SouthEast","South","SouthWest","West","NorthWest","North")</f>
        <v>East</v>
      </c>
      <c r="AA1147" s="4">
        <f>CHOOSE(MATCH(Z1147,{"South";"SouthEast";"SouthWest";"North";"NorthEast";"East";"West";"NorthWest"},0),1,2,3,4,5,6,7,8)</f>
        <v>6</v>
      </c>
      <c r="AB1147" s="2">
        <f t="shared" si="176"/>
        <v>0</v>
      </c>
      <c r="AC1147">
        <v>1012.8</v>
      </c>
      <c r="AD1147" t="s">
        <v>241</v>
      </c>
      <c r="AE1147" s="2">
        <f t="shared" si="177"/>
        <v>1</v>
      </c>
      <c r="AF1147" t="s">
        <v>1679</v>
      </c>
      <c r="AG1147" s="2">
        <f t="shared" si="178"/>
        <v>10</v>
      </c>
      <c r="AH1147" s="2">
        <f t="shared" si="179"/>
        <v>0</v>
      </c>
      <c r="AI1147" s="3">
        <v>14.99999999650754</v>
      </c>
      <c r="AJ1147" s="2">
        <v>0</v>
      </c>
      <c r="AK1147">
        <v>0</v>
      </c>
      <c r="AL1147">
        <v>1</v>
      </c>
      <c r="AM1147">
        <v>0</v>
      </c>
      <c r="AN1147" s="2">
        <f>IF((2*G1147+M1147-O1147+3*V1147+2*AB1147+2*AE1147+2*AH1147+3*AJ1147)&gt;=7,1,0)</f>
        <v>0</v>
      </c>
    </row>
    <row r="1148" spans="1:40" x14ac:dyDescent="0.25">
      <c r="A1148" t="s">
        <v>27</v>
      </c>
      <c r="B1148" s="1">
        <v>40452</v>
      </c>
      <c r="C1148" s="6">
        <f t="shared" si="170"/>
        <v>2010</v>
      </c>
      <c r="D1148">
        <v>78.8</v>
      </c>
      <c r="E1148">
        <v>66.2</v>
      </c>
      <c r="F1148">
        <v>73.2</v>
      </c>
      <c r="G1148" s="2">
        <f t="shared" si="171"/>
        <v>1</v>
      </c>
      <c r="H1148">
        <v>78.8</v>
      </c>
      <c r="I1148">
        <v>66.2</v>
      </c>
      <c r="J1148">
        <v>73.2</v>
      </c>
      <c r="K1148">
        <v>64.5</v>
      </c>
      <c r="L1148">
        <v>75</v>
      </c>
      <c r="M1148" s="2">
        <f t="shared" si="172"/>
        <v>0</v>
      </c>
      <c r="N1148">
        <v>0</v>
      </c>
      <c r="O1148" s="2">
        <f t="shared" si="173"/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 s="2">
        <f t="shared" si="174"/>
        <v>0</v>
      </c>
      <c r="W1148">
        <v>12.8</v>
      </c>
      <c r="X1148" s="2">
        <f t="shared" si="175"/>
        <v>0</v>
      </c>
      <c r="Y1148">
        <v>95.5</v>
      </c>
      <c r="Z1148" s="2" t="str">
        <f>CHOOSE(MATCH(Y1148,{0;11;80;111;161;191;241;281;341},1),"North","NorthEast","East","SouthEast","South","SouthWest","West","NorthWest","North")</f>
        <v>East</v>
      </c>
      <c r="AA1148" s="4">
        <f>CHOOSE(MATCH(Z1148,{"South";"SouthEast";"SouthWest";"North";"NorthEast";"East";"West";"NorthWest"},0),1,2,3,4,5,6,7,8)</f>
        <v>6</v>
      </c>
      <c r="AB1148" s="2">
        <f t="shared" si="176"/>
        <v>0</v>
      </c>
      <c r="AC1148">
        <v>1012.8</v>
      </c>
      <c r="AD1148" t="s">
        <v>918</v>
      </c>
      <c r="AE1148" s="2">
        <f t="shared" si="177"/>
        <v>1</v>
      </c>
      <c r="AF1148" t="s">
        <v>1680</v>
      </c>
      <c r="AG1148" s="2">
        <f t="shared" si="178"/>
        <v>10</v>
      </c>
      <c r="AH1148" s="2">
        <f t="shared" si="179"/>
        <v>0</v>
      </c>
      <c r="AI1148" s="3">
        <v>918.99999999906868</v>
      </c>
      <c r="AJ1148" s="2">
        <v>1</v>
      </c>
      <c r="AK1148">
        <v>10</v>
      </c>
      <c r="AL1148">
        <v>0</v>
      </c>
      <c r="AM1148">
        <v>0</v>
      </c>
      <c r="AN1148" s="2">
        <f>IF((2*G1148+M1148-O1148+3*V1148+2*AB1148+2*AE1148+2*AH1148+3*AJ1148)&gt;=7,1,0)</f>
        <v>0</v>
      </c>
    </row>
    <row r="1149" spans="1:40" x14ac:dyDescent="0.25">
      <c r="A1149" t="s">
        <v>27</v>
      </c>
      <c r="B1149" s="1">
        <v>40453</v>
      </c>
      <c r="C1149" s="6">
        <f t="shared" si="170"/>
        <v>2010</v>
      </c>
      <c r="D1149">
        <v>78.8</v>
      </c>
      <c r="E1149">
        <v>66.2</v>
      </c>
      <c r="F1149">
        <v>72.7</v>
      </c>
      <c r="G1149" s="2">
        <f t="shared" si="171"/>
        <v>1</v>
      </c>
      <c r="H1149">
        <v>78.8</v>
      </c>
      <c r="I1149">
        <v>66.2</v>
      </c>
      <c r="J1149">
        <v>72.7</v>
      </c>
      <c r="K1149">
        <v>63.4</v>
      </c>
      <c r="L1149">
        <v>73.400000000000006</v>
      </c>
      <c r="M1149" s="2">
        <f t="shared" si="172"/>
        <v>0</v>
      </c>
      <c r="N1149">
        <v>0</v>
      </c>
      <c r="O1149" s="2">
        <f t="shared" si="173"/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s="2">
        <f t="shared" si="174"/>
        <v>0</v>
      </c>
      <c r="W1149">
        <v>10.3</v>
      </c>
      <c r="X1149" s="2">
        <f t="shared" si="175"/>
        <v>0</v>
      </c>
      <c r="Y1149">
        <v>51.2</v>
      </c>
      <c r="Z1149" s="2" t="str">
        <f>CHOOSE(MATCH(Y1149,{0;11;80;111;161;191;241;281;341},1),"North","NorthEast","East","SouthEast","South","SouthWest","West","NorthWest","North")</f>
        <v>NorthEast</v>
      </c>
      <c r="AA1149" s="4">
        <f>CHOOSE(MATCH(Z1149,{"South";"SouthEast";"SouthWest";"North";"NorthEast";"East";"West";"NorthWest"},0),1,2,3,4,5,6,7,8)</f>
        <v>5</v>
      </c>
      <c r="AB1149" s="2">
        <f t="shared" si="176"/>
        <v>1</v>
      </c>
      <c r="AC1149">
        <v>1013.7</v>
      </c>
      <c r="AD1149" t="s">
        <v>799</v>
      </c>
      <c r="AE1149" s="2">
        <f t="shared" si="177"/>
        <v>1</v>
      </c>
      <c r="AF1149" t="s">
        <v>1681</v>
      </c>
      <c r="AG1149" s="2">
        <f t="shared" si="178"/>
        <v>10</v>
      </c>
      <c r="AH1149" s="2">
        <f t="shared" si="179"/>
        <v>0</v>
      </c>
      <c r="AI1149" s="3">
        <v>1039.9999999953429</v>
      </c>
      <c r="AJ1149" s="2">
        <v>1</v>
      </c>
      <c r="AK1149">
        <v>0</v>
      </c>
      <c r="AL1149">
        <v>25</v>
      </c>
      <c r="AM1149">
        <v>0</v>
      </c>
      <c r="AN1149" s="2">
        <f>IF((2*G1149+M1149-O1149+3*V1149+2*AB1149+2*AE1149+2*AH1149+3*AJ1149)&gt;=7,1,0)</f>
        <v>1</v>
      </c>
    </row>
    <row r="1150" spans="1:40" x14ac:dyDescent="0.25">
      <c r="A1150" t="s">
        <v>27</v>
      </c>
      <c r="B1150" s="1">
        <v>40458</v>
      </c>
      <c r="C1150" s="6">
        <f t="shared" si="170"/>
        <v>2010</v>
      </c>
      <c r="D1150">
        <v>75.2</v>
      </c>
      <c r="E1150">
        <v>64.400000000000006</v>
      </c>
      <c r="F1150">
        <v>68.8</v>
      </c>
      <c r="G1150" s="2">
        <f t="shared" si="171"/>
        <v>0</v>
      </c>
      <c r="H1150">
        <v>75.2</v>
      </c>
      <c r="I1150">
        <v>64.400000000000006</v>
      </c>
      <c r="J1150">
        <v>68.8</v>
      </c>
      <c r="K1150">
        <v>64.099999999999994</v>
      </c>
      <c r="L1150">
        <v>85.4</v>
      </c>
      <c r="M1150" s="2">
        <f t="shared" si="172"/>
        <v>0</v>
      </c>
      <c r="N1150">
        <v>0.51100000000000001</v>
      </c>
      <c r="O1150" s="2">
        <f t="shared" si="173"/>
        <v>0</v>
      </c>
      <c r="P1150">
        <v>100</v>
      </c>
      <c r="Q1150">
        <v>8.33</v>
      </c>
      <c r="R1150" t="s">
        <v>182</v>
      </c>
      <c r="S1150">
        <v>0</v>
      </c>
      <c r="T1150">
        <v>0</v>
      </c>
      <c r="U1150">
        <v>0</v>
      </c>
      <c r="V1150" s="2">
        <f t="shared" si="174"/>
        <v>0</v>
      </c>
      <c r="W1150">
        <v>15</v>
      </c>
      <c r="X1150" s="2">
        <f t="shared" si="175"/>
        <v>0</v>
      </c>
      <c r="Y1150">
        <v>57.7</v>
      </c>
      <c r="Z1150" s="2" t="str">
        <f>CHOOSE(MATCH(Y1150,{0;11;80;111;161;191;241;281;341},1),"North","NorthEast","East","SouthEast","South","SouthWest","West","NorthWest","North")</f>
        <v>NorthEast</v>
      </c>
      <c r="AA1150" s="4">
        <f>CHOOSE(MATCH(Z1150,{"South";"SouthEast";"SouthWest";"North";"NorthEast";"East";"West";"NorthWest"},0),1,2,3,4,5,6,7,8)</f>
        <v>5</v>
      </c>
      <c r="AB1150" s="2">
        <f t="shared" si="176"/>
        <v>1</v>
      </c>
      <c r="AC1150">
        <v>1013.4</v>
      </c>
      <c r="AD1150" t="s">
        <v>899</v>
      </c>
      <c r="AE1150" s="2">
        <f t="shared" si="177"/>
        <v>0</v>
      </c>
      <c r="AF1150" t="s">
        <v>1682</v>
      </c>
      <c r="AG1150" s="2">
        <f t="shared" si="178"/>
        <v>10</v>
      </c>
      <c r="AH1150" s="2">
        <f t="shared" si="179"/>
        <v>0</v>
      </c>
      <c r="AI1150" s="3">
        <v>74.999999993015081</v>
      </c>
      <c r="AJ1150" s="2">
        <v>0</v>
      </c>
      <c r="AK1150">
        <v>0</v>
      </c>
      <c r="AL1150">
        <v>0.2</v>
      </c>
      <c r="AM1150">
        <v>0</v>
      </c>
      <c r="AN1150" s="2">
        <f>IF((2*G1150+M1150-O1150+3*V1150+2*AB1150+2*AE1150+2*AH1150+3*AJ1150)&gt;=7,1,0)</f>
        <v>0</v>
      </c>
    </row>
    <row r="1151" spans="1:40" x14ac:dyDescent="0.25">
      <c r="A1151" t="s">
        <v>27</v>
      </c>
      <c r="B1151" s="1">
        <v>40458</v>
      </c>
      <c r="C1151" s="6">
        <f t="shared" si="170"/>
        <v>2010</v>
      </c>
      <c r="D1151">
        <v>75.2</v>
      </c>
      <c r="E1151">
        <v>64.400000000000006</v>
      </c>
      <c r="F1151">
        <v>68.8</v>
      </c>
      <c r="G1151" s="2">
        <f t="shared" si="171"/>
        <v>0</v>
      </c>
      <c r="H1151">
        <v>75.2</v>
      </c>
      <c r="I1151">
        <v>64.400000000000006</v>
      </c>
      <c r="J1151">
        <v>68.8</v>
      </c>
      <c r="K1151">
        <v>64.099999999999994</v>
      </c>
      <c r="L1151">
        <v>85.4</v>
      </c>
      <c r="M1151" s="2">
        <f t="shared" si="172"/>
        <v>0</v>
      </c>
      <c r="N1151">
        <v>0.51100000000000001</v>
      </c>
      <c r="O1151" s="2">
        <f t="shared" si="173"/>
        <v>0</v>
      </c>
      <c r="P1151">
        <v>100</v>
      </c>
      <c r="Q1151">
        <v>8.33</v>
      </c>
      <c r="R1151" t="s">
        <v>182</v>
      </c>
      <c r="S1151">
        <v>0</v>
      </c>
      <c r="T1151">
        <v>0</v>
      </c>
      <c r="U1151">
        <v>0</v>
      </c>
      <c r="V1151" s="2">
        <f t="shared" si="174"/>
        <v>0</v>
      </c>
      <c r="W1151">
        <v>15</v>
      </c>
      <c r="X1151" s="2">
        <f t="shared" si="175"/>
        <v>0</v>
      </c>
      <c r="Y1151">
        <v>57.7</v>
      </c>
      <c r="Z1151" s="2" t="str">
        <f>CHOOSE(MATCH(Y1151,{0;11;80;111;161;191;241;281;341},1),"North","NorthEast","East","SouthEast","South","SouthWest","West","NorthWest","North")</f>
        <v>NorthEast</v>
      </c>
      <c r="AA1151" s="4">
        <f>CHOOSE(MATCH(Z1151,{"South";"SouthEast";"SouthWest";"North";"NorthEast";"East";"West";"NorthWest"},0),1,2,3,4,5,6,7,8)</f>
        <v>5</v>
      </c>
      <c r="AB1151" s="2">
        <f t="shared" si="176"/>
        <v>1</v>
      </c>
      <c r="AC1151">
        <v>1013.4</v>
      </c>
      <c r="AD1151" t="s">
        <v>1683</v>
      </c>
      <c r="AE1151" s="2">
        <f t="shared" si="177"/>
        <v>1</v>
      </c>
      <c r="AF1151" t="s">
        <v>1684</v>
      </c>
      <c r="AG1151" s="2">
        <f t="shared" si="178"/>
        <v>10</v>
      </c>
      <c r="AH1151" s="2">
        <f t="shared" si="179"/>
        <v>0</v>
      </c>
      <c r="AI1151" s="3">
        <v>222.99999999348071</v>
      </c>
      <c r="AJ1151" s="2">
        <v>0</v>
      </c>
      <c r="AK1151">
        <v>0</v>
      </c>
      <c r="AL1151">
        <v>1</v>
      </c>
      <c r="AM1151">
        <v>0</v>
      </c>
      <c r="AN1151" s="2">
        <f>IF((2*G1151+M1151-O1151+3*V1151+2*AB1151+2*AE1151+2*AH1151+3*AJ1151)&gt;=7,1,0)</f>
        <v>0</v>
      </c>
    </row>
    <row r="1152" spans="1:40" x14ac:dyDescent="0.25">
      <c r="A1152" t="s">
        <v>27</v>
      </c>
      <c r="B1152" s="1">
        <v>40460</v>
      </c>
      <c r="C1152" s="6">
        <f t="shared" si="170"/>
        <v>2010</v>
      </c>
      <c r="D1152">
        <v>66.2</v>
      </c>
      <c r="E1152">
        <v>59</v>
      </c>
      <c r="F1152">
        <v>63.7</v>
      </c>
      <c r="G1152" s="2">
        <f t="shared" si="171"/>
        <v>0</v>
      </c>
      <c r="H1152">
        <v>66.2</v>
      </c>
      <c r="I1152">
        <v>59</v>
      </c>
      <c r="J1152">
        <v>63.7</v>
      </c>
      <c r="K1152">
        <v>52.3</v>
      </c>
      <c r="L1152">
        <v>66.7</v>
      </c>
      <c r="M1152" s="2">
        <f t="shared" si="172"/>
        <v>0</v>
      </c>
      <c r="N1152">
        <v>0</v>
      </c>
      <c r="O1152" s="2">
        <f t="shared" si="173"/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 s="2">
        <f t="shared" si="174"/>
        <v>0</v>
      </c>
      <c r="W1152">
        <v>17.2</v>
      </c>
      <c r="X1152" s="2">
        <f t="shared" si="175"/>
        <v>1</v>
      </c>
      <c r="Y1152">
        <v>353.6</v>
      </c>
      <c r="Z1152" s="2" t="str">
        <f>CHOOSE(MATCH(Y1152,{0;11;80;111;161;191;241;281;341},1),"North","NorthEast","East","SouthEast","South","SouthWest","West","NorthWest","North")</f>
        <v>North</v>
      </c>
      <c r="AA1152" s="4">
        <f>CHOOSE(MATCH(Z1152,{"South";"SouthEast";"SouthWest";"North";"NorthEast";"East";"West";"NorthWest"},0),1,2,3,4,5,6,7,8)</f>
        <v>4</v>
      </c>
      <c r="AB1152" s="2">
        <f t="shared" si="176"/>
        <v>1</v>
      </c>
      <c r="AC1152">
        <v>1016.4</v>
      </c>
      <c r="AD1152" t="s">
        <v>1286</v>
      </c>
      <c r="AE1152" s="2">
        <f t="shared" si="177"/>
        <v>1</v>
      </c>
      <c r="AF1152" t="s">
        <v>1685</v>
      </c>
      <c r="AG1152" s="2">
        <f t="shared" si="178"/>
        <v>10</v>
      </c>
      <c r="AH1152" s="2">
        <f t="shared" si="179"/>
        <v>0</v>
      </c>
      <c r="AI1152" s="3">
        <v>204.99999999767169</v>
      </c>
      <c r="AJ1152" s="2">
        <v>0</v>
      </c>
      <c r="AK1152">
        <v>0</v>
      </c>
      <c r="AL1152">
        <v>1</v>
      </c>
      <c r="AM1152">
        <v>0</v>
      </c>
      <c r="AN1152" s="2">
        <f>IF((2*G1152+M1152-O1152+3*V1152+2*AB1152+2*AE1152+2*AH1152+3*AJ1152)&gt;=7,1,0)</f>
        <v>0</v>
      </c>
    </row>
    <row r="1153" spans="1:40" x14ac:dyDescent="0.25">
      <c r="A1153" t="s">
        <v>27</v>
      </c>
      <c r="B1153" s="1">
        <v>40461</v>
      </c>
      <c r="C1153" s="6">
        <f t="shared" si="170"/>
        <v>2010</v>
      </c>
      <c r="D1153">
        <v>69.8</v>
      </c>
      <c r="E1153">
        <v>53.6</v>
      </c>
      <c r="F1153">
        <v>63.7</v>
      </c>
      <c r="G1153" s="2">
        <f t="shared" si="171"/>
        <v>0</v>
      </c>
      <c r="H1153">
        <v>69.8</v>
      </c>
      <c r="I1153">
        <v>53.6</v>
      </c>
      <c r="J1153">
        <v>63.7</v>
      </c>
      <c r="K1153">
        <v>55</v>
      </c>
      <c r="L1153">
        <v>73.900000000000006</v>
      </c>
      <c r="M1153" s="2">
        <f t="shared" si="172"/>
        <v>0</v>
      </c>
      <c r="N1153">
        <v>0</v>
      </c>
      <c r="O1153" s="2">
        <f t="shared" si="173"/>
        <v>1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 s="2">
        <f t="shared" si="174"/>
        <v>0</v>
      </c>
      <c r="W1153">
        <v>80.5</v>
      </c>
      <c r="X1153" s="2">
        <f t="shared" si="175"/>
        <v>1</v>
      </c>
      <c r="Y1153">
        <v>75.3</v>
      </c>
      <c r="Z1153" s="2" t="str">
        <f>CHOOSE(MATCH(Y1153,{0;11;80;111;161;191;241;281;341},1),"North","NorthEast","East","SouthEast","South","SouthWest","West","NorthWest","North")</f>
        <v>NorthEast</v>
      </c>
      <c r="AA1153" s="4">
        <f>CHOOSE(MATCH(Z1153,{"South";"SouthEast";"SouthWest";"North";"NorthEast";"East";"West";"NorthWest"},0),1,2,3,4,5,6,7,8)</f>
        <v>5</v>
      </c>
      <c r="AB1153" s="2">
        <f t="shared" si="176"/>
        <v>1</v>
      </c>
      <c r="AC1153">
        <v>1012</v>
      </c>
      <c r="AD1153" t="s">
        <v>165</v>
      </c>
      <c r="AE1153" s="2">
        <f t="shared" si="177"/>
        <v>0</v>
      </c>
      <c r="AF1153" t="s">
        <v>1686</v>
      </c>
      <c r="AG1153" s="2">
        <f t="shared" si="178"/>
        <v>10</v>
      </c>
      <c r="AH1153" s="2">
        <f t="shared" si="179"/>
        <v>0</v>
      </c>
      <c r="AI1153" s="3">
        <v>460.00000000116421</v>
      </c>
      <c r="AJ1153" s="2">
        <v>1</v>
      </c>
      <c r="AK1153">
        <v>0</v>
      </c>
      <c r="AL1153">
        <v>3</v>
      </c>
      <c r="AM1153">
        <v>0</v>
      </c>
      <c r="AN1153" s="2">
        <f>IF((2*G1153+M1153-O1153+3*V1153+2*AB1153+2*AE1153+2*AH1153+3*AJ1153)&gt;=7,1,0)</f>
        <v>0</v>
      </c>
    </row>
    <row r="1154" spans="1:40" x14ac:dyDescent="0.25">
      <c r="A1154" t="s">
        <v>27</v>
      </c>
      <c r="B1154" s="1">
        <v>40462</v>
      </c>
      <c r="C1154" s="6">
        <f t="shared" si="170"/>
        <v>2010</v>
      </c>
      <c r="D1154">
        <v>77</v>
      </c>
      <c r="E1154">
        <v>62.6</v>
      </c>
      <c r="F1154">
        <v>70</v>
      </c>
      <c r="G1154" s="2">
        <f t="shared" si="171"/>
        <v>0</v>
      </c>
      <c r="H1154">
        <v>77</v>
      </c>
      <c r="I1154">
        <v>62.6</v>
      </c>
      <c r="J1154">
        <v>70</v>
      </c>
      <c r="K1154">
        <v>62.2</v>
      </c>
      <c r="L1154">
        <v>76.400000000000006</v>
      </c>
      <c r="M1154" s="2">
        <f t="shared" si="172"/>
        <v>0</v>
      </c>
      <c r="N1154">
        <v>0</v>
      </c>
      <c r="O1154" s="2">
        <f t="shared" si="173"/>
        <v>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 s="2">
        <f t="shared" si="174"/>
        <v>0</v>
      </c>
      <c r="W1154">
        <v>15</v>
      </c>
      <c r="X1154" s="2">
        <f t="shared" si="175"/>
        <v>0</v>
      </c>
      <c r="Y1154">
        <v>112.6</v>
      </c>
      <c r="Z1154" s="2" t="str">
        <f>CHOOSE(MATCH(Y1154,{0;11;80;111;161;191;241;281;341},1),"North","NorthEast","East","SouthEast","South","SouthWest","West","NorthWest","North")</f>
        <v>SouthEast</v>
      </c>
      <c r="AA1154" s="4">
        <f>CHOOSE(MATCH(Z1154,{"South";"SouthEast";"SouthWest";"North";"NorthEast";"East";"West";"NorthWest"},0),1,2,3,4,5,6,7,8)</f>
        <v>2</v>
      </c>
      <c r="AB1154" s="2">
        <f t="shared" si="176"/>
        <v>0</v>
      </c>
      <c r="AC1154">
        <v>1011.8</v>
      </c>
      <c r="AD1154" t="s">
        <v>1687</v>
      </c>
      <c r="AE1154" s="2">
        <f t="shared" si="177"/>
        <v>1</v>
      </c>
      <c r="AF1154" t="s">
        <v>1688</v>
      </c>
      <c r="AG1154" s="2">
        <f t="shared" si="178"/>
        <v>10</v>
      </c>
      <c r="AH1154" s="2">
        <f t="shared" si="179"/>
        <v>0</v>
      </c>
      <c r="AI1154" s="3">
        <v>328.00000000046572</v>
      </c>
      <c r="AJ1154" s="2">
        <v>0</v>
      </c>
      <c r="AK1154">
        <v>0</v>
      </c>
      <c r="AL1154">
        <v>5</v>
      </c>
      <c r="AM1154">
        <v>0</v>
      </c>
      <c r="AN1154" s="2">
        <f>IF((2*G1154+M1154-O1154+3*V1154+2*AB1154+2*AE1154+2*AH1154+3*AJ1154)&gt;=7,1,0)</f>
        <v>0</v>
      </c>
    </row>
    <row r="1155" spans="1:40" x14ac:dyDescent="0.25">
      <c r="A1155" t="s">
        <v>27</v>
      </c>
      <c r="B1155" s="1">
        <v>40462</v>
      </c>
      <c r="C1155" s="6">
        <f t="shared" ref="C1155:C1218" si="180">YEAR(B1155)</f>
        <v>2010</v>
      </c>
      <c r="D1155">
        <v>77</v>
      </c>
      <c r="E1155">
        <v>62.6</v>
      </c>
      <c r="F1155">
        <v>70</v>
      </c>
      <c r="G1155" s="2">
        <f t="shared" ref="G1155:G1218" si="181">IF(F1155&lt;=70,0,1)</f>
        <v>0</v>
      </c>
      <c r="H1155">
        <v>77</v>
      </c>
      <c r="I1155">
        <v>62.6</v>
      </c>
      <c r="J1155">
        <v>70</v>
      </c>
      <c r="K1155">
        <v>62.2</v>
      </c>
      <c r="L1155">
        <v>76.400000000000006</v>
      </c>
      <c r="M1155" s="2">
        <f t="shared" ref="M1155:M1218" si="182">IF(L1155&lt;=66,1,0)</f>
        <v>0</v>
      </c>
      <c r="N1155">
        <v>0</v>
      </c>
      <c r="O1155" s="2">
        <f t="shared" ref="O1155:O1218" si="183">IF(N1155&lt;=0.01,1,0)</f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 s="2">
        <f t="shared" ref="V1155:V1218" si="184">IF(U1155&lt;=9,0,1)</f>
        <v>0</v>
      </c>
      <c r="W1155">
        <v>15</v>
      </c>
      <c r="X1155" s="2">
        <f t="shared" ref="X1155:X1218" si="185">IF(W1155&gt;=16,1,0)</f>
        <v>0</v>
      </c>
      <c r="Y1155">
        <v>112.6</v>
      </c>
      <c r="Z1155" s="2" t="str">
        <f>CHOOSE(MATCH(Y1155,{0;11;80;111;161;191;241;281;341},1),"North","NorthEast","East","SouthEast","South","SouthWest","West","NorthWest","North")</f>
        <v>SouthEast</v>
      </c>
      <c r="AA1155" s="4">
        <f>CHOOSE(MATCH(Z1155,{"South";"SouthEast";"SouthWest";"North";"NorthEast";"East";"West";"NorthWest"},0),1,2,3,4,5,6,7,8)</f>
        <v>2</v>
      </c>
      <c r="AB1155" s="2">
        <f t="shared" ref="AB1155:AB1218" si="186">IF(OR(AA1155=4,AA1155=5,AA1155=8),1,0)</f>
        <v>0</v>
      </c>
      <c r="AC1155">
        <v>1011.8</v>
      </c>
      <c r="AD1155" t="s">
        <v>1280</v>
      </c>
      <c r="AE1155" s="2">
        <f t="shared" ref="AE1155:AE1218" si="187">IF(TIMEVALUE(AD1155)&lt;=TIME(12,30,0),0,1)</f>
        <v>1</v>
      </c>
      <c r="AF1155" t="s">
        <v>1689</v>
      </c>
      <c r="AG1155" s="2">
        <f t="shared" ref="AG1155:AG1218" si="188">MONTH(AF1155)</f>
        <v>10</v>
      </c>
      <c r="AH1155" s="2">
        <f t="shared" ref="AH1155:AH1218" si="189">IF(OR(AG1155=6,AG1155=7,AG1155=8),1,0)</f>
        <v>0</v>
      </c>
      <c r="AI1155" s="3">
        <v>265.00000000465661</v>
      </c>
      <c r="AJ1155" s="2">
        <v>0</v>
      </c>
      <c r="AK1155">
        <v>1</v>
      </c>
      <c r="AL1155">
        <v>0</v>
      </c>
      <c r="AM1155">
        <v>0</v>
      </c>
      <c r="AN1155" s="2">
        <f>IF((2*G1155+M1155-O1155+3*V1155+2*AB1155+2*AE1155+2*AH1155+3*AJ1155)&gt;=7,1,0)</f>
        <v>0</v>
      </c>
    </row>
    <row r="1156" spans="1:40" x14ac:dyDescent="0.25">
      <c r="A1156" t="s">
        <v>27</v>
      </c>
      <c r="B1156" s="1">
        <v>40463</v>
      </c>
      <c r="C1156" s="6">
        <f t="shared" si="180"/>
        <v>2010</v>
      </c>
      <c r="D1156">
        <v>87.8</v>
      </c>
      <c r="E1156">
        <v>69.8</v>
      </c>
      <c r="F1156">
        <v>79.7</v>
      </c>
      <c r="G1156" s="2">
        <f t="shared" si="181"/>
        <v>1</v>
      </c>
      <c r="H1156">
        <v>89.4</v>
      </c>
      <c r="I1156">
        <v>69.8</v>
      </c>
      <c r="J1156">
        <v>79.900000000000006</v>
      </c>
      <c r="K1156">
        <v>62.2</v>
      </c>
      <c r="L1156">
        <v>57.1</v>
      </c>
      <c r="M1156" s="2">
        <f t="shared" si="182"/>
        <v>1</v>
      </c>
      <c r="N1156">
        <v>0</v>
      </c>
      <c r="O1156" s="2">
        <f t="shared" si="183"/>
        <v>1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36.9</v>
      </c>
      <c r="V1156" s="2">
        <f t="shared" si="184"/>
        <v>1</v>
      </c>
      <c r="W1156">
        <v>27.5</v>
      </c>
      <c r="X1156" s="2">
        <f t="shared" si="185"/>
        <v>1</v>
      </c>
      <c r="Y1156">
        <v>176.2</v>
      </c>
      <c r="Z1156" s="2" t="str">
        <f>CHOOSE(MATCH(Y1156,{0;11;80;111;161;191;241;281;341},1),"North","NorthEast","East","SouthEast","South","SouthWest","West","NorthWest","North")</f>
        <v>South</v>
      </c>
      <c r="AA1156" s="4">
        <f>CHOOSE(MATCH(Z1156,{"South";"SouthEast";"SouthWest";"North";"NorthEast";"East";"West";"NorthWest"},0),1,2,3,4,5,6,7,8)</f>
        <v>1</v>
      </c>
      <c r="AB1156" s="2">
        <f t="shared" si="186"/>
        <v>0</v>
      </c>
      <c r="AC1156">
        <v>1010.8</v>
      </c>
      <c r="AD1156" t="s">
        <v>246</v>
      </c>
      <c r="AE1156" s="2">
        <f t="shared" si="187"/>
        <v>1</v>
      </c>
      <c r="AF1156" t="s">
        <v>1690</v>
      </c>
      <c r="AG1156" s="2">
        <f t="shared" si="188"/>
        <v>10</v>
      </c>
      <c r="AH1156" s="2">
        <f t="shared" si="189"/>
        <v>0</v>
      </c>
      <c r="AI1156" s="3">
        <v>85.000000004656613</v>
      </c>
      <c r="AJ1156" s="2">
        <v>0</v>
      </c>
      <c r="AK1156">
        <v>0</v>
      </c>
      <c r="AL1156">
        <v>0.5</v>
      </c>
      <c r="AM1156">
        <v>0</v>
      </c>
      <c r="AN1156" s="2">
        <f>IF((2*G1156+M1156-O1156+3*V1156+2*AB1156+2*AE1156+2*AH1156+3*AJ1156)&gt;=7,1,0)</f>
        <v>1</v>
      </c>
    </row>
    <row r="1157" spans="1:40" x14ac:dyDescent="0.25">
      <c r="A1157" t="s">
        <v>27</v>
      </c>
      <c r="B1157" s="1">
        <v>40463</v>
      </c>
      <c r="C1157" s="6">
        <f t="shared" si="180"/>
        <v>2010</v>
      </c>
      <c r="D1157">
        <v>87.8</v>
      </c>
      <c r="E1157">
        <v>69.8</v>
      </c>
      <c r="F1157">
        <v>79.7</v>
      </c>
      <c r="G1157" s="2">
        <f t="shared" si="181"/>
        <v>1</v>
      </c>
      <c r="H1157">
        <v>89.4</v>
      </c>
      <c r="I1157">
        <v>69.8</v>
      </c>
      <c r="J1157">
        <v>79.900000000000006</v>
      </c>
      <c r="K1157">
        <v>62.2</v>
      </c>
      <c r="L1157">
        <v>57.1</v>
      </c>
      <c r="M1157" s="2">
        <f t="shared" si="182"/>
        <v>1</v>
      </c>
      <c r="N1157">
        <v>0</v>
      </c>
      <c r="O1157" s="2">
        <f t="shared" si="183"/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36.9</v>
      </c>
      <c r="V1157" s="2">
        <f t="shared" si="184"/>
        <v>1</v>
      </c>
      <c r="W1157">
        <v>27.5</v>
      </c>
      <c r="X1157" s="2">
        <f t="shared" si="185"/>
        <v>1</v>
      </c>
      <c r="Y1157">
        <v>176.2</v>
      </c>
      <c r="Z1157" s="2" t="str">
        <f>CHOOSE(MATCH(Y1157,{0;11;80;111;161;191;241;281;341},1),"North","NorthEast","East","SouthEast","South","SouthWest","West","NorthWest","North")</f>
        <v>South</v>
      </c>
      <c r="AA1157" s="4">
        <f>CHOOSE(MATCH(Z1157,{"South";"SouthEast";"SouthWest";"North";"NorthEast";"East";"West";"NorthWest"},0),1,2,3,4,5,6,7,8)</f>
        <v>1</v>
      </c>
      <c r="AB1157" s="2">
        <f t="shared" si="186"/>
        <v>0</v>
      </c>
      <c r="AC1157">
        <v>1010.8</v>
      </c>
      <c r="AD1157" t="s">
        <v>371</v>
      </c>
      <c r="AE1157" s="2">
        <f t="shared" si="187"/>
        <v>1</v>
      </c>
      <c r="AF1157" t="s">
        <v>1691</v>
      </c>
      <c r="AG1157" s="2">
        <f t="shared" si="188"/>
        <v>10</v>
      </c>
      <c r="AH1157" s="2">
        <f t="shared" si="189"/>
        <v>0</v>
      </c>
      <c r="AI1157" s="3">
        <v>225</v>
      </c>
      <c r="AJ1157" s="2">
        <v>0</v>
      </c>
      <c r="AK1157">
        <v>0.1</v>
      </c>
      <c r="AL1157">
        <v>0</v>
      </c>
      <c r="AM1157">
        <v>0</v>
      </c>
      <c r="AN1157" s="2">
        <f>IF((2*G1157+M1157-O1157+3*V1157+2*AB1157+2*AE1157+2*AH1157+3*AJ1157)&gt;=7,1,0)</f>
        <v>1</v>
      </c>
    </row>
    <row r="1158" spans="1:40" x14ac:dyDescent="0.25">
      <c r="A1158" t="s">
        <v>27</v>
      </c>
      <c r="B1158" s="1">
        <v>40464</v>
      </c>
      <c r="C1158" s="6">
        <f t="shared" si="180"/>
        <v>2010</v>
      </c>
      <c r="D1158">
        <v>87.8</v>
      </c>
      <c r="E1158">
        <v>80.599999999999994</v>
      </c>
      <c r="F1158">
        <v>83.6</v>
      </c>
      <c r="G1158" s="2">
        <f t="shared" si="181"/>
        <v>1</v>
      </c>
      <c r="H1158">
        <v>90.6</v>
      </c>
      <c r="I1158">
        <v>81.900000000000006</v>
      </c>
      <c r="J1158">
        <v>86.1</v>
      </c>
      <c r="K1158">
        <v>66.099999999999994</v>
      </c>
      <c r="L1158">
        <v>56.4</v>
      </c>
      <c r="M1158" s="2">
        <f t="shared" si="182"/>
        <v>1</v>
      </c>
      <c r="N1158">
        <v>0</v>
      </c>
      <c r="O1158" s="2">
        <f t="shared" si="183"/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 s="2">
        <f t="shared" si="184"/>
        <v>0</v>
      </c>
      <c r="W1158">
        <v>20.8</v>
      </c>
      <c r="X1158" s="2">
        <f t="shared" si="185"/>
        <v>1</v>
      </c>
      <c r="Y1158">
        <v>174.9</v>
      </c>
      <c r="Z1158" s="2" t="str">
        <f>CHOOSE(MATCH(Y1158,{0;11;80;111;161;191;241;281;341},1),"North","NorthEast","East","SouthEast","South","SouthWest","West","NorthWest","North")</f>
        <v>South</v>
      </c>
      <c r="AA1158" s="4">
        <f>CHOOSE(MATCH(Z1158,{"South";"SouthEast";"SouthWest";"North";"NorthEast";"East";"West";"NorthWest"},0),1,2,3,4,5,6,7,8)</f>
        <v>1</v>
      </c>
      <c r="AB1158" s="2">
        <f t="shared" si="186"/>
        <v>0</v>
      </c>
      <c r="AC1158">
        <v>1010.2</v>
      </c>
      <c r="AD1158" t="s">
        <v>419</v>
      </c>
      <c r="AE1158" s="2">
        <f t="shared" si="187"/>
        <v>1</v>
      </c>
      <c r="AF1158" t="s">
        <v>1692</v>
      </c>
      <c r="AG1158" s="2">
        <f t="shared" si="188"/>
        <v>10</v>
      </c>
      <c r="AH1158" s="2">
        <f t="shared" si="189"/>
        <v>0</v>
      </c>
      <c r="AI1158" s="3">
        <v>1485</v>
      </c>
      <c r="AJ1158" s="2">
        <v>1</v>
      </c>
      <c r="AK1158">
        <v>100</v>
      </c>
      <c r="AL1158">
        <v>0</v>
      </c>
      <c r="AM1158">
        <v>0</v>
      </c>
      <c r="AN1158" s="2">
        <f>IF((2*G1158+M1158-O1158+3*V1158+2*AB1158+2*AE1158+2*AH1158+3*AJ1158)&gt;=7,1,0)</f>
        <v>1</v>
      </c>
    </row>
    <row r="1159" spans="1:40" x14ac:dyDescent="0.25">
      <c r="A1159" t="s">
        <v>27</v>
      </c>
      <c r="B1159" s="1">
        <v>40464</v>
      </c>
      <c r="C1159" s="6">
        <f t="shared" si="180"/>
        <v>2010</v>
      </c>
      <c r="D1159">
        <v>87.8</v>
      </c>
      <c r="E1159">
        <v>80.599999999999994</v>
      </c>
      <c r="F1159">
        <v>83.6</v>
      </c>
      <c r="G1159" s="2">
        <f t="shared" si="181"/>
        <v>1</v>
      </c>
      <c r="H1159">
        <v>90.6</v>
      </c>
      <c r="I1159">
        <v>81.900000000000006</v>
      </c>
      <c r="J1159">
        <v>86.1</v>
      </c>
      <c r="K1159">
        <v>66.099999999999994</v>
      </c>
      <c r="L1159">
        <v>56.4</v>
      </c>
      <c r="M1159" s="2">
        <f t="shared" si="182"/>
        <v>1</v>
      </c>
      <c r="N1159">
        <v>0</v>
      </c>
      <c r="O1159" s="2">
        <f t="shared" si="183"/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 s="2">
        <f t="shared" si="184"/>
        <v>0</v>
      </c>
      <c r="W1159">
        <v>20.8</v>
      </c>
      <c r="X1159" s="2">
        <f t="shared" si="185"/>
        <v>1</v>
      </c>
      <c r="Y1159">
        <v>174.9</v>
      </c>
      <c r="Z1159" s="2" t="str">
        <f>CHOOSE(MATCH(Y1159,{0;11;80;111;161;191;241;281;341},1),"North","NorthEast","East","SouthEast","South","SouthWest","West","NorthWest","North")</f>
        <v>South</v>
      </c>
      <c r="AA1159" s="4">
        <f>CHOOSE(MATCH(Z1159,{"South";"SouthEast";"SouthWest";"North";"NorthEast";"East";"West";"NorthWest"},0),1,2,3,4,5,6,7,8)</f>
        <v>1</v>
      </c>
      <c r="AB1159" s="2">
        <f t="shared" si="186"/>
        <v>0</v>
      </c>
      <c r="AC1159">
        <v>1010.2</v>
      </c>
      <c r="AD1159" t="s">
        <v>1693</v>
      </c>
      <c r="AE1159" s="2">
        <f t="shared" si="187"/>
        <v>1</v>
      </c>
      <c r="AF1159" t="s">
        <v>1694</v>
      </c>
      <c r="AG1159" s="2">
        <f t="shared" si="188"/>
        <v>10</v>
      </c>
      <c r="AH1159" s="2">
        <f t="shared" si="189"/>
        <v>0</v>
      </c>
      <c r="AI1159" s="3">
        <v>213.99999999557619</v>
      </c>
      <c r="AJ1159" s="2">
        <v>0</v>
      </c>
      <c r="AK1159">
        <v>1</v>
      </c>
      <c r="AL1159">
        <v>0</v>
      </c>
      <c r="AM1159">
        <v>0</v>
      </c>
      <c r="AN1159" s="2">
        <f>IF((2*G1159+M1159-O1159+3*V1159+2*AB1159+2*AE1159+2*AH1159+3*AJ1159)&gt;=7,1,0)</f>
        <v>0</v>
      </c>
    </row>
    <row r="1160" spans="1:40" x14ac:dyDescent="0.25">
      <c r="A1160" t="s">
        <v>27</v>
      </c>
      <c r="B1160" s="1">
        <v>40464</v>
      </c>
      <c r="C1160" s="6">
        <f t="shared" si="180"/>
        <v>2010</v>
      </c>
      <c r="D1160">
        <v>87.8</v>
      </c>
      <c r="E1160">
        <v>80.599999999999994</v>
      </c>
      <c r="F1160">
        <v>83.6</v>
      </c>
      <c r="G1160" s="2">
        <f t="shared" si="181"/>
        <v>1</v>
      </c>
      <c r="H1160">
        <v>90.6</v>
      </c>
      <c r="I1160">
        <v>81.900000000000006</v>
      </c>
      <c r="J1160">
        <v>86.1</v>
      </c>
      <c r="K1160">
        <v>66.099999999999994</v>
      </c>
      <c r="L1160">
        <v>56.4</v>
      </c>
      <c r="M1160" s="2">
        <f t="shared" si="182"/>
        <v>1</v>
      </c>
      <c r="N1160">
        <v>0</v>
      </c>
      <c r="O1160" s="2">
        <f t="shared" si="183"/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 s="2">
        <f t="shared" si="184"/>
        <v>0</v>
      </c>
      <c r="W1160">
        <v>20.8</v>
      </c>
      <c r="X1160" s="2">
        <f t="shared" si="185"/>
        <v>1</v>
      </c>
      <c r="Y1160">
        <v>174.9</v>
      </c>
      <c r="Z1160" s="2" t="str">
        <f>CHOOSE(MATCH(Y1160,{0;11;80;111;161;191;241;281;341},1),"North","NorthEast","East","SouthEast","South","SouthWest","West","NorthWest","North")</f>
        <v>South</v>
      </c>
      <c r="AA1160" s="4">
        <f>CHOOSE(MATCH(Z1160,{"South";"SouthEast";"SouthWest";"North";"NorthEast";"East";"West";"NorthWest"},0),1,2,3,4,5,6,7,8)</f>
        <v>1</v>
      </c>
      <c r="AB1160" s="2">
        <f t="shared" si="186"/>
        <v>0</v>
      </c>
      <c r="AC1160">
        <v>1010.2</v>
      </c>
      <c r="AD1160" t="s">
        <v>699</v>
      </c>
      <c r="AE1160" s="2">
        <f t="shared" si="187"/>
        <v>1</v>
      </c>
      <c r="AF1160" t="s">
        <v>1695</v>
      </c>
      <c r="AG1160" s="2">
        <f t="shared" si="188"/>
        <v>10</v>
      </c>
      <c r="AH1160" s="2">
        <f t="shared" si="189"/>
        <v>0</v>
      </c>
      <c r="AI1160" s="3">
        <v>624.99999999417923</v>
      </c>
      <c r="AJ1160" s="2">
        <v>1</v>
      </c>
      <c r="AK1160">
        <v>0</v>
      </c>
      <c r="AL1160">
        <v>5</v>
      </c>
      <c r="AM1160">
        <v>0</v>
      </c>
      <c r="AN1160" s="2">
        <f>IF((2*G1160+M1160-O1160+3*V1160+2*AB1160+2*AE1160+2*AH1160+3*AJ1160)&gt;=7,1,0)</f>
        <v>1</v>
      </c>
    </row>
    <row r="1161" spans="1:40" x14ac:dyDescent="0.25">
      <c r="A1161" t="s">
        <v>27</v>
      </c>
      <c r="B1161" s="1">
        <v>40465</v>
      </c>
      <c r="C1161" s="6">
        <f t="shared" si="180"/>
        <v>2010</v>
      </c>
      <c r="D1161">
        <v>89.6</v>
      </c>
      <c r="E1161">
        <v>73.400000000000006</v>
      </c>
      <c r="F1161">
        <v>82.5</v>
      </c>
      <c r="G1161" s="2">
        <f t="shared" si="181"/>
        <v>1</v>
      </c>
      <c r="H1161">
        <v>90.3</v>
      </c>
      <c r="I1161">
        <v>73.400000000000006</v>
      </c>
      <c r="J1161">
        <v>83.2</v>
      </c>
      <c r="K1161">
        <v>63.4</v>
      </c>
      <c r="L1161">
        <v>53.7</v>
      </c>
      <c r="M1161" s="2">
        <f t="shared" si="182"/>
        <v>1</v>
      </c>
      <c r="N1161">
        <v>0</v>
      </c>
      <c r="O1161" s="2">
        <f t="shared" si="183"/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34.4</v>
      </c>
      <c r="V1161" s="2">
        <f t="shared" si="184"/>
        <v>1</v>
      </c>
      <c r="W1161">
        <v>28.9</v>
      </c>
      <c r="X1161" s="2">
        <f t="shared" si="185"/>
        <v>1</v>
      </c>
      <c r="Y1161">
        <v>193.4</v>
      </c>
      <c r="Z1161" s="2" t="str">
        <f>CHOOSE(MATCH(Y1161,{0;11;80;111;161;191;241;281;341},1),"North","NorthEast","East","SouthEast","South","SouthWest","West","NorthWest","North")</f>
        <v>SouthWest</v>
      </c>
      <c r="AA1161" s="4">
        <f>CHOOSE(MATCH(Z1161,{"South";"SouthEast";"SouthWest";"North";"NorthEast";"East";"West";"NorthWest"},0),1,2,3,4,5,6,7,8)</f>
        <v>3</v>
      </c>
      <c r="AB1161" s="2">
        <f t="shared" si="186"/>
        <v>0</v>
      </c>
      <c r="AC1161">
        <v>1005.7</v>
      </c>
      <c r="AD1161" t="s">
        <v>251</v>
      </c>
      <c r="AE1161" s="2">
        <f t="shared" si="187"/>
        <v>1</v>
      </c>
      <c r="AF1161" t="s">
        <v>1696</v>
      </c>
      <c r="AG1161" s="2">
        <f t="shared" si="188"/>
        <v>10</v>
      </c>
      <c r="AH1161" s="2">
        <f t="shared" si="189"/>
        <v>0</v>
      </c>
      <c r="AI1161" s="3">
        <v>419.99999999650748</v>
      </c>
      <c r="AJ1161" s="2">
        <v>1</v>
      </c>
      <c r="AK1161">
        <v>0</v>
      </c>
      <c r="AL1161">
        <v>1</v>
      </c>
      <c r="AM1161">
        <v>0</v>
      </c>
      <c r="AN1161" s="2">
        <f>IF((2*G1161+M1161-O1161+3*V1161+2*AB1161+2*AE1161+2*AH1161+3*AJ1161)&gt;=7,1,0)</f>
        <v>1</v>
      </c>
    </row>
    <row r="1162" spans="1:40" x14ac:dyDescent="0.25">
      <c r="A1162" t="s">
        <v>27</v>
      </c>
      <c r="B1162" s="1">
        <v>40476</v>
      </c>
      <c r="C1162" s="6">
        <f t="shared" si="180"/>
        <v>2010</v>
      </c>
      <c r="D1162">
        <v>77</v>
      </c>
      <c r="E1162">
        <v>55.4</v>
      </c>
      <c r="F1162">
        <v>66.099999999999994</v>
      </c>
      <c r="G1162" s="2">
        <f t="shared" si="181"/>
        <v>0</v>
      </c>
      <c r="H1162">
        <v>77</v>
      </c>
      <c r="I1162">
        <v>55.4</v>
      </c>
      <c r="J1162">
        <v>66.099999999999994</v>
      </c>
      <c r="K1162">
        <v>55.1</v>
      </c>
      <c r="L1162">
        <v>69</v>
      </c>
      <c r="M1162" s="2">
        <f t="shared" si="182"/>
        <v>0</v>
      </c>
      <c r="N1162">
        <v>0</v>
      </c>
      <c r="O1162" s="2">
        <f t="shared" si="183"/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31.1</v>
      </c>
      <c r="V1162" s="2">
        <f t="shared" si="184"/>
        <v>1</v>
      </c>
      <c r="W1162">
        <v>24.2</v>
      </c>
      <c r="X1162" s="2">
        <f t="shared" si="185"/>
        <v>1</v>
      </c>
      <c r="Y1162">
        <v>163.69999999999999</v>
      </c>
      <c r="Z1162" s="2" t="str">
        <f>CHOOSE(MATCH(Y1162,{0;11;80;111;161;191;241;281;341},1),"North","NorthEast","East","SouthEast","South","SouthWest","West","NorthWest","North")</f>
        <v>South</v>
      </c>
      <c r="AA1162" s="4">
        <f>CHOOSE(MATCH(Z1162,{"South";"SouthEast";"SouthWest";"North";"NorthEast";"East";"West";"NorthWest"},0),1,2,3,4,5,6,7,8)</f>
        <v>1</v>
      </c>
      <c r="AB1162" s="2">
        <f t="shared" si="186"/>
        <v>0</v>
      </c>
      <c r="AC1162">
        <v>1015.2</v>
      </c>
      <c r="AD1162" t="s">
        <v>1372</v>
      </c>
      <c r="AE1162" s="2">
        <f t="shared" si="187"/>
        <v>1</v>
      </c>
      <c r="AF1162" t="s">
        <v>1697</v>
      </c>
      <c r="AG1162" s="2">
        <f t="shared" si="188"/>
        <v>10</v>
      </c>
      <c r="AH1162" s="2">
        <f t="shared" si="189"/>
        <v>0</v>
      </c>
      <c r="AI1162" s="3">
        <v>104.9999999965075</v>
      </c>
      <c r="AJ1162" s="2">
        <v>0</v>
      </c>
      <c r="AK1162">
        <v>0</v>
      </c>
      <c r="AL1162">
        <v>2</v>
      </c>
      <c r="AM1162">
        <v>0</v>
      </c>
      <c r="AN1162" s="2">
        <f>IF((2*G1162+M1162-O1162+3*V1162+2*AB1162+2*AE1162+2*AH1162+3*AJ1162)&gt;=7,1,0)</f>
        <v>0</v>
      </c>
    </row>
    <row r="1163" spans="1:40" x14ac:dyDescent="0.25">
      <c r="A1163" t="s">
        <v>27</v>
      </c>
      <c r="B1163" s="1">
        <v>40476</v>
      </c>
      <c r="C1163" s="6">
        <f t="shared" si="180"/>
        <v>2010</v>
      </c>
      <c r="D1163">
        <v>77</v>
      </c>
      <c r="E1163">
        <v>55.4</v>
      </c>
      <c r="F1163">
        <v>66.099999999999994</v>
      </c>
      <c r="G1163" s="2">
        <f t="shared" si="181"/>
        <v>0</v>
      </c>
      <c r="H1163">
        <v>77</v>
      </c>
      <c r="I1163">
        <v>55.4</v>
      </c>
      <c r="J1163">
        <v>66.099999999999994</v>
      </c>
      <c r="K1163">
        <v>55.1</v>
      </c>
      <c r="L1163">
        <v>69</v>
      </c>
      <c r="M1163" s="2">
        <f t="shared" si="182"/>
        <v>0</v>
      </c>
      <c r="N1163">
        <v>0</v>
      </c>
      <c r="O1163" s="2">
        <f t="shared" si="183"/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31.1</v>
      </c>
      <c r="V1163" s="2">
        <f t="shared" si="184"/>
        <v>1</v>
      </c>
      <c r="W1163">
        <v>24.2</v>
      </c>
      <c r="X1163" s="2">
        <f t="shared" si="185"/>
        <v>1</v>
      </c>
      <c r="Y1163">
        <v>163.69999999999999</v>
      </c>
      <c r="Z1163" s="2" t="str">
        <f>CHOOSE(MATCH(Y1163,{0;11;80;111;161;191;241;281;341},1),"North","NorthEast","East","SouthEast","South","SouthWest","West","NorthWest","North")</f>
        <v>South</v>
      </c>
      <c r="AA1163" s="4">
        <f>CHOOSE(MATCH(Z1163,{"South";"SouthEast";"SouthWest";"North";"NorthEast";"East";"West";"NorthWest"},0),1,2,3,4,5,6,7,8)</f>
        <v>1</v>
      </c>
      <c r="AB1163" s="2">
        <f t="shared" si="186"/>
        <v>0</v>
      </c>
      <c r="AC1163">
        <v>1015.2</v>
      </c>
      <c r="AD1163" t="s">
        <v>126</v>
      </c>
      <c r="AE1163" s="2">
        <f t="shared" si="187"/>
        <v>1</v>
      </c>
      <c r="AF1163" t="s">
        <v>1698</v>
      </c>
      <c r="AG1163" s="2">
        <f t="shared" si="188"/>
        <v>10</v>
      </c>
      <c r="AH1163" s="2">
        <f t="shared" si="189"/>
        <v>0</v>
      </c>
      <c r="AI1163" s="3">
        <v>540</v>
      </c>
      <c r="AJ1163" s="2">
        <v>1</v>
      </c>
      <c r="AK1163">
        <v>0</v>
      </c>
      <c r="AL1163">
        <v>10</v>
      </c>
      <c r="AM1163">
        <v>0</v>
      </c>
      <c r="AN1163" s="2">
        <f>IF((2*G1163+M1163-O1163+3*V1163+2*AB1163+2*AE1163+2*AH1163+3*AJ1163)&gt;=7,1,0)</f>
        <v>1</v>
      </c>
    </row>
    <row r="1164" spans="1:40" x14ac:dyDescent="0.25">
      <c r="A1164" t="s">
        <v>27</v>
      </c>
      <c r="B1164" s="1">
        <v>40480</v>
      </c>
      <c r="C1164" s="6">
        <f t="shared" si="180"/>
        <v>2010</v>
      </c>
      <c r="D1164">
        <v>62.6</v>
      </c>
      <c r="E1164">
        <v>59</v>
      </c>
      <c r="F1164">
        <v>60.9</v>
      </c>
      <c r="G1164" s="2">
        <f t="shared" si="181"/>
        <v>0</v>
      </c>
      <c r="H1164">
        <v>62.6</v>
      </c>
      <c r="I1164">
        <v>59</v>
      </c>
      <c r="J1164">
        <v>60.9</v>
      </c>
      <c r="K1164">
        <v>51.7</v>
      </c>
      <c r="L1164">
        <v>71.8</v>
      </c>
      <c r="M1164" s="2">
        <f t="shared" si="182"/>
        <v>0</v>
      </c>
      <c r="N1164">
        <v>0.11799999999999999</v>
      </c>
      <c r="O1164" s="2">
        <f t="shared" si="183"/>
        <v>0</v>
      </c>
      <c r="P1164">
        <v>100</v>
      </c>
      <c r="Q1164">
        <v>4.17</v>
      </c>
      <c r="R1164" t="s">
        <v>182</v>
      </c>
      <c r="S1164">
        <v>0</v>
      </c>
      <c r="T1164">
        <v>0</v>
      </c>
      <c r="U1164">
        <v>36.9</v>
      </c>
      <c r="V1164" s="2">
        <f t="shared" si="184"/>
        <v>1</v>
      </c>
      <c r="W1164">
        <v>26.4</v>
      </c>
      <c r="X1164" s="2">
        <f t="shared" si="185"/>
        <v>1</v>
      </c>
      <c r="Y1164">
        <v>341.5</v>
      </c>
      <c r="Z1164" s="2" t="str">
        <f>CHOOSE(MATCH(Y1164,{0;11;80;111;161;191;241;281;341},1),"North","NorthEast","East","SouthEast","South","SouthWest","West","NorthWest","North")</f>
        <v>North</v>
      </c>
      <c r="AA1164" s="4">
        <f>CHOOSE(MATCH(Z1164,{"South";"SouthEast";"SouthWest";"North";"NorthEast";"East";"West";"NorthWest"},0),1,2,3,4,5,6,7,8)</f>
        <v>4</v>
      </c>
      <c r="AB1164" s="2">
        <f t="shared" si="186"/>
        <v>1</v>
      </c>
      <c r="AC1164">
        <v>1015.2</v>
      </c>
      <c r="AD1164" t="s">
        <v>566</v>
      </c>
      <c r="AE1164" s="2">
        <f t="shared" si="187"/>
        <v>1</v>
      </c>
      <c r="AF1164" t="s">
        <v>1699</v>
      </c>
      <c r="AG1164" s="2">
        <f t="shared" si="188"/>
        <v>10</v>
      </c>
      <c r="AH1164" s="2">
        <f t="shared" si="189"/>
        <v>0</v>
      </c>
      <c r="AI1164" s="3">
        <v>120.0000000034925</v>
      </c>
      <c r="AJ1164" s="2">
        <v>0</v>
      </c>
      <c r="AK1164">
        <v>0</v>
      </c>
      <c r="AL1164">
        <v>0.1</v>
      </c>
      <c r="AM1164">
        <v>0</v>
      </c>
      <c r="AN1164" s="2">
        <f>IF((2*G1164+M1164-O1164+3*V1164+2*AB1164+2*AE1164+2*AH1164+3*AJ1164)&gt;=7,1,0)</f>
        <v>1</v>
      </c>
    </row>
    <row r="1165" spans="1:40" x14ac:dyDescent="0.25">
      <c r="A1165" t="s">
        <v>27</v>
      </c>
      <c r="B1165" s="1">
        <v>40486</v>
      </c>
      <c r="C1165" s="6">
        <f t="shared" si="180"/>
        <v>2010</v>
      </c>
      <c r="D1165">
        <v>68</v>
      </c>
      <c r="E1165">
        <v>57.2</v>
      </c>
      <c r="F1165">
        <v>62.8</v>
      </c>
      <c r="G1165" s="2">
        <f t="shared" si="181"/>
        <v>0</v>
      </c>
      <c r="H1165">
        <v>68</v>
      </c>
      <c r="I1165">
        <v>57.2</v>
      </c>
      <c r="J1165">
        <v>62.8</v>
      </c>
      <c r="K1165">
        <v>57.3</v>
      </c>
      <c r="L1165">
        <v>82.9</v>
      </c>
      <c r="M1165" s="2">
        <f t="shared" si="182"/>
        <v>0</v>
      </c>
      <c r="N1165">
        <v>0</v>
      </c>
      <c r="O1165" s="2">
        <f t="shared" si="183"/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 s="2">
        <f t="shared" si="184"/>
        <v>0</v>
      </c>
      <c r="W1165">
        <v>8.1</v>
      </c>
      <c r="X1165" s="2">
        <f t="shared" si="185"/>
        <v>0</v>
      </c>
      <c r="Y1165">
        <v>117.1</v>
      </c>
      <c r="Z1165" s="2" t="str">
        <f>CHOOSE(MATCH(Y1165,{0;11;80;111;161;191;241;281;341},1),"North","NorthEast","East","SouthEast","South","SouthWest","West","NorthWest","North")</f>
        <v>SouthEast</v>
      </c>
      <c r="AA1165" s="4">
        <f>CHOOSE(MATCH(Z1165,{"South";"SouthEast";"SouthWest";"North";"NorthEast";"East";"West";"NorthWest"},0),1,2,3,4,5,6,7,8)</f>
        <v>2</v>
      </c>
      <c r="AB1165" s="2">
        <f t="shared" si="186"/>
        <v>0</v>
      </c>
      <c r="AC1165">
        <v>1024.0999999999999</v>
      </c>
      <c r="AD1165" t="s">
        <v>395</v>
      </c>
      <c r="AE1165" s="2">
        <f t="shared" si="187"/>
        <v>1</v>
      </c>
      <c r="AF1165" t="s">
        <v>1700</v>
      </c>
      <c r="AG1165" s="2">
        <f t="shared" si="188"/>
        <v>11</v>
      </c>
      <c r="AH1165" s="2">
        <f t="shared" si="189"/>
        <v>0</v>
      </c>
      <c r="AI1165" s="3">
        <v>200.00000000232831</v>
      </c>
      <c r="AJ1165" s="2">
        <v>0</v>
      </c>
      <c r="AK1165">
        <v>0</v>
      </c>
      <c r="AL1165">
        <v>5</v>
      </c>
      <c r="AM1165">
        <v>0</v>
      </c>
      <c r="AN1165" s="2">
        <f>IF((2*G1165+M1165-O1165+3*V1165+2*AB1165+2*AE1165+2*AH1165+3*AJ1165)&gt;=7,1,0)</f>
        <v>0</v>
      </c>
    </row>
    <row r="1166" spans="1:40" x14ac:dyDescent="0.25">
      <c r="A1166" t="s">
        <v>27</v>
      </c>
      <c r="B1166" s="1">
        <v>40490</v>
      </c>
      <c r="C1166" s="6">
        <f t="shared" si="180"/>
        <v>2010</v>
      </c>
      <c r="D1166">
        <v>80.599999999999994</v>
      </c>
      <c r="E1166">
        <v>59</v>
      </c>
      <c r="F1166">
        <v>68.3</v>
      </c>
      <c r="G1166" s="2">
        <f t="shared" si="181"/>
        <v>0</v>
      </c>
      <c r="H1166">
        <v>80.3</v>
      </c>
      <c r="I1166">
        <v>59</v>
      </c>
      <c r="J1166">
        <v>68.3</v>
      </c>
      <c r="K1166">
        <v>56</v>
      </c>
      <c r="L1166">
        <v>67.2</v>
      </c>
      <c r="M1166" s="2">
        <f t="shared" si="182"/>
        <v>0</v>
      </c>
      <c r="N1166">
        <v>0</v>
      </c>
      <c r="O1166" s="2">
        <f t="shared" si="183"/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42.5</v>
      </c>
      <c r="V1166" s="2">
        <f t="shared" si="184"/>
        <v>1</v>
      </c>
      <c r="W1166">
        <v>31.1</v>
      </c>
      <c r="X1166" s="2">
        <f t="shared" si="185"/>
        <v>1</v>
      </c>
      <c r="Y1166">
        <v>170.1</v>
      </c>
      <c r="Z1166" s="2" t="str">
        <f>CHOOSE(MATCH(Y1166,{0;11;80;111;161;191;241;281;341},1),"North","NorthEast","East","SouthEast","South","SouthWest","West","NorthWest","North")</f>
        <v>South</v>
      </c>
      <c r="AA1166" s="4">
        <f>CHOOSE(MATCH(Z1166,{"South";"SouthEast";"SouthWest";"North";"NorthEast";"East";"West";"NorthWest"},0),1,2,3,4,5,6,7,8)</f>
        <v>1</v>
      </c>
      <c r="AB1166" s="2">
        <f t="shared" si="186"/>
        <v>0</v>
      </c>
      <c r="AC1166">
        <v>1010.9</v>
      </c>
      <c r="AD1166" t="s">
        <v>1701</v>
      </c>
      <c r="AE1166" s="2">
        <f t="shared" si="187"/>
        <v>1</v>
      </c>
      <c r="AF1166" t="s">
        <v>1702</v>
      </c>
      <c r="AG1166" s="2">
        <f t="shared" si="188"/>
        <v>11</v>
      </c>
      <c r="AH1166" s="2">
        <f t="shared" si="189"/>
        <v>0</v>
      </c>
      <c r="AI1166" s="3">
        <v>97.000000001862645</v>
      </c>
      <c r="AJ1166" s="2">
        <v>0</v>
      </c>
      <c r="AK1166">
        <v>0</v>
      </c>
      <c r="AL1166">
        <v>1.5</v>
      </c>
      <c r="AM1166">
        <v>0</v>
      </c>
      <c r="AN1166" s="2">
        <f>IF((2*G1166+M1166-O1166+3*V1166+2*AB1166+2*AE1166+2*AH1166+3*AJ1166)&gt;=7,1,0)</f>
        <v>0</v>
      </c>
    </row>
    <row r="1167" spans="1:40" x14ac:dyDescent="0.25">
      <c r="A1167" t="s">
        <v>27</v>
      </c>
      <c r="B1167" s="1">
        <v>40491</v>
      </c>
      <c r="C1167" s="6">
        <f t="shared" si="180"/>
        <v>2010</v>
      </c>
      <c r="D1167">
        <v>75.2</v>
      </c>
      <c r="E1167">
        <v>64.7</v>
      </c>
      <c r="F1167">
        <v>70.3</v>
      </c>
      <c r="G1167" s="2">
        <f t="shared" si="181"/>
        <v>1</v>
      </c>
      <c r="H1167">
        <v>75.2</v>
      </c>
      <c r="I1167">
        <v>64.7</v>
      </c>
      <c r="J1167">
        <v>70.3</v>
      </c>
      <c r="K1167">
        <v>57.1</v>
      </c>
      <c r="L1167">
        <v>64</v>
      </c>
      <c r="M1167" s="2">
        <f t="shared" si="182"/>
        <v>1</v>
      </c>
      <c r="N1167">
        <v>0</v>
      </c>
      <c r="O1167" s="2">
        <f t="shared" si="183"/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40.299999999999997</v>
      </c>
      <c r="V1167" s="2">
        <f t="shared" si="184"/>
        <v>1</v>
      </c>
      <c r="W1167">
        <v>28.9</v>
      </c>
      <c r="X1167" s="2">
        <f t="shared" si="185"/>
        <v>1</v>
      </c>
      <c r="Y1167">
        <v>176.5</v>
      </c>
      <c r="Z1167" s="2" t="str">
        <f>CHOOSE(MATCH(Y1167,{0;11;80;111;161;191;241;281;341},1),"North","NorthEast","East","SouthEast","South","SouthWest","West","NorthWest","North")</f>
        <v>South</v>
      </c>
      <c r="AA1167" s="4">
        <f>CHOOSE(MATCH(Z1167,{"South";"SouthEast";"SouthWest";"North";"NorthEast";"East";"West";"NorthWest"},0),1,2,3,4,5,6,7,8)</f>
        <v>1</v>
      </c>
      <c r="AB1167" s="2">
        <f t="shared" si="186"/>
        <v>0</v>
      </c>
      <c r="AC1167">
        <v>1010</v>
      </c>
      <c r="AD1167" t="s">
        <v>1703</v>
      </c>
      <c r="AE1167" s="2">
        <f t="shared" si="187"/>
        <v>0</v>
      </c>
      <c r="AF1167" t="s">
        <v>1704</v>
      </c>
      <c r="AG1167" s="2">
        <f t="shared" si="188"/>
        <v>11</v>
      </c>
      <c r="AH1167" s="2">
        <f t="shared" si="189"/>
        <v>0</v>
      </c>
      <c r="AI1167" s="3">
        <v>445.00000000465661</v>
      </c>
      <c r="AJ1167" s="2">
        <v>1</v>
      </c>
      <c r="AK1167">
        <v>0</v>
      </c>
      <c r="AL1167">
        <v>0.2</v>
      </c>
      <c r="AM1167">
        <v>0</v>
      </c>
      <c r="AN1167" s="2">
        <f>IF((2*G1167+M1167-O1167+3*V1167+2*AB1167+2*AE1167+2*AH1167+3*AJ1167)&gt;=7,1,0)</f>
        <v>1</v>
      </c>
    </row>
    <row r="1168" spans="1:40" x14ac:dyDescent="0.25">
      <c r="A1168" t="s">
        <v>27</v>
      </c>
      <c r="B1168" s="1">
        <v>40491</v>
      </c>
      <c r="C1168" s="6">
        <f t="shared" si="180"/>
        <v>2010</v>
      </c>
      <c r="D1168">
        <v>75.2</v>
      </c>
      <c r="E1168">
        <v>64.7</v>
      </c>
      <c r="F1168">
        <v>70.3</v>
      </c>
      <c r="G1168" s="2">
        <f t="shared" si="181"/>
        <v>1</v>
      </c>
      <c r="H1168">
        <v>75.2</v>
      </c>
      <c r="I1168">
        <v>64.7</v>
      </c>
      <c r="J1168">
        <v>70.3</v>
      </c>
      <c r="K1168">
        <v>57.1</v>
      </c>
      <c r="L1168">
        <v>64</v>
      </c>
      <c r="M1168" s="2">
        <f t="shared" si="182"/>
        <v>1</v>
      </c>
      <c r="N1168">
        <v>0</v>
      </c>
      <c r="O1168" s="2">
        <f t="shared" si="183"/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40.299999999999997</v>
      </c>
      <c r="V1168" s="2">
        <f t="shared" si="184"/>
        <v>1</v>
      </c>
      <c r="W1168">
        <v>28.9</v>
      </c>
      <c r="X1168" s="2">
        <f t="shared" si="185"/>
        <v>1</v>
      </c>
      <c r="Y1168">
        <v>176.5</v>
      </c>
      <c r="Z1168" s="2" t="str">
        <f>CHOOSE(MATCH(Y1168,{0;11;80;111;161;191;241;281;341},1),"North","NorthEast","East","SouthEast","South","SouthWest","West","NorthWest","North")</f>
        <v>South</v>
      </c>
      <c r="AA1168" s="4">
        <f>CHOOSE(MATCH(Z1168,{"South";"SouthEast";"SouthWest";"North";"NorthEast";"East";"West";"NorthWest"},0),1,2,3,4,5,6,7,8)</f>
        <v>1</v>
      </c>
      <c r="AB1168" s="2">
        <f t="shared" si="186"/>
        <v>0</v>
      </c>
      <c r="AC1168">
        <v>1010</v>
      </c>
      <c r="AD1168" t="s">
        <v>717</v>
      </c>
      <c r="AE1168" s="2">
        <f t="shared" si="187"/>
        <v>1</v>
      </c>
      <c r="AF1168" t="s">
        <v>1705</v>
      </c>
      <c r="AG1168" s="2">
        <f t="shared" si="188"/>
        <v>11</v>
      </c>
      <c r="AH1168" s="2">
        <f t="shared" si="189"/>
        <v>0</v>
      </c>
      <c r="AI1168" s="3">
        <v>200.00000000232831</v>
      </c>
      <c r="AJ1168" s="2">
        <v>0</v>
      </c>
      <c r="AK1168">
        <v>0</v>
      </c>
      <c r="AL1168">
        <v>1</v>
      </c>
      <c r="AM1168">
        <v>0</v>
      </c>
      <c r="AN1168" s="2">
        <f>IF((2*G1168+M1168-O1168+3*V1168+2*AB1168+2*AE1168+2*AH1168+3*AJ1168)&gt;=7,1,0)</f>
        <v>1</v>
      </c>
    </row>
    <row r="1169" spans="1:40" x14ac:dyDescent="0.25">
      <c r="A1169" t="s">
        <v>27</v>
      </c>
      <c r="B1169" s="1">
        <v>40491</v>
      </c>
      <c r="C1169" s="6">
        <f t="shared" si="180"/>
        <v>2010</v>
      </c>
      <c r="D1169">
        <v>75.2</v>
      </c>
      <c r="E1169">
        <v>64.7</v>
      </c>
      <c r="F1169">
        <v>70.3</v>
      </c>
      <c r="G1169" s="2">
        <f t="shared" si="181"/>
        <v>1</v>
      </c>
      <c r="H1169">
        <v>75.2</v>
      </c>
      <c r="I1169">
        <v>64.7</v>
      </c>
      <c r="J1169">
        <v>70.3</v>
      </c>
      <c r="K1169">
        <v>57.1</v>
      </c>
      <c r="L1169">
        <v>64</v>
      </c>
      <c r="M1169" s="2">
        <f t="shared" si="182"/>
        <v>1</v>
      </c>
      <c r="N1169">
        <v>0</v>
      </c>
      <c r="O1169" s="2">
        <f t="shared" si="183"/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40.299999999999997</v>
      </c>
      <c r="V1169" s="2">
        <f t="shared" si="184"/>
        <v>1</v>
      </c>
      <c r="W1169">
        <v>28.9</v>
      </c>
      <c r="X1169" s="2">
        <f t="shared" si="185"/>
        <v>1</v>
      </c>
      <c r="Y1169">
        <v>176.5</v>
      </c>
      <c r="Z1169" s="2" t="str">
        <f>CHOOSE(MATCH(Y1169,{0;11;80;111;161;191;241;281;341},1),"North","NorthEast","East","SouthEast","South","SouthWest","West","NorthWest","North")</f>
        <v>South</v>
      </c>
      <c r="AA1169" s="4">
        <f>CHOOSE(MATCH(Z1169,{"South";"SouthEast";"SouthWest";"North";"NorthEast";"East";"West";"NorthWest"},0),1,2,3,4,5,6,7,8)</f>
        <v>1</v>
      </c>
      <c r="AB1169" s="2">
        <f t="shared" si="186"/>
        <v>0</v>
      </c>
      <c r="AC1169">
        <v>1010</v>
      </c>
      <c r="AD1169" t="s">
        <v>1706</v>
      </c>
      <c r="AE1169" s="2">
        <f t="shared" si="187"/>
        <v>1</v>
      </c>
      <c r="AF1169" t="s">
        <v>1707</v>
      </c>
      <c r="AG1169" s="2">
        <f t="shared" si="188"/>
        <v>11</v>
      </c>
      <c r="AH1169" s="2">
        <f t="shared" si="189"/>
        <v>0</v>
      </c>
      <c r="AI1169" s="3">
        <v>169.99999999883579</v>
      </c>
      <c r="AJ1169" s="2">
        <v>0</v>
      </c>
      <c r="AK1169">
        <v>0</v>
      </c>
      <c r="AL1169">
        <v>1</v>
      </c>
      <c r="AM1169">
        <v>0</v>
      </c>
      <c r="AN1169" s="2">
        <f>IF((2*G1169+M1169-O1169+3*V1169+2*AB1169+2*AE1169+2*AH1169+3*AJ1169)&gt;=7,1,0)</f>
        <v>1</v>
      </c>
    </row>
    <row r="1170" spans="1:40" x14ac:dyDescent="0.25">
      <c r="A1170" t="s">
        <v>27</v>
      </c>
      <c r="B1170" s="1">
        <v>40492</v>
      </c>
      <c r="C1170" s="6">
        <f t="shared" si="180"/>
        <v>2010</v>
      </c>
      <c r="D1170">
        <v>82.4</v>
      </c>
      <c r="E1170">
        <v>66.2</v>
      </c>
      <c r="F1170">
        <v>73.2</v>
      </c>
      <c r="G1170" s="2">
        <f t="shared" si="181"/>
        <v>1</v>
      </c>
      <c r="H1170">
        <v>81.5</v>
      </c>
      <c r="I1170">
        <v>66.2</v>
      </c>
      <c r="J1170">
        <v>73.099999999999994</v>
      </c>
      <c r="K1170">
        <v>57.1</v>
      </c>
      <c r="L1170">
        <v>58.9</v>
      </c>
      <c r="M1170" s="2">
        <f t="shared" si="182"/>
        <v>1</v>
      </c>
      <c r="N1170">
        <v>0</v>
      </c>
      <c r="O1170" s="2">
        <f t="shared" si="183"/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 s="2">
        <f t="shared" si="184"/>
        <v>0</v>
      </c>
      <c r="W1170">
        <v>20.8</v>
      </c>
      <c r="X1170" s="2">
        <f t="shared" si="185"/>
        <v>1</v>
      </c>
      <c r="Y1170">
        <v>175.8</v>
      </c>
      <c r="Z1170" s="2" t="str">
        <f>CHOOSE(MATCH(Y1170,{0;11;80;111;161;191;241;281;341},1),"North","NorthEast","East","SouthEast","South","SouthWest","West","NorthWest","North")</f>
        <v>South</v>
      </c>
      <c r="AA1170" s="4">
        <f>CHOOSE(MATCH(Z1170,{"South";"SouthEast";"SouthWest";"North";"NorthEast";"East";"West";"NorthWest"},0),1,2,3,4,5,6,7,8)</f>
        <v>1</v>
      </c>
      <c r="AB1170" s="2">
        <f t="shared" si="186"/>
        <v>0</v>
      </c>
      <c r="AC1170">
        <v>1014.1</v>
      </c>
      <c r="AD1170" t="s">
        <v>410</v>
      </c>
      <c r="AE1170" s="2">
        <f t="shared" si="187"/>
        <v>1</v>
      </c>
      <c r="AF1170" t="s">
        <v>1708</v>
      </c>
      <c r="AG1170" s="2">
        <f t="shared" si="188"/>
        <v>11</v>
      </c>
      <c r="AH1170" s="2">
        <f t="shared" si="189"/>
        <v>0</v>
      </c>
      <c r="AI1170" s="3">
        <v>91.000000003259629</v>
      </c>
      <c r="AJ1170" s="2">
        <v>0</v>
      </c>
      <c r="AK1170">
        <v>0</v>
      </c>
      <c r="AL1170">
        <v>0.3</v>
      </c>
      <c r="AM1170">
        <v>0</v>
      </c>
      <c r="AN1170" s="2">
        <f>IF((2*G1170+M1170-O1170+3*V1170+2*AB1170+2*AE1170+2*AH1170+3*AJ1170)&gt;=7,1,0)</f>
        <v>0</v>
      </c>
    </row>
    <row r="1171" spans="1:40" x14ac:dyDescent="0.25">
      <c r="A1171" t="s">
        <v>27</v>
      </c>
      <c r="B1171" s="1">
        <v>40492</v>
      </c>
      <c r="C1171" s="6">
        <f t="shared" si="180"/>
        <v>2010</v>
      </c>
      <c r="D1171">
        <v>82.4</v>
      </c>
      <c r="E1171">
        <v>66.2</v>
      </c>
      <c r="F1171">
        <v>73.2</v>
      </c>
      <c r="G1171" s="2">
        <f t="shared" si="181"/>
        <v>1</v>
      </c>
      <c r="H1171">
        <v>81.5</v>
      </c>
      <c r="I1171">
        <v>66.2</v>
      </c>
      <c r="J1171">
        <v>73.099999999999994</v>
      </c>
      <c r="K1171">
        <v>57.1</v>
      </c>
      <c r="L1171">
        <v>58.9</v>
      </c>
      <c r="M1171" s="2">
        <f t="shared" si="182"/>
        <v>1</v>
      </c>
      <c r="N1171">
        <v>0</v>
      </c>
      <c r="O1171" s="2">
        <f t="shared" si="183"/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 s="2">
        <f t="shared" si="184"/>
        <v>0</v>
      </c>
      <c r="W1171">
        <v>20.8</v>
      </c>
      <c r="X1171" s="2">
        <f t="shared" si="185"/>
        <v>1</v>
      </c>
      <c r="Y1171">
        <v>175.8</v>
      </c>
      <c r="Z1171" s="2" t="str">
        <f>CHOOSE(MATCH(Y1171,{0;11;80;111;161;191;241;281;341},1),"North","NorthEast","East","SouthEast","South","SouthWest","West","NorthWest","North")</f>
        <v>South</v>
      </c>
      <c r="AA1171" s="4">
        <f>CHOOSE(MATCH(Z1171,{"South";"SouthEast";"SouthWest";"North";"NorthEast";"East";"West";"NorthWest"},0),1,2,3,4,5,6,7,8)</f>
        <v>1</v>
      </c>
      <c r="AB1171" s="2">
        <f t="shared" si="186"/>
        <v>0</v>
      </c>
      <c r="AC1171">
        <v>1014.1</v>
      </c>
      <c r="AD1171" t="s">
        <v>241</v>
      </c>
      <c r="AE1171" s="2">
        <f t="shared" si="187"/>
        <v>1</v>
      </c>
      <c r="AF1171" t="s">
        <v>1709</v>
      </c>
      <c r="AG1171" s="2">
        <f t="shared" si="188"/>
        <v>11</v>
      </c>
      <c r="AH1171" s="2">
        <f t="shared" si="189"/>
        <v>0</v>
      </c>
      <c r="AI1171" s="3">
        <v>164.99999999301511</v>
      </c>
      <c r="AJ1171" s="2">
        <v>0</v>
      </c>
      <c r="AK1171">
        <v>0</v>
      </c>
      <c r="AL1171">
        <v>1</v>
      </c>
      <c r="AM1171">
        <v>0</v>
      </c>
      <c r="AN1171" s="2">
        <f>IF((2*G1171+M1171-O1171+3*V1171+2*AB1171+2*AE1171+2*AH1171+3*AJ1171)&gt;=7,1,0)</f>
        <v>0</v>
      </c>
    </row>
    <row r="1172" spans="1:40" x14ac:dyDescent="0.25">
      <c r="A1172" t="s">
        <v>27</v>
      </c>
      <c r="B1172" s="1">
        <v>40492</v>
      </c>
      <c r="C1172" s="6">
        <f t="shared" si="180"/>
        <v>2010</v>
      </c>
      <c r="D1172">
        <v>82.4</v>
      </c>
      <c r="E1172">
        <v>66.2</v>
      </c>
      <c r="F1172">
        <v>73.2</v>
      </c>
      <c r="G1172" s="2">
        <f t="shared" si="181"/>
        <v>1</v>
      </c>
      <c r="H1172">
        <v>81.5</v>
      </c>
      <c r="I1172">
        <v>66.2</v>
      </c>
      <c r="J1172">
        <v>73.099999999999994</v>
      </c>
      <c r="K1172">
        <v>57.1</v>
      </c>
      <c r="L1172">
        <v>58.9</v>
      </c>
      <c r="M1172" s="2">
        <f t="shared" si="182"/>
        <v>1</v>
      </c>
      <c r="N1172">
        <v>0</v>
      </c>
      <c r="O1172" s="2">
        <f t="shared" si="183"/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 s="2">
        <f t="shared" si="184"/>
        <v>0</v>
      </c>
      <c r="W1172">
        <v>20.8</v>
      </c>
      <c r="X1172" s="2">
        <f t="shared" si="185"/>
        <v>1</v>
      </c>
      <c r="Y1172">
        <v>175.8</v>
      </c>
      <c r="Z1172" s="2" t="str">
        <f>CHOOSE(MATCH(Y1172,{0;11;80;111;161;191;241;281;341},1),"North","NorthEast","East","SouthEast","South","SouthWest","West","NorthWest","North")</f>
        <v>South</v>
      </c>
      <c r="AA1172" s="4">
        <f>CHOOSE(MATCH(Z1172,{"South";"SouthEast";"SouthWest";"North";"NorthEast";"East";"West";"NorthWest"},0),1,2,3,4,5,6,7,8)</f>
        <v>1</v>
      </c>
      <c r="AB1172" s="2">
        <f t="shared" si="186"/>
        <v>0</v>
      </c>
      <c r="AC1172">
        <v>1014.1</v>
      </c>
      <c r="AD1172" t="s">
        <v>979</v>
      </c>
      <c r="AE1172" s="2">
        <f t="shared" si="187"/>
        <v>1</v>
      </c>
      <c r="AF1172" t="s">
        <v>1710</v>
      </c>
      <c r="AG1172" s="2">
        <f t="shared" si="188"/>
        <v>11</v>
      </c>
      <c r="AH1172" s="2">
        <f t="shared" si="189"/>
        <v>0</v>
      </c>
      <c r="AI1172" s="3">
        <v>145.00000000116421</v>
      </c>
      <c r="AJ1172" s="2">
        <v>0</v>
      </c>
      <c r="AK1172">
        <v>0</v>
      </c>
      <c r="AL1172">
        <v>2</v>
      </c>
      <c r="AM1172">
        <v>0</v>
      </c>
      <c r="AN1172" s="2">
        <f>IF((2*G1172+M1172-O1172+3*V1172+2*AB1172+2*AE1172+2*AH1172+3*AJ1172)&gt;=7,1,0)</f>
        <v>0</v>
      </c>
    </row>
    <row r="1173" spans="1:40" x14ac:dyDescent="0.25">
      <c r="A1173" t="s">
        <v>27</v>
      </c>
      <c r="B1173" s="1">
        <v>40492</v>
      </c>
      <c r="C1173" s="6">
        <f t="shared" si="180"/>
        <v>2010</v>
      </c>
      <c r="D1173">
        <v>82.4</v>
      </c>
      <c r="E1173">
        <v>66.2</v>
      </c>
      <c r="F1173">
        <v>73.2</v>
      </c>
      <c r="G1173" s="2">
        <f t="shared" si="181"/>
        <v>1</v>
      </c>
      <c r="H1173">
        <v>81.5</v>
      </c>
      <c r="I1173">
        <v>66.2</v>
      </c>
      <c r="J1173">
        <v>73.099999999999994</v>
      </c>
      <c r="K1173">
        <v>57.1</v>
      </c>
      <c r="L1173">
        <v>58.9</v>
      </c>
      <c r="M1173" s="2">
        <f t="shared" si="182"/>
        <v>1</v>
      </c>
      <c r="N1173">
        <v>0</v>
      </c>
      <c r="O1173" s="2">
        <f t="shared" si="183"/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 s="2">
        <f t="shared" si="184"/>
        <v>0</v>
      </c>
      <c r="W1173">
        <v>20.8</v>
      </c>
      <c r="X1173" s="2">
        <f t="shared" si="185"/>
        <v>1</v>
      </c>
      <c r="Y1173">
        <v>175.8</v>
      </c>
      <c r="Z1173" s="2" t="str">
        <f>CHOOSE(MATCH(Y1173,{0;11;80;111;161;191;241;281;341},1),"North","NorthEast","East","SouthEast","South","SouthWest","West","NorthWest","North")</f>
        <v>South</v>
      </c>
      <c r="AA1173" s="4">
        <f>CHOOSE(MATCH(Z1173,{"South";"SouthEast";"SouthWest";"North";"NorthEast";"East";"West";"NorthWest"},0),1,2,3,4,5,6,7,8)</f>
        <v>1</v>
      </c>
      <c r="AB1173" s="2">
        <f t="shared" si="186"/>
        <v>0</v>
      </c>
      <c r="AC1173">
        <v>1014.1</v>
      </c>
      <c r="AD1173" t="s">
        <v>332</v>
      </c>
      <c r="AE1173" s="2">
        <f t="shared" si="187"/>
        <v>1</v>
      </c>
      <c r="AF1173" t="s">
        <v>1711</v>
      </c>
      <c r="AG1173" s="2">
        <f t="shared" si="188"/>
        <v>11</v>
      </c>
      <c r="AH1173" s="2">
        <f t="shared" si="189"/>
        <v>0</v>
      </c>
      <c r="AI1173" s="3">
        <v>560.00000000232831</v>
      </c>
      <c r="AJ1173" s="2">
        <v>1</v>
      </c>
      <c r="AK1173">
        <v>0</v>
      </c>
      <c r="AL1173">
        <v>5</v>
      </c>
      <c r="AM1173">
        <v>0</v>
      </c>
      <c r="AN1173" s="2">
        <f>IF((2*G1173+M1173-O1173+3*V1173+2*AB1173+2*AE1173+2*AH1173+3*AJ1173)&gt;=7,1,0)</f>
        <v>1</v>
      </c>
    </row>
    <row r="1174" spans="1:40" x14ac:dyDescent="0.25">
      <c r="A1174" t="s">
        <v>27</v>
      </c>
      <c r="B1174" s="1">
        <v>40492</v>
      </c>
      <c r="C1174" s="6">
        <f t="shared" si="180"/>
        <v>2010</v>
      </c>
      <c r="D1174">
        <v>82.4</v>
      </c>
      <c r="E1174">
        <v>66.2</v>
      </c>
      <c r="F1174">
        <v>73.2</v>
      </c>
      <c r="G1174" s="2">
        <f t="shared" si="181"/>
        <v>1</v>
      </c>
      <c r="H1174">
        <v>81.5</v>
      </c>
      <c r="I1174">
        <v>66.2</v>
      </c>
      <c r="J1174">
        <v>73.099999999999994</v>
      </c>
      <c r="K1174">
        <v>57.1</v>
      </c>
      <c r="L1174">
        <v>58.9</v>
      </c>
      <c r="M1174" s="2">
        <f t="shared" si="182"/>
        <v>1</v>
      </c>
      <c r="N1174">
        <v>0</v>
      </c>
      <c r="O1174" s="2">
        <f t="shared" si="183"/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 s="2">
        <f t="shared" si="184"/>
        <v>0</v>
      </c>
      <c r="W1174">
        <v>20.8</v>
      </c>
      <c r="X1174" s="2">
        <f t="shared" si="185"/>
        <v>1</v>
      </c>
      <c r="Y1174">
        <v>175.8</v>
      </c>
      <c r="Z1174" s="2" t="str">
        <f>CHOOSE(MATCH(Y1174,{0;11;80;111;161;191;241;281;341},1),"North","NorthEast","East","SouthEast","South","SouthWest","West","NorthWest","North")</f>
        <v>South</v>
      </c>
      <c r="AA1174" s="4">
        <f>CHOOSE(MATCH(Z1174,{"South";"SouthEast";"SouthWest";"North";"NorthEast";"East";"West";"NorthWest"},0),1,2,3,4,5,6,7,8)</f>
        <v>1</v>
      </c>
      <c r="AB1174" s="2">
        <f t="shared" si="186"/>
        <v>0</v>
      </c>
      <c r="AC1174">
        <v>1014.1</v>
      </c>
      <c r="AD1174" t="s">
        <v>395</v>
      </c>
      <c r="AE1174" s="2">
        <f t="shared" si="187"/>
        <v>1</v>
      </c>
      <c r="AF1174" t="s">
        <v>1712</v>
      </c>
      <c r="AG1174" s="2">
        <f t="shared" si="188"/>
        <v>11</v>
      </c>
      <c r="AH1174" s="2">
        <f t="shared" si="189"/>
        <v>0</v>
      </c>
      <c r="AI1174" s="3">
        <v>145.00000000116421</v>
      </c>
      <c r="AJ1174" s="2">
        <v>0</v>
      </c>
      <c r="AK1174">
        <v>0</v>
      </c>
      <c r="AL1174">
        <v>0.5</v>
      </c>
      <c r="AM1174">
        <v>0</v>
      </c>
      <c r="AN1174" s="2">
        <f>IF((2*G1174+M1174-O1174+3*V1174+2*AB1174+2*AE1174+2*AH1174+3*AJ1174)&gt;=7,1,0)</f>
        <v>0</v>
      </c>
    </row>
    <row r="1175" spans="1:40" x14ac:dyDescent="0.25">
      <c r="A1175" t="s">
        <v>27</v>
      </c>
      <c r="B1175" s="1">
        <v>40492</v>
      </c>
      <c r="C1175" s="6">
        <f t="shared" si="180"/>
        <v>2010</v>
      </c>
      <c r="D1175">
        <v>82.4</v>
      </c>
      <c r="E1175">
        <v>66.2</v>
      </c>
      <c r="F1175">
        <v>73.2</v>
      </c>
      <c r="G1175" s="2">
        <f t="shared" si="181"/>
        <v>1</v>
      </c>
      <c r="H1175">
        <v>81.5</v>
      </c>
      <c r="I1175">
        <v>66.2</v>
      </c>
      <c r="J1175">
        <v>73.099999999999994</v>
      </c>
      <c r="K1175">
        <v>57.1</v>
      </c>
      <c r="L1175">
        <v>58.9</v>
      </c>
      <c r="M1175" s="2">
        <f t="shared" si="182"/>
        <v>1</v>
      </c>
      <c r="N1175">
        <v>0</v>
      </c>
      <c r="O1175" s="2">
        <f t="shared" si="183"/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 s="2">
        <f t="shared" si="184"/>
        <v>0</v>
      </c>
      <c r="W1175">
        <v>20.8</v>
      </c>
      <c r="X1175" s="2">
        <f t="shared" si="185"/>
        <v>1</v>
      </c>
      <c r="Y1175">
        <v>175.8</v>
      </c>
      <c r="Z1175" s="2" t="str">
        <f>CHOOSE(MATCH(Y1175,{0;11;80;111;161;191;241;281;341},1),"North","NorthEast","East","SouthEast","South","SouthWest","West","NorthWest","North")</f>
        <v>South</v>
      </c>
      <c r="AA1175" s="4">
        <f>CHOOSE(MATCH(Z1175,{"South";"SouthEast";"SouthWest";"North";"NorthEast";"East";"West";"NorthWest"},0),1,2,3,4,5,6,7,8)</f>
        <v>1</v>
      </c>
      <c r="AB1175" s="2">
        <f t="shared" si="186"/>
        <v>0</v>
      </c>
      <c r="AC1175">
        <v>1014.1</v>
      </c>
      <c r="AD1175" t="s">
        <v>131</v>
      </c>
      <c r="AE1175" s="2">
        <f t="shared" si="187"/>
        <v>0</v>
      </c>
      <c r="AF1175" t="s">
        <v>1713</v>
      </c>
      <c r="AG1175" s="2">
        <f t="shared" si="188"/>
        <v>11</v>
      </c>
      <c r="AH1175" s="2">
        <f t="shared" si="189"/>
        <v>0</v>
      </c>
      <c r="AI1175" s="3">
        <v>169.99999999883579</v>
      </c>
      <c r="AJ1175" s="2">
        <v>0</v>
      </c>
      <c r="AK1175">
        <v>0</v>
      </c>
      <c r="AL1175">
        <v>1</v>
      </c>
      <c r="AM1175">
        <v>0</v>
      </c>
      <c r="AN1175" s="2">
        <f>IF((2*G1175+M1175-O1175+3*V1175+2*AB1175+2*AE1175+2*AH1175+3*AJ1175)&gt;=7,1,0)</f>
        <v>0</v>
      </c>
    </row>
    <row r="1176" spans="1:40" x14ac:dyDescent="0.25">
      <c r="A1176" t="s">
        <v>27</v>
      </c>
      <c r="B1176" s="1">
        <v>40493</v>
      </c>
      <c r="C1176" s="6">
        <f t="shared" si="180"/>
        <v>2010</v>
      </c>
      <c r="D1176">
        <v>82.4</v>
      </c>
      <c r="E1176">
        <v>69.8</v>
      </c>
      <c r="F1176">
        <v>75.7</v>
      </c>
      <c r="G1176" s="2">
        <f t="shared" si="181"/>
        <v>1</v>
      </c>
      <c r="H1176">
        <v>83.4</v>
      </c>
      <c r="I1176">
        <v>69.8</v>
      </c>
      <c r="J1176">
        <v>75.8</v>
      </c>
      <c r="K1176">
        <v>54.1</v>
      </c>
      <c r="L1176">
        <v>47.7</v>
      </c>
      <c r="M1176" s="2">
        <f t="shared" si="182"/>
        <v>1</v>
      </c>
      <c r="N1176">
        <v>0</v>
      </c>
      <c r="O1176" s="2">
        <f t="shared" si="183"/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36.9</v>
      </c>
      <c r="V1176" s="2">
        <f t="shared" si="184"/>
        <v>1</v>
      </c>
      <c r="W1176">
        <v>25.3</v>
      </c>
      <c r="X1176" s="2">
        <f t="shared" si="185"/>
        <v>1</v>
      </c>
      <c r="Y1176">
        <v>170</v>
      </c>
      <c r="Z1176" s="2" t="str">
        <f>CHOOSE(MATCH(Y1176,{0;11;80;111;161;191;241;281;341},1),"North","NorthEast","East","SouthEast","South","SouthWest","West","NorthWest","North")</f>
        <v>South</v>
      </c>
      <c r="AA1176" s="4">
        <f>CHOOSE(MATCH(Z1176,{"South";"SouthEast";"SouthWest";"North";"NorthEast";"East";"West";"NorthWest"},0),1,2,3,4,5,6,7,8)</f>
        <v>1</v>
      </c>
      <c r="AB1176" s="2">
        <f t="shared" si="186"/>
        <v>0</v>
      </c>
      <c r="AC1176">
        <v>1014.4</v>
      </c>
      <c r="AD1176" t="s">
        <v>1714</v>
      </c>
      <c r="AE1176" s="2">
        <f t="shared" si="187"/>
        <v>0</v>
      </c>
      <c r="AF1176" t="s">
        <v>1715</v>
      </c>
      <c r="AG1176" s="2">
        <f t="shared" si="188"/>
        <v>11</v>
      </c>
      <c r="AH1176" s="2">
        <f t="shared" si="189"/>
        <v>0</v>
      </c>
      <c r="AI1176" s="3">
        <v>45</v>
      </c>
      <c r="AJ1176" s="2">
        <v>0</v>
      </c>
      <c r="AK1176">
        <v>0</v>
      </c>
      <c r="AL1176">
        <v>1</v>
      </c>
      <c r="AM1176">
        <v>0</v>
      </c>
      <c r="AN1176" s="2">
        <f>IF((2*G1176+M1176-O1176+3*V1176+2*AB1176+2*AE1176+2*AH1176+3*AJ1176)&gt;=7,1,0)</f>
        <v>0</v>
      </c>
    </row>
    <row r="1177" spans="1:40" x14ac:dyDescent="0.25">
      <c r="A1177" t="s">
        <v>27</v>
      </c>
      <c r="B1177" s="1">
        <v>40494</v>
      </c>
      <c r="C1177" s="6">
        <f t="shared" si="180"/>
        <v>2010</v>
      </c>
      <c r="D1177">
        <v>77</v>
      </c>
      <c r="E1177">
        <v>62.6</v>
      </c>
      <c r="F1177">
        <v>69</v>
      </c>
      <c r="G1177" s="2">
        <f t="shared" si="181"/>
        <v>0</v>
      </c>
      <c r="H1177">
        <v>77</v>
      </c>
      <c r="I1177">
        <v>62.6</v>
      </c>
      <c r="J1177">
        <v>69</v>
      </c>
      <c r="K1177">
        <v>59</v>
      </c>
      <c r="L1177">
        <v>72.2</v>
      </c>
      <c r="M1177" s="2">
        <f t="shared" si="182"/>
        <v>0</v>
      </c>
      <c r="N1177">
        <v>0.46899999999999997</v>
      </c>
      <c r="O1177" s="2">
        <f t="shared" si="183"/>
        <v>0</v>
      </c>
      <c r="P1177">
        <v>100</v>
      </c>
      <c r="Q1177">
        <v>4.17</v>
      </c>
      <c r="R1177" t="s">
        <v>182</v>
      </c>
      <c r="S1177">
        <v>0</v>
      </c>
      <c r="T1177">
        <v>0</v>
      </c>
      <c r="U1177">
        <v>34.4</v>
      </c>
      <c r="V1177" s="2">
        <f t="shared" si="184"/>
        <v>1</v>
      </c>
      <c r="W1177">
        <v>32.200000000000003</v>
      </c>
      <c r="X1177" s="2">
        <f t="shared" si="185"/>
        <v>1</v>
      </c>
      <c r="Y1177">
        <v>194.8</v>
      </c>
      <c r="Z1177" s="2" t="str">
        <f>CHOOSE(MATCH(Y1177,{0;11;80;111;161;191;241;281;341},1),"North","NorthEast","East","SouthEast","South","SouthWest","West","NorthWest","North")</f>
        <v>SouthWest</v>
      </c>
      <c r="AA1177" s="4">
        <f>CHOOSE(MATCH(Z1177,{"South";"SouthEast";"SouthWest";"North";"NorthEast";"East";"West";"NorthWest"},0),1,2,3,4,5,6,7,8)</f>
        <v>3</v>
      </c>
      <c r="AB1177" s="2">
        <f t="shared" si="186"/>
        <v>0</v>
      </c>
      <c r="AC1177">
        <v>1009.1</v>
      </c>
      <c r="AD1177" t="s">
        <v>251</v>
      </c>
      <c r="AE1177" s="2">
        <f t="shared" si="187"/>
        <v>1</v>
      </c>
      <c r="AF1177" t="s">
        <v>1716</v>
      </c>
      <c r="AG1177" s="2">
        <f t="shared" si="188"/>
        <v>11</v>
      </c>
      <c r="AH1177" s="2">
        <f t="shared" si="189"/>
        <v>0</v>
      </c>
      <c r="AI1177" s="3">
        <v>69.999999997671694</v>
      </c>
      <c r="AJ1177" s="2">
        <v>0</v>
      </c>
      <c r="AK1177">
        <v>0</v>
      </c>
      <c r="AL1177">
        <v>1</v>
      </c>
      <c r="AM1177">
        <v>0</v>
      </c>
      <c r="AN1177" s="2">
        <f>IF((2*G1177+M1177-O1177+3*V1177+2*AB1177+2*AE1177+2*AH1177+3*AJ1177)&gt;=7,1,0)</f>
        <v>0</v>
      </c>
    </row>
    <row r="1178" spans="1:40" x14ac:dyDescent="0.25">
      <c r="A1178" t="s">
        <v>27</v>
      </c>
      <c r="B1178" s="1">
        <v>40504</v>
      </c>
      <c r="C1178" s="6">
        <f t="shared" si="180"/>
        <v>2010</v>
      </c>
      <c r="D1178">
        <v>71.599999999999994</v>
      </c>
      <c r="E1178">
        <v>55.4</v>
      </c>
      <c r="F1178">
        <v>64.099999999999994</v>
      </c>
      <c r="G1178" s="2">
        <f t="shared" si="181"/>
        <v>0</v>
      </c>
      <c r="H1178">
        <v>71.599999999999994</v>
      </c>
      <c r="I1178">
        <v>55.4</v>
      </c>
      <c r="J1178">
        <v>64.099999999999994</v>
      </c>
      <c r="K1178">
        <v>54.1</v>
      </c>
      <c r="L1178">
        <v>71.8</v>
      </c>
      <c r="M1178" s="2">
        <f t="shared" si="182"/>
        <v>0</v>
      </c>
      <c r="N1178">
        <v>0</v>
      </c>
      <c r="O1178" s="2">
        <f t="shared" si="183"/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 s="2">
        <f t="shared" si="184"/>
        <v>0</v>
      </c>
      <c r="W1178">
        <v>20.8</v>
      </c>
      <c r="X1178" s="2">
        <f t="shared" si="185"/>
        <v>1</v>
      </c>
      <c r="Y1178">
        <v>158.80000000000001</v>
      </c>
      <c r="Z1178" s="2" t="str">
        <f>CHOOSE(MATCH(Y1178,{0;11;80;111;161;191;241;281;341},1),"North","NorthEast","East","SouthEast","South","SouthWest","West","NorthWest","North")</f>
        <v>SouthEast</v>
      </c>
      <c r="AA1178" s="4">
        <f>CHOOSE(MATCH(Z1178,{"South";"SouthEast";"SouthWest";"North";"NorthEast";"East";"West";"NorthWest"},0),1,2,3,4,5,6,7,8)</f>
        <v>2</v>
      </c>
      <c r="AB1178" s="2">
        <f t="shared" si="186"/>
        <v>0</v>
      </c>
      <c r="AC1178">
        <v>1013.7</v>
      </c>
      <c r="AD1178" t="s">
        <v>153</v>
      </c>
      <c r="AE1178" s="2">
        <f t="shared" si="187"/>
        <v>1</v>
      </c>
      <c r="AF1178" t="s">
        <v>1717</v>
      </c>
      <c r="AG1178" s="2">
        <f t="shared" si="188"/>
        <v>11</v>
      </c>
      <c r="AH1178" s="2">
        <f t="shared" si="189"/>
        <v>0</v>
      </c>
      <c r="AI1178" s="3">
        <v>74.999999993015081</v>
      </c>
      <c r="AJ1178" s="2">
        <v>0</v>
      </c>
      <c r="AK1178">
        <v>0</v>
      </c>
      <c r="AL1178">
        <v>1</v>
      </c>
      <c r="AM1178">
        <v>0</v>
      </c>
      <c r="AN1178" s="2">
        <f>IF((2*G1178+M1178-O1178+3*V1178+2*AB1178+2*AE1178+2*AH1178+3*AJ1178)&gt;=7,1,0)</f>
        <v>0</v>
      </c>
    </row>
    <row r="1179" spans="1:40" x14ac:dyDescent="0.25">
      <c r="A1179" t="s">
        <v>27</v>
      </c>
      <c r="B1179" s="1">
        <v>40506</v>
      </c>
      <c r="C1179" s="6">
        <f t="shared" si="180"/>
        <v>2010</v>
      </c>
      <c r="D1179">
        <v>71.599999999999994</v>
      </c>
      <c r="E1179">
        <v>60.8</v>
      </c>
      <c r="F1179">
        <v>66.099999999999994</v>
      </c>
      <c r="G1179" s="2">
        <f t="shared" si="181"/>
        <v>0</v>
      </c>
      <c r="H1179">
        <v>71.599999999999994</v>
      </c>
      <c r="I1179">
        <v>60.8</v>
      </c>
      <c r="J1179">
        <v>66.099999999999994</v>
      </c>
      <c r="K1179">
        <v>53.8</v>
      </c>
      <c r="L1179">
        <v>65.099999999999994</v>
      </c>
      <c r="M1179" s="2">
        <f t="shared" si="182"/>
        <v>1</v>
      </c>
      <c r="N1179">
        <v>0</v>
      </c>
      <c r="O1179" s="2">
        <f t="shared" si="183"/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 s="2">
        <f t="shared" si="184"/>
        <v>0</v>
      </c>
      <c r="W1179">
        <v>15</v>
      </c>
      <c r="X1179" s="2">
        <f t="shared" si="185"/>
        <v>0</v>
      </c>
      <c r="Y1179">
        <v>198.1</v>
      </c>
      <c r="Z1179" s="2" t="str">
        <f>CHOOSE(MATCH(Y1179,{0;11;80;111;161;191;241;281;341},1),"North","NorthEast","East","SouthEast","South","SouthWest","West","NorthWest","North")</f>
        <v>SouthWest</v>
      </c>
      <c r="AA1179" s="4">
        <f>CHOOSE(MATCH(Z1179,{"South";"SouthEast";"SouthWest";"North";"NorthEast";"East";"West";"NorthWest"},0),1,2,3,4,5,6,7,8)</f>
        <v>3</v>
      </c>
      <c r="AB1179" s="2">
        <f t="shared" si="186"/>
        <v>0</v>
      </c>
      <c r="AC1179">
        <v>1010</v>
      </c>
      <c r="AD1179" t="s">
        <v>1718</v>
      </c>
      <c r="AE1179" s="2">
        <f t="shared" si="187"/>
        <v>1</v>
      </c>
      <c r="AF1179" t="s">
        <v>1719</v>
      </c>
      <c r="AG1179" s="2">
        <f t="shared" si="188"/>
        <v>11</v>
      </c>
      <c r="AH1179" s="2">
        <f t="shared" si="189"/>
        <v>0</v>
      </c>
      <c r="AI1179" s="3">
        <v>137.00000000651929</v>
      </c>
      <c r="AJ1179" s="2">
        <v>0</v>
      </c>
      <c r="AK1179">
        <v>12</v>
      </c>
      <c r="AL1179">
        <v>0</v>
      </c>
      <c r="AM1179">
        <v>0</v>
      </c>
      <c r="AN1179" s="2">
        <f>IF((2*G1179+M1179-O1179+3*V1179+2*AB1179+2*AE1179+2*AH1179+3*AJ1179)&gt;=7,1,0)</f>
        <v>0</v>
      </c>
    </row>
    <row r="1180" spans="1:40" x14ac:dyDescent="0.25">
      <c r="A1180" t="s">
        <v>27</v>
      </c>
      <c r="B1180" s="1">
        <v>40506</v>
      </c>
      <c r="C1180" s="6">
        <f t="shared" si="180"/>
        <v>2010</v>
      </c>
      <c r="D1180">
        <v>71.599999999999994</v>
      </c>
      <c r="E1180">
        <v>60.8</v>
      </c>
      <c r="F1180">
        <v>66.099999999999994</v>
      </c>
      <c r="G1180" s="2">
        <f t="shared" si="181"/>
        <v>0</v>
      </c>
      <c r="H1180">
        <v>71.599999999999994</v>
      </c>
      <c r="I1180">
        <v>60.8</v>
      </c>
      <c r="J1180">
        <v>66.099999999999994</v>
      </c>
      <c r="K1180">
        <v>53.8</v>
      </c>
      <c r="L1180">
        <v>65.099999999999994</v>
      </c>
      <c r="M1180" s="2">
        <f t="shared" si="182"/>
        <v>1</v>
      </c>
      <c r="N1180">
        <v>0</v>
      </c>
      <c r="O1180" s="2">
        <f t="shared" si="183"/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 s="2">
        <f t="shared" si="184"/>
        <v>0</v>
      </c>
      <c r="W1180">
        <v>15</v>
      </c>
      <c r="X1180" s="2">
        <f t="shared" si="185"/>
        <v>0</v>
      </c>
      <c r="Y1180">
        <v>198.1</v>
      </c>
      <c r="Z1180" s="2" t="str">
        <f>CHOOSE(MATCH(Y1180,{0;11;80;111;161;191;241;281;341},1),"North","NorthEast","East","SouthEast","South","SouthWest","West","NorthWest","North")</f>
        <v>SouthWest</v>
      </c>
      <c r="AA1180" s="4">
        <f>CHOOSE(MATCH(Z1180,{"South";"SouthEast";"SouthWest";"North";"NorthEast";"East";"West";"NorthWest"},0),1,2,3,4,5,6,7,8)</f>
        <v>3</v>
      </c>
      <c r="AB1180" s="2">
        <f t="shared" si="186"/>
        <v>0</v>
      </c>
      <c r="AC1180">
        <v>1010</v>
      </c>
      <c r="AD1180" t="s">
        <v>1720</v>
      </c>
      <c r="AE1180" s="2">
        <f t="shared" si="187"/>
        <v>0</v>
      </c>
      <c r="AF1180" t="s">
        <v>1721</v>
      </c>
      <c r="AG1180" s="2">
        <f t="shared" si="188"/>
        <v>11</v>
      </c>
      <c r="AH1180" s="2">
        <f t="shared" si="189"/>
        <v>0</v>
      </c>
      <c r="AI1180" s="3">
        <v>103.0000000004657</v>
      </c>
      <c r="AJ1180" s="2">
        <v>0</v>
      </c>
      <c r="AK1180">
        <v>0</v>
      </c>
      <c r="AL1180">
        <v>0.1</v>
      </c>
      <c r="AM1180">
        <v>0</v>
      </c>
      <c r="AN1180" s="2">
        <f>IF((2*G1180+M1180-O1180+3*V1180+2*AB1180+2*AE1180+2*AH1180+3*AJ1180)&gt;=7,1,0)</f>
        <v>0</v>
      </c>
    </row>
    <row r="1181" spans="1:40" x14ac:dyDescent="0.25">
      <c r="A1181" t="s">
        <v>27</v>
      </c>
      <c r="B1181" s="1">
        <v>40509</v>
      </c>
      <c r="C1181" s="6">
        <f t="shared" si="180"/>
        <v>2010</v>
      </c>
      <c r="D1181">
        <v>77</v>
      </c>
      <c r="E1181">
        <v>60.8</v>
      </c>
      <c r="F1181">
        <v>68.400000000000006</v>
      </c>
      <c r="G1181" s="2">
        <f t="shared" si="181"/>
        <v>0</v>
      </c>
      <c r="H1181">
        <v>77</v>
      </c>
      <c r="I1181">
        <v>60.8</v>
      </c>
      <c r="J1181">
        <v>68.400000000000006</v>
      </c>
      <c r="K1181">
        <v>52.5</v>
      </c>
      <c r="L1181">
        <v>58.6</v>
      </c>
      <c r="M1181" s="2">
        <f t="shared" si="182"/>
        <v>1</v>
      </c>
      <c r="N1181">
        <v>0</v>
      </c>
      <c r="O1181" s="2">
        <f t="shared" si="183"/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32.200000000000003</v>
      </c>
      <c r="V1181" s="2">
        <f t="shared" si="184"/>
        <v>1</v>
      </c>
      <c r="W1181">
        <v>28.9</v>
      </c>
      <c r="X1181" s="2">
        <f t="shared" si="185"/>
        <v>1</v>
      </c>
      <c r="Y1181">
        <v>172.2</v>
      </c>
      <c r="Z1181" s="2" t="str">
        <f>CHOOSE(MATCH(Y1181,{0;11;80;111;161;191;241;281;341},1),"North","NorthEast","East","SouthEast","South","SouthWest","West","NorthWest","North")</f>
        <v>South</v>
      </c>
      <c r="AA1181" s="4">
        <f>CHOOSE(MATCH(Z1181,{"South";"SouthEast";"SouthWest";"North";"NorthEast";"East";"West";"NorthWest"},0),1,2,3,4,5,6,7,8)</f>
        <v>1</v>
      </c>
      <c r="AB1181" s="2">
        <f t="shared" si="186"/>
        <v>0</v>
      </c>
      <c r="AC1181">
        <v>1012.4</v>
      </c>
      <c r="AD1181" t="s">
        <v>339</v>
      </c>
      <c r="AE1181" s="2">
        <f t="shared" si="187"/>
        <v>0</v>
      </c>
      <c r="AF1181" t="s">
        <v>1722</v>
      </c>
      <c r="AG1181" s="2">
        <f t="shared" si="188"/>
        <v>11</v>
      </c>
      <c r="AH1181" s="2">
        <f t="shared" si="189"/>
        <v>0</v>
      </c>
      <c r="AI1181" s="3">
        <v>270</v>
      </c>
      <c r="AJ1181" s="2">
        <v>0</v>
      </c>
      <c r="AK1181">
        <v>0</v>
      </c>
      <c r="AL1181">
        <v>0.5</v>
      </c>
      <c r="AM1181">
        <v>0</v>
      </c>
      <c r="AN1181" s="2">
        <f>IF((2*G1181+M1181-O1181+3*V1181+2*AB1181+2*AE1181+2*AH1181+3*AJ1181)&gt;=7,1,0)</f>
        <v>0</v>
      </c>
    </row>
    <row r="1182" spans="1:40" x14ac:dyDescent="0.25">
      <c r="A1182" t="s">
        <v>27</v>
      </c>
      <c r="B1182" s="1">
        <v>40510</v>
      </c>
      <c r="C1182" s="6">
        <f t="shared" si="180"/>
        <v>2010</v>
      </c>
      <c r="D1182">
        <v>78.8</v>
      </c>
      <c r="E1182">
        <v>71.599999999999994</v>
      </c>
      <c r="F1182">
        <v>73.599999999999994</v>
      </c>
      <c r="G1182" s="2">
        <f t="shared" si="181"/>
        <v>1</v>
      </c>
      <c r="H1182">
        <v>78.8</v>
      </c>
      <c r="I1182">
        <v>71.599999999999994</v>
      </c>
      <c r="J1182">
        <v>73.599999999999994</v>
      </c>
      <c r="K1182">
        <v>53.5</v>
      </c>
      <c r="L1182">
        <v>49.8</v>
      </c>
      <c r="M1182" s="2">
        <f t="shared" si="182"/>
        <v>1</v>
      </c>
      <c r="N1182">
        <v>0</v>
      </c>
      <c r="O1182" s="2">
        <f t="shared" si="183"/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39.1</v>
      </c>
      <c r="V1182" s="2">
        <f t="shared" si="184"/>
        <v>1</v>
      </c>
      <c r="W1182">
        <v>28.9</v>
      </c>
      <c r="X1182" s="2">
        <f t="shared" si="185"/>
        <v>1</v>
      </c>
      <c r="Y1182">
        <v>174.3</v>
      </c>
      <c r="Z1182" s="2" t="str">
        <f>CHOOSE(MATCH(Y1182,{0;11;80;111;161;191;241;281;341},1),"North","NorthEast","East","SouthEast","South","SouthWest","West","NorthWest","North")</f>
        <v>South</v>
      </c>
      <c r="AA1182" s="4">
        <f>CHOOSE(MATCH(Z1182,{"South";"SouthEast";"SouthWest";"North";"NorthEast";"East";"West";"NorthWest"},0),1,2,3,4,5,6,7,8)</f>
        <v>1</v>
      </c>
      <c r="AB1182" s="2">
        <f t="shared" si="186"/>
        <v>0</v>
      </c>
      <c r="AC1182">
        <v>1014.2</v>
      </c>
      <c r="AD1182" t="s">
        <v>342</v>
      </c>
      <c r="AE1182" s="2">
        <f t="shared" si="187"/>
        <v>1</v>
      </c>
      <c r="AF1182" t="s">
        <v>1723</v>
      </c>
      <c r="AG1182" s="2">
        <f t="shared" si="188"/>
        <v>11</v>
      </c>
      <c r="AH1182" s="2">
        <f t="shared" si="189"/>
        <v>0</v>
      </c>
      <c r="AI1182" s="3">
        <v>230.00000000582079</v>
      </c>
      <c r="AJ1182" s="2">
        <v>0</v>
      </c>
      <c r="AK1182">
        <v>0</v>
      </c>
      <c r="AL1182">
        <v>1</v>
      </c>
      <c r="AM1182">
        <v>0</v>
      </c>
      <c r="AN1182" s="2">
        <f>IF((2*G1182+M1182-O1182+3*V1182+2*AB1182+2*AE1182+2*AH1182+3*AJ1182)&gt;=7,1,0)</f>
        <v>1</v>
      </c>
    </row>
    <row r="1183" spans="1:40" x14ac:dyDescent="0.25">
      <c r="A1183" t="s">
        <v>27</v>
      </c>
      <c r="B1183" s="1">
        <v>40510</v>
      </c>
      <c r="C1183" s="6">
        <f t="shared" si="180"/>
        <v>2010</v>
      </c>
      <c r="D1183">
        <v>78.8</v>
      </c>
      <c r="E1183">
        <v>71.599999999999994</v>
      </c>
      <c r="F1183">
        <v>73.599999999999994</v>
      </c>
      <c r="G1183" s="2">
        <f t="shared" si="181"/>
        <v>1</v>
      </c>
      <c r="H1183">
        <v>78.8</v>
      </c>
      <c r="I1183">
        <v>71.599999999999994</v>
      </c>
      <c r="J1183">
        <v>73.599999999999994</v>
      </c>
      <c r="K1183">
        <v>53.5</v>
      </c>
      <c r="L1183">
        <v>49.8</v>
      </c>
      <c r="M1183" s="2">
        <f t="shared" si="182"/>
        <v>1</v>
      </c>
      <c r="N1183">
        <v>0</v>
      </c>
      <c r="O1183" s="2">
        <f t="shared" si="183"/>
        <v>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39.1</v>
      </c>
      <c r="V1183" s="2">
        <f t="shared" si="184"/>
        <v>1</v>
      </c>
      <c r="W1183">
        <v>28.9</v>
      </c>
      <c r="X1183" s="2">
        <f t="shared" si="185"/>
        <v>1</v>
      </c>
      <c r="Y1183">
        <v>174.3</v>
      </c>
      <c r="Z1183" s="2" t="str">
        <f>CHOOSE(MATCH(Y1183,{0;11;80;111;161;191;241;281;341},1),"North","NorthEast","East","SouthEast","South","SouthWest","West","NorthWest","North")</f>
        <v>South</v>
      </c>
      <c r="AA1183" s="4">
        <f>CHOOSE(MATCH(Z1183,{"South";"SouthEast";"SouthWest";"North";"NorthEast";"East";"West";"NorthWest"},0),1,2,3,4,5,6,7,8)</f>
        <v>1</v>
      </c>
      <c r="AB1183" s="2">
        <f t="shared" si="186"/>
        <v>0</v>
      </c>
      <c r="AC1183">
        <v>1014.2</v>
      </c>
      <c r="AD1183" t="s">
        <v>298</v>
      </c>
      <c r="AE1183" s="2">
        <f t="shared" si="187"/>
        <v>1</v>
      </c>
      <c r="AF1183" t="s">
        <v>1724</v>
      </c>
      <c r="AG1183" s="2">
        <f t="shared" si="188"/>
        <v>11</v>
      </c>
      <c r="AH1183" s="2">
        <f t="shared" si="189"/>
        <v>0</v>
      </c>
      <c r="AI1183" s="3">
        <v>154.9999999918509</v>
      </c>
      <c r="AJ1183" s="2">
        <v>0</v>
      </c>
      <c r="AK1183">
        <v>0</v>
      </c>
      <c r="AL1183">
        <v>3</v>
      </c>
      <c r="AM1183">
        <v>0</v>
      </c>
      <c r="AN1183" s="2">
        <f>IF((2*G1183+M1183-O1183+3*V1183+2*AB1183+2*AE1183+2*AH1183+3*AJ1183)&gt;=7,1,0)</f>
        <v>1</v>
      </c>
    </row>
    <row r="1184" spans="1:40" x14ac:dyDescent="0.25">
      <c r="A1184" t="s">
        <v>27</v>
      </c>
      <c r="B1184" s="1">
        <v>40510</v>
      </c>
      <c r="C1184" s="6">
        <f t="shared" si="180"/>
        <v>2010</v>
      </c>
      <c r="D1184">
        <v>78.8</v>
      </c>
      <c r="E1184">
        <v>71.599999999999994</v>
      </c>
      <c r="F1184">
        <v>73.599999999999994</v>
      </c>
      <c r="G1184" s="2">
        <f t="shared" si="181"/>
        <v>1</v>
      </c>
      <c r="H1184">
        <v>78.8</v>
      </c>
      <c r="I1184">
        <v>71.599999999999994</v>
      </c>
      <c r="J1184">
        <v>73.599999999999994</v>
      </c>
      <c r="K1184">
        <v>53.5</v>
      </c>
      <c r="L1184">
        <v>49.8</v>
      </c>
      <c r="M1184" s="2">
        <f t="shared" si="182"/>
        <v>1</v>
      </c>
      <c r="N1184">
        <v>0</v>
      </c>
      <c r="O1184" s="2">
        <f t="shared" si="183"/>
        <v>1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39.1</v>
      </c>
      <c r="V1184" s="2">
        <f t="shared" si="184"/>
        <v>1</v>
      </c>
      <c r="W1184">
        <v>28.9</v>
      </c>
      <c r="X1184" s="2">
        <f t="shared" si="185"/>
        <v>1</v>
      </c>
      <c r="Y1184">
        <v>174.3</v>
      </c>
      <c r="Z1184" s="2" t="str">
        <f>CHOOSE(MATCH(Y1184,{0;11;80;111;161;191;241;281;341},1),"North","NorthEast","East","SouthEast","South","SouthWest","West","NorthWest","North")</f>
        <v>South</v>
      </c>
      <c r="AA1184" s="4">
        <f>CHOOSE(MATCH(Z1184,{"South";"SouthEast";"SouthWest";"North";"NorthEast";"East";"West";"NorthWest"},0),1,2,3,4,5,6,7,8)</f>
        <v>1</v>
      </c>
      <c r="AB1184" s="2">
        <f t="shared" si="186"/>
        <v>0</v>
      </c>
      <c r="AC1184">
        <v>1014.2</v>
      </c>
      <c r="AD1184" t="s">
        <v>59</v>
      </c>
      <c r="AE1184" s="2">
        <f t="shared" si="187"/>
        <v>0</v>
      </c>
      <c r="AF1184" t="s">
        <v>1725</v>
      </c>
      <c r="AG1184" s="2">
        <f t="shared" si="188"/>
        <v>11</v>
      </c>
      <c r="AH1184" s="2">
        <f t="shared" si="189"/>
        <v>0</v>
      </c>
      <c r="AI1184" s="3">
        <v>209.99999999301511</v>
      </c>
      <c r="AJ1184" s="2">
        <v>0</v>
      </c>
      <c r="AK1184">
        <v>2</v>
      </c>
      <c r="AL1184">
        <v>0</v>
      </c>
      <c r="AM1184">
        <v>0</v>
      </c>
      <c r="AN1184" s="2">
        <f>IF((2*G1184+M1184-O1184+3*V1184+2*AB1184+2*AE1184+2*AH1184+3*AJ1184)&gt;=7,1,0)</f>
        <v>0</v>
      </c>
    </row>
    <row r="1185" spans="1:40" x14ac:dyDescent="0.25">
      <c r="A1185" t="s">
        <v>27</v>
      </c>
      <c r="B1185" s="1">
        <v>40511</v>
      </c>
      <c r="C1185" s="6">
        <f t="shared" si="180"/>
        <v>2010</v>
      </c>
      <c r="D1185">
        <v>80.599999999999994</v>
      </c>
      <c r="E1185">
        <v>68</v>
      </c>
      <c r="F1185">
        <v>73.2</v>
      </c>
      <c r="G1185" s="2">
        <f t="shared" si="181"/>
        <v>1</v>
      </c>
      <c r="H1185">
        <v>79.900000000000006</v>
      </c>
      <c r="I1185">
        <v>68</v>
      </c>
      <c r="J1185">
        <v>73.099999999999994</v>
      </c>
      <c r="K1185">
        <v>53.3</v>
      </c>
      <c r="L1185">
        <v>50.5</v>
      </c>
      <c r="M1185" s="2">
        <f t="shared" si="182"/>
        <v>1</v>
      </c>
      <c r="N1185">
        <v>0</v>
      </c>
      <c r="O1185" s="2">
        <f t="shared" si="183"/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 s="2">
        <f t="shared" si="184"/>
        <v>0</v>
      </c>
      <c r="W1185">
        <v>26.4</v>
      </c>
      <c r="X1185" s="2">
        <f t="shared" si="185"/>
        <v>1</v>
      </c>
      <c r="Y1185">
        <v>165</v>
      </c>
      <c r="Z1185" s="2" t="str">
        <f>CHOOSE(MATCH(Y1185,{0;11;80;111;161;191;241;281;341},1),"North","NorthEast","East","SouthEast","South","SouthWest","West","NorthWest","North")</f>
        <v>South</v>
      </c>
      <c r="AA1185" s="4">
        <f>CHOOSE(MATCH(Z1185,{"South";"SouthEast";"SouthWest";"North";"NorthEast";"East";"West";"NorthWest"},0),1,2,3,4,5,6,7,8)</f>
        <v>1</v>
      </c>
      <c r="AB1185" s="2">
        <f t="shared" si="186"/>
        <v>0</v>
      </c>
      <c r="AC1185">
        <v>1014.2</v>
      </c>
      <c r="AD1185" t="s">
        <v>175</v>
      </c>
      <c r="AE1185" s="2">
        <f t="shared" si="187"/>
        <v>1</v>
      </c>
      <c r="AF1185" t="s">
        <v>1726</v>
      </c>
      <c r="AG1185" s="2">
        <f t="shared" si="188"/>
        <v>11</v>
      </c>
      <c r="AH1185" s="2">
        <f t="shared" si="189"/>
        <v>0</v>
      </c>
      <c r="AI1185" s="3">
        <v>95.999999998603016</v>
      </c>
      <c r="AJ1185" s="2">
        <v>0</v>
      </c>
      <c r="AK1185">
        <v>0</v>
      </c>
      <c r="AL1185">
        <v>0.5</v>
      </c>
      <c r="AM1185">
        <v>0</v>
      </c>
      <c r="AN1185" s="2">
        <f>IF((2*G1185+M1185-O1185+3*V1185+2*AB1185+2*AE1185+2*AH1185+3*AJ1185)&gt;=7,1,0)</f>
        <v>0</v>
      </c>
    </row>
    <row r="1186" spans="1:40" x14ac:dyDescent="0.25">
      <c r="A1186" t="s">
        <v>27</v>
      </c>
      <c r="B1186" s="1">
        <v>40511</v>
      </c>
      <c r="C1186" s="6">
        <f t="shared" si="180"/>
        <v>2010</v>
      </c>
      <c r="D1186">
        <v>80.599999999999994</v>
      </c>
      <c r="E1186">
        <v>68</v>
      </c>
      <c r="F1186">
        <v>73.2</v>
      </c>
      <c r="G1186" s="2">
        <f t="shared" si="181"/>
        <v>1</v>
      </c>
      <c r="H1186">
        <v>79.900000000000006</v>
      </c>
      <c r="I1186">
        <v>68</v>
      </c>
      <c r="J1186">
        <v>73.099999999999994</v>
      </c>
      <c r="K1186">
        <v>53.3</v>
      </c>
      <c r="L1186">
        <v>50.5</v>
      </c>
      <c r="M1186" s="2">
        <f t="shared" si="182"/>
        <v>1</v>
      </c>
      <c r="N1186">
        <v>0</v>
      </c>
      <c r="O1186" s="2">
        <f t="shared" si="183"/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 s="2">
        <f t="shared" si="184"/>
        <v>0</v>
      </c>
      <c r="W1186">
        <v>26.4</v>
      </c>
      <c r="X1186" s="2">
        <f t="shared" si="185"/>
        <v>1</v>
      </c>
      <c r="Y1186">
        <v>165</v>
      </c>
      <c r="Z1186" s="2" t="str">
        <f>CHOOSE(MATCH(Y1186,{0;11;80;111;161;191;241;281;341},1),"North","NorthEast","East","SouthEast","South","SouthWest","West","NorthWest","North")</f>
        <v>South</v>
      </c>
      <c r="AA1186" s="4">
        <f>CHOOSE(MATCH(Z1186,{"South";"SouthEast";"SouthWest";"North";"NorthEast";"East";"West";"NorthWest"},0),1,2,3,4,5,6,7,8)</f>
        <v>1</v>
      </c>
      <c r="AB1186" s="2">
        <f t="shared" si="186"/>
        <v>0</v>
      </c>
      <c r="AC1186">
        <v>1014.2</v>
      </c>
      <c r="AD1186" t="s">
        <v>1727</v>
      </c>
      <c r="AE1186" s="2">
        <f t="shared" si="187"/>
        <v>1</v>
      </c>
      <c r="AF1186" t="s">
        <v>1728</v>
      </c>
      <c r="AG1186" s="2">
        <f t="shared" si="188"/>
        <v>11</v>
      </c>
      <c r="AH1186" s="2">
        <f t="shared" si="189"/>
        <v>0</v>
      </c>
      <c r="AI1186" s="3">
        <v>219.00000000139701</v>
      </c>
      <c r="AJ1186" s="2">
        <v>0</v>
      </c>
      <c r="AK1186">
        <v>5</v>
      </c>
      <c r="AL1186">
        <v>0</v>
      </c>
      <c r="AM1186">
        <v>0</v>
      </c>
      <c r="AN1186" s="2">
        <f>IF((2*G1186+M1186-O1186+3*V1186+2*AB1186+2*AE1186+2*AH1186+3*AJ1186)&gt;=7,1,0)</f>
        <v>0</v>
      </c>
    </row>
    <row r="1187" spans="1:40" x14ac:dyDescent="0.25">
      <c r="A1187" t="s">
        <v>27</v>
      </c>
      <c r="B1187" s="1">
        <v>40513</v>
      </c>
      <c r="C1187" s="6">
        <f t="shared" si="180"/>
        <v>2010</v>
      </c>
      <c r="D1187">
        <v>82.4</v>
      </c>
      <c r="E1187">
        <v>66.2</v>
      </c>
      <c r="F1187">
        <v>72.3</v>
      </c>
      <c r="G1187" s="2">
        <f t="shared" si="181"/>
        <v>1</v>
      </c>
      <c r="H1187">
        <v>80.8</v>
      </c>
      <c r="I1187">
        <v>66.2</v>
      </c>
      <c r="J1187">
        <v>72</v>
      </c>
      <c r="K1187">
        <v>49.5</v>
      </c>
      <c r="L1187">
        <v>46.5</v>
      </c>
      <c r="M1187" s="2">
        <f t="shared" si="182"/>
        <v>1</v>
      </c>
      <c r="N1187">
        <v>0</v>
      </c>
      <c r="O1187" s="2">
        <f t="shared" si="183"/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 s="2">
        <f t="shared" si="184"/>
        <v>0</v>
      </c>
      <c r="W1187">
        <v>23</v>
      </c>
      <c r="X1187" s="2">
        <f t="shared" si="185"/>
        <v>1</v>
      </c>
      <c r="Y1187">
        <v>170.9</v>
      </c>
      <c r="Z1187" s="2" t="str">
        <f>CHOOSE(MATCH(Y1187,{0;11;80;111;161;191;241;281;341},1),"North","NorthEast","East","SouthEast","South","SouthWest","West","NorthWest","North")</f>
        <v>South</v>
      </c>
      <c r="AA1187" s="4">
        <f>CHOOSE(MATCH(Z1187,{"South";"SouthEast";"SouthWest";"North";"NorthEast";"East";"West";"NorthWest"},0),1,2,3,4,5,6,7,8)</f>
        <v>1</v>
      </c>
      <c r="AB1187" s="2">
        <f t="shared" si="186"/>
        <v>0</v>
      </c>
      <c r="AC1187">
        <v>1015.3</v>
      </c>
      <c r="AD1187" t="s">
        <v>1729</v>
      </c>
      <c r="AE1187" s="2">
        <f t="shared" si="187"/>
        <v>0</v>
      </c>
      <c r="AF1187" t="s">
        <v>1730</v>
      </c>
      <c r="AG1187" s="2">
        <f t="shared" si="188"/>
        <v>12</v>
      </c>
      <c r="AH1187" s="2">
        <f t="shared" si="189"/>
        <v>0</v>
      </c>
      <c r="AI1187" s="3">
        <v>142.9999999946449</v>
      </c>
      <c r="AJ1187" s="2">
        <v>0</v>
      </c>
      <c r="AK1187">
        <v>0</v>
      </c>
      <c r="AL1187">
        <v>0.5</v>
      </c>
      <c r="AM1187">
        <v>0</v>
      </c>
      <c r="AN1187" s="2">
        <f>IF((2*G1187+M1187-O1187+3*V1187+2*AB1187+2*AE1187+2*AH1187+3*AJ1187)&gt;=7,1,0)</f>
        <v>0</v>
      </c>
    </row>
    <row r="1188" spans="1:40" x14ac:dyDescent="0.25">
      <c r="A1188" t="s">
        <v>27</v>
      </c>
      <c r="B1188" s="1">
        <v>40513</v>
      </c>
      <c r="C1188" s="6">
        <f t="shared" si="180"/>
        <v>2010</v>
      </c>
      <c r="D1188">
        <v>82.4</v>
      </c>
      <c r="E1188">
        <v>66.2</v>
      </c>
      <c r="F1188">
        <v>72.3</v>
      </c>
      <c r="G1188" s="2">
        <f t="shared" si="181"/>
        <v>1</v>
      </c>
      <c r="H1188">
        <v>80.8</v>
      </c>
      <c r="I1188">
        <v>66.2</v>
      </c>
      <c r="J1188">
        <v>72</v>
      </c>
      <c r="K1188">
        <v>49.5</v>
      </c>
      <c r="L1188">
        <v>46.5</v>
      </c>
      <c r="M1188" s="2">
        <f t="shared" si="182"/>
        <v>1</v>
      </c>
      <c r="N1188">
        <v>0</v>
      </c>
      <c r="O1188" s="2">
        <f t="shared" si="183"/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 s="2">
        <f t="shared" si="184"/>
        <v>0</v>
      </c>
      <c r="W1188">
        <v>23</v>
      </c>
      <c r="X1188" s="2">
        <f t="shared" si="185"/>
        <v>1</v>
      </c>
      <c r="Y1188">
        <v>170.9</v>
      </c>
      <c r="Z1188" s="2" t="str">
        <f>CHOOSE(MATCH(Y1188,{0;11;80;111;161;191;241;281;341},1),"North","NorthEast","East","SouthEast","South","SouthWest","West","NorthWest","North")</f>
        <v>South</v>
      </c>
      <c r="AA1188" s="4">
        <f>CHOOSE(MATCH(Z1188,{"South";"SouthEast";"SouthWest";"North";"NorthEast";"East";"West";"NorthWest"},0),1,2,3,4,5,6,7,8)</f>
        <v>1</v>
      </c>
      <c r="AB1188" s="2">
        <f t="shared" si="186"/>
        <v>0</v>
      </c>
      <c r="AC1188">
        <v>1015.3</v>
      </c>
      <c r="AD1188" t="s">
        <v>266</v>
      </c>
      <c r="AE1188" s="2">
        <f t="shared" si="187"/>
        <v>1</v>
      </c>
      <c r="AF1188" t="s">
        <v>1731</v>
      </c>
      <c r="AG1188" s="2">
        <f t="shared" si="188"/>
        <v>12</v>
      </c>
      <c r="AH1188" s="2">
        <f t="shared" si="189"/>
        <v>0</v>
      </c>
      <c r="AI1188" s="3">
        <v>79.999999998835847</v>
      </c>
      <c r="AJ1188" s="2">
        <v>0</v>
      </c>
      <c r="AK1188">
        <v>0</v>
      </c>
      <c r="AL1188">
        <v>2</v>
      </c>
      <c r="AM1188">
        <v>0</v>
      </c>
      <c r="AN1188" s="2">
        <f>IF((2*G1188+M1188-O1188+3*V1188+2*AB1188+2*AE1188+2*AH1188+3*AJ1188)&gt;=7,1,0)</f>
        <v>0</v>
      </c>
    </row>
    <row r="1189" spans="1:40" x14ac:dyDescent="0.25">
      <c r="A1189" t="s">
        <v>27</v>
      </c>
      <c r="B1189" s="1">
        <v>40514</v>
      </c>
      <c r="C1189" s="6">
        <f t="shared" si="180"/>
        <v>2010</v>
      </c>
      <c r="D1189">
        <v>82.4</v>
      </c>
      <c r="E1189">
        <v>64.5</v>
      </c>
      <c r="F1189">
        <v>73.900000000000006</v>
      </c>
      <c r="G1189" s="2">
        <f t="shared" si="181"/>
        <v>1</v>
      </c>
      <c r="H1189">
        <v>81.2</v>
      </c>
      <c r="I1189">
        <v>64.5</v>
      </c>
      <c r="J1189">
        <v>73.7</v>
      </c>
      <c r="K1189">
        <v>49.1</v>
      </c>
      <c r="L1189">
        <v>43</v>
      </c>
      <c r="M1189" s="2">
        <f t="shared" si="182"/>
        <v>1</v>
      </c>
      <c r="N1189">
        <v>0</v>
      </c>
      <c r="O1189" s="2">
        <f t="shared" si="183"/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 s="2">
        <f t="shared" si="184"/>
        <v>0</v>
      </c>
      <c r="W1189">
        <v>21.9</v>
      </c>
      <c r="X1189" s="2">
        <f t="shared" si="185"/>
        <v>1</v>
      </c>
      <c r="Y1189">
        <v>170.4</v>
      </c>
      <c r="Z1189" s="2" t="str">
        <f>CHOOSE(MATCH(Y1189,{0;11;80;111;161;191;241;281;341},1),"North","NorthEast","East","SouthEast","South","SouthWest","West","NorthWest","North")</f>
        <v>South</v>
      </c>
      <c r="AA1189" s="4">
        <f>CHOOSE(MATCH(Z1189,{"South";"SouthEast";"SouthWest";"North";"NorthEast";"East";"West";"NorthWest"},0),1,2,3,4,5,6,7,8)</f>
        <v>1</v>
      </c>
      <c r="AB1189" s="2">
        <f t="shared" si="186"/>
        <v>0</v>
      </c>
      <c r="AC1189">
        <v>1016.2</v>
      </c>
      <c r="AD1189" t="s">
        <v>1732</v>
      </c>
      <c r="AE1189" s="2">
        <f t="shared" si="187"/>
        <v>0</v>
      </c>
      <c r="AF1189" t="s">
        <v>1733</v>
      </c>
      <c r="AG1189" s="2">
        <f t="shared" si="188"/>
        <v>12</v>
      </c>
      <c r="AH1189" s="2">
        <f t="shared" si="189"/>
        <v>0</v>
      </c>
      <c r="AI1189" s="3">
        <v>461.99999999720598</v>
      </c>
      <c r="AJ1189" s="2">
        <v>1</v>
      </c>
      <c r="AK1189">
        <v>0</v>
      </c>
      <c r="AL1189">
        <v>5</v>
      </c>
      <c r="AM1189">
        <v>0</v>
      </c>
      <c r="AN1189" s="2">
        <f>IF((2*G1189+M1189-O1189+3*V1189+2*AB1189+2*AE1189+2*AH1189+3*AJ1189)&gt;=7,1,0)</f>
        <v>0</v>
      </c>
    </row>
    <row r="1190" spans="1:40" x14ac:dyDescent="0.25">
      <c r="A1190" t="s">
        <v>27</v>
      </c>
      <c r="B1190" s="1">
        <v>40514</v>
      </c>
      <c r="C1190" s="6">
        <f t="shared" si="180"/>
        <v>2010</v>
      </c>
      <c r="D1190">
        <v>82.4</v>
      </c>
      <c r="E1190">
        <v>64.5</v>
      </c>
      <c r="F1190">
        <v>73.900000000000006</v>
      </c>
      <c r="G1190" s="2">
        <f t="shared" si="181"/>
        <v>1</v>
      </c>
      <c r="H1190">
        <v>81.2</v>
      </c>
      <c r="I1190">
        <v>64.5</v>
      </c>
      <c r="J1190">
        <v>73.7</v>
      </c>
      <c r="K1190">
        <v>49.1</v>
      </c>
      <c r="L1190">
        <v>43</v>
      </c>
      <c r="M1190" s="2">
        <f t="shared" si="182"/>
        <v>1</v>
      </c>
      <c r="N1190">
        <v>0</v>
      </c>
      <c r="O1190" s="2">
        <f t="shared" si="183"/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 s="2">
        <f t="shared" si="184"/>
        <v>0</v>
      </c>
      <c r="W1190">
        <v>21.9</v>
      </c>
      <c r="X1190" s="2">
        <f t="shared" si="185"/>
        <v>1</v>
      </c>
      <c r="Y1190">
        <v>170.4</v>
      </c>
      <c r="Z1190" s="2" t="str">
        <f>CHOOSE(MATCH(Y1190,{0;11;80;111;161;191;241;281;341},1),"North","NorthEast","East","SouthEast","South","SouthWest","West","NorthWest","North")</f>
        <v>South</v>
      </c>
      <c r="AA1190" s="4">
        <f>CHOOSE(MATCH(Z1190,{"South";"SouthEast";"SouthWest";"North";"NorthEast";"East";"West";"NorthWest"},0),1,2,3,4,5,6,7,8)</f>
        <v>1</v>
      </c>
      <c r="AB1190" s="2">
        <f t="shared" si="186"/>
        <v>0</v>
      </c>
      <c r="AC1190">
        <v>1016.2</v>
      </c>
      <c r="AD1190" t="s">
        <v>677</v>
      </c>
      <c r="AE1190" s="2">
        <f t="shared" si="187"/>
        <v>0</v>
      </c>
      <c r="AF1190" t="s">
        <v>1734</v>
      </c>
      <c r="AG1190" s="2">
        <f t="shared" si="188"/>
        <v>12</v>
      </c>
      <c r="AH1190" s="2">
        <f t="shared" si="189"/>
        <v>0</v>
      </c>
      <c r="AI1190" s="3">
        <v>109.9999999918509</v>
      </c>
      <c r="AJ1190" s="2">
        <v>0</v>
      </c>
      <c r="AK1190">
        <v>0</v>
      </c>
      <c r="AL1190">
        <v>0.5</v>
      </c>
      <c r="AM1190">
        <v>0</v>
      </c>
      <c r="AN1190" s="2">
        <f>IF((2*G1190+M1190-O1190+3*V1190+2*AB1190+2*AE1190+2*AH1190+3*AJ1190)&gt;=7,1,0)</f>
        <v>0</v>
      </c>
    </row>
    <row r="1191" spans="1:40" x14ac:dyDescent="0.25">
      <c r="A1191" t="s">
        <v>27</v>
      </c>
      <c r="B1191" s="1">
        <v>40514</v>
      </c>
      <c r="C1191" s="6">
        <f t="shared" si="180"/>
        <v>2010</v>
      </c>
      <c r="D1191">
        <v>82.4</v>
      </c>
      <c r="E1191">
        <v>64.5</v>
      </c>
      <c r="F1191">
        <v>73.900000000000006</v>
      </c>
      <c r="G1191" s="2">
        <f t="shared" si="181"/>
        <v>1</v>
      </c>
      <c r="H1191">
        <v>81.2</v>
      </c>
      <c r="I1191">
        <v>64.5</v>
      </c>
      <c r="J1191">
        <v>73.7</v>
      </c>
      <c r="K1191">
        <v>49.1</v>
      </c>
      <c r="L1191">
        <v>43</v>
      </c>
      <c r="M1191" s="2">
        <f t="shared" si="182"/>
        <v>1</v>
      </c>
      <c r="N1191">
        <v>0</v>
      </c>
      <c r="O1191" s="2">
        <f t="shared" si="183"/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 s="2">
        <f t="shared" si="184"/>
        <v>0</v>
      </c>
      <c r="W1191">
        <v>21.9</v>
      </c>
      <c r="X1191" s="2">
        <f t="shared" si="185"/>
        <v>1</v>
      </c>
      <c r="Y1191">
        <v>170.4</v>
      </c>
      <c r="Z1191" s="2" t="str">
        <f>CHOOSE(MATCH(Y1191,{0;11;80;111;161;191;241;281;341},1),"North","NorthEast","East","SouthEast","South","SouthWest","West","NorthWest","North")</f>
        <v>South</v>
      </c>
      <c r="AA1191" s="4">
        <f>CHOOSE(MATCH(Z1191,{"South";"SouthEast";"SouthWest";"North";"NorthEast";"East";"West";"NorthWest"},0),1,2,3,4,5,6,7,8)</f>
        <v>1</v>
      </c>
      <c r="AB1191" s="2">
        <f t="shared" si="186"/>
        <v>0</v>
      </c>
      <c r="AC1191">
        <v>1016.2</v>
      </c>
      <c r="AD1191" t="s">
        <v>823</v>
      </c>
      <c r="AE1191" s="2">
        <f t="shared" si="187"/>
        <v>0</v>
      </c>
      <c r="AF1191" t="s">
        <v>1735</v>
      </c>
      <c r="AG1191" s="2">
        <f t="shared" si="188"/>
        <v>12</v>
      </c>
      <c r="AH1191" s="2">
        <f t="shared" si="189"/>
        <v>0</v>
      </c>
      <c r="AI1191" s="3">
        <v>1724.999999996508</v>
      </c>
      <c r="AJ1191" s="2">
        <v>1</v>
      </c>
      <c r="AK1191">
        <v>0</v>
      </c>
      <c r="AL1191">
        <v>10</v>
      </c>
      <c r="AM1191">
        <v>0</v>
      </c>
      <c r="AN1191" s="2">
        <f>IF((2*G1191+M1191-O1191+3*V1191+2*AB1191+2*AE1191+2*AH1191+3*AJ1191)&gt;=7,1,0)</f>
        <v>0</v>
      </c>
    </row>
    <row r="1192" spans="1:40" x14ac:dyDescent="0.25">
      <c r="A1192" t="s">
        <v>27</v>
      </c>
      <c r="B1192" s="1">
        <v>40517</v>
      </c>
      <c r="C1192" s="6">
        <f t="shared" si="180"/>
        <v>2010</v>
      </c>
      <c r="D1192">
        <v>64.400000000000006</v>
      </c>
      <c r="E1192">
        <v>60.8</v>
      </c>
      <c r="F1192">
        <v>62.9</v>
      </c>
      <c r="G1192" s="2">
        <f t="shared" si="181"/>
        <v>0</v>
      </c>
      <c r="H1192">
        <v>64.400000000000006</v>
      </c>
      <c r="I1192">
        <v>60.8</v>
      </c>
      <c r="J1192">
        <v>62.9</v>
      </c>
      <c r="K1192">
        <v>48.4</v>
      </c>
      <c r="L1192">
        <v>59.8</v>
      </c>
      <c r="M1192" s="2">
        <f t="shared" si="182"/>
        <v>1</v>
      </c>
      <c r="N1192">
        <v>0</v>
      </c>
      <c r="O1192" s="2">
        <f t="shared" si="183"/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 s="2">
        <f t="shared" si="184"/>
        <v>0</v>
      </c>
      <c r="W1192">
        <v>26.4</v>
      </c>
      <c r="X1192" s="2">
        <f t="shared" si="185"/>
        <v>1</v>
      </c>
      <c r="Y1192">
        <v>297.8</v>
      </c>
      <c r="Z1192" s="2" t="str">
        <f>CHOOSE(MATCH(Y1192,{0;11;80;111;161;191;241;281;341},1),"North","NorthEast","East","SouthEast","South","SouthWest","West","NorthWest","North")</f>
        <v>NorthWest</v>
      </c>
      <c r="AA1192" s="4">
        <f>CHOOSE(MATCH(Z1192,{"South";"SouthEast";"SouthWest";"North";"NorthEast";"East";"West";"NorthWest"},0),1,2,3,4,5,6,7,8)</f>
        <v>8</v>
      </c>
      <c r="AB1192" s="2">
        <f t="shared" si="186"/>
        <v>1</v>
      </c>
      <c r="AC1192">
        <v>1016</v>
      </c>
      <c r="AD1192" t="s">
        <v>1736</v>
      </c>
      <c r="AE1192" s="2">
        <f t="shared" si="187"/>
        <v>0</v>
      </c>
      <c r="AF1192" t="s">
        <v>1737</v>
      </c>
      <c r="AG1192" s="2">
        <f t="shared" si="188"/>
        <v>12</v>
      </c>
      <c r="AH1192" s="2">
        <f t="shared" si="189"/>
        <v>0</v>
      </c>
      <c r="AI1192" s="3">
        <v>34.999999998835847</v>
      </c>
      <c r="AJ1192" s="2">
        <v>0</v>
      </c>
      <c r="AK1192">
        <v>0</v>
      </c>
      <c r="AL1192">
        <v>0.1</v>
      </c>
      <c r="AM1192">
        <v>0</v>
      </c>
      <c r="AN1192" s="2">
        <f>IF((2*G1192+M1192-O1192+3*V1192+2*AB1192+2*AE1192+2*AH1192+3*AJ1192)&gt;=7,1,0)</f>
        <v>0</v>
      </c>
    </row>
    <row r="1193" spans="1:40" x14ac:dyDescent="0.25">
      <c r="A1193" t="s">
        <v>27</v>
      </c>
      <c r="B1193" s="1">
        <v>40520</v>
      </c>
      <c r="C1193" s="6">
        <f t="shared" si="180"/>
        <v>2010</v>
      </c>
      <c r="D1193">
        <v>69.900000000000006</v>
      </c>
      <c r="E1193">
        <v>57.2</v>
      </c>
      <c r="F1193">
        <v>62.4</v>
      </c>
      <c r="G1193" s="2">
        <f t="shared" si="181"/>
        <v>0</v>
      </c>
      <c r="H1193">
        <v>69.900000000000006</v>
      </c>
      <c r="I1193">
        <v>57.2</v>
      </c>
      <c r="J1193">
        <v>62.4</v>
      </c>
      <c r="K1193">
        <v>56</v>
      </c>
      <c r="L1193">
        <v>80.099999999999994</v>
      </c>
      <c r="M1193" s="2">
        <f t="shared" si="182"/>
        <v>0</v>
      </c>
      <c r="N1193">
        <v>0</v>
      </c>
      <c r="O1193" s="2">
        <f t="shared" si="183"/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 s="2">
        <f t="shared" si="184"/>
        <v>0</v>
      </c>
      <c r="W1193">
        <v>10.3</v>
      </c>
      <c r="X1193" s="2">
        <f t="shared" si="185"/>
        <v>0</v>
      </c>
      <c r="Y1193">
        <v>168.1</v>
      </c>
      <c r="Z1193" s="2" t="str">
        <f>CHOOSE(MATCH(Y1193,{0;11;80;111;161;191;241;281;341},1),"North","NorthEast","East","SouthEast","South","SouthWest","West","NorthWest","North")</f>
        <v>South</v>
      </c>
      <c r="AA1193" s="4">
        <f>CHOOSE(MATCH(Z1193,{"South";"SouthEast";"SouthWest";"North";"NorthEast";"East";"West";"NorthWest"},0),1,2,3,4,5,6,7,8)</f>
        <v>1</v>
      </c>
      <c r="AB1193" s="2">
        <f t="shared" si="186"/>
        <v>0</v>
      </c>
      <c r="AC1193">
        <v>1018.1</v>
      </c>
      <c r="AD1193" t="s">
        <v>173</v>
      </c>
      <c r="AE1193" s="2">
        <f t="shared" si="187"/>
        <v>0</v>
      </c>
      <c r="AF1193" t="s">
        <v>1738</v>
      </c>
      <c r="AG1193" s="2">
        <f t="shared" si="188"/>
        <v>12</v>
      </c>
      <c r="AH1193" s="2">
        <f t="shared" si="189"/>
        <v>0</v>
      </c>
      <c r="AI1193" s="3">
        <v>155.99999999511061</v>
      </c>
      <c r="AJ1193" s="2">
        <v>0</v>
      </c>
      <c r="AK1193">
        <v>0</v>
      </c>
      <c r="AL1193">
        <v>2</v>
      </c>
      <c r="AM1193">
        <v>0</v>
      </c>
      <c r="AN1193" s="2">
        <f>IF((2*G1193+M1193-O1193+3*V1193+2*AB1193+2*AE1193+2*AH1193+3*AJ1193)&gt;=7,1,0)</f>
        <v>0</v>
      </c>
    </row>
    <row r="1194" spans="1:40" x14ac:dyDescent="0.25">
      <c r="A1194" t="s">
        <v>27</v>
      </c>
      <c r="B1194" s="1">
        <v>40533</v>
      </c>
      <c r="C1194" s="6">
        <f t="shared" si="180"/>
        <v>2010</v>
      </c>
      <c r="D1194">
        <v>66.2</v>
      </c>
      <c r="E1194">
        <v>60.8</v>
      </c>
      <c r="F1194">
        <v>63.4</v>
      </c>
      <c r="G1194" s="2">
        <f t="shared" si="181"/>
        <v>0</v>
      </c>
      <c r="H1194">
        <v>66.2</v>
      </c>
      <c r="I1194">
        <v>60.8</v>
      </c>
      <c r="J1194">
        <v>63.4</v>
      </c>
      <c r="K1194">
        <v>51</v>
      </c>
      <c r="L1194">
        <v>64.3</v>
      </c>
      <c r="M1194" s="2">
        <f t="shared" si="182"/>
        <v>1</v>
      </c>
      <c r="N1194">
        <v>0</v>
      </c>
      <c r="O1194" s="2">
        <f t="shared" si="183"/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40.299999999999997</v>
      </c>
      <c r="V1194" s="2">
        <f t="shared" si="184"/>
        <v>1</v>
      </c>
      <c r="W1194">
        <v>28.9</v>
      </c>
      <c r="X1194" s="2">
        <f t="shared" si="185"/>
        <v>1</v>
      </c>
      <c r="Y1194">
        <v>182</v>
      </c>
      <c r="Z1194" s="2" t="str">
        <f>CHOOSE(MATCH(Y1194,{0;11;80;111;161;191;241;281;341},1),"North","NorthEast","East","SouthEast","South","SouthWest","West","NorthWest","North")</f>
        <v>South</v>
      </c>
      <c r="AA1194" s="4">
        <f>CHOOSE(MATCH(Z1194,{"South";"SouthEast";"SouthWest";"North";"NorthEast";"East";"West";"NorthWest"},0),1,2,3,4,5,6,7,8)</f>
        <v>1</v>
      </c>
      <c r="AB1194" s="2">
        <f t="shared" si="186"/>
        <v>0</v>
      </c>
      <c r="AC1194">
        <v>1018.3</v>
      </c>
      <c r="AD1194" t="s">
        <v>1739</v>
      </c>
      <c r="AE1194" s="2">
        <f t="shared" si="187"/>
        <v>1</v>
      </c>
      <c r="AF1194" t="s">
        <v>1740</v>
      </c>
      <c r="AG1194" s="2">
        <f t="shared" si="188"/>
        <v>12</v>
      </c>
      <c r="AH1194" s="2">
        <f t="shared" si="189"/>
        <v>0</v>
      </c>
      <c r="AI1194" s="3">
        <v>124.9999999988358</v>
      </c>
      <c r="AJ1194" s="2">
        <v>0</v>
      </c>
      <c r="AK1194">
        <v>1</v>
      </c>
      <c r="AL1194">
        <v>0</v>
      </c>
      <c r="AM1194">
        <v>0</v>
      </c>
      <c r="AN1194" s="2">
        <f>IF((2*G1194+M1194-O1194+3*V1194+2*AB1194+2*AE1194+2*AH1194+3*AJ1194)&gt;=7,1,0)</f>
        <v>0</v>
      </c>
    </row>
    <row r="1195" spans="1:40" x14ac:dyDescent="0.25">
      <c r="A1195" t="s">
        <v>27</v>
      </c>
      <c r="B1195" s="1">
        <v>40533</v>
      </c>
      <c r="C1195" s="6">
        <f t="shared" si="180"/>
        <v>2010</v>
      </c>
      <c r="D1195">
        <v>66.2</v>
      </c>
      <c r="E1195">
        <v>60.8</v>
      </c>
      <c r="F1195">
        <v>63.4</v>
      </c>
      <c r="G1195" s="2">
        <f t="shared" si="181"/>
        <v>0</v>
      </c>
      <c r="H1195">
        <v>66.2</v>
      </c>
      <c r="I1195">
        <v>60.8</v>
      </c>
      <c r="J1195">
        <v>63.4</v>
      </c>
      <c r="K1195">
        <v>51</v>
      </c>
      <c r="L1195">
        <v>64.3</v>
      </c>
      <c r="M1195" s="2">
        <f t="shared" si="182"/>
        <v>1</v>
      </c>
      <c r="N1195">
        <v>0</v>
      </c>
      <c r="O1195" s="2">
        <f t="shared" si="183"/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40.299999999999997</v>
      </c>
      <c r="V1195" s="2">
        <f t="shared" si="184"/>
        <v>1</v>
      </c>
      <c r="W1195">
        <v>28.9</v>
      </c>
      <c r="X1195" s="2">
        <f t="shared" si="185"/>
        <v>1</v>
      </c>
      <c r="Y1195">
        <v>182</v>
      </c>
      <c r="Z1195" s="2" t="str">
        <f>CHOOSE(MATCH(Y1195,{0;11;80;111;161;191;241;281;341},1),"North","NorthEast","East","SouthEast","South","SouthWest","West","NorthWest","North")</f>
        <v>South</v>
      </c>
      <c r="AA1195" s="4">
        <f>CHOOSE(MATCH(Z1195,{"South";"SouthEast";"SouthWest";"North";"NorthEast";"East";"West";"NorthWest"},0),1,2,3,4,5,6,7,8)</f>
        <v>1</v>
      </c>
      <c r="AB1195" s="2">
        <f t="shared" si="186"/>
        <v>0</v>
      </c>
      <c r="AC1195">
        <v>1018.3</v>
      </c>
      <c r="AD1195" t="s">
        <v>339</v>
      </c>
      <c r="AE1195" s="2">
        <f t="shared" si="187"/>
        <v>0</v>
      </c>
      <c r="AF1195" t="s">
        <v>1741</v>
      </c>
      <c r="AG1195" s="2">
        <f t="shared" si="188"/>
        <v>12</v>
      </c>
      <c r="AH1195" s="2">
        <f t="shared" si="189"/>
        <v>0</v>
      </c>
      <c r="AI1195" s="3">
        <v>180</v>
      </c>
      <c r="AJ1195" s="2">
        <v>0</v>
      </c>
      <c r="AK1195">
        <v>0</v>
      </c>
      <c r="AL1195">
        <v>0.1</v>
      </c>
      <c r="AM1195">
        <v>0</v>
      </c>
      <c r="AN1195" s="2">
        <f>IF((2*G1195+M1195-O1195+3*V1195+2*AB1195+2*AE1195+2*AH1195+3*AJ1195)&gt;=7,1,0)</f>
        <v>0</v>
      </c>
    </row>
    <row r="1196" spans="1:40" x14ac:dyDescent="0.25">
      <c r="A1196" t="s">
        <v>27</v>
      </c>
      <c r="B1196" s="1">
        <v>40537</v>
      </c>
      <c r="C1196" s="6">
        <f t="shared" si="180"/>
        <v>2010</v>
      </c>
      <c r="D1196">
        <v>69.900000000000006</v>
      </c>
      <c r="E1196">
        <v>64.400000000000006</v>
      </c>
      <c r="F1196">
        <v>66.400000000000006</v>
      </c>
      <c r="G1196" s="2">
        <f t="shared" si="181"/>
        <v>0</v>
      </c>
      <c r="H1196">
        <v>69.900000000000006</v>
      </c>
      <c r="I1196">
        <v>64.400000000000006</v>
      </c>
      <c r="J1196">
        <v>66.400000000000006</v>
      </c>
      <c r="K1196">
        <v>51.7</v>
      </c>
      <c r="L1196">
        <v>59.6</v>
      </c>
      <c r="M1196" s="2">
        <f t="shared" si="182"/>
        <v>1</v>
      </c>
      <c r="N1196">
        <v>0</v>
      </c>
      <c r="O1196" s="2">
        <f t="shared" si="183"/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42.5</v>
      </c>
      <c r="V1196" s="2">
        <f t="shared" si="184"/>
        <v>1</v>
      </c>
      <c r="W1196">
        <v>31.1</v>
      </c>
      <c r="X1196" s="2">
        <f t="shared" si="185"/>
        <v>1</v>
      </c>
      <c r="Y1196">
        <v>175.1</v>
      </c>
      <c r="Z1196" s="2" t="str">
        <f>CHOOSE(MATCH(Y1196,{0;11;80;111;161;191;241;281;341},1),"North","NorthEast","East","SouthEast","South","SouthWest","West","NorthWest","North")</f>
        <v>South</v>
      </c>
      <c r="AA1196" s="4">
        <f>CHOOSE(MATCH(Z1196,{"South";"SouthEast";"SouthWest";"North";"NorthEast";"East";"West";"NorthWest"},0),1,2,3,4,5,6,7,8)</f>
        <v>1</v>
      </c>
      <c r="AB1196" s="2">
        <f t="shared" si="186"/>
        <v>0</v>
      </c>
      <c r="AC1196">
        <v>1010.6</v>
      </c>
      <c r="AD1196" t="s">
        <v>429</v>
      </c>
      <c r="AE1196" s="2">
        <f t="shared" si="187"/>
        <v>1</v>
      </c>
      <c r="AF1196" t="s">
        <v>1742</v>
      </c>
      <c r="AG1196" s="2">
        <f t="shared" si="188"/>
        <v>12</v>
      </c>
      <c r="AH1196" s="2">
        <f t="shared" si="189"/>
        <v>0</v>
      </c>
      <c r="AI1196" s="3">
        <v>59.99999999650754</v>
      </c>
      <c r="AJ1196" s="2">
        <v>0</v>
      </c>
      <c r="AK1196">
        <v>0</v>
      </c>
      <c r="AL1196">
        <v>0.1</v>
      </c>
      <c r="AM1196">
        <v>0</v>
      </c>
      <c r="AN1196" s="2">
        <f>IF((2*G1196+M1196-O1196+3*V1196+2*AB1196+2*AE1196+2*AH1196+3*AJ1196)&gt;=7,1,0)</f>
        <v>0</v>
      </c>
    </row>
    <row r="1197" spans="1:40" x14ac:dyDescent="0.25">
      <c r="A1197" t="s">
        <v>27</v>
      </c>
      <c r="B1197" s="1">
        <v>40539</v>
      </c>
      <c r="C1197" s="6">
        <f t="shared" si="180"/>
        <v>2010</v>
      </c>
      <c r="D1197">
        <v>69.900000000000006</v>
      </c>
      <c r="E1197">
        <v>57.2</v>
      </c>
      <c r="F1197">
        <v>62.5</v>
      </c>
      <c r="G1197" s="2">
        <f t="shared" si="181"/>
        <v>0</v>
      </c>
      <c r="H1197">
        <v>69.900000000000006</v>
      </c>
      <c r="I1197">
        <v>57.2</v>
      </c>
      <c r="J1197">
        <v>62.5</v>
      </c>
      <c r="K1197">
        <v>55.1</v>
      </c>
      <c r="L1197">
        <v>77.5</v>
      </c>
      <c r="M1197" s="2">
        <f t="shared" si="182"/>
        <v>0</v>
      </c>
      <c r="N1197">
        <v>0</v>
      </c>
      <c r="O1197" s="2">
        <f t="shared" si="183"/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 s="2">
        <f t="shared" si="184"/>
        <v>0</v>
      </c>
      <c r="W1197">
        <v>20.8</v>
      </c>
      <c r="X1197" s="2">
        <f t="shared" si="185"/>
        <v>1</v>
      </c>
      <c r="Y1197">
        <v>184.8</v>
      </c>
      <c r="Z1197" s="2" t="str">
        <f>CHOOSE(MATCH(Y1197,{0;11;80;111;161;191;241;281;341},1),"North","NorthEast","East","SouthEast","South","SouthWest","West","NorthWest","North")</f>
        <v>South</v>
      </c>
      <c r="AA1197" s="4">
        <f>CHOOSE(MATCH(Z1197,{"South";"SouthEast";"SouthWest";"North";"NorthEast";"East";"West";"NorthWest"},0),1,2,3,4,5,6,7,8)</f>
        <v>1</v>
      </c>
      <c r="AB1197" s="2">
        <f t="shared" si="186"/>
        <v>0</v>
      </c>
      <c r="AC1197">
        <v>1012.2</v>
      </c>
      <c r="AD1197" t="s">
        <v>1743</v>
      </c>
      <c r="AE1197" s="2">
        <f t="shared" si="187"/>
        <v>1</v>
      </c>
      <c r="AF1197" t="s">
        <v>1744</v>
      </c>
      <c r="AG1197" s="2">
        <f t="shared" si="188"/>
        <v>12</v>
      </c>
      <c r="AH1197" s="2">
        <f t="shared" si="189"/>
        <v>0</v>
      </c>
      <c r="AI1197" s="3">
        <v>147.00000000768341</v>
      </c>
      <c r="AJ1197" s="2">
        <v>0</v>
      </c>
      <c r="AK1197">
        <v>2</v>
      </c>
      <c r="AL1197">
        <v>0</v>
      </c>
      <c r="AM1197">
        <v>0</v>
      </c>
      <c r="AN1197" s="2">
        <f>IF((2*G1197+M1197-O1197+3*V1197+2*AB1197+2*AE1197+2*AH1197+3*AJ1197)&gt;=7,1,0)</f>
        <v>0</v>
      </c>
    </row>
    <row r="1198" spans="1:40" x14ac:dyDescent="0.25">
      <c r="A1198" t="s">
        <v>27</v>
      </c>
      <c r="B1198" s="1">
        <v>40581</v>
      </c>
      <c r="C1198" s="6">
        <f t="shared" si="180"/>
        <v>2011</v>
      </c>
      <c r="D1198">
        <v>62.6</v>
      </c>
      <c r="E1198">
        <v>46.4</v>
      </c>
      <c r="F1198">
        <v>54.7</v>
      </c>
      <c r="G1198" s="2">
        <f t="shared" si="181"/>
        <v>0</v>
      </c>
      <c r="H1198">
        <v>62.6</v>
      </c>
      <c r="I1198">
        <v>43.5</v>
      </c>
      <c r="J1198">
        <v>53.8</v>
      </c>
      <c r="K1198">
        <v>48.8</v>
      </c>
      <c r="L1198">
        <v>81.2</v>
      </c>
      <c r="M1198" s="2">
        <f t="shared" si="182"/>
        <v>0</v>
      </c>
      <c r="N1198">
        <v>0</v>
      </c>
      <c r="O1198" s="2">
        <f t="shared" si="183"/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 s="2">
        <f t="shared" si="184"/>
        <v>0</v>
      </c>
      <c r="W1198">
        <v>17.2</v>
      </c>
      <c r="X1198" s="2">
        <f t="shared" si="185"/>
        <v>1</v>
      </c>
      <c r="Y1198">
        <v>295.2</v>
      </c>
      <c r="Z1198" s="2" t="str">
        <f>CHOOSE(MATCH(Y1198,{0;11;80;111;161;191;241;281;341},1),"North","NorthEast","East","SouthEast","South","SouthWest","West","NorthWest","North")</f>
        <v>NorthWest</v>
      </c>
      <c r="AA1198" s="4">
        <f>CHOOSE(MATCH(Z1198,{"South";"SouthEast";"SouthWest";"North";"NorthEast";"East";"West";"NorthWest"},0),1,2,3,4,5,6,7,8)</f>
        <v>8</v>
      </c>
      <c r="AB1198" s="2">
        <f t="shared" si="186"/>
        <v>1</v>
      </c>
      <c r="AC1198">
        <v>1019.4</v>
      </c>
      <c r="AD1198" t="s">
        <v>1745</v>
      </c>
      <c r="AE1198" s="2">
        <f t="shared" si="187"/>
        <v>1</v>
      </c>
      <c r="AF1198" t="s">
        <v>1746</v>
      </c>
      <c r="AG1198" s="2">
        <f t="shared" si="188"/>
        <v>2</v>
      </c>
      <c r="AH1198" s="2">
        <f t="shared" si="189"/>
        <v>0</v>
      </c>
      <c r="AI1198" s="3">
        <v>135.99999999278231</v>
      </c>
      <c r="AJ1198" s="2">
        <v>0</v>
      </c>
      <c r="AK1198">
        <v>0</v>
      </c>
      <c r="AL1198">
        <v>6</v>
      </c>
      <c r="AM1198">
        <v>0</v>
      </c>
      <c r="AN1198" s="2">
        <f>IF((2*G1198+M1198-O1198+3*V1198+2*AB1198+2*AE1198+2*AH1198+3*AJ1198)&gt;=7,1,0)</f>
        <v>0</v>
      </c>
    </row>
    <row r="1199" spans="1:40" x14ac:dyDescent="0.25">
      <c r="A1199" t="s">
        <v>27</v>
      </c>
      <c r="B1199" s="1">
        <v>40581</v>
      </c>
      <c r="C1199" s="6">
        <f t="shared" si="180"/>
        <v>2011</v>
      </c>
      <c r="D1199">
        <v>62.6</v>
      </c>
      <c r="E1199">
        <v>46.4</v>
      </c>
      <c r="F1199">
        <v>54.7</v>
      </c>
      <c r="G1199" s="2">
        <f t="shared" si="181"/>
        <v>0</v>
      </c>
      <c r="H1199">
        <v>62.6</v>
      </c>
      <c r="I1199">
        <v>43.5</v>
      </c>
      <c r="J1199">
        <v>53.8</v>
      </c>
      <c r="K1199">
        <v>48.8</v>
      </c>
      <c r="L1199">
        <v>81.2</v>
      </c>
      <c r="M1199" s="2">
        <f t="shared" si="182"/>
        <v>0</v>
      </c>
      <c r="N1199">
        <v>0</v>
      </c>
      <c r="O1199" s="2">
        <f t="shared" si="183"/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 s="2">
        <f t="shared" si="184"/>
        <v>0</v>
      </c>
      <c r="W1199">
        <v>17.2</v>
      </c>
      <c r="X1199" s="2">
        <f t="shared" si="185"/>
        <v>1</v>
      </c>
      <c r="Y1199">
        <v>295.2</v>
      </c>
      <c r="Z1199" s="2" t="str">
        <f>CHOOSE(MATCH(Y1199,{0;11;80;111;161;191;241;281;341},1),"North","NorthEast","East","SouthEast","South","SouthWest","West","NorthWest","North")</f>
        <v>NorthWest</v>
      </c>
      <c r="AA1199" s="4">
        <f>CHOOSE(MATCH(Z1199,{"South";"SouthEast";"SouthWest";"North";"NorthEast";"East";"West";"NorthWest"},0),1,2,3,4,5,6,7,8)</f>
        <v>8</v>
      </c>
      <c r="AB1199" s="2">
        <f t="shared" si="186"/>
        <v>1</v>
      </c>
      <c r="AC1199">
        <v>1019.4</v>
      </c>
      <c r="AD1199" t="s">
        <v>1075</v>
      </c>
      <c r="AE1199" s="2">
        <f t="shared" si="187"/>
        <v>1</v>
      </c>
      <c r="AF1199" t="s">
        <v>1747</v>
      </c>
      <c r="AG1199" s="2">
        <f t="shared" si="188"/>
        <v>2</v>
      </c>
      <c r="AH1199" s="2">
        <f t="shared" si="189"/>
        <v>0</v>
      </c>
      <c r="AI1199" s="3">
        <v>220.00000000465661</v>
      </c>
      <c r="AJ1199" s="2">
        <v>0</v>
      </c>
      <c r="AK1199">
        <v>1</v>
      </c>
      <c r="AL1199">
        <v>2</v>
      </c>
      <c r="AM1199">
        <v>0</v>
      </c>
      <c r="AN1199" s="2">
        <f>IF((2*G1199+M1199-O1199+3*V1199+2*AB1199+2*AE1199+2*AH1199+3*AJ1199)&gt;=7,1,0)</f>
        <v>0</v>
      </c>
    </row>
    <row r="1200" spans="1:40" x14ac:dyDescent="0.25">
      <c r="A1200" t="s">
        <v>27</v>
      </c>
      <c r="B1200" s="1">
        <v>40582</v>
      </c>
      <c r="C1200" s="6">
        <f t="shared" si="180"/>
        <v>2011</v>
      </c>
      <c r="D1200">
        <v>62.7</v>
      </c>
      <c r="E1200">
        <v>50</v>
      </c>
      <c r="F1200">
        <v>57.8</v>
      </c>
      <c r="G1200" s="2">
        <f t="shared" si="181"/>
        <v>0</v>
      </c>
      <c r="H1200">
        <v>62.7</v>
      </c>
      <c r="I1200">
        <v>50</v>
      </c>
      <c r="J1200">
        <v>57.8</v>
      </c>
      <c r="K1200">
        <v>50.8</v>
      </c>
      <c r="L1200">
        <v>77.8</v>
      </c>
      <c r="M1200" s="2">
        <f t="shared" si="182"/>
        <v>0</v>
      </c>
      <c r="N1200">
        <v>0</v>
      </c>
      <c r="O1200" s="2">
        <f t="shared" si="183"/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 s="2">
        <f t="shared" si="184"/>
        <v>0</v>
      </c>
      <c r="W1200">
        <v>16.100000000000001</v>
      </c>
      <c r="X1200" s="2">
        <f t="shared" si="185"/>
        <v>1</v>
      </c>
      <c r="Y1200">
        <v>306</v>
      </c>
      <c r="Z1200" s="2" t="str">
        <f>CHOOSE(MATCH(Y1200,{0;11;80;111;161;191;241;281;341},1),"North","NorthEast","East","SouthEast","South","SouthWest","West","NorthWest","North")</f>
        <v>NorthWest</v>
      </c>
      <c r="AA1200" s="4">
        <f>CHOOSE(MATCH(Z1200,{"South";"SouthEast";"SouthWest";"North";"NorthEast";"East";"West";"NorthWest"},0),1,2,3,4,5,6,7,8)</f>
        <v>8</v>
      </c>
      <c r="AB1200" s="2">
        <f t="shared" si="186"/>
        <v>1</v>
      </c>
      <c r="AC1200">
        <v>1017.9</v>
      </c>
      <c r="AD1200" t="s">
        <v>1748</v>
      </c>
      <c r="AE1200" s="2">
        <f t="shared" si="187"/>
        <v>1</v>
      </c>
      <c r="AF1200" t="s">
        <v>1749</v>
      </c>
      <c r="AG1200" s="2">
        <f t="shared" si="188"/>
        <v>2</v>
      </c>
      <c r="AH1200" s="2">
        <f t="shared" si="189"/>
        <v>0</v>
      </c>
      <c r="AI1200" s="3">
        <v>189.9999999906868</v>
      </c>
      <c r="AJ1200" s="2">
        <v>0</v>
      </c>
      <c r="AK1200">
        <v>0</v>
      </c>
      <c r="AL1200">
        <v>9</v>
      </c>
      <c r="AM1200">
        <v>0</v>
      </c>
      <c r="AN1200" s="2">
        <f>IF((2*G1200+M1200-O1200+3*V1200+2*AB1200+2*AE1200+2*AH1200+3*AJ1200)&gt;=7,1,0)</f>
        <v>0</v>
      </c>
    </row>
    <row r="1201" spans="1:40" x14ac:dyDescent="0.25">
      <c r="A1201" t="s">
        <v>27</v>
      </c>
      <c r="B1201" s="1">
        <v>40583</v>
      </c>
      <c r="C1201" s="6">
        <f t="shared" si="180"/>
        <v>2011</v>
      </c>
      <c r="D1201">
        <v>60.8</v>
      </c>
      <c r="E1201">
        <v>46.8</v>
      </c>
      <c r="F1201">
        <v>54.6</v>
      </c>
      <c r="G1201" s="2">
        <f t="shared" si="181"/>
        <v>0</v>
      </c>
      <c r="H1201">
        <v>60.8</v>
      </c>
      <c r="I1201">
        <v>45</v>
      </c>
      <c r="J1201">
        <v>54.2</v>
      </c>
      <c r="K1201">
        <v>50</v>
      </c>
      <c r="L1201">
        <v>84.6</v>
      </c>
      <c r="M1201" s="2">
        <f t="shared" si="182"/>
        <v>0</v>
      </c>
      <c r="N1201">
        <v>0.11799999999999999</v>
      </c>
      <c r="O1201" s="2">
        <f t="shared" si="183"/>
        <v>0</v>
      </c>
      <c r="P1201">
        <v>100</v>
      </c>
      <c r="Q1201">
        <v>4.17</v>
      </c>
      <c r="R1201" t="s">
        <v>182</v>
      </c>
      <c r="S1201">
        <v>0</v>
      </c>
      <c r="T1201">
        <v>0</v>
      </c>
      <c r="U1201">
        <v>0</v>
      </c>
      <c r="V1201" s="2">
        <f t="shared" si="184"/>
        <v>0</v>
      </c>
      <c r="W1201">
        <v>16.100000000000001</v>
      </c>
      <c r="X1201" s="2">
        <f t="shared" si="185"/>
        <v>1</v>
      </c>
      <c r="Y1201">
        <v>265.39999999999998</v>
      </c>
      <c r="Z1201" s="2" t="str">
        <f>CHOOSE(MATCH(Y1201,{0;11;80;111;161;191;241;281;341},1),"North","NorthEast","East","SouthEast","South","SouthWest","West","NorthWest","North")</f>
        <v>West</v>
      </c>
      <c r="AA1201" s="4">
        <f>CHOOSE(MATCH(Z1201,{"South";"SouthEast";"SouthWest";"North";"NorthEast";"East";"West";"NorthWest"},0),1,2,3,4,5,6,7,8)</f>
        <v>7</v>
      </c>
      <c r="AB1201" s="2">
        <f t="shared" si="186"/>
        <v>0</v>
      </c>
      <c r="AC1201">
        <v>1014.7</v>
      </c>
      <c r="AD1201" t="s">
        <v>1750</v>
      </c>
      <c r="AE1201" s="2">
        <f t="shared" si="187"/>
        <v>1</v>
      </c>
      <c r="AF1201" t="s">
        <v>1751</v>
      </c>
      <c r="AG1201" s="2">
        <f t="shared" si="188"/>
        <v>2</v>
      </c>
      <c r="AH1201" s="2">
        <f t="shared" si="189"/>
        <v>0</v>
      </c>
      <c r="AI1201" s="3">
        <v>49.999999995343387</v>
      </c>
      <c r="AJ1201" s="2">
        <v>0</v>
      </c>
      <c r="AK1201">
        <v>0</v>
      </c>
      <c r="AL1201">
        <v>0.2</v>
      </c>
      <c r="AM1201">
        <v>0</v>
      </c>
      <c r="AN1201" s="2">
        <f>IF((2*G1201+M1201-O1201+3*V1201+2*AB1201+2*AE1201+2*AH1201+3*AJ1201)&gt;=7,1,0)</f>
        <v>0</v>
      </c>
    </row>
    <row r="1202" spans="1:40" x14ac:dyDescent="0.25">
      <c r="A1202" t="s">
        <v>27</v>
      </c>
      <c r="B1202" s="1">
        <v>40587</v>
      </c>
      <c r="C1202" s="6">
        <f t="shared" si="180"/>
        <v>2011</v>
      </c>
      <c r="D1202">
        <v>62.6</v>
      </c>
      <c r="E1202">
        <v>46.4</v>
      </c>
      <c r="F1202">
        <v>55</v>
      </c>
      <c r="G1202" s="2">
        <f t="shared" si="181"/>
        <v>0</v>
      </c>
      <c r="H1202">
        <v>62.6</v>
      </c>
      <c r="I1202">
        <v>42.9</v>
      </c>
      <c r="J1202">
        <v>54.2</v>
      </c>
      <c r="K1202">
        <v>47.2</v>
      </c>
      <c r="L1202">
        <v>75.400000000000006</v>
      </c>
      <c r="M1202" s="2">
        <f t="shared" si="182"/>
        <v>0</v>
      </c>
      <c r="N1202">
        <v>0</v>
      </c>
      <c r="O1202" s="2">
        <f t="shared" si="183"/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 s="2">
        <f t="shared" si="184"/>
        <v>0</v>
      </c>
      <c r="W1202">
        <v>17.2</v>
      </c>
      <c r="X1202" s="2">
        <f t="shared" si="185"/>
        <v>1</v>
      </c>
      <c r="Y1202">
        <v>263.7</v>
      </c>
      <c r="Z1202" s="2" t="str">
        <f>CHOOSE(MATCH(Y1202,{0;11;80;111;161;191;241;281;341},1),"North","NorthEast","East","SouthEast","South","SouthWest","West","NorthWest","North")</f>
        <v>West</v>
      </c>
      <c r="AA1202" s="4">
        <f>CHOOSE(MATCH(Z1202,{"South";"SouthEast";"SouthWest";"North";"NorthEast";"East";"West";"NorthWest"},0),1,2,3,4,5,6,7,8)</f>
        <v>7</v>
      </c>
      <c r="AB1202" s="2">
        <f t="shared" si="186"/>
        <v>0</v>
      </c>
      <c r="AC1202">
        <v>1015</v>
      </c>
      <c r="AD1202" t="s">
        <v>1077</v>
      </c>
      <c r="AE1202" s="2">
        <f t="shared" si="187"/>
        <v>1</v>
      </c>
      <c r="AF1202" t="s">
        <v>1752</v>
      </c>
      <c r="AG1202" s="2">
        <f t="shared" si="188"/>
        <v>2</v>
      </c>
      <c r="AH1202" s="2">
        <f t="shared" si="189"/>
        <v>0</v>
      </c>
      <c r="AI1202" s="3">
        <v>169.99999999883579</v>
      </c>
      <c r="AJ1202" s="2">
        <v>0</v>
      </c>
      <c r="AK1202">
        <v>0</v>
      </c>
      <c r="AL1202">
        <v>10</v>
      </c>
      <c r="AM1202">
        <v>0</v>
      </c>
      <c r="AN1202" s="2">
        <f>IF((2*G1202+M1202-O1202+3*V1202+2*AB1202+2*AE1202+2*AH1202+3*AJ1202)&gt;=7,1,0)</f>
        <v>0</v>
      </c>
    </row>
    <row r="1203" spans="1:40" x14ac:dyDescent="0.25">
      <c r="A1203" t="s">
        <v>27</v>
      </c>
      <c r="B1203" s="1">
        <v>40602</v>
      </c>
      <c r="C1203" s="6">
        <f t="shared" si="180"/>
        <v>2011</v>
      </c>
      <c r="D1203">
        <v>53.7</v>
      </c>
      <c r="E1203">
        <v>51.8</v>
      </c>
      <c r="F1203">
        <v>53.5</v>
      </c>
      <c r="G1203" s="2">
        <f t="shared" si="181"/>
        <v>0</v>
      </c>
      <c r="H1203">
        <v>53.7</v>
      </c>
      <c r="I1203">
        <v>51.8</v>
      </c>
      <c r="J1203">
        <v>53.5</v>
      </c>
      <c r="K1203">
        <v>46</v>
      </c>
      <c r="L1203">
        <v>75.5</v>
      </c>
      <c r="M1203" s="2">
        <f t="shared" si="182"/>
        <v>0</v>
      </c>
      <c r="N1203">
        <v>0</v>
      </c>
      <c r="O1203" s="2">
        <f t="shared" si="183"/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 s="2">
        <f t="shared" si="184"/>
        <v>0</v>
      </c>
      <c r="W1203">
        <v>21.9</v>
      </c>
      <c r="X1203" s="2">
        <f t="shared" si="185"/>
        <v>1</v>
      </c>
      <c r="Y1203">
        <v>331.8</v>
      </c>
      <c r="Z1203" s="2" t="str">
        <f>CHOOSE(MATCH(Y1203,{0;11;80;111;161;191;241;281;341},1),"North","NorthEast","East","SouthEast","South","SouthWest","West","NorthWest","North")</f>
        <v>NorthWest</v>
      </c>
      <c r="AA1203" s="4">
        <f>CHOOSE(MATCH(Z1203,{"South";"SouthEast";"SouthWest";"North";"NorthEast";"East";"West";"NorthWest"},0),1,2,3,4,5,6,7,8)</f>
        <v>8</v>
      </c>
      <c r="AB1203" s="2">
        <f t="shared" si="186"/>
        <v>1</v>
      </c>
      <c r="AC1203">
        <v>1017.4</v>
      </c>
      <c r="AD1203" t="s">
        <v>1753</v>
      </c>
      <c r="AE1203" s="2">
        <f t="shared" si="187"/>
        <v>1</v>
      </c>
      <c r="AF1203" t="s">
        <v>1754</v>
      </c>
      <c r="AG1203" s="2">
        <f t="shared" si="188"/>
        <v>2</v>
      </c>
      <c r="AH1203" s="2">
        <f t="shared" si="189"/>
        <v>0</v>
      </c>
      <c r="AI1203" s="3">
        <v>804.00000000139698</v>
      </c>
      <c r="AJ1203" s="2">
        <v>1</v>
      </c>
      <c r="AK1203">
        <v>0</v>
      </c>
      <c r="AL1203">
        <v>0.3</v>
      </c>
      <c r="AM1203">
        <v>0</v>
      </c>
      <c r="AN1203" s="2">
        <f>IF((2*G1203+M1203-O1203+3*V1203+2*AB1203+2*AE1203+2*AH1203+3*AJ1203)&gt;=7,1,0)</f>
        <v>0</v>
      </c>
    </row>
    <row r="1204" spans="1:40" x14ac:dyDescent="0.25">
      <c r="A1204" t="s">
        <v>27</v>
      </c>
      <c r="B1204" s="1">
        <v>40613</v>
      </c>
      <c r="C1204" s="6">
        <f t="shared" si="180"/>
        <v>2011</v>
      </c>
      <c r="D1204">
        <v>55.4</v>
      </c>
      <c r="E1204">
        <v>40</v>
      </c>
      <c r="F1204">
        <v>49.9</v>
      </c>
      <c r="G1204" s="2">
        <f t="shared" si="181"/>
        <v>0</v>
      </c>
      <c r="H1204">
        <v>55.4</v>
      </c>
      <c r="I1204">
        <v>36.5</v>
      </c>
      <c r="J1204">
        <v>48.8</v>
      </c>
      <c r="K1204">
        <v>37</v>
      </c>
      <c r="L1204">
        <v>61.3</v>
      </c>
      <c r="M1204" s="2">
        <f t="shared" si="182"/>
        <v>1</v>
      </c>
      <c r="N1204">
        <v>0</v>
      </c>
      <c r="O1204" s="2">
        <f t="shared" si="183"/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 s="2">
        <f t="shared" si="184"/>
        <v>0</v>
      </c>
      <c r="W1204">
        <v>18.3</v>
      </c>
      <c r="X1204" s="2">
        <f t="shared" si="185"/>
        <v>1</v>
      </c>
      <c r="Y1204">
        <v>329.7</v>
      </c>
      <c r="Z1204" s="2" t="str">
        <f>CHOOSE(MATCH(Y1204,{0;11;80;111;161;191;241;281;341},1),"North","NorthEast","East","SouthEast","South","SouthWest","West","NorthWest","North")</f>
        <v>NorthWest</v>
      </c>
      <c r="AA1204" s="4">
        <f>CHOOSE(MATCH(Z1204,{"South";"SouthEast";"SouthWest";"North";"NorthEast";"East";"West";"NorthWest"},0),1,2,3,4,5,6,7,8)</f>
        <v>8</v>
      </c>
      <c r="AB1204" s="2">
        <f t="shared" si="186"/>
        <v>1</v>
      </c>
      <c r="AC1204">
        <v>1020.3</v>
      </c>
      <c r="AD1204" t="s">
        <v>1755</v>
      </c>
      <c r="AE1204" s="2">
        <f t="shared" si="187"/>
        <v>1</v>
      </c>
      <c r="AF1204" t="s">
        <v>1756</v>
      </c>
      <c r="AG1204" s="2">
        <f t="shared" si="188"/>
        <v>3</v>
      </c>
      <c r="AH1204" s="2">
        <f t="shared" si="189"/>
        <v>0</v>
      </c>
      <c r="AI1204" s="3">
        <v>175.00000000465661</v>
      </c>
      <c r="AJ1204" s="2">
        <v>0</v>
      </c>
      <c r="AK1204">
        <v>0</v>
      </c>
      <c r="AL1204">
        <v>10</v>
      </c>
      <c r="AM1204">
        <v>0</v>
      </c>
      <c r="AN1204" s="2">
        <f>IF((2*G1204+M1204-O1204+3*V1204+2*AB1204+2*AE1204+2*AH1204+3*AJ1204)&gt;=7,1,0)</f>
        <v>0</v>
      </c>
    </row>
    <row r="1205" spans="1:40" x14ac:dyDescent="0.25">
      <c r="A1205" t="s">
        <v>27</v>
      </c>
      <c r="B1205" s="1">
        <v>40613</v>
      </c>
      <c r="C1205" s="6">
        <f t="shared" si="180"/>
        <v>2011</v>
      </c>
      <c r="D1205">
        <v>55.4</v>
      </c>
      <c r="E1205">
        <v>40</v>
      </c>
      <c r="F1205">
        <v>49.9</v>
      </c>
      <c r="G1205" s="2">
        <f t="shared" si="181"/>
        <v>0</v>
      </c>
      <c r="H1205">
        <v>55.4</v>
      </c>
      <c r="I1205">
        <v>36.5</v>
      </c>
      <c r="J1205">
        <v>48.8</v>
      </c>
      <c r="K1205">
        <v>37</v>
      </c>
      <c r="L1205">
        <v>61.3</v>
      </c>
      <c r="M1205" s="2">
        <f t="shared" si="182"/>
        <v>1</v>
      </c>
      <c r="N1205">
        <v>0</v>
      </c>
      <c r="O1205" s="2">
        <f t="shared" si="183"/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 s="2">
        <f t="shared" si="184"/>
        <v>0</v>
      </c>
      <c r="W1205">
        <v>18.3</v>
      </c>
      <c r="X1205" s="2">
        <f t="shared" si="185"/>
        <v>1</v>
      </c>
      <c r="Y1205">
        <v>329.7</v>
      </c>
      <c r="Z1205" s="2" t="str">
        <f>CHOOSE(MATCH(Y1205,{0;11;80;111;161;191;241;281;341},1),"North","NorthEast","East","SouthEast","South","SouthWest","West","NorthWest","North")</f>
        <v>NorthWest</v>
      </c>
      <c r="AA1205" s="4">
        <f>CHOOSE(MATCH(Z1205,{"South";"SouthEast";"SouthWest";"North";"NorthEast";"East";"West";"NorthWest"},0),1,2,3,4,5,6,7,8)</f>
        <v>8</v>
      </c>
      <c r="AB1205" s="2">
        <f t="shared" si="186"/>
        <v>1</v>
      </c>
      <c r="AC1205">
        <v>1020.3</v>
      </c>
      <c r="AD1205" t="s">
        <v>1757</v>
      </c>
      <c r="AE1205" s="2">
        <f t="shared" si="187"/>
        <v>1</v>
      </c>
      <c r="AF1205" t="s">
        <v>1758</v>
      </c>
      <c r="AG1205" s="2">
        <f t="shared" si="188"/>
        <v>3</v>
      </c>
      <c r="AH1205" s="2">
        <f t="shared" si="189"/>
        <v>0</v>
      </c>
      <c r="AI1205" s="3">
        <v>105.9999999997672</v>
      </c>
      <c r="AJ1205" s="2">
        <v>0</v>
      </c>
      <c r="AK1205">
        <v>0</v>
      </c>
      <c r="AL1205">
        <v>4</v>
      </c>
      <c r="AM1205">
        <v>0</v>
      </c>
      <c r="AN1205" s="2">
        <f>IF((2*G1205+M1205-O1205+3*V1205+2*AB1205+2*AE1205+2*AH1205+3*AJ1205)&gt;=7,1,0)</f>
        <v>0</v>
      </c>
    </row>
    <row r="1206" spans="1:40" x14ac:dyDescent="0.25">
      <c r="A1206" t="s">
        <v>27</v>
      </c>
      <c r="B1206" s="1">
        <v>40614</v>
      </c>
      <c r="C1206" s="6">
        <f t="shared" si="180"/>
        <v>2011</v>
      </c>
      <c r="D1206">
        <v>59</v>
      </c>
      <c r="E1206">
        <v>46.5</v>
      </c>
      <c r="F1206">
        <v>53.8</v>
      </c>
      <c r="G1206" s="2">
        <f t="shared" si="181"/>
        <v>0</v>
      </c>
      <c r="H1206">
        <v>59</v>
      </c>
      <c r="I1206">
        <v>43</v>
      </c>
      <c r="J1206">
        <v>53.6</v>
      </c>
      <c r="K1206">
        <v>43.9</v>
      </c>
      <c r="L1206">
        <v>69.8</v>
      </c>
      <c r="M1206" s="2">
        <f t="shared" si="182"/>
        <v>0</v>
      </c>
      <c r="N1206">
        <v>0</v>
      </c>
      <c r="O1206" s="2">
        <f t="shared" si="183"/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 s="2">
        <f t="shared" si="184"/>
        <v>0</v>
      </c>
      <c r="W1206">
        <v>15</v>
      </c>
      <c r="X1206" s="2">
        <f t="shared" si="185"/>
        <v>0</v>
      </c>
      <c r="Y1206">
        <v>328.2</v>
      </c>
      <c r="Z1206" s="2" t="str">
        <f>CHOOSE(MATCH(Y1206,{0;11;80;111;161;191;241;281;341},1),"North","NorthEast","East","SouthEast","South","SouthWest","West","NorthWest","North")</f>
        <v>NorthWest</v>
      </c>
      <c r="AA1206" s="4">
        <f>CHOOSE(MATCH(Z1206,{"South";"SouthEast";"SouthWest";"North";"NorthEast";"East";"West";"NorthWest"},0),1,2,3,4,5,6,7,8)</f>
        <v>8</v>
      </c>
      <c r="AB1206" s="2">
        <f t="shared" si="186"/>
        <v>1</v>
      </c>
      <c r="AC1206">
        <v>1024.4000000000001</v>
      </c>
      <c r="AD1206" t="s">
        <v>1759</v>
      </c>
      <c r="AE1206" s="2">
        <f t="shared" si="187"/>
        <v>1</v>
      </c>
      <c r="AF1206" t="s">
        <v>1760</v>
      </c>
      <c r="AG1206" s="2">
        <f t="shared" si="188"/>
        <v>3</v>
      </c>
      <c r="AH1206" s="2">
        <f t="shared" si="189"/>
        <v>0</v>
      </c>
      <c r="AI1206" s="3">
        <v>114.99999999767169</v>
      </c>
      <c r="AJ1206" s="2">
        <v>0</v>
      </c>
      <c r="AK1206">
        <v>0</v>
      </c>
      <c r="AL1206">
        <v>0.3</v>
      </c>
      <c r="AM1206">
        <v>0</v>
      </c>
      <c r="AN1206" s="2">
        <f>IF((2*G1206+M1206-O1206+3*V1206+2*AB1206+2*AE1206+2*AH1206+3*AJ1206)&gt;=7,1,0)</f>
        <v>0</v>
      </c>
    </row>
    <row r="1207" spans="1:40" x14ac:dyDescent="0.25">
      <c r="A1207" t="s">
        <v>27</v>
      </c>
      <c r="B1207" s="1">
        <v>40614</v>
      </c>
      <c r="C1207" s="6">
        <f t="shared" si="180"/>
        <v>2011</v>
      </c>
      <c r="D1207">
        <v>59</v>
      </c>
      <c r="E1207">
        <v>46.5</v>
      </c>
      <c r="F1207">
        <v>53.8</v>
      </c>
      <c r="G1207" s="2">
        <f t="shared" si="181"/>
        <v>0</v>
      </c>
      <c r="H1207">
        <v>59</v>
      </c>
      <c r="I1207">
        <v>43</v>
      </c>
      <c r="J1207">
        <v>53.6</v>
      </c>
      <c r="K1207">
        <v>43.9</v>
      </c>
      <c r="L1207">
        <v>69.8</v>
      </c>
      <c r="M1207" s="2">
        <f t="shared" si="182"/>
        <v>0</v>
      </c>
      <c r="N1207">
        <v>0</v>
      </c>
      <c r="O1207" s="2">
        <f t="shared" si="183"/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 s="2">
        <f t="shared" si="184"/>
        <v>0</v>
      </c>
      <c r="W1207">
        <v>15</v>
      </c>
      <c r="X1207" s="2">
        <f t="shared" si="185"/>
        <v>0</v>
      </c>
      <c r="Y1207">
        <v>328.2</v>
      </c>
      <c r="Z1207" s="2" t="str">
        <f>CHOOSE(MATCH(Y1207,{0;11;80;111;161;191;241;281;341},1),"North","NorthEast","East","SouthEast","South","SouthWest","West","NorthWest","North")</f>
        <v>NorthWest</v>
      </c>
      <c r="AA1207" s="4">
        <f>CHOOSE(MATCH(Z1207,{"South";"SouthEast";"SouthWest";"North";"NorthEast";"East";"West";"NorthWest"},0),1,2,3,4,5,6,7,8)</f>
        <v>8</v>
      </c>
      <c r="AB1207" s="2">
        <f t="shared" si="186"/>
        <v>1</v>
      </c>
      <c r="AC1207">
        <v>1024.4000000000001</v>
      </c>
      <c r="AD1207" t="s">
        <v>1761</v>
      </c>
      <c r="AE1207" s="2">
        <f t="shared" si="187"/>
        <v>1</v>
      </c>
      <c r="AF1207" t="s">
        <v>1762</v>
      </c>
      <c r="AG1207" s="2">
        <f t="shared" si="188"/>
        <v>3</v>
      </c>
      <c r="AH1207" s="2">
        <f t="shared" si="189"/>
        <v>0</v>
      </c>
      <c r="AI1207" s="3">
        <v>111.9999999983702</v>
      </c>
      <c r="AJ1207" s="2">
        <v>0</v>
      </c>
      <c r="AK1207">
        <v>0</v>
      </c>
      <c r="AL1207">
        <v>0.2</v>
      </c>
      <c r="AM1207">
        <v>0</v>
      </c>
      <c r="AN1207" s="2">
        <f>IF((2*G1207+M1207-O1207+3*V1207+2*AB1207+2*AE1207+2*AH1207+3*AJ1207)&gt;=7,1,0)</f>
        <v>0</v>
      </c>
    </row>
    <row r="1208" spans="1:40" x14ac:dyDescent="0.25">
      <c r="A1208" t="s">
        <v>27</v>
      </c>
      <c r="B1208" s="1">
        <v>40627</v>
      </c>
      <c r="C1208" s="6">
        <f t="shared" si="180"/>
        <v>2011</v>
      </c>
      <c r="D1208">
        <v>62.6</v>
      </c>
      <c r="E1208">
        <v>45.6</v>
      </c>
      <c r="F1208">
        <v>57.9</v>
      </c>
      <c r="G1208" s="2">
        <f t="shared" si="181"/>
        <v>0</v>
      </c>
      <c r="H1208">
        <v>62.6</v>
      </c>
      <c r="I1208">
        <v>44.1</v>
      </c>
      <c r="J1208">
        <v>57.9</v>
      </c>
      <c r="K1208">
        <v>48</v>
      </c>
      <c r="L1208">
        <v>70.2</v>
      </c>
      <c r="M1208" s="2">
        <f t="shared" si="182"/>
        <v>0</v>
      </c>
      <c r="N1208">
        <v>0</v>
      </c>
      <c r="O1208" s="2">
        <f t="shared" si="183"/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 s="2">
        <f t="shared" si="184"/>
        <v>0</v>
      </c>
      <c r="W1208">
        <v>17.2</v>
      </c>
      <c r="X1208" s="2">
        <f t="shared" si="185"/>
        <v>1</v>
      </c>
      <c r="Y1208">
        <v>314.3</v>
      </c>
      <c r="Z1208" s="2" t="str">
        <f>CHOOSE(MATCH(Y1208,{0;11;80;111;161;191;241;281;341},1),"North","NorthEast","East","SouthEast","South","SouthWest","West","NorthWest","North")</f>
        <v>NorthWest</v>
      </c>
      <c r="AA1208" s="4">
        <f>CHOOSE(MATCH(Z1208,{"South";"SouthEast";"SouthWest";"North";"NorthEast";"East";"West";"NorthWest"},0),1,2,3,4,5,6,7,8)</f>
        <v>8</v>
      </c>
      <c r="AB1208" s="2">
        <f t="shared" si="186"/>
        <v>1</v>
      </c>
      <c r="AC1208">
        <v>1023.6</v>
      </c>
      <c r="AD1208" t="s">
        <v>1763</v>
      </c>
      <c r="AE1208" s="2">
        <f t="shared" si="187"/>
        <v>0</v>
      </c>
      <c r="AF1208" t="s">
        <v>1764</v>
      </c>
      <c r="AG1208" s="2">
        <f t="shared" si="188"/>
        <v>3</v>
      </c>
      <c r="AH1208" s="2">
        <f t="shared" si="189"/>
        <v>0</v>
      </c>
      <c r="AI1208" s="3">
        <v>1860.0000000069849</v>
      </c>
      <c r="AJ1208" s="2">
        <v>1</v>
      </c>
      <c r="AK1208">
        <v>0</v>
      </c>
      <c r="AL1208">
        <v>40</v>
      </c>
      <c r="AM1208">
        <v>0</v>
      </c>
      <c r="AN1208" s="2">
        <f>IF((2*G1208+M1208-O1208+3*V1208+2*AB1208+2*AE1208+2*AH1208+3*AJ1208)&gt;=7,1,0)</f>
        <v>0</v>
      </c>
    </row>
    <row r="1209" spans="1:40" x14ac:dyDescent="0.25">
      <c r="A1209" t="s">
        <v>27</v>
      </c>
      <c r="B1209" s="1">
        <v>40627</v>
      </c>
      <c r="C1209" s="6">
        <f t="shared" si="180"/>
        <v>2011</v>
      </c>
      <c r="D1209">
        <v>62.6</v>
      </c>
      <c r="E1209">
        <v>45.6</v>
      </c>
      <c r="F1209">
        <v>57.9</v>
      </c>
      <c r="G1209" s="2">
        <f t="shared" si="181"/>
        <v>0</v>
      </c>
      <c r="H1209">
        <v>62.6</v>
      </c>
      <c r="I1209">
        <v>44.1</v>
      </c>
      <c r="J1209">
        <v>57.9</v>
      </c>
      <c r="K1209">
        <v>48</v>
      </c>
      <c r="L1209">
        <v>70.2</v>
      </c>
      <c r="M1209" s="2">
        <f t="shared" si="182"/>
        <v>0</v>
      </c>
      <c r="N1209">
        <v>0</v>
      </c>
      <c r="O1209" s="2">
        <f t="shared" si="183"/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 s="2">
        <f t="shared" si="184"/>
        <v>0</v>
      </c>
      <c r="W1209">
        <v>17.2</v>
      </c>
      <c r="X1209" s="2">
        <f t="shared" si="185"/>
        <v>1</v>
      </c>
      <c r="Y1209">
        <v>314.3</v>
      </c>
      <c r="Z1209" s="2" t="str">
        <f>CHOOSE(MATCH(Y1209,{0;11;80;111;161;191;241;281;341},1),"North","NorthEast","East","SouthEast","South","SouthWest","West","NorthWest","North")</f>
        <v>NorthWest</v>
      </c>
      <c r="AA1209" s="4">
        <f>CHOOSE(MATCH(Z1209,{"South";"SouthEast";"SouthWest";"North";"NorthEast";"East";"West";"NorthWest"},0),1,2,3,4,5,6,7,8)</f>
        <v>8</v>
      </c>
      <c r="AB1209" s="2">
        <f t="shared" si="186"/>
        <v>1</v>
      </c>
      <c r="AC1209">
        <v>1023.6</v>
      </c>
      <c r="AD1209" t="s">
        <v>1109</v>
      </c>
      <c r="AE1209" s="2">
        <f t="shared" si="187"/>
        <v>1</v>
      </c>
      <c r="AF1209" t="s">
        <v>1765</v>
      </c>
      <c r="AG1209" s="2">
        <f t="shared" si="188"/>
        <v>3</v>
      </c>
      <c r="AH1209" s="2">
        <f t="shared" si="189"/>
        <v>0</v>
      </c>
      <c r="AI1209" s="3">
        <v>140.00000000582079</v>
      </c>
      <c r="AJ1209" s="2">
        <v>0</v>
      </c>
      <c r="AK1209">
        <v>0</v>
      </c>
      <c r="AL1209">
        <v>1</v>
      </c>
      <c r="AM1209">
        <v>0</v>
      </c>
      <c r="AN1209" s="2">
        <f>IF((2*G1209+M1209-O1209+3*V1209+2*AB1209+2*AE1209+2*AH1209+3*AJ1209)&gt;=7,1,0)</f>
        <v>0</v>
      </c>
    </row>
    <row r="1210" spans="1:40" x14ac:dyDescent="0.25">
      <c r="A1210" t="s">
        <v>27</v>
      </c>
      <c r="B1210" s="1">
        <v>40629</v>
      </c>
      <c r="C1210" s="6">
        <f t="shared" si="180"/>
        <v>2011</v>
      </c>
      <c r="D1210">
        <v>64.400000000000006</v>
      </c>
      <c r="E1210">
        <v>51.8</v>
      </c>
      <c r="F1210">
        <v>57.8</v>
      </c>
      <c r="G1210" s="2">
        <f t="shared" si="181"/>
        <v>0</v>
      </c>
      <c r="H1210">
        <v>64.400000000000006</v>
      </c>
      <c r="I1210">
        <v>51.8</v>
      </c>
      <c r="J1210">
        <v>57.8</v>
      </c>
      <c r="K1210">
        <v>50.3</v>
      </c>
      <c r="L1210">
        <v>76.400000000000006</v>
      </c>
      <c r="M1210" s="2">
        <f t="shared" si="182"/>
        <v>0</v>
      </c>
      <c r="N1210">
        <v>0</v>
      </c>
      <c r="O1210" s="2">
        <f t="shared" si="183"/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 s="2">
        <f t="shared" si="184"/>
        <v>0</v>
      </c>
      <c r="W1210">
        <v>10.3</v>
      </c>
      <c r="X1210" s="2">
        <f t="shared" si="185"/>
        <v>0</v>
      </c>
      <c r="Y1210">
        <v>175.5</v>
      </c>
      <c r="Z1210" s="2" t="str">
        <f>CHOOSE(MATCH(Y1210,{0;11;80;111;161;191;241;281;341},1),"North","NorthEast","East","SouthEast","South","SouthWest","West","NorthWest","North")</f>
        <v>South</v>
      </c>
      <c r="AA1210" s="4">
        <f>CHOOSE(MATCH(Z1210,{"South";"SouthEast";"SouthWest";"North";"NorthEast";"East";"West";"NorthWest"},0),1,2,3,4,5,6,7,8)</f>
        <v>1</v>
      </c>
      <c r="AB1210" s="2">
        <f t="shared" si="186"/>
        <v>0</v>
      </c>
      <c r="AC1210">
        <v>1020</v>
      </c>
      <c r="AD1210" t="s">
        <v>1766</v>
      </c>
      <c r="AE1210" s="2">
        <f t="shared" si="187"/>
        <v>0</v>
      </c>
      <c r="AF1210" t="s">
        <v>1767</v>
      </c>
      <c r="AG1210" s="2">
        <f t="shared" si="188"/>
        <v>3</v>
      </c>
      <c r="AH1210" s="2">
        <f t="shared" si="189"/>
        <v>0</v>
      </c>
      <c r="AI1210" s="3">
        <v>4.9999999953433871</v>
      </c>
      <c r="AJ1210" s="2">
        <v>0</v>
      </c>
      <c r="AK1210">
        <v>0</v>
      </c>
      <c r="AL1210">
        <v>0.5</v>
      </c>
      <c r="AM1210">
        <v>0</v>
      </c>
      <c r="AN1210" s="2">
        <f>IF((2*G1210+M1210-O1210+3*V1210+2*AB1210+2*AE1210+2*AH1210+3*AJ1210)&gt;=7,1,0)</f>
        <v>0</v>
      </c>
    </row>
    <row r="1211" spans="1:40" x14ac:dyDescent="0.25">
      <c r="A1211" t="s">
        <v>27</v>
      </c>
      <c r="B1211" s="1">
        <v>40629</v>
      </c>
      <c r="C1211" s="6">
        <f t="shared" si="180"/>
        <v>2011</v>
      </c>
      <c r="D1211">
        <v>64.400000000000006</v>
      </c>
      <c r="E1211">
        <v>51.8</v>
      </c>
      <c r="F1211">
        <v>57.8</v>
      </c>
      <c r="G1211" s="2">
        <f t="shared" si="181"/>
        <v>0</v>
      </c>
      <c r="H1211">
        <v>64.400000000000006</v>
      </c>
      <c r="I1211">
        <v>51.8</v>
      </c>
      <c r="J1211">
        <v>57.8</v>
      </c>
      <c r="K1211">
        <v>50.3</v>
      </c>
      <c r="L1211">
        <v>76.400000000000006</v>
      </c>
      <c r="M1211" s="2">
        <f t="shared" si="182"/>
        <v>0</v>
      </c>
      <c r="N1211">
        <v>0</v>
      </c>
      <c r="O1211" s="2">
        <f t="shared" si="183"/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 s="2">
        <f t="shared" si="184"/>
        <v>0</v>
      </c>
      <c r="W1211">
        <v>10.3</v>
      </c>
      <c r="X1211" s="2">
        <f t="shared" si="185"/>
        <v>0</v>
      </c>
      <c r="Y1211">
        <v>175.5</v>
      </c>
      <c r="Z1211" s="2" t="str">
        <f>CHOOSE(MATCH(Y1211,{0;11;80;111;161;191;241;281;341},1),"North","NorthEast","East","SouthEast","South","SouthWest","West","NorthWest","North")</f>
        <v>South</v>
      </c>
      <c r="AA1211" s="4">
        <f>CHOOSE(MATCH(Z1211,{"South";"SouthEast";"SouthWest";"North";"NorthEast";"East";"West";"NorthWest"},0),1,2,3,4,5,6,7,8)</f>
        <v>1</v>
      </c>
      <c r="AB1211" s="2">
        <f t="shared" si="186"/>
        <v>0</v>
      </c>
      <c r="AC1211">
        <v>1020</v>
      </c>
      <c r="AD1211" t="s">
        <v>1768</v>
      </c>
      <c r="AE1211" s="2">
        <f t="shared" si="187"/>
        <v>0</v>
      </c>
      <c r="AF1211" t="s">
        <v>1769</v>
      </c>
      <c r="AG1211" s="2">
        <f t="shared" si="188"/>
        <v>3</v>
      </c>
      <c r="AH1211" s="2">
        <f t="shared" si="189"/>
        <v>0</v>
      </c>
      <c r="AI1211" s="3">
        <v>135</v>
      </c>
      <c r="AJ1211" s="2">
        <v>0</v>
      </c>
      <c r="AK1211">
        <v>0</v>
      </c>
      <c r="AL1211">
        <v>0.2</v>
      </c>
      <c r="AM1211">
        <v>0</v>
      </c>
      <c r="AN1211" s="2">
        <f>IF((2*G1211+M1211-O1211+3*V1211+2*AB1211+2*AE1211+2*AH1211+3*AJ1211)&gt;=7,1,0)</f>
        <v>0</v>
      </c>
    </row>
    <row r="1212" spans="1:40" x14ac:dyDescent="0.25">
      <c r="A1212" t="s">
        <v>27</v>
      </c>
      <c r="B1212" s="1">
        <v>40640</v>
      </c>
      <c r="C1212" s="6">
        <f t="shared" si="180"/>
        <v>2011</v>
      </c>
      <c r="D1212">
        <v>60.8</v>
      </c>
      <c r="E1212">
        <v>53.9</v>
      </c>
      <c r="F1212">
        <v>57.8</v>
      </c>
      <c r="G1212" s="2">
        <f t="shared" si="181"/>
        <v>0</v>
      </c>
      <c r="H1212">
        <v>60.8</v>
      </c>
      <c r="I1212">
        <v>53.9</v>
      </c>
      <c r="J1212">
        <v>57.8</v>
      </c>
      <c r="K1212">
        <v>51.7</v>
      </c>
      <c r="L1212">
        <v>80.400000000000006</v>
      </c>
      <c r="M1212" s="2">
        <f t="shared" si="182"/>
        <v>0</v>
      </c>
      <c r="N1212">
        <v>0.02</v>
      </c>
      <c r="O1212" s="2">
        <f t="shared" si="183"/>
        <v>0</v>
      </c>
      <c r="P1212">
        <v>100</v>
      </c>
      <c r="Q1212">
        <v>16.670000000000002</v>
      </c>
      <c r="R1212" t="s">
        <v>182</v>
      </c>
      <c r="S1212">
        <v>0</v>
      </c>
      <c r="T1212">
        <v>0</v>
      </c>
      <c r="U1212">
        <v>0</v>
      </c>
      <c r="V1212" s="2">
        <f t="shared" si="184"/>
        <v>0</v>
      </c>
      <c r="W1212">
        <v>18.3</v>
      </c>
      <c r="X1212" s="2">
        <f t="shared" si="185"/>
        <v>1</v>
      </c>
      <c r="Y1212">
        <v>344.9</v>
      </c>
      <c r="Z1212" s="2" t="str">
        <f>CHOOSE(MATCH(Y1212,{0;11;80;111;161;191;241;281;341},1),"North","NorthEast","East","SouthEast","South","SouthWest","West","NorthWest","North")</f>
        <v>North</v>
      </c>
      <c r="AA1212" s="4">
        <f>CHOOSE(MATCH(Z1212,{"South";"SouthEast";"SouthWest";"North";"NorthEast";"East";"West";"NorthWest"},0),1,2,3,4,5,6,7,8)</f>
        <v>4</v>
      </c>
      <c r="AB1212" s="2">
        <f t="shared" si="186"/>
        <v>1</v>
      </c>
      <c r="AC1212">
        <v>1013.1</v>
      </c>
      <c r="AD1212" t="s">
        <v>1274</v>
      </c>
      <c r="AE1212" s="2">
        <f t="shared" si="187"/>
        <v>1</v>
      </c>
      <c r="AF1212" t="s">
        <v>1770</v>
      </c>
      <c r="AG1212" s="2">
        <f t="shared" si="188"/>
        <v>4</v>
      </c>
      <c r="AH1212" s="2">
        <f t="shared" si="189"/>
        <v>0</v>
      </c>
      <c r="AI1212" s="3">
        <v>355.00000000465661</v>
      </c>
      <c r="AJ1212" s="2">
        <v>0</v>
      </c>
      <c r="AK1212">
        <v>0</v>
      </c>
      <c r="AL1212">
        <v>4</v>
      </c>
      <c r="AM1212">
        <v>0</v>
      </c>
      <c r="AN1212" s="2">
        <f>IF((2*G1212+M1212-O1212+3*V1212+2*AB1212+2*AE1212+2*AH1212+3*AJ1212)&gt;=7,1,0)</f>
        <v>0</v>
      </c>
    </row>
    <row r="1213" spans="1:40" x14ac:dyDescent="0.25">
      <c r="A1213" t="s">
        <v>27</v>
      </c>
      <c r="B1213" s="1">
        <v>40647</v>
      </c>
      <c r="C1213" s="6">
        <f t="shared" si="180"/>
        <v>2011</v>
      </c>
      <c r="D1213">
        <v>71.599999999999994</v>
      </c>
      <c r="E1213">
        <v>57.2</v>
      </c>
      <c r="F1213">
        <v>61.9</v>
      </c>
      <c r="G1213" s="2">
        <f t="shared" si="181"/>
        <v>0</v>
      </c>
      <c r="H1213">
        <v>71.599999999999994</v>
      </c>
      <c r="I1213">
        <v>57.2</v>
      </c>
      <c r="J1213">
        <v>61.9</v>
      </c>
      <c r="K1213">
        <v>52.6</v>
      </c>
      <c r="L1213">
        <v>71.8</v>
      </c>
      <c r="M1213" s="2">
        <f t="shared" si="182"/>
        <v>0</v>
      </c>
      <c r="N1213">
        <v>0</v>
      </c>
      <c r="O1213" s="2">
        <f t="shared" si="183"/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 s="2">
        <f t="shared" si="184"/>
        <v>0</v>
      </c>
      <c r="W1213">
        <v>21.9</v>
      </c>
      <c r="X1213" s="2">
        <f t="shared" si="185"/>
        <v>1</v>
      </c>
      <c r="Y1213">
        <v>240.8</v>
      </c>
      <c r="Z1213" s="2" t="str">
        <f>CHOOSE(MATCH(Y1213,{0;11;80;111;161;191;241;281;341},1),"North","NorthEast","East","SouthEast","South","SouthWest","West","NorthWest","North")</f>
        <v>SouthWest</v>
      </c>
      <c r="AA1213" s="4">
        <f>CHOOSE(MATCH(Z1213,{"South";"SouthEast";"SouthWest";"North";"NorthEast";"East";"West";"NorthWest"},0),1,2,3,4,5,6,7,8)</f>
        <v>3</v>
      </c>
      <c r="AB1213" s="2">
        <f t="shared" si="186"/>
        <v>0</v>
      </c>
      <c r="AC1213">
        <v>1011</v>
      </c>
      <c r="AD1213" t="s">
        <v>1260</v>
      </c>
      <c r="AE1213" s="2">
        <f t="shared" si="187"/>
        <v>1</v>
      </c>
      <c r="AF1213" t="s">
        <v>1771</v>
      </c>
      <c r="AG1213" s="2">
        <f t="shared" si="188"/>
        <v>4</v>
      </c>
      <c r="AH1213" s="2">
        <f t="shared" si="189"/>
        <v>0</v>
      </c>
      <c r="AI1213" s="3">
        <v>171.0000000020955</v>
      </c>
      <c r="AJ1213" s="2">
        <v>0</v>
      </c>
      <c r="AK1213">
        <v>0</v>
      </c>
      <c r="AL1213">
        <v>0.3</v>
      </c>
      <c r="AM1213">
        <v>0</v>
      </c>
      <c r="AN1213" s="2">
        <f>IF((2*G1213+M1213-O1213+3*V1213+2*AB1213+2*AE1213+2*AH1213+3*AJ1213)&gt;=7,1,0)</f>
        <v>0</v>
      </c>
    </row>
    <row r="1214" spans="1:40" x14ac:dyDescent="0.25">
      <c r="A1214" t="s">
        <v>27</v>
      </c>
      <c r="B1214" s="1">
        <v>40650</v>
      </c>
      <c r="C1214" s="6">
        <f t="shared" si="180"/>
        <v>2011</v>
      </c>
      <c r="D1214">
        <v>69.8</v>
      </c>
      <c r="E1214">
        <v>58.9</v>
      </c>
      <c r="F1214">
        <v>63.5</v>
      </c>
      <c r="G1214" s="2">
        <f t="shared" si="181"/>
        <v>0</v>
      </c>
      <c r="H1214">
        <v>69.8</v>
      </c>
      <c r="I1214">
        <v>58.9</v>
      </c>
      <c r="J1214">
        <v>63.5</v>
      </c>
      <c r="K1214">
        <v>55.5</v>
      </c>
      <c r="L1214">
        <v>78.5</v>
      </c>
      <c r="M1214" s="2">
        <f t="shared" si="182"/>
        <v>0</v>
      </c>
      <c r="N1214">
        <v>0.02</v>
      </c>
      <c r="O1214" s="2">
        <f t="shared" si="183"/>
        <v>0</v>
      </c>
      <c r="P1214">
        <v>100</v>
      </c>
      <c r="Q1214">
        <v>4.17</v>
      </c>
      <c r="R1214" t="s">
        <v>182</v>
      </c>
      <c r="S1214">
        <v>0</v>
      </c>
      <c r="T1214">
        <v>0</v>
      </c>
      <c r="U1214">
        <v>0</v>
      </c>
      <c r="V1214" s="2">
        <f t="shared" si="184"/>
        <v>0</v>
      </c>
      <c r="W1214">
        <v>17.2</v>
      </c>
      <c r="X1214" s="2">
        <f t="shared" si="185"/>
        <v>1</v>
      </c>
      <c r="Y1214">
        <v>93.2</v>
      </c>
      <c r="Z1214" s="2" t="str">
        <f>CHOOSE(MATCH(Y1214,{0;11;80;111;161;191;241;281;341},1),"North","NorthEast","East","SouthEast","South","SouthWest","West","NorthWest","North")</f>
        <v>East</v>
      </c>
      <c r="AA1214" s="4">
        <f>CHOOSE(MATCH(Z1214,{"South";"SouthEast";"SouthWest";"North";"NorthEast";"East";"West";"NorthWest"},0),1,2,3,4,5,6,7,8)</f>
        <v>6</v>
      </c>
      <c r="AB1214" s="2">
        <f t="shared" si="186"/>
        <v>0</v>
      </c>
      <c r="AC1214">
        <v>1011.3</v>
      </c>
      <c r="AD1214" t="s">
        <v>1772</v>
      </c>
      <c r="AE1214" s="2">
        <f t="shared" si="187"/>
        <v>0</v>
      </c>
      <c r="AF1214" t="s">
        <v>1773</v>
      </c>
      <c r="AG1214" s="2">
        <f t="shared" si="188"/>
        <v>4</v>
      </c>
      <c r="AH1214" s="2">
        <f t="shared" si="189"/>
        <v>0</v>
      </c>
      <c r="AI1214" s="3">
        <v>55.000000001164153</v>
      </c>
      <c r="AJ1214" s="2">
        <v>0</v>
      </c>
      <c r="AK1214">
        <v>0</v>
      </c>
      <c r="AL1214">
        <v>0.3</v>
      </c>
      <c r="AM1214">
        <v>0</v>
      </c>
      <c r="AN1214" s="2">
        <f>IF((2*G1214+M1214-O1214+3*V1214+2*AB1214+2*AE1214+2*AH1214+3*AJ1214)&gt;=7,1,0)</f>
        <v>0</v>
      </c>
    </row>
    <row r="1215" spans="1:40" x14ac:dyDescent="0.25">
      <c r="A1215" t="s">
        <v>27</v>
      </c>
      <c r="B1215" s="1">
        <v>40657</v>
      </c>
      <c r="C1215" s="6">
        <f t="shared" si="180"/>
        <v>2011</v>
      </c>
      <c r="D1215">
        <v>62.6</v>
      </c>
      <c r="E1215">
        <v>57.2</v>
      </c>
      <c r="F1215">
        <v>59.5</v>
      </c>
      <c r="G1215" s="2">
        <f t="shared" si="181"/>
        <v>0</v>
      </c>
      <c r="H1215">
        <v>62.6</v>
      </c>
      <c r="I1215">
        <v>57.2</v>
      </c>
      <c r="J1215">
        <v>59.5</v>
      </c>
      <c r="K1215">
        <v>48.8</v>
      </c>
      <c r="L1215">
        <v>67.900000000000006</v>
      </c>
      <c r="M1215" s="2">
        <f t="shared" si="182"/>
        <v>0</v>
      </c>
      <c r="N1215">
        <v>0</v>
      </c>
      <c r="O1215" s="2">
        <f t="shared" si="183"/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 s="2">
        <f t="shared" si="184"/>
        <v>0</v>
      </c>
      <c r="W1215">
        <v>20.8</v>
      </c>
      <c r="X1215" s="2">
        <f t="shared" si="185"/>
        <v>1</v>
      </c>
      <c r="Y1215">
        <v>326.2</v>
      </c>
      <c r="Z1215" s="2" t="str">
        <f>CHOOSE(MATCH(Y1215,{0;11;80;111;161;191;241;281;341},1),"North","NorthEast","East","SouthEast","South","SouthWest","West","NorthWest","North")</f>
        <v>NorthWest</v>
      </c>
      <c r="AA1215" s="4">
        <f>CHOOSE(MATCH(Z1215,{"South";"SouthEast";"SouthWest";"North";"NorthEast";"East";"West";"NorthWest"},0),1,2,3,4,5,6,7,8)</f>
        <v>8</v>
      </c>
      <c r="AB1215" s="2">
        <f t="shared" si="186"/>
        <v>1</v>
      </c>
      <c r="AC1215">
        <v>1016.8</v>
      </c>
      <c r="AD1215" t="s">
        <v>1144</v>
      </c>
      <c r="AE1215" s="2">
        <f t="shared" si="187"/>
        <v>1</v>
      </c>
      <c r="AF1215" t="s">
        <v>1774</v>
      </c>
      <c r="AG1215" s="2">
        <f t="shared" si="188"/>
        <v>4</v>
      </c>
      <c r="AH1215" s="2">
        <f t="shared" si="189"/>
        <v>0</v>
      </c>
      <c r="AI1215" s="3">
        <v>171.0000000020955</v>
      </c>
      <c r="AJ1215" s="2">
        <v>0</v>
      </c>
      <c r="AK1215">
        <v>0</v>
      </c>
      <c r="AL1215">
        <v>8</v>
      </c>
      <c r="AM1215">
        <v>0</v>
      </c>
      <c r="AN1215" s="2">
        <f>IF((2*G1215+M1215-O1215+3*V1215+2*AB1215+2*AE1215+2*AH1215+3*AJ1215)&gt;=7,1,0)</f>
        <v>0</v>
      </c>
    </row>
    <row r="1216" spans="1:40" x14ac:dyDescent="0.25">
      <c r="A1216" t="s">
        <v>27</v>
      </c>
      <c r="B1216" s="1">
        <v>40672</v>
      </c>
      <c r="C1216" s="6">
        <f t="shared" si="180"/>
        <v>2011</v>
      </c>
      <c r="D1216">
        <v>68.099999999999994</v>
      </c>
      <c r="E1216">
        <v>55.4</v>
      </c>
      <c r="F1216">
        <v>62.9</v>
      </c>
      <c r="G1216" s="2">
        <f t="shared" si="181"/>
        <v>0</v>
      </c>
      <c r="H1216">
        <v>68.099999999999994</v>
      </c>
      <c r="I1216">
        <v>55.4</v>
      </c>
      <c r="J1216">
        <v>62.9</v>
      </c>
      <c r="K1216">
        <v>57.6</v>
      </c>
      <c r="L1216">
        <v>83.2</v>
      </c>
      <c r="M1216" s="2">
        <f t="shared" si="182"/>
        <v>0</v>
      </c>
      <c r="N1216">
        <v>0</v>
      </c>
      <c r="O1216" s="2">
        <f t="shared" si="183"/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 s="2">
        <f t="shared" si="184"/>
        <v>0</v>
      </c>
      <c r="W1216">
        <v>9.1999999999999993</v>
      </c>
      <c r="X1216" s="2">
        <f t="shared" si="185"/>
        <v>0</v>
      </c>
      <c r="Y1216">
        <v>29</v>
      </c>
      <c r="Z1216" s="2" t="str">
        <f>CHOOSE(MATCH(Y1216,{0;11;80;111;161;191;241;281;341},1),"North","NorthEast","East","SouthEast","South","SouthWest","West","NorthWest","North")</f>
        <v>NorthEast</v>
      </c>
      <c r="AA1216" s="4">
        <f>CHOOSE(MATCH(Z1216,{"South";"SouthEast";"SouthWest";"North";"NorthEast";"East";"West";"NorthWest"},0),1,2,3,4,5,6,7,8)</f>
        <v>5</v>
      </c>
      <c r="AB1216" s="2">
        <f t="shared" si="186"/>
        <v>1</v>
      </c>
      <c r="AC1216">
        <v>1014.3</v>
      </c>
      <c r="AD1216" t="s">
        <v>1093</v>
      </c>
      <c r="AE1216" s="2">
        <f t="shared" si="187"/>
        <v>1</v>
      </c>
      <c r="AF1216" t="s">
        <v>1775</v>
      </c>
      <c r="AG1216" s="2">
        <f t="shared" si="188"/>
        <v>5</v>
      </c>
      <c r="AH1216" s="2">
        <f t="shared" si="189"/>
        <v>0</v>
      </c>
      <c r="AI1216" s="3">
        <v>410.00000000582082</v>
      </c>
      <c r="AJ1216" s="2">
        <v>1</v>
      </c>
      <c r="AK1216">
        <v>0</v>
      </c>
      <c r="AL1216">
        <v>5</v>
      </c>
      <c r="AM1216">
        <v>0</v>
      </c>
      <c r="AN1216" s="2">
        <f>IF((2*G1216+M1216-O1216+3*V1216+2*AB1216+2*AE1216+2*AH1216+3*AJ1216)&gt;=7,1,0)</f>
        <v>0</v>
      </c>
    </row>
    <row r="1217" spans="1:40" x14ac:dyDescent="0.25">
      <c r="A1217" t="s">
        <v>27</v>
      </c>
      <c r="B1217" s="1">
        <v>40686</v>
      </c>
      <c r="C1217" s="6">
        <f t="shared" si="180"/>
        <v>2011</v>
      </c>
      <c r="D1217">
        <v>73.400000000000006</v>
      </c>
      <c r="E1217">
        <v>60.8</v>
      </c>
      <c r="F1217">
        <v>68</v>
      </c>
      <c r="G1217" s="2">
        <f t="shared" si="181"/>
        <v>0</v>
      </c>
      <c r="H1217">
        <v>73.400000000000006</v>
      </c>
      <c r="I1217">
        <v>60.8</v>
      </c>
      <c r="J1217">
        <v>68</v>
      </c>
      <c r="K1217">
        <v>61.6</v>
      </c>
      <c r="L1217">
        <v>80.3</v>
      </c>
      <c r="M1217" s="2">
        <f t="shared" si="182"/>
        <v>0</v>
      </c>
      <c r="N1217">
        <v>0</v>
      </c>
      <c r="O1217" s="2">
        <f t="shared" si="183"/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 s="2">
        <f t="shared" si="184"/>
        <v>0</v>
      </c>
      <c r="W1217">
        <v>10.3</v>
      </c>
      <c r="X1217" s="2">
        <f t="shared" si="185"/>
        <v>0</v>
      </c>
      <c r="Y1217">
        <v>312.60000000000002</v>
      </c>
      <c r="Z1217" s="2" t="str">
        <f>CHOOSE(MATCH(Y1217,{0;11;80;111;161;191;241;281;341},1),"North","NorthEast","East","SouthEast","South","SouthWest","West","NorthWest","North")</f>
        <v>NorthWest</v>
      </c>
      <c r="AA1217" s="4">
        <f>CHOOSE(MATCH(Z1217,{"South";"SouthEast";"SouthWest";"North";"NorthEast";"East";"West";"NorthWest"},0),1,2,3,4,5,6,7,8)</f>
        <v>8</v>
      </c>
      <c r="AB1217" s="2">
        <f t="shared" si="186"/>
        <v>1</v>
      </c>
      <c r="AC1217">
        <v>1014.8</v>
      </c>
      <c r="AD1217" t="s">
        <v>1776</v>
      </c>
      <c r="AE1217" s="2">
        <f t="shared" si="187"/>
        <v>1</v>
      </c>
      <c r="AF1217" t="s">
        <v>1777</v>
      </c>
      <c r="AG1217" s="2">
        <f t="shared" si="188"/>
        <v>5</v>
      </c>
      <c r="AH1217" s="2">
        <f t="shared" si="189"/>
        <v>0</v>
      </c>
      <c r="AI1217" s="3">
        <v>223.00000000395809</v>
      </c>
      <c r="AJ1217" s="2">
        <v>0</v>
      </c>
      <c r="AK1217">
        <v>0</v>
      </c>
      <c r="AL1217">
        <v>1</v>
      </c>
      <c r="AM1217">
        <v>0</v>
      </c>
      <c r="AN1217" s="2">
        <f>IF((2*G1217+M1217-O1217+3*V1217+2*AB1217+2*AE1217+2*AH1217+3*AJ1217)&gt;=7,1,0)</f>
        <v>0</v>
      </c>
    </row>
    <row r="1218" spans="1:40" x14ac:dyDescent="0.25">
      <c r="A1218" t="s">
        <v>27</v>
      </c>
      <c r="B1218" s="1">
        <v>40687</v>
      </c>
      <c r="C1218" s="6">
        <f t="shared" si="180"/>
        <v>2011</v>
      </c>
      <c r="D1218">
        <v>73.5</v>
      </c>
      <c r="E1218">
        <v>60.8</v>
      </c>
      <c r="F1218">
        <v>66.900000000000006</v>
      </c>
      <c r="G1218" s="2">
        <f t="shared" si="181"/>
        <v>0</v>
      </c>
      <c r="H1218">
        <v>73.5</v>
      </c>
      <c r="I1218">
        <v>60.8</v>
      </c>
      <c r="J1218">
        <v>66.900000000000006</v>
      </c>
      <c r="K1218">
        <v>61.5</v>
      </c>
      <c r="L1218">
        <v>83.2</v>
      </c>
      <c r="M1218" s="2">
        <f t="shared" si="182"/>
        <v>0</v>
      </c>
      <c r="N1218">
        <v>1.2E-2</v>
      </c>
      <c r="O1218" s="2">
        <f t="shared" si="183"/>
        <v>0</v>
      </c>
      <c r="P1218">
        <v>100</v>
      </c>
      <c r="Q1218">
        <v>4.17</v>
      </c>
      <c r="R1218" t="s">
        <v>182</v>
      </c>
      <c r="S1218">
        <v>0</v>
      </c>
      <c r="T1218">
        <v>0</v>
      </c>
      <c r="U1218">
        <v>0</v>
      </c>
      <c r="V1218" s="2">
        <f t="shared" si="184"/>
        <v>0</v>
      </c>
      <c r="W1218">
        <v>11.4</v>
      </c>
      <c r="X1218" s="2">
        <f t="shared" si="185"/>
        <v>0</v>
      </c>
      <c r="Y1218">
        <v>268.60000000000002</v>
      </c>
      <c r="Z1218" s="2" t="str">
        <f>CHOOSE(MATCH(Y1218,{0;11;80;111;161;191;241;281;341},1),"North","NorthEast","East","SouthEast","South","SouthWest","West","NorthWest","North")</f>
        <v>West</v>
      </c>
      <c r="AA1218" s="4">
        <f>CHOOSE(MATCH(Z1218,{"South";"SouthEast";"SouthWest";"North";"NorthEast";"East";"West";"NorthWest"},0),1,2,3,4,5,6,7,8)</f>
        <v>7</v>
      </c>
      <c r="AB1218" s="2">
        <f t="shared" si="186"/>
        <v>0</v>
      </c>
      <c r="AC1218">
        <v>1015.2</v>
      </c>
      <c r="AD1218" t="s">
        <v>1129</v>
      </c>
      <c r="AE1218" s="2">
        <f t="shared" si="187"/>
        <v>1</v>
      </c>
      <c r="AF1218" t="s">
        <v>1778</v>
      </c>
      <c r="AG1218" s="2">
        <f t="shared" si="188"/>
        <v>5</v>
      </c>
      <c r="AH1218" s="2">
        <f t="shared" si="189"/>
        <v>0</v>
      </c>
      <c r="AI1218" s="3">
        <v>214.99999999883579</v>
      </c>
      <c r="AJ1218" s="2">
        <v>0</v>
      </c>
      <c r="AK1218">
        <v>0</v>
      </c>
      <c r="AL1218">
        <v>1</v>
      </c>
      <c r="AM1218">
        <v>0</v>
      </c>
      <c r="AN1218" s="2">
        <f>IF((2*G1218+M1218-O1218+3*V1218+2*AB1218+2*AE1218+2*AH1218+3*AJ1218)&gt;=7,1,0)</f>
        <v>0</v>
      </c>
    </row>
    <row r="1219" spans="1:40" x14ac:dyDescent="0.25">
      <c r="A1219" t="s">
        <v>27</v>
      </c>
      <c r="B1219" s="1">
        <v>40711</v>
      </c>
      <c r="C1219" s="6">
        <f t="shared" ref="C1219:C1282" si="190">YEAR(B1219)</f>
        <v>2011</v>
      </c>
      <c r="D1219">
        <v>77.099999999999994</v>
      </c>
      <c r="E1219">
        <v>66.2</v>
      </c>
      <c r="F1219">
        <v>73.3</v>
      </c>
      <c r="G1219" s="2">
        <f t="shared" ref="G1219:G1282" si="191">IF(F1219&lt;=70,0,1)</f>
        <v>1</v>
      </c>
      <c r="H1219">
        <v>77.099999999999994</v>
      </c>
      <c r="I1219">
        <v>66.2</v>
      </c>
      <c r="J1219">
        <v>73.3</v>
      </c>
      <c r="K1219">
        <v>63.8</v>
      </c>
      <c r="L1219">
        <v>72.7</v>
      </c>
      <c r="M1219" s="2">
        <f t="shared" ref="M1219:M1282" si="192">IF(L1219&lt;=66,1,0)</f>
        <v>0</v>
      </c>
      <c r="N1219">
        <v>0</v>
      </c>
      <c r="O1219" s="2">
        <f t="shared" ref="O1219:O1282" si="193">IF(N1219&lt;=0.01,1,0)</f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 s="2">
        <f t="shared" ref="V1219:V1282" si="194">IF(U1219&lt;=9,0,1)</f>
        <v>0</v>
      </c>
      <c r="W1219">
        <v>18.3</v>
      </c>
      <c r="X1219" s="2">
        <f t="shared" ref="X1219:X1282" si="195">IF(W1219&gt;=16,1,0)</f>
        <v>1</v>
      </c>
      <c r="Y1219">
        <v>308.10000000000002</v>
      </c>
      <c r="Z1219" s="2" t="str">
        <f>CHOOSE(MATCH(Y1219,{0;11;80;111;161;191;241;281;341},1),"North","NorthEast","East","SouthEast","South","SouthWest","West","NorthWest","North")</f>
        <v>NorthWest</v>
      </c>
      <c r="AA1219" s="4">
        <f>CHOOSE(MATCH(Z1219,{"South";"SouthEast";"SouthWest";"North";"NorthEast";"East";"West";"NorthWest"},0),1,2,3,4,5,6,7,8)</f>
        <v>8</v>
      </c>
      <c r="AB1219" s="2">
        <f t="shared" ref="AB1219:AB1282" si="196">IF(OR(AA1219=4,AA1219=5,AA1219=8),1,0)</f>
        <v>1</v>
      </c>
      <c r="AC1219">
        <v>1014.4</v>
      </c>
      <c r="AD1219" t="s">
        <v>1779</v>
      </c>
      <c r="AE1219" s="2">
        <f t="shared" ref="AE1219:AE1282" si="197">IF(TIMEVALUE(AD1219)&lt;=TIME(12,30,0),0,1)</f>
        <v>1</v>
      </c>
      <c r="AF1219" t="s">
        <v>1780</v>
      </c>
      <c r="AG1219" s="2">
        <f t="shared" ref="AG1219:AG1282" si="198">MONTH(AF1219)</f>
        <v>6</v>
      </c>
      <c r="AH1219" s="2">
        <f t="shared" ref="AH1219:AH1282" si="199">IF(OR(AG1219=6,AG1219=7,AG1219=8),1,0)</f>
        <v>1</v>
      </c>
      <c r="AI1219" s="3">
        <v>90</v>
      </c>
      <c r="AJ1219" s="2">
        <v>0</v>
      </c>
      <c r="AK1219">
        <v>0</v>
      </c>
      <c r="AL1219">
        <v>0.5</v>
      </c>
      <c r="AM1219">
        <v>0</v>
      </c>
      <c r="AN1219" s="2">
        <f>IF((2*G1219+M1219-O1219+3*V1219+2*AB1219+2*AE1219+2*AH1219+3*AJ1219)&gt;=7,1,0)</f>
        <v>1</v>
      </c>
    </row>
    <row r="1220" spans="1:40" x14ac:dyDescent="0.25">
      <c r="A1220" t="s">
        <v>27</v>
      </c>
      <c r="B1220" s="1">
        <v>40717</v>
      </c>
      <c r="C1220" s="6">
        <f t="shared" si="190"/>
        <v>2011</v>
      </c>
      <c r="D1220">
        <v>80.599999999999994</v>
      </c>
      <c r="E1220">
        <v>73.400000000000006</v>
      </c>
      <c r="F1220">
        <v>76.2</v>
      </c>
      <c r="G1220" s="2">
        <f t="shared" si="191"/>
        <v>1</v>
      </c>
      <c r="H1220">
        <v>83.3</v>
      </c>
      <c r="I1220">
        <v>73.400000000000006</v>
      </c>
      <c r="J1220">
        <v>76.3</v>
      </c>
      <c r="K1220">
        <v>65.099999999999994</v>
      </c>
      <c r="L1220">
        <v>68.599999999999994</v>
      </c>
      <c r="M1220" s="2">
        <f t="shared" si="192"/>
        <v>0</v>
      </c>
      <c r="N1220">
        <v>0</v>
      </c>
      <c r="O1220" s="2">
        <f t="shared" si="193"/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 s="2">
        <f t="shared" si="194"/>
        <v>0</v>
      </c>
      <c r="W1220">
        <v>21.9</v>
      </c>
      <c r="X1220" s="2">
        <f t="shared" si="195"/>
        <v>1</v>
      </c>
      <c r="Y1220">
        <v>301.5</v>
      </c>
      <c r="Z1220" s="2" t="str">
        <f>CHOOSE(MATCH(Y1220,{0;11;80;111;161;191;241;281;341},1),"North","NorthEast","East","SouthEast","South","SouthWest","West","NorthWest","North")</f>
        <v>NorthWest</v>
      </c>
      <c r="AA1220" s="4">
        <f>CHOOSE(MATCH(Z1220,{"South";"SouthEast";"SouthWest";"North";"NorthEast";"East";"West";"NorthWest"},0),1,2,3,4,5,6,7,8)</f>
        <v>8</v>
      </c>
      <c r="AB1220" s="2">
        <f t="shared" si="196"/>
        <v>1</v>
      </c>
      <c r="AC1220">
        <v>1012.3</v>
      </c>
      <c r="AD1220" t="s">
        <v>1781</v>
      </c>
      <c r="AE1220" s="2">
        <f t="shared" si="197"/>
        <v>1</v>
      </c>
      <c r="AF1220" t="s">
        <v>1782</v>
      </c>
      <c r="AG1220" s="2">
        <f t="shared" si="198"/>
        <v>6</v>
      </c>
      <c r="AH1220" s="2">
        <f t="shared" si="199"/>
        <v>1</v>
      </c>
      <c r="AI1220" s="3">
        <v>100.0000000011642</v>
      </c>
      <c r="AJ1220" s="2">
        <v>0</v>
      </c>
      <c r="AK1220">
        <v>0</v>
      </c>
      <c r="AL1220">
        <v>1</v>
      </c>
      <c r="AM1220">
        <v>0</v>
      </c>
      <c r="AN1220" s="2">
        <f>IF((2*G1220+M1220-O1220+3*V1220+2*AB1220+2*AE1220+2*AH1220+3*AJ1220)&gt;=7,1,0)</f>
        <v>1</v>
      </c>
    </row>
    <row r="1221" spans="1:40" x14ac:dyDescent="0.25">
      <c r="A1221" t="s">
        <v>27</v>
      </c>
      <c r="B1221" s="1">
        <v>40718</v>
      </c>
      <c r="C1221" s="6">
        <f t="shared" si="190"/>
        <v>2011</v>
      </c>
      <c r="D1221">
        <v>82.4</v>
      </c>
      <c r="E1221">
        <v>71.599999999999994</v>
      </c>
      <c r="F1221">
        <v>77.599999999999994</v>
      </c>
      <c r="G1221" s="2">
        <f t="shared" si="191"/>
        <v>1</v>
      </c>
      <c r="H1221">
        <v>84.7</v>
      </c>
      <c r="I1221">
        <v>71.599999999999994</v>
      </c>
      <c r="J1221">
        <v>78.400000000000006</v>
      </c>
      <c r="K1221">
        <v>63.9</v>
      </c>
      <c r="L1221">
        <v>63</v>
      </c>
      <c r="M1221" s="2">
        <f t="shared" si="192"/>
        <v>1</v>
      </c>
      <c r="N1221">
        <v>0</v>
      </c>
      <c r="O1221" s="2">
        <f t="shared" si="193"/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 s="2">
        <f t="shared" si="194"/>
        <v>0</v>
      </c>
      <c r="W1221">
        <v>19.5</v>
      </c>
      <c r="X1221" s="2">
        <f t="shared" si="195"/>
        <v>1</v>
      </c>
      <c r="Y1221">
        <v>299</v>
      </c>
      <c r="Z1221" s="2" t="str">
        <f>CHOOSE(MATCH(Y1221,{0;11;80;111;161;191;241;281;341},1),"North","NorthEast","East","SouthEast","South","SouthWest","West","NorthWest","North")</f>
        <v>NorthWest</v>
      </c>
      <c r="AA1221" s="4">
        <f>CHOOSE(MATCH(Z1221,{"South";"SouthEast";"SouthWest";"North";"NorthEast";"East";"West";"NorthWest"},0),1,2,3,4,5,6,7,8)</f>
        <v>8</v>
      </c>
      <c r="AB1221" s="2">
        <f t="shared" si="196"/>
        <v>1</v>
      </c>
      <c r="AC1221">
        <v>1010.1</v>
      </c>
      <c r="AD1221" t="s">
        <v>1783</v>
      </c>
      <c r="AE1221" s="2">
        <f t="shared" si="197"/>
        <v>1</v>
      </c>
      <c r="AF1221" t="s">
        <v>1784</v>
      </c>
      <c r="AG1221" s="2">
        <f t="shared" si="198"/>
        <v>6</v>
      </c>
      <c r="AH1221" s="2">
        <f t="shared" si="199"/>
        <v>1</v>
      </c>
      <c r="AI1221" s="3">
        <v>11.00000000442378</v>
      </c>
      <c r="AJ1221" s="2">
        <v>0</v>
      </c>
      <c r="AK1221">
        <v>0</v>
      </c>
      <c r="AL1221">
        <v>0</v>
      </c>
      <c r="AM1221">
        <v>0.1</v>
      </c>
      <c r="AN1221" s="2">
        <f>IF((2*G1221+M1221-O1221+3*V1221+2*AB1221+2*AE1221+2*AH1221+3*AJ1221)&gt;=7,1,0)</f>
        <v>1</v>
      </c>
    </row>
    <row r="1222" spans="1:40" x14ac:dyDescent="0.25">
      <c r="A1222" t="s">
        <v>27</v>
      </c>
      <c r="B1222" s="1">
        <v>40719</v>
      </c>
      <c r="C1222" s="6">
        <f t="shared" si="190"/>
        <v>2011</v>
      </c>
      <c r="D1222">
        <v>86</v>
      </c>
      <c r="E1222">
        <v>66.2</v>
      </c>
      <c r="F1222">
        <v>77.8</v>
      </c>
      <c r="G1222" s="2">
        <f t="shared" si="191"/>
        <v>1</v>
      </c>
      <c r="H1222">
        <v>87.5</v>
      </c>
      <c r="I1222">
        <v>66.2</v>
      </c>
      <c r="J1222">
        <v>78.8</v>
      </c>
      <c r="K1222">
        <v>63.1</v>
      </c>
      <c r="L1222">
        <v>61.1</v>
      </c>
      <c r="M1222" s="2">
        <f t="shared" si="192"/>
        <v>1</v>
      </c>
      <c r="N1222">
        <v>0</v>
      </c>
      <c r="O1222" s="2">
        <f t="shared" si="193"/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 s="2">
        <f t="shared" si="194"/>
        <v>0</v>
      </c>
      <c r="W1222">
        <v>17.2</v>
      </c>
      <c r="X1222" s="2">
        <f t="shared" si="195"/>
        <v>1</v>
      </c>
      <c r="Y1222">
        <v>309.5</v>
      </c>
      <c r="Z1222" s="2" t="str">
        <f>CHOOSE(MATCH(Y1222,{0;11;80;111;161;191;241;281;341},1),"North","NorthEast","East","SouthEast","South","SouthWest","West","NorthWest","North")</f>
        <v>NorthWest</v>
      </c>
      <c r="AA1222" s="4">
        <f>CHOOSE(MATCH(Z1222,{"South";"SouthEast";"SouthWest";"North";"NorthEast";"East";"West";"NorthWest"},0),1,2,3,4,5,6,7,8)</f>
        <v>8</v>
      </c>
      <c r="AB1222" s="2">
        <f t="shared" si="196"/>
        <v>1</v>
      </c>
      <c r="AC1222">
        <v>1007.9</v>
      </c>
      <c r="AD1222" t="s">
        <v>1785</v>
      </c>
      <c r="AE1222" s="2">
        <f t="shared" si="197"/>
        <v>1</v>
      </c>
      <c r="AF1222" t="s">
        <v>1786</v>
      </c>
      <c r="AG1222" s="2">
        <f t="shared" si="198"/>
        <v>6</v>
      </c>
      <c r="AH1222" s="2">
        <f t="shared" si="199"/>
        <v>1</v>
      </c>
      <c r="AI1222" s="3">
        <v>1069.9999999988361</v>
      </c>
      <c r="AJ1222" s="2">
        <v>1</v>
      </c>
      <c r="AK1222">
        <v>0</v>
      </c>
      <c r="AL1222">
        <v>2.5</v>
      </c>
      <c r="AM1222">
        <v>0</v>
      </c>
      <c r="AN1222" s="2">
        <f>IF((2*G1222+M1222-O1222+3*V1222+2*AB1222+2*AE1222+2*AH1222+3*AJ1222)&gt;=7,1,0)</f>
        <v>1</v>
      </c>
    </row>
    <row r="1223" spans="1:40" x14ac:dyDescent="0.25">
      <c r="A1223" t="s">
        <v>27</v>
      </c>
      <c r="B1223" s="1">
        <v>40720</v>
      </c>
      <c r="C1223" s="6">
        <f t="shared" si="190"/>
        <v>2011</v>
      </c>
      <c r="D1223">
        <v>78.8</v>
      </c>
      <c r="E1223">
        <v>71.599999999999994</v>
      </c>
      <c r="F1223">
        <v>75.7</v>
      </c>
      <c r="G1223" s="2">
        <f t="shared" si="191"/>
        <v>1</v>
      </c>
      <c r="H1223">
        <v>78.8</v>
      </c>
      <c r="I1223">
        <v>71.599999999999994</v>
      </c>
      <c r="J1223">
        <v>75.7</v>
      </c>
      <c r="K1223">
        <v>64.3</v>
      </c>
      <c r="L1223">
        <v>68.2</v>
      </c>
      <c r="M1223" s="2">
        <f t="shared" si="192"/>
        <v>0</v>
      </c>
      <c r="N1223">
        <v>0</v>
      </c>
      <c r="O1223" s="2">
        <f t="shared" si="193"/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 s="2">
        <f t="shared" si="194"/>
        <v>0</v>
      </c>
      <c r="W1223">
        <v>25.3</v>
      </c>
      <c r="X1223" s="2">
        <f t="shared" si="195"/>
        <v>1</v>
      </c>
      <c r="Y1223">
        <v>325.10000000000002</v>
      </c>
      <c r="Z1223" s="2" t="str">
        <f>CHOOSE(MATCH(Y1223,{0;11;80;111;161;191;241;281;341},1),"North","NorthEast","East","SouthEast","South","SouthWest","West","NorthWest","North")</f>
        <v>NorthWest</v>
      </c>
      <c r="AA1223" s="4">
        <f>CHOOSE(MATCH(Z1223,{"South";"SouthEast";"SouthWest";"North";"NorthEast";"East";"West";"NorthWest"},0),1,2,3,4,5,6,7,8)</f>
        <v>8</v>
      </c>
      <c r="AB1223" s="2">
        <f t="shared" si="196"/>
        <v>1</v>
      </c>
      <c r="AC1223">
        <v>1009.2</v>
      </c>
      <c r="AD1223" t="s">
        <v>1787</v>
      </c>
      <c r="AE1223" s="2">
        <f t="shared" si="197"/>
        <v>0</v>
      </c>
      <c r="AF1223" t="s">
        <v>1788</v>
      </c>
      <c r="AG1223" s="2">
        <f t="shared" si="198"/>
        <v>6</v>
      </c>
      <c r="AH1223" s="2">
        <f t="shared" si="199"/>
        <v>1</v>
      </c>
      <c r="AI1223" s="3">
        <v>1280.0000000023281</v>
      </c>
      <c r="AJ1223" s="2">
        <v>1</v>
      </c>
      <c r="AK1223">
        <v>0</v>
      </c>
      <c r="AL1223">
        <v>50</v>
      </c>
      <c r="AM1223">
        <v>0</v>
      </c>
      <c r="AN1223" s="2">
        <f>IF((2*G1223+M1223-O1223+3*V1223+2*AB1223+2*AE1223+2*AH1223+3*AJ1223)&gt;=7,1,0)</f>
        <v>1</v>
      </c>
    </row>
    <row r="1224" spans="1:40" x14ac:dyDescent="0.25">
      <c r="A1224" t="s">
        <v>27</v>
      </c>
      <c r="B1224" s="1">
        <v>40723</v>
      </c>
      <c r="C1224" s="6">
        <f t="shared" si="190"/>
        <v>2011</v>
      </c>
      <c r="D1224">
        <v>78.8</v>
      </c>
      <c r="E1224">
        <v>62.6</v>
      </c>
      <c r="F1224">
        <v>72.5</v>
      </c>
      <c r="G1224" s="2">
        <f t="shared" si="191"/>
        <v>1</v>
      </c>
      <c r="H1224">
        <v>78.8</v>
      </c>
      <c r="I1224">
        <v>62.6</v>
      </c>
      <c r="J1224">
        <v>72.5</v>
      </c>
      <c r="K1224">
        <v>61</v>
      </c>
      <c r="L1224">
        <v>67.599999999999994</v>
      </c>
      <c r="M1224" s="2">
        <f t="shared" si="192"/>
        <v>0</v>
      </c>
      <c r="N1224">
        <v>0</v>
      </c>
      <c r="O1224" s="2">
        <f t="shared" si="193"/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 s="2">
        <f t="shared" si="194"/>
        <v>0</v>
      </c>
      <c r="W1224">
        <v>11.4</v>
      </c>
      <c r="X1224" s="2">
        <f t="shared" si="195"/>
        <v>0</v>
      </c>
      <c r="Y1224">
        <v>281.10000000000002</v>
      </c>
      <c r="Z1224" s="2" t="str">
        <f>CHOOSE(MATCH(Y1224,{0;11;80;111;161;191;241;281;341},1),"North","NorthEast","East","SouthEast","South","SouthWest","West","NorthWest","North")</f>
        <v>NorthWest</v>
      </c>
      <c r="AA1224" s="4">
        <f>CHOOSE(MATCH(Z1224,{"South";"SouthEast";"SouthWest";"North";"NorthEast";"East";"West";"NorthWest"},0),1,2,3,4,5,6,7,8)</f>
        <v>8</v>
      </c>
      <c r="AB1224" s="2">
        <f t="shared" si="196"/>
        <v>1</v>
      </c>
      <c r="AC1224">
        <v>1008.5</v>
      </c>
      <c r="AD1224" t="s">
        <v>1218</v>
      </c>
      <c r="AE1224" s="2">
        <f t="shared" si="197"/>
        <v>0</v>
      </c>
      <c r="AF1224" t="s">
        <v>1789</v>
      </c>
      <c r="AG1224" s="2">
        <f t="shared" si="198"/>
        <v>6</v>
      </c>
      <c r="AH1224" s="2">
        <f t="shared" si="199"/>
        <v>1</v>
      </c>
      <c r="AI1224" s="3">
        <v>210.00000000349249</v>
      </c>
      <c r="AJ1224" s="2">
        <v>0</v>
      </c>
      <c r="AK1224">
        <v>0</v>
      </c>
      <c r="AL1224">
        <v>5</v>
      </c>
      <c r="AM1224">
        <v>0</v>
      </c>
      <c r="AN1224" s="2">
        <f>IF((2*G1224+M1224-O1224+3*V1224+2*AB1224+2*AE1224+2*AH1224+3*AJ1224)&gt;=7,1,0)</f>
        <v>0</v>
      </c>
    </row>
    <row r="1225" spans="1:40" x14ac:dyDescent="0.25">
      <c r="A1225" t="s">
        <v>27</v>
      </c>
      <c r="B1225" s="1">
        <v>40727</v>
      </c>
      <c r="C1225" s="6">
        <f t="shared" si="190"/>
        <v>2011</v>
      </c>
      <c r="D1225">
        <v>82.4</v>
      </c>
      <c r="E1225">
        <v>68</v>
      </c>
      <c r="F1225">
        <v>75.400000000000006</v>
      </c>
      <c r="G1225" s="2">
        <f t="shared" si="191"/>
        <v>1</v>
      </c>
      <c r="H1225">
        <v>85.4</v>
      </c>
      <c r="I1225">
        <v>68</v>
      </c>
      <c r="J1225">
        <v>76.2</v>
      </c>
      <c r="K1225">
        <v>68.7</v>
      </c>
      <c r="L1225">
        <v>80.400000000000006</v>
      </c>
      <c r="M1225" s="2">
        <f t="shared" si="192"/>
        <v>0</v>
      </c>
      <c r="N1225">
        <v>0</v>
      </c>
      <c r="O1225" s="2">
        <f t="shared" si="193"/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 s="2">
        <f t="shared" si="194"/>
        <v>0</v>
      </c>
      <c r="W1225">
        <v>12.8</v>
      </c>
      <c r="X1225" s="2">
        <f t="shared" si="195"/>
        <v>0</v>
      </c>
      <c r="Y1225">
        <v>3.7</v>
      </c>
      <c r="Z1225" s="2" t="str">
        <f>CHOOSE(MATCH(Y1225,{0;11;80;111;161;191;241;281;341},1),"North","NorthEast","East","SouthEast","South","SouthWest","West","NorthWest","North")</f>
        <v>North</v>
      </c>
      <c r="AA1225" s="4">
        <f>CHOOSE(MATCH(Z1225,{"South";"SouthEast";"SouthWest";"North";"NorthEast";"East";"West";"NorthWest"},0),1,2,3,4,5,6,7,8)</f>
        <v>4</v>
      </c>
      <c r="AB1225" s="2">
        <f t="shared" si="196"/>
        <v>1</v>
      </c>
      <c r="AC1225">
        <v>1009.5</v>
      </c>
      <c r="AD1225" t="s">
        <v>1073</v>
      </c>
      <c r="AE1225" s="2">
        <f t="shared" si="197"/>
        <v>1</v>
      </c>
      <c r="AF1225" t="s">
        <v>1790</v>
      </c>
      <c r="AG1225" s="2">
        <f t="shared" si="198"/>
        <v>7</v>
      </c>
      <c r="AH1225" s="2">
        <f t="shared" si="199"/>
        <v>1</v>
      </c>
      <c r="AI1225" s="3">
        <v>894.99999999417923</v>
      </c>
      <c r="AJ1225" s="2">
        <v>1</v>
      </c>
      <c r="AK1225">
        <v>0</v>
      </c>
      <c r="AL1225">
        <v>5</v>
      </c>
      <c r="AM1225">
        <v>0</v>
      </c>
      <c r="AN1225" s="2">
        <f>IF((2*G1225+M1225-O1225+3*V1225+2*AB1225+2*AE1225+2*AH1225+3*AJ1225)&gt;=7,1,0)</f>
        <v>1</v>
      </c>
    </row>
    <row r="1226" spans="1:40" x14ac:dyDescent="0.25">
      <c r="A1226" t="s">
        <v>27</v>
      </c>
      <c r="B1226" s="1">
        <v>40727</v>
      </c>
      <c r="C1226" s="6">
        <f t="shared" si="190"/>
        <v>2011</v>
      </c>
      <c r="D1226">
        <v>82.4</v>
      </c>
      <c r="E1226">
        <v>68</v>
      </c>
      <c r="F1226">
        <v>75.400000000000006</v>
      </c>
      <c r="G1226" s="2">
        <f t="shared" si="191"/>
        <v>1</v>
      </c>
      <c r="H1226">
        <v>85.4</v>
      </c>
      <c r="I1226">
        <v>68</v>
      </c>
      <c r="J1226">
        <v>76.2</v>
      </c>
      <c r="K1226">
        <v>68.7</v>
      </c>
      <c r="L1226">
        <v>80.400000000000006</v>
      </c>
      <c r="M1226" s="2">
        <f t="shared" si="192"/>
        <v>0</v>
      </c>
      <c r="N1226">
        <v>0</v>
      </c>
      <c r="O1226" s="2">
        <f t="shared" si="193"/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 s="2">
        <f t="shared" si="194"/>
        <v>0</v>
      </c>
      <c r="W1226">
        <v>12.8</v>
      </c>
      <c r="X1226" s="2">
        <f t="shared" si="195"/>
        <v>0</v>
      </c>
      <c r="Y1226">
        <v>3.7</v>
      </c>
      <c r="Z1226" s="2" t="str">
        <f>CHOOSE(MATCH(Y1226,{0;11;80;111;161;191;241;281;341},1),"North","NorthEast","East","SouthEast","South","SouthWest","West","NorthWest","North")</f>
        <v>North</v>
      </c>
      <c r="AA1226" s="4">
        <f>CHOOSE(MATCH(Z1226,{"South";"SouthEast";"SouthWest";"North";"NorthEast";"East";"West";"NorthWest"},0),1,2,3,4,5,6,7,8)</f>
        <v>4</v>
      </c>
      <c r="AB1226" s="2">
        <f t="shared" si="196"/>
        <v>1</v>
      </c>
      <c r="AC1226">
        <v>1009.5</v>
      </c>
      <c r="AD1226" t="s">
        <v>1215</v>
      </c>
      <c r="AE1226" s="2">
        <f t="shared" si="197"/>
        <v>1</v>
      </c>
      <c r="AF1226" t="s">
        <v>1791</v>
      </c>
      <c r="AG1226" s="2">
        <f t="shared" si="198"/>
        <v>7</v>
      </c>
      <c r="AH1226" s="2">
        <f t="shared" si="199"/>
        <v>1</v>
      </c>
      <c r="AI1226" s="3">
        <v>64.999999991850927</v>
      </c>
      <c r="AJ1226" s="2">
        <v>0</v>
      </c>
      <c r="AK1226">
        <v>0</v>
      </c>
      <c r="AL1226">
        <v>1</v>
      </c>
      <c r="AM1226">
        <v>0</v>
      </c>
      <c r="AN1226" s="2">
        <f>IF((2*G1226+M1226-O1226+3*V1226+2*AB1226+2*AE1226+2*AH1226+3*AJ1226)&gt;=7,1,0)</f>
        <v>1</v>
      </c>
    </row>
    <row r="1227" spans="1:40" x14ac:dyDescent="0.25">
      <c r="A1227" t="s">
        <v>27</v>
      </c>
      <c r="B1227" s="1">
        <v>40731</v>
      </c>
      <c r="C1227" s="6">
        <f t="shared" si="190"/>
        <v>2011</v>
      </c>
      <c r="D1227">
        <v>82.4</v>
      </c>
      <c r="E1227">
        <v>69.8</v>
      </c>
      <c r="F1227">
        <v>77.8</v>
      </c>
      <c r="G1227" s="2">
        <f t="shared" si="191"/>
        <v>1</v>
      </c>
      <c r="H1227">
        <v>88.3</v>
      </c>
      <c r="I1227">
        <v>69.8</v>
      </c>
      <c r="J1227">
        <v>79.8</v>
      </c>
      <c r="K1227">
        <v>66.8</v>
      </c>
      <c r="L1227">
        <v>69.400000000000006</v>
      </c>
      <c r="M1227" s="2">
        <f t="shared" si="192"/>
        <v>0</v>
      </c>
      <c r="N1227">
        <v>0</v>
      </c>
      <c r="O1227" s="2">
        <f t="shared" si="193"/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 s="2">
        <f t="shared" si="194"/>
        <v>0</v>
      </c>
      <c r="W1227">
        <v>9.1999999999999993</v>
      </c>
      <c r="X1227" s="2">
        <f t="shared" si="195"/>
        <v>0</v>
      </c>
      <c r="Y1227">
        <v>50.2</v>
      </c>
      <c r="Z1227" s="2" t="str">
        <f>CHOOSE(MATCH(Y1227,{0;11;80;111;161;191;241;281;341},1),"North","NorthEast","East","SouthEast","South","SouthWest","West","NorthWest","North")</f>
        <v>NorthEast</v>
      </c>
      <c r="AA1227" s="4">
        <f>CHOOSE(MATCH(Z1227,{"South";"SouthEast";"SouthWest";"North";"NorthEast";"East";"West";"NorthWest"},0),1,2,3,4,5,6,7,8)</f>
        <v>5</v>
      </c>
      <c r="AB1227" s="2">
        <f t="shared" si="196"/>
        <v>1</v>
      </c>
      <c r="AC1227">
        <v>1010</v>
      </c>
      <c r="AD1227" t="s">
        <v>1792</v>
      </c>
      <c r="AE1227" s="2">
        <f t="shared" si="197"/>
        <v>0</v>
      </c>
      <c r="AF1227" t="s">
        <v>1793</v>
      </c>
      <c r="AG1227" s="2">
        <f t="shared" si="198"/>
        <v>7</v>
      </c>
      <c r="AH1227" s="2">
        <f t="shared" si="199"/>
        <v>1</v>
      </c>
      <c r="AI1227" s="3">
        <v>595.00000000116415</v>
      </c>
      <c r="AJ1227" s="2">
        <v>1</v>
      </c>
      <c r="AK1227">
        <v>0</v>
      </c>
      <c r="AL1227">
        <v>10</v>
      </c>
      <c r="AM1227">
        <v>0</v>
      </c>
      <c r="AN1227" s="2">
        <f>IF((2*G1227+M1227-O1227+3*V1227+2*AB1227+2*AE1227+2*AH1227+3*AJ1227)&gt;=7,1,0)</f>
        <v>1</v>
      </c>
    </row>
    <row r="1228" spans="1:40" x14ac:dyDescent="0.25">
      <c r="A1228" t="s">
        <v>27</v>
      </c>
      <c r="B1228" s="1">
        <v>40733</v>
      </c>
      <c r="C1228" s="6">
        <f t="shared" si="190"/>
        <v>2011</v>
      </c>
      <c r="D1228">
        <v>82.4</v>
      </c>
      <c r="E1228">
        <v>69.8</v>
      </c>
      <c r="F1228">
        <v>77</v>
      </c>
      <c r="G1228" s="2">
        <f t="shared" si="191"/>
        <v>1</v>
      </c>
      <c r="H1228">
        <v>88.3</v>
      </c>
      <c r="I1228">
        <v>69.8</v>
      </c>
      <c r="J1228">
        <v>79</v>
      </c>
      <c r="K1228">
        <v>67.599999999999994</v>
      </c>
      <c r="L1228">
        <v>72.8</v>
      </c>
      <c r="M1228" s="2">
        <f t="shared" si="192"/>
        <v>0</v>
      </c>
      <c r="N1228">
        <v>0</v>
      </c>
      <c r="O1228" s="2">
        <f t="shared" si="193"/>
        <v>1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 s="2">
        <f t="shared" si="194"/>
        <v>0</v>
      </c>
      <c r="W1228">
        <v>17.2</v>
      </c>
      <c r="X1228" s="2">
        <f t="shared" si="195"/>
        <v>1</v>
      </c>
      <c r="Y1228">
        <v>313.8</v>
      </c>
      <c r="Z1228" s="2" t="str">
        <f>CHOOSE(MATCH(Y1228,{0;11;80;111;161;191;241;281;341},1),"North","NorthEast","East","SouthEast","South","SouthWest","West","NorthWest","North")</f>
        <v>NorthWest</v>
      </c>
      <c r="AA1228" s="4">
        <f>CHOOSE(MATCH(Z1228,{"South";"SouthEast";"SouthWest";"North";"NorthEast";"East";"West";"NorthWest"},0),1,2,3,4,5,6,7,8)</f>
        <v>8</v>
      </c>
      <c r="AB1228" s="2">
        <f t="shared" si="196"/>
        <v>1</v>
      </c>
      <c r="AC1228">
        <v>1013.8</v>
      </c>
      <c r="AD1228" t="s">
        <v>1794</v>
      </c>
      <c r="AE1228" s="2">
        <f t="shared" si="197"/>
        <v>1</v>
      </c>
      <c r="AF1228" t="s">
        <v>1795</v>
      </c>
      <c r="AG1228" s="2">
        <f t="shared" si="198"/>
        <v>7</v>
      </c>
      <c r="AH1228" s="2">
        <f t="shared" si="199"/>
        <v>1</v>
      </c>
      <c r="AI1228" s="3">
        <v>2409.9999999976721</v>
      </c>
      <c r="AJ1228" s="2">
        <v>1</v>
      </c>
      <c r="AK1228">
        <v>0</v>
      </c>
      <c r="AL1228">
        <v>50</v>
      </c>
      <c r="AM1228">
        <v>0</v>
      </c>
      <c r="AN1228" s="2">
        <f>IF((2*G1228+M1228-O1228+3*V1228+2*AB1228+2*AE1228+2*AH1228+3*AJ1228)&gt;=7,1,0)</f>
        <v>1</v>
      </c>
    </row>
    <row r="1229" spans="1:40" x14ac:dyDescent="0.25">
      <c r="A1229" t="s">
        <v>27</v>
      </c>
      <c r="B1229" s="1">
        <v>40734</v>
      </c>
      <c r="C1229" s="6">
        <f t="shared" si="190"/>
        <v>2011</v>
      </c>
      <c r="D1229">
        <v>84.2</v>
      </c>
      <c r="E1229">
        <v>69.8</v>
      </c>
      <c r="F1229">
        <v>78</v>
      </c>
      <c r="G1229" s="2">
        <f t="shared" si="191"/>
        <v>1</v>
      </c>
      <c r="H1229">
        <v>89.6</v>
      </c>
      <c r="I1229">
        <v>69.8</v>
      </c>
      <c r="J1229">
        <v>79.900000000000006</v>
      </c>
      <c r="K1229">
        <v>66.900000000000006</v>
      </c>
      <c r="L1229">
        <v>68.900000000000006</v>
      </c>
      <c r="M1229" s="2">
        <f t="shared" si="192"/>
        <v>0</v>
      </c>
      <c r="N1229">
        <v>0</v>
      </c>
      <c r="O1229" s="2">
        <f t="shared" si="193"/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 s="2">
        <f t="shared" si="194"/>
        <v>0</v>
      </c>
      <c r="W1229">
        <v>25.3</v>
      </c>
      <c r="X1229" s="2">
        <f t="shared" si="195"/>
        <v>1</v>
      </c>
      <c r="Y1229">
        <v>318.3</v>
      </c>
      <c r="Z1229" s="2" t="str">
        <f>CHOOSE(MATCH(Y1229,{0;11;80;111;161;191;241;281;341},1),"North","NorthEast","East","SouthEast","South","SouthWest","West","NorthWest","North")</f>
        <v>NorthWest</v>
      </c>
      <c r="AA1229" s="4">
        <f>CHOOSE(MATCH(Z1229,{"South";"SouthEast";"SouthWest";"North";"NorthEast";"East";"West";"NorthWest"},0),1,2,3,4,5,6,7,8)</f>
        <v>8</v>
      </c>
      <c r="AB1229" s="2">
        <f t="shared" si="196"/>
        <v>1</v>
      </c>
      <c r="AC1229">
        <v>1011.7</v>
      </c>
      <c r="AD1229" t="s">
        <v>1796</v>
      </c>
      <c r="AE1229" s="2">
        <f t="shared" si="197"/>
        <v>1</v>
      </c>
      <c r="AF1229" t="s">
        <v>1797</v>
      </c>
      <c r="AG1229" s="2">
        <f t="shared" si="198"/>
        <v>7</v>
      </c>
      <c r="AH1229" s="2">
        <f t="shared" si="199"/>
        <v>1</v>
      </c>
      <c r="AI1229" s="3">
        <v>1609.9999999988361</v>
      </c>
      <c r="AJ1229" s="2">
        <v>1</v>
      </c>
      <c r="AK1229">
        <v>0</v>
      </c>
      <c r="AL1229">
        <v>40</v>
      </c>
      <c r="AM1229">
        <v>0</v>
      </c>
      <c r="AN1229" s="2">
        <f>IF((2*G1229+M1229-O1229+3*V1229+2*AB1229+2*AE1229+2*AH1229+3*AJ1229)&gt;=7,1,0)</f>
        <v>1</v>
      </c>
    </row>
    <row r="1230" spans="1:40" x14ac:dyDescent="0.25">
      <c r="A1230" t="s">
        <v>27</v>
      </c>
      <c r="B1230" s="1">
        <v>40735</v>
      </c>
      <c r="C1230" s="6">
        <f t="shared" si="190"/>
        <v>2011</v>
      </c>
      <c r="D1230">
        <v>82.4</v>
      </c>
      <c r="E1230">
        <v>69.8</v>
      </c>
      <c r="F1230">
        <v>78.400000000000006</v>
      </c>
      <c r="G1230" s="2">
        <f t="shared" si="191"/>
        <v>1</v>
      </c>
      <c r="H1230">
        <v>87.2</v>
      </c>
      <c r="I1230">
        <v>69.8</v>
      </c>
      <c r="J1230">
        <v>80.5</v>
      </c>
      <c r="K1230">
        <v>66.8</v>
      </c>
      <c r="L1230">
        <v>67.8</v>
      </c>
      <c r="M1230" s="2">
        <f t="shared" si="192"/>
        <v>0</v>
      </c>
      <c r="N1230">
        <v>0</v>
      </c>
      <c r="O1230" s="2">
        <f t="shared" si="193"/>
        <v>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 s="2">
        <f t="shared" si="194"/>
        <v>0</v>
      </c>
      <c r="W1230">
        <v>25.3</v>
      </c>
      <c r="X1230" s="2">
        <f t="shared" si="195"/>
        <v>1</v>
      </c>
      <c r="Y1230">
        <v>305.3</v>
      </c>
      <c r="Z1230" s="2" t="str">
        <f>CHOOSE(MATCH(Y1230,{0;11;80;111;161;191;241;281;341},1),"North","NorthEast","East","SouthEast","South","SouthWest","West","NorthWest","North")</f>
        <v>NorthWest</v>
      </c>
      <c r="AA1230" s="4">
        <f>CHOOSE(MATCH(Z1230,{"South";"SouthEast";"SouthWest";"North";"NorthEast";"East";"West";"NorthWest"},0),1,2,3,4,5,6,7,8)</f>
        <v>8</v>
      </c>
      <c r="AB1230" s="2">
        <f t="shared" si="196"/>
        <v>1</v>
      </c>
      <c r="AC1230">
        <v>1008.6</v>
      </c>
      <c r="AD1230" t="s">
        <v>1798</v>
      </c>
      <c r="AE1230" s="2">
        <f t="shared" si="197"/>
        <v>0</v>
      </c>
      <c r="AF1230" t="s">
        <v>1799</v>
      </c>
      <c r="AG1230" s="2">
        <f t="shared" si="198"/>
        <v>7</v>
      </c>
      <c r="AH1230" s="2">
        <f t="shared" si="199"/>
        <v>1</v>
      </c>
      <c r="AI1230" s="3">
        <v>460.00000000116421</v>
      </c>
      <c r="AJ1230" s="2">
        <v>1</v>
      </c>
      <c r="AK1230">
        <v>0</v>
      </c>
      <c r="AL1230">
        <v>2</v>
      </c>
      <c r="AM1230">
        <v>0</v>
      </c>
      <c r="AN1230" s="2">
        <f>IF((2*G1230+M1230-O1230+3*V1230+2*AB1230+2*AE1230+2*AH1230+3*AJ1230)&gt;=7,1,0)</f>
        <v>1</v>
      </c>
    </row>
    <row r="1231" spans="1:40" x14ac:dyDescent="0.25">
      <c r="A1231" t="s">
        <v>27</v>
      </c>
      <c r="B1231" s="1">
        <v>40736</v>
      </c>
      <c r="C1231" s="6">
        <f t="shared" si="190"/>
        <v>2011</v>
      </c>
      <c r="D1231">
        <v>82.4</v>
      </c>
      <c r="E1231">
        <v>78.8</v>
      </c>
      <c r="F1231">
        <v>80.5</v>
      </c>
      <c r="G1231" s="2">
        <f t="shared" si="191"/>
        <v>1</v>
      </c>
      <c r="H1231">
        <v>87.2</v>
      </c>
      <c r="I1231">
        <v>78.8</v>
      </c>
      <c r="J1231">
        <v>82.4</v>
      </c>
      <c r="K1231">
        <v>67.599999999999994</v>
      </c>
      <c r="L1231">
        <v>64.8</v>
      </c>
      <c r="M1231" s="2">
        <f t="shared" si="192"/>
        <v>1</v>
      </c>
      <c r="N1231">
        <v>0</v>
      </c>
      <c r="O1231" s="2">
        <f t="shared" si="193"/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 s="2">
        <f t="shared" si="194"/>
        <v>0</v>
      </c>
      <c r="W1231">
        <v>20.8</v>
      </c>
      <c r="X1231" s="2">
        <f t="shared" si="195"/>
        <v>1</v>
      </c>
      <c r="Y1231">
        <v>303.39999999999998</v>
      </c>
      <c r="Z1231" s="2" t="str">
        <f>CHOOSE(MATCH(Y1231,{0;11;80;111;161;191;241;281;341},1),"North","NorthEast","East","SouthEast","South","SouthWest","West","NorthWest","North")</f>
        <v>NorthWest</v>
      </c>
      <c r="AA1231" s="4">
        <f>CHOOSE(MATCH(Z1231,{"South";"SouthEast";"SouthWest";"North";"NorthEast";"East";"West";"NorthWest"},0),1,2,3,4,5,6,7,8)</f>
        <v>8</v>
      </c>
      <c r="AB1231" s="2">
        <f t="shared" si="196"/>
        <v>1</v>
      </c>
      <c r="AC1231">
        <v>1007.6</v>
      </c>
      <c r="AD1231" t="s">
        <v>1800</v>
      </c>
      <c r="AE1231" s="2">
        <f t="shared" si="197"/>
        <v>1</v>
      </c>
      <c r="AF1231" t="s">
        <v>1801</v>
      </c>
      <c r="AG1231" s="2">
        <f t="shared" si="198"/>
        <v>7</v>
      </c>
      <c r="AH1231" s="2">
        <f t="shared" si="199"/>
        <v>1</v>
      </c>
      <c r="AI1231" s="3">
        <v>1820.0000000023281</v>
      </c>
      <c r="AJ1231" s="2">
        <v>1</v>
      </c>
      <c r="AK1231">
        <v>0</v>
      </c>
      <c r="AL1231">
        <v>150</v>
      </c>
      <c r="AM1231">
        <v>0</v>
      </c>
      <c r="AN1231" s="2">
        <f>IF((2*G1231+M1231-O1231+3*V1231+2*AB1231+2*AE1231+2*AH1231+3*AJ1231)&gt;=7,1,0)</f>
        <v>1</v>
      </c>
    </row>
    <row r="1232" spans="1:40" x14ac:dyDescent="0.25">
      <c r="A1232" t="s">
        <v>27</v>
      </c>
      <c r="B1232" s="1">
        <v>40736</v>
      </c>
      <c r="C1232" s="6">
        <f t="shared" si="190"/>
        <v>2011</v>
      </c>
      <c r="D1232">
        <v>82.4</v>
      </c>
      <c r="E1232">
        <v>78.8</v>
      </c>
      <c r="F1232">
        <v>80.5</v>
      </c>
      <c r="G1232" s="2">
        <f t="shared" si="191"/>
        <v>1</v>
      </c>
      <c r="H1232">
        <v>87.2</v>
      </c>
      <c r="I1232">
        <v>78.8</v>
      </c>
      <c r="J1232">
        <v>82.4</v>
      </c>
      <c r="K1232">
        <v>67.599999999999994</v>
      </c>
      <c r="L1232">
        <v>64.8</v>
      </c>
      <c r="M1232" s="2">
        <f t="shared" si="192"/>
        <v>1</v>
      </c>
      <c r="N1232">
        <v>0</v>
      </c>
      <c r="O1232" s="2">
        <f t="shared" si="193"/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 s="2">
        <f t="shared" si="194"/>
        <v>0</v>
      </c>
      <c r="W1232">
        <v>20.8</v>
      </c>
      <c r="X1232" s="2">
        <f t="shared" si="195"/>
        <v>1</v>
      </c>
      <c r="Y1232">
        <v>303.39999999999998</v>
      </c>
      <c r="Z1232" s="2" t="str">
        <f>CHOOSE(MATCH(Y1232,{0;11;80;111;161;191;241;281;341},1),"North","NorthEast","East","SouthEast","South","SouthWest","West","NorthWest","North")</f>
        <v>NorthWest</v>
      </c>
      <c r="AA1232" s="4">
        <f>CHOOSE(MATCH(Z1232,{"South";"SouthEast";"SouthWest";"North";"NorthEast";"East";"West";"NorthWest"},0),1,2,3,4,5,6,7,8)</f>
        <v>8</v>
      </c>
      <c r="AB1232" s="2">
        <f t="shared" si="196"/>
        <v>1</v>
      </c>
      <c r="AC1232">
        <v>1007.6</v>
      </c>
      <c r="AD1232" t="s">
        <v>1768</v>
      </c>
      <c r="AE1232" s="2">
        <f t="shared" si="197"/>
        <v>0</v>
      </c>
      <c r="AF1232" t="s">
        <v>1802</v>
      </c>
      <c r="AG1232" s="2">
        <f t="shared" si="198"/>
        <v>7</v>
      </c>
      <c r="AH1232" s="2">
        <f t="shared" si="199"/>
        <v>1</v>
      </c>
      <c r="AI1232" s="3">
        <v>220.00000000465661</v>
      </c>
      <c r="AJ1232" s="2">
        <v>0</v>
      </c>
      <c r="AK1232">
        <v>0</v>
      </c>
      <c r="AL1232">
        <v>4</v>
      </c>
      <c r="AM1232">
        <v>0</v>
      </c>
      <c r="AN1232" s="2">
        <f>IF((2*G1232+M1232-O1232+3*V1232+2*AB1232+2*AE1232+2*AH1232+3*AJ1232)&gt;=7,1,0)</f>
        <v>0</v>
      </c>
    </row>
    <row r="1233" spans="1:40" x14ac:dyDescent="0.25">
      <c r="A1233" t="s">
        <v>27</v>
      </c>
      <c r="B1233" s="1">
        <v>40737</v>
      </c>
      <c r="C1233" s="6">
        <f t="shared" si="190"/>
        <v>2011</v>
      </c>
      <c r="D1233">
        <v>84.2</v>
      </c>
      <c r="E1233">
        <v>78.8</v>
      </c>
      <c r="F1233">
        <v>81</v>
      </c>
      <c r="G1233" s="2">
        <f t="shared" si="191"/>
        <v>1</v>
      </c>
      <c r="H1233">
        <v>89.6</v>
      </c>
      <c r="I1233">
        <v>78.8</v>
      </c>
      <c r="J1233">
        <v>83.4</v>
      </c>
      <c r="K1233">
        <v>68.8</v>
      </c>
      <c r="L1233">
        <v>66.7</v>
      </c>
      <c r="M1233" s="2">
        <f t="shared" si="192"/>
        <v>0</v>
      </c>
      <c r="N1233">
        <v>0</v>
      </c>
      <c r="O1233" s="2">
        <f t="shared" si="193"/>
        <v>1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 s="2">
        <f t="shared" si="194"/>
        <v>0</v>
      </c>
      <c r="W1233">
        <v>21.9</v>
      </c>
      <c r="X1233" s="2">
        <f t="shared" si="195"/>
        <v>1</v>
      </c>
      <c r="Y1233">
        <v>302</v>
      </c>
      <c r="Z1233" s="2" t="str">
        <f>CHOOSE(MATCH(Y1233,{0;11;80;111;161;191;241;281;341},1),"North","NorthEast","East","SouthEast","South","SouthWest","West","NorthWest","North")</f>
        <v>NorthWest</v>
      </c>
      <c r="AA1233" s="4">
        <f>CHOOSE(MATCH(Z1233,{"South";"SouthEast";"SouthWest";"North";"NorthEast";"East";"West";"NorthWest"},0),1,2,3,4,5,6,7,8)</f>
        <v>8</v>
      </c>
      <c r="AB1233" s="2">
        <f t="shared" si="196"/>
        <v>1</v>
      </c>
      <c r="AC1233">
        <v>1007.4</v>
      </c>
      <c r="AD1233" t="s">
        <v>1226</v>
      </c>
      <c r="AE1233" s="2">
        <f t="shared" si="197"/>
        <v>1</v>
      </c>
      <c r="AF1233" t="s">
        <v>1803</v>
      </c>
      <c r="AG1233" s="2">
        <f t="shared" si="198"/>
        <v>7</v>
      </c>
      <c r="AH1233" s="2">
        <f t="shared" si="199"/>
        <v>1</v>
      </c>
      <c r="AI1233" s="3">
        <v>835.00000000814907</v>
      </c>
      <c r="AJ1233" s="2">
        <v>1</v>
      </c>
      <c r="AK1233">
        <v>0</v>
      </c>
      <c r="AL1233">
        <v>20</v>
      </c>
      <c r="AM1233">
        <v>0</v>
      </c>
      <c r="AN1233" s="2">
        <f>IF((2*G1233+M1233-O1233+3*V1233+2*AB1233+2*AE1233+2*AH1233+3*AJ1233)&gt;=7,1,0)</f>
        <v>1</v>
      </c>
    </row>
    <row r="1234" spans="1:40" x14ac:dyDescent="0.25">
      <c r="A1234" t="s">
        <v>27</v>
      </c>
      <c r="B1234" s="1">
        <v>40737</v>
      </c>
      <c r="C1234" s="6">
        <f t="shared" si="190"/>
        <v>2011</v>
      </c>
      <c r="D1234">
        <v>84.2</v>
      </c>
      <c r="E1234">
        <v>78.8</v>
      </c>
      <c r="F1234">
        <v>81</v>
      </c>
      <c r="G1234" s="2">
        <f t="shared" si="191"/>
        <v>1</v>
      </c>
      <c r="H1234">
        <v>89.6</v>
      </c>
      <c r="I1234">
        <v>78.8</v>
      </c>
      <c r="J1234">
        <v>83.4</v>
      </c>
      <c r="K1234">
        <v>68.8</v>
      </c>
      <c r="L1234">
        <v>66.7</v>
      </c>
      <c r="M1234" s="2">
        <f t="shared" si="192"/>
        <v>0</v>
      </c>
      <c r="N1234">
        <v>0</v>
      </c>
      <c r="O1234" s="2">
        <f t="shared" si="193"/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 s="2">
        <f t="shared" si="194"/>
        <v>0</v>
      </c>
      <c r="W1234">
        <v>21.9</v>
      </c>
      <c r="X1234" s="2">
        <f t="shared" si="195"/>
        <v>1</v>
      </c>
      <c r="Y1234">
        <v>302</v>
      </c>
      <c r="Z1234" s="2" t="str">
        <f>CHOOSE(MATCH(Y1234,{0;11;80;111;161;191;241;281;341},1),"North","NorthEast","East","SouthEast","South","SouthWest","West","NorthWest","North")</f>
        <v>NorthWest</v>
      </c>
      <c r="AA1234" s="4">
        <f>CHOOSE(MATCH(Z1234,{"South";"SouthEast";"SouthWest";"North";"NorthEast";"East";"West";"NorthWest"},0),1,2,3,4,5,6,7,8)</f>
        <v>8</v>
      </c>
      <c r="AB1234" s="2">
        <f t="shared" si="196"/>
        <v>1</v>
      </c>
      <c r="AC1234">
        <v>1007.4</v>
      </c>
      <c r="AD1234" t="s">
        <v>1804</v>
      </c>
      <c r="AE1234" s="2">
        <f t="shared" si="197"/>
        <v>0</v>
      </c>
      <c r="AF1234" t="s">
        <v>1805</v>
      </c>
      <c r="AG1234" s="2">
        <f t="shared" si="198"/>
        <v>7</v>
      </c>
      <c r="AH1234" s="2">
        <f t="shared" si="199"/>
        <v>1</v>
      </c>
      <c r="AI1234" s="3">
        <v>379.99999999185093</v>
      </c>
      <c r="AJ1234" s="2">
        <v>1</v>
      </c>
      <c r="AK1234">
        <v>0</v>
      </c>
      <c r="AL1234">
        <v>40</v>
      </c>
      <c r="AM1234">
        <v>0</v>
      </c>
      <c r="AN1234" s="2">
        <f>IF((2*G1234+M1234-O1234+3*V1234+2*AB1234+2*AE1234+2*AH1234+3*AJ1234)&gt;=7,1,0)</f>
        <v>1</v>
      </c>
    </row>
    <row r="1235" spans="1:40" x14ac:dyDescent="0.25">
      <c r="A1235" t="s">
        <v>27</v>
      </c>
      <c r="B1235" s="1">
        <v>40737</v>
      </c>
      <c r="C1235" s="6">
        <f t="shared" si="190"/>
        <v>2011</v>
      </c>
      <c r="D1235">
        <v>84.2</v>
      </c>
      <c r="E1235">
        <v>78.8</v>
      </c>
      <c r="F1235">
        <v>81</v>
      </c>
      <c r="G1235" s="2">
        <f t="shared" si="191"/>
        <v>1</v>
      </c>
      <c r="H1235">
        <v>89.6</v>
      </c>
      <c r="I1235">
        <v>78.8</v>
      </c>
      <c r="J1235">
        <v>83.4</v>
      </c>
      <c r="K1235">
        <v>68.8</v>
      </c>
      <c r="L1235">
        <v>66.7</v>
      </c>
      <c r="M1235" s="2">
        <f t="shared" si="192"/>
        <v>0</v>
      </c>
      <c r="N1235">
        <v>0</v>
      </c>
      <c r="O1235" s="2">
        <f t="shared" si="193"/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 s="2">
        <f t="shared" si="194"/>
        <v>0</v>
      </c>
      <c r="W1235">
        <v>21.9</v>
      </c>
      <c r="X1235" s="2">
        <f t="shared" si="195"/>
        <v>1</v>
      </c>
      <c r="Y1235">
        <v>302</v>
      </c>
      <c r="Z1235" s="2" t="str">
        <f>CHOOSE(MATCH(Y1235,{0;11;80;111;161;191;241;281;341},1),"North","NorthEast","East","SouthEast","South","SouthWest","West","NorthWest","North")</f>
        <v>NorthWest</v>
      </c>
      <c r="AA1235" s="4">
        <f>CHOOSE(MATCH(Z1235,{"South";"SouthEast";"SouthWest";"North";"NorthEast";"East";"West";"NorthWest"},0),1,2,3,4,5,6,7,8)</f>
        <v>8</v>
      </c>
      <c r="AB1235" s="2">
        <f t="shared" si="196"/>
        <v>1</v>
      </c>
      <c r="AC1235">
        <v>1007.4</v>
      </c>
      <c r="AD1235" t="s">
        <v>1806</v>
      </c>
      <c r="AE1235" s="2">
        <f t="shared" si="197"/>
        <v>1</v>
      </c>
      <c r="AF1235" t="s">
        <v>1807</v>
      </c>
      <c r="AG1235" s="2">
        <f t="shared" si="198"/>
        <v>7</v>
      </c>
      <c r="AH1235" s="2">
        <f t="shared" si="199"/>
        <v>1</v>
      </c>
      <c r="AI1235" s="3">
        <v>465.00000000698492</v>
      </c>
      <c r="AJ1235" s="2">
        <v>1</v>
      </c>
      <c r="AK1235">
        <v>0</v>
      </c>
      <c r="AL1235">
        <v>4.5</v>
      </c>
      <c r="AM1235">
        <v>0</v>
      </c>
      <c r="AN1235" s="2">
        <f>IF((2*G1235+M1235-O1235+3*V1235+2*AB1235+2*AE1235+2*AH1235+3*AJ1235)&gt;=7,1,0)</f>
        <v>1</v>
      </c>
    </row>
    <row r="1236" spans="1:40" x14ac:dyDescent="0.25">
      <c r="A1236" t="s">
        <v>27</v>
      </c>
      <c r="B1236" s="1">
        <v>40738</v>
      </c>
      <c r="C1236" s="6">
        <f t="shared" si="190"/>
        <v>2011</v>
      </c>
      <c r="D1236">
        <v>86</v>
      </c>
      <c r="E1236">
        <v>77</v>
      </c>
      <c r="F1236">
        <v>81.2</v>
      </c>
      <c r="G1236" s="2">
        <f t="shared" si="191"/>
        <v>1</v>
      </c>
      <c r="H1236">
        <v>89.4</v>
      </c>
      <c r="I1236">
        <v>77</v>
      </c>
      <c r="J1236">
        <v>83.3</v>
      </c>
      <c r="K1236">
        <v>69.400000000000006</v>
      </c>
      <c r="L1236">
        <v>67.7</v>
      </c>
      <c r="M1236" s="2">
        <f t="shared" si="192"/>
        <v>0</v>
      </c>
      <c r="N1236">
        <v>0</v>
      </c>
      <c r="O1236" s="2">
        <f t="shared" si="193"/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 s="2">
        <f t="shared" si="194"/>
        <v>0</v>
      </c>
      <c r="W1236">
        <v>25.3</v>
      </c>
      <c r="X1236" s="2">
        <f t="shared" si="195"/>
        <v>1</v>
      </c>
      <c r="Y1236">
        <v>303.3</v>
      </c>
      <c r="Z1236" s="2" t="str">
        <f>CHOOSE(MATCH(Y1236,{0;11;80;111;161;191;241;281;341},1),"North","NorthEast","East","SouthEast","South","SouthWest","West","NorthWest","North")</f>
        <v>NorthWest</v>
      </c>
      <c r="AA1236" s="4">
        <f>CHOOSE(MATCH(Z1236,{"South";"SouthEast";"SouthWest";"North";"NorthEast";"East";"West";"NorthWest"},0),1,2,3,4,5,6,7,8)</f>
        <v>8</v>
      </c>
      <c r="AB1236" s="2">
        <f t="shared" si="196"/>
        <v>1</v>
      </c>
      <c r="AC1236">
        <v>1009.5</v>
      </c>
      <c r="AD1236" t="s">
        <v>1798</v>
      </c>
      <c r="AE1236" s="2">
        <f t="shared" si="197"/>
        <v>0</v>
      </c>
      <c r="AF1236" t="s">
        <v>1808</v>
      </c>
      <c r="AG1236" s="2">
        <f t="shared" si="198"/>
        <v>7</v>
      </c>
      <c r="AH1236" s="2">
        <f t="shared" si="199"/>
        <v>1</v>
      </c>
      <c r="AI1236" s="3">
        <v>4090.0000000046571</v>
      </c>
      <c r="AJ1236" s="2">
        <v>1</v>
      </c>
      <c r="AK1236">
        <v>0</v>
      </c>
      <c r="AL1236">
        <v>300</v>
      </c>
      <c r="AM1236">
        <v>0</v>
      </c>
      <c r="AN1236" s="2">
        <f>IF((2*G1236+M1236-O1236+3*V1236+2*AB1236+2*AE1236+2*AH1236+3*AJ1236)&gt;=7,1,0)</f>
        <v>1</v>
      </c>
    </row>
    <row r="1237" spans="1:40" x14ac:dyDescent="0.25">
      <c r="A1237" t="s">
        <v>27</v>
      </c>
      <c r="B1237" s="1">
        <v>40739</v>
      </c>
      <c r="C1237" s="6">
        <f t="shared" si="190"/>
        <v>2011</v>
      </c>
      <c r="D1237">
        <v>84.2</v>
      </c>
      <c r="E1237">
        <v>73.400000000000006</v>
      </c>
      <c r="F1237">
        <v>80.099999999999994</v>
      </c>
      <c r="G1237" s="2">
        <f t="shared" si="191"/>
        <v>1</v>
      </c>
      <c r="H1237">
        <v>91</v>
      </c>
      <c r="I1237">
        <v>73.400000000000006</v>
      </c>
      <c r="J1237">
        <v>82.7</v>
      </c>
      <c r="K1237">
        <v>70</v>
      </c>
      <c r="L1237">
        <v>71.5</v>
      </c>
      <c r="M1237" s="2">
        <f t="shared" si="192"/>
        <v>0</v>
      </c>
      <c r="N1237">
        <v>0</v>
      </c>
      <c r="O1237" s="2">
        <f t="shared" si="193"/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 s="2">
        <f t="shared" si="194"/>
        <v>0</v>
      </c>
      <c r="W1237">
        <v>19.5</v>
      </c>
      <c r="X1237" s="2">
        <f t="shared" si="195"/>
        <v>1</v>
      </c>
      <c r="Y1237">
        <v>309.2</v>
      </c>
      <c r="Z1237" s="2" t="str">
        <f>CHOOSE(MATCH(Y1237,{0;11;80;111;161;191;241;281;341},1),"North","NorthEast","East","SouthEast","South","SouthWest","West","NorthWest","North")</f>
        <v>NorthWest</v>
      </c>
      <c r="AA1237" s="4">
        <f>CHOOSE(MATCH(Z1237,{"South";"SouthEast";"SouthWest";"North";"NorthEast";"East";"West";"NorthWest"},0),1,2,3,4,5,6,7,8)</f>
        <v>8</v>
      </c>
      <c r="AB1237" s="2">
        <f t="shared" si="196"/>
        <v>1</v>
      </c>
      <c r="AC1237">
        <v>1011</v>
      </c>
      <c r="AD1237" t="s">
        <v>1809</v>
      </c>
      <c r="AE1237" s="2">
        <f t="shared" si="197"/>
        <v>0</v>
      </c>
      <c r="AF1237" t="s">
        <v>1810</v>
      </c>
      <c r="AG1237" s="2">
        <f t="shared" si="198"/>
        <v>7</v>
      </c>
      <c r="AH1237" s="2">
        <f t="shared" si="199"/>
        <v>1</v>
      </c>
      <c r="AI1237" s="3">
        <v>20.99999999511056</v>
      </c>
      <c r="AJ1237" s="2">
        <v>0</v>
      </c>
      <c r="AK1237">
        <v>0</v>
      </c>
      <c r="AL1237">
        <v>0.1</v>
      </c>
      <c r="AM1237">
        <v>0</v>
      </c>
      <c r="AN1237" s="2">
        <f>IF((2*G1237+M1237-O1237+3*V1237+2*AB1237+2*AE1237+2*AH1237+3*AJ1237)&gt;=7,1,0)</f>
        <v>0</v>
      </c>
    </row>
    <row r="1238" spans="1:40" x14ac:dyDescent="0.25">
      <c r="A1238" t="s">
        <v>27</v>
      </c>
      <c r="B1238" s="1">
        <v>40740</v>
      </c>
      <c r="C1238" s="6">
        <f t="shared" si="190"/>
        <v>2011</v>
      </c>
      <c r="D1238">
        <v>86</v>
      </c>
      <c r="E1238">
        <v>73.400000000000006</v>
      </c>
      <c r="F1238">
        <v>81.400000000000006</v>
      </c>
      <c r="G1238" s="2">
        <f t="shared" si="191"/>
        <v>1</v>
      </c>
      <c r="H1238">
        <v>90.6</v>
      </c>
      <c r="I1238">
        <v>73.400000000000006</v>
      </c>
      <c r="J1238">
        <v>83.7</v>
      </c>
      <c r="K1238">
        <v>67.900000000000006</v>
      </c>
      <c r="L1238">
        <v>64.099999999999994</v>
      </c>
      <c r="M1238" s="2">
        <f t="shared" si="192"/>
        <v>1</v>
      </c>
      <c r="N1238">
        <v>0</v>
      </c>
      <c r="O1238" s="2">
        <f t="shared" si="193"/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 s="2">
        <f t="shared" si="194"/>
        <v>0</v>
      </c>
      <c r="W1238">
        <v>19.5</v>
      </c>
      <c r="X1238" s="2">
        <f t="shared" si="195"/>
        <v>1</v>
      </c>
      <c r="Y1238">
        <v>306.10000000000002</v>
      </c>
      <c r="Z1238" s="2" t="str">
        <f>CHOOSE(MATCH(Y1238,{0;11;80;111;161;191;241;281;341},1),"North","NorthEast","East","SouthEast","South","SouthWest","West","NorthWest","North")</f>
        <v>NorthWest</v>
      </c>
      <c r="AA1238" s="4">
        <f>CHOOSE(MATCH(Z1238,{"South";"SouthEast";"SouthWest";"North";"NorthEast";"East";"West";"NorthWest"},0),1,2,3,4,5,6,7,8)</f>
        <v>8</v>
      </c>
      <c r="AB1238" s="2">
        <f t="shared" si="196"/>
        <v>1</v>
      </c>
      <c r="AC1238">
        <v>1009.6</v>
      </c>
      <c r="AD1238" t="s">
        <v>1203</v>
      </c>
      <c r="AE1238" s="2">
        <f t="shared" si="197"/>
        <v>1</v>
      </c>
      <c r="AF1238" t="s">
        <v>1811</v>
      </c>
      <c r="AG1238" s="2">
        <f t="shared" si="198"/>
        <v>7</v>
      </c>
      <c r="AH1238" s="2">
        <f t="shared" si="199"/>
        <v>1</v>
      </c>
      <c r="AI1238" s="3">
        <v>3970.0000000011642</v>
      </c>
      <c r="AJ1238" s="2">
        <v>1</v>
      </c>
      <c r="AK1238">
        <v>0</v>
      </c>
      <c r="AL1238">
        <v>2</v>
      </c>
      <c r="AM1238">
        <v>0</v>
      </c>
      <c r="AN1238" s="2">
        <f>IF((2*G1238+M1238-O1238+3*V1238+2*AB1238+2*AE1238+2*AH1238+3*AJ1238)&gt;=7,1,0)</f>
        <v>1</v>
      </c>
    </row>
    <row r="1239" spans="1:40" x14ac:dyDescent="0.25">
      <c r="A1239" t="s">
        <v>27</v>
      </c>
      <c r="B1239" s="1">
        <v>40741</v>
      </c>
      <c r="C1239" s="6">
        <f t="shared" si="190"/>
        <v>2011</v>
      </c>
      <c r="D1239">
        <v>89.6</v>
      </c>
      <c r="E1239">
        <v>71.599999999999994</v>
      </c>
      <c r="F1239">
        <v>81.8</v>
      </c>
      <c r="G1239" s="2">
        <f t="shared" si="191"/>
        <v>1</v>
      </c>
      <c r="H1239">
        <v>94.9</v>
      </c>
      <c r="I1239">
        <v>71.599999999999994</v>
      </c>
      <c r="J1239">
        <v>84.8</v>
      </c>
      <c r="K1239">
        <v>69.599999999999994</v>
      </c>
      <c r="L1239">
        <v>67.3</v>
      </c>
      <c r="M1239" s="2">
        <f t="shared" si="192"/>
        <v>0</v>
      </c>
      <c r="N1239">
        <v>0</v>
      </c>
      <c r="O1239" s="2">
        <f t="shared" si="193"/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 s="2">
        <f t="shared" si="194"/>
        <v>0</v>
      </c>
      <c r="W1239">
        <v>11.4</v>
      </c>
      <c r="X1239" s="2">
        <f t="shared" si="195"/>
        <v>0</v>
      </c>
      <c r="Y1239">
        <v>342.6</v>
      </c>
      <c r="Z1239" s="2" t="str">
        <f>CHOOSE(MATCH(Y1239,{0;11;80;111;161;191;241;281;341},1),"North","NorthEast","East","SouthEast","South","SouthWest","West","NorthWest","North")</f>
        <v>North</v>
      </c>
      <c r="AA1239" s="4">
        <f>CHOOSE(MATCH(Z1239,{"South";"SouthEast";"SouthWest";"North";"NorthEast";"East";"West";"NorthWest"},0),1,2,3,4,5,6,7,8)</f>
        <v>4</v>
      </c>
      <c r="AB1239" s="2">
        <f t="shared" si="196"/>
        <v>1</v>
      </c>
      <c r="AC1239">
        <v>1006.3</v>
      </c>
      <c r="AD1239" t="s">
        <v>1812</v>
      </c>
      <c r="AE1239" s="2">
        <f t="shared" si="197"/>
        <v>0</v>
      </c>
      <c r="AF1239" t="s">
        <v>1813</v>
      </c>
      <c r="AG1239" s="2">
        <f t="shared" si="198"/>
        <v>7</v>
      </c>
      <c r="AH1239" s="2">
        <f t="shared" si="199"/>
        <v>1</v>
      </c>
      <c r="AI1239" s="3">
        <v>55.000000001164153</v>
      </c>
      <c r="AJ1239" s="2">
        <v>0</v>
      </c>
      <c r="AK1239">
        <v>0</v>
      </c>
      <c r="AL1239">
        <v>0.1</v>
      </c>
      <c r="AM1239">
        <v>0</v>
      </c>
      <c r="AN1239" s="2">
        <f>IF((2*G1239+M1239-O1239+3*V1239+2*AB1239+2*AE1239+2*AH1239+3*AJ1239)&gt;=7,1,0)</f>
        <v>0</v>
      </c>
    </row>
    <row r="1240" spans="1:40" x14ac:dyDescent="0.25">
      <c r="A1240" t="s">
        <v>27</v>
      </c>
      <c r="B1240" s="1">
        <v>40741</v>
      </c>
      <c r="C1240" s="6">
        <f t="shared" si="190"/>
        <v>2011</v>
      </c>
      <c r="D1240">
        <v>89.6</v>
      </c>
      <c r="E1240">
        <v>71.599999999999994</v>
      </c>
      <c r="F1240">
        <v>81.8</v>
      </c>
      <c r="G1240" s="2">
        <f t="shared" si="191"/>
        <v>1</v>
      </c>
      <c r="H1240">
        <v>94.9</v>
      </c>
      <c r="I1240">
        <v>71.599999999999994</v>
      </c>
      <c r="J1240">
        <v>84.8</v>
      </c>
      <c r="K1240">
        <v>69.599999999999994</v>
      </c>
      <c r="L1240">
        <v>67.3</v>
      </c>
      <c r="M1240" s="2">
        <f t="shared" si="192"/>
        <v>0</v>
      </c>
      <c r="N1240">
        <v>0</v>
      </c>
      <c r="O1240" s="2">
        <f t="shared" si="193"/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 s="2">
        <f t="shared" si="194"/>
        <v>0</v>
      </c>
      <c r="W1240">
        <v>11.4</v>
      </c>
      <c r="X1240" s="2">
        <f t="shared" si="195"/>
        <v>0</v>
      </c>
      <c r="Y1240">
        <v>342.6</v>
      </c>
      <c r="Z1240" s="2" t="str">
        <f>CHOOSE(MATCH(Y1240,{0;11;80;111;161;191;241;281;341},1),"North","NorthEast","East","SouthEast","South","SouthWest","West","NorthWest","North")</f>
        <v>North</v>
      </c>
      <c r="AA1240" s="4">
        <f>CHOOSE(MATCH(Z1240,{"South";"SouthEast";"SouthWest";"North";"NorthEast";"East";"West";"NorthWest"},0),1,2,3,4,5,6,7,8)</f>
        <v>4</v>
      </c>
      <c r="AB1240" s="2">
        <f t="shared" si="196"/>
        <v>1</v>
      </c>
      <c r="AC1240">
        <v>1006.3</v>
      </c>
      <c r="AD1240" t="s">
        <v>1814</v>
      </c>
      <c r="AE1240" s="2">
        <f t="shared" si="197"/>
        <v>1</v>
      </c>
      <c r="AF1240" t="s">
        <v>1815</v>
      </c>
      <c r="AG1240" s="2">
        <f t="shared" si="198"/>
        <v>7</v>
      </c>
      <c r="AH1240" s="2">
        <f t="shared" si="199"/>
        <v>1</v>
      </c>
      <c r="AI1240" s="3">
        <v>45</v>
      </c>
      <c r="AJ1240" s="2">
        <v>0</v>
      </c>
      <c r="AK1240">
        <v>0</v>
      </c>
      <c r="AL1240">
        <v>1</v>
      </c>
      <c r="AM1240">
        <v>0</v>
      </c>
      <c r="AN1240" s="2">
        <f>IF((2*G1240+M1240-O1240+3*V1240+2*AB1240+2*AE1240+2*AH1240+3*AJ1240)&gt;=7,1,0)</f>
        <v>1</v>
      </c>
    </row>
    <row r="1241" spans="1:40" x14ac:dyDescent="0.25">
      <c r="A1241" t="s">
        <v>27</v>
      </c>
      <c r="B1241" s="1">
        <v>40742</v>
      </c>
      <c r="C1241" s="6">
        <f t="shared" si="190"/>
        <v>2011</v>
      </c>
      <c r="D1241">
        <v>86</v>
      </c>
      <c r="E1241">
        <v>75.2</v>
      </c>
      <c r="F1241">
        <v>81.400000000000006</v>
      </c>
      <c r="G1241" s="2">
        <f t="shared" si="191"/>
        <v>1</v>
      </c>
      <c r="H1241">
        <v>93.5</v>
      </c>
      <c r="I1241">
        <v>75.2</v>
      </c>
      <c r="J1241">
        <v>85</v>
      </c>
      <c r="K1241">
        <v>68.900000000000006</v>
      </c>
      <c r="L1241">
        <v>66.3</v>
      </c>
      <c r="M1241" s="2">
        <f t="shared" si="192"/>
        <v>0</v>
      </c>
      <c r="N1241">
        <v>0</v>
      </c>
      <c r="O1241" s="2">
        <f t="shared" si="193"/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 s="2">
        <f t="shared" si="194"/>
        <v>0</v>
      </c>
      <c r="W1241">
        <v>24.2</v>
      </c>
      <c r="X1241" s="2">
        <f t="shared" si="195"/>
        <v>1</v>
      </c>
      <c r="Y1241">
        <v>319.3</v>
      </c>
      <c r="Z1241" s="2" t="str">
        <f>CHOOSE(MATCH(Y1241,{0;11;80;111;161;191;241;281;341},1),"North","NorthEast","East","SouthEast","South","SouthWest","West","NorthWest","North")</f>
        <v>NorthWest</v>
      </c>
      <c r="AA1241" s="4">
        <f>CHOOSE(MATCH(Z1241,{"South";"SouthEast";"SouthWest";"North";"NorthEast";"East";"West";"NorthWest"},0),1,2,3,4,5,6,7,8)</f>
        <v>8</v>
      </c>
      <c r="AB1241" s="2">
        <f t="shared" si="196"/>
        <v>1</v>
      </c>
      <c r="AC1241">
        <v>1004.1</v>
      </c>
      <c r="AD1241" t="s">
        <v>1759</v>
      </c>
      <c r="AE1241" s="2">
        <f t="shared" si="197"/>
        <v>1</v>
      </c>
      <c r="AF1241" t="s">
        <v>1816</v>
      </c>
      <c r="AG1241" s="2">
        <f t="shared" si="198"/>
        <v>7</v>
      </c>
      <c r="AH1241" s="2">
        <f t="shared" si="199"/>
        <v>1</v>
      </c>
      <c r="AI1241" s="3">
        <v>110.00000000232831</v>
      </c>
      <c r="AJ1241" s="2">
        <v>0</v>
      </c>
      <c r="AK1241">
        <v>0</v>
      </c>
      <c r="AL1241">
        <v>1</v>
      </c>
      <c r="AM1241">
        <v>0</v>
      </c>
      <c r="AN1241" s="2">
        <f>IF((2*G1241+M1241-O1241+3*V1241+2*AB1241+2*AE1241+2*AH1241+3*AJ1241)&gt;=7,1,0)</f>
        <v>1</v>
      </c>
    </row>
    <row r="1242" spans="1:40" x14ac:dyDescent="0.25">
      <c r="A1242" t="s">
        <v>27</v>
      </c>
      <c r="B1242" s="1">
        <v>40743</v>
      </c>
      <c r="C1242" s="6">
        <f t="shared" si="190"/>
        <v>2011</v>
      </c>
      <c r="D1242">
        <v>87.8</v>
      </c>
      <c r="E1242">
        <v>71.599999999999994</v>
      </c>
      <c r="F1242">
        <v>80.5</v>
      </c>
      <c r="G1242" s="2">
        <f t="shared" si="191"/>
        <v>1</v>
      </c>
      <c r="H1242">
        <v>95.9</v>
      </c>
      <c r="I1242">
        <v>71.599999999999994</v>
      </c>
      <c r="J1242">
        <v>83.8</v>
      </c>
      <c r="K1242">
        <v>69</v>
      </c>
      <c r="L1242">
        <v>68.599999999999994</v>
      </c>
      <c r="M1242" s="2">
        <f t="shared" si="192"/>
        <v>0</v>
      </c>
      <c r="N1242">
        <v>0</v>
      </c>
      <c r="O1242" s="2">
        <f t="shared" si="193"/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 s="2">
        <f t="shared" si="194"/>
        <v>0</v>
      </c>
      <c r="W1242">
        <v>19.5</v>
      </c>
      <c r="X1242" s="2">
        <f t="shared" si="195"/>
        <v>1</v>
      </c>
      <c r="Y1242">
        <v>306.39999999999998</v>
      </c>
      <c r="Z1242" s="2" t="str">
        <f>CHOOSE(MATCH(Y1242,{0;11;80;111;161;191;241;281;341},1),"North","NorthEast","East","SouthEast","South","SouthWest","West","NorthWest","North")</f>
        <v>NorthWest</v>
      </c>
      <c r="AA1242" s="4">
        <f>CHOOSE(MATCH(Z1242,{"South";"SouthEast";"SouthWest";"North";"NorthEast";"East";"West";"NorthWest"},0),1,2,3,4,5,6,7,8)</f>
        <v>8</v>
      </c>
      <c r="AB1242" s="2">
        <f t="shared" si="196"/>
        <v>1</v>
      </c>
      <c r="AC1242">
        <v>1005.8</v>
      </c>
      <c r="AD1242" t="s">
        <v>1207</v>
      </c>
      <c r="AE1242" s="2">
        <f t="shared" si="197"/>
        <v>1</v>
      </c>
      <c r="AF1242" t="s">
        <v>1817</v>
      </c>
      <c r="AG1242" s="2">
        <f t="shared" si="198"/>
        <v>7</v>
      </c>
      <c r="AH1242" s="2">
        <f t="shared" si="199"/>
        <v>1</v>
      </c>
      <c r="AI1242" s="3">
        <v>479.99999999301508</v>
      </c>
      <c r="AJ1242" s="2">
        <v>1</v>
      </c>
      <c r="AK1242">
        <v>0</v>
      </c>
      <c r="AL1242">
        <v>2</v>
      </c>
      <c r="AM1242">
        <v>0</v>
      </c>
      <c r="AN1242" s="2">
        <f>IF((2*G1242+M1242-O1242+3*V1242+2*AB1242+2*AE1242+2*AH1242+3*AJ1242)&gt;=7,1,0)</f>
        <v>1</v>
      </c>
    </row>
    <row r="1243" spans="1:40" x14ac:dyDescent="0.25">
      <c r="A1243" t="s">
        <v>27</v>
      </c>
      <c r="B1243" s="1">
        <v>40743</v>
      </c>
      <c r="C1243" s="6">
        <f t="shared" si="190"/>
        <v>2011</v>
      </c>
      <c r="D1243">
        <v>87.8</v>
      </c>
      <c r="E1243">
        <v>71.599999999999994</v>
      </c>
      <c r="F1243">
        <v>80.5</v>
      </c>
      <c r="G1243" s="2">
        <f t="shared" si="191"/>
        <v>1</v>
      </c>
      <c r="H1243">
        <v>95.9</v>
      </c>
      <c r="I1243">
        <v>71.599999999999994</v>
      </c>
      <c r="J1243">
        <v>83.8</v>
      </c>
      <c r="K1243">
        <v>69</v>
      </c>
      <c r="L1243">
        <v>68.599999999999994</v>
      </c>
      <c r="M1243" s="2">
        <f t="shared" si="192"/>
        <v>0</v>
      </c>
      <c r="N1243">
        <v>0</v>
      </c>
      <c r="O1243" s="2">
        <f t="shared" si="193"/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 s="2">
        <f t="shared" si="194"/>
        <v>0</v>
      </c>
      <c r="W1243">
        <v>19.5</v>
      </c>
      <c r="X1243" s="2">
        <f t="shared" si="195"/>
        <v>1</v>
      </c>
      <c r="Y1243">
        <v>306.39999999999998</v>
      </c>
      <c r="Z1243" s="2" t="str">
        <f>CHOOSE(MATCH(Y1243,{0;11;80;111;161;191;241;281;341},1),"North","NorthEast","East","SouthEast","South","SouthWest","West","NorthWest","North")</f>
        <v>NorthWest</v>
      </c>
      <c r="AA1243" s="4">
        <f>CHOOSE(MATCH(Z1243,{"South";"SouthEast";"SouthWest";"North";"NorthEast";"East";"West";"NorthWest"},0),1,2,3,4,5,6,7,8)</f>
        <v>8</v>
      </c>
      <c r="AB1243" s="2">
        <f t="shared" si="196"/>
        <v>1</v>
      </c>
      <c r="AC1243">
        <v>1005.8</v>
      </c>
      <c r="AD1243" t="s">
        <v>1818</v>
      </c>
      <c r="AE1243" s="2">
        <f t="shared" si="197"/>
        <v>1</v>
      </c>
      <c r="AF1243" t="s">
        <v>1819</v>
      </c>
      <c r="AG1243" s="2">
        <f t="shared" si="198"/>
        <v>7</v>
      </c>
      <c r="AH1243" s="2">
        <f t="shared" si="199"/>
        <v>1</v>
      </c>
      <c r="AI1243" s="3">
        <v>769.99999999534339</v>
      </c>
      <c r="AJ1243" s="2">
        <v>1</v>
      </c>
      <c r="AK1243">
        <v>2</v>
      </c>
      <c r="AL1243">
        <v>0</v>
      </c>
      <c r="AM1243">
        <v>0</v>
      </c>
      <c r="AN1243" s="2">
        <f>IF((2*G1243+M1243-O1243+3*V1243+2*AB1243+2*AE1243+2*AH1243+3*AJ1243)&gt;=7,1,0)</f>
        <v>1</v>
      </c>
    </row>
    <row r="1244" spans="1:40" x14ac:dyDescent="0.25">
      <c r="A1244" t="s">
        <v>27</v>
      </c>
      <c r="B1244" s="1">
        <v>40743</v>
      </c>
      <c r="C1244" s="6">
        <f t="shared" si="190"/>
        <v>2011</v>
      </c>
      <c r="D1244">
        <v>87.8</v>
      </c>
      <c r="E1244">
        <v>71.599999999999994</v>
      </c>
      <c r="F1244">
        <v>80.5</v>
      </c>
      <c r="G1244" s="2">
        <f t="shared" si="191"/>
        <v>1</v>
      </c>
      <c r="H1244">
        <v>95.9</v>
      </c>
      <c r="I1244">
        <v>71.599999999999994</v>
      </c>
      <c r="J1244">
        <v>83.8</v>
      </c>
      <c r="K1244">
        <v>69</v>
      </c>
      <c r="L1244">
        <v>68.599999999999994</v>
      </c>
      <c r="M1244" s="2">
        <f t="shared" si="192"/>
        <v>0</v>
      </c>
      <c r="N1244">
        <v>0</v>
      </c>
      <c r="O1244" s="2">
        <f t="shared" si="193"/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s="2">
        <f t="shared" si="194"/>
        <v>0</v>
      </c>
      <c r="W1244">
        <v>19.5</v>
      </c>
      <c r="X1244" s="2">
        <f t="shared" si="195"/>
        <v>1</v>
      </c>
      <c r="Y1244">
        <v>306.39999999999998</v>
      </c>
      <c r="Z1244" s="2" t="str">
        <f>CHOOSE(MATCH(Y1244,{0;11;80;111;161;191;241;281;341},1),"North","NorthEast","East","SouthEast","South","SouthWest","West","NorthWest","North")</f>
        <v>NorthWest</v>
      </c>
      <c r="AA1244" s="4">
        <f>CHOOSE(MATCH(Z1244,{"South";"SouthEast";"SouthWest";"North";"NorthEast";"East";"West";"NorthWest"},0),1,2,3,4,5,6,7,8)</f>
        <v>8</v>
      </c>
      <c r="AB1244" s="2">
        <f t="shared" si="196"/>
        <v>1</v>
      </c>
      <c r="AC1244">
        <v>1005.8</v>
      </c>
      <c r="AD1244" t="s">
        <v>1117</v>
      </c>
      <c r="AE1244" s="2">
        <f t="shared" si="197"/>
        <v>0</v>
      </c>
      <c r="AF1244" t="s">
        <v>1820</v>
      </c>
      <c r="AG1244" s="2">
        <f t="shared" si="198"/>
        <v>7</v>
      </c>
      <c r="AH1244" s="2">
        <f t="shared" si="199"/>
        <v>1</v>
      </c>
      <c r="AI1244" s="3">
        <v>145.00000000116421</v>
      </c>
      <c r="AJ1244" s="2">
        <v>0</v>
      </c>
      <c r="AK1244">
        <v>0</v>
      </c>
      <c r="AL1244">
        <v>0.5</v>
      </c>
      <c r="AM1244">
        <v>0</v>
      </c>
      <c r="AN1244" s="2">
        <f>IF((2*G1244+M1244-O1244+3*V1244+2*AB1244+2*AE1244+2*AH1244+3*AJ1244)&gt;=7,1,0)</f>
        <v>0</v>
      </c>
    </row>
    <row r="1245" spans="1:40" x14ac:dyDescent="0.25">
      <c r="A1245" t="s">
        <v>27</v>
      </c>
      <c r="B1245" s="1">
        <v>40744</v>
      </c>
      <c r="C1245" s="6">
        <f t="shared" si="190"/>
        <v>2011</v>
      </c>
      <c r="D1245">
        <v>91.4</v>
      </c>
      <c r="E1245">
        <v>75.2</v>
      </c>
      <c r="F1245">
        <v>83.6</v>
      </c>
      <c r="G1245" s="2">
        <f t="shared" si="191"/>
        <v>1</v>
      </c>
      <c r="H1245">
        <v>102.7</v>
      </c>
      <c r="I1245">
        <v>75.2</v>
      </c>
      <c r="J1245">
        <v>88.5</v>
      </c>
      <c r="K1245">
        <v>70.400000000000006</v>
      </c>
      <c r="L1245">
        <v>65.2</v>
      </c>
      <c r="M1245" s="2">
        <f t="shared" si="192"/>
        <v>1</v>
      </c>
      <c r="N1245">
        <v>0</v>
      </c>
      <c r="O1245" s="2">
        <f t="shared" si="193"/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 s="2">
        <f t="shared" si="194"/>
        <v>0</v>
      </c>
      <c r="W1245">
        <v>9.1999999999999993</v>
      </c>
      <c r="X1245" s="2">
        <f t="shared" si="195"/>
        <v>0</v>
      </c>
      <c r="Y1245">
        <v>344.2</v>
      </c>
      <c r="Z1245" s="2" t="str">
        <f>CHOOSE(MATCH(Y1245,{0;11;80;111;161;191;241;281;341},1),"North","NorthEast","East","SouthEast","South","SouthWest","West","NorthWest","North")</f>
        <v>North</v>
      </c>
      <c r="AA1245" s="4">
        <f>CHOOSE(MATCH(Z1245,{"South";"SouthEast";"SouthWest";"North";"NorthEast";"East";"West";"NorthWest"},0),1,2,3,4,5,6,7,8)</f>
        <v>4</v>
      </c>
      <c r="AB1245" s="2">
        <f t="shared" si="196"/>
        <v>1</v>
      </c>
      <c r="AC1245">
        <v>1005.4</v>
      </c>
      <c r="AD1245" t="s">
        <v>1821</v>
      </c>
      <c r="AE1245" s="2">
        <f t="shared" si="197"/>
        <v>1</v>
      </c>
      <c r="AF1245" t="s">
        <v>1822</v>
      </c>
      <c r="AG1245" s="2">
        <f t="shared" si="198"/>
        <v>7</v>
      </c>
      <c r="AH1245" s="2">
        <f t="shared" si="199"/>
        <v>1</v>
      </c>
      <c r="AI1245" s="3">
        <v>135.99999999278231</v>
      </c>
      <c r="AJ1245" s="2">
        <v>0</v>
      </c>
      <c r="AK1245">
        <v>0</v>
      </c>
      <c r="AL1245">
        <v>0.3</v>
      </c>
      <c r="AM1245">
        <v>0</v>
      </c>
      <c r="AN1245" s="2">
        <f>IF((2*G1245+M1245-O1245+3*V1245+2*AB1245+2*AE1245+2*AH1245+3*AJ1245)&gt;=7,1,0)</f>
        <v>1</v>
      </c>
    </row>
    <row r="1246" spans="1:40" x14ac:dyDescent="0.25">
      <c r="A1246" t="s">
        <v>27</v>
      </c>
      <c r="B1246" s="1">
        <v>40744</v>
      </c>
      <c r="C1246" s="6">
        <f t="shared" si="190"/>
        <v>2011</v>
      </c>
      <c r="D1246">
        <v>91.4</v>
      </c>
      <c r="E1246">
        <v>75.2</v>
      </c>
      <c r="F1246">
        <v>83.6</v>
      </c>
      <c r="G1246" s="2">
        <f t="shared" si="191"/>
        <v>1</v>
      </c>
      <c r="H1246">
        <v>102.7</v>
      </c>
      <c r="I1246">
        <v>75.2</v>
      </c>
      <c r="J1246">
        <v>88.5</v>
      </c>
      <c r="K1246">
        <v>70.400000000000006</v>
      </c>
      <c r="L1246">
        <v>65.2</v>
      </c>
      <c r="M1246" s="2">
        <f t="shared" si="192"/>
        <v>1</v>
      </c>
      <c r="N1246">
        <v>0</v>
      </c>
      <c r="O1246" s="2">
        <f t="shared" si="193"/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 s="2">
        <f t="shared" si="194"/>
        <v>0</v>
      </c>
      <c r="W1246">
        <v>9.1999999999999993</v>
      </c>
      <c r="X1246" s="2">
        <f t="shared" si="195"/>
        <v>0</v>
      </c>
      <c r="Y1246">
        <v>344.2</v>
      </c>
      <c r="Z1246" s="2" t="str">
        <f>CHOOSE(MATCH(Y1246,{0;11;80;111;161;191;241;281;341},1),"North","NorthEast","East","SouthEast","South","SouthWest","West","NorthWest","North")</f>
        <v>North</v>
      </c>
      <c r="AA1246" s="4">
        <f>CHOOSE(MATCH(Z1246,{"South";"SouthEast";"SouthWest";"North";"NorthEast";"East";"West";"NorthWest"},0),1,2,3,4,5,6,7,8)</f>
        <v>4</v>
      </c>
      <c r="AB1246" s="2">
        <f t="shared" si="196"/>
        <v>1</v>
      </c>
      <c r="AC1246">
        <v>1005.4</v>
      </c>
      <c r="AD1246" t="s">
        <v>1091</v>
      </c>
      <c r="AE1246" s="2">
        <f t="shared" si="197"/>
        <v>1</v>
      </c>
      <c r="AF1246" t="s">
        <v>1823</v>
      </c>
      <c r="AG1246" s="2">
        <f t="shared" si="198"/>
        <v>7</v>
      </c>
      <c r="AH1246" s="2">
        <f t="shared" si="199"/>
        <v>1</v>
      </c>
      <c r="AI1246" s="3">
        <v>209.99999999301511</v>
      </c>
      <c r="AJ1246" s="2">
        <v>0</v>
      </c>
      <c r="AK1246">
        <v>0</v>
      </c>
      <c r="AL1246">
        <v>5</v>
      </c>
      <c r="AM1246">
        <v>0</v>
      </c>
      <c r="AN1246" s="2">
        <f>IF((2*G1246+M1246-O1246+3*V1246+2*AB1246+2*AE1246+2*AH1246+3*AJ1246)&gt;=7,1,0)</f>
        <v>1</v>
      </c>
    </row>
    <row r="1247" spans="1:40" x14ac:dyDescent="0.25">
      <c r="A1247" t="s">
        <v>27</v>
      </c>
      <c r="B1247" s="1">
        <v>40746</v>
      </c>
      <c r="C1247" s="6">
        <f t="shared" si="190"/>
        <v>2011</v>
      </c>
      <c r="D1247">
        <v>84.2</v>
      </c>
      <c r="E1247">
        <v>69.8</v>
      </c>
      <c r="F1247">
        <v>78.099999999999994</v>
      </c>
      <c r="G1247" s="2">
        <f t="shared" si="191"/>
        <v>1</v>
      </c>
      <c r="H1247">
        <v>91</v>
      </c>
      <c r="I1247">
        <v>69.8</v>
      </c>
      <c r="J1247">
        <v>80.5</v>
      </c>
      <c r="K1247">
        <v>68.8</v>
      </c>
      <c r="L1247">
        <v>73.3</v>
      </c>
      <c r="M1247" s="2">
        <f t="shared" si="192"/>
        <v>0</v>
      </c>
      <c r="N1247">
        <v>0</v>
      </c>
      <c r="O1247" s="2">
        <f t="shared" si="193"/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 s="2">
        <f t="shared" si="194"/>
        <v>0</v>
      </c>
      <c r="W1247">
        <v>20.8</v>
      </c>
      <c r="X1247" s="2">
        <f t="shared" si="195"/>
        <v>1</v>
      </c>
      <c r="Y1247">
        <v>299.7</v>
      </c>
      <c r="Z1247" s="2" t="str">
        <f>CHOOSE(MATCH(Y1247,{0;11;80;111;161;191;241;281;341},1),"North","NorthEast","East","SouthEast","South","SouthWest","West","NorthWest","North")</f>
        <v>NorthWest</v>
      </c>
      <c r="AA1247" s="4">
        <f>CHOOSE(MATCH(Z1247,{"South";"SouthEast";"SouthWest";"North";"NorthEast";"East";"West";"NorthWest"},0),1,2,3,4,5,6,7,8)</f>
        <v>8</v>
      </c>
      <c r="AB1247" s="2">
        <f t="shared" si="196"/>
        <v>1</v>
      </c>
      <c r="AC1247">
        <v>1006.4</v>
      </c>
      <c r="AD1247" t="s">
        <v>1824</v>
      </c>
      <c r="AE1247" s="2">
        <f t="shared" si="197"/>
        <v>1</v>
      </c>
      <c r="AF1247" t="s">
        <v>1825</v>
      </c>
      <c r="AG1247" s="2">
        <f t="shared" si="198"/>
        <v>7</v>
      </c>
      <c r="AH1247" s="2">
        <f t="shared" si="199"/>
        <v>1</v>
      </c>
      <c r="AI1247" s="3">
        <v>2170.0000000011642</v>
      </c>
      <c r="AJ1247" s="2">
        <v>1</v>
      </c>
      <c r="AK1247">
        <v>0</v>
      </c>
      <c r="AL1247">
        <v>500</v>
      </c>
      <c r="AM1247">
        <v>0</v>
      </c>
      <c r="AN1247" s="2">
        <f>IF((2*G1247+M1247-O1247+3*V1247+2*AB1247+2*AE1247+2*AH1247+3*AJ1247)&gt;=7,1,0)</f>
        <v>1</v>
      </c>
    </row>
    <row r="1248" spans="1:40" x14ac:dyDescent="0.25">
      <c r="A1248" t="s">
        <v>27</v>
      </c>
      <c r="B1248" s="1">
        <v>40746</v>
      </c>
      <c r="C1248" s="6">
        <f t="shared" si="190"/>
        <v>2011</v>
      </c>
      <c r="D1248">
        <v>84.2</v>
      </c>
      <c r="E1248">
        <v>69.8</v>
      </c>
      <c r="F1248">
        <v>78.099999999999994</v>
      </c>
      <c r="G1248" s="2">
        <f t="shared" si="191"/>
        <v>1</v>
      </c>
      <c r="H1248">
        <v>91</v>
      </c>
      <c r="I1248">
        <v>69.8</v>
      </c>
      <c r="J1248">
        <v>80.5</v>
      </c>
      <c r="K1248">
        <v>68.8</v>
      </c>
      <c r="L1248">
        <v>73.3</v>
      </c>
      <c r="M1248" s="2">
        <f t="shared" si="192"/>
        <v>0</v>
      </c>
      <c r="N1248">
        <v>0</v>
      </c>
      <c r="O1248" s="2">
        <f t="shared" si="193"/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 s="2">
        <f t="shared" si="194"/>
        <v>0</v>
      </c>
      <c r="W1248">
        <v>20.8</v>
      </c>
      <c r="X1248" s="2">
        <f t="shared" si="195"/>
        <v>1</v>
      </c>
      <c r="Y1248">
        <v>299.7</v>
      </c>
      <c r="Z1248" s="2" t="str">
        <f>CHOOSE(MATCH(Y1248,{0;11;80;111;161;191;241;281;341},1),"North","NorthEast","East","SouthEast","South","SouthWest","West","NorthWest","North")</f>
        <v>NorthWest</v>
      </c>
      <c r="AA1248" s="4">
        <f>CHOOSE(MATCH(Z1248,{"South";"SouthEast";"SouthWest";"North";"NorthEast";"East";"West";"NorthWest"},0),1,2,3,4,5,6,7,8)</f>
        <v>8</v>
      </c>
      <c r="AB1248" s="2">
        <f t="shared" si="196"/>
        <v>1</v>
      </c>
      <c r="AC1248">
        <v>1006.4</v>
      </c>
      <c r="AD1248" t="s">
        <v>1234</v>
      </c>
      <c r="AE1248" s="2">
        <f t="shared" si="197"/>
        <v>1</v>
      </c>
      <c r="AF1248" t="s">
        <v>1826</v>
      </c>
      <c r="AG1248" s="2">
        <f t="shared" si="198"/>
        <v>7</v>
      </c>
      <c r="AH1248" s="2">
        <f t="shared" si="199"/>
        <v>1</v>
      </c>
      <c r="AI1248" s="3">
        <v>699.99999999767169</v>
      </c>
      <c r="AJ1248" s="2">
        <v>1</v>
      </c>
      <c r="AK1248">
        <v>0</v>
      </c>
      <c r="AL1248">
        <v>200</v>
      </c>
      <c r="AM1248">
        <v>0</v>
      </c>
      <c r="AN1248" s="2">
        <f>IF((2*G1248+M1248-O1248+3*V1248+2*AB1248+2*AE1248+2*AH1248+3*AJ1248)&gt;=7,1,0)</f>
        <v>1</v>
      </c>
    </row>
    <row r="1249" spans="1:40" x14ac:dyDescent="0.25">
      <c r="A1249" t="s">
        <v>27</v>
      </c>
      <c r="B1249" s="1">
        <v>40748</v>
      </c>
      <c r="C1249" s="6">
        <f t="shared" si="190"/>
        <v>2011</v>
      </c>
      <c r="D1249">
        <v>88.6</v>
      </c>
      <c r="E1249">
        <v>73.400000000000006</v>
      </c>
      <c r="F1249">
        <v>82</v>
      </c>
      <c r="G1249" s="2">
        <f t="shared" si="191"/>
        <v>1</v>
      </c>
      <c r="H1249">
        <v>95.2</v>
      </c>
      <c r="I1249">
        <v>73.400000000000006</v>
      </c>
      <c r="J1249">
        <v>85.2</v>
      </c>
      <c r="K1249">
        <v>66.099999999999994</v>
      </c>
      <c r="L1249">
        <v>59.8</v>
      </c>
      <c r="M1249" s="2">
        <f t="shared" si="192"/>
        <v>1</v>
      </c>
      <c r="N1249">
        <v>0</v>
      </c>
      <c r="O1249" s="2">
        <f t="shared" si="193"/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 s="2">
        <f t="shared" si="194"/>
        <v>0</v>
      </c>
      <c r="W1249">
        <v>21.9</v>
      </c>
      <c r="X1249" s="2">
        <f t="shared" si="195"/>
        <v>1</v>
      </c>
      <c r="Y1249">
        <v>325.5</v>
      </c>
      <c r="Z1249" s="2" t="str">
        <f>CHOOSE(MATCH(Y1249,{0;11;80;111;161;191;241;281;341},1),"North","NorthEast","East","SouthEast","South","SouthWest","West","NorthWest","North")</f>
        <v>NorthWest</v>
      </c>
      <c r="AA1249" s="4">
        <f>CHOOSE(MATCH(Z1249,{"South";"SouthEast";"SouthWest";"North";"NorthEast";"East";"West";"NorthWest"},0),1,2,3,4,5,6,7,8)</f>
        <v>8</v>
      </c>
      <c r="AB1249" s="2">
        <f t="shared" si="196"/>
        <v>1</v>
      </c>
      <c r="AC1249">
        <v>1002</v>
      </c>
      <c r="AD1249" t="s">
        <v>1827</v>
      </c>
      <c r="AE1249" s="2">
        <f t="shared" si="197"/>
        <v>0</v>
      </c>
      <c r="AF1249" t="s">
        <v>1828</v>
      </c>
      <c r="AG1249" s="2">
        <f t="shared" si="198"/>
        <v>7</v>
      </c>
      <c r="AH1249" s="2">
        <f t="shared" si="199"/>
        <v>1</v>
      </c>
      <c r="AI1249" s="3">
        <v>949.99999999534339</v>
      </c>
      <c r="AJ1249" s="2">
        <v>1</v>
      </c>
      <c r="AK1249">
        <v>0</v>
      </c>
      <c r="AL1249">
        <v>5</v>
      </c>
      <c r="AM1249">
        <v>0</v>
      </c>
      <c r="AN1249" s="2">
        <f>IF((2*G1249+M1249-O1249+3*V1249+2*AB1249+2*AE1249+2*AH1249+3*AJ1249)&gt;=7,1,0)</f>
        <v>1</v>
      </c>
    </row>
    <row r="1250" spans="1:40" x14ac:dyDescent="0.25">
      <c r="A1250" t="s">
        <v>27</v>
      </c>
      <c r="B1250" s="1">
        <v>40748</v>
      </c>
      <c r="C1250" s="6">
        <f t="shared" si="190"/>
        <v>2011</v>
      </c>
      <c r="D1250">
        <v>88.6</v>
      </c>
      <c r="E1250">
        <v>73.400000000000006</v>
      </c>
      <c r="F1250">
        <v>82</v>
      </c>
      <c r="G1250" s="2">
        <f t="shared" si="191"/>
        <v>1</v>
      </c>
      <c r="H1250">
        <v>95.2</v>
      </c>
      <c r="I1250">
        <v>73.400000000000006</v>
      </c>
      <c r="J1250">
        <v>85.2</v>
      </c>
      <c r="K1250">
        <v>66.099999999999994</v>
      </c>
      <c r="L1250">
        <v>59.8</v>
      </c>
      <c r="M1250" s="2">
        <f t="shared" si="192"/>
        <v>1</v>
      </c>
      <c r="N1250">
        <v>0</v>
      </c>
      <c r="O1250" s="2">
        <f t="shared" si="193"/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 s="2">
        <f t="shared" si="194"/>
        <v>0</v>
      </c>
      <c r="W1250">
        <v>21.9</v>
      </c>
      <c r="X1250" s="2">
        <f t="shared" si="195"/>
        <v>1</v>
      </c>
      <c r="Y1250">
        <v>325.5</v>
      </c>
      <c r="Z1250" s="2" t="str">
        <f>CHOOSE(MATCH(Y1250,{0;11;80;111;161;191;241;281;341},1),"North","NorthEast","East","SouthEast","South","SouthWest","West","NorthWest","North")</f>
        <v>NorthWest</v>
      </c>
      <c r="AA1250" s="4">
        <f>CHOOSE(MATCH(Z1250,{"South";"SouthEast";"SouthWest";"North";"NorthEast";"East";"West";"NorthWest"},0),1,2,3,4,5,6,7,8)</f>
        <v>8</v>
      </c>
      <c r="AB1250" s="2">
        <f t="shared" si="196"/>
        <v>1</v>
      </c>
      <c r="AC1250">
        <v>1002</v>
      </c>
      <c r="AD1250" t="s">
        <v>1218</v>
      </c>
      <c r="AE1250" s="2">
        <f t="shared" si="197"/>
        <v>0</v>
      </c>
      <c r="AF1250" t="s">
        <v>1829</v>
      </c>
      <c r="AG1250" s="2">
        <f t="shared" si="198"/>
        <v>7</v>
      </c>
      <c r="AH1250" s="2">
        <f t="shared" si="199"/>
        <v>1</v>
      </c>
      <c r="AI1250" s="3">
        <v>120.0000000034925</v>
      </c>
      <c r="AJ1250" s="2">
        <v>0</v>
      </c>
      <c r="AK1250">
        <v>0</v>
      </c>
      <c r="AL1250">
        <v>0.5</v>
      </c>
      <c r="AM1250">
        <v>0</v>
      </c>
      <c r="AN1250" s="2">
        <f>IF((2*G1250+M1250-O1250+3*V1250+2*AB1250+2*AE1250+2*AH1250+3*AJ1250)&gt;=7,1,0)</f>
        <v>0</v>
      </c>
    </row>
    <row r="1251" spans="1:40" x14ac:dyDescent="0.25">
      <c r="A1251" t="s">
        <v>27</v>
      </c>
      <c r="B1251" s="1">
        <v>40751</v>
      </c>
      <c r="C1251" s="6">
        <f t="shared" si="190"/>
        <v>2011</v>
      </c>
      <c r="D1251">
        <v>84.2</v>
      </c>
      <c r="E1251">
        <v>71.599999999999994</v>
      </c>
      <c r="F1251">
        <v>78.099999999999994</v>
      </c>
      <c r="G1251" s="2">
        <f t="shared" si="191"/>
        <v>1</v>
      </c>
      <c r="H1251">
        <v>92.5</v>
      </c>
      <c r="I1251">
        <v>71.599999999999994</v>
      </c>
      <c r="J1251">
        <v>81</v>
      </c>
      <c r="K1251">
        <v>68.3</v>
      </c>
      <c r="L1251">
        <v>72.099999999999994</v>
      </c>
      <c r="M1251" s="2">
        <f t="shared" si="192"/>
        <v>0</v>
      </c>
      <c r="N1251">
        <v>0</v>
      </c>
      <c r="O1251" s="2">
        <f t="shared" si="193"/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 s="2">
        <f t="shared" si="194"/>
        <v>0</v>
      </c>
      <c r="W1251">
        <v>12.8</v>
      </c>
      <c r="X1251" s="2">
        <f t="shared" si="195"/>
        <v>0</v>
      </c>
      <c r="Y1251">
        <v>356.7</v>
      </c>
      <c r="Z1251" s="2" t="str">
        <f>CHOOSE(MATCH(Y1251,{0;11;80;111;161;191;241;281;341},1),"North","NorthEast","East","SouthEast","South","SouthWest","West","NorthWest","North")</f>
        <v>North</v>
      </c>
      <c r="AA1251" s="4">
        <f>CHOOSE(MATCH(Z1251,{"South";"SouthEast";"SouthWest";"North";"NorthEast";"East";"West";"NorthWest"},0),1,2,3,4,5,6,7,8)</f>
        <v>4</v>
      </c>
      <c r="AB1251" s="2">
        <f t="shared" si="196"/>
        <v>1</v>
      </c>
      <c r="AC1251">
        <v>1015.3</v>
      </c>
      <c r="AD1251" t="s">
        <v>1830</v>
      </c>
      <c r="AE1251" s="2">
        <f t="shared" si="197"/>
        <v>0</v>
      </c>
      <c r="AF1251" t="s">
        <v>1831</v>
      </c>
      <c r="AG1251" s="2">
        <f t="shared" si="198"/>
        <v>7</v>
      </c>
      <c r="AH1251" s="2">
        <f t="shared" si="199"/>
        <v>1</v>
      </c>
      <c r="AI1251" s="3">
        <v>46.000000003259629</v>
      </c>
      <c r="AJ1251" s="2">
        <v>0</v>
      </c>
      <c r="AK1251">
        <v>0.4</v>
      </c>
      <c r="AL1251">
        <v>0</v>
      </c>
      <c r="AM1251">
        <v>0</v>
      </c>
      <c r="AN1251" s="2">
        <f>IF((2*G1251+M1251-O1251+3*V1251+2*AB1251+2*AE1251+2*AH1251+3*AJ1251)&gt;=7,1,0)</f>
        <v>0</v>
      </c>
    </row>
    <row r="1252" spans="1:40" x14ac:dyDescent="0.25">
      <c r="A1252" t="s">
        <v>27</v>
      </c>
      <c r="B1252" s="1">
        <v>40752</v>
      </c>
      <c r="C1252" s="6">
        <f t="shared" si="190"/>
        <v>2011</v>
      </c>
      <c r="D1252">
        <v>86</v>
      </c>
      <c r="E1252">
        <v>69.8</v>
      </c>
      <c r="F1252">
        <v>79.099999999999994</v>
      </c>
      <c r="G1252" s="2">
        <f t="shared" si="191"/>
        <v>1</v>
      </c>
      <c r="H1252">
        <v>90.6</v>
      </c>
      <c r="I1252">
        <v>69.8</v>
      </c>
      <c r="J1252">
        <v>81.099999999999994</v>
      </c>
      <c r="K1252">
        <v>64.5</v>
      </c>
      <c r="L1252">
        <v>61.5</v>
      </c>
      <c r="M1252" s="2">
        <f t="shared" si="192"/>
        <v>1</v>
      </c>
      <c r="N1252">
        <v>0</v>
      </c>
      <c r="O1252" s="2">
        <f t="shared" si="193"/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 s="2">
        <f t="shared" si="194"/>
        <v>0</v>
      </c>
      <c r="W1252">
        <v>11.4</v>
      </c>
      <c r="X1252" s="2">
        <f t="shared" si="195"/>
        <v>0</v>
      </c>
      <c r="Y1252">
        <v>322.7</v>
      </c>
      <c r="Z1252" s="2" t="str">
        <f>CHOOSE(MATCH(Y1252,{0;11;80;111;161;191;241;281;341},1),"North","NorthEast","East","SouthEast","South","SouthWest","West","NorthWest","North")</f>
        <v>NorthWest</v>
      </c>
      <c r="AA1252" s="4">
        <f>CHOOSE(MATCH(Z1252,{"South";"SouthEast";"SouthWest";"North";"NorthEast";"East";"West";"NorthWest"},0),1,2,3,4,5,6,7,8)</f>
        <v>8</v>
      </c>
      <c r="AB1252" s="2">
        <f t="shared" si="196"/>
        <v>1</v>
      </c>
      <c r="AC1252">
        <v>1011.8</v>
      </c>
      <c r="AD1252" t="s">
        <v>1832</v>
      </c>
      <c r="AE1252" s="2">
        <f t="shared" si="197"/>
        <v>1</v>
      </c>
      <c r="AF1252" t="s">
        <v>1833</v>
      </c>
      <c r="AG1252" s="2">
        <f t="shared" si="198"/>
        <v>7</v>
      </c>
      <c r="AH1252" s="2">
        <f t="shared" si="199"/>
        <v>1</v>
      </c>
      <c r="AI1252" s="3">
        <v>15028.99999999674</v>
      </c>
      <c r="AJ1252" s="2">
        <v>1</v>
      </c>
      <c r="AK1252">
        <v>0</v>
      </c>
      <c r="AL1252">
        <v>2000</v>
      </c>
      <c r="AM1252">
        <v>0</v>
      </c>
      <c r="AN1252" s="2">
        <f>IF((2*G1252+M1252-O1252+3*V1252+2*AB1252+2*AE1252+2*AH1252+3*AJ1252)&gt;=7,1,0)</f>
        <v>1</v>
      </c>
    </row>
    <row r="1253" spans="1:40" x14ac:dyDescent="0.25">
      <c r="A1253" t="s">
        <v>27</v>
      </c>
      <c r="B1253" s="1">
        <v>40753</v>
      </c>
      <c r="C1253" s="6">
        <f t="shared" si="190"/>
        <v>2011</v>
      </c>
      <c r="D1253">
        <v>87.8</v>
      </c>
      <c r="E1253">
        <v>72.599999999999994</v>
      </c>
      <c r="F1253">
        <v>80.5</v>
      </c>
      <c r="G1253" s="2">
        <f t="shared" si="191"/>
        <v>1</v>
      </c>
      <c r="H1253">
        <v>97.8</v>
      </c>
      <c r="I1253">
        <v>72.599999999999994</v>
      </c>
      <c r="J1253">
        <v>83.3</v>
      </c>
      <c r="K1253">
        <v>67.7</v>
      </c>
      <c r="L1253">
        <v>65.900000000000006</v>
      </c>
      <c r="M1253" s="2">
        <f t="shared" si="192"/>
        <v>1</v>
      </c>
      <c r="N1253">
        <v>0</v>
      </c>
      <c r="O1253" s="2">
        <f t="shared" si="193"/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 s="2">
        <f t="shared" si="194"/>
        <v>0</v>
      </c>
      <c r="W1253">
        <v>17.2</v>
      </c>
      <c r="X1253" s="2">
        <f t="shared" si="195"/>
        <v>1</v>
      </c>
      <c r="Y1253">
        <v>326.8</v>
      </c>
      <c r="Z1253" s="2" t="str">
        <f>CHOOSE(MATCH(Y1253,{0;11;80;111;161;191;241;281;341},1),"North","NorthEast","East","SouthEast","South","SouthWest","West","NorthWest","North")</f>
        <v>NorthWest</v>
      </c>
      <c r="AA1253" s="4">
        <f>CHOOSE(MATCH(Z1253,{"South";"SouthEast";"SouthWest";"North";"NorthEast";"East";"West";"NorthWest"},0),1,2,3,4,5,6,7,8)</f>
        <v>8</v>
      </c>
      <c r="AB1253" s="2">
        <f t="shared" si="196"/>
        <v>1</v>
      </c>
      <c r="AC1253">
        <v>1007.3</v>
      </c>
      <c r="AD1253" t="s">
        <v>1834</v>
      </c>
      <c r="AE1253" s="2">
        <f t="shared" si="197"/>
        <v>1</v>
      </c>
      <c r="AF1253" t="s">
        <v>1835</v>
      </c>
      <c r="AG1253" s="2">
        <f t="shared" si="198"/>
        <v>7</v>
      </c>
      <c r="AH1253" s="2">
        <f t="shared" si="199"/>
        <v>1</v>
      </c>
      <c r="AI1253" s="3">
        <v>85.000000004656613</v>
      </c>
      <c r="AJ1253" s="2">
        <v>0</v>
      </c>
      <c r="AK1253">
        <v>0</v>
      </c>
      <c r="AL1253">
        <v>1</v>
      </c>
      <c r="AM1253">
        <v>0</v>
      </c>
      <c r="AN1253" s="2">
        <f>IF((2*G1253+M1253-O1253+3*V1253+2*AB1253+2*AE1253+2*AH1253+3*AJ1253)&gt;=7,1,0)</f>
        <v>1</v>
      </c>
    </row>
    <row r="1254" spans="1:40" x14ac:dyDescent="0.25">
      <c r="A1254" t="s">
        <v>27</v>
      </c>
      <c r="B1254" s="1">
        <v>40753</v>
      </c>
      <c r="C1254" s="6">
        <f t="shared" si="190"/>
        <v>2011</v>
      </c>
      <c r="D1254">
        <v>87.8</v>
      </c>
      <c r="E1254">
        <v>72.599999999999994</v>
      </c>
      <c r="F1254">
        <v>80.5</v>
      </c>
      <c r="G1254" s="2">
        <f t="shared" si="191"/>
        <v>1</v>
      </c>
      <c r="H1254">
        <v>97.8</v>
      </c>
      <c r="I1254">
        <v>72.599999999999994</v>
      </c>
      <c r="J1254">
        <v>83.3</v>
      </c>
      <c r="K1254">
        <v>67.7</v>
      </c>
      <c r="L1254">
        <v>65.900000000000006</v>
      </c>
      <c r="M1254" s="2">
        <f t="shared" si="192"/>
        <v>1</v>
      </c>
      <c r="N1254">
        <v>0</v>
      </c>
      <c r="O1254" s="2">
        <f t="shared" si="193"/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 s="2">
        <f t="shared" si="194"/>
        <v>0</v>
      </c>
      <c r="W1254">
        <v>17.2</v>
      </c>
      <c r="X1254" s="2">
        <f t="shared" si="195"/>
        <v>1</v>
      </c>
      <c r="Y1254">
        <v>326.8</v>
      </c>
      <c r="Z1254" s="2" t="str">
        <f>CHOOSE(MATCH(Y1254,{0;11;80;111;161;191;241;281;341},1),"North","NorthEast","East","SouthEast","South","SouthWest","West","NorthWest","North")</f>
        <v>NorthWest</v>
      </c>
      <c r="AA1254" s="4">
        <f>CHOOSE(MATCH(Z1254,{"South";"SouthEast";"SouthWest";"North";"NorthEast";"East";"West";"NorthWest"},0),1,2,3,4,5,6,7,8)</f>
        <v>8</v>
      </c>
      <c r="AB1254" s="2">
        <f t="shared" si="196"/>
        <v>1</v>
      </c>
      <c r="AC1254">
        <v>1007.3</v>
      </c>
      <c r="AD1254" t="s">
        <v>1234</v>
      </c>
      <c r="AE1254" s="2">
        <f t="shared" si="197"/>
        <v>1</v>
      </c>
      <c r="AF1254" t="s">
        <v>1836</v>
      </c>
      <c r="AG1254" s="2">
        <f t="shared" si="198"/>
        <v>7</v>
      </c>
      <c r="AH1254" s="2">
        <f t="shared" si="199"/>
        <v>1</v>
      </c>
      <c r="AI1254" s="3">
        <v>214.99999999883579</v>
      </c>
      <c r="AJ1254" s="2">
        <v>0</v>
      </c>
      <c r="AK1254">
        <v>0</v>
      </c>
      <c r="AL1254">
        <v>1</v>
      </c>
      <c r="AM1254">
        <v>0</v>
      </c>
      <c r="AN1254" s="2">
        <f>IF((2*G1254+M1254-O1254+3*V1254+2*AB1254+2*AE1254+2*AH1254+3*AJ1254)&gt;=7,1,0)</f>
        <v>1</v>
      </c>
    </row>
    <row r="1255" spans="1:40" x14ac:dyDescent="0.25">
      <c r="A1255" t="s">
        <v>27</v>
      </c>
      <c r="B1255" s="1">
        <v>40754</v>
      </c>
      <c r="C1255" s="6">
        <f t="shared" si="190"/>
        <v>2011</v>
      </c>
      <c r="D1255">
        <v>87.8</v>
      </c>
      <c r="E1255">
        <v>71.599999999999994</v>
      </c>
      <c r="F1255">
        <v>78.900000000000006</v>
      </c>
      <c r="G1255" s="2">
        <f t="shared" si="191"/>
        <v>1</v>
      </c>
      <c r="H1255">
        <v>92</v>
      </c>
      <c r="I1255">
        <v>71.599999999999994</v>
      </c>
      <c r="J1255">
        <v>81.2</v>
      </c>
      <c r="K1255">
        <v>66.5</v>
      </c>
      <c r="L1255">
        <v>66.599999999999994</v>
      </c>
      <c r="M1255" s="2">
        <f t="shared" si="192"/>
        <v>0</v>
      </c>
      <c r="N1255">
        <v>0</v>
      </c>
      <c r="O1255" s="2">
        <f t="shared" si="193"/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 s="2">
        <f t="shared" si="194"/>
        <v>0</v>
      </c>
      <c r="W1255">
        <v>23</v>
      </c>
      <c r="X1255" s="2">
        <f t="shared" si="195"/>
        <v>1</v>
      </c>
      <c r="Y1255">
        <v>318.8</v>
      </c>
      <c r="Z1255" s="2" t="str">
        <f>CHOOSE(MATCH(Y1255,{0;11;80;111;161;191;241;281;341},1),"North","NorthEast","East","SouthEast","South","SouthWest","West","NorthWest","North")</f>
        <v>NorthWest</v>
      </c>
      <c r="AA1255" s="4">
        <f>CHOOSE(MATCH(Z1255,{"South";"SouthEast";"SouthWest";"North";"NorthEast";"East";"West";"NorthWest"},0),1,2,3,4,5,6,7,8)</f>
        <v>8</v>
      </c>
      <c r="AB1255" s="2">
        <f t="shared" si="196"/>
        <v>1</v>
      </c>
      <c r="AC1255">
        <v>1006.2</v>
      </c>
      <c r="AD1255" t="s">
        <v>1125</v>
      </c>
      <c r="AE1255" s="2">
        <f t="shared" si="197"/>
        <v>1</v>
      </c>
      <c r="AF1255" t="s">
        <v>1837</v>
      </c>
      <c r="AG1255" s="2">
        <f t="shared" si="198"/>
        <v>7</v>
      </c>
      <c r="AH1255" s="2">
        <f t="shared" si="199"/>
        <v>1</v>
      </c>
      <c r="AI1255" s="3">
        <v>1610.000000009313</v>
      </c>
      <c r="AJ1255" s="2">
        <v>1</v>
      </c>
      <c r="AK1255">
        <v>0</v>
      </c>
      <c r="AL1255">
        <v>100</v>
      </c>
      <c r="AM1255">
        <v>0</v>
      </c>
      <c r="AN1255" s="2">
        <f>IF((2*G1255+M1255-O1255+3*V1255+2*AB1255+2*AE1255+2*AH1255+3*AJ1255)&gt;=7,1,0)</f>
        <v>1</v>
      </c>
    </row>
    <row r="1256" spans="1:40" x14ac:dyDescent="0.25">
      <c r="A1256" t="s">
        <v>27</v>
      </c>
      <c r="B1256" s="1">
        <v>40756</v>
      </c>
      <c r="C1256" s="6">
        <f t="shared" si="190"/>
        <v>2011</v>
      </c>
      <c r="D1256">
        <v>86</v>
      </c>
      <c r="E1256">
        <v>69.8</v>
      </c>
      <c r="F1256">
        <v>78.5</v>
      </c>
      <c r="G1256" s="2">
        <f t="shared" si="191"/>
        <v>1</v>
      </c>
      <c r="H1256">
        <v>93.5</v>
      </c>
      <c r="I1256">
        <v>69.8</v>
      </c>
      <c r="J1256">
        <v>81.8</v>
      </c>
      <c r="K1256">
        <v>71.2</v>
      </c>
      <c r="L1256">
        <v>79</v>
      </c>
      <c r="M1256" s="2">
        <f t="shared" si="192"/>
        <v>0</v>
      </c>
      <c r="N1256">
        <v>0</v>
      </c>
      <c r="O1256" s="2">
        <f t="shared" si="193"/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 s="2">
        <f t="shared" si="194"/>
        <v>0</v>
      </c>
      <c r="W1256">
        <v>13.9</v>
      </c>
      <c r="X1256" s="2">
        <f t="shared" si="195"/>
        <v>0</v>
      </c>
      <c r="Y1256">
        <v>10.4</v>
      </c>
      <c r="Z1256" s="2" t="str">
        <f>CHOOSE(MATCH(Y1256,{0;11;80;111;161;191;241;281;341},1),"North","NorthEast","East","SouthEast","South","SouthWest","West","NorthWest","North")</f>
        <v>North</v>
      </c>
      <c r="AA1256" s="4">
        <f>CHOOSE(MATCH(Z1256,{"South";"SouthEast";"SouthWest";"North";"NorthEast";"East";"West";"NorthWest"},0),1,2,3,4,5,6,7,8)</f>
        <v>4</v>
      </c>
      <c r="AB1256" s="2">
        <f t="shared" si="196"/>
        <v>1</v>
      </c>
      <c r="AC1256">
        <v>1007.4</v>
      </c>
      <c r="AD1256" t="s">
        <v>1838</v>
      </c>
      <c r="AE1256" s="2">
        <f t="shared" si="197"/>
        <v>1</v>
      </c>
      <c r="AF1256" t="s">
        <v>1839</v>
      </c>
      <c r="AG1256" s="2">
        <f t="shared" si="198"/>
        <v>8</v>
      </c>
      <c r="AH1256" s="2">
        <f t="shared" si="199"/>
        <v>1</v>
      </c>
      <c r="AI1256" s="3">
        <v>153.0000000062864</v>
      </c>
      <c r="AJ1256" s="2">
        <v>0</v>
      </c>
      <c r="AK1256">
        <v>0</v>
      </c>
      <c r="AL1256">
        <v>0.1</v>
      </c>
      <c r="AM1256">
        <v>0</v>
      </c>
      <c r="AN1256" s="2">
        <f>IF((2*G1256+M1256-O1256+3*V1256+2*AB1256+2*AE1256+2*AH1256+3*AJ1256)&gt;=7,1,0)</f>
        <v>1</v>
      </c>
    </row>
    <row r="1257" spans="1:40" x14ac:dyDescent="0.25">
      <c r="A1257" t="s">
        <v>27</v>
      </c>
      <c r="B1257" s="1">
        <v>40757</v>
      </c>
      <c r="C1257" s="6">
        <f t="shared" si="190"/>
        <v>2011</v>
      </c>
      <c r="D1257">
        <v>84.2</v>
      </c>
      <c r="E1257">
        <v>71.3</v>
      </c>
      <c r="F1257">
        <v>78.599999999999994</v>
      </c>
      <c r="G1257" s="2">
        <f t="shared" si="191"/>
        <v>1</v>
      </c>
      <c r="H1257">
        <v>92.5</v>
      </c>
      <c r="I1257">
        <v>71.3</v>
      </c>
      <c r="J1257">
        <v>81.900000000000006</v>
      </c>
      <c r="K1257">
        <v>69.5</v>
      </c>
      <c r="L1257">
        <v>74</v>
      </c>
      <c r="M1257" s="2">
        <f t="shared" si="192"/>
        <v>0</v>
      </c>
      <c r="N1257">
        <v>0</v>
      </c>
      <c r="O1257" s="2">
        <f t="shared" si="193"/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 s="2">
        <f t="shared" si="194"/>
        <v>0</v>
      </c>
      <c r="W1257">
        <v>23</v>
      </c>
      <c r="X1257" s="2">
        <f t="shared" si="195"/>
        <v>1</v>
      </c>
      <c r="Y1257">
        <v>314</v>
      </c>
      <c r="Z1257" s="2" t="str">
        <f>CHOOSE(MATCH(Y1257,{0;11;80;111;161;191;241;281;341},1),"North","NorthEast","East","SouthEast","South","SouthWest","West","NorthWest","North")</f>
        <v>NorthWest</v>
      </c>
      <c r="AA1257" s="4">
        <f>CHOOSE(MATCH(Z1257,{"South";"SouthEast";"SouthWest";"North";"NorthEast";"East";"West";"NorthWest"},0),1,2,3,4,5,6,7,8)</f>
        <v>8</v>
      </c>
      <c r="AB1257" s="2">
        <f t="shared" si="196"/>
        <v>1</v>
      </c>
      <c r="AC1257">
        <v>1008.9</v>
      </c>
      <c r="AD1257" t="s">
        <v>1155</v>
      </c>
      <c r="AE1257" s="2">
        <f t="shared" si="197"/>
        <v>1</v>
      </c>
      <c r="AF1257" t="s">
        <v>1840</v>
      </c>
      <c r="AG1257" s="2">
        <f t="shared" si="198"/>
        <v>8</v>
      </c>
      <c r="AH1257" s="2">
        <f t="shared" si="199"/>
        <v>1</v>
      </c>
      <c r="AI1257" s="3">
        <v>100.0000000011642</v>
      </c>
      <c r="AJ1257" s="2">
        <v>0</v>
      </c>
      <c r="AK1257">
        <v>0</v>
      </c>
      <c r="AL1257">
        <v>0</v>
      </c>
      <c r="AM1257">
        <v>0.1</v>
      </c>
      <c r="AN1257" s="2">
        <f>IF((2*G1257+M1257-O1257+3*V1257+2*AB1257+2*AE1257+2*AH1257+3*AJ1257)&gt;=7,1,0)</f>
        <v>1</v>
      </c>
    </row>
    <row r="1258" spans="1:40" x14ac:dyDescent="0.25">
      <c r="A1258" t="s">
        <v>27</v>
      </c>
      <c r="B1258" s="1">
        <v>40759</v>
      </c>
      <c r="C1258" s="6">
        <f t="shared" si="190"/>
        <v>2011</v>
      </c>
      <c r="D1258">
        <v>86</v>
      </c>
      <c r="E1258">
        <v>77</v>
      </c>
      <c r="F1258">
        <v>81.3</v>
      </c>
      <c r="G1258" s="2">
        <f t="shared" si="191"/>
        <v>1</v>
      </c>
      <c r="H1258">
        <v>92</v>
      </c>
      <c r="I1258">
        <v>77</v>
      </c>
      <c r="J1258">
        <v>83.6</v>
      </c>
      <c r="K1258">
        <v>69.7</v>
      </c>
      <c r="L1258">
        <v>68.2</v>
      </c>
      <c r="M1258" s="2">
        <f t="shared" si="192"/>
        <v>0</v>
      </c>
      <c r="N1258">
        <v>0</v>
      </c>
      <c r="O1258" s="2">
        <f t="shared" si="193"/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27.5</v>
      </c>
      <c r="V1258" s="2">
        <f t="shared" si="194"/>
        <v>1</v>
      </c>
      <c r="W1258">
        <v>19.5</v>
      </c>
      <c r="X1258" s="2">
        <f t="shared" si="195"/>
        <v>1</v>
      </c>
      <c r="Y1258">
        <v>308.3</v>
      </c>
      <c r="Z1258" s="2" t="str">
        <f>CHOOSE(MATCH(Y1258,{0;11;80;111;161;191;241;281;341},1),"North","NorthEast","East","SouthEast","South","SouthWest","West","NorthWest","North")</f>
        <v>NorthWest</v>
      </c>
      <c r="AA1258" s="4">
        <f>CHOOSE(MATCH(Z1258,{"South";"SouthEast";"SouthWest";"North";"NorthEast";"East";"West";"NorthWest"},0),1,2,3,4,5,6,7,8)</f>
        <v>8</v>
      </c>
      <c r="AB1258" s="2">
        <f t="shared" si="196"/>
        <v>1</v>
      </c>
      <c r="AC1258">
        <v>1010.3</v>
      </c>
      <c r="AD1258" t="s">
        <v>1274</v>
      </c>
      <c r="AE1258" s="2">
        <f t="shared" si="197"/>
        <v>1</v>
      </c>
      <c r="AF1258" t="s">
        <v>1841</v>
      </c>
      <c r="AG1258" s="2">
        <f t="shared" si="198"/>
        <v>8</v>
      </c>
      <c r="AH1258" s="2">
        <f t="shared" si="199"/>
        <v>1</v>
      </c>
      <c r="AI1258" s="3">
        <v>7705.0000000011642</v>
      </c>
      <c r="AJ1258" s="2">
        <v>1</v>
      </c>
      <c r="AK1258">
        <v>0</v>
      </c>
      <c r="AL1258">
        <v>250</v>
      </c>
      <c r="AM1258">
        <v>0</v>
      </c>
      <c r="AN1258" s="2">
        <f>IF((2*G1258+M1258-O1258+3*V1258+2*AB1258+2*AE1258+2*AH1258+3*AJ1258)&gt;=7,1,0)</f>
        <v>1</v>
      </c>
    </row>
    <row r="1259" spans="1:40" x14ac:dyDescent="0.25">
      <c r="A1259" t="s">
        <v>27</v>
      </c>
      <c r="B1259" s="1">
        <v>40759</v>
      </c>
      <c r="C1259" s="6">
        <f t="shared" si="190"/>
        <v>2011</v>
      </c>
      <c r="D1259">
        <v>86</v>
      </c>
      <c r="E1259">
        <v>77</v>
      </c>
      <c r="F1259">
        <v>81.3</v>
      </c>
      <c r="G1259" s="2">
        <f t="shared" si="191"/>
        <v>1</v>
      </c>
      <c r="H1259">
        <v>92</v>
      </c>
      <c r="I1259">
        <v>77</v>
      </c>
      <c r="J1259">
        <v>83.6</v>
      </c>
      <c r="K1259">
        <v>69.7</v>
      </c>
      <c r="L1259">
        <v>68.2</v>
      </c>
      <c r="M1259" s="2">
        <f t="shared" si="192"/>
        <v>0</v>
      </c>
      <c r="N1259">
        <v>0</v>
      </c>
      <c r="O1259" s="2">
        <f t="shared" si="193"/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27.5</v>
      </c>
      <c r="V1259" s="2">
        <f t="shared" si="194"/>
        <v>1</v>
      </c>
      <c r="W1259">
        <v>19.5</v>
      </c>
      <c r="X1259" s="2">
        <f t="shared" si="195"/>
        <v>1</v>
      </c>
      <c r="Y1259">
        <v>308.3</v>
      </c>
      <c r="Z1259" s="2" t="str">
        <f>CHOOSE(MATCH(Y1259,{0;11;80;111;161;191;241;281;341},1),"North","NorthEast","East","SouthEast","South","SouthWest","West","NorthWest","North")</f>
        <v>NorthWest</v>
      </c>
      <c r="AA1259" s="4">
        <f>CHOOSE(MATCH(Z1259,{"South";"SouthEast";"SouthWest";"North";"NorthEast";"East";"West";"NorthWest"},0),1,2,3,4,5,6,7,8)</f>
        <v>8</v>
      </c>
      <c r="AB1259" s="2">
        <f t="shared" si="196"/>
        <v>1</v>
      </c>
      <c r="AC1259">
        <v>1010.3</v>
      </c>
      <c r="AD1259" t="s">
        <v>1842</v>
      </c>
      <c r="AE1259" s="2">
        <f t="shared" si="197"/>
        <v>1</v>
      </c>
      <c r="AF1259" t="s">
        <v>1843</v>
      </c>
      <c r="AG1259" s="2">
        <f t="shared" si="198"/>
        <v>8</v>
      </c>
      <c r="AH1259" s="2">
        <f t="shared" si="199"/>
        <v>1</v>
      </c>
      <c r="AI1259" s="3">
        <v>538.99999999674037</v>
      </c>
      <c r="AJ1259" s="2">
        <v>1</v>
      </c>
      <c r="AK1259">
        <v>0</v>
      </c>
      <c r="AL1259">
        <v>3</v>
      </c>
      <c r="AM1259">
        <v>0</v>
      </c>
      <c r="AN1259" s="2">
        <f>IF((2*G1259+M1259-O1259+3*V1259+2*AB1259+2*AE1259+2*AH1259+3*AJ1259)&gt;=7,1,0)</f>
        <v>1</v>
      </c>
    </row>
    <row r="1260" spans="1:40" x14ac:dyDescent="0.25">
      <c r="A1260" t="s">
        <v>27</v>
      </c>
      <c r="B1260" s="1">
        <v>40760</v>
      </c>
      <c r="C1260" s="6">
        <f t="shared" si="190"/>
        <v>2011</v>
      </c>
      <c r="D1260">
        <v>86</v>
      </c>
      <c r="E1260">
        <v>75.2</v>
      </c>
      <c r="F1260">
        <v>81.099999999999994</v>
      </c>
      <c r="G1260" s="2">
        <f t="shared" si="191"/>
        <v>1</v>
      </c>
      <c r="H1260">
        <v>93.5</v>
      </c>
      <c r="I1260">
        <v>75.2</v>
      </c>
      <c r="J1260">
        <v>83.5</v>
      </c>
      <c r="K1260">
        <v>68.099999999999994</v>
      </c>
      <c r="L1260">
        <v>65.099999999999994</v>
      </c>
      <c r="M1260" s="2">
        <f t="shared" si="192"/>
        <v>1</v>
      </c>
      <c r="N1260">
        <v>0</v>
      </c>
      <c r="O1260" s="2">
        <f t="shared" si="193"/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 s="2">
        <f t="shared" si="194"/>
        <v>0</v>
      </c>
      <c r="W1260">
        <v>21.9</v>
      </c>
      <c r="X1260" s="2">
        <f t="shared" si="195"/>
        <v>1</v>
      </c>
      <c r="Y1260">
        <v>306.7</v>
      </c>
      <c r="Z1260" s="2" t="str">
        <f>CHOOSE(MATCH(Y1260,{0;11;80;111;161;191;241;281;341},1),"North","NorthEast","East","SouthEast","South","SouthWest","West","NorthWest","North")</f>
        <v>NorthWest</v>
      </c>
      <c r="AA1260" s="4">
        <f>CHOOSE(MATCH(Z1260,{"South";"SouthEast";"SouthWest";"North";"NorthEast";"East";"West";"NorthWest"},0),1,2,3,4,5,6,7,8)</f>
        <v>8</v>
      </c>
      <c r="AB1260" s="2">
        <f t="shared" si="196"/>
        <v>1</v>
      </c>
      <c r="AC1260">
        <v>1010</v>
      </c>
      <c r="AD1260" t="s">
        <v>1844</v>
      </c>
      <c r="AE1260" s="2">
        <f t="shared" si="197"/>
        <v>1</v>
      </c>
      <c r="AF1260" t="s">
        <v>1845</v>
      </c>
      <c r="AG1260" s="2">
        <f t="shared" si="198"/>
        <v>8</v>
      </c>
      <c r="AH1260" s="2">
        <f t="shared" si="199"/>
        <v>1</v>
      </c>
      <c r="AI1260" s="3">
        <v>249.99999999767169</v>
      </c>
      <c r="AJ1260" s="2">
        <v>0</v>
      </c>
      <c r="AK1260">
        <v>0</v>
      </c>
      <c r="AL1260">
        <v>0.1</v>
      </c>
      <c r="AM1260">
        <v>0</v>
      </c>
      <c r="AN1260" s="2">
        <f>IF((2*G1260+M1260-O1260+3*V1260+2*AB1260+2*AE1260+2*AH1260+3*AJ1260)&gt;=7,1,0)</f>
        <v>1</v>
      </c>
    </row>
    <row r="1261" spans="1:40" x14ac:dyDescent="0.25">
      <c r="A1261" t="s">
        <v>27</v>
      </c>
      <c r="B1261" s="1">
        <v>40762</v>
      </c>
      <c r="C1261" s="6">
        <f t="shared" si="190"/>
        <v>2011</v>
      </c>
      <c r="D1261">
        <v>84.2</v>
      </c>
      <c r="E1261">
        <v>77</v>
      </c>
      <c r="F1261">
        <v>80.3</v>
      </c>
      <c r="G1261" s="2">
        <f t="shared" si="191"/>
        <v>1</v>
      </c>
      <c r="H1261">
        <v>87.4</v>
      </c>
      <c r="I1261">
        <v>77</v>
      </c>
      <c r="J1261">
        <v>82</v>
      </c>
      <c r="K1261">
        <v>68.099999999999994</v>
      </c>
      <c r="L1261">
        <v>67</v>
      </c>
      <c r="M1261" s="2">
        <f t="shared" si="192"/>
        <v>0</v>
      </c>
      <c r="N1261">
        <v>0</v>
      </c>
      <c r="O1261" s="2">
        <f t="shared" si="193"/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25.3</v>
      </c>
      <c r="V1261" s="2">
        <f t="shared" si="194"/>
        <v>1</v>
      </c>
      <c r="W1261">
        <v>23</v>
      </c>
      <c r="X1261" s="2">
        <f t="shared" si="195"/>
        <v>1</v>
      </c>
      <c r="Y1261">
        <v>305.7</v>
      </c>
      <c r="Z1261" s="2" t="str">
        <f>CHOOSE(MATCH(Y1261,{0;11;80;111;161;191;241;281;341},1),"North","NorthEast","East","SouthEast","South","SouthWest","West","NorthWest","North")</f>
        <v>NorthWest</v>
      </c>
      <c r="AA1261" s="4">
        <f>CHOOSE(MATCH(Z1261,{"South";"SouthEast";"SouthWest";"North";"NorthEast";"East";"West";"NorthWest"},0),1,2,3,4,5,6,7,8)</f>
        <v>8</v>
      </c>
      <c r="AB1261" s="2">
        <f t="shared" si="196"/>
        <v>1</v>
      </c>
      <c r="AC1261">
        <v>1010.3</v>
      </c>
      <c r="AD1261" t="s">
        <v>1207</v>
      </c>
      <c r="AE1261" s="2">
        <f t="shared" si="197"/>
        <v>1</v>
      </c>
      <c r="AF1261" t="s">
        <v>1846</v>
      </c>
      <c r="AG1261" s="2">
        <f t="shared" si="198"/>
        <v>8</v>
      </c>
      <c r="AH1261" s="2">
        <f t="shared" si="199"/>
        <v>1</v>
      </c>
      <c r="AI1261" s="3">
        <v>1049.999999996508</v>
      </c>
      <c r="AJ1261" s="2">
        <v>1</v>
      </c>
      <c r="AK1261">
        <v>0</v>
      </c>
      <c r="AL1261">
        <v>20</v>
      </c>
      <c r="AM1261">
        <v>0</v>
      </c>
      <c r="AN1261" s="2">
        <f>IF((2*G1261+M1261-O1261+3*V1261+2*AB1261+2*AE1261+2*AH1261+3*AJ1261)&gt;=7,1,0)</f>
        <v>1</v>
      </c>
    </row>
    <row r="1262" spans="1:40" x14ac:dyDescent="0.25">
      <c r="A1262" t="s">
        <v>27</v>
      </c>
      <c r="B1262" s="1">
        <v>40763</v>
      </c>
      <c r="C1262" s="6">
        <f t="shared" si="190"/>
        <v>2011</v>
      </c>
      <c r="D1262">
        <v>86</v>
      </c>
      <c r="E1262">
        <v>77</v>
      </c>
      <c r="F1262">
        <v>80.900000000000006</v>
      </c>
      <c r="G1262" s="2">
        <f t="shared" si="191"/>
        <v>1</v>
      </c>
      <c r="H1262">
        <v>90.6</v>
      </c>
      <c r="I1262">
        <v>77</v>
      </c>
      <c r="J1262">
        <v>83</v>
      </c>
      <c r="K1262">
        <v>67.400000000000006</v>
      </c>
      <c r="L1262">
        <v>63.8</v>
      </c>
      <c r="M1262" s="2">
        <f t="shared" si="192"/>
        <v>1</v>
      </c>
      <c r="N1262">
        <v>0</v>
      </c>
      <c r="O1262" s="2">
        <f t="shared" si="193"/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 s="2">
        <f t="shared" si="194"/>
        <v>0</v>
      </c>
      <c r="W1262">
        <v>20.8</v>
      </c>
      <c r="X1262" s="2">
        <f t="shared" si="195"/>
        <v>1</v>
      </c>
      <c r="Y1262">
        <v>304.10000000000002</v>
      </c>
      <c r="Z1262" s="2" t="str">
        <f>CHOOSE(MATCH(Y1262,{0;11;80;111;161;191;241;281;341},1),"North","NorthEast","East","SouthEast","South","SouthWest","West","NorthWest","North")</f>
        <v>NorthWest</v>
      </c>
      <c r="AA1262" s="4">
        <f>CHOOSE(MATCH(Z1262,{"South";"SouthEast";"SouthWest";"North";"NorthEast";"East";"West";"NorthWest"},0),1,2,3,4,5,6,7,8)</f>
        <v>8</v>
      </c>
      <c r="AB1262" s="2">
        <f t="shared" si="196"/>
        <v>1</v>
      </c>
      <c r="AC1262">
        <v>1010.4</v>
      </c>
      <c r="AD1262" t="s">
        <v>1847</v>
      </c>
      <c r="AE1262" s="2">
        <f t="shared" si="197"/>
        <v>1</v>
      </c>
      <c r="AF1262" t="s">
        <v>1848</v>
      </c>
      <c r="AG1262" s="2">
        <f t="shared" si="198"/>
        <v>8</v>
      </c>
      <c r="AH1262" s="2">
        <f t="shared" si="199"/>
        <v>1</v>
      </c>
      <c r="AI1262" s="3">
        <v>44127.999999996973</v>
      </c>
      <c r="AJ1262" s="2">
        <v>1</v>
      </c>
      <c r="AK1262">
        <v>0</v>
      </c>
      <c r="AL1262">
        <v>10</v>
      </c>
      <c r="AM1262">
        <v>0</v>
      </c>
      <c r="AN1262" s="2">
        <f>IF((2*G1262+M1262-O1262+3*V1262+2*AB1262+2*AE1262+2*AH1262+3*AJ1262)&gt;=7,1,0)</f>
        <v>1</v>
      </c>
    </row>
    <row r="1263" spans="1:40" x14ac:dyDescent="0.25">
      <c r="A1263" t="s">
        <v>27</v>
      </c>
      <c r="B1263" s="1">
        <v>40765</v>
      </c>
      <c r="C1263" s="6">
        <f t="shared" si="190"/>
        <v>2011</v>
      </c>
      <c r="D1263">
        <v>87.8</v>
      </c>
      <c r="E1263">
        <v>70.2</v>
      </c>
      <c r="F1263">
        <v>79.599999999999994</v>
      </c>
      <c r="G1263" s="2">
        <f t="shared" si="191"/>
        <v>1</v>
      </c>
      <c r="H1263">
        <v>94.2</v>
      </c>
      <c r="I1263">
        <v>70.2</v>
      </c>
      <c r="J1263">
        <v>82.9</v>
      </c>
      <c r="K1263">
        <v>68.599999999999994</v>
      </c>
      <c r="L1263">
        <v>69.5</v>
      </c>
      <c r="M1263" s="2">
        <f t="shared" si="192"/>
        <v>0</v>
      </c>
      <c r="N1263">
        <v>0</v>
      </c>
      <c r="O1263" s="2">
        <f t="shared" si="193"/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 s="2">
        <f t="shared" si="194"/>
        <v>0</v>
      </c>
      <c r="W1263">
        <v>20.8</v>
      </c>
      <c r="X1263" s="2">
        <f t="shared" si="195"/>
        <v>1</v>
      </c>
      <c r="Y1263">
        <v>325.5</v>
      </c>
      <c r="Z1263" s="2" t="str">
        <f>CHOOSE(MATCH(Y1263,{0;11;80;111;161;191;241;281;341},1),"North","NorthEast","East","SouthEast","South","SouthWest","West","NorthWest","North")</f>
        <v>NorthWest</v>
      </c>
      <c r="AA1263" s="4">
        <f>CHOOSE(MATCH(Z1263,{"South";"SouthEast";"SouthWest";"North";"NorthEast";"East";"West";"NorthWest"},0),1,2,3,4,5,6,7,8)</f>
        <v>8</v>
      </c>
      <c r="AB1263" s="2">
        <f t="shared" si="196"/>
        <v>1</v>
      </c>
      <c r="AC1263">
        <v>1005.6</v>
      </c>
      <c r="AD1263" t="s">
        <v>1849</v>
      </c>
      <c r="AE1263" s="2">
        <f t="shared" si="197"/>
        <v>1</v>
      </c>
      <c r="AF1263" t="s">
        <v>1850</v>
      </c>
      <c r="AG1263" s="2">
        <f t="shared" si="198"/>
        <v>8</v>
      </c>
      <c r="AH1263" s="2">
        <f t="shared" si="199"/>
        <v>1</v>
      </c>
      <c r="AI1263" s="3">
        <v>402.00000000069849</v>
      </c>
      <c r="AJ1263" s="2">
        <v>1</v>
      </c>
      <c r="AK1263">
        <v>0</v>
      </c>
      <c r="AL1263">
        <v>0.5</v>
      </c>
      <c r="AM1263">
        <v>0</v>
      </c>
      <c r="AN1263" s="2">
        <f>IF((2*G1263+M1263-O1263+3*V1263+2*AB1263+2*AE1263+2*AH1263+3*AJ1263)&gt;=7,1,0)</f>
        <v>1</v>
      </c>
    </row>
    <row r="1264" spans="1:40" x14ac:dyDescent="0.25">
      <c r="A1264" t="s">
        <v>27</v>
      </c>
      <c r="B1264" s="1">
        <v>40766</v>
      </c>
      <c r="C1264" s="6">
        <f t="shared" si="190"/>
        <v>2011</v>
      </c>
      <c r="D1264">
        <v>80.599999999999994</v>
      </c>
      <c r="E1264">
        <v>73.400000000000006</v>
      </c>
      <c r="F1264">
        <v>77.5</v>
      </c>
      <c r="G1264" s="2">
        <f t="shared" si="191"/>
        <v>1</v>
      </c>
      <c r="H1264">
        <v>83.9</v>
      </c>
      <c r="I1264">
        <v>73.400000000000006</v>
      </c>
      <c r="J1264">
        <v>78</v>
      </c>
      <c r="K1264">
        <v>67.900000000000006</v>
      </c>
      <c r="L1264">
        <v>72.8</v>
      </c>
      <c r="M1264" s="2">
        <f t="shared" si="192"/>
        <v>0</v>
      </c>
      <c r="N1264">
        <v>0</v>
      </c>
      <c r="O1264" s="2">
        <f t="shared" si="193"/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28.9</v>
      </c>
      <c r="V1264" s="2">
        <f t="shared" si="194"/>
        <v>1</v>
      </c>
      <c r="W1264">
        <v>20.8</v>
      </c>
      <c r="X1264" s="2">
        <f t="shared" si="195"/>
        <v>1</v>
      </c>
      <c r="Y1264">
        <v>334.6</v>
      </c>
      <c r="Z1264" s="2" t="str">
        <f>CHOOSE(MATCH(Y1264,{0;11;80;111;161;191;241;281;341},1),"North","NorthEast","East","SouthEast","South","SouthWest","West","NorthWest","North")</f>
        <v>NorthWest</v>
      </c>
      <c r="AA1264" s="4">
        <f>CHOOSE(MATCH(Z1264,{"South";"SouthEast";"SouthWest";"North";"NorthEast";"East";"West";"NorthWest"},0),1,2,3,4,5,6,7,8)</f>
        <v>8</v>
      </c>
      <c r="AB1264" s="2">
        <f t="shared" si="196"/>
        <v>1</v>
      </c>
      <c r="AC1264">
        <v>1007.6</v>
      </c>
      <c r="AD1264" t="s">
        <v>1117</v>
      </c>
      <c r="AE1264" s="2">
        <f t="shared" si="197"/>
        <v>0</v>
      </c>
      <c r="AF1264" t="s">
        <v>1851</v>
      </c>
      <c r="AG1264" s="2">
        <f t="shared" si="198"/>
        <v>8</v>
      </c>
      <c r="AH1264" s="2">
        <f t="shared" si="199"/>
        <v>1</v>
      </c>
      <c r="AI1264" s="3">
        <v>114.99999999767169</v>
      </c>
      <c r="AJ1264" s="2">
        <v>0</v>
      </c>
      <c r="AK1264">
        <v>0</v>
      </c>
      <c r="AL1264">
        <v>2</v>
      </c>
      <c r="AM1264">
        <v>0</v>
      </c>
      <c r="AN1264" s="2">
        <f>IF((2*G1264+M1264-O1264+3*V1264+2*AB1264+2*AE1264+2*AH1264+3*AJ1264)&gt;=7,1,0)</f>
        <v>1</v>
      </c>
    </row>
    <row r="1265" spans="1:40" x14ac:dyDescent="0.25">
      <c r="A1265" t="s">
        <v>27</v>
      </c>
      <c r="B1265" s="1">
        <v>40768</v>
      </c>
      <c r="C1265" s="6">
        <f t="shared" si="190"/>
        <v>2011</v>
      </c>
      <c r="D1265">
        <v>82.4</v>
      </c>
      <c r="E1265">
        <v>75.2</v>
      </c>
      <c r="F1265">
        <v>78.400000000000006</v>
      </c>
      <c r="G1265" s="2">
        <f t="shared" si="191"/>
        <v>1</v>
      </c>
      <c r="H1265">
        <v>85.4</v>
      </c>
      <c r="I1265">
        <v>75.2</v>
      </c>
      <c r="J1265">
        <v>79.3</v>
      </c>
      <c r="K1265">
        <v>67.099999999999994</v>
      </c>
      <c r="L1265">
        <v>68.599999999999994</v>
      </c>
      <c r="M1265" s="2">
        <f t="shared" si="192"/>
        <v>0</v>
      </c>
      <c r="N1265">
        <v>0</v>
      </c>
      <c r="O1265" s="2">
        <f t="shared" si="193"/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25.3</v>
      </c>
      <c r="V1265" s="2">
        <f t="shared" si="194"/>
        <v>1</v>
      </c>
      <c r="W1265">
        <v>20.8</v>
      </c>
      <c r="X1265" s="2">
        <f t="shared" si="195"/>
        <v>1</v>
      </c>
      <c r="Y1265">
        <v>308.5</v>
      </c>
      <c r="Z1265" s="2" t="str">
        <f>CHOOSE(MATCH(Y1265,{0;11;80;111;161;191;241;281;341},1),"North","NorthEast","East","SouthEast","South","SouthWest","West","NorthWest","North")</f>
        <v>NorthWest</v>
      </c>
      <c r="AA1265" s="4">
        <f>CHOOSE(MATCH(Z1265,{"South";"SouthEast";"SouthWest";"North";"NorthEast";"East";"West";"NorthWest"},0),1,2,3,4,5,6,7,8)</f>
        <v>8</v>
      </c>
      <c r="AB1265" s="2">
        <f t="shared" si="196"/>
        <v>1</v>
      </c>
      <c r="AC1265">
        <v>1006.7</v>
      </c>
      <c r="AD1265" t="s">
        <v>1237</v>
      </c>
      <c r="AE1265" s="2">
        <f t="shared" si="197"/>
        <v>1</v>
      </c>
      <c r="AF1265" t="s">
        <v>1852</v>
      </c>
      <c r="AG1265" s="2">
        <f t="shared" si="198"/>
        <v>8</v>
      </c>
      <c r="AH1265" s="2">
        <f t="shared" si="199"/>
        <v>1</v>
      </c>
      <c r="AI1265" s="3">
        <v>405</v>
      </c>
      <c r="AJ1265" s="2">
        <v>1</v>
      </c>
      <c r="AK1265">
        <v>0</v>
      </c>
      <c r="AL1265">
        <v>1</v>
      </c>
      <c r="AM1265">
        <v>0</v>
      </c>
      <c r="AN1265" s="2">
        <f>IF((2*G1265+M1265-O1265+3*V1265+2*AB1265+2*AE1265+2*AH1265+3*AJ1265)&gt;=7,1,0)</f>
        <v>1</v>
      </c>
    </row>
    <row r="1266" spans="1:40" x14ac:dyDescent="0.25">
      <c r="A1266" t="s">
        <v>27</v>
      </c>
      <c r="B1266" s="1">
        <v>40768</v>
      </c>
      <c r="C1266" s="6">
        <f t="shared" si="190"/>
        <v>2011</v>
      </c>
      <c r="D1266">
        <v>82.4</v>
      </c>
      <c r="E1266">
        <v>75.2</v>
      </c>
      <c r="F1266">
        <v>78.400000000000006</v>
      </c>
      <c r="G1266" s="2">
        <f t="shared" si="191"/>
        <v>1</v>
      </c>
      <c r="H1266">
        <v>85.4</v>
      </c>
      <c r="I1266">
        <v>75.2</v>
      </c>
      <c r="J1266">
        <v>79.3</v>
      </c>
      <c r="K1266">
        <v>67.099999999999994</v>
      </c>
      <c r="L1266">
        <v>68.599999999999994</v>
      </c>
      <c r="M1266" s="2">
        <f t="shared" si="192"/>
        <v>0</v>
      </c>
      <c r="N1266">
        <v>0</v>
      </c>
      <c r="O1266" s="2">
        <f t="shared" si="193"/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25.3</v>
      </c>
      <c r="V1266" s="2">
        <f t="shared" si="194"/>
        <v>1</v>
      </c>
      <c r="W1266">
        <v>20.8</v>
      </c>
      <c r="X1266" s="2">
        <f t="shared" si="195"/>
        <v>1</v>
      </c>
      <c r="Y1266">
        <v>308.5</v>
      </c>
      <c r="Z1266" s="2" t="str">
        <f>CHOOSE(MATCH(Y1266,{0;11;80;111;161;191;241;281;341},1),"North","NorthEast","East","SouthEast","South","SouthWest","West","NorthWest","North")</f>
        <v>NorthWest</v>
      </c>
      <c r="AA1266" s="4">
        <f>CHOOSE(MATCH(Z1266,{"South";"SouthEast";"SouthWest";"North";"NorthEast";"East";"West";"NorthWest"},0),1,2,3,4,5,6,7,8)</f>
        <v>8</v>
      </c>
      <c r="AB1266" s="2">
        <f t="shared" si="196"/>
        <v>1</v>
      </c>
      <c r="AC1266">
        <v>1006.7</v>
      </c>
      <c r="AD1266" t="s">
        <v>1853</v>
      </c>
      <c r="AE1266" s="2">
        <f t="shared" si="197"/>
        <v>0</v>
      </c>
      <c r="AF1266" t="s">
        <v>1854</v>
      </c>
      <c r="AG1266" s="2">
        <f t="shared" si="198"/>
        <v>8</v>
      </c>
      <c r="AH1266" s="2">
        <f t="shared" si="199"/>
        <v>1</v>
      </c>
      <c r="AI1266" s="3">
        <v>1260</v>
      </c>
      <c r="AJ1266" s="2">
        <v>1</v>
      </c>
      <c r="AK1266">
        <v>0</v>
      </c>
      <c r="AL1266">
        <v>25</v>
      </c>
      <c r="AM1266">
        <v>0</v>
      </c>
      <c r="AN1266" s="2">
        <f>IF((2*G1266+M1266-O1266+3*V1266+2*AB1266+2*AE1266+2*AH1266+3*AJ1266)&gt;=7,1,0)</f>
        <v>1</v>
      </c>
    </row>
    <row r="1267" spans="1:40" x14ac:dyDescent="0.25">
      <c r="A1267" t="s">
        <v>27</v>
      </c>
      <c r="B1267" s="1">
        <v>40769</v>
      </c>
      <c r="C1267" s="6">
        <f t="shared" si="190"/>
        <v>2011</v>
      </c>
      <c r="D1267">
        <v>82.4</v>
      </c>
      <c r="E1267">
        <v>73.400000000000006</v>
      </c>
      <c r="F1267">
        <v>79</v>
      </c>
      <c r="G1267" s="2">
        <f t="shared" si="191"/>
        <v>1</v>
      </c>
      <c r="H1267">
        <v>86.2</v>
      </c>
      <c r="I1267">
        <v>73.400000000000006</v>
      </c>
      <c r="J1267">
        <v>80.5</v>
      </c>
      <c r="K1267">
        <v>67.2</v>
      </c>
      <c r="L1267">
        <v>67.3</v>
      </c>
      <c r="M1267" s="2">
        <f t="shared" si="192"/>
        <v>0</v>
      </c>
      <c r="N1267">
        <v>0</v>
      </c>
      <c r="O1267" s="2">
        <f t="shared" si="193"/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 s="2">
        <f t="shared" si="194"/>
        <v>0</v>
      </c>
      <c r="W1267">
        <v>20.8</v>
      </c>
      <c r="X1267" s="2">
        <f t="shared" si="195"/>
        <v>1</v>
      </c>
      <c r="Y1267">
        <v>304.60000000000002</v>
      </c>
      <c r="Z1267" s="2" t="str">
        <f>CHOOSE(MATCH(Y1267,{0;11;80;111;161;191;241;281;341},1),"North","NorthEast","East","SouthEast","South","SouthWest","West","NorthWest","North")</f>
        <v>NorthWest</v>
      </c>
      <c r="AA1267" s="4">
        <f>CHOOSE(MATCH(Z1267,{"South";"SouthEast";"SouthWest";"North";"NorthEast";"East";"West";"NorthWest"},0),1,2,3,4,5,6,7,8)</f>
        <v>8</v>
      </c>
      <c r="AB1267" s="2">
        <f t="shared" si="196"/>
        <v>1</v>
      </c>
      <c r="AC1267">
        <v>1007.7</v>
      </c>
      <c r="AD1267" t="s">
        <v>1855</v>
      </c>
      <c r="AE1267" s="2">
        <f t="shared" si="197"/>
        <v>1</v>
      </c>
      <c r="AF1267" t="s">
        <v>1856</v>
      </c>
      <c r="AG1267" s="2">
        <f t="shared" si="198"/>
        <v>8</v>
      </c>
      <c r="AH1267" s="2">
        <f t="shared" si="199"/>
        <v>1</v>
      </c>
      <c r="AI1267" s="3">
        <v>341.00000000093132</v>
      </c>
      <c r="AJ1267" s="2">
        <v>0</v>
      </c>
      <c r="AK1267">
        <v>0</v>
      </c>
      <c r="AL1267">
        <v>2</v>
      </c>
      <c r="AM1267">
        <v>0</v>
      </c>
      <c r="AN1267" s="2">
        <f>IF((2*G1267+M1267-O1267+3*V1267+2*AB1267+2*AE1267+2*AH1267+3*AJ1267)&gt;=7,1,0)</f>
        <v>1</v>
      </c>
    </row>
    <row r="1268" spans="1:40" x14ac:dyDescent="0.25">
      <c r="A1268" t="s">
        <v>27</v>
      </c>
      <c r="B1268" s="1">
        <v>40771</v>
      </c>
      <c r="C1268" s="6">
        <f t="shared" si="190"/>
        <v>2011</v>
      </c>
      <c r="D1268">
        <v>86</v>
      </c>
      <c r="E1268">
        <v>69.8</v>
      </c>
      <c r="F1268">
        <v>79.099999999999994</v>
      </c>
      <c r="G1268" s="2">
        <f t="shared" si="191"/>
        <v>1</v>
      </c>
      <c r="H1268">
        <v>90.6</v>
      </c>
      <c r="I1268">
        <v>69.8</v>
      </c>
      <c r="J1268">
        <v>81.2</v>
      </c>
      <c r="K1268">
        <v>67.2</v>
      </c>
      <c r="L1268">
        <v>67.5</v>
      </c>
      <c r="M1268" s="2">
        <f t="shared" si="192"/>
        <v>0</v>
      </c>
      <c r="N1268">
        <v>0</v>
      </c>
      <c r="O1268" s="2">
        <f t="shared" si="193"/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 s="2">
        <f t="shared" si="194"/>
        <v>0</v>
      </c>
      <c r="W1268">
        <v>17.2</v>
      </c>
      <c r="X1268" s="2">
        <f t="shared" si="195"/>
        <v>1</v>
      </c>
      <c r="Y1268">
        <v>316.89999999999998</v>
      </c>
      <c r="Z1268" s="2" t="str">
        <f>CHOOSE(MATCH(Y1268,{0;11;80;111;161;191;241;281;341},1),"North","NorthEast","East","SouthEast","South","SouthWest","West","NorthWest","North")</f>
        <v>NorthWest</v>
      </c>
      <c r="AA1268" s="4">
        <f>CHOOSE(MATCH(Z1268,{"South";"SouthEast";"SouthWest";"North";"NorthEast";"East";"West";"NorthWest"},0),1,2,3,4,5,6,7,8)</f>
        <v>8</v>
      </c>
      <c r="AB1268" s="2">
        <f t="shared" si="196"/>
        <v>1</v>
      </c>
      <c r="AC1268">
        <v>1009.9</v>
      </c>
      <c r="AD1268" t="s">
        <v>1857</v>
      </c>
      <c r="AE1268" s="2">
        <f t="shared" si="197"/>
        <v>1</v>
      </c>
      <c r="AF1268" t="s">
        <v>1858</v>
      </c>
      <c r="AG1268" s="2">
        <f t="shared" si="198"/>
        <v>8</v>
      </c>
      <c r="AH1268" s="2">
        <f t="shared" si="199"/>
        <v>1</v>
      </c>
      <c r="AI1268" s="3">
        <v>53.999999997904517</v>
      </c>
      <c r="AJ1268" s="2">
        <v>0</v>
      </c>
      <c r="AK1268">
        <v>0</v>
      </c>
      <c r="AL1268">
        <v>0.5</v>
      </c>
      <c r="AM1268">
        <v>0</v>
      </c>
      <c r="AN1268" s="2">
        <f>IF((2*G1268+M1268-O1268+3*V1268+2*AB1268+2*AE1268+2*AH1268+3*AJ1268)&gt;=7,1,0)</f>
        <v>1</v>
      </c>
    </row>
    <row r="1269" spans="1:40" x14ac:dyDescent="0.25">
      <c r="A1269" t="s">
        <v>27</v>
      </c>
      <c r="B1269" s="1">
        <v>40771</v>
      </c>
      <c r="C1269" s="6">
        <f t="shared" si="190"/>
        <v>2011</v>
      </c>
      <c r="D1269">
        <v>86</v>
      </c>
      <c r="E1269">
        <v>69.8</v>
      </c>
      <c r="F1269">
        <v>79.099999999999994</v>
      </c>
      <c r="G1269" s="2">
        <f t="shared" si="191"/>
        <v>1</v>
      </c>
      <c r="H1269">
        <v>90.6</v>
      </c>
      <c r="I1269">
        <v>69.8</v>
      </c>
      <c r="J1269">
        <v>81.2</v>
      </c>
      <c r="K1269">
        <v>67.2</v>
      </c>
      <c r="L1269">
        <v>67.5</v>
      </c>
      <c r="M1269" s="2">
        <f t="shared" si="192"/>
        <v>0</v>
      </c>
      <c r="N1269">
        <v>0</v>
      </c>
      <c r="O1269" s="2">
        <f t="shared" si="193"/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 s="2">
        <f t="shared" si="194"/>
        <v>0</v>
      </c>
      <c r="W1269">
        <v>17.2</v>
      </c>
      <c r="X1269" s="2">
        <f t="shared" si="195"/>
        <v>1</v>
      </c>
      <c r="Y1269">
        <v>316.89999999999998</v>
      </c>
      <c r="Z1269" s="2" t="str">
        <f>CHOOSE(MATCH(Y1269,{0;11;80;111;161;191;241;281;341},1),"North","NorthEast","East","SouthEast","South","SouthWest","West","NorthWest","North")</f>
        <v>NorthWest</v>
      </c>
      <c r="AA1269" s="4">
        <f>CHOOSE(MATCH(Z1269,{"South";"SouthEast";"SouthWest";"North";"NorthEast";"East";"West";"NorthWest"},0),1,2,3,4,5,6,7,8)</f>
        <v>8</v>
      </c>
      <c r="AB1269" s="2">
        <f t="shared" si="196"/>
        <v>1</v>
      </c>
      <c r="AC1269">
        <v>1009.9</v>
      </c>
      <c r="AD1269" t="s">
        <v>1207</v>
      </c>
      <c r="AE1269" s="2">
        <f t="shared" si="197"/>
        <v>1</v>
      </c>
      <c r="AF1269" t="s">
        <v>1859</v>
      </c>
      <c r="AG1269" s="2">
        <f t="shared" si="198"/>
        <v>8</v>
      </c>
      <c r="AH1269" s="2">
        <f t="shared" si="199"/>
        <v>1</v>
      </c>
      <c r="AI1269" s="3">
        <v>349.99999999883579</v>
      </c>
      <c r="AJ1269" s="2">
        <v>0</v>
      </c>
      <c r="AK1269">
        <v>0</v>
      </c>
      <c r="AL1269">
        <v>10</v>
      </c>
      <c r="AM1269">
        <v>0</v>
      </c>
      <c r="AN1269" s="2">
        <f>IF((2*G1269+M1269-O1269+3*V1269+2*AB1269+2*AE1269+2*AH1269+3*AJ1269)&gt;=7,1,0)</f>
        <v>1</v>
      </c>
    </row>
    <row r="1270" spans="1:40" x14ac:dyDescent="0.25">
      <c r="A1270" t="s">
        <v>27</v>
      </c>
      <c r="B1270" s="1">
        <v>40773</v>
      </c>
      <c r="C1270" s="6">
        <f t="shared" si="190"/>
        <v>2011</v>
      </c>
      <c r="D1270">
        <v>86</v>
      </c>
      <c r="E1270">
        <v>73.400000000000006</v>
      </c>
      <c r="F1270">
        <v>80.400000000000006</v>
      </c>
      <c r="G1270" s="2">
        <f t="shared" si="191"/>
        <v>1</v>
      </c>
      <c r="H1270">
        <v>91</v>
      </c>
      <c r="I1270">
        <v>73.400000000000006</v>
      </c>
      <c r="J1270">
        <v>83.2</v>
      </c>
      <c r="K1270">
        <v>68.5</v>
      </c>
      <c r="L1270">
        <v>67.2</v>
      </c>
      <c r="M1270" s="2">
        <f t="shared" si="192"/>
        <v>0</v>
      </c>
      <c r="N1270">
        <v>0</v>
      </c>
      <c r="O1270" s="2">
        <f t="shared" si="193"/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28.9</v>
      </c>
      <c r="V1270" s="2">
        <f t="shared" si="194"/>
        <v>1</v>
      </c>
      <c r="W1270">
        <v>25.3</v>
      </c>
      <c r="X1270" s="2">
        <f t="shared" si="195"/>
        <v>1</v>
      </c>
      <c r="Y1270">
        <v>306.7</v>
      </c>
      <c r="Z1270" s="2" t="str">
        <f>CHOOSE(MATCH(Y1270,{0;11;80;111;161;191;241;281;341},1),"North","NorthEast","East","SouthEast","South","SouthWest","West","NorthWest","North")</f>
        <v>NorthWest</v>
      </c>
      <c r="AA1270" s="4">
        <f>CHOOSE(MATCH(Z1270,{"South";"SouthEast";"SouthWest";"North";"NorthEast";"East";"West";"NorthWest"},0),1,2,3,4,5,6,7,8)</f>
        <v>8</v>
      </c>
      <c r="AB1270" s="2">
        <f t="shared" si="196"/>
        <v>1</v>
      </c>
      <c r="AC1270">
        <v>1010.2</v>
      </c>
      <c r="AD1270" t="s">
        <v>1153</v>
      </c>
      <c r="AE1270" s="2">
        <f t="shared" si="197"/>
        <v>1</v>
      </c>
      <c r="AF1270" t="s">
        <v>1860</v>
      </c>
      <c r="AG1270" s="2">
        <f t="shared" si="198"/>
        <v>8</v>
      </c>
      <c r="AH1270" s="2">
        <f t="shared" si="199"/>
        <v>1</v>
      </c>
      <c r="AI1270" s="3">
        <v>1780.0000000081491</v>
      </c>
      <c r="AJ1270" s="2">
        <v>1</v>
      </c>
      <c r="AK1270">
        <v>0</v>
      </c>
      <c r="AL1270">
        <v>30</v>
      </c>
      <c r="AM1270">
        <v>0</v>
      </c>
      <c r="AN1270" s="2">
        <f>IF((2*G1270+M1270-O1270+3*V1270+2*AB1270+2*AE1270+2*AH1270+3*AJ1270)&gt;=7,1,0)</f>
        <v>1</v>
      </c>
    </row>
    <row r="1271" spans="1:40" x14ac:dyDescent="0.25">
      <c r="A1271" t="s">
        <v>27</v>
      </c>
      <c r="B1271" s="1">
        <v>40776</v>
      </c>
      <c r="C1271" s="6">
        <f t="shared" si="190"/>
        <v>2011</v>
      </c>
      <c r="D1271">
        <v>82.4</v>
      </c>
      <c r="E1271">
        <v>75.2</v>
      </c>
      <c r="F1271">
        <v>78.8</v>
      </c>
      <c r="G1271" s="2">
        <f t="shared" si="191"/>
        <v>1</v>
      </c>
      <c r="H1271">
        <v>86.2</v>
      </c>
      <c r="I1271">
        <v>75.2</v>
      </c>
      <c r="J1271">
        <v>80</v>
      </c>
      <c r="K1271">
        <v>66.900000000000006</v>
      </c>
      <c r="L1271">
        <v>67.400000000000006</v>
      </c>
      <c r="M1271" s="2">
        <f t="shared" si="192"/>
        <v>0</v>
      </c>
      <c r="N1271">
        <v>0</v>
      </c>
      <c r="O1271" s="2">
        <f t="shared" si="193"/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27.5</v>
      </c>
      <c r="V1271" s="2">
        <f t="shared" si="194"/>
        <v>1</v>
      </c>
      <c r="W1271">
        <v>20.8</v>
      </c>
      <c r="X1271" s="2">
        <f t="shared" si="195"/>
        <v>1</v>
      </c>
      <c r="Y1271">
        <v>303.60000000000002</v>
      </c>
      <c r="Z1271" s="2" t="str">
        <f>CHOOSE(MATCH(Y1271,{0;11;80;111;161;191;241;281;341},1),"North","NorthEast","East","SouthEast","South","SouthWest","West","NorthWest","North")</f>
        <v>NorthWest</v>
      </c>
      <c r="AA1271" s="4">
        <f>CHOOSE(MATCH(Z1271,{"South";"SouthEast";"SouthWest";"North";"NorthEast";"East";"West";"NorthWest"},0),1,2,3,4,5,6,7,8)</f>
        <v>8</v>
      </c>
      <c r="AB1271" s="2">
        <f t="shared" si="196"/>
        <v>1</v>
      </c>
      <c r="AC1271">
        <v>1010.4</v>
      </c>
      <c r="AD1271" t="s">
        <v>1861</v>
      </c>
      <c r="AE1271" s="2">
        <f t="shared" si="197"/>
        <v>0</v>
      </c>
      <c r="AF1271" t="s">
        <v>1862</v>
      </c>
      <c r="AG1271" s="2">
        <f t="shared" si="198"/>
        <v>8</v>
      </c>
      <c r="AH1271" s="2">
        <f t="shared" si="199"/>
        <v>1</v>
      </c>
      <c r="AI1271" s="3">
        <v>65.000000002328306</v>
      </c>
      <c r="AJ1271" s="2">
        <v>0</v>
      </c>
      <c r="AK1271">
        <v>0</v>
      </c>
      <c r="AL1271">
        <v>1</v>
      </c>
      <c r="AM1271">
        <v>0</v>
      </c>
      <c r="AN1271" s="2">
        <f>IF((2*G1271+M1271-O1271+3*V1271+2*AB1271+2*AE1271+2*AH1271+3*AJ1271)&gt;=7,1,0)</f>
        <v>1</v>
      </c>
    </row>
    <row r="1272" spans="1:40" x14ac:dyDescent="0.25">
      <c r="A1272" t="s">
        <v>27</v>
      </c>
      <c r="B1272" s="1">
        <v>40776</v>
      </c>
      <c r="C1272" s="6">
        <f t="shared" si="190"/>
        <v>2011</v>
      </c>
      <c r="D1272">
        <v>82.4</v>
      </c>
      <c r="E1272">
        <v>75.2</v>
      </c>
      <c r="F1272">
        <v>78.8</v>
      </c>
      <c r="G1272" s="2">
        <f t="shared" si="191"/>
        <v>1</v>
      </c>
      <c r="H1272">
        <v>86.2</v>
      </c>
      <c r="I1272">
        <v>75.2</v>
      </c>
      <c r="J1272">
        <v>80</v>
      </c>
      <c r="K1272">
        <v>66.900000000000006</v>
      </c>
      <c r="L1272">
        <v>67.400000000000006</v>
      </c>
      <c r="M1272" s="2">
        <f t="shared" si="192"/>
        <v>0</v>
      </c>
      <c r="N1272">
        <v>0</v>
      </c>
      <c r="O1272" s="2">
        <f t="shared" si="193"/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27.5</v>
      </c>
      <c r="V1272" s="2">
        <f t="shared" si="194"/>
        <v>1</v>
      </c>
      <c r="W1272">
        <v>20.8</v>
      </c>
      <c r="X1272" s="2">
        <f t="shared" si="195"/>
        <v>1</v>
      </c>
      <c r="Y1272">
        <v>303.60000000000002</v>
      </c>
      <c r="Z1272" s="2" t="str">
        <f>CHOOSE(MATCH(Y1272,{0;11;80;111;161;191;241;281;341},1),"North","NorthEast","East","SouthEast","South","SouthWest","West","NorthWest","North")</f>
        <v>NorthWest</v>
      </c>
      <c r="AA1272" s="4">
        <f>CHOOSE(MATCH(Z1272,{"South";"SouthEast";"SouthWest";"North";"NorthEast";"East";"West";"NorthWest"},0),1,2,3,4,5,6,7,8)</f>
        <v>8</v>
      </c>
      <c r="AB1272" s="2">
        <f t="shared" si="196"/>
        <v>1</v>
      </c>
      <c r="AC1272">
        <v>1010.4</v>
      </c>
      <c r="AD1272" t="s">
        <v>1254</v>
      </c>
      <c r="AE1272" s="2">
        <f t="shared" si="197"/>
        <v>1</v>
      </c>
      <c r="AF1272" t="s">
        <v>1863</v>
      </c>
      <c r="AG1272" s="2">
        <f t="shared" si="198"/>
        <v>8</v>
      </c>
      <c r="AH1272" s="2">
        <f t="shared" si="199"/>
        <v>1</v>
      </c>
      <c r="AI1272" s="3">
        <v>1100.0000000023281</v>
      </c>
      <c r="AJ1272" s="2">
        <v>1</v>
      </c>
      <c r="AK1272">
        <v>0</v>
      </c>
      <c r="AL1272">
        <v>250</v>
      </c>
      <c r="AM1272">
        <v>0</v>
      </c>
      <c r="AN1272" s="2">
        <f>IF((2*G1272+M1272-O1272+3*V1272+2*AB1272+2*AE1272+2*AH1272+3*AJ1272)&gt;=7,1,0)</f>
        <v>1</v>
      </c>
    </row>
    <row r="1273" spans="1:40" x14ac:dyDescent="0.25">
      <c r="A1273" t="s">
        <v>27</v>
      </c>
      <c r="B1273" s="1">
        <v>40776</v>
      </c>
      <c r="C1273" s="6">
        <f t="shared" si="190"/>
        <v>2011</v>
      </c>
      <c r="D1273">
        <v>82.4</v>
      </c>
      <c r="E1273">
        <v>75.2</v>
      </c>
      <c r="F1273">
        <v>78.8</v>
      </c>
      <c r="G1273" s="2">
        <f t="shared" si="191"/>
        <v>1</v>
      </c>
      <c r="H1273">
        <v>86.2</v>
      </c>
      <c r="I1273">
        <v>75.2</v>
      </c>
      <c r="J1273">
        <v>80</v>
      </c>
      <c r="K1273">
        <v>66.900000000000006</v>
      </c>
      <c r="L1273">
        <v>67.400000000000006</v>
      </c>
      <c r="M1273" s="2">
        <f t="shared" si="192"/>
        <v>0</v>
      </c>
      <c r="N1273">
        <v>0</v>
      </c>
      <c r="O1273" s="2">
        <f t="shared" si="193"/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27.5</v>
      </c>
      <c r="V1273" s="2">
        <f t="shared" si="194"/>
        <v>1</v>
      </c>
      <c r="W1273">
        <v>20.8</v>
      </c>
      <c r="X1273" s="2">
        <f t="shared" si="195"/>
        <v>1</v>
      </c>
      <c r="Y1273">
        <v>303.60000000000002</v>
      </c>
      <c r="Z1273" s="2" t="str">
        <f>CHOOSE(MATCH(Y1273,{0;11;80;111;161;191;241;281;341},1),"North","NorthEast","East","SouthEast","South","SouthWest","West","NorthWest","North")</f>
        <v>NorthWest</v>
      </c>
      <c r="AA1273" s="4">
        <f>CHOOSE(MATCH(Z1273,{"South";"SouthEast";"SouthWest";"North";"NorthEast";"East";"West";"NorthWest"},0),1,2,3,4,5,6,7,8)</f>
        <v>8</v>
      </c>
      <c r="AB1273" s="2">
        <f t="shared" si="196"/>
        <v>1</v>
      </c>
      <c r="AC1273">
        <v>1010.4</v>
      </c>
      <c r="AD1273" t="s">
        <v>1864</v>
      </c>
      <c r="AE1273" s="2">
        <f t="shared" si="197"/>
        <v>1</v>
      </c>
      <c r="AF1273" t="s">
        <v>1865</v>
      </c>
      <c r="AG1273" s="2">
        <f t="shared" si="198"/>
        <v>8</v>
      </c>
      <c r="AH1273" s="2">
        <f t="shared" si="199"/>
        <v>1</v>
      </c>
      <c r="AI1273" s="3">
        <v>197.0000000030268</v>
      </c>
      <c r="AJ1273" s="2">
        <v>0</v>
      </c>
      <c r="AK1273">
        <v>0</v>
      </c>
      <c r="AL1273">
        <v>2</v>
      </c>
      <c r="AM1273">
        <v>0</v>
      </c>
      <c r="AN1273" s="2">
        <f>IF((2*G1273+M1273-O1273+3*V1273+2*AB1273+2*AE1273+2*AH1273+3*AJ1273)&gt;=7,1,0)</f>
        <v>1</v>
      </c>
    </row>
    <row r="1274" spans="1:40" x14ac:dyDescent="0.25">
      <c r="A1274" t="s">
        <v>27</v>
      </c>
      <c r="B1274" s="1">
        <v>40776</v>
      </c>
      <c r="C1274" s="6">
        <f t="shared" si="190"/>
        <v>2011</v>
      </c>
      <c r="D1274">
        <v>82.4</v>
      </c>
      <c r="E1274">
        <v>75.2</v>
      </c>
      <c r="F1274">
        <v>78.8</v>
      </c>
      <c r="G1274" s="2">
        <f t="shared" si="191"/>
        <v>1</v>
      </c>
      <c r="H1274">
        <v>86.2</v>
      </c>
      <c r="I1274">
        <v>75.2</v>
      </c>
      <c r="J1274">
        <v>80</v>
      </c>
      <c r="K1274">
        <v>66.900000000000006</v>
      </c>
      <c r="L1274">
        <v>67.400000000000006</v>
      </c>
      <c r="M1274" s="2">
        <f t="shared" si="192"/>
        <v>0</v>
      </c>
      <c r="N1274">
        <v>0</v>
      </c>
      <c r="O1274" s="2">
        <f t="shared" si="193"/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27.5</v>
      </c>
      <c r="V1274" s="2">
        <f t="shared" si="194"/>
        <v>1</v>
      </c>
      <c r="W1274">
        <v>20.8</v>
      </c>
      <c r="X1274" s="2">
        <f t="shared" si="195"/>
        <v>1</v>
      </c>
      <c r="Y1274">
        <v>303.60000000000002</v>
      </c>
      <c r="Z1274" s="2" t="str">
        <f>CHOOSE(MATCH(Y1274,{0;11;80;111;161;191;241;281;341},1),"North","NorthEast","East","SouthEast","South","SouthWest","West","NorthWest","North")</f>
        <v>NorthWest</v>
      </c>
      <c r="AA1274" s="4">
        <f>CHOOSE(MATCH(Z1274,{"South";"SouthEast";"SouthWest";"North";"NorthEast";"East";"West";"NorthWest"},0),1,2,3,4,5,6,7,8)</f>
        <v>8</v>
      </c>
      <c r="AB1274" s="2">
        <f t="shared" si="196"/>
        <v>1</v>
      </c>
      <c r="AC1274">
        <v>1010.4</v>
      </c>
      <c r="AD1274" t="s">
        <v>1866</v>
      </c>
      <c r="AE1274" s="2">
        <f t="shared" si="197"/>
        <v>1</v>
      </c>
      <c r="AF1274" t="s">
        <v>1867</v>
      </c>
      <c r="AG1274" s="2">
        <f t="shared" si="198"/>
        <v>8</v>
      </c>
      <c r="AH1274" s="2">
        <f t="shared" si="199"/>
        <v>1</v>
      </c>
      <c r="AI1274" s="3">
        <v>900</v>
      </c>
      <c r="AJ1274" s="2">
        <v>1</v>
      </c>
      <c r="AK1274">
        <v>0</v>
      </c>
      <c r="AL1274">
        <v>50</v>
      </c>
      <c r="AM1274">
        <v>0</v>
      </c>
      <c r="AN1274" s="2">
        <f>IF((2*G1274+M1274-O1274+3*V1274+2*AB1274+2*AE1274+2*AH1274+3*AJ1274)&gt;=7,1,0)</f>
        <v>1</v>
      </c>
    </row>
    <row r="1275" spans="1:40" x14ac:dyDescent="0.25">
      <c r="A1275" t="s">
        <v>27</v>
      </c>
      <c r="B1275" s="1">
        <v>40777</v>
      </c>
      <c r="C1275" s="6">
        <f t="shared" si="190"/>
        <v>2011</v>
      </c>
      <c r="D1275">
        <v>82.4</v>
      </c>
      <c r="E1275">
        <v>68</v>
      </c>
      <c r="F1275">
        <v>76.7</v>
      </c>
      <c r="G1275" s="2">
        <f t="shared" si="191"/>
        <v>1</v>
      </c>
      <c r="H1275">
        <v>88.3</v>
      </c>
      <c r="I1275">
        <v>68</v>
      </c>
      <c r="J1275">
        <v>78.400000000000006</v>
      </c>
      <c r="K1275">
        <v>67.099999999999994</v>
      </c>
      <c r="L1275">
        <v>72.400000000000006</v>
      </c>
      <c r="M1275" s="2">
        <f t="shared" si="192"/>
        <v>0</v>
      </c>
      <c r="N1275">
        <v>0</v>
      </c>
      <c r="O1275" s="2">
        <f t="shared" si="193"/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26.4</v>
      </c>
      <c r="V1275" s="2">
        <f t="shared" si="194"/>
        <v>1</v>
      </c>
      <c r="W1275">
        <v>23</v>
      </c>
      <c r="X1275" s="2">
        <f t="shared" si="195"/>
        <v>1</v>
      </c>
      <c r="Y1275">
        <v>309.3</v>
      </c>
      <c r="Z1275" s="2" t="str">
        <f>CHOOSE(MATCH(Y1275,{0;11;80;111;161;191;241;281;341},1),"North","NorthEast","East","SouthEast","South","SouthWest","West","NorthWest","North")</f>
        <v>NorthWest</v>
      </c>
      <c r="AA1275" s="4">
        <f>CHOOSE(MATCH(Z1275,{"South";"SouthEast";"SouthWest";"North";"NorthEast";"East";"West";"NorthWest"},0),1,2,3,4,5,6,7,8)</f>
        <v>8</v>
      </c>
      <c r="AB1275" s="2">
        <f t="shared" si="196"/>
        <v>1</v>
      </c>
      <c r="AC1275">
        <v>1011</v>
      </c>
      <c r="AD1275" t="s">
        <v>1868</v>
      </c>
      <c r="AE1275" s="2">
        <f t="shared" si="197"/>
        <v>1</v>
      </c>
      <c r="AF1275" t="s">
        <v>1869</v>
      </c>
      <c r="AG1275" s="2">
        <f t="shared" si="198"/>
        <v>8</v>
      </c>
      <c r="AH1275" s="2">
        <f t="shared" si="199"/>
        <v>1</v>
      </c>
      <c r="AI1275" s="3">
        <v>7740</v>
      </c>
      <c r="AJ1275" s="2">
        <v>1</v>
      </c>
      <c r="AK1275">
        <v>0</v>
      </c>
      <c r="AL1275">
        <v>1300</v>
      </c>
      <c r="AM1275">
        <v>0</v>
      </c>
      <c r="AN1275" s="2">
        <f>IF((2*G1275+M1275-O1275+3*V1275+2*AB1275+2*AE1275+2*AH1275+3*AJ1275)&gt;=7,1,0)</f>
        <v>1</v>
      </c>
    </row>
    <row r="1276" spans="1:40" x14ac:dyDescent="0.25">
      <c r="A1276" t="s">
        <v>27</v>
      </c>
      <c r="B1276" s="1">
        <v>40780</v>
      </c>
      <c r="C1276" s="6">
        <f t="shared" si="190"/>
        <v>2011</v>
      </c>
      <c r="D1276">
        <v>82.4</v>
      </c>
      <c r="E1276">
        <v>68</v>
      </c>
      <c r="F1276">
        <v>77.099999999999994</v>
      </c>
      <c r="G1276" s="2">
        <f t="shared" si="191"/>
        <v>1</v>
      </c>
      <c r="H1276">
        <v>87.2</v>
      </c>
      <c r="I1276">
        <v>68</v>
      </c>
      <c r="J1276">
        <v>78.8</v>
      </c>
      <c r="K1276">
        <v>67</v>
      </c>
      <c r="L1276">
        <v>71.400000000000006</v>
      </c>
      <c r="M1276" s="2">
        <f t="shared" si="192"/>
        <v>0</v>
      </c>
      <c r="N1276">
        <v>0</v>
      </c>
      <c r="O1276" s="2">
        <f t="shared" si="193"/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24.2</v>
      </c>
      <c r="V1276" s="2">
        <f t="shared" si="194"/>
        <v>1</v>
      </c>
      <c r="W1276">
        <v>24.2</v>
      </c>
      <c r="X1276" s="2">
        <f t="shared" si="195"/>
        <v>1</v>
      </c>
      <c r="Y1276">
        <v>311.3</v>
      </c>
      <c r="Z1276" s="2" t="str">
        <f>CHOOSE(MATCH(Y1276,{0;11;80;111;161;191;241;281;341},1),"North","NorthEast","East","SouthEast","South","SouthWest","West","NorthWest","North")</f>
        <v>NorthWest</v>
      </c>
      <c r="AA1276" s="4">
        <f>CHOOSE(MATCH(Z1276,{"South";"SouthEast";"SouthWest";"North";"NorthEast";"East";"West";"NorthWest"},0),1,2,3,4,5,6,7,8)</f>
        <v>8</v>
      </c>
      <c r="AB1276" s="2">
        <f t="shared" si="196"/>
        <v>1</v>
      </c>
      <c r="AC1276">
        <v>1009.3</v>
      </c>
      <c r="AD1276" t="s">
        <v>1750</v>
      </c>
      <c r="AE1276" s="2">
        <f t="shared" si="197"/>
        <v>1</v>
      </c>
      <c r="AF1276" t="s">
        <v>1870</v>
      </c>
      <c r="AG1276" s="2">
        <f t="shared" si="198"/>
        <v>8</v>
      </c>
      <c r="AH1276" s="2">
        <f t="shared" si="199"/>
        <v>1</v>
      </c>
      <c r="AI1276" s="3">
        <v>2665.0000000011642</v>
      </c>
      <c r="AJ1276" s="2">
        <v>1</v>
      </c>
      <c r="AK1276">
        <v>0</v>
      </c>
      <c r="AL1276">
        <v>15</v>
      </c>
      <c r="AM1276">
        <v>0</v>
      </c>
      <c r="AN1276" s="2">
        <f>IF((2*G1276+M1276-O1276+3*V1276+2*AB1276+2*AE1276+2*AH1276+3*AJ1276)&gt;=7,1,0)</f>
        <v>1</v>
      </c>
    </row>
    <row r="1277" spans="1:40" x14ac:dyDescent="0.25">
      <c r="A1277" t="s">
        <v>27</v>
      </c>
      <c r="B1277" s="1">
        <v>40780</v>
      </c>
      <c r="C1277" s="6">
        <f t="shared" si="190"/>
        <v>2011</v>
      </c>
      <c r="D1277">
        <v>82.4</v>
      </c>
      <c r="E1277">
        <v>68</v>
      </c>
      <c r="F1277">
        <v>77.099999999999994</v>
      </c>
      <c r="G1277" s="2">
        <f t="shared" si="191"/>
        <v>1</v>
      </c>
      <c r="H1277">
        <v>87.2</v>
      </c>
      <c r="I1277">
        <v>68</v>
      </c>
      <c r="J1277">
        <v>78.8</v>
      </c>
      <c r="K1277">
        <v>67</v>
      </c>
      <c r="L1277">
        <v>71.400000000000006</v>
      </c>
      <c r="M1277" s="2">
        <f t="shared" si="192"/>
        <v>0</v>
      </c>
      <c r="N1277">
        <v>0</v>
      </c>
      <c r="O1277" s="2">
        <f t="shared" si="193"/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24.2</v>
      </c>
      <c r="V1277" s="2">
        <f t="shared" si="194"/>
        <v>1</v>
      </c>
      <c r="W1277">
        <v>24.2</v>
      </c>
      <c r="X1277" s="2">
        <f t="shared" si="195"/>
        <v>1</v>
      </c>
      <c r="Y1277">
        <v>311.3</v>
      </c>
      <c r="Z1277" s="2" t="str">
        <f>CHOOSE(MATCH(Y1277,{0;11;80;111;161;191;241;281;341},1),"North","NorthEast","East","SouthEast","South","SouthWest","West","NorthWest","North")</f>
        <v>NorthWest</v>
      </c>
      <c r="AA1277" s="4">
        <f>CHOOSE(MATCH(Z1277,{"South";"SouthEast";"SouthWest";"North";"NorthEast";"East";"West";"NorthWest"},0),1,2,3,4,5,6,7,8)</f>
        <v>8</v>
      </c>
      <c r="AB1277" s="2">
        <f t="shared" si="196"/>
        <v>1</v>
      </c>
      <c r="AC1277">
        <v>1009.3</v>
      </c>
      <c r="AD1277" t="s">
        <v>1871</v>
      </c>
      <c r="AE1277" s="2">
        <f t="shared" si="197"/>
        <v>0</v>
      </c>
      <c r="AF1277" t="s">
        <v>1872</v>
      </c>
      <c r="AG1277" s="2">
        <f t="shared" si="198"/>
        <v>8</v>
      </c>
      <c r="AH1277" s="2">
        <f t="shared" si="199"/>
        <v>1</v>
      </c>
      <c r="AI1277" s="3">
        <v>1019.999999993015</v>
      </c>
      <c r="AJ1277" s="2">
        <v>1</v>
      </c>
      <c r="AK1277">
        <v>0</v>
      </c>
      <c r="AL1277">
        <v>5</v>
      </c>
      <c r="AM1277">
        <v>0</v>
      </c>
      <c r="AN1277" s="2">
        <f>IF((2*G1277+M1277-O1277+3*V1277+2*AB1277+2*AE1277+2*AH1277+3*AJ1277)&gt;=7,1,0)</f>
        <v>1</v>
      </c>
    </row>
    <row r="1278" spans="1:40" x14ac:dyDescent="0.25">
      <c r="A1278" t="s">
        <v>27</v>
      </c>
      <c r="B1278" s="1">
        <v>40786</v>
      </c>
      <c r="C1278" s="6">
        <f t="shared" si="190"/>
        <v>2011</v>
      </c>
      <c r="D1278">
        <v>86</v>
      </c>
      <c r="E1278">
        <v>66.2</v>
      </c>
      <c r="F1278">
        <v>76.400000000000006</v>
      </c>
      <c r="G1278" s="2">
        <f t="shared" si="191"/>
        <v>1</v>
      </c>
      <c r="H1278">
        <v>95.2</v>
      </c>
      <c r="I1278">
        <v>66.2</v>
      </c>
      <c r="J1278">
        <v>79.3</v>
      </c>
      <c r="K1278">
        <v>67.7</v>
      </c>
      <c r="L1278">
        <v>74.8</v>
      </c>
      <c r="M1278" s="2">
        <f t="shared" si="192"/>
        <v>0</v>
      </c>
      <c r="N1278">
        <v>0</v>
      </c>
      <c r="O1278" s="2">
        <f t="shared" si="193"/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 s="2">
        <f t="shared" si="194"/>
        <v>0</v>
      </c>
      <c r="W1278">
        <v>9.1999999999999993</v>
      </c>
      <c r="X1278" s="2">
        <f t="shared" si="195"/>
        <v>0</v>
      </c>
      <c r="Y1278">
        <v>64.400000000000006</v>
      </c>
      <c r="Z1278" s="2" t="str">
        <f>CHOOSE(MATCH(Y1278,{0;11;80;111;161;191;241;281;341},1),"North","NorthEast","East","SouthEast","South","SouthWest","West","NorthWest","North")</f>
        <v>NorthEast</v>
      </c>
      <c r="AA1278" s="4">
        <f>CHOOSE(MATCH(Z1278,{"South";"SouthEast";"SouthWest";"North";"NorthEast";"East";"West";"NorthWest"},0),1,2,3,4,5,6,7,8)</f>
        <v>5</v>
      </c>
      <c r="AB1278" s="2">
        <f t="shared" si="196"/>
        <v>1</v>
      </c>
      <c r="AC1278">
        <v>1010.5</v>
      </c>
      <c r="AD1278" t="s">
        <v>1834</v>
      </c>
      <c r="AE1278" s="2">
        <f t="shared" si="197"/>
        <v>1</v>
      </c>
      <c r="AF1278" t="s">
        <v>1873</v>
      </c>
      <c r="AG1278" s="2">
        <f t="shared" si="198"/>
        <v>8</v>
      </c>
      <c r="AH1278" s="2">
        <f t="shared" si="199"/>
        <v>1</v>
      </c>
      <c r="AI1278" s="3">
        <v>3929.999999996508</v>
      </c>
      <c r="AJ1278" s="2">
        <v>1</v>
      </c>
      <c r="AK1278">
        <v>0</v>
      </c>
      <c r="AL1278">
        <v>200</v>
      </c>
      <c r="AM1278">
        <v>0</v>
      </c>
      <c r="AN1278" s="2">
        <f>IF((2*G1278+M1278-O1278+3*V1278+2*AB1278+2*AE1278+2*AH1278+3*AJ1278)&gt;=7,1,0)</f>
        <v>1</v>
      </c>
    </row>
    <row r="1279" spans="1:40" x14ac:dyDescent="0.25">
      <c r="A1279" t="s">
        <v>27</v>
      </c>
      <c r="B1279" s="1">
        <v>40786</v>
      </c>
      <c r="C1279" s="6">
        <f t="shared" si="190"/>
        <v>2011</v>
      </c>
      <c r="D1279">
        <v>86</v>
      </c>
      <c r="E1279">
        <v>66.2</v>
      </c>
      <c r="F1279">
        <v>76.400000000000006</v>
      </c>
      <c r="G1279" s="2">
        <f t="shared" si="191"/>
        <v>1</v>
      </c>
      <c r="H1279">
        <v>95.2</v>
      </c>
      <c r="I1279">
        <v>66.2</v>
      </c>
      <c r="J1279">
        <v>79.3</v>
      </c>
      <c r="K1279">
        <v>67.7</v>
      </c>
      <c r="L1279">
        <v>74.8</v>
      </c>
      <c r="M1279" s="2">
        <f t="shared" si="192"/>
        <v>0</v>
      </c>
      <c r="N1279">
        <v>0</v>
      </c>
      <c r="O1279" s="2">
        <f t="shared" si="193"/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 s="2">
        <f t="shared" si="194"/>
        <v>0</v>
      </c>
      <c r="W1279">
        <v>9.1999999999999993</v>
      </c>
      <c r="X1279" s="2">
        <f t="shared" si="195"/>
        <v>0</v>
      </c>
      <c r="Y1279">
        <v>64.400000000000006</v>
      </c>
      <c r="Z1279" s="2" t="str">
        <f>CHOOSE(MATCH(Y1279,{0;11;80;111;161;191;241;281;341},1),"North","NorthEast","East","SouthEast","South","SouthWest","West","NorthWest","North")</f>
        <v>NorthEast</v>
      </c>
      <c r="AA1279" s="4">
        <f>CHOOSE(MATCH(Z1279,{"South";"SouthEast";"SouthWest";"North";"NorthEast";"East";"West";"NorthWest"},0),1,2,3,4,5,6,7,8)</f>
        <v>5</v>
      </c>
      <c r="AB1279" s="2">
        <f t="shared" si="196"/>
        <v>1</v>
      </c>
      <c r="AC1279">
        <v>1010.5</v>
      </c>
      <c r="AD1279" t="s">
        <v>1201</v>
      </c>
      <c r="AE1279" s="2">
        <f t="shared" si="197"/>
        <v>1</v>
      </c>
      <c r="AF1279" t="s">
        <v>1874</v>
      </c>
      <c r="AG1279" s="2">
        <f t="shared" si="198"/>
        <v>8</v>
      </c>
      <c r="AH1279" s="2">
        <f t="shared" si="199"/>
        <v>1</v>
      </c>
      <c r="AI1279" s="3">
        <v>210.00000000349249</v>
      </c>
      <c r="AJ1279" s="2">
        <v>0</v>
      </c>
      <c r="AK1279">
        <v>0</v>
      </c>
      <c r="AL1279">
        <v>0.5</v>
      </c>
      <c r="AM1279">
        <v>0</v>
      </c>
      <c r="AN1279" s="2">
        <f>IF((2*G1279+M1279-O1279+3*V1279+2*AB1279+2*AE1279+2*AH1279+3*AJ1279)&gt;=7,1,0)</f>
        <v>1</v>
      </c>
    </row>
    <row r="1280" spans="1:40" x14ac:dyDescent="0.25">
      <c r="A1280" t="s">
        <v>27</v>
      </c>
      <c r="B1280" s="1">
        <v>40787</v>
      </c>
      <c r="C1280" s="6">
        <f t="shared" si="190"/>
        <v>2011</v>
      </c>
      <c r="D1280">
        <v>82.4</v>
      </c>
      <c r="E1280">
        <v>69.8</v>
      </c>
      <c r="F1280">
        <v>77</v>
      </c>
      <c r="G1280" s="2">
        <f t="shared" si="191"/>
        <v>1</v>
      </c>
      <c r="H1280">
        <v>87.2</v>
      </c>
      <c r="I1280">
        <v>69.8</v>
      </c>
      <c r="J1280">
        <v>78.8</v>
      </c>
      <c r="K1280">
        <v>70.099999999999994</v>
      </c>
      <c r="L1280">
        <v>79.7</v>
      </c>
      <c r="M1280" s="2">
        <f t="shared" si="192"/>
        <v>0</v>
      </c>
      <c r="N1280">
        <v>0</v>
      </c>
      <c r="O1280" s="2">
        <f t="shared" si="193"/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 s="2">
        <f t="shared" si="194"/>
        <v>0</v>
      </c>
      <c r="W1280">
        <v>20.8</v>
      </c>
      <c r="X1280" s="2">
        <f t="shared" si="195"/>
        <v>1</v>
      </c>
      <c r="Y1280">
        <v>313.7</v>
      </c>
      <c r="Z1280" s="2" t="str">
        <f>CHOOSE(MATCH(Y1280,{0;11;80;111;161;191;241;281;341},1),"North","NorthEast","East","SouthEast","South","SouthWest","West","NorthWest","North")</f>
        <v>NorthWest</v>
      </c>
      <c r="AA1280" s="4">
        <f>CHOOSE(MATCH(Z1280,{"South";"SouthEast";"SouthWest";"North";"NorthEast";"East";"West";"NorthWest"},0),1,2,3,4,5,6,7,8)</f>
        <v>8</v>
      </c>
      <c r="AB1280" s="2">
        <f t="shared" si="196"/>
        <v>1</v>
      </c>
      <c r="AC1280">
        <v>1011.4</v>
      </c>
      <c r="AD1280" t="s">
        <v>1226</v>
      </c>
      <c r="AE1280" s="2">
        <f t="shared" si="197"/>
        <v>1</v>
      </c>
      <c r="AF1280" t="s">
        <v>1875</v>
      </c>
      <c r="AG1280" s="2">
        <f t="shared" si="198"/>
        <v>9</v>
      </c>
      <c r="AH1280" s="2">
        <f t="shared" si="199"/>
        <v>0</v>
      </c>
      <c r="AI1280" s="3">
        <v>235.00000000116421</v>
      </c>
      <c r="AJ1280" s="2">
        <v>0</v>
      </c>
      <c r="AK1280">
        <v>0</v>
      </c>
      <c r="AL1280">
        <v>2</v>
      </c>
      <c r="AM1280">
        <v>0</v>
      </c>
      <c r="AN1280" s="2">
        <f>IF((2*G1280+M1280-O1280+3*V1280+2*AB1280+2*AE1280+2*AH1280+3*AJ1280)&gt;=7,1,0)</f>
        <v>0</v>
      </c>
    </row>
    <row r="1281" spans="1:40" x14ac:dyDescent="0.25">
      <c r="A1281" t="s">
        <v>27</v>
      </c>
      <c r="B1281" s="1">
        <v>40788</v>
      </c>
      <c r="C1281" s="6">
        <f t="shared" si="190"/>
        <v>2011</v>
      </c>
      <c r="D1281">
        <v>86</v>
      </c>
      <c r="E1281">
        <v>69.8</v>
      </c>
      <c r="F1281">
        <v>80.5</v>
      </c>
      <c r="G1281" s="2">
        <f t="shared" si="191"/>
        <v>1</v>
      </c>
      <c r="H1281">
        <v>89.6</v>
      </c>
      <c r="I1281">
        <v>69.8</v>
      </c>
      <c r="J1281">
        <v>82.2</v>
      </c>
      <c r="K1281">
        <v>65.5</v>
      </c>
      <c r="L1281">
        <v>60.9</v>
      </c>
      <c r="M1281" s="2">
        <f t="shared" si="192"/>
        <v>1</v>
      </c>
      <c r="N1281">
        <v>0</v>
      </c>
      <c r="O1281" s="2">
        <f t="shared" si="193"/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 s="2">
        <f t="shared" si="194"/>
        <v>0</v>
      </c>
      <c r="W1281">
        <v>18.3</v>
      </c>
      <c r="X1281" s="2">
        <f t="shared" si="195"/>
        <v>1</v>
      </c>
      <c r="Y1281">
        <v>311.3</v>
      </c>
      <c r="Z1281" s="2" t="str">
        <f>CHOOSE(MATCH(Y1281,{0;11;80;111;161;191;241;281;341},1),"North","NorthEast","East","SouthEast","South","SouthWest","West","NorthWest","North")</f>
        <v>NorthWest</v>
      </c>
      <c r="AA1281" s="4">
        <f>CHOOSE(MATCH(Z1281,{"South";"SouthEast";"SouthWest";"North";"NorthEast";"East";"West";"NorthWest"},0),1,2,3,4,5,6,7,8)</f>
        <v>8</v>
      </c>
      <c r="AB1281" s="2">
        <f t="shared" si="196"/>
        <v>1</v>
      </c>
      <c r="AC1281">
        <v>1010.2</v>
      </c>
      <c r="AD1281" t="s">
        <v>1757</v>
      </c>
      <c r="AE1281" s="2">
        <f t="shared" si="197"/>
        <v>1</v>
      </c>
      <c r="AF1281" t="s">
        <v>1876</v>
      </c>
      <c r="AG1281" s="2">
        <f t="shared" si="198"/>
        <v>9</v>
      </c>
      <c r="AH1281" s="2">
        <f t="shared" si="199"/>
        <v>0</v>
      </c>
      <c r="AI1281" s="3">
        <v>60.999999999767169</v>
      </c>
      <c r="AJ1281" s="2">
        <v>0</v>
      </c>
      <c r="AK1281">
        <v>0</v>
      </c>
      <c r="AL1281">
        <v>0.1</v>
      </c>
      <c r="AM1281">
        <v>0</v>
      </c>
      <c r="AN1281" s="2">
        <f>IF((2*G1281+M1281-O1281+3*V1281+2*AB1281+2*AE1281+2*AH1281+3*AJ1281)&gt;=7,1,0)</f>
        <v>0</v>
      </c>
    </row>
    <row r="1282" spans="1:40" x14ac:dyDescent="0.25">
      <c r="A1282" t="s">
        <v>27</v>
      </c>
      <c r="B1282" s="1">
        <v>40792</v>
      </c>
      <c r="C1282" s="6">
        <f t="shared" si="190"/>
        <v>2011</v>
      </c>
      <c r="D1282">
        <v>84.2</v>
      </c>
      <c r="E1282">
        <v>68</v>
      </c>
      <c r="F1282">
        <v>77.599999999999994</v>
      </c>
      <c r="G1282" s="2">
        <f t="shared" si="191"/>
        <v>1</v>
      </c>
      <c r="H1282">
        <v>87.4</v>
      </c>
      <c r="I1282">
        <v>68</v>
      </c>
      <c r="J1282">
        <v>78.400000000000006</v>
      </c>
      <c r="K1282">
        <v>64.2</v>
      </c>
      <c r="L1282">
        <v>64.099999999999994</v>
      </c>
      <c r="M1282" s="2">
        <f t="shared" si="192"/>
        <v>1</v>
      </c>
      <c r="N1282">
        <v>0</v>
      </c>
      <c r="O1282" s="2">
        <f t="shared" si="193"/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25.3</v>
      </c>
      <c r="V1282" s="2">
        <f t="shared" si="194"/>
        <v>1</v>
      </c>
      <c r="W1282">
        <v>20.8</v>
      </c>
      <c r="X1282" s="2">
        <f t="shared" si="195"/>
        <v>1</v>
      </c>
      <c r="Y1282">
        <v>309.8</v>
      </c>
      <c r="Z1282" s="2" t="str">
        <f>CHOOSE(MATCH(Y1282,{0;11;80;111;161;191;241;281;341},1),"North","NorthEast","East","SouthEast","South","SouthWest","West","NorthWest","North")</f>
        <v>NorthWest</v>
      </c>
      <c r="AA1282" s="4">
        <f>CHOOSE(MATCH(Z1282,{"South";"SouthEast";"SouthWest";"North";"NorthEast";"East";"West";"NorthWest"},0),1,2,3,4,5,6,7,8)</f>
        <v>8</v>
      </c>
      <c r="AB1282" s="2">
        <f t="shared" si="196"/>
        <v>1</v>
      </c>
      <c r="AC1282">
        <v>1013.5</v>
      </c>
      <c r="AD1282" t="s">
        <v>1877</v>
      </c>
      <c r="AE1282" s="2">
        <f t="shared" si="197"/>
        <v>0</v>
      </c>
      <c r="AF1282" t="s">
        <v>1878</v>
      </c>
      <c r="AG1282" s="2">
        <f t="shared" si="198"/>
        <v>9</v>
      </c>
      <c r="AH1282" s="2">
        <f t="shared" si="199"/>
        <v>0</v>
      </c>
      <c r="AI1282" s="3">
        <v>59.99999999650754</v>
      </c>
      <c r="AJ1282" s="2">
        <v>0</v>
      </c>
      <c r="AK1282">
        <v>0</v>
      </c>
      <c r="AL1282">
        <v>0.2</v>
      </c>
      <c r="AM1282">
        <v>0</v>
      </c>
      <c r="AN1282" s="2">
        <f>IF((2*G1282+M1282-O1282+3*V1282+2*AB1282+2*AE1282+2*AH1282+3*AJ1282)&gt;=7,1,0)</f>
        <v>1</v>
      </c>
    </row>
    <row r="1283" spans="1:40" x14ac:dyDescent="0.25">
      <c r="A1283" t="s">
        <v>27</v>
      </c>
      <c r="B1283" s="1">
        <v>40793</v>
      </c>
      <c r="C1283" s="6">
        <f t="shared" ref="C1283:C1346" si="200">YEAR(B1283)</f>
        <v>2011</v>
      </c>
      <c r="D1283">
        <v>82.4</v>
      </c>
      <c r="E1283">
        <v>73.400000000000006</v>
      </c>
      <c r="F1283">
        <v>78.3</v>
      </c>
      <c r="G1283" s="2">
        <f t="shared" ref="G1283:G1346" si="201">IF(F1283&lt;=70,0,1)</f>
        <v>1</v>
      </c>
      <c r="H1283">
        <v>84</v>
      </c>
      <c r="I1283">
        <v>73.400000000000006</v>
      </c>
      <c r="J1283">
        <v>79</v>
      </c>
      <c r="K1283">
        <v>66.3</v>
      </c>
      <c r="L1283">
        <v>67</v>
      </c>
      <c r="M1283" s="2">
        <f t="shared" ref="M1283:M1346" si="202">IF(L1283&lt;=66,1,0)</f>
        <v>0</v>
      </c>
      <c r="N1283">
        <v>0</v>
      </c>
      <c r="O1283" s="2">
        <f t="shared" ref="O1283:O1346" si="203">IF(N1283&lt;=0.01,1,0)</f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 s="2">
        <f t="shared" ref="V1283:V1346" si="204">IF(U1283&lt;=9,0,1)</f>
        <v>0</v>
      </c>
      <c r="W1283">
        <v>23</v>
      </c>
      <c r="X1283" s="2">
        <f t="shared" ref="X1283:X1346" si="205">IF(W1283&gt;=16,1,0)</f>
        <v>1</v>
      </c>
      <c r="Y1283">
        <v>314.10000000000002</v>
      </c>
      <c r="Z1283" s="2" t="str">
        <f>CHOOSE(MATCH(Y1283,{0;11;80;111;161;191;241;281;341},1),"North","NorthEast","East","SouthEast","South","SouthWest","West","NorthWest","North")</f>
        <v>NorthWest</v>
      </c>
      <c r="AA1283" s="4">
        <f>CHOOSE(MATCH(Z1283,{"South";"SouthEast";"SouthWest";"North";"NorthEast";"East";"West";"NorthWest"},0),1,2,3,4,5,6,7,8)</f>
        <v>8</v>
      </c>
      <c r="AB1283" s="2">
        <f t="shared" ref="AB1283:AB1346" si="206">IF(OR(AA1283=4,AA1283=5,AA1283=8),1,0)</f>
        <v>1</v>
      </c>
      <c r="AC1283">
        <v>1009.7</v>
      </c>
      <c r="AD1283" t="s">
        <v>1879</v>
      </c>
      <c r="AE1283" s="2">
        <f t="shared" ref="AE1283:AE1346" si="207">IF(TIMEVALUE(AD1283)&lt;=TIME(12,30,0),0,1)</f>
        <v>1</v>
      </c>
      <c r="AF1283" t="s">
        <v>1880</v>
      </c>
      <c r="AG1283" s="2">
        <f t="shared" ref="AG1283:AG1346" si="208">MONTH(AF1283)</f>
        <v>9</v>
      </c>
      <c r="AH1283" s="2">
        <f t="shared" ref="AH1283:AH1346" si="209">IF(OR(AG1283=6,AG1283=7,AG1283=8),1,0)</f>
        <v>0</v>
      </c>
      <c r="AI1283" s="3">
        <v>180</v>
      </c>
      <c r="AJ1283" s="2">
        <v>0</v>
      </c>
      <c r="AK1283">
        <v>0</v>
      </c>
      <c r="AL1283">
        <v>1</v>
      </c>
      <c r="AM1283">
        <v>0</v>
      </c>
      <c r="AN1283" s="2">
        <f>IF((2*G1283+M1283-O1283+3*V1283+2*AB1283+2*AE1283+2*AH1283+3*AJ1283)&gt;=7,1,0)</f>
        <v>0</v>
      </c>
    </row>
    <row r="1284" spans="1:40" x14ac:dyDescent="0.25">
      <c r="A1284" t="s">
        <v>27</v>
      </c>
      <c r="B1284" s="1">
        <v>40793</v>
      </c>
      <c r="C1284" s="6">
        <f t="shared" si="200"/>
        <v>2011</v>
      </c>
      <c r="D1284">
        <v>82.4</v>
      </c>
      <c r="E1284">
        <v>73.400000000000006</v>
      </c>
      <c r="F1284">
        <v>78.3</v>
      </c>
      <c r="G1284" s="2">
        <f t="shared" si="201"/>
        <v>1</v>
      </c>
      <c r="H1284">
        <v>84</v>
      </c>
      <c r="I1284">
        <v>73.400000000000006</v>
      </c>
      <c r="J1284">
        <v>79</v>
      </c>
      <c r="K1284">
        <v>66.3</v>
      </c>
      <c r="L1284">
        <v>67</v>
      </c>
      <c r="M1284" s="2">
        <f t="shared" si="202"/>
        <v>0</v>
      </c>
      <c r="N1284">
        <v>0</v>
      </c>
      <c r="O1284" s="2">
        <f t="shared" si="203"/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 s="2">
        <f t="shared" si="204"/>
        <v>0</v>
      </c>
      <c r="W1284">
        <v>23</v>
      </c>
      <c r="X1284" s="2">
        <f t="shared" si="205"/>
        <v>1</v>
      </c>
      <c r="Y1284">
        <v>314.10000000000002</v>
      </c>
      <c r="Z1284" s="2" t="str">
        <f>CHOOSE(MATCH(Y1284,{0;11;80;111;161;191;241;281;341},1),"North","NorthEast","East","SouthEast","South","SouthWest","West","NorthWest","North")</f>
        <v>NorthWest</v>
      </c>
      <c r="AA1284" s="4">
        <f>CHOOSE(MATCH(Z1284,{"South";"SouthEast";"SouthWest";"North";"NorthEast";"East";"West";"NorthWest"},0),1,2,3,4,5,6,7,8)</f>
        <v>8</v>
      </c>
      <c r="AB1284" s="2">
        <f t="shared" si="206"/>
        <v>1</v>
      </c>
      <c r="AC1284">
        <v>1009.7</v>
      </c>
      <c r="AD1284" t="s">
        <v>1881</v>
      </c>
      <c r="AE1284" s="2">
        <f t="shared" si="207"/>
        <v>1</v>
      </c>
      <c r="AF1284" t="s">
        <v>1882</v>
      </c>
      <c r="AG1284" s="2">
        <f t="shared" si="208"/>
        <v>9</v>
      </c>
      <c r="AH1284" s="2">
        <f t="shared" si="209"/>
        <v>0</v>
      </c>
      <c r="AI1284" s="3">
        <v>1671.999999991385</v>
      </c>
      <c r="AJ1284" s="2">
        <v>1</v>
      </c>
      <c r="AK1284">
        <v>10</v>
      </c>
      <c r="AL1284">
        <v>0</v>
      </c>
      <c r="AM1284">
        <v>0</v>
      </c>
      <c r="AN1284" s="2">
        <f>IF((2*G1284+M1284-O1284+3*V1284+2*AB1284+2*AE1284+2*AH1284+3*AJ1284)&gt;=7,1,0)</f>
        <v>1</v>
      </c>
    </row>
    <row r="1285" spans="1:40" x14ac:dyDescent="0.25">
      <c r="A1285" t="s">
        <v>27</v>
      </c>
      <c r="B1285" s="1">
        <v>40796</v>
      </c>
      <c r="C1285" s="6">
        <f t="shared" si="200"/>
        <v>2011</v>
      </c>
      <c r="D1285">
        <v>82.4</v>
      </c>
      <c r="E1285">
        <v>69.8</v>
      </c>
      <c r="F1285">
        <v>77</v>
      </c>
      <c r="G1285" s="2">
        <f t="shared" si="201"/>
        <v>1</v>
      </c>
      <c r="H1285">
        <v>89.5</v>
      </c>
      <c r="I1285">
        <v>69.8</v>
      </c>
      <c r="J1285">
        <v>79</v>
      </c>
      <c r="K1285">
        <v>68.5</v>
      </c>
      <c r="L1285">
        <v>75.400000000000006</v>
      </c>
      <c r="M1285" s="2">
        <f t="shared" si="202"/>
        <v>0</v>
      </c>
      <c r="N1285">
        <v>0</v>
      </c>
      <c r="O1285" s="2">
        <f t="shared" si="203"/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 s="2">
        <f t="shared" si="204"/>
        <v>0</v>
      </c>
      <c r="W1285">
        <v>15</v>
      </c>
      <c r="X1285" s="2">
        <f t="shared" si="205"/>
        <v>0</v>
      </c>
      <c r="Y1285">
        <v>305</v>
      </c>
      <c r="Z1285" s="2" t="str">
        <f>CHOOSE(MATCH(Y1285,{0;11;80;111;161;191;241;281;341},1),"North","NorthEast","East","SouthEast","South","SouthWest","West","NorthWest","North")</f>
        <v>NorthWest</v>
      </c>
      <c r="AA1285" s="4">
        <f>CHOOSE(MATCH(Z1285,{"South";"SouthEast";"SouthWest";"North";"NorthEast";"East";"West";"NorthWest"},0),1,2,3,4,5,6,7,8)</f>
        <v>8</v>
      </c>
      <c r="AB1285" s="2">
        <f t="shared" si="206"/>
        <v>1</v>
      </c>
      <c r="AC1285">
        <v>1013.4</v>
      </c>
      <c r="AD1285" t="s">
        <v>1203</v>
      </c>
      <c r="AE1285" s="2">
        <f t="shared" si="207"/>
        <v>1</v>
      </c>
      <c r="AF1285" t="s">
        <v>1883</v>
      </c>
      <c r="AG1285" s="2">
        <f t="shared" si="208"/>
        <v>9</v>
      </c>
      <c r="AH1285" s="2">
        <f t="shared" si="209"/>
        <v>0</v>
      </c>
      <c r="AI1285" s="3">
        <v>3009.9999999941788</v>
      </c>
      <c r="AJ1285" s="2">
        <v>1</v>
      </c>
      <c r="AK1285">
        <v>0</v>
      </c>
      <c r="AL1285">
        <v>50</v>
      </c>
      <c r="AM1285">
        <v>0</v>
      </c>
      <c r="AN1285" s="2">
        <f>IF((2*G1285+M1285-O1285+3*V1285+2*AB1285+2*AE1285+2*AH1285+3*AJ1285)&gt;=7,1,0)</f>
        <v>1</v>
      </c>
    </row>
    <row r="1286" spans="1:40" x14ac:dyDescent="0.25">
      <c r="A1286" t="s">
        <v>27</v>
      </c>
      <c r="B1286" s="1">
        <v>40796</v>
      </c>
      <c r="C1286" s="6">
        <f t="shared" si="200"/>
        <v>2011</v>
      </c>
      <c r="D1286">
        <v>82.4</v>
      </c>
      <c r="E1286">
        <v>69.8</v>
      </c>
      <c r="F1286">
        <v>77</v>
      </c>
      <c r="G1286" s="2">
        <f t="shared" si="201"/>
        <v>1</v>
      </c>
      <c r="H1286">
        <v>89.5</v>
      </c>
      <c r="I1286">
        <v>69.8</v>
      </c>
      <c r="J1286">
        <v>79</v>
      </c>
      <c r="K1286">
        <v>68.5</v>
      </c>
      <c r="L1286">
        <v>75.400000000000006</v>
      </c>
      <c r="M1286" s="2">
        <f t="shared" si="202"/>
        <v>0</v>
      </c>
      <c r="N1286">
        <v>0</v>
      </c>
      <c r="O1286" s="2">
        <f t="shared" si="203"/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 s="2">
        <f t="shared" si="204"/>
        <v>0</v>
      </c>
      <c r="W1286">
        <v>15</v>
      </c>
      <c r="X1286" s="2">
        <f t="shared" si="205"/>
        <v>0</v>
      </c>
      <c r="Y1286">
        <v>305</v>
      </c>
      <c r="Z1286" s="2" t="str">
        <f>CHOOSE(MATCH(Y1286,{0;11;80;111;161;191;241;281;341},1),"North","NorthEast","East","SouthEast","South","SouthWest","West","NorthWest","North")</f>
        <v>NorthWest</v>
      </c>
      <c r="AA1286" s="4">
        <f>CHOOSE(MATCH(Z1286,{"South";"SouthEast";"SouthWest";"North";"NorthEast";"East";"West";"NorthWest"},0),1,2,3,4,5,6,7,8)</f>
        <v>8</v>
      </c>
      <c r="AB1286" s="2">
        <f t="shared" si="206"/>
        <v>1</v>
      </c>
      <c r="AC1286">
        <v>1013.4</v>
      </c>
      <c r="AD1286" t="s">
        <v>1195</v>
      </c>
      <c r="AE1286" s="2">
        <f t="shared" si="207"/>
        <v>1</v>
      </c>
      <c r="AF1286" t="s">
        <v>1884</v>
      </c>
      <c r="AG1286" s="2">
        <f t="shared" si="208"/>
        <v>9</v>
      </c>
      <c r="AH1286" s="2">
        <f t="shared" si="209"/>
        <v>0</v>
      </c>
      <c r="AI1286" s="3">
        <v>1924.9999999988361</v>
      </c>
      <c r="AJ1286" s="2">
        <v>1</v>
      </c>
      <c r="AK1286">
        <v>0</v>
      </c>
      <c r="AL1286">
        <v>20</v>
      </c>
      <c r="AM1286">
        <v>0</v>
      </c>
      <c r="AN1286" s="2">
        <f>IF((2*G1286+M1286-O1286+3*V1286+2*AB1286+2*AE1286+2*AH1286+3*AJ1286)&gt;=7,1,0)</f>
        <v>1</v>
      </c>
    </row>
    <row r="1287" spans="1:40" x14ac:dyDescent="0.25">
      <c r="A1287" t="s">
        <v>27</v>
      </c>
      <c r="B1287" s="1">
        <v>40796</v>
      </c>
      <c r="C1287" s="6">
        <f t="shared" si="200"/>
        <v>2011</v>
      </c>
      <c r="D1287">
        <v>82.4</v>
      </c>
      <c r="E1287">
        <v>69.8</v>
      </c>
      <c r="F1287">
        <v>77</v>
      </c>
      <c r="G1287" s="2">
        <f t="shared" si="201"/>
        <v>1</v>
      </c>
      <c r="H1287">
        <v>89.5</v>
      </c>
      <c r="I1287">
        <v>69.8</v>
      </c>
      <c r="J1287">
        <v>79</v>
      </c>
      <c r="K1287">
        <v>68.5</v>
      </c>
      <c r="L1287">
        <v>75.400000000000006</v>
      </c>
      <c r="M1287" s="2">
        <f t="shared" si="202"/>
        <v>0</v>
      </c>
      <c r="N1287">
        <v>0</v>
      </c>
      <c r="O1287" s="2">
        <f t="shared" si="203"/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 s="2">
        <f t="shared" si="204"/>
        <v>0</v>
      </c>
      <c r="W1287">
        <v>15</v>
      </c>
      <c r="X1287" s="2">
        <f t="shared" si="205"/>
        <v>0</v>
      </c>
      <c r="Y1287">
        <v>305</v>
      </c>
      <c r="Z1287" s="2" t="str">
        <f>CHOOSE(MATCH(Y1287,{0;11;80;111;161;191;241;281;341},1),"North","NorthEast","East","SouthEast","South","SouthWest","West","NorthWest","North")</f>
        <v>NorthWest</v>
      </c>
      <c r="AA1287" s="4">
        <f>CHOOSE(MATCH(Z1287,{"South";"SouthEast";"SouthWest";"North";"NorthEast";"East";"West";"NorthWest"},0),1,2,3,4,5,6,7,8)</f>
        <v>8</v>
      </c>
      <c r="AB1287" s="2">
        <f t="shared" si="206"/>
        <v>1</v>
      </c>
      <c r="AC1287">
        <v>1013.4</v>
      </c>
      <c r="AD1287" t="s">
        <v>1885</v>
      </c>
      <c r="AE1287" s="2">
        <f t="shared" si="207"/>
        <v>1</v>
      </c>
      <c r="AF1287" t="s">
        <v>1886</v>
      </c>
      <c r="AG1287" s="2">
        <f t="shared" si="208"/>
        <v>9</v>
      </c>
      <c r="AH1287" s="2">
        <f t="shared" si="209"/>
        <v>0</v>
      </c>
      <c r="AI1287" s="3">
        <v>2800.0000000011642</v>
      </c>
      <c r="AJ1287" s="2">
        <v>1</v>
      </c>
      <c r="AK1287">
        <v>0</v>
      </c>
      <c r="AL1287">
        <v>15</v>
      </c>
      <c r="AM1287">
        <v>0</v>
      </c>
      <c r="AN1287" s="2">
        <f>IF((2*G1287+M1287-O1287+3*V1287+2*AB1287+2*AE1287+2*AH1287+3*AJ1287)&gt;=7,1,0)</f>
        <v>1</v>
      </c>
    </row>
    <row r="1288" spans="1:40" x14ac:dyDescent="0.25">
      <c r="A1288" t="s">
        <v>27</v>
      </c>
      <c r="B1288" s="1">
        <v>40797</v>
      </c>
      <c r="C1288" s="6">
        <f t="shared" si="200"/>
        <v>2011</v>
      </c>
      <c r="D1288">
        <v>82.4</v>
      </c>
      <c r="E1288">
        <v>75.2</v>
      </c>
      <c r="F1288">
        <v>78.400000000000006</v>
      </c>
      <c r="G1288" s="2">
        <f t="shared" si="201"/>
        <v>1</v>
      </c>
      <c r="H1288">
        <v>86.2</v>
      </c>
      <c r="I1288">
        <v>75.2</v>
      </c>
      <c r="J1288">
        <v>79.3</v>
      </c>
      <c r="K1288">
        <v>67.7</v>
      </c>
      <c r="L1288">
        <v>70.3</v>
      </c>
      <c r="M1288" s="2">
        <f t="shared" si="202"/>
        <v>0</v>
      </c>
      <c r="N1288">
        <v>0</v>
      </c>
      <c r="O1288" s="2">
        <f t="shared" si="203"/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 s="2">
        <f t="shared" si="204"/>
        <v>0</v>
      </c>
      <c r="W1288">
        <v>20.8</v>
      </c>
      <c r="X1288" s="2">
        <f t="shared" si="205"/>
        <v>1</v>
      </c>
      <c r="Y1288">
        <v>313.10000000000002</v>
      </c>
      <c r="Z1288" s="2" t="str">
        <f>CHOOSE(MATCH(Y1288,{0;11;80;111;161;191;241;281;341},1),"North","NorthEast","East","SouthEast","South","SouthWest","West","NorthWest","North")</f>
        <v>NorthWest</v>
      </c>
      <c r="AA1288" s="4">
        <f>CHOOSE(MATCH(Z1288,{"South";"SouthEast";"SouthWest";"North";"NorthEast";"East";"West";"NorthWest"},0),1,2,3,4,5,6,7,8)</f>
        <v>8</v>
      </c>
      <c r="AB1288" s="2">
        <f t="shared" si="206"/>
        <v>1</v>
      </c>
      <c r="AC1288">
        <v>1014.4</v>
      </c>
      <c r="AD1288" t="s">
        <v>1887</v>
      </c>
      <c r="AE1288" s="2">
        <f t="shared" si="207"/>
        <v>1</v>
      </c>
      <c r="AF1288" t="s">
        <v>1888</v>
      </c>
      <c r="AG1288" s="2">
        <f t="shared" si="208"/>
        <v>9</v>
      </c>
      <c r="AH1288" s="2">
        <f t="shared" si="209"/>
        <v>0</v>
      </c>
      <c r="AI1288" s="3">
        <v>2264.999999996508</v>
      </c>
      <c r="AJ1288" s="2">
        <v>1</v>
      </c>
      <c r="AK1288">
        <v>0</v>
      </c>
      <c r="AL1288">
        <v>3</v>
      </c>
      <c r="AM1288">
        <v>0</v>
      </c>
      <c r="AN1288" s="2">
        <f>IF((2*G1288+M1288-O1288+3*V1288+2*AB1288+2*AE1288+2*AH1288+3*AJ1288)&gt;=7,1,0)</f>
        <v>1</v>
      </c>
    </row>
    <row r="1289" spans="1:40" x14ac:dyDescent="0.25">
      <c r="A1289" t="s">
        <v>27</v>
      </c>
      <c r="B1289" s="1">
        <v>40797</v>
      </c>
      <c r="C1289" s="6">
        <f t="shared" si="200"/>
        <v>2011</v>
      </c>
      <c r="D1289">
        <v>82.4</v>
      </c>
      <c r="E1289">
        <v>75.2</v>
      </c>
      <c r="F1289">
        <v>78.400000000000006</v>
      </c>
      <c r="G1289" s="2">
        <f t="shared" si="201"/>
        <v>1</v>
      </c>
      <c r="H1289">
        <v>86.2</v>
      </c>
      <c r="I1289">
        <v>75.2</v>
      </c>
      <c r="J1289">
        <v>79.3</v>
      </c>
      <c r="K1289">
        <v>67.7</v>
      </c>
      <c r="L1289">
        <v>70.3</v>
      </c>
      <c r="M1289" s="2">
        <f t="shared" si="202"/>
        <v>0</v>
      </c>
      <c r="N1289">
        <v>0</v>
      </c>
      <c r="O1289" s="2">
        <f t="shared" si="203"/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 s="2">
        <f t="shared" si="204"/>
        <v>0</v>
      </c>
      <c r="W1289">
        <v>20.8</v>
      </c>
      <c r="X1289" s="2">
        <f t="shared" si="205"/>
        <v>1</v>
      </c>
      <c r="Y1289">
        <v>313.10000000000002</v>
      </c>
      <c r="Z1289" s="2" t="str">
        <f>CHOOSE(MATCH(Y1289,{0;11;80;111;161;191;241;281;341},1),"North","NorthEast","East","SouthEast","South","SouthWest","West","NorthWest","North")</f>
        <v>NorthWest</v>
      </c>
      <c r="AA1289" s="4">
        <f>CHOOSE(MATCH(Z1289,{"South";"SouthEast";"SouthWest";"North";"NorthEast";"East";"West";"NorthWest"},0),1,2,3,4,5,6,7,8)</f>
        <v>8</v>
      </c>
      <c r="AB1289" s="2">
        <f t="shared" si="206"/>
        <v>1</v>
      </c>
      <c r="AC1289">
        <v>1014.4</v>
      </c>
      <c r="AD1289" t="s">
        <v>1089</v>
      </c>
      <c r="AE1289" s="2">
        <f t="shared" si="207"/>
        <v>1</v>
      </c>
      <c r="AF1289" t="s">
        <v>1889</v>
      </c>
      <c r="AG1289" s="2">
        <f t="shared" si="208"/>
        <v>9</v>
      </c>
      <c r="AH1289" s="2">
        <f t="shared" si="209"/>
        <v>0</v>
      </c>
      <c r="AI1289" s="3">
        <v>334.99999999185093</v>
      </c>
      <c r="AJ1289" s="2">
        <v>0</v>
      </c>
      <c r="AK1289">
        <v>0</v>
      </c>
      <c r="AL1289">
        <v>3</v>
      </c>
      <c r="AM1289">
        <v>0</v>
      </c>
      <c r="AN1289" s="2">
        <f>IF((2*G1289+M1289-O1289+3*V1289+2*AB1289+2*AE1289+2*AH1289+3*AJ1289)&gt;=7,1,0)</f>
        <v>0</v>
      </c>
    </row>
    <row r="1290" spans="1:40" x14ac:dyDescent="0.25">
      <c r="A1290" t="s">
        <v>27</v>
      </c>
      <c r="B1290" s="1">
        <v>40801</v>
      </c>
      <c r="C1290" s="6">
        <f t="shared" si="200"/>
        <v>2011</v>
      </c>
      <c r="D1290">
        <v>86</v>
      </c>
      <c r="E1290">
        <v>66.2</v>
      </c>
      <c r="F1290">
        <v>75.400000000000006</v>
      </c>
      <c r="G1290" s="2">
        <f t="shared" si="201"/>
        <v>1</v>
      </c>
      <c r="H1290">
        <v>88.4</v>
      </c>
      <c r="I1290">
        <v>66.2</v>
      </c>
      <c r="J1290">
        <v>76.3</v>
      </c>
      <c r="K1290">
        <v>64</v>
      </c>
      <c r="L1290">
        <v>68.599999999999994</v>
      </c>
      <c r="M1290" s="2">
        <f t="shared" si="202"/>
        <v>0</v>
      </c>
      <c r="N1290">
        <v>0</v>
      </c>
      <c r="O1290" s="2">
        <f t="shared" si="203"/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 s="2">
        <f t="shared" si="204"/>
        <v>0</v>
      </c>
      <c r="W1290">
        <v>16.100000000000001</v>
      </c>
      <c r="X1290" s="2">
        <f t="shared" si="205"/>
        <v>1</v>
      </c>
      <c r="Y1290">
        <v>307.60000000000002</v>
      </c>
      <c r="Z1290" s="2" t="str">
        <f>CHOOSE(MATCH(Y1290,{0;11;80;111;161;191;241;281;341},1),"North","NorthEast","East","SouthEast","South","SouthWest","West","NorthWest","North")</f>
        <v>NorthWest</v>
      </c>
      <c r="AA1290" s="4">
        <f>CHOOSE(MATCH(Z1290,{"South";"SouthEast";"SouthWest";"North";"NorthEast";"East";"West";"NorthWest"},0),1,2,3,4,5,6,7,8)</f>
        <v>8</v>
      </c>
      <c r="AB1290" s="2">
        <f t="shared" si="206"/>
        <v>1</v>
      </c>
      <c r="AC1290">
        <v>1011.1</v>
      </c>
      <c r="AD1290" t="s">
        <v>1890</v>
      </c>
      <c r="AE1290" s="2">
        <f t="shared" si="207"/>
        <v>1</v>
      </c>
      <c r="AF1290" t="s">
        <v>1891</v>
      </c>
      <c r="AG1290" s="2">
        <f t="shared" si="208"/>
        <v>9</v>
      </c>
      <c r="AH1290" s="2">
        <f t="shared" si="209"/>
        <v>0</v>
      </c>
      <c r="AI1290" s="3">
        <v>1634.999999996508</v>
      </c>
      <c r="AJ1290" s="2">
        <v>1</v>
      </c>
      <c r="AK1290">
        <v>0</v>
      </c>
      <c r="AL1290">
        <v>5</v>
      </c>
      <c r="AM1290">
        <v>0</v>
      </c>
      <c r="AN1290" s="2">
        <f>IF((2*G1290+M1290-O1290+3*V1290+2*AB1290+2*AE1290+2*AH1290+3*AJ1290)&gt;=7,1,0)</f>
        <v>1</v>
      </c>
    </row>
    <row r="1291" spans="1:40" x14ac:dyDescent="0.25">
      <c r="A1291" t="s">
        <v>27</v>
      </c>
      <c r="B1291" s="1">
        <v>40802</v>
      </c>
      <c r="C1291" s="6">
        <f t="shared" si="200"/>
        <v>2011</v>
      </c>
      <c r="D1291">
        <v>82.4</v>
      </c>
      <c r="E1291">
        <v>66.3</v>
      </c>
      <c r="F1291">
        <v>75.599999999999994</v>
      </c>
      <c r="G1291" s="2">
        <f t="shared" si="201"/>
        <v>1</v>
      </c>
      <c r="H1291">
        <v>87.2</v>
      </c>
      <c r="I1291">
        <v>66.3</v>
      </c>
      <c r="J1291">
        <v>76.8</v>
      </c>
      <c r="K1291">
        <v>61.7</v>
      </c>
      <c r="L1291">
        <v>63.2</v>
      </c>
      <c r="M1291" s="2">
        <f t="shared" si="202"/>
        <v>1</v>
      </c>
      <c r="N1291">
        <v>0</v>
      </c>
      <c r="O1291" s="2">
        <f t="shared" si="203"/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 s="2">
        <f t="shared" si="204"/>
        <v>0</v>
      </c>
      <c r="W1291">
        <v>23</v>
      </c>
      <c r="X1291" s="2">
        <f t="shared" si="205"/>
        <v>1</v>
      </c>
      <c r="Y1291">
        <v>320</v>
      </c>
      <c r="Z1291" s="2" t="str">
        <f>CHOOSE(MATCH(Y1291,{0;11;80;111;161;191;241;281;341},1),"North","NorthEast","East","SouthEast","South","SouthWest","West","NorthWest","North")</f>
        <v>NorthWest</v>
      </c>
      <c r="AA1291" s="4">
        <f>CHOOSE(MATCH(Z1291,{"South";"SouthEast";"SouthWest";"North";"NorthEast";"East";"West";"NorthWest"},0),1,2,3,4,5,6,7,8)</f>
        <v>8</v>
      </c>
      <c r="AB1291" s="2">
        <f t="shared" si="206"/>
        <v>1</v>
      </c>
      <c r="AC1291">
        <v>1010.6</v>
      </c>
      <c r="AD1291" t="s">
        <v>1135</v>
      </c>
      <c r="AE1291" s="2">
        <f t="shared" si="207"/>
        <v>1</v>
      </c>
      <c r="AF1291" t="s">
        <v>1892</v>
      </c>
      <c r="AG1291" s="2">
        <f t="shared" si="208"/>
        <v>9</v>
      </c>
      <c r="AH1291" s="2">
        <f t="shared" si="209"/>
        <v>0</v>
      </c>
      <c r="AI1291" s="3">
        <v>495</v>
      </c>
      <c r="AJ1291" s="2">
        <v>1</v>
      </c>
      <c r="AK1291">
        <v>0</v>
      </c>
      <c r="AL1291">
        <v>40</v>
      </c>
      <c r="AM1291">
        <v>0</v>
      </c>
      <c r="AN1291" s="2">
        <f>IF((2*G1291+M1291-O1291+3*V1291+2*AB1291+2*AE1291+2*AH1291+3*AJ1291)&gt;=7,1,0)</f>
        <v>1</v>
      </c>
    </row>
    <row r="1292" spans="1:40" x14ac:dyDescent="0.25">
      <c r="A1292" t="s">
        <v>27</v>
      </c>
      <c r="B1292" s="1">
        <v>40804</v>
      </c>
      <c r="C1292" s="6">
        <f t="shared" si="200"/>
        <v>2011</v>
      </c>
      <c r="D1292">
        <v>82.4</v>
      </c>
      <c r="E1292">
        <v>68</v>
      </c>
      <c r="F1292">
        <v>75.599999999999994</v>
      </c>
      <c r="G1292" s="2">
        <f t="shared" si="201"/>
        <v>1</v>
      </c>
      <c r="H1292">
        <v>86.2</v>
      </c>
      <c r="I1292">
        <v>68</v>
      </c>
      <c r="J1292">
        <v>76.900000000000006</v>
      </c>
      <c r="K1292">
        <v>67.3</v>
      </c>
      <c r="L1292">
        <v>76</v>
      </c>
      <c r="M1292" s="2">
        <f t="shared" si="202"/>
        <v>0</v>
      </c>
      <c r="N1292">
        <v>0</v>
      </c>
      <c r="O1292" s="2">
        <f t="shared" si="203"/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 s="2">
        <f t="shared" si="204"/>
        <v>0</v>
      </c>
      <c r="W1292">
        <v>25.3</v>
      </c>
      <c r="X1292" s="2">
        <f t="shared" si="205"/>
        <v>1</v>
      </c>
      <c r="Y1292">
        <v>306.60000000000002</v>
      </c>
      <c r="Z1292" s="2" t="str">
        <f>CHOOSE(MATCH(Y1292,{0;11;80;111;161;191;241;281;341},1),"North","NorthEast","East","SouthEast","South","SouthWest","West","NorthWest","North")</f>
        <v>NorthWest</v>
      </c>
      <c r="AA1292" s="4">
        <f>CHOOSE(MATCH(Z1292,{"South";"SouthEast";"SouthWest";"North";"NorthEast";"East";"West";"NorthWest"},0),1,2,3,4,5,6,7,8)</f>
        <v>8</v>
      </c>
      <c r="AB1292" s="2">
        <f t="shared" si="206"/>
        <v>1</v>
      </c>
      <c r="AC1292">
        <v>1008.5</v>
      </c>
      <c r="AD1292" t="s">
        <v>1135</v>
      </c>
      <c r="AE1292" s="2">
        <f t="shared" si="207"/>
        <v>1</v>
      </c>
      <c r="AF1292" t="s">
        <v>1893</v>
      </c>
      <c r="AG1292" s="2">
        <f t="shared" si="208"/>
        <v>9</v>
      </c>
      <c r="AH1292" s="2">
        <f t="shared" si="209"/>
        <v>0</v>
      </c>
      <c r="AI1292" s="3">
        <v>1710</v>
      </c>
      <c r="AJ1292" s="2">
        <v>1</v>
      </c>
      <c r="AK1292">
        <v>0</v>
      </c>
      <c r="AL1292">
        <v>0.1</v>
      </c>
      <c r="AM1292">
        <v>0</v>
      </c>
      <c r="AN1292" s="2">
        <f>IF((2*G1292+M1292-O1292+3*V1292+2*AB1292+2*AE1292+2*AH1292+3*AJ1292)&gt;=7,1,0)</f>
        <v>1</v>
      </c>
    </row>
    <row r="1293" spans="1:40" x14ac:dyDescent="0.25">
      <c r="A1293" t="s">
        <v>27</v>
      </c>
      <c r="B1293" s="1">
        <v>40804</v>
      </c>
      <c r="C1293" s="6">
        <f t="shared" si="200"/>
        <v>2011</v>
      </c>
      <c r="D1293">
        <v>82.4</v>
      </c>
      <c r="E1293">
        <v>68</v>
      </c>
      <c r="F1293">
        <v>75.599999999999994</v>
      </c>
      <c r="G1293" s="2">
        <f t="shared" si="201"/>
        <v>1</v>
      </c>
      <c r="H1293">
        <v>86.2</v>
      </c>
      <c r="I1293">
        <v>68</v>
      </c>
      <c r="J1293">
        <v>76.900000000000006</v>
      </c>
      <c r="K1293">
        <v>67.3</v>
      </c>
      <c r="L1293">
        <v>76</v>
      </c>
      <c r="M1293" s="2">
        <f t="shared" si="202"/>
        <v>0</v>
      </c>
      <c r="N1293">
        <v>0</v>
      </c>
      <c r="O1293" s="2">
        <f t="shared" si="203"/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 s="2">
        <f t="shared" si="204"/>
        <v>0</v>
      </c>
      <c r="W1293">
        <v>25.3</v>
      </c>
      <c r="X1293" s="2">
        <f t="shared" si="205"/>
        <v>1</v>
      </c>
      <c r="Y1293">
        <v>306.60000000000002</v>
      </c>
      <c r="Z1293" s="2" t="str">
        <f>CHOOSE(MATCH(Y1293,{0;11;80;111;161;191;241;281;341},1),"North","NorthEast","East","SouthEast","South","SouthWest","West","NorthWest","North")</f>
        <v>NorthWest</v>
      </c>
      <c r="AA1293" s="4">
        <f>CHOOSE(MATCH(Z1293,{"South";"SouthEast";"SouthWest";"North";"NorthEast";"East";"West";"NorthWest"},0),1,2,3,4,5,6,7,8)</f>
        <v>8</v>
      </c>
      <c r="AB1293" s="2">
        <f t="shared" si="206"/>
        <v>1</v>
      </c>
      <c r="AC1293">
        <v>1008.5</v>
      </c>
      <c r="AD1293" t="s">
        <v>1247</v>
      </c>
      <c r="AE1293" s="2">
        <f t="shared" si="207"/>
        <v>0</v>
      </c>
      <c r="AF1293" t="s">
        <v>1894</v>
      </c>
      <c r="AG1293" s="2">
        <f t="shared" si="208"/>
        <v>9</v>
      </c>
      <c r="AH1293" s="2">
        <f t="shared" si="209"/>
        <v>0</v>
      </c>
      <c r="AI1293" s="3">
        <v>149.99999999650751</v>
      </c>
      <c r="AJ1293" s="2">
        <v>0</v>
      </c>
      <c r="AK1293">
        <v>0</v>
      </c>
      <c r="AL1293">
        <v>1</v>
      </c>
      <c r="AM1293">
        <v>0</v>
      </c>
      <c r="AN1293" s="2">
        <f>IF((2*G1293+M1293-O1293+3*V1293+2*AB1293+2*AE1293+2*AH1293+3*AJ1293)&gt;=7,1,0)</f>
        <v>0</v>
      </c>
    </row>
    <row r="1294" spans="1:40" x14ac:dyDescent="0.25">
      <c r="A1294" t="s">
        <v>27</v>
      </c>
      <c r="B1294" s="1">
        <v>40805</v>
      </c>
      <c r="C1294" s="6">
        <f t="shared" si="200"/>
        <v>2011</v>
      </c>
      <c r="D1294">
        <v>84.2</v>
      </c>
      <c r="E1294">
        <v>66.2</v>
      </c>
      <c r="F1294">
        <v>75.400000000000006</v>
      </c>
      <c r="G1294" s="2">
        <f t="shared" si="201"/>
        <v>1</v>
      </c>
      <c r="H1294">
        <v>86.2</v>
      </c>
      <c r="I1294">
        <v>66.2</v>
      </c>
      <c r="J1294">
        <v>76.3</v>
      </c>
      <c r="K1294">
        <v>64.400000000000006</v>
      </c>
      <c r="L1294">
        <v>69.5</v>
      </c>
      <c r="M1294" s="2">
        <f t="shared" si="202"/>
        <v>0</v>
      </c>
      <c r="N1294">
        <v>0</v>
      </c>
      <c r="O1294" s="2">
        <f t="shared" si="203"/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 s="2">
        <f t="shared" si="204"/>
        <v>0</v>
      </c>
      <c r="W1294">
        <v>19.5</v>
      </c>
      <c r="X1294" s="2">
        <f t="shared" si="205"/>
        <v>1</v>
      </c>
      <c r="Y1294">
        <v>297.89999999999998</v>
      </c>
      <c r="Z1294" s="2" t="str">
        <f>CHOOSE(MATCH(Y1294,{0;11;80;111;161;191;241;281;341},1),"North","NorthEast","East","SouthEast","South","SouthWest","West","NorthWest","North")</f>
        <v>NorthWest</v>
      </c>
      <c r="AA1294" s="4">
        <f>CHOOSE(MATCH(Z1294,{"South";"SouthEast";"SouthWest";"North";"NorthEast";"East";"West";"NorthWest"},0),1,2,3,4,5,6,7,8)</f>
        <v>8</v>
      </c>
      <c r="AB1294" s="2">
        <f t="shared" si="206"/>
        <v>1</v>
      </c>
      <c r="AC1294">
        <v>1011.9</v>
      </c>
      <c r="AD1294" t="s">
        <v>1781</v>
      </c>
      <c r="AE1294" s="2">
        <f t="shared" si="207"/>
        <v>1</v>
      </c>
      <c r="AF1294" t="s">
        <v>1895</v>
      </c>
      <c r="AG1294" s="2">
        <f t="shared" si="208"/>
        <v>9</v>
      </c>
      <c r="AH1294" s="2">
        <f t="shared" si="209"/>
        <v>0</v>
      </c>
      <c r="AI1294" s="3">
        <v>374.99999999650748</v>
      </c>
      <c r="AJ1294" s="2">
        <v>1</v>
      </c>
      <c r="AK1294">
        <v>0</v>
      </c>
      <c r="AL1294">
        <v>10</v>
      </c>
      <c r="AM1294">
        <v>0</v>
      </c>
      <c r="AN1294" s="2">
        <f>IF((2*G1294+M1294-O1294+3*V1294+2*AB1294+2*AE1294+2*AH1294+3*AJ1294)&gt;=7,1,0)</f>
        <v>1</v>
      </c>
    </row>
    <row r="1295" spans="1:40" x14ac:dyDescent="0.25">
      <c r="A1295" t="s">
        <v>27</v>
      </c>
      <c r="B1295" s="1">
        <v>40805</v>
      </c>
      <c r="C1295" s="6">
        <f t="shared" si="200"/>
        <v>2011</v>
      </c>
      <c r="D1295">
        <v>84.2</v>
      </c>
      <c r="E1295">
        <v>66.2</v>
      </c>
      <c r="F1295">
        <v>75.400000000000006</v>
      </c>
      <c r="G1295" s="2">
        <f t="shared" si="201"/>
        <v>1</v>
      </c>
      <c r="H1295">
        <v>86.2</v>
      </c>
      <c r="I1295">
        <v>66.2</v>
      </c>
      <c r="J1295">
        <v>76.3</v>
      </c>
      <c r="K1295">
        <v>64.400000000000006</v>
      </c>
      <c r="L1295">
        <v>69.5</v>
      </c>
      <c r="M1295" s="2">
        <f t="shared" si="202"/>
        <v>0</v>
      </c>
      <c r="N1295">
        <v>0</v>
      </c>
      <c r="O1295" s="2">
        <f t="shared" si="203"/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 s="2">
        <f t="shared" si="204"/>
        <v>0</v>
      </c>
      <c r="W1295">
        <v>19.5</v>
      </c>
      <c r="X1295" s="2">
        <f t="shared" si="205"/>
        <v>1</v>
      </c>
      <c r="Y1295">
        <v>297.89999999999998</v>
      </c>
      <c r="Z1295" s="2" t="str">
        <f>CHOOSE(MATCH(Y1295,{0;11;80;111;161;191;241;281;341},1),"North","NorthEast","East","SouthEast","South","SouthWest","West","NorthWest","North")</f>
        <v>NorthWest</v>
      </c>
      <c r="AA1295" s="4">
        <f>CHOOSE(MATCH(Z1295,{"South";"SouthEast";"SouthWest";"North";"NorthEast";"East";"West";"NorthWest"},0),1,2,3,4,5,6,7,8)</f>
        <v>8</v>
      </c>
      <c r="AB1295" s="2">
        <f t="shared" si="206"/>
        <v>1</v>
      </c>
      <c r="AC1295">
        <v>1011.9</v>
      </c>
      <c r="AD1295" t="s">
        <v>1879</v>
      </c>
      <c r="AE1295" s="2">
        <f t="shared" si="207"/>
        <v>1</v>
      </c>
      <c r="AF1295" t="s">
        <v>1896</v>
      </c>
      <c r="AG1295" s="2">
        <f t="shared" si="208"/>
        <v>9</v>
      </c>
      <c r="AH1295" s="2">
        <f t="shared" si="209"/>
        <v>0</v>
      </c>
      <c r="AI1295" s="3">
        <v>1395</v>
      </c>
      <c r="AJ1295" s="2">
        <v>1</v>
      </c>
      <c r="AK1295">
        <v>0</v>
      </c>
      <c r="AL1295">
        <v>60</v>
      </c>
      <c r="AM1295">
        <v>0</v>
      </c>
      <c r="AN1295" s="2">
        <f>IF((2*G1295+M1295-O1295+3*V1295+2*AB1295+2*AE1295+2*AH1295+3*AJ1295)&gt;=7,1,0)</f>
        <v>1</v>
      </c>
    </row>
    <row r="1296" spans="1:40" x14ac:dyDescent="0.25">
      <c r="A1296" t="s">
        <v>27</v>
      </c>
      <c r="B1296" s="1">
        <v>40810</v>
      </c>
      <c r="C1296" s="6">
        <f t="shared" si="200"/>
        <v>2011</v>
      </c>
      <c r="D1296">
        <v>78.8</v>
      </c>
      <c r="E1296">
        <v>67.900000000000006</v>
      </c>
      <c r="F1296">
        <v>75.400000000000006</v>
      </c>
      <c r="G1296" s="2">
        <f t="shared" si="201"/>
        <v>1</v>
      </c>
      <c r="H1296">
        <v>78.8</v>
      </c>
      <c r="I1296">
        <v>67.900000000000006</v>
      </c>
      <c r="J1296">
        <v>75.400000000000006</v>
      </c>
      <c r="K1296">
        <v>61.7</v>
      </c>
      <c r="L1296">
        <v>62.9</v>
      </c>
      <c r="M1296" s="2">
        <f t="shared" si="202"/>
        <v>1</v>
      </c>
      <c r="N1296">
        <v>0</v>
      </c>
      <c r="O1296" s="2">
        <f t="shared" si="203"/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 s="2">
        <f t="shared" si="204"/>
        <v>0</v>
      </c>
      <c r="W1296">
        <v>24.2</v>
      </c>
      <c r="X1296" s="2">
        <f t="shared" si="205"/>
        <v>1</v>
      </c>
      <c r="Y1296">
        <v>316.5</v>
      </c>
      <c r="Z1296" s="2" t="str">
        <f>CHOOSE(MATCH(Y1296,{0;11;80;111;161;191;241;281;341},1),"North","NorthEast","East","SouthEast","South","SouthWest","West","NorthWest","North")</f>
        <v>NorthWest</v>
      </c>
      <c r="AA1296" s="4">
        <f>CHOOSE(MATCH(Z1296,{"South";"SouthEast";"SouthWest";"North";"NorthEast";"East";"West";"NorthWest"},0),1,2,3,4,5,6,7,8)</f>
        <v>8</v>
      </c>
      <c r="AB1296" s="2">
        <f t="shared" si="206"/>
        <v>1</v>
      </c>
      <c r="AC1296">
        <v>1011.7</v>
      </c>
      <c r="AD1296" t="s">
        <v>1897</v>
      </c>
      <c r="AE1296" s="2">
        <f t="shared" si="207"/>
        <v>1</v>
      </c>
      <c r="AF1296" t="s">
        <v>1898</v>
      </c>
      <c r="AG1296" s="2">
        <f t="shared" si="208"/>
        <v>9</v>
      </c>
      <c r="AH1296" s="2">
        <f t="shared" si="209"/>
        <v>0</v>
      </c>
      <c r="AI1296" s="3">
        <v>1509.9999999976719</v>
      </c>
      <c r="AJ1296" s="2">
        <v>1</v>
      </c>
      <c r="AK1296">
        <v>0</v>
      </c>
      <c r="AL1296">
        <v>1.5</v>
      </c>
      <c r="AM1296">
        <v>0</v>
      </c>
      <c r="AN1296" s="2">
        <f>IF((2*G1296+M1296-O1296+3*V1296+2*AB1296+2*AE1296+2*AH1296+3*AJ1296)&gt;=7,1,0)</f>
        <v>1</v>
      </c>
    </row>
    <row r="1297" spans="1:40" x14ac:dyDescent="0.25">
      <c r="A1297" t="s">
        <v>27</v>
      </c>
      <c r="B1297" s="1">
        <v>40810</v>
      </c>
      <c r="C1297" s="6">
        <f t="shared" si="200"/>
        <v>2011</v>
      </c>
      <c r="D1297">
        <v>78.8</v>
      </c>
      <c r="E1297">
        <v>67.900000000000006</v>
      </c>
      <c r="F1297">
        <v>75.400000000000006</v>
      </c>
      <c r="G1297" s="2">
        <f t="shared" si="201"/>
        <v>1</v>
      </c>
      <c r="H1297">
        <v>78.8</v>
      </c>
      <c r="I1297">
        <v>67.900000000000006</v>
      </c>
      <c r="J1297">
        <v>75.400000000000006</v>
      </c>
      <c r="K1297">
        <v>61.7</v>
      </c>
      <c r="L1297">
        <v>62.9</v>
      </c>
      <c r="M1297" s="2">
        <f t="shared" si="202"/>
        <v>1</v>
      </c>
      <c r="N1297">
        <v>0</v>
      </c>
      <c r="O1297" s="2">
        <f t="shared" si="203"/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 s="2">
        <f t="shared" si="204"/>
        <v>0</v>
      </c>
      <c r="W1297">
        <v>24.2</v>
      </c>
      <c r="X1297" s="2">
        <f t="shared" si="205"/>
        <v>1</v>
      </c>
      <c r="Y1297">
        <v>316.5</v>
      </c>
      <c r="Z1297" s="2" t="str">
        <f>CHOOSE(MATCH(Y1297,{0;11;80;111;161;191;241;281;341},1),"North","NorthEast","East","SouthEast","South","SouthWest","West","NorthWest","North")</f>
        <v>NorthWest</v>
      </c>
      <c r="AA1297" s="4">
        <f>CHOOSE(MATCH(Z1297,{"South";"SouthEast";"SouthWest";"North";"NorthEast";"East";"West";"NorthWest"},0),1,2,3,4,5,6,7,8)</f>
        <v>8</v>
      </c>
      <c r="AB1297" s="2">
        <f t="shared" si="206"/>
        <v>1</v>
      </c>
      <c r="AC1297">
        <v>1011.7</v>
      </c>
      <c r="AD1297" t="s">
        <v>1071</v>
      </c>
      <c r="AE1297" s="2">
        <f t="shared" si="207"/>
        <v>0</v>
      </c>
      <c r="AF1297" t="s">
        <v>1899</v>
      </c>
      <c r="AG1297" s="2">
        <f t="shared" si="208"/>
        <v>9</v>
      </c>
      <c r="AH1297" s="2">
        <f t="shared" si="209"/>
        <v>0</v>
      </c>
      <c r="AI1297" s="3">
        <v>329.99999999650748</v>
      </c>
      <c r="AJ1297" s="2">
        <v>0</v>
      </c>
      <c r="AK1297">
        <v>0</v>
      </c>
      <c r="AL1297">
        <v>1</v>
      </c>
      <c r="AM1297">
        <v>0</v>
      </c>
      <c r="AN1297" s="2">
        <f>IF((2*G1297+M1297-O1297+3*V1297+2*AB1297+2*AE1297+2*AH1297+3*AJ1297)&gt;=7,1,0)</f>
        <v>0</v>
      </c>
    </row>
    <row r="1298" spans="1:40" x14ac:dyDescent="0.25">
      <c r="A1298" t="s">
        <v>27</v>
      </c>
      <c r="B1298" s="1">
        <v>40810</v>
      </c>
      <c r="C1298" s="6">
        <f t="shared" si="200"/>
        <v>2011</v>
      </c>
      <c r="D1298">
        <v>78.8</v>
      </c>
      <c r="E1298">
        <v>67.900000000000006</v>
      </c>
      <c r="F1298">
        <v>75.400000000000006</v>
      </c>
      <c r="G1298" s="2">
        <f t="shared" si="201"/>
        <v>1</v>
      </c>
      <c r="H1298">
        <v>78.8</v>
      </c>
      <c r="I1298">
        <v>67.900000000000006</v>
      </c>
      <c r="J1298">
        <v>75.400000000000006</v>
      </c>
      <c r="K1298">
        <v>61.7</v>
      </c>
      <c r="L1298">
        <v>62.9</v>
      </c>
      <c r="M1298" s="2">
        <f t="shared" si="202"/>
        <v>1</v>
      </c>
      <c r="N1298">
        <v>0</v>
      </c>
      <c r="O1298" s="2">
        <f t="shared" si="203"/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 s="2">
        <f t="shared" si="204"/>
        <v>0</v>
      </c>
      <c r="W1298">
        <v>24.2</v>
      </c>
      <c r="X1298" s="2">
        <f t="shared" si="205"/>
        <v>1</v>
      </c>
      <c r="Y1298">
        <v>316.5</v>
      </c>
      <c r="Z1298" s="2" t="str">
        <f>CHOOSE(MATCH(Y1298,{0;11;80;111;161;191;241;281;341},1),"North","NorthEast","East","SouthEast","South","SouthWest","West","NorthWest","North")</f>
        <v>NorthWest</v>
      </c>
      <c r="AA1298" s="4">
        <f>CHOOSE(MATCH(Z1298,{"South";"SouthEast";"SouthWest";"North";"NorthEast";"East";"West";"NorthWest"},0),1,2,3,4,5,6,7,8)</f>
        <v>8</v>
      </c>
      <c r="AB1298" s="2">
        <f t="shared" si="206"/>
        <v>1</v>
      </c>
      <c r="AC1298">
        <v>1011.7</v>
      </c>
      <c r="AD1298" t="s">
        <v>1900</v>
      </c>
      <c r="AE1298" s="2">
        <f t="shared" si="207"/>
        <v>1</v>
      </c>
      <c r="AF1298" t="s">
        <v>1901</v>
      </c>
      <c r="AG1298" s="2">
        <f t="shared" si="208"/>
        <v>9</v>
      </c>
      <c r="AH1298" s="2">
        <f t="shared" si="209"/>
        <v>0</v>
      </c>
      <c r="AI1298" s="3">
        <v>689.99999999650754</v>
      </c>
      <c r="AJ1298" s="2">
        <v>1</v>
      </c>
      <c r="AK1298">
        <v>0</v>
      </c>
      <c r="AL1298">
        <v>5</v>
      </c>
      <c r="AM1298">
        <v>0</v>
      </c>
      <c r="AN1298" s="2">
        <f>IF((2*G1298+M1298-O1298+3*V1298+2*AB1298+2*AE1298+2*AH1298+3*AJ1298)&gt;=7,1,0)</f>
        <v>1</v>
      </c>
    </row>
    <row r="1299" spans="1:40" x14ac:dyDescent="0.25">
      <c r="A1299" t="s">
        <v>27</v>
      </c>
      <c r="B1299" s="1">
        <v>40811</v>
      </c>
      <c r="C1299" s="6">
        <f t="shared" si="200"/>
        <v>2011</v>
      </c>
      <c r="D1299">
        <v>78.8</v>
      </c>
      <c r="E1299">
        <v>71.599999999999994</v>
      </c>
      <c r="F1299">
        <v>75</v>
      </c>
      <c r="G1299" s="2">
        <f t="shared" si="201"/>
        <v>1</v>
      </c>
      <c r="H1299">
        <v>78.8</v>
      </c>
      <c r="I1299">
        <v>71.599999999999994</v>
      </c>
      <c r="J1299">
        <v>75</v>
      </c>
      <c r="K1299">
        <v>64</v>
      </c>
      <c r="L1299">
        <v>69</v>
      </c>
      <c r="M1299" s="2">
        <f t="shared" si="202"/>
        <v>0</v>
      </c>
      <c r="N1299">
        <v>0</v>
      </c>
      <c r="O1299" s="2">
        <f t="shared" si="203"/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 s="2">
        <f t="shared" si="204"/>
        <v>0</v>
      </c>
      <c r="W1299">
        <v>20.8</v>
      </c>
      <c r="X1299" s="2">
        <f t="shared" si="205"/>
        <v>1</v>
      </c>
      <c r="Y1299">
        <v>308.39999999999998</v>
      </c>
      <c r="Z1299" s="2" t="str">
        <f>CHOOSE(MATCH(Y1299,{0;11;80;111;161;191;241;281;341},1),"North","NorthEast","East","SouthEast","South","SouthWest","West","NorthWest","North")</f>
        <v>NorthWest</v>
      </c>
      <c r="AA1299" s="4">
        <f>CHOOSE(MATCH(Z1299,{"South";"SouthEast";"SouthWest";"North";"NorthEast";"East";"West";"NorthWest"},0),1,2,3,4,5,6,7,8)</f>
        <v>8</v>
      </c>
      <c r="AB1299" s="2">
        <f t="shared" si="206"/>
        <v>1</v>
      </c>
      <c r="AC1299">
        <v>1014.7</v>
      </c>
      <c r="AD1299" t="s">
        <v>1768</v>
      </c>
      <c r="AE1299" s="2">
        <f t="shared" si="207"/>
        <v>0</v>
      </c>
      <c r="AF1299" t="s">
        <v>1902</v>
      </c>
      <c r="AG1299" s="2">
        <f t="shared" si="208"/>
        <v>9</v>
      </c>
      <c r="AH1299" s="2">
        <f t="shared" si="209"/>
        <v>0</v>
      </c>
      <c r="AI1299" s="3">
        <v>689.99999999650754</v>
      </c>
      <c r="AJ1299" s="2">
        <v>1</v>
      </c>
      <c r="AK1299">
        <v>0</v>
      </c>
      <c r="AL1299">
        <v>4</v>
      </c>
      <c r="AM1299">
        <v>0</v>
      </c>
      <c r="AN1299" s="2">
        <f>IF((2*G1299+M1299-O1299+3*V1299+2*AB1299+2*AE1299+2*AH1299+3*AJ1299)&gt;=7,1,0)</f>
        <v>0</v>
      </c>
    </row>
    <row r="1300" spans="1:40" x14ac:dyDescent="0.25">
      <c r="A1300" t="s">
        <v>27</v>
      </c>
      <c r="B1300" s="1">
        <v>40812</v>
      </c>
      <c r="C1300" s="6">
        <f t="shared" si="200"/>
        <v>2011</v>
      </c>
      <c r="D1300">
        <v>78.8</v>
      </c>
      <c r="E1300">
        <v>64.400000000000006</v>
      </c>
      <c r="F1300">
        <v>72.5</v>
      </c>
      <c r="G1300" s="2">
        <f t="shared" si="201"/>
        <v>1</v>
      </c>
      <c r="H1300">
        <v>78.8</v>
      </c>
      <c r="I1300">
        <v>64.400000000000006</v>
      </c>
      <c r="J1300">
        <v>72.5</v>
      </c>
      <c r="K1300">
        <v>64.8</v>
      </c>
      <c r="L1300">
        <v>77</v>
      </c>
      <c r="M1300" s="2">
        <f t="shared" si="202"/>
        <v>0</v>
      </c>
      <c r="N1300">
        <v>0</v>
      </c>
      <c r="O1300" s="2">
        <f t="shared" si="203"/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 s="2">
        <f t="shared" si="204"/>
        <v>0</v>
      </c>
      <c r="W1300">
        <v>19.5</v>
      </c>
      <c r="X1300" s="2">
        <f t="shared" si="205"/>
        <v>1</v>
      </c>
      <c r="Y1300">
        <v>305.10000000000002</v>
      </c>
      <c r="Z1300" s="2" t="str">
        <f>CHOOSE(MATCH(Y1300,{0;11;80;111;161;191;241;281;341},1),"North","NorthEast","East","SouthEast","South","SouthWest","West","NorthWest","North")</f>
        <v>NorthWest</v>
      </c>
      <c r="AA1300" s="4">
        <f>CHOOSE(MATCH(Z1300,{"South";"SouthEast";"SouthWest";"North";"NorthEast";"East";"West";"NorthWest"},0),1,2,3,4,5,6,7,8)</f>
        <v>8</v>
      </c>
      <c r="AB1300" s="2">
        <f t="shared" si="206"/>
        <v>1</v>
      </c>
      <c r="AC1300">
        <v>1016.4</v>
      </c>
      <c r="AD1300" t="s">
        <v>1125</v>
      </c>
      <c r="AE1300" s="2">
        <f t="shared" si="207"/>
        <v>1</v>
      </c>
      <c r="AF1300" t="s">
        <v>1903</v>
      </c>
      <c r="AG1300" s="2">
        <f t="shared" si="208"/>
        <v>9</v>
      </c>
      <c r="AH1300" s="2">
        <f t="shared" si="209"/>
        <v>0</v>
      </c>
      <c r="AI1300" s="3">
        <v>6040.0000000011642</v>
      </c>
      <c r="AJ1300" s="2">
        <v>1</v>
      </c>
      <c r="AK1300">
        <v>10</v>
      </c>
      <c r="AL1300">
        <v>20</v>
      </c>
      <c r="AM1300">
        <v>0</v>
      </c>
      <c r="AN1300" s="2">
        <f>IF((2*G1300+M1300-O1300+3*V1300+2*AB1300+2*AE1300+2*AH1300+3*AJ1300)&gt;=7,1,0)</f>
        <v>1</v>
      </c>
    </row>
    <row r="1301" spans="1:40" x14ac:dyDescent="0.25">
      <c r="A1301" t="s">
        <v>27</v>
      </c>
      <c r="B1301" s="1">
        <v>40812</v>
      </c>
      <c r="C1301" s="6">
        <f t="shared" si="200"/>
        <v>2011</v>
      </c>
      <c r="D1301">
        <v>78.8</v>
      </c>
      <c r="E1301">
        <v>64.400000000000006</v>
      </c>
      <c r="F1301">
        <v>72.5</v>
      </c>
      <c r="G1301" s="2">
        <f t="shared" si="201"/>
        <v>1</v>
      </c>
      <c r="H1301">
        <v>78.8</v>
      </c>
      <c r="I1301">
        <v>64.400000000000006</v>
      </c>
      <c r="J1301">
        <v>72.5</v>
      </c>
      <c r="K1301">
        <v>64.8</v>
      </c>
      <c r="L1301">
        <v>77</v>
      </c>
      <c r="M1301" s="2">
        <f t="shared" si="202"/>
        <v>0</v>
      </c>
      <c r="N1301">
        <v>0</v>
      </c>
      <c r="O1301" s="2">
        <f t="shared" si="203"/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 s="2">
        <f t="shared" si="204"/>
        <v>0</v>
      </c>
      <c r="W1301">
        <v>19.5</v>
      </c>
      <c r="X1301" s="2">
        <f t="shared" si="205"/>
        <v>1</v>
      </c>
      <c r="Y1301">
        <v>305.10000000000002</v>
      </c>
      <c r="Z1301" s="2" t="str">
        <f>CHOOSE(MATCH(Y1301,{0;11;80;111;161;191;241;281;341},1),"North","NorthEast","East","SouthEast","South","SouthWest","West","NorthWest","North")</f>
        <v>NorthWest</v>
      </c>
      <c r="AA1301" s="4">
        <f>CHOOSE(MATCH(Z1301,{"South";"SouthEast";"SouthWest";"North";"NorthEast";"East";"West";"NorthWest"},0),1,2,3,4,5,6,7,8)</f>
        <v>8</v>
      </c>
      <c r="AB1301" s="2">
        <f t="shared" si="206"/>
        <v>1</v>
      </c>
      <c r="AC1301">
        <v>1016.4</v>
      </c>
      <c r="AD1301" t="s">
        <v>1904</v>
      </c>
      <c r="AE1301" s="2">
        <f t="shared" si="207"/>
        <v>0</v>
      </c>
      <c r="AF1301" t="s">
        <v>1905</v>
      </c>
      <c r="AG1301" s="2">
        <f t="shared" si="208"/>
        <v>9</v>
      </c>
      <c r="AH1301" s="2">
        <f t="shared" si="209"/>
        <v>0</v>
      </c>
      <c r="AI1301" s="3">
        <v>74.999999993015081</v>
      </c>
      <c r="AJ1301" s="2">
        <v>0</v>
      </c>
      <c r="AK1301">
        <v>0</v>
      </c>
      <c r="AL1301">
        <v>0.2</v>
      </c>
      <c r="AM1301">
        <v>0</v>
      </c>
      <c r="AN1301" s="2">
        <f>IF((2*G1301+M1301-O1301+3*V1301+2*AB1301+2*AE1301+2*AH1301+3*AJ1301)&gt;=7,1,0)</f>
        <v>0</v>
      </c>
    </row>
    <row r="1302" spans="1:40" x14ac:dyDescent="0.25">
      <c r="A1302" t="s">
        <v>27</v>
      </c>
      <c r="B1302" s="1">
        <v>40813</v>
      </c>
      <c r="C1302" s="6">
        <f t="shared" si="200"/>
        <v>2011</v>
      </c>
      <c r="D1302">
        <v>77</v>
      </c>
      <c r="E1302">
        <v>69.8</v>
      </c>
      <c r="F1302">
        <v>72.900000000000006</v>
      </c>
      <c r="G1302" s="2">
        <f t="shared" si="201"/>
        <v>1</v>
      </c>
      <c r="H1302">
        <v>77</v>
      </c>
      <c r="I1302">
        <v>69.8</v>
      </c>
      <c r="J1302">
        <v>72.900000000000006</v>
      </c>
      <c r="K1302">
        <v>64.099999999999994</v>
      </c>
      <c r="L1302">
        <v>74.3</v>
      </c>
      <c r="M1302" s="2">
        <f t="shared" si="202"/>
        <v>0</v>
      </c>
      <c r="N1302">
        <v>0</v>
      </c>
      <c r="O1302" s="2">
        <f t="shared" si="203"/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 s="2">
        <f t="shared" si="204"/>
        <v>0</v>
      </c>
      <c r="W1302">
        <v>17.2</v>
      </c>
      <c r="X1302" s="2">
        <f t="shared" si="205"/>
        <v>1</v>
      </c>
      <c r="Y1302">
        <v>320.7</v>
      </c>
      <c r="Z1302" s="2" t="str">
        <f>CHOOSE(MATCH(Y1302,{0;11;80;111;161;191;241;281;341},1),"North","NorthEast","East","SouthEast","South","SouthWest","West","NorthWest","North")</f>
        <v>NorthWest</v>
      </c>
      <c r="AA1302" s="4">
        <f>CHOOSE(MATCH(Z1302,{"South";"SouthEast";"SouthWest";"North";"NorthEast";"East";"West";"NorthWest"},0),1,2,3,4,5,6,7,8)</f>
        <v>8</v>
      </c>
      <c r="AB1302" s="2">
        <f t="shared" si="206"/>
        <v>1</v>
      </c>
      <c r="AC1302">
        <v>1017.6</v>
      </c>
      <c r="AD1302" t="s">
        <v>1906</v>
      </c>
      <c r="AE1302" s="2">
        <f t="shared" si="207"/>
        <v>0</v>
      </c>
      <c r="AF1302" t="s">
        <v>1907</v>
      </c>
      <c r="AG1302" s="2">
        <f t="shared" si="208"/>
        <v>9</v>
      </c>
      <c r="AH1302" s="2">
        <f t="shared" si="209"/>
        <v>0</v>
      </c>
      <c r="AI1302" s="3">
        <v>1659.999999994179</v>
      </c>
      <c r="AJ1302" s="2">
        <v>1</v>
      </c>
      <c r="AK1302">
        <v>0</v>
      </c>
      <c r="AL1302">
        <v>50</v>
      </c>
      <c r="AM1302">
        <v>0</v>
      </c>
      <c r="AN1302" s="2">
        <f>IF((2*G1302+M1302-O1302+3*V1302+2*AB1302+2*AE1302+2*AH1302+3*AJ1302)&gt;=7,1,0)</f>
        <v>0</v>
      </c>
    </row>
    <row r="1303" spans="1:40" x14ac:dyDescent="0.25">
      <c r="A1303" t="s">
        <v>27</v>
      </c>
      <c r="B1303" s="1">
        <v>40814</v>
      </c>
      <c r="C1303" s="6">
        <f t="shared" si="200"/>
        <v>2011</v>
      </c>
      <c r="D1303">
        <v>77</v>
      </c>
      <c r="E1303">
        <v>68</v>
      </c>
      <c r="F1303">
        <v>72.7</v>
      </c>
      <c r="G1303" s="2">
        <f t="shared" si="201"/>
        <v>1</v>
      </c>
      <c r="H1303">
        <v>77</v>
      </c>
      <c r="I1303">
        <v>68</v>
      </c>
      <c r="J1303">
        <v>72.7</v>
      </c>
      <c r="K1303">
        <v>62.9</v>
      </c>
      <c r="L1303">
        <v>71.5</v>
      </c>
      <c r="M1303" s="2">
        <f t="shared" si="202"/>
        <v>0</v>
      </c>
      <c r="N1303">
        <v>0</v>
      </c>
      <c r="O1303" s="2">
        <f t="shared" si="203"/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 s="2">
        <f t="shared" si="204"/>
        <v>0</v>
      </c>
      <c r="W1303">
        <v>18.3</v>
      </c>
      <c r="X1303" s="2">
        <f t="shared" si="205"/>
        <v>1</v>
      </c>
      <c r="Y1303">
        <v>339.3</v>
      </c>
      <c r="Z1303" s="2" t="str">
        <f>CHOOSE(MATCH(Y1303,{0;11;80;111;161;191;241;281;341},1),"North","NorthEast","East","SouthEast","South","SouthWest","West","NorthWest","North")</f>
        <v>NorthWest</v>
      </c>
      <c r="AA1303" s="4">
        <f>CHOOSE(MATCH(Z1303,{"South";"SouthEast";"SouthWest";"North";"NorthEast";"East";"West";"NorthWest"},0),1,2,3,4,5,6,7,8)</f>
        <v>8</v>
      </c>
      <c r="AB1303" s="2">
        <f t="shared" si="206"/>
        <v>1</v>
      </c>
      <c r="AC1303">
        <v>1016.5</v>
      </c>
      <c r="AD1303" t="s">
        <v>1879</v>
      </c>
      <c r="AE1303" s="2">
        <f t="shared" si="207"/>
        <v>1</v>
      </c>
      <c r="AF1303" t="s">
        <v>1908</v>
      </c>
      <c r="AG1303" s="2">
        <f t="shared" si="208"/>
        <v>9</v>
      </c>
      <c r="AH1303" s="2">
        <f t="shared" si="209"/>
        <v>0</v>
      </c>
      <c r="AI1303" s="3">
        <v>4095</v>
      </c>
      <c r="AJ1303" s="2">
        <v>1</v>
      </c>
      <c r="AK1303">
        <v>0</v>
      </c>
      <c r="AL1303">
        <v>1000</v>
      </c>
      <c r="AM1303">
        <v>0</v>
      </c>
      <c r="AN1303" s="2">
        <f>IF((2*G1303+M1303-O1303+3*V1303+2*AB1303+2*AE1303+2*AH1303+3*AJ1303)&gt;=7,1,0)</f>
        <v>1</v>
      </c>
    </row>
    <row r="1304" spans="1:40" x14ac:dyDescent="0.25">
      <c r="A1304" t="s">
        <v>27</v>
      </c>
      <c r="B1304" s="1">
        <v>40815</v>
      </c>
      <c r="C1304" s="6">
        <f t="shared" si="200"/>
        <v>2011</v>
      </c>
      <c r="D1304">
        <v>75.2</v>
      </c>
      <c r="E1304">
        <v>68</v>
      </c>
      <c r="F1304">
        <v>72.599999999999994</v>
      </c>
      <c r="G1304" s="2">
        <f t="shared" si="201"/>
        <v>1</v>
      </c>
      <c r="H1304">
        <v>75.2</v>
      </c>
      <c r="I1304">
        <v>68</v>
      </c>
      <c r="J1304">
        <v>72.599999999999994</v>
      </c>
      <c r="K1304">
        <v>63.7</v>
      </c>
      <c r="L1304">
        <v>73.900000000000006</v>
      </c>
      <c r="M1304" s="2">
        <f t="shared" si="202"/>
        <v>0</v>
      </c>
      <c r="N1304">
        <v>0</v>
      </c>
      <c r="O1304" s="2">
        <f t="shared" si="203"/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 s="2">
        <f t="shared" si="204"/>
        <v>0</v>
      </c>
      <c r="W1304">
        <v>17.2</v>
      </c>
      <c r="X1304" s="2">
        <f t="shared" si="205"/>
        <v>1</v>
      </c>
      <c r="Y1304">
        <v>325.10000000000002</v>
      </c>
      <c r="Z1304" s="2" t="str">
        <f>CHOOSE(MATCH(Y1304,{0;11;80;111;161;191;241;281;341},1),"North","NorthEast","East","SouthEast","South","SouthWest","West","NorthWest","North")</f>
        <v>NorthWest</v>
      </c>
      <c r="AA1304" s="4">
        <f>CHOOSE(MATCH(Z1304,{"South";"SouthEast";"SouthWest";"North";"NorthEast";"East";"West";"NorthWest"},0),1,2,3,4,5,6,7,8)</f>
        <v>8</v>
      </c>
      <c r="AB1304" s="2">
        <f t="shared" si="206"/>
        <v>1</v>
      </c>
      <c r="AC1304">
        <v>1014.9</v>
      </c>
      <c r="AD1304" t="s">
        <v>1119</v>
      </c>
      <c r="AE1304" s="2">
        <f t="shared" si="207"/>
        <v>0</v>
      </c>
      <c r="AF1304" t="s">
        <v>1909</v>
      </c>
      <c r="AG1304" s="2">
        <f t="shared" si="208"/>
        <v>9</v>
      </c>
      <c r="AH1304" s="2">
        <f t="shared" si="209"/>
        <v>0</v>
      </c>
      <c r="AI1304" s="3">
        <v>3449.9999999930151</v>
      </c>
      <c r="AJ1304" s="2">
        <v>1</v>
      </c>
      <c r="AK1304">
        <v>0</v>
      </c>
      <c r="AL1304">
        <v>30</v>
      </c>
      <c r="AM1304">
        <v>0</v>
      </c>
      <c r="AN1304" s="2">
        <f>IF((2*G1304+M1304-O1304+3*V1304+2*AB1304+2*AE1304+2*AH1304+3*AJ1304)&gt;=7,1,0)</f>
        <v>0</v>
      </c>
    </row>
    <row r="1305" spans="1:40" x14ac:dyDescent="0.25">
      <c r="A1305" t="s">
        <v>27</v>
      </c>
      <c r="B1305" s="1">
        <v>40815</v>
      </c>
      <c r="C1305" s="6">
        <f t="shared" si="200"/>
        <v>2011</v>
      </c>
      <c r="D1305">
        <v>75.2</v>
      </c>
      <c r="E1305">
        <v>68</v>
      </c>
      <c r="F1305">
        <v>72.599999999999994</v>
      </c>
      <c r="G1305" s="2">
        <f t="shared" si="201"/>
        <v>1</v>
      </c>
      <c r="H1305">
        <v>75.2</v>
      </c>
      <c r="I1305">
        <v>68</v>
      </c>
      <c r="J1305">
        <v>72.599999999999994</v>
      </c>
      <c r="K1305">
        <v>63.7</v>
      </c>
      <c r="L1305">
        <v>73.900000000000006</v>
      </c>
      <c r="M1305" s="2">
        <f t="shared" si="202"/>
        <v>0</v>
      </c>
      <c r="N1305">
        <v>0</v>
      </c>
      <c r="O1305" s="2">
        <f t="shared" si="203"/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 s="2">
        <f t="shared" si="204"/>
        <v>0</v>
      </c>
      <c r="W1305">
        <v>17.2</v>
      </c>
      <c r="X1305" s="2">
        <f t="shared" si="205"/>
        <v>1</v>
      </c>
      <c r="Y1305">
        <v>325.10000000000002</v>
      </c>
      <c r="Z1305" s="2" t="str">
        <f>CHOOSE(MATCH(Y1305,{0;11;80;111;161;191;241;281;341},1),"North","NorthEast","East","SouthEast","South","SouthWest","West","NorthWest","North")</f>
        <v>NorthWest</v>
      </c>
      <c r="AA1305" s="4">
        <f>CHOOSE(MATCH(Z1305,{"South";"SouthEast";"SouthWest";"North";"NorthEast";"East";"West";"NorthWest"},0),1,2,3,4,5,6,7,8)</f>
        <v>8</v>
      </c>
      <c r="AB1305" s="2">
        <f t="shared" si="206"/>
        <v>1</v>
      </c>
      <c r="AC1305">
        <v>1014.9</v>
      </c>
      <c r="AD1305" t="s">
        <v>1103</v>
      </c>
      <c r="AE1305" s="2">
        <f t="shared" si="207"/>
        <v>1</v>
      </c>
      <c r="AF1305" t="s">
        <v>1910</v>
      </c>
      <c r="AG1305" s="2">
        <f t="shared" si="208"/>
        <v>9</v>
      </c>
      <c r="AH1305" s="2">
        <f t="shared" si="209"/>
        <v>0</v>
      </c>
      <c r="AI1305" s="3">
        <v>2820.000000003492</v>
      </c>
      <c r="AJ1305" s="2">
        <v>1</v>
      </c>
      <c r="AK1305">
        <v>0</v>
      </c>
      <c r="AL1305">
        <v>100</v>
      </c>
      <c r="AM1305">
        <v>0</v>
      </c>
      <c r="AN1305" s="2">
        <f>IF((2*G1305+M1305-O1305+3*V1305+2*AB1305+2*AE1305+2*AH1305+3*AJ1305)&gt;=7,1,0)</f>
        <v>1</v>
      </c>
    </row>
    <row r="1306" spans="1:40" x14ac:dyDescent="0.25">
      <c r="A1306" t="s">
        <v>27</v>
      </c>
      <c r="B1306" s="1">
        <v>40816</v>
      </c>
      <c r="C1306" s="6">
        <f t="shared" si="200"/>
        <v>2011</v>
      </c>
      <c r="D1306">
        <v>77</v>
      </c>
      <c r="E1306">
        <v>68</v>
      </c>
      <c r="F1306">
        <v>73.2</v>
      </c>
      <c r="G1306" s="2">
        <f t="shared" si="201"/>
        <v>1</v>
      </c>
      <c r="H1306">
        <v>77</v>
      </c>
      <c r="I1306">
        <v>68</v>
      </c>
      <c r="J1306">
        <v>73.2</v>
      </c>
      <c r="K1306">
        <v>62.9</v>
      </c>
      <c r="L1306">
        <v>70.599999999999994</v>
      </c>
      <c r="M1306" s="2">
        <f t="shared" si="202"/>
        <v>0</v>
      </c>
      <c r="N1306">
        <v>0</v>
      </c>
      <c r="O1306" s="2">
        <f t="shared" si="203"/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30</v>
      </c>
      <c r="V1306" s="2">
        <f t="shared" si="204"/>
        <v>1</v>
      </c>
      <c r="W1306">
        <v>25.3</v>
      </c>
      <c r="X1306" s="2">
        <f t="shared" si="205"/>
        <v>1</v>
      </c>
      <c r="Y1306">
        <v>322.60000000000002</v>
      </c>
      <c r="Z1306" s="2" t="str">
        <f>CHOOSE(MATCH(Y1306,{0;11;80;111;161;191;241;281;341},1),"North","NorthEast","East","SouthEast","South","SouthWest","West","NorthWest","North")</f>
        <v>NorthWest</v>
      </c>
      <c r="AA1306" s="4">
        <f>CHOOSE(MATCH(Z1306,{"South";"SouthEast";"SouthWest";"North";"NorthEast";"East";"West";"NorthWest"},0),1,2,3,4,5,6,7,8)</f>
        <v>8</v>
      </c>
      <c r="AB1306" s="2">
        <f t="shared" si="206"/>
        <v>1</v>
      </c>
      <c r="AC1306">
        <v>1015.7</v>
      </c>
      <c r="AD1306" t="s">
        <v>1911</v>
      </c>
      <c r="AE1306" s="2">
        <f t="shared" si="207"/>
        <v>1</v>
      </c>
      <c r="AF1306" t="s">
        <v>1912</v>
      </c>
      <c r="AG1306" s="2">
        <f t="shared" si="208"/>
        <v>9</v>
      </c>
      <c r="AH1306" s="2">
        <f t="shared" si="209"/>
        <v>0</v>
      </c>
      <c r="AI1306" s="3">
        <v>69.999999997671694</v>
      </c>
      <c r="AJ1306" s="2">
        <v>0</v>
      </c>
      <c r="AK1306">
        <v>0</v>
      </c>
      <c r="AL1306">
        <v>1</v>
      </c>
      <c r="AM1306">
        <v>0</v>
      </c>
      <c r="AN1306" s="2">
        <f>IF((2*G1306+M1306-O1306+3*V1306+2*AB1306+2*AE1306+2*AH1306+3*AJ1306)&gt;=7,1,0)</f>
        <v>1</v>
      </c>
    </row>
    <row r="1307" spans="1:40" x14ac:dyDescent="0.25">
      <c r="A1307" t="s">
        <v>27</v>
      </c>
      <c r="B1307" s="1">
        <v>40816</v>
      </c>
      <c r="C1307" s="6">
        <f t="shared" si="200"/>
        <v>2011</v>
      </c>
      <c r="D1307">
        <v>77</v>
      </c>
      <c r="E1307">
        <v>68</v>
      </c>
      <c r="F1307">
        <v>73.2</v>
      </c>
      <c r="G1307" s="2">
        <f t="shared" si="201"/>
        <v>1</v>
      </c>
      <c r="H1307">
        <v>77</v>
      </c>
      <c r="I1307">
        <v>68</v>
      </c>
      <c r="J1307">
        <v>73.2</v>
      </c>
      <c r="K1307">
        <v>62.9</v>
      </c>
      <c r="L1307">
        <v>70.599999999999994</v>
      </c>
      <c r="M1307" s="2">
        <f t="shared" si="202"/>
        <v>0</v>
      </c>
      <c r="N1307">
        <v>0</v>
      </c>
      <c r="O1307" s="2">
        <f t="shared" si="203"/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30</v>
      </c>
      <c r="V1307" s="2">
        <f t="shared" si="204"/>
        <v>1</v>
      </c>
      <c r="W1307">
        <v>25.3</v>
      </c>
      <c r="X1307" s="2">
        <f t="shared" si="205"/>
        <v>1</v>
      </c>
      <c r="Y1307">
        <v>322.60000000000002</v>
      </c>
      <c r="Z1307" s="2" t="str">
        <f>CHOOSE(MATCH(Y1307,{0;11;80;111;161;191;241;281;341},1),"North","NorthEast","East","SouthEast","South","SouthWest","West","NorthWest","North")</f>
        <v>NorthWest</v>
      </c>
      <c r="AA1307" s="4">
        <f>CHOOSE(MATCH(Z1307,{"South";"SouthEast";"SouthWest";"North";"NorthEast";"East";"West";"NorthWest"},0),1,2,3,4,5,6,7,8)</f>
        <v>8</v>
      </c>
      <c r="AB1307" s="2">
        <f t="shared" si="206"/>
        <v>1</v>
      </c>
      <c r="AC1307">
        <v>1015.7</v>
      </c>
      <c r="AD1307" t="s">
        <v>1906</v>
      </c>
      <c r="AE1307" s="2">
        <f t="shared" si="207"/>
        <v>0</v>
      </c>
      <c r="AF1307" t="s">
        <v>1913</v>
      </c>
      <c r="AG1307" s="2">
        <f t="shared" si="208"/>
        <v>9</v>
      </c>
      <c r="AH1307" s="2">
        <f t="shared" si="209"/>
        <v>0</v>
      </c>
      <c r="AI1307" s="3">
        <v>429.99999999767169</v>
      </c>
      <c r="AJ1307" s="2">
        <v>1</v>
      </c>
      <c r="AK1307">
        <v>5</v>
      </c>
      <c r="AL1307">
        <v>0</v>
      </c>
      <c r="AM1307">
        <v>0</v>
      </c>
      <c r="AN1307" s="2">
        <f>IF((2*G1307+M1307-O1307+3*V1307+2*AB1307+2*AE1307+2*AH1307+3*AJ1307)&gt;=7,1,0)</f>
        <v>1</v>
      </c>
    </row>
    <row r="1308" spans="1:40" x14ac:dyDescent="0.25">
      <c r="A1308" t="s">
        <v>27</v>
      </c>
      <c r="B1308" s="1">
        <v>40822</v>
      </c>
      <c r="C1308" s="6">
        <f t="shared" si="200"/>
        <v>2011</v>
      </c>
      <c r="D1308">
        <v>77.099999999999994</v>
      </c>
      <c r="E1308">
        <v>60.8</v>
      </c>
      <c r="F1308">
        <v>68.8</v>
      </c>
      <c r="G1308" s="2">
        <f t="shared" si="201"/>
        <v>0</v>
      </c>
      <c r="H1308">
        <v>77.099999999999994</v>
      </c>
      <c r="I1308">
        <v>60.8</v>
      </c>
      <c r="J1308">
        <v>68.8</v>
      </c>
      <c r="K1308">
        <v>58.7</v>
      </c>
      <c r="L1308">
        <v>71.400000000000006</v>
      </c>
      <c r="M1308" s="2">
        <f t="shared" si="202"/>
        <v>0</v>
      </c>
      <c r="N1308">
        <v>0</v>
      </c>
      <c r="O1308" s="2">
        <f t="shared" si="203"/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 s="2">
        <f t="shared" si="204"/>
        <v>0</v>
      </c>
      <c r="W1308">
        <v>8.1</v>
      </c>
      <c r="X1308" s="2">
        <f t="shared" si="205"/>
        <v>0</v>
      </c>
      <c r="Y1308">
        <v>241.7</v>
      </c>
      <c r="Z1308" s="2" t="str">
        <f>CHOOSE(MATCH(Y1308,{0;11;80;111;161;191;241;281;341},1),"North","NorthEast","East","SouthEast","South","SouthWest","West","NorthWest","North")</f>
        <v>West</v>
      </c>
      <c r="AA1308" s="4">
        <f>CHOOSE(MATCH(Z1308,{"South";"SouthEast";"SouthWest";"North";"NorthEast";"East";"West";"NorthWest"},0),1,2,3,4,5,6,7,8)</f>
        <v>7</v>
      </c>
      <c r="AB1308" s="2">
        <f t="shared" si="206"/>
        <v>0</v>
      </c>
      <c r="AC1308">
        <v>1019</v>
      </c>
      <c r="AD1308" t="s">
        <v>1914</v>
      </c>
      <c r="AE1308" s="2">
        <f t="shared" si="207"/>
        <v>1</v>
      </c>
      <c r="AF1308" t="s">
        <v>1915</v>
      </c>
      <c r="AG1308" s="2">
        <f t="shared" si="208"/>
        <v>10</v>
      </c>
      <c r="AH1308" s="2">
        <f t="shared" si="209"/>
        <v>0</v>
      </c>
      <c r="AI1308" s="3">
        <v>765</v>
      </c>
      <c r="AJ1308" s="2">
        <v>1</v>
      </c>
      <c r="AK1308">
        <v>0</v>
      </c>
      <c r="AL1308">
        <v>30</v>
      </c>
      <c r="AM1308">
        <v>0</v>
      </c>
      <c r="AN1308" s="2">
        <f>IF((2*G1308+M1308-O1308+3*V1308+2*AB1308+2*AE1308+2*AH1308+3*AJ1308)&gt;=7,1,0)</f>
        <v>0</v>
      </c>
    </row>
    <row r="1309" spans="1:40" x14ac:dyDescent="0.25">
      <c r="A1309" t="s">
        <v>27</v>
      </c>
      <c r="B1309" s="1">
        <v>40822</v>
      </c>
      <c r="C1309" s="6">
        <f t="shared" si="200"/>
        <v>2011</v>
      </c>
      <c r="D1309">
        <v>77.099999999999994</v>
      </c>
      <c r="E1309">
        <v>60.8</v>
      </c>
      <c r="F1309">
        <v>68.8</v>
      </c>
      <c r="G1309" s="2">
        <f t="shared" si="201"/>
        <v>0</v>
      </c>
      <c r="H1309">
        <v>77.099999999999994</v>
      </c>
      <c r="I1309">
        <v>60.8</v>
      </c>
      <c r="J1309">
        <v>68.8</v>
      </c>
      <c r="K1309">
        <v>58.7</v>
      </c>
      <c r="L1309">
        <v>71.400000000000006</v>
      </c>
      <c r="M1309" s="2">
        <f t="shared" si="202"/>
        <v>0</v>
      </c>
      <c r="N1309">
        <v>0</v>
      </c>
      <c r="O1309" s="2">
        <f t="shared" si="203"/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 s="2">
        <f t="shared" si="204"/>
        <v>0</v>
      </c>
      <c r="W1309">
        <v>8.1</v>
      </c>
      <c r="X1309" s="2">
        <f t="shared" si="205"/>
        <v>0</v>
      </c>
      <c r="Y1309">
        <v>241.7</v>
      </c>
      <c r="Z1309" s="2" t="str">
        <f>CHOOSE(MATCH(Y1309,{0;11;80;111;161;191;241;281;341},1),"North","NorthEast","East","SouthEast","South","SouthWest","West","NorthWest","North")</f>
        <v>West</v>
      </c>
      <c r="AA1309" s="4">
        <f>CHOOSE(MATCH(Z1309,{"South";"SouthEast";"SouthWest";"North";"NorthEast";"East";"West";"NorthWest"},0),1,2,3,4,5,6,7,8)</f>
        <v>7</v>
      </c>
      <c r="AB1309" s="2">
        <f t="shared" si="206"/>
        <v>0</v>
      </c>
      <c r="AC1309">
        <v>1019</v>
      </c>
      <c r="AD1309" t="s">
        <v>1916</v>
      </c>
      <c r="AE1309" s="2">
        <f t="shared" si="207"/>
        <v>1</v>
      </c>
      <c r="AF1309" t="s">
        <v>1917</v>
      </c>
      <c r="AG1309" s="2">
        <f t="shared" si="208"/>
        <v>10</v>
      </c>
      <c r="AH1309" s="2">
        <f t="shared" si="209"/>
        <v>0</v>
      </c>
      <c r="AI1309" s="3">
        <v>885.00000000349246</v>
      </c>
      <c r="AJ1309" s="2">
        <v>1</v>
      </c>
      <c r="AK1309">
        <v>0</v>
      </c>
      <c r="AL1309">
        <v>20</v>
      </c>
      <c r="AM1309">
        <v>0</v>
      </c>
      <c r="AN1309" s="2">
        <f>IF((2*G1309+M1309-O1309+3*V1309+2*AB1309+2*AE1309+2*AH1309+3*AJ1309)&gt;=7,1,0)</f>
        <v>0</v>
      </c>
    </row>
    <row r="1310" spans="1:40" x14ac:dyDescent="0.25">
      <c r="A1310" t="s">
        <v>27</v>
      </c>
      <c r="B1310" s="1">
        <v>40822</v>
      </c>
      <c r="C1310" s="6">
        <f t="shared" si="200"/>
        <v>2011</v>
      </c>
      <c r="D1310">
        <v>77.099999999999994</v>
      </c>
      <c r="E1310">
        <v>60.8</v>
      </c>
      <c r="F1310">
        <v>68.8</v>
      </c>
      <c r="G1310" s="2">
        <f t="shared" si="201"/>
        <v>0</v>
      </c>
      <c r="H1310">
        <v>77.099999999999994</v>
      </c>
      <c r="I1310">
        <v>60.8</v>
      </c>
      <c r="J1310">
        <v>68.8</v>
      </c>
      <c r="K1310">
        <v>58.7</v>
      </c>
      <c r="L1310">
        <v>71.400000000000006</v>
      </c>
      <c r="M1310" s="2">
        <f t="shared" si="202"/>
        <v>0</v>
      </c>
      <c r="N1310">
        <v>0</v>
      </c>
      <c r="O1310" s="2">
        <f t="shared" si="203"/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 s="2">
        <f t="shared" si="204"/>
        <v>0</v>
      </c>
      <c r="W1310">
        <v>8.1</v>
      </c>
      <c r="X1310" s="2">
        <f t="shared" si="205"/>
        <v>0</v>
      </c>
      <c r="Y1310">
        <v>241.7</v>
      </c>
      <c r="Z1310" s="2" t="str">
        <f>CHOOSE(MATCH(Y1310,{0;11;80;111;161;191;241;281;341},1),"North","NorthEast","East","SouthEast","South","SouthWest","West","NorthWest","North")</f>
        <v>West</v>
      </c>
      <c r="AA1310" s="4">
        <f>CHOOSE(MATCH(Z1310,{"South";"SouthEast";"SouthWest";"North";"NorthEast";"East";"West";"NorthWest"},0),1,2,3,4,5,6,7,8)</f>
        <v>7</v>
      </c>
      <c r="AB1310" s="2">
        <f t="shared" si="206"/>
        <v>0</v>
      </c>
      <c r="AC1310">
        <v>1019</v>
      </c>
      <c r="AD1310" t="s">
        <v>1224</v>
      </c>
      <c r="AE1310" s="2">
        <f t="shared" si="207"/>
        <v>1</v>
      </c>
      <c r="AF1310" t="s">
        <v>1918</v>
      </c>
      <c r="AG1310" s="2">
        <f t="shared" si="208"/>
        <v>10</v>
      </c>
      <c r="AH1310" s="2">
        <f t="shared" si="209"/>
        <v>0</v>
      </c>
      <c r="AI1310" s="3">
        <v>100.0000000011642</v>
      </c>
      <c r="AJ1310" s="2">
        <v>0</v>
      </c>
      <c r="AK1310">
        <v>0</v>
      </c>
      <c r="AL1310">
        <v>0.1</v>
      </c>
      <c r="AM1310">
        <v>0</v>
      </c>
      <c r="AN1310" s="2">
        <f>IF((2*G1310+M1310-O1310+3*V1310+2*AB1310+2*AE1310+2*AH1310+3*AJ1310)&gt;=7,1,0)</f>
        <v>0</v>
      </c>
    </row>
    <row r="1311" spans="1:40" x14ac:dyDescent="0.25">
      <c r="A1311" t="s">
        <v>27</v>
      </c>
      <c r="B1311" s="1">
        <v>40823</v>
      </c>
      <c r="C1311" s="6">
        <f t="shared" si="200"/>
        <v>2011</v>
      </c>
      <c r="D1311">
        <v>80.599999999999994</v>
      </c>
      <c r="E1311">
        <v>64.400000000000006</v>
      </c>
      <c r="F1311">
        <v>71.8</v>
      </c>
      <c r="G1311" s="2">
        <f t="shared" si="201"/>
        <v>1</v>
      </c>
      <c r="H1311">
        <v>82.3</v>
      </c>
      <c r="I1311">
        <v>64.400000000000006</v>
      </c>
      <c r="J1311">
        <v>71.900000000000006</v>
      </c>
      <c r="K1311">
        <v>59.7</v>
      </c>
      <c r="L1311">
        <v>66.099999999999994</v>
      </c>
      <c r="M1311" s="2">
        <f t="shared" si="202"/>
        <v>0</v>
      </c>
      <c r="N1311">
        <v>0</v>
      </c>
      <c r="O1311" s="2">
        <f t="shared" si="203"/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 s="2">
        <f t="shared" si="204"/>
        <v>0</v>
      </c>
      <c r="W1311">
        <v>12.8</v>
      </c>
      <c r="X1311" s="2">
        <f t="shared" si="205"/>
        <v>0</v>
      </c>
      <c r="Y1311">
        <v>352.1</v>
      </c>
      <c r="Z1311" s="2" t="str">
        <f>CHOOSE(MATCH(Y1311,{0;11;80;111;161;191;241;281;341},1),"North","NorthEast","East","SouthEast","South","SouthWest","West","NorthWest","North")</f>
        <v>North</v>
      </c>
      <c r="AA1311" s="4">
        <f>CHOOSE(MATCH(Z1311,{"South";"SouthEast";"SouthWest";"North";"NorthEast";"East";"West";"NorthWest"},0),1,2,3,4,5,6,7,8)</f>
        <v>4</v>
      </c>
      <c r="AB1311" s="2">
        <f t="shared" si="206"/>
        <v>1</v>
      </c>
      <c r="AC1311">
        <v>1015.8</v>
      </c>
      <c r="AD1311" t="s">
        <v>1919</v>
      </c>
      <c r="AE1311" s="2">
        <f t="shared" si="207"/>
        <v>1</v>
      </c>
      <c r="AF1311" t="s">
        <v>1920</v>
      </c>
      <c r="AG1311" s="2">
        <f t="shared" si="208"/>
        <v>10</v>
      </c>
      <c r="AH1311" s="2">
        <f t="shared" si="209"/>
        <v>0</v>
      </c>
      <c r="AI1311" s="3">
        <v>518.00000000162981</v>
      </c>
      <c r="AJ1311" s="2">
        <v>1</v>
      </c>
      <c r="AK1311">
        <v>10</v>
      </c>
      <c r="AL1311">
        <v>0</v>
      </c>
      <c r="AM1311">
        <v>0</v>
      </c>
      <c r="AN1311" s="2">
        <f>IF((2*G1311+M1311-O1311+3*V1311+2*AB1311+2*AE1311+2*AH1311+3*AJ1311)&gt;=7,1,0)</f>
        <v>1</v>
      </c>
    </row>
    <row r="1312" spans="1:40" x14ac:dyDescent="0.25">
      <c r="A1312" t="s">
        <v>27</v>
      </c>
      <c r="B1312" s="1">
        <v>40823</v>
      </c>
      <c r="C1312" s="6">
        <f t="shared" si="200"/>
        <v>2011</v>
      </c>
      <c r="D1312">
        <v>80.599999999999994</v>
      </c>
      <c r="E1312">
        <v>64.400000000000006</v>
      </c>
      <c r="F1312">
        <v>71.8</v>
      </c>
      <c r="G1312" s="2">
        <f t="shared" si="201"/>
        <v>1</v>
      </c>
      <c r="H1312">
        <v>82.3</v>
      </c>
      <c r="I1312">
        <v>64.400000000000006</v>
      </c>
      <c r="J1312">
        <v>71.900000000000006</v>
      </c>
      <c r="K1312">
        <v>59.7</v>
      </c>
      <c r="L1312">
        <v>66.099999999999994</v>
      </c>
      <c r="M1312" s="2">
        <f t="shared" si="202"/>
        <v>0</v>
      </c>
      <c r="N1312">
        <v>0</v>
      </c>
      <c r="O1312" s="2">
        <f t="shared" si="203"/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 s="2">
        <f t="shared" si="204"/>
        <v>0</v>
      </c>
      <c r="W1312">
        <v>12.8</v>
      </c>
      <c r="X1312" s="2">
        <f t="shared" si="205"/>
        <v>0</v>
      </c>
      <c r="Y1312">
        <v>352.1</v>
      </c>
      <c r="Z1312" s="2" t="str">
        <f>CHOOSE(MATCH(Y1312,{0;11;80;111;161;191;241;281;341},1),"North","NorthEast","East","SouthEast","South","SouthWest","West","NorthWest","North")</f>
        <v>North</v>
      </c>
      <c r="AA1312" s="4">
        <f>CHOOSE(MATCH(Z1312,{"South";"SouthEast";"SouthWest";"North";"NorthEast";"East";"West";"NorthWest"},0),1,2,3,4,5,6,7,8)</f>
        <v>4</v>
      </c>
      <c r="AB1312" s="2">
        <f t="shared" si="206"/>
        <v>1</v>
      </c>
      <c r="AC1312">
        <v>1015.8</v>
      </c>
      <c r="AD1312" t="s">
        <v>1921</v>
      </c>
      <c r="AE1312" s="2">
        <f t="shared" si="207"/>
        <v>1</v>
      </c>
      <c r="AF1312" t="s">
        <v>1922</v>
      </c>
      <c r="AG1312" s="2">
        <f t="shared" si="208"/>
        <v>10</v>
      </c>
      <c r="AH1312" s="2">
        <f t="shared" si="209"/>
        <v>0</v>
      </c>
      <c r="AI1312" s="3">
        <v>1130.000000005821</v>
      </c>
      <c r="AJ1312" s="2">
        <v>1</v>
      </c>
      <c r="AK1312">
        <v>20</v>
      </c>
      <c r="AL1312">
        <v>0</v>
      </c>
      <c r="AM1312">
        <v>0</v>
      </c>
      <c r="AN1312" s="2">
        <f>IF((2*G1312+M1312-O1312+3*V1312+2*AB1312+2*AE1312+2*AH1312+3*AJ1312)&gt;=7,1,0)</f>
        <v>1</v>
      </c>
    </row>
    <row r="1313" spans="1:40" x14ac:dyDescent="0.25">
      <c r="A1313" t="s">
        <v>27</v>
      </c>
      <c r="B1313" s="1">
        <v>40824</v>
      </c>
      <c r="C1313" s="6">
        <f t="shared" si="200"/>
        <v>2011</v>
      </c>
      <c r="D1313">
        <v>84.2</v>
      </c>
      <c r="E1313">
        <v>64.400000000000006</v>
      </c>
      <c r="F1313">
        <v>72.8</v>
      </c>
      <c r="G1313" s="2">
        <f t="shared" si="201"/>
        <v>1</v>
      </c>
      <c r="H1313">
        <v>84.7</v>
      </c>
      <c r="I1313">
        <v>64.400000000000006</v>
      </c>
      <c r="J1313">
        <v>73.099999999999994</v>
      </c>
      <c r="K1313">
        <v>61.9</v>
      </c>
      <c r="L1313">
        <v>70.8</v>
      </c>
      <c r="M1313" s="2">
        <f t="shared" si="202"/>
        <v>0</v>
      </c>
      <c r="N1313">
        <v>0.11799999999999999</v>
      </c>
      <c r="O1313" s="2">
        <f t="shared" si="203"/>
        <v>0</v>
      </c>
      <c r="P1313">
        <v>100</v>
      </c>
      <c r="Q1313">
        <v>4.17</v>
      </c>
      <c r="R1313" t="s">
        <v>182</v>
      </c>
      <c r="S1313">
        <v>0</v>
      </c>
      <c r="T1313">
        <v>0</v>
      </c>
      <c r="U1313">
        <v>23</v>
      </c>
      <c r="V1313" s="2">
        <f t="shared" si="204"/>
        <v>1</v>
      </c>
      <c r="W1313">
        <v>17.2</v>
      </c>
      <c r="X1313" s="2">
        <f t="shared" si="205"/>
        <v>1</v>
      </c>
      <c r="Y1313">
        <v>165.1</v>
      </c>
      <c r="Z1313" s="2" t="str">
        <f>CHOOSE(MATCH(Y1313,{0;11;80;111;161;191;241;281;341},1),"North","NorthEast","East","SouthEast","South","SouthWest","West","NorthWest","North")</f>
        <v>South</v>
      </c>
      <c r="AA1313" s="4">
        <f>CHOOSE(MATCH(Z1313,{"South";"SouthEast";"SouthWest";"North";"NorthEast";"East";"West";"NorthWest"},0),1,2,3,4,5,6,7,8)</f>
        <v>1</v>
      </c>
      <c r="AB1313" s="2">
        <f t="shared" si="206"/>
        <v>0</v>
      </c>
      <c r="AC1313">
        <v>1011.8</v>
      </c>
      <c r="AD1313" t="s">
        <v>1207</v>
      </c>
      <c r="AE1313" s="2">
        <f t="shared" si="207"/>
        <v>1</v>
      </c>
      <c r="AF1313" t="s">
        <v>1923</v>
      </c>
      <c r="AG1313" s="2">
        <f t="shared" si="208"/>
        <v>10</v>
      </c>
      <c r="AH1313" s="2">
        <f t="shared" si="209"/>
        <v>0</v>
      </c>
      <c r="AI1313" s="3">
        <v>289.99999999185093</v>
      </c>
      <c r="AJ1313" s="2">
        <v>0</v>
      </c>
      <c r="AK1313">
        <v>0</v>
      </c>
      <c r="AL1313">
        <v>30</v>
      </c>
      <c r="AM1313">
        <v>0</v>
      </c>
      <c r="AN1313" s="2">
        <f>IF((2*G1313+M1313-O1313+3*V1313+2*AB1313+2*AE1313+2*AH1313+3*AJ1313)&gt;=7,1,0)</f>
        <v>1</v>
      </c>
    </row>
    <row r="1314" spans="1:40" x14ac:dyDescent="0.25">
      <c r="A1314" t="s">
        <v>27</v>
      </c>
      <c r="B1314" s="1">
        <v>40829</v>
      </c>
      <c r="C1314" s="6">
        <f t="shared" si="200"/>
        <v>2011</v>
      </c>
      <c r="D1314">
        <v>73.400000000000006</v>
      </c>
      <c r="E1314">
        <v>56.4</v>
      </c>
      <c r="F1314">
        <v>65</v>
      </c>
      <c r="G1314" s="2">
        <f t="shared" si="201"/>
        <v>0</v>
      </c>
      <c r="H1314">
        <v>73.400000000000006</v>
      </c>
      <c r="I1314">
        <v>56.4</v>
      </c>
      <c r="J1314">
        <v>65</v>
      </c>
      <c r="K1314">
        <v>56.3</v>
      </c>
      <c r="L1314">
        <v>73.900000000000006</v>
      </c>
      <c r="M1314" s="2">
        <f t="shared" si="202"/>
        <v>0</v>
      </c>
      <c r="N1314">
        <v>0</v>
      </c>
      <c r="O1314" s="2">
        <f t="shared" si="203"/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 s="2">
        <f t="shared" si="204"/>
        <v>0</v>
      </c>
      <c r="W1314">
        <v>13.9</v>
      </c>
      <c r="X1314" s="2">
        <f t="shared" si="205"/>
        <v>0</v>
      </c>
      <c r="Y1314">
        <v>268.39999999999998</v>
      </c>
      <c r="Z1314" s="2" t="str">
        <f>CHOOSE(MATCH(Y1314,{0;11;80;111;161;191;241;281;341},1),"North","NorthEast","East","SouthEast","South","SouthWest","West","NorthWest","North")</f>
        <v>West</v>
      </c>
      <c r="AA1314" s="4">
        <f>CHOOSE(MATCH(Z1314,{"South";"SouthEast";"SouthWest";"North";"NorthEast";"East";"West";"NorthWest"},0),1,2,3,4,5,6,7,8)</f>
        <v>7</v>
      </c>
      <c r="AB1314" s="2">
        <f t="shared" si="206"/>
        <v>0</v>
      </c>
      <c r="AC1314">
        <v>1015.7</v>
      </c>
      <c r="AD1314" t="s">
        <v>1924</v>
      </c>
      <c r="AE1314" s="2">
        <f t="shared" si="207"/>
        <v>0</v>
      </c>
      <c r="AF1314" t="s">
        <v>1925</v>
      </c>
      <c r="AG1314" s="2">
        <f t="shared" si="208"/>
        <v>10</v>
      </c>
      <c r="AH1314" s="2">
        <f t="shared" si="209"/>
        <v>0</v>
      </c>
      <c r="AI1314" s="3">
        <v>1575</v>
      </c>
      <c r="AJ1314" s="2">
        <v>1</v>
      </c>
      <c r="AK1314">
        <v>0</v>
      </c>
      <c r="AL1314">
        <v>20</v>
      </c>
      <c r="AM1314">
        <v>0</v>
      </c>
      <c r="AN1314" s="2">
        <f>IF((2*G1314+M1314-O1314+3*V1314+2*AB1314+2*AE1314+2*AH1314+3*AJ1314)&gt;=7,1,0)</f>
        <v>0</v>
      </c>
    </row>
    <row r="1315" spans="1:40" x14ac:dyDescent="0.25">
      <c r="A1315" t="s">
        <v>27</v>
      </c>
      <c r="B1315" s="1">
        <v>40830</v>
      </c>
      <c r="C1315" s="6">
        <f t="shared" si="200"/>
        <v>2011</v>
      </c>
      <c r="D1315">
        <v>75.2</v>
      </c>
      <c r="E1315">
        <v>59</v>
      </c>
      <c r="F1315">
        <v>66.599999999999994</v>
      </c>
      <c r="G1315" s="2">
        <f t="shared" si="201"/>
        <v>0</v>
      </c>
      <c r="H1315">
        <v>75.2</v>
      </c>
      <c r="I1315">
        <v>59</v>
      </c>
      <c r="J1315">
        <v>66.599999999999994</v>
      </c>
      <c r="K1315">
        <v>57.1</v>
      </c>
      <c r="L1315">
        <v>72.900000000000006</v>
      </c>
      <c r="M1315" s="2">
        <f t="shared" si="202"/>
        <v>0</v>
      </c>
      <c r="N1315">
        <v>0</v>
      </c>
      <c r="O1315" s="2">
        <f t="shared" si="203"/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 s="2">
        <f t="shared" si="204"/>
        <v>0</v>
      </c>
      <c r="W1315">
        <v>9.1999999999999993</v>
      </c>
      <c r="X1315" s="2">
        <f t="shared" si="205"/>
        <v>0</v>
      </c>
      <c r="Y1315">
        <v>188.3</v>
      </c>
      <c r="Z1315" s="2" t="str">
        <f>CHOOSE(MATCH(Y1315,{0;11;80;111;161;191;241;281;341},1),"North","NorthEast","East","SouthEast","South","SouthWest","West","NorthWest","North")</f>
        <v>South</v>
      </c>
      <c r="AA1315" s="4">
        <f>CHOOSE(MATCH(Z1315,{"South";"SouthEast";"SouthWest";"North";"NorthEast";"East";"West";"NorthWest"},0),1,2,3,4,5,6,7,8)</f>
        <v>1</v>
      </c>
      <c r="AB1315" s="2">
        <f t="shared" si="206"/>
        <v>0</v>
      </c>
      <c r="AC1315">
        <v>1015.7</v>
      </c>
      <c r="AD1315" t="s">
        <v>1184</v>
      </c>
      <c r="AE1315" s="2">
        <f t="shared" si="207"/>
        <v>1</v>
      </c>
      <c r="AF1315" t="s">
        <v>1926</v>
      </c>
      <c r="AG1315" s="2">
        <f t="shared" si="208"/>
        <v>10</v>
      </c>
      <c r="AH1315" s="2">
        <f t="shared" si="209"/>
        <v>0</v>
      </c>
      <c r="AI1315" s="3">
        <v>220.00000000465661</v>
      </c>
      <c r="AJ1315" s="2">
        <v>0</v>
      </c>
      <c r="AK1315">
        <v>2</v>
      </c>
      <c r="AL1315">
        <v>0</v>
      </c>
      <c r="AM1315">
        <v>0</v>
      </c>
      <c r="AN1315" s="2">
        <f>IF((2*G1315+M1315-O1315+3*V1315+2*AB1315+2*AE1315+2*AH1315+3*AJ1315)&gt;=7,1,0)</f>
        <v>0</v>
      </c>
    </row>
    <row r="1316" spans="1:40" x14ac:dyDescent="0.25">
      <c r="A1316" t="s">
        <v>27</v>
      </c>
      <c r="B1316" s="1">
        <v>40834</v>
      </c>
      <c r="C1316" s="6">
        <f t="shared" si="200"/>
        <v>2011</v>
      </c>
      <c r="D1316">
        <v>64.400000000000006</v>
      </c>
      <c r="E1316">
        <v>55.4</v>
      </c>
      <c r="F1316">
        <v>59.3</v>
      </c>
      <c r="G1316" s="2">
        <f t="shared" si="201"/>
        <v>0</v>
      </c>
      <c r="H1316">
        <v>64.400000000000006</v>
      </c>
      <c r="I1316">
        <v>55.4</v>
      </c>
      <c r="J1316">
        <v>59.3</v>
      </c>
      <c r="K1316">
        <v>49.2</v>
      </c>
      <c r="L1316">
        <v>70</v>
      </c>
      <c r="M1316" s="2">
        <f t="shared" si="202"/>
        <v>0</v>
      </c>
      <c r="N1316">
        <v>0.27900000000000003</v>
      </c>
      <c r="O1316" s="2">
        <f t="shared" si="203"/>
        <v>0</v>
      </c>
      <c r="P1316">
        <v>100</v>
      </c>
      <c r="Q1316">
        <v>8.33</v>
      </c>
      <c r="R1316" t="s">
        <v>182</v>
      </c>
      <c r="S1316">
        <v>0</v>
      </c>
      <c r="T1316">
        <v>0</v>
      </c>
      <c r="U1316">
        <v>0</v>
      </c>
      <c r="V1316" s="2">
        <f t="shared" si="204"/>
        <v>0</v>
      </c>
      <c r="W1316">
        <v>17.2</v>
      </c>
      <c r="X1316" s="2">
        <f t="shared" si="205"/>
        <v>1</v>
      </c>
      <c r="Y1316">
        <v>334.7</v>
      </c>
      <c r="Z1316" s="2" t="str">
        <f>CHOOSE(MATCH(Y1316,{0;11;80;111;161;191;241;281;341},1),"North","NorthEast","East","SouthEast","South","SouthWest","West","NorthWest","North")</f>
        <v>NorthWest</v>
      </c>
      <c r="AA1316" s="4">
        <f>CHOOSE(MATCH(Z1316,{"South";"SouthEast";"SouthWest";"North";"NorthEast";"East";"West";"NorthWest"},0),1,2,3,4,5,6,7,8)</f>
        <v>8</v>
      </c>
      <c r="AB1316" s="2">
        <f t="shared" si="206"/>
        <v>1</v>
      </c>
      <c r="AC1316">
        <v>1020.5</v>
      </c>
      <c r="AD1316" t="s">
        <v>1785</v>
      </c>
      <c r="AE1316" s="2">
        <f t="shared" si="207"/>
        <v>1</v>
      </c>
      <c r="AF1316" t="s">
        <v>1927</v>
      </c>
      <c r="AG1316" s="2">
        <f t="shared" si="208"/>
        <v>10</v>
      </c>
      <c r="AH1316" s="2">
        <f t="shared" si="209"/>
        <v>0</v>
      </c>
      <c r="AI1316" s="3">
        <v>259.99999999883579</v>
      </c>
      <c r="AJ1316" s="2">
        <v>0</v>
      </c>
      <c r="AK1316">
        <v>0</v>
      </c>
      <c r="AL1316">
        <v>0.5</v>
      </c>
      <c r="AM1316">
        <v>0</v>
      </c>
      <c r="AN1316" s="2">
        <f>IF((2*G1316+M1316-O1316+3*V1316+2*AB1316+2*AE1316+2*AH1316+3*AJ1316)&gt;=7,1,0)</f>
        <v>0</v>
      </c>
    </row>
    <row r="1317" spans="1:40" x14ac:dyDescent="0.25">
      <c r="A1317" t="s">
        <v>27</v>
      </c>
      <c r="B1317" s="1">
        <v>40835</v>
      </c>
      <c r="C1317" s="6">
        <f t="shared" si="200"/>
        <v>2011</v>
      </c>
      <c r="D1317">
        <v>66.3</v>
      </c>
      <c r="E1317">
        <v>50</v>
      </c>
      <c r="F1317">
        <v>58.5</v>
      </c>
      <c r="G1317" s="2">
        <f t="shared" si="201"/>
        <v>0</v>
      </c>
      <c r="H1317">
        <v>66.3</v>
      </c>
      <c r="I1317">
        <v>50</v>
      </c>
      <c r="J1317">
        <v>58.5</v>
      </c>
      <c r="K1317">
        <v>47.9</v>
      </c>
      <c r="L1317">
        <v>68.7</v>
      </c>
      <c r="M1317" s="2">
        <f t="shared" si="202"/>
        <v>0</v>
      </c>
      <c r="N1317">
        <v>0</v>
      </c>
      <c r="O1317" s="2">
        <f t="shared" si="203"/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 s="2">
        <f t="shared" si="204"/>
        <v>0</v>
      </c>
      <c r="W1317">
        <v>9.1999999999999993</v>
      </c>
      <c r="X1317" s="2">
        <f t="shared" si="205"/>
        <v>0</v>
      </c>
      <c r="Y1317">
        <v>254.2</v>
      </c>
      <c r="Z1317" s="2" t="str">
        <f>CHOOSE(MATCH(Y1317,{0;11;80;111;161;191;241;281;341},1),"North","NorthEast","East","SouthEast","South","SouthWest","West","NorthWest","North")</f>
        <v>West</v>
      </c>
      <c r="AA1317" s="4">
        <f>CHOOSE(MATCH(Z1317,{"South";"SouthEast";"SouthWest";"North";"NorthEast";"East";"West";"NorthWest"},0),1,2,3,4,5,6,7,8)</f>
        <v>7</v>
      </c>
      <c r="AB1317" s="2">
        <f t="shared" si="206"/>
        <v>0</v>
      </c>
      <c r="AC1317">
        <v>1024.5</v>
      </c>
      <c r="AD1317" t="s">
        <v>1798</v>
      </c>
      <c r="AE1317" s="2">
        <f t="shared" si="207"/>
        <v>0</v>
      </c>
      <c r="AF1317" t="s">
        <v>1928</v>
      </c>
      <c r="AG1317" s="2">
        <f t="shared" si="208"/>
        <v>10</v>
      </c>
      <c r="AH1317" s="2">
        <f t="shared" si="209"/>
        <v>0</v>
      </c>
      <c r="AI1317" s="3">
        <v>95.000000005820766</v>
      </c>
      <c r="AJ1317" s="2">
        <v>0</v>
      </c>
      <c r="AK1317">
        <v>0</v>
      </c>
      <c r="AL1317">
        <v>1.5</v>
      </c>
      <c r="AM1317">
        <v>0</v>
      </c>
      <c r="AN1317" s="2">
        <f>IF((2*G1317+M1317-O1317+3*V1317+2*AB1317+2*AE1317+2*AH1317+3*AJ1317)&gt;=7,1,0)</f>
        <v>0</v>
      </c>
    </row>
    <row r="1318" spans="1:40" x14ac:dyDescent="0.25">
      <c r="A1318" t="s">
        <v>27</v>
      </c>
      <c r="B1318" s="1">
        <v>40835</v>
      </c>
      <c r="C1318" s="6">
        <f t="shared" si="200"/>
        <v>2011</v>
      </c>
      <c r="D1318">
        <v>66.3</v>
      </c>
      <c r="E1318">
        <v>50</v>
      </c>
      <c r="F1318">
        <v>58.5</v>
      </c>
      <c r="G1318" s="2">
        <f t="shared" si="201"/>
        <v>0</v>
      </c>
      <c r="H1318">
        <v>66.3</v>
      </c>
      <c r="I1318">
        <v>50</v>
      </c>
      <c r="J1318">
        <v>58.5</v>
      </c>
      <c r="K1318">
        <v>47.9</v>
      </c>
      <c r="L1318">
        <v>68.7</v>
      </c>
      <c r="M1318" s="2">
        <f t="shared" si="202"/>
        <v>0</v>
      </c>
      <c r="N1318">
        <v>0</v>
      </c>
      <c r="O1318" s="2">
        <f t="shared" si="203"/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 s="2">
        <f t="shared" si="204"/>
        <v>0</v>
      </c>
      <c r="W1318">
        <v>9.1999999999999993</v>
      </c>
      <c r="X1318" s="2">
        <f t="shared" si="205"/>
        <v>0</v>
      </c>
      <c r="Y1318">
        <v>254.2</v>
      </c>
      <c r="Z1318" s="2" t="str">
        <f>CHOOSE(MATCH(Y1318,{0;11;80;111;161;191;241;281;341},1),"North","NorthEast","East","SouthEast","South","SouthWest","West","NorthWest","North")</f>
        <v>West</v>
      </c>
      <c r="AA1318" s="4">
        <f>CHOOSE(MATCH(Z1318,{"South";"SouthEast";"SouthWest";"North";"NorthEast";"East";"West";"NorthWest"},0),1,2,3,4,5,6,7,8)</f>
        <v>7</v>
      </c>
      <c r="AB1318" s="2">
        <f t="shared" si="206"/>
        <v>0</v>
      </c>
      <c r="AC1318">
        <v>1024.5</v>
      </c>
      <c r="AD1318" t="s">
        <v>1113</v>
      </c>
      <c r="AE1318" s="2">
        <f t="shared" si="207"/>
        <v>1</v>
      </c>
      <c r="AF1318" t="s">
        <v>1929</v>
      </c>
      <c r="AG1318" s="2">
        <f t="shared" si="208"/>
        <v>10</v>
      </c>
      <c r="AH1318" s="2">
        <f t="shared" si="209"/>
        <v>0</v>
      </c>
      <c r="AI1318" s="3">
        <v>94.999999995343387</v>
      </c>
      <c r="AJ1318" s="2">
        <v>0</v>
      </c>
      <c r="AK1318">
        <v>0</v>
      </c>
      <c r="AL1318">
        <v>0.5</v>
      </c>
      <c r="AM1318">
        <v>0</v>
      </c>
      <c r="AN1318" s="2">
        <f>IF((2*G1318+M1318-O1318+3*V1318+2*AB1318+2*AE1318+2*AH1318+3*AJ1318)&gt;=7,1,0)</f>
        <v>0</v>
      </c>
    </row>
    <row r="1319" spans="1:40" x14ac:dyDescent="0.25">
      <c r="A1319" t="s">
        <v>27</v>
      </c>
      <c r="B1319" s="1">
        <v>40837</v>
      </c>
      <c r="C1319" s="6">
        <f t="shared" si="200"/>
        <v>2011</v>
      </c>
      <c r="D1319">
        <v>69.8</v>
      </c>
      <c r="E1319">
        <v>53.6</v>
      </c>
      <c r="F1319">
        <v>61</v>
      </c>
      <c r="G1319" s="2">
        <f t="shared" si="201"/>
        <v>0</v>
      </c>
      <c r="H1319">
        <v>69.8</v>
      </c>
      <c r="I1319">
        <v>53.6</v>
      </c>
      <c r="J1319">
        <v>61</v>
      </c>
      <c r="K1319">
        <v>53.6</v>
      </c>
      <c r="L1319">
        <v>77.099999999999994</v>
      </c>
      <c r="M1319" s="2">
        <f t="shared" si="202"/>
        <v>0</v>
      </c>
      <c r="N1319">
        <v>0</v>
      </c>
      <c r="O1319" s="2">
        <f t="shared" si="203"/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 s="2">
        <f t="shared" si="204"/>
        <v>0</v>
      </c>
      <c r="W1319">
        <v>9.1999999999999993</v>
      </c>
      <c r="X1319" s="2">
        <f t="shared" si="205"/>
        <v>0</v>
      </c>
      <c r="Y1319">
        <v>258.39999999999998</v>
      </c>
      <c r="Z1319" s="2" t="str">
        <f>CHOOSE(MATCH(Y1319,{0;11;80;111;161;191;241;281;341},1),"North","NorthEast","East","SouthEast","South","SouthWest","West","NorthWest","North")</f>
        <v>West</v>
      </c>
      <c r="AA1319" s="4">
        <f>CHOOSE(MATCH(Z1319,{"South";"SouthEast";"SouthWest";"North";"NorthEast";"East";"West";"NorthWest"},0),1,2,3,4,5,6,7,8)</f>
        <v>7</v>
      </c>
      <c r="AB1319" s="2">
        <f t="shared" si="206"/>
        <v>0</v>
      </c>
      <c r="AC1319">
        <v>1019.7</v>
      </c>
      <c r="AD1319" t="s">
        <v>1930</v>
      </c>
      <c r="AE1319" s="2">
        <f t="shared" si="207"/>
        <v>1</v>
      </c>
      <c r="AF1319" t="s">
        <v>1931</v>
      </c>
      <c r="AG1319" s="2">
        <f t="shared" si="208"/>
        <v>10</v>
      </c>
      <c r="AH1319" s="2">
        <f t="shared" si="209"/>
        <v>0</v>
      </c>
      <c r="AI1319" s="3">
        <v>147.00000000768341</v>
      </c>
      <c r="AJ1319" s="2">
        <v>0</v>
      </c>
      <c r="AK1319">
        <v>0</v>
      </c>
      <c r="AL1319">
        <v>1</v>
      </c>
      <c r="AM1319">
        <v>0</v>
      </c>
      <c r="AN1319" s="2">
        <f>IF((2*G1319+M1319-O1319+3*V1319+2*AB1319+2*AE1319+2*AH1319+3*AJ1319)&gt;=7,1,0)</f>
        <v>0</v>
      </c>
    </row>
    <row r="1320" spans="1:40" x14ac:dyDescent="0.25">
      <c r="A1320" t="s">
        <v>27</v>
      </c>
      <c r="B1320" s="1">
        <v>40840</v>
      </c>
      <c r="C1320" s="6">
        <f t="shared" si="200"/>
        <v>2011</v>
      </c>
      <c r="D1320">
        <v>71.599999999999994</v>
      </c>
      <c r="E1320">
        <v>60.3</v>
      </c>
      <c r="F1320">
        <v>65.8</v>
      </c>
      <c r="G1320" s="2">
        <f t="shared" si="201"/>
        <v>0</v>
      </c>
      <c r="H1320">
        <v>71.599999999999994</v>
      </c>
      <c r="I1320">
        <v>60.3</v>
      </c>
      <c r="J1320">
        <v>65.8</v>
      </c>
      <c r="K1320">
        <v>56.3</v>
      </c>
      <c r="L1320">
        <v>71.8</v>
      </c>
      <c r="M1320" s="2">
        <f t="shared" si="202"/>
        <v>0</v>
      </c>
      <c r="N1320">
        <v>0</v>
      </c>
      <c r="O1320" s="2">
        <f t="shared" si="203"/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 s="2">
        <f t="shared" si="204"/>
        <v>0</v>
      </c>
      <c r="W1320">
        <v>16.100000000000001</v>
      </c>
      <c r="X1320" s="2">
        <f t="shared" si="205"/>
        <v>1</v>
      </c>
      <c r="Y1320">
        <v>333.5</v>
      </c>
      <c r="Z1320" s="2" t="str">
        <f>CHOOSE(MATCH(Y1320,{0;11;80;111;161;191;241;281;341},1),"North","NorthEast","East","SouthEast","South","SouthWest","West","NorthWest","North")</f>
        <v>NorthWest</v>
      </c>
      <c r="AA1320" s="4">
        <f>CHOOSE(MATCH(Z1320,{"South";"SouthEast";"SouthWest";"North";"NorthEast";"East";"West";"NorthWest"},0),1,2,3,4,5,6,7,8)</f>
        <v>8</v>
      </c>
      <c r="AB1320" s="2">
        <f t="shared" si="206"/>
        <v>1</v>
      </c>
      <c r="AC1320">
        <v>1015.8</v>
      </c>
      <c r="AD1320" t="s">
        <v>1785</v>
      </c>
      <c r="AE1320" s="2">
        <f t="shared" si="207"/>
        <v>1</v>
      </c>
      <c r="AF1320" t="s">
        <v>1932</v>
      </c>
      <c r="AG1320" s="2">
        <f t="shared" si="208"/>
        <v>10</v>
      </c>
      <c r="AH1320" s="2">
        <f t="shared" si="209"/>
        <v>0</v>
      </c>
      <c r="AI1320" s="3">
        <v>90</v>
      </c>
      <c r="AJ1320" s="2">
        <v>0</v>
      </c>
      <c r="AK1320">
        <v>0</v>
      </c>
      <c r="AL1320">
        <v>1</v>
      </c>
      <c r="AM1320">
        <v>0</v>
      </c>
      <c r="AN1320" s="2">
        <f>IF((2*G1320+M1320-O1320+3*V1320+2*AB1320+2*AE1320+2*AH1320+3*AJ1320)&gt;=7,1,0)</f>
        <v>0</v>
      </c>
    </row>
    <row r="1321" spans="1:40" x14ac:dyDescent="0.25">
      <c r="A1321" t="s">
        <v>27</v>
      </c>
      <c r="B1321" s="1">
        <v>40842</v>
      </c>
      <c r="C1321" s="6">
        <f t="shared" si="200"/>
        <v>2011</v>
      </c>
      <c r="D1321">
        <v>68</v>
      </c>
      <c r="E1321">
        <v>60</v>
      </c>
      <c r="F1321">
        <v>65.2</v>
      </c>
      <c r="G1321" s="2">
        <f t="shared" si="201"/>
        <v>0</v>
      </c>
      <c r="H1321">
        <v>68</v>
      </c>
      <c r="I1321">
        <v>60</v>
      </c>
      <c r="J1321">
        <v>65.2</v>
      </c>
      <c r="K1321">
        <v>56.6</v>
      </c>
      <c r="L1321">
        <v>73.900000000000006</v>
      </c>
      <c r="M1321" s="2">
        <f t="shared" si="202"/>
        <v>0</v>
      </c>
      <c r="N1321">
        <v>0.02</v>
      </c>
      <c r="O1321" s="2">
        <f t="shared" si="203"/>
        <v>0</v>
      </c>
      <c r="P1321">
        <v>100</v>
      </c>
      <c r="Q1321">
        <v>4.17</v>
      </c>
      <c r="R1321" t="s">
        <v>182</v>
      </c>
      <c r="S1321">
        <v>0</v>
      </c>
      <c r="T1321">
        <v>0</v>
      </c>
      <c r="U1321">
        <v>0</v>
      </c>
      <c r="V1321" s="2">
        <f t="shared" si="204"/>
        <v>0</v>
      </c>
      <c r="W1321">
        <v>23</v>
      </c>
      <c r="X1321" s="2">
        <f t="shared" si="205"/>
        <v>1</v>
      </c>
      <c r="Y1321">
        <v>348.6</v>
      </c>
      <c r="Z1321" s="2" t="str">
        <f>CHOOSE(MATCH(Y1321,{0;11;80;111;161;191;241;281;341},1),"North","NorthEast","East","SouthEast","South","SouthWest","West","NorthWest","North")</f>
        <v>North</v>
      </c>
      <c r="AA1321" s="4">
        <f>CHOOSE(MATCH(Z1321,{"South";"SouthEast";"SouthWest";"North";"NorthEast";"East";"West";"NorthWest"},0),1,2,3,4,5,6,7,8)</f>
        <v>4</v>
      </c>
      <c r="AB1321" s="2">
        <f t="shared" si="206"/>
        <v>1</v>
      </c>
      <c r="AC1321">
        <v>1016.7</v>
      </c>
      <c r="AD1321" t="s">
        <v>1224</v>
      </c>
      <c r="AE1321" s="2">
        <f t="shared" si="207"/>
        <v>1</v>
      </c>
      <c r="AF1321" t="s">
        <v>1933</v>
      </c>
      <c r="AG1321" s="2">
        <f t="shared" si="208"/>
        <v>10</v>
      </c>
      <c r="AH1321" s="2">
        <f t="shared" si="209"/>
        <v>0</v>
      </c>
      <c r="AI1321" s="3">
        <v>235.00000000116421</v>
      </c>
      <c r="AJ1321" s="2">
        <v>0</v>
      </c>
      <c r="AK1321">
        <v>0</v>
      </c>
      <c r="AL1321">
        <v>25</v>
      </c>
      <c r="AM1321">
        <v>0</v>
      </c>
      <c r="AN1321" s="2">
        <f>IF((2*G1321+M1321-O1321+3*V1321+2*AB1321+2*AE1321+2*AH1321+3*AJ1321)&gt;=7,1,0)</f>
        <v>0</v>
      </c>
    </row>
    <row r="1322" spans="1:40" x14ac:dyDescent="0.25">
      <c r="A1322" t="s">
        <v>27</v>
      </c>
      <c r="B1322" s="1">
        <v>40845</v>
      </c>
      <c r="C1322" s="6">
        <f t="shared" si="200"/>
        <v>2011</v>
      </c>
      <c r="D1322">
        <v>64.400000000000006</v>
      </c>
      <c r="E1322">
        <v>62.6</v>
      </c>
      <c r="F1322">
        <v>63</v>
      </c>
      <c r="G1322" s="2">
        <f t="shared" si="201"/>
        <v>0</v>
      </c>
      <c r="H1322">
        <v>64.400000000000006</v>
      </c>
      <c r="I1322">
        <v>62.6</v>
      </c>
      <c r="J1322">
        <v>63</v>
      </c>
      <c r="K1322">
        <v>51.1</v>
      </c>
      <c r="L1322">
        <v>65.3</v>
      </c>
      <c r="M1322" s="2">
        <f t="shared" si="202"/>
        <v>1</v>
      </c>
      <c r="N1322">
        <v>0</v>
      </c>
      <c r="O1322" s="2">
        <f t="shared" si="203"/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 s="2">
        <f t="shared" si="204"/>
        <v>0</v>
      </c>
      <c r="W1322">
        <v>28.9</v>
      </c>
      <c r="X1322" s="2">
        <f t="shared" si="205"/>
        <v>1</v>
      </c>
      <c r="Y1322">
        <v>328.7</v>
      </c>
      <c r="Z1322" s="2" t="str">
        <f>CHOOSE(MATCH(Y1322,{0;11;80;111;161;191;241;281;341},1),"North","NorthEast","East","SouthEast","South","SouthWest","West","NorthWest","North")</f>
        <v>NorthWest</v>
      </c>
      <c r="AA1322" s="4">
        <f>CHOOSE(MATCH(Z1322,{"South";"SouthEast";"SouthWest";"North";"NorthEast";"East";"West";"NorthWest"},0),1,2,3,4,5,6,7,8)</f>
        <v>8</v>
      </c>
      <c r="AB1322" s="2">
        <f t="shared" si="206"/>
        <v>1</v>
      </c>
      <c r="AC1322">
        <v>1020.8</v>
      </c>
      <c r="AD1322" t="s">
        <v>1119</v>
      </c>
      <c r="AE1322" s="2">
        <f t="shared" si="207"/>
        <v>0</v>
      </c>
      <c r="AF1322" t="s">
        <v>1934</v>
      </c>
      <c r="AG1322" s="2">
        <f t="shared" si="208"/>
        <v>10</v>
      </c>
      <c r="AH1322" s="2">
        <f t="shared" si="209"/>
        <v>0</v>
      </c>
      <c r="AI1322" s="3">
        <v>194.99999999650751</v>
      </c>
      <c r="AJ1322" s="2">
        <v>0</v>
      </c>
      <c r="AK1322">
        <v>0</v>
      </c>
      <c r="AL1322">
        <v>0.1</v>
      </c>
      <c r="AM1322">
        <v>0</v>
      </c>
      <c r="AN1322" s="2">
        <f>IF((2*G1322+M1322-O1322+3*V1322+2*AB1322+2*AE1322+2*AH1322+3*AJ1322)&gt;=7,1,0)</f>
        <v>0</v>
      </c>
    </row>
    <row r="1323" spans="1:40" x14ac:dyDescent="0.25">
      <c r="A1323" t="s">
        <v>27</v>
      </c>
      <c r="B1323" s="1">
        <v>40846</v>
      </c>
      <c r="C1323" s="6">
        <f t="shared" si="200"/>
        <v>2011</v>
      </c>
      <c r="D1323">
        <v>64.400000000000006</v>
      </c>
      <c r="E1323">
        <v>56.2</v>
      </c>
      <c r="F1323">
        <v>61.8</v>
      </c>
      <c r="G1323" s="2">
        <f t="shared" si="201"/>
        <v>0</v>
      </c>
      <c r="H1323">
        <v>64.400000000000006</v>
      </c>
      <c r="I1323">
        <v>56.2</v>
      </c>
      <c r="J1323">
        <v>61.8</v>
      </c>
      <c r="K1323">
        <v>48.8</v>
      </c>
      <c r="L1323">
        <v>62.4</v>
      </c>
      <c r="M1323" s="2">
        <f t="shared" si="202"/>
        <v>1</v>
      </c>
      <c r="N1323">
        <v>0</v>
      </c>
      <c r="O1323" s="2">
        <f t="shared" si="203"/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 s="2">
        <f t="shared" si="204"/>
        <v>0</v>
      </c>
      <c r="W1323">
        <v>27.5</v>
      </c>
      <c r="X1323" s="2">
        <f t="shared" si="205"/>
        <v>1</v>
      </c>
      <c r="Y1323">
        <v>336</v>
      </c>
      <c r="Z1323" s="2" t="str">
        <f>CHOOSE(MATCH(Y1323,{0;11;80;111;161;191;241;281;341},1),"North","NorthEast","East","SouthEast","South","SouthWest","West","NorthWest","North")</f>
        <v>NorthWest</v>
      </c>
      <c r="AA1323" s="4">
        <f>CHOOSE(MATCH(Z1323,{"South";"SouthEast";"SouthWest";"North";"NorthEast";"East";"West";"NorthWest"},0),1,2,3,4,5,6,7,8)</f>
        <v>8</v>
      </c>
      <c r="AB1323" s="2">
        <f t="shared" si="206"/>
        <v>1</v>
      </c>
      <c r="AC1323">
        <v>1019.8</v>
      </c>
      <c r="AD1323" t="s">
        <v>1935</v>
      </c>
      <c r="AE1323" s="2">
        <f t="shared" si="207"/>
        <v>1</v>
      </c>
      <c r="AF1323" t="s">
        <v>1936</v>
      </c>
      <c r="AG1323" s="2">
        <f t="shared" si="208"/>
        <v>10</v>
      </c>
      <c r="AH1323" s="2">
        <f t="shared" si="209"/>
        <v>0</v>
      </c>
      <c r="AI1323" s="3">
        <v>100.0000000011642</v>
      </c>
      <c r="AJ1323" s="2">
        <v>0</v>
      </c>
      <c r="AK1323">
        <v>0</v>
      </c>
      <c r="AL1323">
        <v>0.1</v>
      </c>
      <c r="AM1323">
        <v>0</v>
      </c>
      <c r="AN1323" s="2">
        <f>IF((2*G1323+M1323-O1323+3*V1323+2*AB1323+2*AE1323+2*AH1323+3*AJ1323)&gt;=7,1,0)</f>
        <v>0</v>
      </c>
    </row>
    <row r="1324" spans="1:40" x14ac:dyDescent="0.25">
      <c r="A1324" t="s">
        <v>27</v>
      </c>
      <c r="B1324" s="1">
        <v>40846</v>
      </c>
      <c r="C1324" s="6">
        <f t="shared" si="200"/>
        <v>2011</v>
      </c>
      <c r="D1324">
        <v>64.400000000000006</v>
      </c>
      <c r="E1324">
        <v>56.2</v>
      </c>
      <c r="F1324">
        <v>61.8</v>
      </c>
      <c r="G1324" s="2">
        <f t="shared" si="201"/>
        <v>0</v>
      </c>
      <c r="H1324">
        <v>64.400000000000006</v>
      </c>
      <c r="I1324">
        <v>56.2</v>
      </c>
      <c r="J1324">
        <v>61.8</v>
      </c>
      <c r="K1324">
        <v>48.8</v>
      </c>
      <c r="L1324">
        <v>62.4</v>
      </c>
      <c r="M1324" s="2">
        <f t="shared" si="202"/>
        <v>1</v>
      </c>
      <c r="N1324">
        <v>0</v>
      </c>
      <c r="O1324" s="2">
        <f t="shared" si="203"/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 s="2">
        <f t="shared" si="204"/>
        <v>0</v>
      </c>
      <c r="W1324">
        <v>27.5</v>
      </c>
      <c r="X1324" s="2">
        <f t="shared" si="205"/>
        <v>1</v>
      </c>
      <c r="Y1324">
        <v>336</v>
      </c>
      <c r="Z1324" s="2" t="str">
        <f>CHOOSE(MATCH(Y1324,{0;11;80;111;161;191;241;281;341},1),"North","NorthEast","East","SouthEast","South","SouthWest","West","NorthWest","North")</f>
        <v>NorthWest</v>
      </c>
      <c r="AA1324" s="4">
        <f>CHOOSE(MATCH(Z1324,{"South";"SouthEast";"SouthWest";"North";"NorthEast";"East";"West";"NorthWest"},0),1,2,3,4,5,6,7,8)</f>
        <v>8</v>
      </c>
      <c r="AB1324" s="2">
        <f t="shared" si="206"/>
        <v>1</v>
      </c>
      <c r="AC1324">
        <v>1019.8</v>
      </c>
      <c r="AD1324" t="s">
        <v>1184</v>
      </c>
      <c r="AE1324" s="2">
        <f t="shared" si="207"/>
        <v>1</v>
      </c>
      <c r="AF1324" t="s">
        <v>1937</v>
      </c>
      <c r="AG1324" s="2">
        <f t="shared" si="208"/>
        <v>10</v>
      </c>
      <c r="AH1324" s="2">
        <f t="shared" si="209"/>
        <v>0</v>
      </c>
      <c r="AI1324" s="3">
        <v>50.000000005820773</v>
      </c>
      <c r="AJ1324" s="2">
        <v>0</v>
      </c>
      <c r="AK1324">
        <v>0</v>
      </c>
      <c r="AL1324">
        <v>2</v>
      </c>
      <c r="AM1324">
        <v>0</v>
      </c>
      <c r="AN1324" s="2">
        <f>IF((2*G1324+M1324-O1324+3*V1324+2*AB1324+2*AE1324+2*AH1324+3*AJ1324)&gt;=7,1,0)</f>
        <v>0</v>
      </c>
    </row>
    <row r="1325" spans="1:40" x14ac:dyDescent="0.25">
      <c r="A1325" t="s">
        <v>27</v>
      </c>
      <c r="B1325" s="1">
        <v>40846</v>
      </c>
      <c r="C1325" s="6">
        <f t="shared" si="200"/>
        <v>2011</v>
      </c>
      <c r="D1325">
        <v>64.400000000000006</v>
      </c>
      <c r="E1325">
        <v>56.2</v>
      </c>
      <c r="F1325">
        <v>61.8</v>
      </c>
      <c r="G1325" s="2">
        <f t="shared" si="201"/>
        <v>0</v>
      </c>
      <c r="H1325">
        <v>64.400000000000006</v>
      </c>
      <c r="I1325">
        <v>56.2</v>
      </c>
      <c r="J1325">
        <v>61.8</v>
      </c>
      <c r="K1325">
        <v>48.8</v>
      </c>
      <c r="L1325">
        <v>62.4</v>
      </c>
      <c r="M1325" s="2">
        <f t="shared" si="202"/>
        <v>1</v>
      </c>
      <c r="N1325">
        <v>0</v>
      </c>
      <c r="O1325" s="2">
        <f t="shared" si="203"/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 s="2">
        <f t="shared" si="204"/>
        <v>0</v>
      </c>
      <c r="W1325">
        <v>27.5</v>
      </c>
      <c r="X1325" s="2">
        <f t="shared" si="205"/>
        <v>1</v>
      </c>
      <c r="Y1325">
        <v>336</v>
      </c>
      <c r="Z1325" s="2" t="str">
        <f>CHOOSE(MATCH(Y1325,{0;11;80;111;161;191;241;281;341},1),"North","NorthEast","East","SouthEast","South","SouthWest","West","NorthWest","North")</f>
        <v>NorthWest</v>
      </c>
      <c r="AA1325" s="4">
        <f>CHOOSE(MATCH(Z1325,{"South";"SouthEast";"SouthWest";"North";"NorthEast";"East";"West";"NorthWest"},0),1,2,3,4,5,6,7,8)</f>
        <v>8</v>
      </c>
      <c r="AB1325" s="2">
        <f t="shared" si="206"/>
        <v>1</v>
      </c>
      <c r="AC1325">
        <v>1019.8</v>
      </c>
      <c r="AD1325" t="s">
        <v>1938</v>
      </c>
      <c r="AE1325" s="2">
        <f t="shared" si="207"/>
        <v>0</v>
      </c>
      <c r="AF1325" t="s">
        <v>1939</v>
      </c>
      <c r="AG1325" s="2">
        <f t="shared" si="208"/>
        <v>10</v>
      </c>
      <c r="AH1325" s="2">
        <f t="shared" si="209"/>
        <v>0</v>
      </c>
      <c r="AI1325" s="3">
        <v>55.000000001164153</v>
      </c>
      <c r="AJ1325" s="2">
        <v>0</v>
      </c>
      <c r="AK1325">
        <v>0</v>
      </c>
      <c r="AL1325">
        <v>1</v>
      </c>
      <c r="AM1325">
        <v>0</v>
      </c>
      <c r="AN1325" s="2">
        <f>IF((2*G1325+M1325-O1325+3*V1325+2*AB1325+2*AE1325+2*AH1325+3*AJ1325)&gt;=7,1,0)</f>
        <v>0</v>
      </c>
    </row>
    <row r="1326" spans="1:40" x14ac:dyDescent="0.25">
      <c r="A1326" t="s">
        <v>27</v>
      </c>
      <c r="B1326" s="1">
        <v>40846</v>
      </c>
      <c r="C1326" s="6">
        <f t="shared" si="200"/>
        <v>2011</v>
      </c>
      <c r="D1326">
        <v>64.400000000000006</v>
      </c>
      <c r="E1326">
        <v>56.2</v>
      </c>
      <c r="F1326">
        <v>61.8</v>
      </c>
      <c r="G1326" s="2">
        <f t="shared" si="201"/>
        <v>0</v>
      </c>
      <c r="H1326">
        <v>64.400000000000006</v>
      </c>
      <c r="I1326">
        <v>56.2</v>
      </c>
      <c r="J1326">
        <v>61.8</v>
      </c>
      <c r="K1326">
        <v>48.8</v>
      </c>
      <c r="L1326">
        <v>62.4</v>
      </c>
      <c r="M1326" s="2">
        <f t="shared" si="202"/>
        <v>1</v>
      </c>
      <c r="N1326">
        <v>0</v>
      </c>
      <c r="O1326" s="2">
        <f t="shared" si="203"/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 s="2">
        <f t="shared" si="204"/>
        <v>0</v>
      </c>
      <c r="W1326">
        <v>27.5</v>
      </c>
      <c r="X1326" s="2">
        <f t="shared" si="205"/>
        <v>1</v>
      </c>
      <c r="Y1326">
        <v>336</v>
      </c>
      <c r="Z1326" s="2" t="str">
        <f>CHOOSE(MATCH(Y1326,{0;11;80;111;161;191;241;281;341},1),"North","NorthEast","East","SouthEast","South","SouthWest","West","NorthWest","North")</f>
        <v>NorthWest</v>
      </c>
      <c r="AA1326" s="4">
        <f>CHOOSE(MATCH(Z1326,{"South";"SouthEast";"SouthWest";"North";"NorthEast";"East";"West";"NorthWest"},0),1,2,3,4,5,6,7,8)</f>
        <v>8</v>
      </c>
      <c r="AB1326" s="2">
        <f t="shared" si="206"/>
        <v>1</v>
      </c>
      <c r="AC1326">
        <v>1019.8</v>
      </c>
      <c r="AD1326" t="s">
        <v>1868</v>
      </c>
      <c r="AE1326" s="2">
        <f t="shared" si="207"/>
        <v>1</v>
      </c>
      <c r="AF1326" t="s">
        <v>1940</v>
      </c>
      <c r="AG1326" s="2">
        <f t="shared" si="208"/>
        <v>10</v>
      </c>
      <c r="AH1326" s="2">
        <f t="shared" si="209"/>
        <v>0</v>
      </c>
      <c r="AI1326" s="3">
        <v>235.00000000116421</v>
      </c>
      <c r="AJ1326" s="2">
        <v>0</v>
      </c>
      <c r="AK1326">
        <v>0</v>
      </c>
      <c r="AL1326">
        <v>0.3</v>
      </c>
      <c r="AM1326">
        <v>0</v>
      </c>
      <c r="AN1326" s="2">
        <f>IF((2*G1326+M1326-O1326+3*V1326+2*AB1326+2*AE1326+2*AH1326+3*AJ1326)&gt;=7,1,0)</f>
        <v>0</v>
      </c>
    </row>
    <row r="1327" spans="1:40" x14ac:dyDescent="0.25">
      <c r="A1327" t="s">
        <v>27</v>
      </c>
      <c r="B1327" s="1">
        <v>40847</v>
      </c>
      <c r="C1327" s="6">
        <f t="shared" si="200"/>
        <v>2011</v>
      </c>
      <c r="D1327">
        <v>64.400000000000006</v>
      </c>
      <c r="E1327">
        <v>60.8</v>
      </c>
      <c r="F1327">
        <v>61.6</v>
      </c>
      <c r="G1327" s="2">
        <f t="shared" si="201"/>
        <v>0</v>
      </c>
      <c r="H1327">
        <v>64.400000000000006</v>
      </c>
      <c r="I1327">
        <v>60.8</v>
      </c>
      <c r="J1327">
        <v>61.6</v>
      </c>
      <c r="K1327">
        <v>49.6</v>
      </c>
      <c r="L1327">
        <v>64.8</v>
      </c>
      <c r="M1327" s="2">
        <f t="shared" si="202"/>
        <v>1</v>
      </c>
      <c r="N1327">
        <v>0</v>
      </c>
      <c r="O1327" s="2">
        <f t="shared" si="203"/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 s="2">
        <f t="shared" si="204"/>
        <v>0</v>
      </c>
      <c r="W1327">
        <v>20.8</v>
      </c>
      <c r="X1327" s="2">
        <f t="shared" si="205"/>
        <v>1</v>
      </c>
      <c r="Y1327">
        <v>344.7</v>
      </c>
      <c r="Z1327" s="2" t="str">
        <f>CHOOSE(MATCH(Y1327,{0;11;80;111;161;191;241;281;341},1),"North","NorthEast","East","SouthEast","South","SouthWest","West","NorthWest","North")</f>
        <v>North</v>
      </c>
      <c r="AA1327" s="4">
        <f>CHOOSE(MATCH(Z1327,{"South";"SouthEast";"SouthWest";"North";"NorthEast";"East";"West";"NorthWest"},0),1,2,3,4,5,6,7,8)</f>
        <v>4</v>
      </c>
      <c r="AB1327" s="2">
        <f t="shared" si="206"/>
        <v>1</v>
      </c>
      <c r="AC1327">
        <v>1019.4</v>
      </c>
      <c r="AD1327" t="s">
        <v>1914</v>
      </c>
      <c r="AE1327" s="2">
        <f t="shared" si="207"/>
        <v>1</v>
      </c>
      <c r="AF1327" t="s">
        <v>1941</v>
      </c>
      <c r="AG1327" s="2">
        <f t="shared" si="208"/>
        <v>10</v>
      </c>
      <c r="AH1327" s="2">
        <f t="shared" si="209"/>
        <v>0</v>
      </c>
      <c r="AI1327" s="3">
        <v>794.99999999301508</v>
      </c>
      <c r="AJ1327" s="2">
        <v>1</v>
      </c>
      <c r="AK1327">
        <v>0</v>
      </c>
      <c r="AL1327">
        <v>60</v>
      </c>
      <c r="AM1327">
        <v>0</v>
      </c>
      <c r="AN1327" s="2">
        <f>IF((2*G1327+M1327-O1327+3*V1327+2*AB1327+2*AE1327+2*AH1327+3*AJ1327)&gt;=7,1,0)</f>
        <v>1</v>
      </c>
    </row>
    <row r="1328" spans="1:40" x14ac:dyDescent="0.25">
      <c r="A1328" t="s">
        <v>27</v>
      </c>
      <c r="B1328" s="1">
        <v>40847</v>
      </c>
      <c r="C1328" s="6">
        <f t="shared" si="200"/>
        <v>2011</v>
      </c>
      <c r="D1328">
        <v>64.400000000000006</v>
      </c>
      <c r="E1328">
        <v>60.8</v>
      </c>
      <c r="F1328">
        <v>61.6</v>
      </c>
      <c r="G1328" s="2">
        <f t="shared" si="201"/>
        <v>0</v>
      </c>
      <c r="H1328">
        <v>64.400000000000006</v>
      </c>
      <c r="I1328">
        <v>60.8</v>
      </c>
      <c r="J1328">
        <v>61.6</v>
      </c>
      <c r="K1328">
        <v>49.6</v>
      </c>
      <c r="L1328">
        <v>64.8</v>
      </c>
      <c r="M1328" s="2">
        <f t="shared" si="202"/>
        <v>1</v>
      </c>
      <c r="N1328">
        <v>0</v>
      </c>
      <c r="O1328" s="2">
        <f t="shared" si="203"/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 s="2">
        <f t="shared" si="204"/>
        <v>0</v>
      </c>
      <c r="W1328">
        <v>20.8</v>
      </c>
      <c r="X1328" s="2">
        <f t="shared" si="205"/>
        <v>1</v>
      </c>
      <c r="Y1328">
        <v>344.7</v>
      </c>
      <c r="Z1328" s="2" t="str">
        <f>CHOOSE(MATCH(Y1328,{0;11;80;111;161;191;241;281;341},1),"North","NorthEast","East","SouthEast","South","SouthWest","West","NorthWest","North")</f>
        <v>North</v>
      </c>
      <c r="AA1328" s="4">
        <f>CHOOSE(MATCH(Z1328,{"South";"SouthEast";"SouthWest";"North";"NorthEast";"East";"West";"NorthWest"},0),1,2,3,4,5,6,7,8)</f>
        <v>4</v>
      </c>
      <c r="AB1328" s="2">
        <f t="shared" si="206"/>
        <v>1</v>
      </c>
      <c r="AC1328">
        <v>1019.4</v>
      </c>
      <c r="AD1328" t="s">
        <v>1942</v>
      </c>
      <c r="AE1328" s="2">
        <f t="shared" si="207"/>
        <v>1</v>
      </c>
      <c r="AF1328" t="s">
        <v>1943</v>
      </c>
      <c r="AG1328" s="2">
        <f t="shared" si="208"/>
        <v>10</v>
      </c>
      <c r="AH1328" s="2">
        <f t="shared" si="209"/>
        <v>0</v>
      </c>
      <c r="AI1328" s="3">
        <v>1021.000000006752</v>
      </c>
      <c r="AJ1328" s="2">
        <v>1</v>
      </c>
      <c r="AK1328">
        <v>0</v>
      </c>
      <c r="AL1328">
        <v>90</v>
      </c>
      <c r="AM1328">
        <v>0</v>
      </c>
      <c r="AN1328" s="2">
        <f>IF((2*G1328+M1328-O1328+3*V1328+2*AB1328+2*AE1328+2*AH1328+3*AJ1328)&gt;=7,1,0)</f>
        <v>1</v>
      </c>
    </row>
    <row r="1329" spans="1:40" x14ac:dyDescent="0.25">
      <c r="A1329" t="s">
        <v>27</v>
      </c>
      <c r="B1329" s="1">
        <v>40849</v>
      </c>
      <c r="C1329" s="6">
        <f t="shared" si="200"/>
        <v>2011</v>
      </c>
      <c r="D1329">
        <v>60.8</v>
      </c>
      <c r="E1329">
        <v>57.2</v>
      </c>
      <c r="F1329">
        <v>59.2</v>
      </c>
      <c r="G1329" s="2">
        <f t="shared" si="201"/>
        <v>0</v>
      </c>
      <c r="H1329">
        <v>60.8</v>
      </c>
      <c r="I1329">
        <v>57.2</v>
      </c>
      <c r="J1329">
        <v>59.2</v>
      </c>
      <c r="K1329">
        <v>53.2</v>
      </c>
      <c r="L1329">
        <v>81</v>
      </c>
      <c r="M1329" s="2">
        <f t="shared" si="202"/>
        <v>0</v>
      </c>
      <c r="N1329">
        <v>0.11799999999999999</v>
      </c>
      <c r="O1329" s="2">
        <f t="shared" si="203"/>
        <v>0</v>
      </c>
      <c r="P1329">
        <v>100</v>
      </c>
      <c r="Q1329">
        <v>8.33</v>
      </c>
      <c r="R1329" t="s">
        <v>182</v>
      </c>
      <c r="S1329">
        <v>0</v>
      </c>
      <c r="T1329">
        <v>0</v>
      </c>
      <c r="U1329">
        <v>0</v>
      </c>
      <c r="V1329" s="2">
        <f t="shared" si="204"/>
        <v>0</v>
      </c>
      <c r="W1329">
        <v>13.9</v>
      </c>
      <c r="X1329" s="2">
        <f t="shared" si="205"/>
        <v>0</v>
      </c>
      <c r="Y1329">
        <v>334.8</v>
      </c>
      <c r="Z1329" s="2" t="str">
        <f>CHOOSE(MATCH(Y1329,{0;11;80;111;161;191;241;281;341},1),"North","NorthEast","East","SouthEast","South","SouthWest","West","NorthWest","North")</f>
        <v>NorthWest</v>
      </c>
      <c r="AA1329" s="4">
        <f>CHOOSE(MATCH(Z1329,{"South";"SouthEast";"SouthWest";"North";"NorthEast";"East";"West";"NorthWest"},0),1,2,3,4,5,6,7,8)</f>
        <v>8</v>
      </c>
      <c r="AB1329" s="2">
        <f t="shared" si="206"/>
        <v>1</v>
      </c>
      <c r="AC1329">
        <v>1018</v>
      </c>
      <c r="AD1329" t="s">
        <v>1796</v>
      </c>
      <c r="AE1329" s="2">
        <f t="shared" si="207"/>
        <v>1</v>
      </c>
      <c r="AF1329" t="s">
        <v>1944</v>
      </c>
      <c r="AG1329" s="2">
        <f t="shared" si="208"/>
        <v>11</v>
      </c>
      <c r="AH1329" s="2">
        <f t="shared" si="209"/>
        <v>0</v>
      </c>
      <c r="AI1329" s="3">
        <v>270</v>
      </c>
      <c r="AJ1329" s="2">
        <v>0</v>
      </c>
      <c r="AK1329">
        <v>0</v>
      </c>
      <c r="AL1329">
        <v>5</v>
      </c>
      <c r="AM1329">
        <v>0</v>
      </c>
      <c r="AN1329" s="2">
        <f>IF((2*G1329+M1329-O1329+3*V1329+2*AB1329+2*AE1329+2*AH1329+3*AJ1329)&gt;=7,1,0)</f>
        <v>0</v>
      </c>
    </row>
    <row r="1330" spans="1:40" x14ac:dyDescent="0.25">
      <c r="A1330" t="s">
        <v>27</v>
      </c>
      <c r="B1330" s="1">
        <v>40850</v>
      </c>
      <c r="C1330" s="6">
        <f t="shared" si="200"/>
        <v>2011</v>
      </c>
      <c r="D1330">
        <v>62.6</v>
      </c>
      <c r="E1330">
        <v>59</v>
      </c>
      <c r="F1330">
        <v>61.1</v>
      </c>
      <c r="G1330" s="2">
        <f t="shared" si="201"/>
        <v>0</v>
      </c>
      <c r="H1330">
        <v>62.6</v>
      </c>
      <c r="I1330">
        <v>59</v>
      </c>
      <c r="J1330">
        <v>61.1</v>
      </c>
      <c r="K1330">
        <v>48.4</v>
      </c>
      <c r="L1330">
        <v>63.1</v>
      </c>
      <c r="M1330" s="2">
        <f t="shared" si="202"/>
        <v>1</v>
      </c>
      <c r="N1330">
        <v>0</v>
      </c>
      <c r="O1330" s="2">
        <f t="shared" si="203"/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26.4</v>
      </c>
      <c r="V1330" s="2">
        <f t="shared" si="204"/>
        <v>1</v>
      </c>
      <c r="W1330">
        <v>23</v>
      </c>
      <c r="X1330" s="2">
        <f t="shared" si="205"/>
        <v>1</v>
      </c>
      <c r="Y1330">
        <v>344.3</v>
      </c>
      <c r="Z1330" s="2" t="str">
        <f>CHOOSE(MATCH(Y1330,{0;11;80;111;161;191;241;281;341},1),"North","NorthEast","East","SouthEast","South","SouthWest","West","NorthWest","North")</f>
        <v>North</v>
      </c>
      <c r="AA1330" s="4">
        <f>CHOOSE(MATCH(Z1330,{"South";"SouthEast";"SouthWest";"North";"NorthEast";"East";"West";"NorthWest"},0),1,2,3,4,5,6,7,8)</f>
        <v>4</v>
      </c>
      <c r="AB1330" s="2">
        <f t="shared" si="206"/>
        <v>1</v>
      </c>
      <c r="AC1330">
        <v>1015.9</v>
      </c>
      <c r="AD1330" t="s">
        <v>1125</v>
      </c>
      <c r="AE1330" s="2">
        <f t="shared" si="207"/>
        <v>1</v>
      </c>
      <c r="AF1330" t="s">
        <v>1945</v>
      </c>
      <c r="AG1330" s="2">
        <f t="shared" si="208"/>
        <v>11</v>
      </c>
      <c r="AH1330" s="2">
        <f t="shared" si="209"/>
        <v>0</v>
      </c>
      <c r="AI1330" s="3">
        <v>470.00000000232831</v>
      </c>
      <c r="AJ1330" s="2">
        <v>1</v>
      </c>
      <c r="AK1330">
        <v>0</v>
      </c>
      <c r="AL1330">
        <v>4</v>
      </c>
      <c r="AM1330">
        <v>0</v>
      </c>
      <c r="AN1330" s="2">
        <f>IF((2*G1330+M1330-O1330+3*V1330+2*AB1330+2*AE1330+2*AH1330+3*AJ1330)&gt;=7,1,0)</f>
        <v>1</v>
      </c>
    </row>
    <row r="1331" spans="1:40" x14ac:dyDescent="0.25">
      <c r="A1331" t="s">
        <v>27</v>
      </c>
      <c r="B1331" s="1">
        <v>40851</v>
      </c>
      <c r="C1331" s="6">
        <f t="shared" si="200"/>
        <v>2011</v>
      </c>
      <c r="D1331">
        <v>64.400000000000006</v>
      </c>
      <c r="E1331">
        <v>60.8</v>
      </c>
      <c r="F1331">
        <v>61.3</v>
      </c>
      <c r="G1331" s="2">
        <f t="shared" si="201"/>
        <v>0</v>
      </c>
      <c r="H1331">
        <v>64.400000000000006</v>
      </c>
      <c r="I1331">
        <v>60.8</v>
      </c>
      <c r="J1331">
        <v>61.3</v>
      </c>
      <c r="K1331">
        <v>47.9</v>
      </c>
      <c r="L1331">
        <v>61.5</v>
      </c>
      <c r="M1331" s="2">
        <f t="shared" si="202"/>
        <v>1</v>
      </c>
      <c r="N1331">
        <v>0</v>
      </c>
      <c r="O1331" s="2">
        <f t="shared" si="203"/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 s="2">
        <f t="shared" si="204"/>
        <v>0</v>
      </c>
      <c r="W1331">
        <v>21.9</v>
      </c>
      <c r="X1331" s="2">
        <f t="shared" si="205"/>
        <v>1</v>
      </c>
      <c r="Y1331">
        <v>341.5</v>
      </c>
      <c r="Z1331" s="2" t="str">
        <f>CHOOSE(MATCH(Y1331,{0;11;80;111;161;191;241;281;341},1),"North","NorthEast","East","SouthEast","South","SouthWest","West","NorthWest","North")</f>
        <v>North</v>
      </c>
      <c r="AA1331" s="4">
        <f>CHOOSE(MATCH(Z1331,{"South";"SouthEast";"SouthWest";"North";"NorthEast";"East";"West";"NorthWest"},0),1,2,3,4,5,6,7,8)</f>
        <v>4</v>
      </c>
      <c r="AB1331" s="2">
        <f t="shared" si="206"/>
        <v>1</v>
      </c>
      <c r="AC1331">
        <v>1017.7</v>
      </c>
      <c r="AD1331" t="s">
        <v>1800</v>
      </c>
      <c r="AE1331" s="2">
        <f t="shared" si="207"/>
        <v>1</v>
      </c>
      <c r="AF1331" t="s">
        <v>1946</v>
      </c>
      <c r="AG1331" s="2">
        <f t="shared" si="208"/>
        <v>11</v>
      </c>
      <c r="AH1331" s="2">
        <f t="shared" si="209"/>
        <v>0</v>
      </c>
      <c r="AI1331" s="3">
        <v>50.000000005820773</v>
      </c>
      <c r="AJ1331" s="2">
        <v>0</v>
      </c>
      <c r="AK1331">
        <v>0</v>
      </c>
      <c r="AL1331">
        <v>0.2</v>
      </c>
      <c r="AM1331">
        <v>0</v>
      </c>
      <c r="AN1331" s="2">
        <f>IF((2*G1331+M1331-O1331+3*V1331+2*AB1331+2*AE1331+2*AH1331+3*AJ1331)&gt;=7,1,0)</f>
        <v>0</v>
      </c>
    </row>
    <row r="1332" spans="1:40" x14ac:dyDescent="0.25">
      <c r="A1332" t="s">
        <v>27</v>
      </c>
      <c r="B1332" s="1">
        <v>40851</v>
      </c>
      <c r="C1332" s="6">
        <f t="shared" si="200"/>
        <v>2011</v>
      </c>
      <c r="D1332">
        <v>64.400000000000006</v>
      </c>
      <c r="E1332">
        <v>60.8</v>
      </c>
      <c r="F1332">
        <v>61.3</v>
      </c>
      <c r="G1332" s="2">
        <f t="shared" si="201"/>
        <v>0</v>
      </c>
      <c r="H1332">
        <v>64.400000000000006</v>
      </c>
      <c r="I1332">
        <v>60.8</v>
      </c>
      <c r="J1332">
        <v>61.3</v>
      </c>
      <c r="K1332">
        <v>47.9</v>
      </c>
      <c r="L1332">
        <v>61.5</v>
      </c>
      <c r="M1332" s="2">
        <f t="shared" si="202"/>
        <v>1</v>
      </c>
      <c r="N1332">
        <v>0</v>
      </c>
      <c r="O1332" s="2">
        <f t="shared" si="203"/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 s="2">
        <f t="shared" si="204"/>
        <v>0</v>
      </c>
      <c r="W1332">
        <v>21.9</v>
      </c>
      <c r="X1332" s="2">
        <f t="shared" si="205"/>
        <v>1</v>
      </c>
      <c r="Y1332">
        <v>341.5</v>
      </c>
      <c r="Z1332" s="2" t="str">
        <f>CHOOSE(MATCH(Y1332,{0;11;80;111;161;191;241;281;341},1),"North","NorthEast","East","SouthEast","South","SouthWest","West","NorthWest","North")</f>
        <v>North</v>
      </c>
      <c r="AA1332" s="4">
        <f>CHOOSE(MATCH(Z1332,{"South";"SouthEast";"SouthWest";"North";"NorthEast";"East";"West";"NorthWest"},0),1,2,3,4,5,6,7,8)</f>
        <v>4</v>
      </c>
      <c r="AB1332" s="2">
        <f t="shared" si="206"/>
        <v>1</v>
      </c>
      <c r="AC1332">
        <v>1017.7</v>
      </c>
      <c r="AD1332" t="s">
        <v>1947</v>
      </c>
      <c r="AE1332" s="2">
        <f t="shared" si="207"/>
        <v>1</v>
      </c>
      <c r="AF1332" t="s">
        <v>1948</v>
      </c>
      <c r="AG1332" s="2">
        <f t="shared" si="208"/>
        <v>11</v>
      </c>
      <c r="AH1332" s="2">
        <f t="shared" si="209"/>
        <v>0</v>
      </c>
      <c r="AI1332" s="3">
        <v>34.999999998835847</v>
      </c>
      <c r="AJ1332" s="2">
        <v>0</v>
      </c>
      <c r="AK1332">
        <v>0</v>
      </c>
      <c r="AL1332">
        <v>1</v>
      </c>
      <c r="AM1332">
        <v>0</v>
      </c>
      <c r="AN1332" s="2">
        <f>IF((2*G1332+M1332-O1332+3*V1332+2*AB1332+2*AE1332+2*AH1332+3*AJ1332)&gt;=7,1,0)</f>
        <v>0</v>
      </c>
    </row>
    <row r="1333" spans="1:40" x14ac:dyDescent="0.25">
      <c r="A1333" t="s">
        <v>27</v>
      </c>
      <c r="B1333" s="1">
        <v>40852</v>
      </c>
      <c r="C1333" s="6">
        <f t="shared" si="200"/>
        <v>2011</v>
      </c>
      <c r="D1333">
        <v>64.5</v>
      </c>
      <c r="E1333">
        <v>53.6</v>
      </c>
      <c r="F1333">
        <v>60.3</v>
      </c>
      <c r="G1333" s="2">
        <f t="shared" si="201"/>
        <v>0</v>
      </c>
      <c r="H1333">
        <v>64.5</v>
      </c>
      <c r="I1333">
        <v>53.6</v>
      </c>
      <c r="J1333">
        <v>60.3</v>
      </c>
      <c r="K1333">
        <v>50.1</v>
      </c>
      <c r="L1333">
        <v>69.3</v>
      </c>
      <c r="M1333" s="2">
        <f t="shared" si="202"/>
        <v>0</v>
      </c>
      <c r="N1333">
        <v>0</v>
      </c>
      <c r="O1333" s="2">
        <f t="shared" si="203"/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 s="2">
        <f t="shared" si="204"/>
        <v>0</v>
      </c>
      <c r="W1333">
        <v>16.100000000000001</v>
      </c>
      <c r="X1333" s="2">
        <f t="shared" si="205"/>
        <v>1</v>
      </c>
      <c r="Y1333">
        <v>322.8</v>
      </c>
      <c r="Z1333" s="2" t="str">
        <f>CHOOSE(MATCH(Y1333,{0;11;80;111;161;191;241;281;341},1),"North","NorthEast","East","SouthEast","South","SouthWest","West","NorthWest","North")</f>
        <v>NorthWest</v>
      </c>
      <c r="AA1333" s="4">
        <f>CHOOSE(MATCH(Z1333,{"South";"SouthEast";"SouthWest";"North";"NorthEast";"East";"West";"NorthWest"},0),1,2,3,4,5,6,7,8)</f>
        <v>8</v>
      </c>
      <c r="AB1333" s="2">
        <f t="shared" si="206"/>
        <v>1</v>
      </c>
      <c r="AC1333">
        <v>1020.2</v>
      </c>
      <c r="AD1333" t="s">
        <v>1938</v>
      </c>
      <c r="AE1333" s="2">
        <f t="shared" si="207"/>
        <v>0</v>
      </c>
      <c r="AF1333" t="s">
        <v>1949</v>
      </c>
      <c r="AG1333" s="2">
        <f t="shared" si="208"/>
        <v>11</v>
      </c>
      <c r="AH1333" s="2">
        <f t="shared" si="209"/>
        <v>0</v>
      </c>
      <c r="AI1333" s="3">
        <v>205.0000000081491</v>
      </c>
      <c r="AJ1333" s="2">
        <v>0</v>
      </c>
      <c r="AK1333">
        <v>0</v>
      </c>
      <c r="AL1333">
        <v>5</v>
      </c>
      <c r="AM1333">
        <v>0</v>
      </c>
      <c r="AN1333" s="2">
        <f>IF((2*G1333+M1333-O1333+3*V1333+2*AB1333+2*AE1333+2*AH1333+3*AJ1333)&gt;=7,1,0)</f>
        <v>0</v>
      </c>
    </row>
    <row r="1334" spans="1:40" x14ac:dyDescent="0.25">
      <c r="A1334" t="s">
        <v>27</v>
      </c>
      <c r="B1334" s="1">
        <v>40855</v>
      </c>
      <c r="C1334" s="6">
        <f t="shared" si="200"/>
        <v>2011</v>
      </c>
      <c r="D1334">
        <v>66.2</v>
      </c>
      <c r="E1334">
        <v>55.4</v>
      </c>
      <c r="F1334">
        <v>60.8</v>
      </c>
      <c r="G1334" s="2">
        <f t="shared" si="201"/>
        <v>0</v>
      </c>
      <c r="H1334">
        <v>66.2</v>
      </c>
      <c r="I1334">
        <v>55.4</v>
      </c>
      <c r="J1334">
        <v>60.8</v>
      </c>
      <c r="K1334">
        <v>55.3</v>
      </c>
      <c r="L1334">
        <v>82.8</v>
      </c>
      <c r="M1334" s="2">
        <f t="shared" si="202"/>
        <v>0</v>
      </c>
      <c r="N1334">
        <v>0</v>
      </c>
      <c r="O1334" s="2">
        <f t="shared" si="203"/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 s="2">
        <f t="shared" si="204"/>
        <v>0</v>
      </c>
      <c r="W1334">
        <v>11.4</v>
      </c>
      <c r="X1334" s="2">
        <f t="shared" si="205"/>
        <v>0</v>
      </c>
      <c r="Y1334">
        <v>339.4</v>
      </c>
      <c r="Z1334" s="2" t="str">
        <f>CHOOSE(MATCH(Y1334,{0;11;80;111;161;191;241;281;341},1),"North","NorthEast","East","SouthEast","South","SouthWest","West","NorthWest","North")</f>
        <v>NorthWest</v>
      </c>
      <c r="AA1334" s="4">
        <f>CHOOSE(MATCH(Z1334,{"South";"SouthEast";"SouthWest";"North";"NorthEast";"East";"West";"NorthWest"},0),1,2,3,4,5,6,7,8)</f>
        <v>8</v>
      </c>
      <c r="AB1334" s="2">
        <f t="shared" si="206"/>
        <v>1</v>
      </c>
      <c r="AC1334">
        <v>1025.2</v>
      </c>
      <c r="AD1334" t="s">
        <v>1748</v>
      </c>
      <c r="AE1334" s="2">
        <f t="shared" si="207"/>
        <v>1</v>
      </c>
      <c r="AF1334" t="s">
        <v>1950</v>
      </c>
      <c r="AG1334" s="2">
        <f t="shared" si="208"/>
        <v>11</v>
      </c>
      <c r="AH1334" s="2">
        <f t="shared" si="209"/>
        <v>0</v>
      </c>
      <c r="AI1334" s="3">
        <v>1009.999999991851</v>
      </c>
      <c r="AJ1334" s="2">
        <v>1</v>
      </c>
      <c r="AK1334">
        <v>0</v>
      </c>
      <c r="AL1334">
        <v>50</v>
      </c>
      <c r="AM1334">
        <v>0</v>
      </c>
      <c r="AN1334" s="2">
        <f>IF((2*G1334+M1334-O1334+3*V1334+2*AB1334+2*AE1334+2*AH1334+3*AJ1334)&gt;=7,1,0)</f>
        <v>0</v>
      </c>
    </row>
    <row r="1335" spans="1:40" x14ac:dyDescent="0.25">
      <c r="A1335" t="s">
        <v>27</v>
      </c>
      <c r="B1335" s="1">
        <v>40857</v>
      </c>
      <c r="C1335" s="6">
        <f t="shared" si="200"/>
        <v>2011</v>
      </c>
      <c r="D1335">
        <v>68</v>
      </c>
      <c r="E1335">
        <v>55.4</v>
      </c>
      <c r="F1335">
        <v>62.2</v>
      </c>
      <c r="G1335" s="2">
        <f t="shared" si="201"/>
        <v>0</v>
      </c>
      <c r="H1335">
        <v>68</v>
      </c>
      <c r="I1335">
        <v>55.4</v>
      </c>
      <c r="J1335">
        <v>62.2</v>
      </c>
      <c r="K1335">
        <v>56.9</v>
      </c>
      <c r="L1335">
        <v>83.2</v>
      </c>
      <c r="M1335" s="2">
        <f t="shared" si="202"/>
        <v>0</v>
      </c>
      <c r="N1335">
        <v>0</v>
      </c>
      <c r="O1335" s="2">
        <f t="shared" si="203"/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 s="2">
        <f t="shared" si="204"/>
        <v>0</v>
      </c>
      <c r="W1335">
        <v>10.3</v>
      </c>
      <c r="X1335" s="2">
        <f t="shared" si="205"/>
        <v>0</v>
      </c>
      <c r="Y1335">
        <v>290.5</v>
      </c>
      <c r="Z1335" s="2" t="str">
        <f>CHOOSE(MATCH(Y1335,{0;11;80;111;161;191;241;281;341},1),"North","NorthEast","East","SouthEast","South","SouthWest","West","NorthWest","North")</f>
        <v>NorthWest</v>
      </c>
      <c r="AA1335" s="4">
        <f>CHOOSE(MATCH(Z1335,{"South";"SouthEast";"SouthWest";"North";"NorthEast";"East";"West";"NorthWest"},0),1,2,3,4,5,6,7,8)</f>
        <v>8</v>
      </c>
      <c r="AB1335" s="2">
        <f t="shared" si="206"/>
        <v>1</v>
      </c>
      <c r="AC1335">
        <v>1015.8</v>
      </c>
      <c r="AD1335" t="s">
        <v>1951</v>
      </c>
      <c r="AE1335" s="2">
        <f t="shared" si="207"/>
        <v>0</v>
      </c>
      <c r="AF1335" t="s">
        <v>1952</v>
      </c>
      <c r="AG1335" s="2">
        <f t="shared" si="208"/>
        <v>11</v>
      </c>
      <c r="AH1335" s="2">
        <f t="shared" si="209"/>
        <v>0</v>
      </c>
      <c r="AI1335" s="3">
        <v>147.00000000768341</v>
      </c>
      <c r="AJ1335" s="2">
        <v>0</v>
      </c>
      <c r="AK1335">
        <v>0.1</v>
      </c>
      <c r="AL1335">
        <v>0</v>
      </c>
      <c r="AM1335">
        <v>0</v>
      </c>
      <c r="AN1335" s="2">
        <f>IF((2*G1335+M1335-O1335+3*V1335+2*AB1335+2*AE1335+2*AH1335+3*AJ1335)&gt;=7,1,0)</f>
        <v>0</v>
      </c>
    </row>
    <row r="1336" spans="1:40" x14ac:dyDescent="0.25">
      <c r="A1336" t="s">
        <v>27</v>
      </c>
      <c r="B1336" s="1">
        <v>40859</v>
      </c>
      <c r="C1336" s="6">
        <f t="shared" si="200"/>
        <v>2011</v>
      </c>
      <c r="D1336">
        <v>64.400000000000006</v>
      </c>
      <c r="E1336">
        <v>55.4</v>
      </c>
      <c r="F1336">
        <v>58.5</v>
      </c>
      <c r="G1336" s="2">
        <f t="shared" si="201"/>
        <v>0</v>
      </c>
      <c r="H1336">
        <v>64.400000000000006</v>
      </c>
      <c r="I1336">
        <v>55.4</v>
      </c>
      <c r="J1336">
        <v>58.5</v>
      </c>
      <c r="K1336">
        <v>47.9</v>
      </c>
      <c r="L1336">
        <v>67.7</v>
      </c>
      <c r="M1336" s="2">
        <f t="shared" si="202"/>
        <v>0</v>
      </c>
      <c r="N1336">
        <v>0</v>
      </c>
      <c r="O1336" s="2">
        <f t="shared" si="203"/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25.3</v>
      </c>
      <c r="V1336" s="2">
        <f t="shared" si="204"/>
        <v>1</v>
      </c>
      <c r="W1336">
        <v>24.2</v>
      </c>
      <c r="X1336" s="2">
        <f t="shared" si="205"/>
        <v>1</v>
      </c>
      <c r="Y1336">
        <v>357</v>
      </c>
      <c r="Z1336" s="2" t="str">
        <f>CHOOSE(MATCH(Y1336,{0;11;80;111;161;191;241;281;341},1),"North","NorthEast","East","SouthEast","South","SouthWest","West","NorthWest","North")</f>
        <v>North</v>
      </c>
      <c r="AA1336" s="4">
        <f>CHOOSE(MATCH(Z1336,{"South";"SouthEast";"SouthWest";"North";"NorthEast";"East";"West";"NorthWest"},0),1,2,3,4,5,6,7,8)</f>
        <v>4</v>
      </c>
      <c r="AB1336" s="2">
        <f t="shared" si="206"/>
        <v>1</v>
      </c>
      <c r="AC1336">
        <v>1020.7</v>
      </c>
      <c r="AD1336" t="s">
        <v>1953</v>
      </c>
      <c r="AE1336" s="2">
        <f t="shared" si="207"/>
        <v>1</v>
      </c>
      <c r="AF1336" t="s">
        <v>1954</v>
      </c>
      <c r="AG1336" s="2">
        <f t="shared" si="208"/>
        <v>11</v>
      </c>
      <c r="AH1336" s="2">
        <f t="shared" si="209"/>
        <v>0</v>
      </c>
      <c r="AI1336" s="3">
        <v>911.99999999720603</v>
      </c>
      <c r="AJ1336" s="2">
        <v>1</v>
      </c>
      <c r="AK1336">
        <v>0</v>
      </c>
      <c r="AL1336">
        <v>15</v>
      </c>
      <c r="AM1336">
        <v>0</v>
      </c>
      <c r="AN1336" s="2">
        <f>IF((2*G1336+M1336-O1336+3*V1336+2*AB1336+2*AE1336+2*AH1336+3*AJ1336)&gt;=7,1,0)</f>
        <v>1</v>
      </c>
    </row>
    <row r="1337" spans="1:40" x14ac:dyDescent="0.25">
      <c r="A1337" t="s">
        <v>27</v>
      </c>
      <c r="B1337" s="1">
        <v>40860</v>
      </c>
      <c r="C1337" s="6">
        <f t="shared" si="200"/>
        <v>2011</v>
      </c>
      <c r="D1337">
        <v>57.3</v>
      </c>
      <c r="E1337">
        <v>53.6</v>
      </c>
      <c r="F1337">
        <v>55.9</v>
      </c>
      <c r="G1337" s="2">
        <f t="shared" si="201"/>
        <v>0</v>
      </c>
      <c r="H1337">
        <v>57.3</v>
      </c>
      <c r="I1337">
        <v>53.6</v>
      </c>
      <c r="J1337">
        <v>55.9</v>
      </c>
      <c r="K1337">
        <v>44.6</v>
      </c>
      <c r="L1337">
        <v>65.900000000000006</v>
      </c>
      <c r="M1337" s="2">
        <f t="shared" si="202"/>
        <v>1</v>
      </c>
      <c r="N1337">
        <v>3.1E-2</v>
      </c>
      <c r="O1337" s="2">
        <f t="shared" si="203"/>
        <v>0</v>
      </c>
      <c r="P1337">
        <v>100</v>
      </c>
      <c r="Q1337">
        <v>4.17</v>
      </c>
      <c r="R1337" t="s">
        <v>182</v>
      </c>
      <c r="S1337">
        <v>0</v>
      </c>
      <c r="T1337">
        <v>0</v>
      </c>
      <c r="U1337">
        <v>27.5</v>
      </c>
      <c r="V1337" s="2">
        <f t="shared" si="204"/>
        <v>1</v>
      </c>
      <c r="W1337">
        <v>26.4</v>
      </c>
      <c r="X1337" s="2">
        <f t="shared" si="205"/>
        <v>1</v>
      </c>
      <c r="Y1337">
        <v>345.6</v>
      </c>
      <c r="Z1337" s="2" t="str">
        <f>CHOOSE(MATCH(Y1337,{0;11;80;111;161;191;241;281;341},1),"North","NorthEast","East","SouthEast","South","SouthWest","West","NorthWest","North")</f>
        <v>North</v>
      </c>
      <c r="AA1337" s="4">
        <f>CHOOSE(MATCH(Z1337,{"South";"SouthEast";"SouthWest";"North";"NorthEast";"East";"West";"NorthWest"},0),1,2,3,4,5,6,7,8)</f>
        <v>4</v>
      </c>
      <c r="AB1337" s="2">
        <f t="shared" si="206"/>
        <v>1</v>
      </c>
      <c r="AC1337">
        <v>1017.2</v>
      </c>
      <c r="AD1337" t="s">
        <v>1191</v>
      </c>
      <c r="AE1337" s="2">
        <f t="shared" si="207"/>
        <v>0</v>
      </c>
      <c r="AF1337" t="s">
        <v>1955</v>
      </c>
      <c r="AG1337" s="2">
        <f t="shared" si="208"/>
        <v>11</v>
      </c>
      <c r="AH1337" s="2">
        <f t="shared" si="209"/>
        <v>0</v>
      </c>
      <c r="AI1337" s="3">
        <v>100.0000000011642</v>
      </c>
      <c r="AJ1337" s="2">
        <v>0</v>
      </c>
      <c r="AK1337">
        <v>0</v>
      </c>
      <c r="AL1337">
        <v>10</v>
      </c>
      <c r="AM1337">
        <v>0</v>
      </c>
      <c r="AN1337" s="2">
        <f>IF((2*G1337+M1337-O1337+3*V1337+2*AB1337+2*AE1337+2*AH1337+3*AJ1337)&gt;=7,1,0)</f>
        <v>0</v>
      </c>
    </row>
    <row r="1338" spans="1:40" x14ac:dyDescent="0.25">
      <c r="A1338" t="s">
        <v>27</v>
      </c>
      <c r="B1338" s="1">
        <v>40861</v>
      </c>
      <c r="C1338" s="6">
        <f t="shared" si="200"/>
        <v>2011</v>
      </c>
      <c r="D1338">
        <v>57.2</v>
      </c>
      <c r="E1338">
        <v>53.6</v>
      </c>
      <c r="F1338">
        <v>54.4</v>
      </c>
      <c r="G1338" s="2">
        <f t="shared" si="201"/>
        <v>0</v>
      </c>
      <c r="H1338">
        <v>57.2</v>
      </c>
      <c r="I1338">
        <v>53.6</v>
      </c>
      <c r="J1338">
        <v>54.4</v>
      </c>
      <c r="K1338">
        <v>48</v>
      </c>
      <c r="L1338">
        <v>79</v>
      </c>
      <c r="M1338" s="2">
        <f t="shared" si="202"/>
        <v>0</v>
      </c>
      <c r="N1338">
        <v>0.35899999999999999</v>
      </c>
      <c r="O1338" s="2">
        <f t="shared" si="203"/>
        <v>0</v>
      </c>
      <c r="P1338">
        <v>100</v>
      </c>
      <c r="Q1338">
        <v>8.33</v>
      </c>
      <c r="R1338" t="s">
        <v>182</v>
      </c>
      <c r="S1338">
        <v>0</v>
      </c>
      <c r="T1338">
        <v>0</v>
      </c>
      <c r="U1338">
        <v>39.1</v>
      </c>
      <c r="V1338" s="2">
        <f t="shared" si="204"/>
        <v>1</v>
      </c>
      <c r="W1338">
        <v>25.3</v>
      </c>
      <c r="X1338" s="2">
        <f t="shared" si="205"/>
        <v>1</v>
      </c>
      <c r="Y1338">
        <v>351.6</v>
      </c>
      <c r="Z1338" s="2" t="str">
        <f>CHOOSE(MATCH(Y1338,{0;11;80;111;161;191;241;281;341},1),"North","NorthEast","East","SouthEast","South","SouthWest","West","NorthWest","North")</f>
        <v>North</v>
      </c>
      <c r="AA1338" s="4">
        <f>CHOOSE(MATCH(Z1338,{"South";"SouthEast";"SouthWest";"North";"NorthEast";"East";"West";"NorthWest"},0),1,2,3,4,5,6,7,8)</f>
        <v>4</v>
      </c>
      <c r="AB1338" s="2">
        <f t="shared" si="206"/>
        <v>1</v>
      </c>
      <c r="AC1338">
        <v>1012</v>
      </c>
      <c r="AD1338" t="s">
        <v>1806</v>
      </c>
      <c r="AE1338" s="2">
        <f t="shared" si="207"/>
        <v>1</v>
      </c>
      <c r="AF1338" t="s">
        <v>1956</v>
      </c>
      <c r="AG1338" s="2">
        <f t="shared" si="208"/>
        <v>11</v>
      </c>
      <c r="AH1338" s="2">
        <f t="shared" si="209"/>
        <v>0</v>
      </c>
      <c r="AI1338" s="3">
        <v>90</v>
      </c>
      <c r="AJ1338" s="2">
        <v>0</v>
      </c>
      <c r="AK1338">
        <v>0</v>
      </c>
      <c r="AL1338">
        <v>1</v>
      </c>
      <c r="AM1338">
        <v>0</v>
      </c>
      <c r="AN1338" s="2">
        <f>IF((2*G1338+M1338-O1338+3*V1338+2*AB1338+2*AE1338+2*AH1338+3*AJ1338)&gt;=7,1,0)</f>
        <v>1</v>
      </c>
    </row>
    <row r="1339" spans="1:40" x14ac:dyDescent="0.25">
      <c r="A1339" t="s">
        <v>27</v>
      </c>
      <c r="B1339" s="1">
        <v>40861</v>
      </c>
      <c r="C1339" s="6">
        <f t="shared" si="200"/>
        <v>2011</v>
      </c>
      <c r="D1339">
        <v>57.2</v>
      </c>
      <c r="E1339">
        <v>53.6</v>
      </c>
      <c r="F1339">
        <v>54.4</v>
      </c>
      <c r="G1339" s="2">
        <f t="shared" si="201"/>
        <v>0</v>
      </c>
      <c r="H1339">
        <v>57.2</v>
      </c>
      <c r="I1339">
        <v>53.6</v>
      </c>
      <c r="J1339">
        <v>54.4</v>
      </c>
      <c r="K1339">
        <v>48</v>
      </c>
      <c r="L1339">
        <v>79</v>
      </c>
      <c r="M1339" s="2">
        <f t="shared" si="202"/>
        <v>0</v>
      </c>
      <c r="N1339">
        <v>0.35899999999999999</v>
      </c>
      <c r="O1339" s="2">
        <f t="shared" si="203"/>
        <v>0</v>
      </c>
      <c r="P1339">
        <v>100</v>
      </c>
      <c r="Q1339">
        <v>8.33</v>
      </c>
      <c r="R1339" t="s">
        <v>182</v>
      </c>
      <c r="S1339">
        <v>0</v>
      </c>
      <c r="T1339">
        <v>0</v>
      </c>
      <c r="U1339">
        <v>39.1</v>
      </c>
      <c r="V1339" s="2">
        <f t="shared" si="204"/>
        <v>1</v>
      </c>
      <c r="W1339">
        <v>25.3</v>
      </c>
      <c r="X1339" s="2">
        <f t="shared" si="205"/>
        <v>1</v>
      </c>
      <c r="Y1339">
        <v>351.6</v>
      </c>
      <c r="Z1339" s="2" t="str">
        <f>CHOOSE(MATCH(Y1339,{0;11;80;111;161;191;241;281;341},1),"North","NorthEast","East","SouthEast","South","SouthWest","West","NorthWest","North")</f>
        <v>North</v>
      </c>
      <c r="AA1339" s="4">
        <f>CHOOSE(MATCH(Z1339,{"South";"SouthEast";"SouthWest";"North";"NorthEast";"East";"West";"NorthWest"},0),1,2,3,4,5,6,7,8)</f>
        <v>4</v>
      </c>
      <c r="AB1339" s="2">
        <f t="shared" si="206"/>
        <v>1</v>
      </c>
      <c r="AC1339">
        <v>1012</v>
      </c>
      <c r="AD1339" t="s">
        <v>1163</v>
      </c>
      <c r="AE1339" s="2">
        <f t="shared" si="207"/>
        <v>1</v>
      </c>
      <c r="AF1339" t="s">
        <v>1957</v>
      </c>
      <c r="AG1339" s="2">
        <f t="shared" si="208"/>
        <v>11</v>
      </c>
      <c r="AH1339" s="2">
        <f t="shared" si="209"/>
        <v>0</v>
      </c>
      <c r="AI1339" s="3">
        <v>159.99999999767169</v>
      </c>
      <c r="AJ1339" s="2">
        <v>0</v>
      </c>
      <c r="AK1339">
        <v>0</v>
      </c>
      <c r="AL1339">
        <v>10</v>
      </c>
      <c r="AM1339">
        <v>0</v>
      </c>
      <c r="AN1339" s="2">
        <f>IF((2*G1339+M1339-O1339+3*V1339+2*AB1339+2*AE1339+2*AH1339+3*AJ1339)&gt;=7,1,0)</f>
        <v>1</v>
      </c>
    </row>
    <row r="1340" spans="1:40" x14ac:dyDescent="0.25">
      <c r="A1340" t="s">
        <v>27</v>
      </c>
      <c r="B1340" s="1">
        <v>40861</v>
      </c>
      <c r="C1340" s="6">
        <f t="shared" si="200"/>
        <v>2011</v>
      </c>
      <c r="D1340">
        <v>57.2</v>
      </c>
      <c r="E1340">
        <v>53.6</v>
      </c>
      <c r="F1340">
        <v>54.4</v>
      </c>
      <c r="G1340" s="2">
        <f t="shared" si="201"/>
        <v>0</v>
      </c>
      <c r="H1340">
        <v>57.2</v>
      </c>
      <c r="I1340">
        <v>53.6</v>
      </c>
      <c r="J1340">
        <v>54.4</v>
      </c>
      <c r="K1340">
        <v>48</v>
      </c>
      <c r="L1340">
        <v>79</v>
      </c>
      <c r="M1340" s="2">
        <f t="shared" si="202"/>
        <v>0</v>
      </c>
      <c r="N1340">
        <v>0.35899999999999999</v>
      </c>
      <c r="O1340" s="2">
        <f t="shared" si="203"/>
        <v>0</v>
      </c>
      <c r="P1340">
        <v>100</v>
      </c>
      <c r="Q1340">
        <v>8.33</v>
      </c>
      <c r="R1340" t="s">
        <v>182</v>
      </c>
      <c r="S1340">
        <v>0</v>
      </c>
      <c r="T1340">
        <v>0</v>
      </c>
      <c r="U1340">
        <v>39.1</v>
      </c>
      <c r="V1340" s="2">
        <f t="shared" si="204"/>
        <v>1</v>
      </c>
      <c r="W1340">
        <v>25.3</v>
      </c>
      <c r="X1340" s="2">
        <f t="shared" si="205"/>
        <v>1</v>
      </c>
      <c r="Y1340">
        <v>351.6</v>
      </c>
      <c r="Z1340" s="2" t="str">
        <f>CHOOSE(MATCH(Y1340,{0;11;80;111;161;191;241;281;341},1),"North","NorthEast","East","SouthEast","South","SouthWest","West","NorthWest","North")</f>
        <v>North</v>
      </c>
      <c r="AA1340" s="4">
        <f>CHOOSE(MATCH(Z1340,{"South";"SouthEast";"SouthWest";"North";"NorthEast";"East";"West";"NorthWest"},0),1,2,3,4,5,6,7,8)</f>
        <v>4</v>
      </c>
      <c r="AB1340" s="2">
        <f t="shared" si="206"/>
        <v>1</v>
      </c>
      <c r="AC1340">
        <v>1012</v>
      </c>
      <c r="AD1340" t="s">
        <v>1958</v>
      </c>
      <c r="AE1340" s="2">
        <f t="shared" si="207"/>
        <v>0</v>
      </c>
      <c r="AF1340" t="s">
        <v>1959</v>
      </c>
      <c r="AG1340" s="2">
        <f t="shared" si="208"/>
        <v>11</v>
      </c>
      <c r="AH1340" s="2">
        <f t="shared" si="209"/>
        <v>0</v>
      </c>
      <c r="AI1340" s="3">
        <v>304.99999999883579</v>
      </c>
      <c r="AJ1340" s="2">
        <v>0</v>
      </c>
      <c r="AK1340">
        <v>0</v>
      </c>
      <c r="AL1340">
        <v>30</v>
      </c>
      <c r="AM1340">
        <v>0</v>
      </c>
      <c r="AN1340" s="2">
        <f>IF((2*G1340+M1340-O1340+3*V1340+2*AB1340+2*AE1340+2*AH1340+3*AJ1340)&gt;=7,1,0)</f>
        <v>0</v>
      </c>
    </row>
    <row r="1341" spans="1:40" x14ac:dyDescent="0.25">
      <c r="A1341" t="s">
        <v>27</v>
      </c>
      <c r="B1341" s="1">
        <v>40862</v>
      </c>
      <c r="C1341" s="6">
        <f t="shared" si="200"/>
        <v>2011</v>
      </c>
      <c r="D1341">
        <v>57.2</v>
      </c>
      <c r="E1341">
        <v>53.6</v>
      </c>
      <c r="F1341">
        <v>54.9</v>
      </c>
      <c r="G1341" s="2">
        <f t="shared" si="201"/>
        <v>0</v>
      </c>
      <c r="H1341">
        <v>57.2</v>
      </c>
      <c r="I1341">
        <v>53.6</v>
      </c>
      <c r="J1341">
        <v>54.9</v>
      </c>
      <c r="K1341">
        <v>46.3</v>
      </c>
      <c r="L1341">
        <v>72.900000000000006</v>
      </c>
      <c r="M1341" s="2">
        <f t="shared" si="202"/>
        <v>0</v>
      </c>
      <c r="N1341">
        <v>0.24</v>
      </c>
      <c r="O1341" s="2">
        <f t="shared" si="203"/>
        <v>0</v>
      </c>
      <c r="P1341">
        <v>100</v>
      </c>
      <c r="Q1341">
        <v>8.33</v>
      </c>
      <c r="R1341" t="s">
        <v>182</v>
      </c>
      <c r="S1341">
        <v>0</v>
      </c>
      <c r="T1341">
        <v>0</v>
      </c>
      <c r="U1341">
        <v>36.9</v>
      </c>
      <c r="V1341" s="2">
        <f t="shared" si="204"/>
        <v>1</v>
      </c>
      <c r="W1341">
        <v>26.4</v>
      </c>
      <c r="X1341" s="2">
        <f t="shared" si="205"/>
        <v>1</v>
      </c>
      <c r="Y1341">
        <v>338</v>
      </c>
      <c r="Z1341" s="2" t="str">
        <f>CHOOSE(MATCH(Y1341,{0;11;80;111;161;191;241;281;341},1),"North","NorthEast","East","SouthEast","South","SouthWest","West","NorthWest","North")</f>
        <v>NorthWest</v>
      </c>
      <c r="AA1341" s="4">
        <f>CHOOSE(MATCH(Z1341,{"South";"SouthEast";"SouthWest";"North";"NorthEast";"East";"West";"NorthWest"},0),1,2,3,4,5,6,7,8)</f>
        <v>8</v>
      </c>
      <c r="AB1341" s="2">
        <f t="shared" si="206"/>
        <v>1</v>
      </c>
      <c r="AC1341">
        <v>1012.1</v>
      </c>
      <c r="AD1341" t="s">
        <v>1960</v>
      </c>
      <c r="AE1341" s="2">
        <f t="shared" si="207"/>
        <v>1</v>
      </c>
      <c r="AF1341" t="s">
        <v>1961</v>
      </c>
      <c r="AG1341" s="2">
        <f t="shared" si="208"/>
        <v>11</v>
      </c>
      <c r="AH1341" s="2">
        <f t="shared" si="209"/>
        <v>0</v>
      </c>
      <c r="AI1341" s="3">
        <v>1125</v>
      </c>
      <c r="AJ1341" s="2">
        <v>1</v>
      </c>
      <c r="AK1341">
        <v>0</v>
      </c>
      <c r="AL1341">
        <v>80</v>
      </c>
      <c r="AM1341">
        <v>0</v>
      </c>
      <c r="AN1341" s="2">
        <f>IF((2*G1341+M1341-O1341+3*V1341+2*AB1341+2*AE1341+2*AH1341+3*AJ1341)&gt;=7,1,0)</f>
        <v>1</v>
      </c>
    </row>
    <row r="1342" spans="1:40" x14ac:dyDescent="0.25">
      <c r="A1342" t="s">
        <v>27</v>
      </c>
      <c r="B1342" s="1">
        <v>40863</v>
      </c>
      <c r="C1342" s="6">
        <f t="shared" si="200"/>
        <v>2011</v>
      </c>
      <c r="D1342">
        <v>59</v>
      </c>
      <c r="E1342">
        <v>56.7</v>
      </c>
      <c r="F1342">
        <v>57.4</v>
      </c>
      <c r="G1342" s="2">
        <f t="shared" si="201"/>
        <v>0</v>
      </c>
      <c r="H1342">
        <v>59</v>
      </c>
      <c r="I1342">
        <v>56.7</v>
      </c>
      <c r="J1342">
        <v>57.4</v>
      </c>
      <c r="K1342">
        <v>44.1</v>
      </c>
      <c r="L1342">
        <v>61.2</v>
      </c>
      <c r="M1342" s="2">
        <f t="shared" si="202"/>
        <v>1</v>
      </c>
      <c r="N1342">
        <v>3.9E-2</v>
      </c>
      <c r="O1342" s="2">
        <f t="shared" si="203"/>
        <v>0</v>
      </c>
      <c r="P1342">
        <v>100</v>
      </c>
      <c r="Q1342">
        <v>4.17</v>
      </c>
      <c r="R1342" t="s">
        <v>182</v>
      </c>
      <c r="S1342">
        <v>0</v>
      </c>
      <c r="T1342">
        <v>0</v>
      </c>
      <c r="U1342">
        <v>32.200000000000003</v>
      </c>
      <c r="V1342" s="2">
        <f t="shared" si="204"/>
        <v>1</v>
      </c>
      <c r="W1342">
        <v>25.3</v>
      </c>
      <c r="X1342" s="2">
        <f t="shared" si="205"/>
        <v>1</v>
      </c>
      <c r="Y1342">
        <v>332.2</v>
      </c>
      <c r="Z1342" s="2" t="str">
        <f>CHOOSE(MATCH(Y1342,{0;11;80;111;161;191;241;281;341},1),"North","NorthEast","East","SouthEast","South","SouthWest","West","NorthWest","North")</f>
        <v>NorthWest</v>
      </c>
      <c r="AA1342" s="4">
        <f>CHOOSE(MATCH(Z1342,{"South";"SouthEast";"SouthWest";"North";"NorthEast";"East";"West";"NorthWest"},0),1,2,3,4,5,6,7,8)</f>
        <v>8</v>
      </c>
      <c r="AB1342" s="2">
        <f t="shared" si="206"/>
        <v>1</v>
      </c>
      <c r="AC1342">
        <v>1017.4</v>
      </c>
      <c r="AD1342" t="s">
        <v>1962</v>
      </c>
      <c r="AE1342" s="2">
        <f t="shared" si="207"/>
        <v>1</v>
      </c>
      <c r="AF1342" t="s">
        <v>1963</v>
      </c>
      <c r="AG1342" s="2">
        <f t="shared" si="208"/>
        <v>11</v>
      </c>
      <c r="AH1342" s="2">
        <f t="shared" si="209"/>
        <v>0</v>
      </c>
      <c r="AI1342" s="3">
        <v>245.00000000232831</v>
      </c>
      <c r="AJ1342" s="2">
        <v>0</v>
      </c>
      <c r="AK1342">
        <v>0</v>
      </c>
      <c r="AL1342">
        <v>2</v>
      </c>
      <c r="AM1342">
        <v>0</v>
      </c>
      <c r="AN1342" s="2">
        <f>IF((2*G1342+M1342-O1342+3*V1342+2*AB1342+2*AE1342+2*AH1342+3*AJ1342)&gt;=7,1,0)</f>
        <v>1</v>
      </c>
    </row>
    <row r="1343" spans="1:40" x14ac:dyDescent="0.25">
      <c r="A1343" t="s">
        <v>27</v>
      </c>
      <c r="B1343" s="1">
        <v>40865</v>
      </c>
      <c r="C1343" s="6">
        <f t="shared" si="200"/>
        <v>2011</v>
      </c>
      <c r="D1343">
        <v>55.4</v>
      </c>
      <c r="E1343">
        <v>51.2</v>
      </c>
      <c r="F1343">
        <v>54.9</v>
      </c>
      <c r="G1343" s="2">
        <f t="shared" si="201"/>
        <v>0</v>
      </c>
      <c r="H1343">
        <v>55.4</v>
      </c>
      <c r="I1343">
        <v>51.2</v>
      </c>
      <c r="J1343">
        <v>54.9</v>
      </c>
      <c r="K1343">
        <v>42.1</v>
      </c>
      <c r="L1343">
        <v>62.2</v>
      </c>
      <c r="M1343" s="2">
        <f t="shared" si="202"/>
        <v>1</v>
      </c>
      <c r="N1343">
        <v>1.2E-2</v>
      </c>
      <c r="O1343" s="2">
        <f t="shared" si="203"/>
        <v>0</v>
      </c>
      <c r="P1343">
        <v>100</v>
      </c>
      <c r="Q1343">
        <v>4.17</v>
      </c>
      <c r="R1343" t="s">
        <v>182</v>
      </c>
      <c r="S1343">
        <v>0</v>
      </c>
      <c r="T1343">
        <v>0</v>
      </c>
      <c r="U1343">
        <v>34.4</v>
      </c>
      <c r="V1343" s="2">
        <f t="shared" si="204"/>
        <v>1</v>
      </c>
      <c r="W1343">
        <v>23</v>
      </c>
      <c r="X1343" s="2">
        <f t="shared" si="205"/>
        <v>1</v>
      </c>
      <c r="Y1343">
        <v>333.4</v>
      </c>
      <c r="Z1343" s="2" t="str">
        <f>CHOOSE(MATCH(Y1343,{0;11;80;111;161;191;241;281;341},1),"North","NorthEast","East","SouthEast","South","SouthWest","West","NorthWest","North")</f>
        <v>NorthWest</v>
      </c>
      <c r="AA1343" s="4">
        <f>CHOOSE(MATCH(Z1343,{"South";"SouthEast";"SouthWest";"North";"NorthEast";"East";"West";"NorthWest"},0),1,2,3,4,5,6,7,8)</f>
        <v>8</v>
      </c>
      <c r="AB1343" s="2">
        <f t="shared" si="206"/>
        <v>1</v>
      </c>
      <c r="AC1343">
        <v>1020.8</v>
      </c>
      <c r="AD1343" t="s">
        <v>1964</v>
      </c>
      <c r="AE1343" s="2">
        <f t="shared" si="207"/>
        <v>0</v>
      </c>
      <c r="AF1343" t="s">
        <v>1965</v>
      </c>
      <c r="AG1343" s="2">
        <f t="shared" si="208"/>
        <v>11</v>
      </c>
      <c r="AH1343" s="2">
        <f t="shared" si="209"/>
        <v>0</v>
      </c>
      <c r="AI1343" s="3">
        <v>136.0000000032596</v>
      </c>
      <c r="AJ1343" s="2">
        <v>0</v>
      </c>
      <c r="AK1343">
        <v>0</v>
      </c>
      <c r="AL1343">
        <v>3</v>
      </c>
      <c r="AM1343">
        <v>0</v>
      </c>
      <c r="AN1343" s="2">
        <f>IF((2*G1343+M1343-O1343+3*V1343+2*AB1343+2*AE1343+2*AH1343+3*AJ1343)&gt;=7,1,0)</f>
        <v>0</v>
      </c>
    </row>
    <row r="1344" spans="1:40" x14ac:dyDescent="0.25">
      <c r="A1344" t="s">
        <v>27</v>
      </c>
      <c r="B1344" s="1">
        <v>40866</v>
      </c>
      <c r="C1344" s="6">
        <f t="shared" si="200"/>
        <v>2011</v>
      </c>
      <c r="D1344">
        <v>59</v>
      </c>
      <c r="E1344">
        <v>53.6</v>
      </c>
      <c r="F1344">
        <v>56.2</v>
      </c>
      <c r="G1344" s="2">
        <f t="shared" si="201"/>
        <v>0</v>
      </c>
      <c r="H1344">
        <v>59</v>
      </c>
      <c r="I1344">
        <v>53.6</v>
      </c>
      <c r="J1344">
        <v>56.2</v>
      </c>
      <c r="K1344">
        <v>43.2</v>
      </c>
      <c r="L1344">
        <v>61.8</v>
      </c>
      <c r="M1344" s="2">
        <f t="shared" si="202"/>
        <v>1</v>
      </c>
      <c r="N1344">
        <v>0</v>
      </c>
      <c r="O1344" s="2">
        <f t="shared" si="203"/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 s="2">
        <f t="shared" si="204"/>
        <v>0</v>
      </c>
      <c r="W1344">
        <v>20.8</v>
      </c>
      <c r="X1344" s="2">
        <f t="shared" si="205"/>
        <v>1</v>
      </c>
      <c r="Y1344">
        <v>323.39999999999998</v>
      </c>
      <c r="Z1344" s="2" t="str">
        <f>CHOOSE(MATCH(Y1344,{0;11;80;111;161;191;241;281;341},1),"North","NorthEast","East","SouthEast","South","SouthWest","West","NorthWest","North")</f>
        <v>NorthWest</v>
      </c>
      <c r="AA1344" s="4">
        <f>CHOOSE(MATCH(Z1344,{"South";"SouthEast";"SouthWest";"North";"NorthEast";"East";"West";"NorthWest"},0),1,2,3,4,5,6,7,8)</f>
        <v>8</v>
      </c>
      <c r="AB1344" s="2">
        <f t="shared" si="206"/>
        <v>1</v>
      </c>
      <c r="AC1344">
        <v>1021.1</v>
      </c>
      <c r="AD1344" t="s">
        <v>1966</v>
      </c>
      <c r="AE1344" s="2">
        <f t="shared" si="207"/>
        <v>1</v>
      </c>
      <c r="AF1344" t="s">
        <v>1967</v>
      </c>
      <c r="AG1344" s="2">
        <f t="shared" si="208"/>
        <v>11</v>
      </c>
      <c r="AH1344" s="2">
        <f t="shared" si="209"/>
        <v>0</v>
      </c>
      <c r="AI1344" s="3">
        <v>120.0000000034925</v>
      </c>
      <c r="AJ1344" s="2">
        <v>0</v>
      </c>
      <c r="AK1344">
        <v>0</v>
      </c>
      <c r="AL1344">
        <v>1</v>
      </c>
      <c r="AM1344">
        <v>0</v>
      </c>
      <c r="AN1344" s="2">
        <f>IF((2*G1344+M1344-O1344+3*V1344+2*AB1344+2*AE1344+2*AH1344+3*AJ1344)&gt;=7,1,0)</f>
        <v>0</v>
      </c>
    </row>
    <row r="1345" spans="1:40" x14ac:dyDescent="0.25">
      <c r="A1345" t="s">
        <v>27</v>
      </c>
      <c r="B1345" s="1">
        <v>40867</v>
      </c>
      <c r="C1345" s="6">
        <f t="shared" si="200"/>
        <v>2011</v>
      </c>
      <c r="D1345">
        <v>60.8</v>
      </c>
      <c r="E1345">
        <v>51.8</v>
      </c>
      <c r="F1345">
        <v>56.3</v>
      </c>
      <c r="G1345" s="2">
        <f t="shared" si="201"/>
        <v>0</v>
      </c>
      <c r="H1345">
        <v>60.8</v>
      </c>
      <c r="I1345">
        <v>51.8</v>
      </c>
      <c r="J1345">
        <v>56.3</v>
      </c>
      <c r="K1345">
        <v>46.1</v>
      </c>
      <c r="L1345">
        <v>69.099999999999994</v>
      </c>
      <c r="M1345" s="2">
        <f t="shared" si="202"/>
        <v>0</v>
      </c>
      <c r="N1345">
        <v>0</v>
      </c>
      <c r="O1345" s="2">
        <f t="shared" si="203"/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 s="2">
        <f t="shared" si="204"/>
        <v>0</v>
      </c>
      <c r="W1345">
        <v>20.8</v>
      </c>
      <c r="X1345" s="2">
        <f t="shared" si="205"/>
        <v>1</v>
      </c>
      <c r="Y1345">
        <v>309.7</v>
      </c>
      <c r="Z1345" s="2" t="str">
        <f>CHOOSE(MATCH(Y1345,{0;11;80;111;161;191;241;281;341},1),"North","NorthEast","East","SouthEast","South","SouthWest","West","NorthWest","North")</f>
        <v>NorthWest</v>
      </c>
      <c r="AA1345" s="4">
        <f>CHOOSE(MATCH(Z1345,{"South";"SouthEast";"SouthWest";"North";"NorthEast";"East";"West";"NorthWest"},0),1,2,3,4,5,6,7,8)</f>
        <v>8</v>
      </c>
      <c r="AB1345" s="2">
        <f t="shared" si="206"/>
        <v>1</v>
      </c>
      <c r="AC1345">
        <v>1021.1</v>
      </c>
      <c r="AD1345" t="s">
        <v>1127</v>
      </c>
      <c r="AE1345" s="2">
        <f t="shared" si="207"/>
        <v>1</v>
      </c>
      <c r="AF1345" t="s">
        <v>1968</v>
      </c>
      <c r="AG1345" s="2">
        <f t="shared" si="208"/>
        <v>11</v>
      </c>
      <c r="AH1345" s="2">
        <f t="shared" si="209"/>
        <v>0</v>
      </c>
      <c r="AI1345" s="3">
        <v>280.00000000116421</v>
      </c>
      <c r="AJ1345" s="2">
        <v>0</v>
      </c>
      <c r="AK1345">
        <v>0</v>
      </c>
      <c r="AL1345">
        <v>5</v>
      </c>
      <c r="AM1345">
        <v>0</v>
      </c>
      <c r="AN1345" s="2">
        <f>IF((2*G1345+M1345-O1345+3*V1345+2*AB1345+2*AE1345+2*AH1345+3*AJ1345)&gt;=7,1,0)</f>
        <v>0</v>
      </c>
    </row>
    <row r="1346" spans="1:40" x14ac:dyDescent="0.25">
      <c r="A1346" t="s">
        <v>27</v>
      </c>
      <c r="B1346" s="1">
        <v>40869</v>
      </c>
      <c r="C1346" s="6">
        <f t="shared" si="200"/>
        <v>2011</v>
      </c>
      <c r="D1346">
        <v>60.8</v>
      </c>
      <c r="E1346">
        <v>46.4</v>
      </c>
      <c r="F1346">
        <v>53.8</v>
      </c>
      <c r="G1346" s="2">
        <f t="shared" si="201"/>
        <v>0</v>
      </c>
      <c r="H1346">
        <v>60.8</v>
      </c>
      <c r="I1346">
        <v>42.9</v>
      </c>
      <c r="J1346">
        <v>52.6</v>
      </c>
      <c r="K1346">
        <v>46.8</v>
      </c>
      <c r="L1346">
        <v>77.8</v>
      </c>
      <c r="M1346" s="2">
        <f t="shared" si="202"/>
        <v>0</v>
      </c>
      <c r="N1346">
        <v>0</v>
      </c>
      <c r="O1346" s="2">
        <f t="shared" si="203"/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 s="2">
        <f t="shared" si="204"/>
        <v>0</v>
      </c>
      <c r="W1346">
        <v>8.1</v>
      </c>
      <c r="X1346" s="2">
        <f t="shared" si="205"/>
        <v>0</v>
      </c>
      <c r="Y1346">
        <v>182.6</v>
      </c>
      <c r="Z1346" s="2" t="str">
        <f>CHOOSE(MATCH(Y1346,{0;11;80;111;161;191;241;281;341},1),"North","NorthEast","East","SouthEast","South","SouthWest","West","NorthWest","North")</f>
        <v>South</v>
      </c>
      <c r="AA1346" s="4">
        <f>CHOOSE(MATCH(Z1346,{"South";"SouthEast";"SouthWest";"North";"NorthEast";"East";"West";"NorthWest"},0),1,2,3,4,5,6,7,8)</f>
        <v>1</v>
      </c>
      <c r="AB1346" s="2">
        <f t="shared" si="206"/>
        <v>0</v>
      </c>
      <c r="AC1346">
        <v>1022.9</v>
      </c>
      <c r="AD1346" t="s">
        <v>1969</v>
      </c>
      <c r="AE1346" s="2">
        <f t="shared" si="207"/>
        <v>1</v>
      </c>
      <c r="AF1346" t="s">
        <v>1970</v>
      </c>
      <c r="AG1346" s="2">
        <f t="shared" si="208"/>
        <v>11</v>
      </c>
      <c r="AH1346" s="2">
        <f t="shared" si="209"/>
        <v>0</v>
      </c>
      <c r="AI1346" s="3">
        <v>170.9999999916181</v>
      </c>
      <c r="AJ1346" s="2">
        <v>0</v>
      </c>
      <c r="AK1346">
        <v>0</v>
      </c>
      <c r="AL1346">
        <v>4</v>
      </c>
      <c r="AM1346">
        <v>0</v>
      </c>
      <c r="AN1346" s="2">
        <f>IF((2*G1346+M1346-O1346+3*V1346+2*AB1346+2*AE1346+2*AH1346+3*AJ1346)&gt;=7,1,0)</f>
        <v>0</v>
      </c>
    </row>
    <row r="1347" spans="1:40" x14ac:dyDescent="0.25">
      <c r="A1347" t="s">
        <v>27</v>
      </c>
      <c r="B1347" s="1">
        <v>40870</v>
      </c>
      <c r="C1347" s="6">
        <f t="shared" ref="C1347:C1410" si="210">YEAR(B1347)</f>
        <v>2011</v>
      </c>
      <c r="D1347">
        <v>64.400000000000006</v>
      </c>
      <c r="E1347">
        <v>51.8</v>
      </c>
      <c r="F1347">
        <v>57.4</v>
      </c>
      <c r="G1347" s="2">
        <f t="shared" ref="G1347:G1410" si="211">IF(F1347&lt;=70,0,1)</f>
        <v>0</v>
      </c>
      <c r="H1347">
        <v>64.400000000000006</v>
      </c>
      <c r="I1347">
        <v>51.8</v>
      </c>
      <c r="J1347">
        <v>57.4</v>
      </c>
      <c r="K1347">
        <v>52.5</v>
      </c>
      <c r="L1347">
        <v>83.7</v>
      </c>
      <c r="M1347" s="2">
        <f t="shared" ref="M1347:M1410" si="212">IF(L1347&lt;=66,1,0)</f>
        <v>0</v>
      </c>
      <c r="N1347">
        <v>0</v>
      </c>
      <c r="O1347" s="2">
        <f t="shared" ref="O1347:O1410" si="213">IF(N1347&lt;=0.01,1,0)</f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 s="2">
        <f t="shared" ref="V1347:V1410" si="214">IF(U1347&lt;=9,0,1)</f>
        <v>0</v>
      </c>
      <c r="W1347">
        <v>8.1</v>
      </c>
      <c r="X1347" s="2">
        <f t="shared" ref="X1347:X1410" si="215">IF(W1347&gt;=16,1,0)</f>
        <v>0</v>
      </c>
      <c r="Y1347">
        <v>106.8</v>
      </c>
      <c r="Z1347" s="2" t="str">
        <f>CHOOSE(MATCH(Y1347,{0;11;80;111;161;191;241;281;341},1),"North","NorthEast","East","SouthEast","South","SouthWest","West","NorthWest","North")</f>
        <v>East</v>
      </c>
      <c r="AA1347" s="4">
        <f>CHOOSE(MATCH(Z1347,{"South";"SouthEast";"SouthWest";"North";"NorthEast";"East";"West";"NorthWest"},0),1,2,3,4,5,6,7,8)</f>
        <v>6</v>
      </c>
      <c r="AB1347" s="2">
        <f t="shared" ref="AB1347:AB1410" si="216">IF(OR(AA1347=4,AA1347=5,AA1347=8),1,0)</f>
        <v>0</v>
      </c>
      <c r="AC1347">
        <v>1023</v>
      </c>
      <c r="AD1347" t="s">
        <v>1069</v>
      </c>
      <c r="AE1347" s="2">
        <f t="shared" ref="AE1347:AE1410" si="217">IF(TIMEVALUE(AD1347)&lt;=TIME(12,30,0),0,1)</f>
        <v>1</v>
      </c>
      <c r="AF1347" t="s">
        <v>1971</v>
      </c>
      <c r="AG1347" s="2">
        <f t="shared" ref="AG1347:AG1410" si="218">MONTH(AF1347)</f>
        <v>11</v>
      </c>
      <c r="AH1347" s="2">
        <f t="shared" ref="AH1347:AH1410" si="219">IF(OR(AG1347=6,AG1347=7,AG1347=8),1,0)</f>
        <v>0</v>
      </c>
      <c r="AI1347" s="3">
        <v>84.999999994179234</v>
      </c>
      <c r="AJ1347" s="2">
        <v>0</v>
      </c>
      <c r="AK1347">
        <v>0</v>
      </c>
      <c r="AL1347">
        <v>0.5</v>
      </c>
      <c r="AM1347">
        <v>0</v>
      </c>
      <c r="AN1347" s="2">
        <f>IF((2*G1347+M1347-O1347+3*V1347+2*AB1347+2*AE1347+2*AH1347+3*AJ1347)&gt;=7,1,0)</f>
        <v>0</v>
      </c>
    </row>
    <row r="1348" spans="1:40" x14ac:dyDescent="0.25">
      <c r="A1348" t="s">
        <v>27</v>
      </c>
      <c r="B1348" s="1">
        <v>40871</v>
      </c>
      <c r="C1348" s="6">
        <f t="shared" si="210"/>
        <v>2011</v>
      </c>
      <c r="D1348">
        <v>60.8</v>
      </c>
      <c r="E1348">
        <v>57.2</v>
      </c>
      <c r="F1348">
        <v>59</v>
      </c>
      <c r="G1348" s="2">
        <f t="shared" si="211"/>
        <v>0</v>
      </c>
      <c r="H1348">
        <v>60.8</v>
      </c>
      <c r="I1348">
        <v>57.2</v>
      </c>
      <c r="J1348">
        <v>59</v>
      </c>
      <c r="K1348">
        <v>49.9</v>
      </c>
      <c r="L1348">
        <v>71.900000000000006</v>
      </c>
      <c r="M1348" s="2">
        <f t="shared" si="212"/>
        <v>0</v>
      </c>
      <c r="N1348">
        <v>0</v>
      </c>
      <c r="O1348" s="2">
        <f t="shared" si="213"/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 s="2">
        <f t="shared" si="214"/>
        <v>0</v>
      </c>
      <c r="W1348">
        <v>16.100000000000001</v>
      </c>
      <c r="X1348" s="2">
        <f t="shared" si="215"/>
        <v>1</v>
      </c>
      <c r="Y1348">
        <v>341.7</v>
      </c>
      <c r="Z1348" s="2" t="str">
        <f>CHOOSE(MATCH(Y1348,{0;11;80;111;161;191;241;281;341},1),"North","NorthEast","East","SouthEast","South","SouthWest","West","NorthWest","North")</f>
        <v>North</v>
      </c>
      <c r="AA1348" s="4">
        <f>CHOOSE(MATCH(Z1348,{"South";"SouthEast";"SouthWest";"North";"NorthEast";"East";"West";"NorthWest"},0),1,2,3,4,5,6,7,8)</f>
        <v>4</v>
      </c>
      <c r="AB1348" s="2">
        <f t="shared" si="216"/>
        <v>1</v>
      </c>
      <c r="AC1348">
        <v>1023.5</v>
      </c>
      <c r="AD1348" t="s">
        <v>1818</v>
      </c>
      <c r="AE1348" s="2">
        <f t="shared" si="217"/>
        <v>1</v>
      </c>
      <c r="AF1348" t="s">
        <v>1972</v>
      </c>
      <c r="AG1348" s="2">
        <f t="shared" si="218"/>
        <v>11</v>
      </c>
      <c r="AH1348" s="2">
        <f t="shared" si="219"/>
        <v>0</v>
      </c>
      <c r="AI1348" s="3">
        <v>474.99999999767169</v>
      </c>
      <c r="AJ1348" s="2">
        <v>1</v>
      </c>
      <c r="AK1348">
        <v>0</v>
      </c>
      <c r="AL1348">
        <v>35</v>
      </c>
      <c r="AM1348">
        <v>0</v>
      </c>
      <c r="AN1348" s="2">
        <f>IF((2*G1348+M1348-O1348+3*V1348+2*AB1348+2*AE1348+2*AH1348+3*AJ1348)&gt;=7,1,0)</f>
        <v>0</v>
      </c>
    </row>
    <row r="1349" spans="1:40" x14ac:dyDescent="0.25">
      <c r="A1349" t="s">
        <v>27</v>
      </c>
      <c r="B1349" s="1">
        <v>40873</v>
      </c>
      <c r="C1349" s="6">
        <f t="shared" si="210"/>
        <v>2011</v>
      </c>
      <c r="D1349">
        <v>57.2</v>
      </c>
      <c r="E1349">
        <v>50.3</v>
      </c>
      <c r="F1349">
        <v>55.8</v>
      </c>
      <c r="G1349" s="2">
        <f t="shared" si="211"/>
        <v>0</v>
      </c>
      <c r="H1349">
        <v>57.2</v>
      </c>
      <c r="I1349">
        <v>50.3</v>
      </c>
      <c r="J1349">
        <v>55.8</v>
      </c>
      <c r="K1349">
        <v>42.9</v>
      </c>
      <c r="L1349">
        <v>62</v>
      </c>
      <c r="M1349" s="2">
        <f t="shared" si="212"/>
        <v>1</v>
      </c>
      <c r="N1349">
        <v>0</v>
      </c>
      <c r="O1349" s="2">
        <f t="shared" si="213"/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25.3</v>
      </c>
      <c r="V1349" s="2">
        <f t="shared" si="214"/>
        <v>1</v>
      </c>
      <c r="W1349">
        <v>20.8</v>
      </c>
      <c r="X1349" s="2">
        <f t="shared" si="215"/>
        <v>1</v>
      </c>
      <c r="Y1349">
        <v>327.39999999999998</v>
      </c>
      <c r="Z1349" s="2" t="str">
        <f>CHOOSE(MATCH(Y1349,{0;11;80;111;161;191;241;281;341},1),"North","NorthEast","East","SouthEast","South","SouthWest","West","NorthWest","North")</f>
        <v>NorthWest</v>
      </c>
      <c r="AA1349" s="4">
        <f>CHOOSE(MATCH(Z1349,{"South";"SouthEast";"SouthWest";"North";"NorthEast";"East";"West";"NorthWest"},0),1,2,3,4,5,6,7,8)</f>
        <v>8</v>
      </c>
      <c r="AB1349" s="2">
        <f t="shared" si="216"/>
        <v>1</v>
      </c>
      <c r="AC1349">
        <v>1023.4</v>
      </c>
      <c r="AD1349" t="s">
        <v>1973</v>
      </c>
      <c r="AE1349" s="2">
        <f t="shared" si="217"/>
        <v>0</v>
      </c>
      <c r="AF1349" t="s">
        <v>1974</v>
      </c>
      <c r="AG1349" s="2">
        <f t="shared" si="218"/>
        <v>11</v>
      </c>
      <c r="AH1349" s="2">
        <f t="shared" si="219"/>
        <v>0</v>
      </c>
      <c r="AI1349" s="3">
        <v>50.000000005820773</v>
      </c>
      <c r="AJ1349" s="2">
        <v>0</v>
      </c>
      <c r="AK1349">
        <v>0</v>
      </c>
      <c r="AL1349">
        <v>1</v>
      </c>
      <c r="AM1349">
        <v>0</v>
      </c>
      <c r="AN1349" s="2">
        <f>IF((2*G1349+M1349-O1349+3*V1349+2*AB1349+2*AE1349+2*AH1349+3*AJ1349)&gt;=7,1,0)</f>
        <v>0</v>
      </c>
    </row>
    <row r="1350" spans="1:40" x14ac:dyDescent="0.25">
      <c r="A1350" t="s">
        <v>27</v>
      </c>
      <c r="B1350" s="1">
        <v>40874</v>
      </c>
      <c r="C1350" s="6">
        <f t="shared" si="210"/>
        <v>2011</v>
      </c>
      <c r="D1350">
        <v>57.3</v>
      </c>
      <c r="E1350">
        <v>55.4</v>
      </c>
      <c r="F1350">
        <v>56.1</v>
      </c>
      <c r="G1350" s="2">
        <f t="shared" si="211"/>
        <v>0</v>
      </c>
      <c r="H1350">
        <v>57.3</v>
      </c>
      <c r="I1350">
        <v>55.4</v>
      </c>
      <c r="J1350">
        <v>56.1</v>
      </c>
      <c r="K1350">
        <v>42.9</v>
      </c>
      <c r="L1350">
        <v>61.3</v>
      </c>
      <c r="M1350" s="2">
        <f t="shared" si="212"/>
        <v>1</v>
      </c>
      <c r="N1350">
        <v>0</v>
      </c>
      <c r="O1350" s="2">
        <f t="shared" si="213"/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27.5</v>
      </c>
      <c r="V1350" s="2">
        <f t="shared" si="214"/>
        <v>1</v>
      </c>
      <c r="W1350">
        <v>25.3</v>
      </c>
      <c r="X1350" s="2">
        <f t="shared" si="215"/>
        <v>1</v>
      </c>
      <c r="Y1350">
        <v>331.8</v>
      </c>
      <c r="Z1350" s="2" t="str">
        <f>CHOOSE(MATCH(Y1350,{0;11;80;111;161;191;241;281;341},1),"North","NorthEast","East","SouthEast","South","SouthWest","West","NorthWest","North")</f>
        <v>NorthWest</v>
      </c>
      <c r="AA1350" s="4">
        <f>CHOOSE(MATCH(Z1350,{"South";"SouthEast";"SouthWest";"North";"NorthEast";"East";"West";"NorthWest"},0),1,2,3,4,5,6,7,8)</f>
        <v>8</v>
      </c>
      <c r="AB1350" s="2">
        <f t="shared" si="216"/>
        <v>1</v>
      </c>
      <c r="AC1350">
        <v>1023.2</v>
      </c>
      <c r="AD1350" t="s">
        <v>1800</v>
      </c>
      <c r="AE1350" s="2">
        <f t="shared" si="217"/>
        <v>1</v>
      </c>
      <c r="AF1350" t="s">
        <v>1975</v>
      </c>
      <c r="AG1350" s="2">
        <f t="shared" si="218"/>
        <v>11</v>
      </c>
      <c r="AH1350" s="2">
        <f t="shared" si="219"/>
        <v>0</v>
      </c>
      <c r="AI1350" s="3">
        <v>45</v>
      </c>
      <c r="AJ1350" s="2">
        <v>0</v>
      </c>
      <c r="AK1350">
        <v>0</v>
      </c>
      <c r="AL1350">
        <v>0.1</v>
      </c>
      <c r="AM1350">
        <v>0</v>
      </c>
      <c r="AN1350" s="2">
        <f>IF((2*G1350+M1350-O1350+3*V1350+2*AB1350+2*AE1350+2*AH1350+3*AJ1350)&gt;=7,1,0)</f>
        <v>1</v>
      </c>
    </row>
    <row r="1351" spans="1:40" x14ac:dyDescent="0.25">
      <c r="A1351" t="s">
        <v>27</v>
      </c>
      <c r="B1351" s="1">
        <v>40875</v>
      </c>
      <c r="C1351" s="6">
        <f t="shared" si="210"/>
        <v>2011</v>
      </c>
      <c r="D1351">
        <v>59</v>
      </c>
      <c r="E1351">
        <v>48.2</v>
      </c>
      <c r="F1351">
        <v>54.5</v>
      </c>
      <c r="G1351" s="2">
        <f t="shared" si="211"/>
        <v>0</v>
      </c>
      <c r="H1351">
        <v>59</v>
      </c>
      <c r="I1351">
        <v>46.3</v>
      </c>
      <c r="J1351">
        <v>54.3</v>
      </c>
      <c r="K1351">
        <v>44.7</v>
      </c>
      <c r="L1351">
        <v>69.900000000000006</v>
      </c>
      <c r="M1351" s="2">
        <f t="shared" si="212"/>
        <v>0</v>
      </c>
      <c r="N1351">
        <v>0</v>
      </c>
      <c r="O1351" s="2">
        <f t="shared" si="213"/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 s="2">
        <f t="shared" si="214"/>
        <v>0</v>
      </c>
      <c r="W1351">
        <v>16.100000000000001</v>
      </c>
      <c r="X1351" s="2">
        <f t="shared" si="215"/>
        <v>1</v>
      </c>
      <c r="Y1351">
        <v>319.5</v>
      </c>
      <c r="Z1351" s="2" t="str">
        <f>CHOOSE(MATCH(Y1351,{0;11;80;111;161;191;241;281;341},1),"North","NorthEast","East","SouthEast","South","SouthWest","West","NorthWest","North")</f>
        <v>NorthWest</v>
      </c>
      <c r="AA1351" s="4">
        <f>CHOOSE(MATCH(Z1351,{"South";"SouthEast";"SouthWest";"North";"NorthEast";"East";"West";"NorthWest"},0),1,2,3,4,5,6,7,8)</f>
        <v>8</v>
      </c>
      <c r="AB1351" s="2">
        <f t="shared" si="216"/>
        <v>1</v>
      </c>
      <c r="AC1351">
        <v>1023.8</v>
      </c>
      <c r="AD1351" t="s">
        <v>1976</v>
      </c>
      <c r="AE1351" s="2">
        <f t="shared" si="217"/>
        <v>0</v>
      </c>
      <c r="AF1351" t="s">
        <v>1977</v>
      </c>
      <c r="AG1351" s="2">
        <f t="shared" si="218"/>
        <v>11</v>
      </c>
      <c r="AH1351" s="2">
        <f t="shared" si="219"/>
        <v>0</v>
      </c>
      <c r="AI1351" s="3">
        <v>79.999999998835847</v>
      </c>
      <c r="AJ1351" s="2">
        <v>0</v>
      </c>
      <c r="AK1351">
        <v>0</v>
      </c>
      <c r="AL1351">
        <v>0.1</v>
      </c>
      <c r="AM1351">
        <v>0</v>
      </c>
      <c r="AN1351" s="2">
        <f>IF((2*G1351+M1351-O1351+3*V1351+2*AB1351+2*AE1351+2*AH1351+3*AJ1351)&gt;=7,1,0)</f>
        <v>0</v>
      </c>
    </row>
    <row r="1352" spans="1:40" x14ac:dyDescent="0.25">
      <c r="A1352" t="s">
        <v>27</v>
      </c>
      <c r="B1352" s="1">
        <v>40876</v>
      </c>
      <c r="C1352" s="6">
        <f t="shared" si="210"/>
        <v>2011</v>
      </c>
      <c r="D1352">
        <v>60.8</v>
      </c>
      <c r="E1352">
        <v>48.2</v>
      </c>
      <c r="F1352">
        <v>54.2</v>
      </c>
      <c r="G1352" s="2">
        <f t="shared" si="211"/>
        <v>0</v>
      </c>
      <c r="H1352">
        <v>60.8</v>
      </c>
      <c r="I1352">
        <v>45.6</v>
      </c>
      <c r="J1352">
        <v>53.8</v>
      </c>
      <c r="K1352">
        <v>47.2</v>
      </c>
      <c r="L1352">
        <v>77.7</v>
      </c>
      <c r="M1352" s="2">
        <f t="shared" si="212"/>
        <v>0</v>
      </c>
      <c r="N1352">
        <v>0</v>
      </c>
      <c r="O1352" s="2">
        <f t="shared" si="213"/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 s="2">
        <f t="shared" si="214"/>
        <v>0</v>
      </c>
      <c r="W1352">
        <v>13.9</v>
      </c>
      <c r="X1352" s="2">
        <f t="shared" si="215"/>
        <v>0</v>
      </c>
      <c r="Y1352">
        <v>267.7</v>
      </c>
      <c r="Z1352" s="2" t="str">
        <f>CHOOSE(MATCH(Y1352,{0;11;80;111;161;191;241;281;341},1),"North","NorthEast","East","SouthEast","South","SouthWest","West","NorthWest","North")</f>
        <v>West</v>
      </c>
      <c r="AA1352" s="4">
        <f>CHOOSE(MATCH(Z1352,{"South";"SouthEast";"SouthWest";"North";"NorthEast";"East";"West";"NorthWest"},0),1,2,3,4,5,6,7,8)</f>
        <v>7</v>
      </c>
      <c r="AB1352" s="2">
        <f t="shared" si="216"/>
        <v>0</v>
      </c>
      <c r="AC1352">
        <v>1023.4</v>
      </c>
      <c r="AD1352" t="s">
        <v>1978</v>
      </c>
      <c r="AE1352" s="2">
        <f t="shared" si="217"/>
        <v>0</v>
      </c>
      <c r="AF1352" t="s">
        <v>1979</v>
      </c>
      <c r="AG1352" s="2">
        <f t="shared" si="218"/>
        <v>11</v>
      </c>
      <c r="AH1352" s="2">
        <f t="shared" si="219"/>
        <v>0</v>
      </c>
      <c r="AI1352" s="3">
        <v>45</v>
      </c>
      <c r="AJ1352" s="2">
        <v>0</v>
      </c>
      <c r="AK1352">
        <v>0</v>
      </c>
      <c r="AL1352">
        <v>1</v>
      </c>
      <c r="AM1352">
        <v>0</v>
      </c>
      <c r="AN1352" s="2">
        <f>IF((2*G1352+M1352-O1352+3*V1352+2*AB1352+2*AE1352+2*AH1352+3*AJ1352)&gt;=7,1,0)</f>
        <v>0</v>
      </c>
    </row>
    <row r="1353" spans="1:40" x14ac:dyDescent="0.25">
      <c r="A1353" t="s">
        <v>27</v>
      </c>
      <c r="B1353" s="1">
        <v>40881</v>
      </c>
      <c r="C1353" s="6">
        <f t="shared" si="210"/>
        <v>2011</v>
      </c>
      <c r="D1353">
        <v>68</v>
      </c>
      <c r="E1353">
        <v>43.8</v>
      </c>
      <c r="F1353">
        <v>55.1</v>
      </c>
      <c r="G1353" s="2">
        <f t="shared" si="211"/>
        <v>0</v>
      </c>
      <c r="H1353">
        <v>68</v>
      </c>
      <c r="I1353">
        <v>41.9</v>
      </c>
      <c r="J1353">
        <v>53.8</v>
      </c>
      <c r="K1353">
        <v>45.9</v>
      </c>
      <c r="L1353">
        <v>72.099999999999994</v>
      </c>
      <c r="M1353" s="2">
        <f t="shared" si="212"/>
        <v>0</v>
      </c>
      <c r="N1353">
        <v>0</v>
      </c>
      <c r="O1353" s="2">
        <f t="shared" si="213"/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 s="2">
        <f t="shared" si="214"/>
        <v>0</v>
      </c>
      <c r="W1353">
        <v>11.4</v>
      </c>
      <c r="X1353" s="2">
        <f t="shared" si="215"/>
        <v>0</v>
      </c>
      <c r="Y1353">
        <v>177</v>
      </c>
      <c r="Z1353" s="2" t="str">
        <f>CHOOSE(MATCH(Y1353,{0;11;80;111;161;191;241;281;341},1),"North","NorthEast","East","SouthEast","South","SouthWest","West","NorthWest","North")</f>
        <v>South</v>
      </c>
      <c r="AA1353" s="4">
        <f>CHOOSE(MATCH(Z1353,{"South";"SouthEast";"SouthWest";"North";"NorthEast";"East";"West";"NorthWest"},0),1,2,3,4,5,6,7,8)</f>
        <v>1</v>
      </c>
      <c r="AB1353" s="2">
        <f t="shared" si="216"/>
        <v>0</v>
      </c>
      <c r="AC1353">
        <v>1024.2</v>
      </c>
      <c r="AD1353" t="s">
        <v>1980</v>
      </c>
      <c r="AE1353" s="2">
        <f t="shared" si="217"/>
        <v>1</v>
      </c>
      <c r="AF1353" t="s">
        <v>1981</v>
      </c>
      <c r="AG1353" s="2">
        <f t="shared" si="218"/>
        <v>12</v>
      </c>
      <c r="AH1353" s="2">
        <f t="shared" si="219"/>
        <v>0</v>
      </c>
      <c r="AI1353" s="3">
        <v>915.00000000698492</v>
      </c>
      <c r="AJ1353" s="2">
        <v>1</v>
      </c>
      <c r="AK1353">
        <v>0</v>
      </c>
      <c r="AL1353">
        <v>30</v>
      </c>
      <c r="AM1353">
        <v>0</v>
      </c>
      <c r="AN1353" s="2">
        <f>IF((2*G1353+M1353-O1353+3*V1353+2*AB1353+2*AE1353+2*AH1353+3*AJ1353)&gt;=7,1,0)</f>
        <v>0</v>
      </c>
    </row>
    <row r="1354" spans="1:40" x14ac:dyDescent="0.25">
      <c r="A1354" t="s">
        <v>27</v>
      </c>
      <c r="B1354" s="1">
        <v>40881</v>
      </c>
      <c r="C1354" s="6">
        <f t="shared" si="210"/>
        <v>2011</v>
      </c>
      <c r="D1354">
        <v>68</v>
      </c>
      <c r="E1354">
        <v>43.8</v>
      </c>
      <c r="F1354">
        <v>55.1</v>
      </c>
      <c r="G1354" s="2">
        <f t="shared" si="211"/>
        <v>0</v>
      </c>
      <c r="H1354">
        <v>68</v>
      </c>
      <c r="I1354">
        <v>41.9</v>
      </c>
      <c r="J1354">
        <v>53.8</v>
      </c>
      <c r="K1354">
        <v>45.9</v>
      </c>
      <c r="L1354">
        <v>72.099999999999994</v>
      </c>
      <c r="M1354" s="2">
        <f t="shared" si="212"/>
        <v>0</v>
      </c>
      <c r="N1354">
        <v>0</v>
      </c>
      <c r="O1354" s="2">
        <f t="shared" si="213"/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 s="2">
        <f t="shared" si="214"/>
        <v>0</v>
      </c>
      <c r="W1354">
        <v>11.4</v>
      </c>
      <c r="X1354" s="2">
        <f t="shared" si="215"/>
        <v>0</v>
      </c>
      <c r="Y1354">
        <v>177</v>
      </c>
      <c r="Z1354" s="2" t="str">
        <f>CHOOSE(MATCH(Y1354,{0;11;80;111;161;191;241;281;341},1),"North","NorthEast","East","SouthEast","South","SouthWest","West","NorthWest","North")</f>
        <v>South</v>
      </c>
      <c r="AA1354" s="4">
        <f>CHOOSE(MATCH(Z1354,{"South";"SouthEast";"SouthWest";"North";"NorthEast";"East";"West";"NorthWest"},0),1,2,3,4,5,6,7,8)</f>
        <v>1</v>
      </c>
      <c r="AB1354" s="2">
        <f t="shared" si="216"/>
        <v>0</v>
      </c>
      <c r="AC1354">
        <v>1024.2</v>
      </c>
      <c r="AD1354" t="s">
        <v>1781</v>
      </c>
      <c r="AE1354" s="2">
        <f t="shared" si="217"/>
        <v>1</v>
      </c>
      <c r="AF1354" t="s">
        <v>1982</v>
      </c>
      <c r="AG1354" s="2">
        <f t="shared" si="218"/>
        <v>12</v>
      </c>
      <c r="AH1354" s="2">
        <f t="shared" si="219"/>
        <v>0</v>
      </c>
      <c r="AI1354" s="3">
        <v>104.9999999965075</v>
      </c>
      <c r="AJ1354" s="2">
        <v>0</v>
      </c>
      <c r="AK1354">
        <v>0</v>
      </c>
      <c r="AL1354">
        <v>3</v>
      </c>
      <c r="AM1354">
        <v>0</v>
      </c>
      <c r="AN1354" s="2">
        <f>IF((2*G1354+M1354-O1354+3*V1354+2*AB1354+2*AE1354+2*AH1354+3*AJ1354)&gt;=7,1,0)</f>
        <v>0</v>
      </c>
    </row>
    <row r="1355" spans="1:40" x14ac:dyDescent="0.25">
      <c r="A1355" t="s">
        <v>27</v>
      </c>
      <c r="B1355" s="1">
        <v>40881</v>
      </c>
      <c r="C1355" s="6">
        <f t="shared" si="210"/>
        <v>2011</v>
      </c>
      <c r="D1355">
        <v>68</v>
      </c>
      <c r="E1355">
        <v>43.8</v>
      </c>
      <c r="F1355">
        <v>55.1</v>
      </c>
      <c r="G1355" s="2">
        <f t="shared" si="211"/>
        <v>0</v>
      </c>
      <c r="H1355">
        <v>68</v>
      </c>
      <c r="I1355">
        <v>41.9</v>
      </c>
      <c r="J1355">
        <v>53.8</v>
      </c>
      <c r="K1355">
        <v>45.9</v>
      </c>
      <c r="L1355">
        <v>72.099999999999994</v>
      </c>
      <c r="M1355" s="2">
        <f t="shared" si="212"/>
        <v>0</v>
      </c>
      <c r="N1355">
        <v>0</v>
      </c>
      <c r="O1355" s="2">
        <f t="shared" si="213"/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 s="2">
        <f t="shared" si="214"/>
        <v>0</v>
      </c>
      <c r="W1355">
        <v>11.4</v>
      </c>
      <c r="X1355" s="2">
        <f t="shared" si="215"/>
        <v>0</v>
      </c>
      <c r="Y1355">
        <v>177</v>
      </c>
      <c r="Z1355" s="2" t="str">
        <f>CHOOSE(MATCH(Y1355,{0;11;80;111;161;191;241;281;341},1),"North","NorthEast","East","SouthEast","South","SouthWest","West","NorthWest","North")</f>
        <v>South</v>
      </c>
      <c r="AA1355" s="4">
        <f>CHOOSE(MATCH(Z1355,{"South";"SouthEast";"SouthWest";"North";"NorthEast";"East";"West";"NorthWest"},0),1,2,3,4,5,6,7,8)</f>
        <v>1</v>
      </c>
      <c r="AB1355" s="2">
        <f t="shared" si="216"/>
        <v>0</v>
      </c>
      <c r="AC1355">
        <v>1024.2</v>
      </c>
      <c r="AD1355" t="s">
        <v>1983</v>
      </c>
      <c r="AE1355" s="2">
        <f t="shared" si="217"/>
        <v>1</v>
      </c>
      <c r="AF1355" t="s">
        <v>1984</v>
      </c>
      <c r="AG1355" s="2">
        <f t="shared" si="218"/>
        <v>12</v>
      </c>
      <c r="AH1355" s="2">
        <f t="shared" si="219"/>
        <v>0</v>
      </c>
      <c r="AI1355" s="3">
        <v>30.00000000349246</v>
      </c>
      <c r="AJ1355" s="2">
        <v>0</v>
      </c>
      <c r="AK1355">
        <v>0</v>
      </c>
      <c r="AL1355">
        <v>1</v>
      </c>
      <c r="AM1355">
        <v>0</v>
      </c>
      <c r="AN1355" s="2">
        <f>IF((2*G1355+M1355-O1355+3*V1355+2*AB1355+2*AE1355+2*AH1355+3*AJ1355)&gt;=7,1,0)</f>
        <v>0</v>
      </c>
    </row>
    <row r="1356" spans="1:40" x14ac:dyDescent="0.25">
      <c r="A1356" t="s">
        <v>27</v>
      </c>
      <c r="B1356" s="1">
        <v>40884</v>
      </c>
      <c r="C1356" s="6">
        <f t="shared" si="210"/>
        <v>2011</v>
      </c>
      <c r="D1356">
        <v>66.2</v>
      </c>
      <c r="E1356">
        <v>55.4</v>
      </c>
      <c r="F1356">
        <v>60.5</v>
      </c>
      <c r="G1356" s="2">
        <f t="shared" si="211"/>
        <v>0</v>
      </c>
      <c r="H1356">
        <v>66.2</v>
      </c>
      <c r="I1356">
        <v>55.4</v>
      </c>
      <c r="J1356">
        <v>60.5</v>
      </c>
      <c r="K1356">
        <v>52.3</v>
      </c>
      <c r="L1356">
        <v>75.099999999999994</v>
      </c>
      <c r="M1356" s="2">
        <f t="shared" si="212"/>
        <v>0</v>
      </c>
      <c r="N1356">
        <v>0.26</v>
      </c>
      <c r="O1356" s="2">
        <f t="shared" si="213"/>
        <v>0</v>
      </c>
      <c r="P1356">
        <v>100</v>
      </c>
      <c r="Q1356">
        <v>8.33</v>
      </c>
      <c r="R1356" t="s">
        <v>182</v>
      </c>
      <c r="S1356">
        <v>0</v>
      </c>
      <c r="T1356">
        <v>0</v>
      </c>
      <c r="U1356">
        <v>0</v>
      </c>
      <c r="V1356" s="2">
        <f t="shared" si="214"/>
        <v>0</v>
      </c>
      <c r="W1356">
        <v>20.8</v>
      </c>
      <c r="X1356" s="2">
        <f t="shared" si="215"/>
        <v>1</v>
      </c>
      <c r="Y1356">
        <v>218.4</v>
      </c>
      <c r="Z1356" s="2" t="str">
        <f>CHOOSE(MATCH(Y1356,{0;11;80;111;161;191;241;281;341},1),"North","NorthEast","East","SouthEast","South","SouthWest","West","NorthWest","North")</f>
        <v>SouthWest</v>
      </c>
      <c r="AA1356" s="4">
        <f>CHOOSE(MATCH(Z1356,{"South";"SouthEast";"SouthWest";"North";"NorthEast";"East";"West";"NorthWest"},0),1,2,3,4,5,6,7,8)</f>
        <v>3</v>
      </c>
      <c r="AB1356" s="2">
        <f t="shared" si="216"/>
        <v>0</v>
      </c>
      <c r="AC1356">
        <v>1016.1</v>
      </c>
      <c r="AD1356" t="s">
        <v>1985</v>
      </c>
      <c r="AE1356" s="2">
        <f t="shared" si="217"/>
        <v>0</v>
      </c>
      <c r="AF1356" t="s">
        <v>1986</v>
      </c>
      <c r="AG1356" s="2">
        <f t="shared" si="218"/>
        <v>12</v>
      </c>
      <c r="AH1356" s="2">
        <f t="shared" si="219"/>
        <v>0</v>
      </c>
      <c r="AI1356" s="3">
        <v>185.99999999860299</v>
      </c>
      <c r="AJ1356" s="2">
        <v>0</v>
      </c>
      <c r="AK1356">
        <v>0</v>
      </c>
      <c r="AL1356">
        <v>3</v>
      </c>
      <c r="AM1356">
        <v>0</v>
      </c>
      <c r="AN1356" s="2">
        <f>IF((2*G1356+M1356-O1356+3*V1356+2*AB1356+2*AE1356+2*AH1356+3*AJ1356)&gt;=7,1,0)</f>
        <v>0</v>
      </c>
    </row>
    <row r="1357" spans="1:40" x14ac:dyDescent="0.25">
      <c r="A1357" t="s">
        <v>27</v>
      </c>
      <c r="B1357" s="1">
        <v>40892</v>
      </c>
      <c r="C1357" s="6">
        <f t="shared" si="210"/>
        <v>2011</v>
      </c>
      <c r="D1357">
        <v>64.400000000000006</v>
      </c>
      <c r="E1357">
        <v>48.2</v>
      </c>
      <c r="F1357">
        <v>56.3</v>
      </c>
      <c r="G1357" s="2">
        <f t="shared" si="211"/>
        <v>0</v>
      </c>
      <c r="H1357">
        <v>64.400000000000006</v>
      </c>
      <c r="I1357">
        <v>44.1</v>
      </c>
      <c r="J1357">
        <v>56.1</v>
      </c>
      <c r="K1357">
        <v>49.4</v>
      </c>
      <c r="L1357">
        <v>78.400000000000006</v>
      </c>
      <c r="M1357" s="2">
        <f t="shared" si="212"/>
        <v>0</v>
      </c>
      <c r="N1357">
        <v>0</v>
      </c>
      <c r="O1357" s="2">
        <f t="shared" si="213"/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 s="2">
        <f t="shared" si="214"/>
        <v>0</v>
      </c>
      <c r="W1357">
        <v>13.9</v>
      </c>
      <c r="X1357" s="2">
        <f t="shared" si="215"/>
        <v>0</v>
      </c>
      <c r="Y1357">
        <v>206</v>
      </c>
      <c r="Z1357" s="2" t="str">
        <f>CHOOSE(MATCH(Y1357,{0;11;80;111;161;191;241;281;341},1),"North","NorthEast","East","SouthEast","South","SouthWest","West","NorthWest","North")</f>
        <v>SouthWest</v>
      </c>
      <c r="AA1357" s="4">
        <f>CHOOSE(MATCH(Z1357,{"South";"SouthEast";"SouthWest";"North";"NorthEast";"East";"West";"NorthWest"},0),1,2,3,4,5,6,7,8)</f>
        <v>3</v>
      </c>
      <c r="AB1357" s="2">
        <f t="shared" si="216"/>
        <v>0</v>
      </c>
      <c r="AC1357">
        <v>1022.8</v>
      </c>
      <c r="AD1357" t="s">
        <v>1776</v>
      </c>
      <c r="AE1357" s="2">
        <f t="shared" si="217"/>
        <v>1</v>
      </c>
      <c r="AF1357" t="s">
        <v>1987</v>
      </c>
      <c r="AG1357" s="2">
        <f t="shared" si="218"/>
        <v>12</v>
      </c>
      <c r="AH1357" s="2">
        <f t="shared" si="219"/>
        <v>0</v>
      </c>
      <c r="AI1357" s="3">
        <v>171.0000000020955</v>
      </c>
      <c r="AJ1357" s="2">
        <v>0</v>
      </c>
      <c r="AK1357">
        <v>0</v>
      </c>
      <c r="AL1357">
        <v>1</v>
      </c>
      <c r="AM1357">
        <v>0</v>
      </c>
      <c r="AN1357" s="2">
        <f>IF((2*G1357+M1357-O1357+3*V1357+2*AB1357+2*AE1357+2*AH1357+3*AJ1357)&gt;=7,1,0)</f>
        <v>0</v>
      </c>
    </row>
    <row r="1358" spans="1:40" x14ac:dyDescent="0.25">
      <c r="A1358" t="s">
        <v>27</v>
      </c>
      <c r="B1358" s="1">
        <v>40893</v>
      </c>
      <c r="C1358" s="6">
        <f t="shared" si="210"/>
        <v>2011</v>
      </c>
      <c r="D1358">
        <v>71.599999999999994</v>
      </c>
      <c r="E1358">
        <v>51.7</v>
      </c>
      <c r="F1358">
        <v>60.7</v>
      </c>
      <c r="G1358" s="2">
        <f t="shared" si="211"/>
        <v>0</v>
      </c>
      <c r="H1358">
        <v>71.599999999999994</v>
      </c>
      <c r="I1358">
        <v>51.7</v>
      </c>
      <c r="J1358">
        <v>60.7</v>
      </c>
      <c r="K1358">
        <v>51.6</v>
      </c>
      <c r="L1358">
        <v>72.599999999999994</v>
      </c>
      <c r="M1358" s="2">
        <f t="shared" si="212"/>
        <v>0</v>
      </c>
      <c r="N1358">
        <v>0</v>
      </c>
      <c r="O1358" s="2">
        <f t="shared" si="213"/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 s="2">
        <f t="shared" si="214"/>
        <v>0</v>
      </c>
      <c r="W1358">
        <v>18.3</v>
      </c>
      <c r="X1358" s="2">
        <f t="shared" si="215"/>
        <v>1</v>
      </c>
      <c r="Y1358">
        <v>207.5</v>
      </c>
      <c r="Z1358" s="2" t="str">
        <f>CHOOSE(MATCH(Y1358,{0;11;80;111;161;191;241;281;341},1),"North","NorthEast","East","SouthEast","South","SouthWest","West","NorthWest","North")</f>
        <v>SouthWest</v>
      </c>
      <c r="AA1358" s="4">
        <f>CHOOSE(MATCH(Z1358,{"South";"SouthEast";"SouthWest";"North";"NorthEast";"East";"West";"NorthWest"},0),1,2,3,4,5,6,7,8)</f>
        <v>3</v>
      </c>
      <c r="AB1358" s="2">
        <f t="shared" si="216"/>
        <v>0</v>
      </c>
      <c r="AC1358">
        <v>1017.6</v>
      </c>
      <c r="AD1358" t="s">
        <v>1988</v>
      </c>
      <c r="AE1358" s="2">
        <f t="shared" si="217"/>
        <v>0</v>
      </c>
      <c r="AF1358" t="s">
        <v>1989</v>
      </c>
      <c r="AG1358" s="2">
        <f t="shared" si="218"/>
        <v>12</v>
      </c>
      <c r="AH1358" s="2">
        <f t="shared" si="219"/>
        <v>0</v>
      </c>
      <c r="AI1358" s="3">
        <v>115.0000000081491</v>
      </c>
      <c r="AJ1358" s="2">
        <v>0</v>
      </c>
      <c r="AK1358">
        <v>0</v>
      </c>
      <c r="AL1358">
        <v>5</v>
      </c>
      <c r="AM1358">
        <v>0</v>
      </c>
      <c r="AN1358" s="2">
        <f>IF((2*G1358+M1358-O1358+3*V1358+2*AB1358+2*AE1358+2*AH1358+3*AJ1358)&gt;=7,1,0)</f>
        <v>0</v>
      </c>
    </row>
    <row r="1359" spans="1:40" x14ac:dyDescent="0.25">
      <c r="A1359" t="s">
        <v>27</v>
      </c>
      <c r="B1359" s="1">
        <v>40894</v>
      </c>
      <c r="C1359" s="6">
        <f t="shared" si="210"/>
        <v>2011</v>
      </c>
      <c r="D1359">
        <v>68</v>
      </c>
      <c r="E1359">
        <v>53.6</v>
      </c>
      <c r="F1359">
        <v>60.9</v>
      </c>
      <c r="G1359" s="2">
        <f t="shared" si="211"/>
        <v>0</v>
      </c>
      <c r="H1359">
        <v>68</v>
      </c>
      <c r="I1359">
        <v>53.6</v>
      </c>
      <c r="J1359">
        <v>60.9</v>
      </c>
      <c r="K1359">
        <v>50.5</v>
      </c>
      <c r="L1359">
        <v>69.2</v>
      </c>
      <c r="M1359" s="2">
        <f t="shared" si="212"/>
        <v>0</v>
      </c>
      <c r="N1359">
        <v>0</v>
      </c>
      <c r="O1359" s="2">
        <f t="shared" si="213"/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25.3</v>
      </c>
      <c r="V1359" s="2">
        <f t="shared" si="214"/>
        <v>1</v>
      </c>
      <c r="W1359">
        <v>17.2</v>
      </c>
      <c r="X1359" s="2">
        <f t="shared" si="215"/>
        <v>1</v>
      </c>
      <c r="Y1359">
        <v>189.1</v>
      </c>
      <c r="Z1359" s="2" t="str">
        <f>CHOOSE(MATCH(Y1359,{0;11;80;111;161;191;241;281;341},1),"North","NorthEast","East","SouthEast","South","SouthWest","West","NorthWest","North")</f>
        <v>South</v>
      </c>
      <c r="AA1359" s="4">
        <f>CHOOSE(MATCH(Z1359,{"South";"SouthEast";"SouthWest";"North";"NorthEast";"East";"West";"NorthWest"},0),1,2,3,4,5,6,7,8)</f>
        <v>1</v>
      </c>
      <c r="AB1359" s="2">
        <f t="shared" si="216"/>
        <v>0</v>
      </c>
      <c r="AC1359">
        <v>1012.1</v>
      </c>
      <c r="AD1359" t="s">
        <v>1191</v>
      </c>
      <c r="AE1359" s="2">
        <f t="shared" si="217"/>
        <v>0</v>
      </c>
      <c r="AF1359" t="s">
        <v>1990</v>
      </c>
      <c r="AG1359" s="2">
        <f t="shared" si="218"/>
        <v>12</v>
      </c>
      <c r="AH1359" s="2">
        <f t="shared" si="219"/>
        <v>0</v>
      </c>
      <c r="AI1359" s="3">
        <v>69.999999997671694</v>
      </c>
      <c r="AJ1359" s="2">
        <v>0</v>
      </c>
      <c r="AK1359">
        <v>0</v>
      </c>
      <c r="AL1359">
        <v>0.1</v>
      </c>
      <c r="AM1359">
        <v>0</v>
      </c>
      <c r="AN1359" s="2">
        <f>IF((2*G1359+M1359-O1359+3*V1359+2*AB1359+2*AE1359+2*AH1359+3*AJ1359)&gt;=7,1,0)</f>
        <v>0</v>
      </c>
    </row>
    <row r="1360" spans="1:40" x14ac:dyDescent="0.25">
      <c r="A1360" t="s">
        <v>27</v>
      </c>
      <c r="B1360" s="1">
        <v>40896</v>
      </c>
      <c r="C1360" s="6">
        <f t="shared" si="210"/>
        <v>2011</v>
      </c>
      <c r="D1360">
        <v>68</v>
      </c>
      <c r="E1360">
        <v>59</v>
      </c>
      <c r="F1360">
        <v>62.6</v>
      </c>
      <c r="G1360" s="2">
        <f t="shared" si="211"/>
        <v>0</v>
      </c>
      <c r="H1360">
        <v>68</v>
      </c>
      <c r="I1360">
        <v>59</v>
      </c>
      <c r="J1360">
        <v>62.6</v>
      </c>
      <c r="K1360">
        <v>49.6</v>
      </c>
      <c r="L1360">
        <v>62.7</v>
      </c>
      <c r="M1360" s="2">
        <f t="shared" si="212"/>
        <v>1</v>
      </c>
      <c r="N1360">
        <v>0</v>
      </c>
      <c r="O1360" s="2">
        <f t="shared" si="213"/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 s="2">
        <f t="shared" si="214"/>
        <v>0</v>
      </c>
      <c r="W1360">
        <v>20.8</v>
      </c>
      <c r="X1360" s="2">
        <f t="shared" si="215"/>
        <v>1</v>
      </c>
      <c r="Y1360">
        <v>176.2</v>
      </c>
      <c r="Z1360" s="2" t="str">
        <f>CHOOSE(MATCH(Y1360,{0;11;80;111;161;191;241;281;341},1),"North","NorthEast","East","SouthEast","South","SouthWest","West","NorthWest","North")</f>
        <v>South</v>
      </c>
      <c r="AA1360" s="4">
        <f>CHOOSE(MATCH(Z1360,{"South";"SouthEast";"SouthWest";"North";"NorthEast";"East";"West";"NorthWest"},0),1,2,3,4,5,6,7,8)</f>
        <v>1</v>
      </c>
      <c r="AB1360" s="2">
        <f t="shared" si="216"/>
        <v>0</v>
      </c>
      <c r="AC1360">
        <v>1014.4</v>
      </c>
      <c r="AD1360" t="s">
        <v>1991</v>
      </c>
      <c r="AE1360" s="2">
        <f t="shared" si="217"/>
        <v>0</v>
      </c>
      <c r="AF1360" t="s">
        <v>1992</v>
      </c>
      <c r="AG1360" s="2">
        <f t="shared" si="218"/>
        <v>12</v>
      </c>
      <c r="AH1360" s="2">
        <f t="shared" si="219"/>
        <v>0</v>
      </c>
      <c r="AI1360" s="3">
        <v>153.0000000062864</v>
      </c>
      <c r="AJ1360" s="2">
        <v>0</v>
      </c>
      <c r="AK1360">
        <v>0</v>
      </c>
      <c r="AL1360">
        <v>0.2</v>
      </c>
      <c r="AM1360">
        <v>0</v>
      </c>
      <c r="AN1360" s="2">
        <f>IF((2*G1360+M1360-O1360+3*V1360+2*AB1360+2*AE1360+2*AH1360+3*AJ1360)&gt;=7,1,0)</f>
        <v>0</v>
      </c>
    </row>
    <row r="1361" spans="1:40" x14ac:dyDescent="0.25">
      <c r="A1361" t="s">
        <v>27</v>
      </c>
      <c r="B1361" s="1">
        <v>40906</v>
      </c>
      <c r="C1361" s="6">
        <f t="shared" si="210"/>
        <v>2011</v>
      </c>
      <c r="D1361">
        <v>57.2</v>
      </c>
      <c r="E1361">
        <v>50</v>
      </c>
      <c r="F1361">
        <v>53.7</v>
      </c>
      <c r="G1361" s="2">
        <f t="shared" si="211"/>
        <v>0</v>
      </c>
      <c r="H1361">
        <v>57.2</v>
      </c>
      <c r="I1361">
        <v>50</v>
      </c>
      <c r="J1361">
        <v>53.7</v>
      </c>
      <c r="K1361">
        <v>46.6</v>
      </c>
      <c r="L1361">
        <v>76.900000000000006</v>
      </c>
      <c r="M1361" s="2">
        <f t="shared" si="212"/>
        <v>0</v>
      </c>
      <c r="N1361">
        <v>0</v>
      </c>
      <c r="O1361" s="2">
        <f t="shared" si="213"/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 s="2">
        <f t="shared" si="214"/>
        <v>0</v>
      </c>
      <c r="W1361">
        <v>8.1</v>
      </c>
      <c r="X1361" s="2">
        <f t="shared" si="215"/>
        <v>0</v>
      </c>
      <c r="Y1361">
        <v>321.8</v>
      </c>
      <c r="Z1361" s="2" t="str">
        <f>CHOOSE(MATCH(Y1361,{0;11;80;111;161;191;241;281;341},1),"North","NorthEast","East","SouthEast","South","SouthWest","West","NorthWest","North")</f>
        <v>NorthWest</v>
      </c>
      <c r="AA1361" s="4">
        <f>CHOOSE(MATCH(Z1361,{"South";"SouthEast";"SouthWest";"North";"NorthEast";"East";"West";"NorthWest"},0),1,2,3,4,5,6,7,8)</f>
        <v>8</v>
      </c>
      <c r="AB1361" s="2">
        <f t="shared" si="216"/>
        <v>1</v>
      </c>
      <c r="AC1361">
        <v>1022</v>
      </c>
      <c r="AD1361" t="s">
        <v>1834</v>
      </c>
      <c r="AE1361" s="2">
        <f t="shared" si="217"/>
        <v>1</v>
      </c>
      <c r="AF1361" t="s">
        <v>1993</v>
      </c>
      <c r="AG1361" s="2">
        <f t="shared" si="218"/>
        <v>12</v>
      </c>
      <c r="AH1361" s="2">
        <f t="shared" si="219"/>
        <v>0</v>
      </c>
      <c r="AI1361" s="3">
        <v>59.99999999650754</v>
      </c>
      <c r="AJ1361" s="2">
        <v>0</v>
      </c>
      <c r="AK1361">
        <v>0</v>
      </c>
      <c r="AL1361">
        <v>2</v>
      </c>
      <c r="AM1361">
        <v>0</v>
      </c>
      <c r="AN1361" s="2">
        <f>IF((2*G1361+M1361-O1361+3*V1361+2*AB1361+2*AE1361+2*AH1361+3*AJ1361)&gt;=7,1,0)</f>
        <v>0</v>
      </c>
    </row>
    <row r="1362" spans="1:40" x14ac:dyDescent="0.25">
      <c r="A1362" t="s">
        <v>27</v>
      </c>
      <c r="B1362" s="1">
        <v>40911</v>
      </c>
      <c r="C1362" s="6">
        <f t="shared" si="210"/>
        <v>2012</v>
      </c>
      <c r="D1362">
        <v>57.2</v>
      </c>
      <c r="E1362">
        <v>44.6</v>
      </c>
      <c r="F1362">
        <v>50.3</v>
      </c>
      <c r="G1362" s="2">
        <f t="shared" si="211"/>
        <v>0</v>
      </c>
      <c r="H1362">
        <v>57.2</v>
      </c>
      <c r="I1362">
        <v>40.700000000000003</v>
      </c>
      <c r="J1362">
        <v>48.6</v>
      </c>
      <c r="K1362">
        <v>42</v>
      </c>
      <c r="L1362">
        <v>73.5</v>
      </c>
      <c r="M1362" s="2">
        <f t="shared" si="212"/>
        <v>0</v>
      </c>
      <c r="N1362">
        <v>0</v>
      </c>
      <c r="O1362" s="2">
        <f t="shared" si="213"/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 s="2">
        <f t="shared" si="214"/>
        <v>0</v>
      </c>
      <c r="W1362">
        <v>10.3</v>
      </c>
      <c r="X1362" s="2">
        <f t="shared" si="215"/>
        <v>0</v>
      </c>
      <c r="Y1362">
        <v>218.4</v>
      </c>
      <c r="Z1362" s="2" t="str">
        <f>CHOOSE(MATCH(Y1362,{0;11;80;111;161;191;241;281;341},1),"North","NorthEast","East","SouthEast","South","SouthWest","West","NorthWest","North")</f>
        <v>SouthWest</v>
      </c>
      <c r="AA1362" s="4">
        <f>CHOOSE(MATCH(Z1362,{"South";"SouthEast";"SouthWest";"North";"NorthEast";"East";"West";"NorthWest"},0),1,2,3,4,5,6,7,8)</f>
        <v>3</v>
      </c>
      <c r="AB1362" s="2">
        <f t="shared" si="216"/>
        <v>0</v>
      </c>
      <c r="AC1362">
        <v>1024.4000000000001</v>
      </c>
      <c r="AD1362" t="s">
        <v>1075</v>
      </c>
      <c r="AE1362" s="2">
        <f t="shared" si="217"/>
        <v>1</v>
      </c>
      <c r="AF1362" t="s">
        <v>1994</v>
      </c>
      <c r="AG1362" s="2">
        <f t="shared" si="218"/>
        <v>1</v>
      </c>
      <c r="AH1362" s="2">
        <f t="shared" si="219"/>
        <v>0</v>
      </c>
      <c r="AI1362" s="3">
        <v>170.0000000093132</v>
      </c>
      <c r="AJ1362" s="2">
        <v>0</v>
      </c>
      <c r="AK1362">
        <v>0</v>
      </c>
      <c r="AL1362">
        <v>4</v>
      </c>
      <c r="AM1362">
        <v>0</v>
      </c>
      <c r="AN1362" s="2">
        <f>IF((2*G1362+M1362-O1362+3*V1362+2*AB1362+2*AE1362+2*AH1362+3*AJ1362)&gt;=7,1,0)</f>
        <v>0</v>
      </c>
    </row>
    <row r="1363" spans="1:40" x14ac:dyDescent="0.25">
      <c r="A1363" t="s">
        <v>27</v>
      </c>
      <c r="B1363" s="1">
        <v>40911</v>
      </c>
      <c r="C1363" s="6">
        <f t="shared" si="210"/>
        <v>2012</v>
      </c>
      <c r="D1363">
        <v>57.2</v>
      </c>
      <c r="E1363">
        <v>44.6</v>
      </c>
      <c r="F1363">
        <v>50.3</v>
      </c>
      <c r="G1363" s="2">
        <f t="shared" si="211"/>
        <v>0</v>
      </c>
      <c r="H1363">
        <v>57.2</v>
      </c>
      <c r="I1363">
        <v>40.700000000000003</v>
      </c>
      <c r="J1363">
        <v>48.6</v>
      </c>
      <c r="K1363">
        <v>42</v>
      </c>
      <c r="L1363">
        <v>73.5</v>
      </c>
      <c r="M1363" s="2">
        <f t="shared" si="212"/>
        <v>0</v>
      </c>
      <c r="N1363">
        <v>0</v>
      </c>
      <c r="O1363" s="2">
        <f t="shared" si="213"/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 s="2">
        <f t="shared" si="214"/>
        <v>0</v>
      </c>
      <c r="W1363">
        <v>10.3</v>
      </c>
      <c r="X1363" s="2">
        <f t="shared" si="215"/>
        <v>0</v>
      </c>
      <c r="Y1363">
        <v>218.4</v>
      </c>
      <c r="Z1363" s="2" t="str">
        <f>CHOOSE(MATCH(Y1363,{0;11;80;111;161;191;241;281;341},1),"North","NorthEast","East","SouthEast","South","SouthWest","West","NorthWest","North")</f>
        <v>SouthWest</v>
      </c>
      <c r="AA1363" s="4">
        <f>CHOOSE(MATCH(Z1363,{"South";"SouthEast";"SouthWest";"North";"NorthEast";"East";"West";"NorthWest"},0),1,2,3,4,5,6,7,8)</f>
        <v>3</v>
      </c>
      <c r="AB1363" s="2">
        <f t="shared" si="216"/>
        <v>0</v>
      </c>
      <c r="AC1363">
        <v>1024.4000000000001</v>
      </c>
      <c r="AD1363" t="s">
        <v>1069</v>
      </c>
      <c r="AE1363" s="2">
        <f t="shared" si="217"/>
        <v>1</v>
      </c>
      <c r="AF1363" t="s">
        <v>1995</v>
      </c>
      <c r="AG1363" s="2">
        <f t="shared" si="218"/>
        <v>1</v>
      </c>
      <c r="AH1363" s="2">
        <f t="shared" si="219"/>
        <v>0</v>
      </c>
      <c r="AI1363" s="3">
        <v>104.9999999965075</v>
      </c>
      <c r="AJ1363" s="2">
        <v>0</v>
      </c>
      <c r="AK1363">
        <v>0</v>
      </c>
      <c r="AL1363">
        <v>0.1</v>
      </c>
      <c r="AM1363">
        <v>0</v>
      </c>
      <c r="AN1363" s="2">
        <f>IF((2*G1363+M1363-O1363+3*V1363+2*AB1363+2*AE1363+2*AH1363+3*AJ1363)&gt;=7,1,0)</f>
        <v>0</v>
      </c>
    </row>
    <row r="1364" spans="1:40" x14ac:dyDescent="0.25">
      <c r="A1364" t="s">
        <v>27</v>
      </c>
      <c r="B1364" s="1">
        <v>40922</v>
      </c>
      <c r="C1364" s="6">
        <f t="shared" si="210"/>
        <v>2012</v>
      </c>
      <c r="D1364">
        <v>66.2</v>
      </c>
      <c r="E1364">
        <v>50</v>
      </c>
      <c r="F1364">
        <v>57.1</v>
      </c>
      <c r="G1364" s="2">
        <f t="shared" si="211"/>
        <v>0</v>
      </c>
      <c r="H1364">
        <v>66.2</v>
      </c>
      <c r="I1364">
        <v>50</v>
      </c>
      <c r="J1364">
        <v>57.1</v>
      </c>
      <c r="K1364">
        <v>47.2</v>
      </c>
      <c r="L1364">
        <v>70</v>
      </c>
      <c r="M1364" s="2">
        <f t="shared" si="212"/>
        <v>0</v>
      </c>
      <c r="N1364">
        <v>0</v>
      </c>
      <c r="O1364" s="2">
        <f t="shared" si="213"/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 s="2">
        <f t="shared" si="214"/>
        <v>0</v>
      </c>
      <c r="W1364">
        <v>12.8</v>
      </c>
      <c r="X1364" s="2">
        <f t="shared" si="215"/>
        <v>0</v>
      </c>
      <c r="Y1364">
        <v>207.9</v>
      </c>
      <c r="Z1364" s="2" t="str">
        <f>CHOOSE(MATCH(Y1364,{0;11;80;111;161;191;241;281;341},1),"North","NorthEast","East","SouthEast","South","SouthWest","West","NorthWest","North")</f>
        <v>SouthWest</v>
      </c>
      <c r="AA1364" s="4">
        <f>CHOOSE(MATCH(Z1364,{"South";"SouthEast";"SouthWest";"North";"NorthEast";"East";"West";"NorthWest"},0),1,2,3,4,5,6,7,8)</f>
        <v>3</v>
      </c>
      <c r="AB1364" s="2">
        <f t="shared" si="216"/>
        <v>0</v>
      </c>
      <c r="AC1364">
        <v>1015.8</v>
      </c>
      <c r="AD1364" t="s">
        <v>1996</v>
      </c>
      <c r="AE1364" s="2">
        <f t="shared" si="217"/>
        <v>1</v>
      </c>
      <c r="AF1364" t="s">
        <v>1997</v>
      </c>
      <c r="AG1364" s="2">
        <f t="shared" si="218"/>
        <v>1</v>
      </c>
      <c r="AH1364" s="2">
        <f t="shared" si="219"/>
        <v>0</v>
      </c>
      <c r="AI1364" s="3">
        <v>400.99999999743892</v>
      </c>
      <c r="AJ1364" s="2">
        <v>1</v>
      </c>
      <c r="AK1364">
        <v>0</v>
      </c>
      <c r="AL1364">
        <v>10</v>
      </c>
      <c r="AM1364">
        <v>0</v>
      </c>
      <c r="AN1364" s="2">
        <f>IF((2*G1364+M1364-O1364+3*V1364+2*AB1364+2*AE1364+2*AH1364+3*AJ1364)&gt;=7,1,0)</f>
        <v>0</v>
      </c>
    </row>
    <row r="1365" spans="1:40" x14ac:dyDescent="0.25">
      <c r="A1365" t="s">
        <v>27</v>
      </c>
      <c r="B1365" s="1">
        <v>40928</v>
      </c>
      <c r="C1365" s="6">
        <f t="shared" si="210"/>
        <v>2012</v>
      </c>
      <c r="D1365">
        <v>59</v>
      </c>
      <c r="E1365">
        <v>37.4</v>
      </c>
      <c r="F1365">
        <v>50.2</v>
      </c>
      <c r="G1365" s="2">
        <f t="shared" si="211"/>
        <v>0</v>
      </c>
      <c r="H1365">
        <v>59</v>
      </c>
      <c r="I1365">
        <v>32.799999999999997</v>
      </c>
      <c r="J1365">
        <v>48.9</v>
      </c>
      <c r="K1365">
        <v>40.200000000000003</v>
      </c>
      <c r="L1365">
        <v>68.8</v>
      </c>
      <c r="M1365" s="2">
        <f t="shared" si="212"/>
        <v>0</v>
      </c>
      <c r="N1365">
        <v>0</v>
      </c>
      <c r="O1365" s="2">
        <f t="shared" si="213"/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 s="2">
        <f t="shared" si="214"/>
        <v>0</v>
      </c>
      <c r="W1365">
        <v>17.2</v>
      </c>
      <c r="X1365" s="2">
        <f t="shared" si="215"/>
        <v>1</v>
      </c>
      <c r="Y1365">
        <v>232.4</v>
      </c>
      <c r="Z1365" s="2" t="str">
        <f>CHOOSE(MATCH(Y1365,{0;11;80;111;161;191;241;281;341},1),"North","NorthEast","East","SouthEast","South","SouthWest","West","NorthWest","North")</f>
        <v>SouthWest</v>
      </c>
      <c r="AA1365" s="4">
        <f>CHOOSE(MATCH(Z1365,{"South";"SouthEast";"SouthWest";"North";"NorthEast";"East";"West";"NorthWest"},0),1,2,3,4,5,6,7,8)</f>
        <v>3</v>
      </c>
      <c r="AB1365" s="2">
        <f t="shared" si="216"/>
        <v>0</v>
      </c>
      <c r="AC1365">
        <v>1023.2</v>
      </c>
      <c r="AD1365" t="s">
        <v>1998</v>
      </c>
      <c r="AE1365" s="2">
        <f t="shared" si="217"/>
        <v>1</v>
      </c>
      <c r="AF1365" t="s">
        <v>1999</v>
      </c>
      <c r="AG1365" s="2">
        <f t="shared" si="218"/>
        <v>1</v>
      </c>
      <c r="AH1365" s="2">
        <f t="shared" si="219"/>
        <v>0</v>
      </c>
      <c r="AI1365" s="3">
        <v>135</v>
      </c>
      <c r="AJ1365" s="2">
        <v>0</v>
      </c>
      <c r="AK1365">
        <v>0</v>
      </c>
      <c r="AL1365">
        <v>0.1</v>
      </c>
      <c r="AM1365">
        <v>0</v>
      </c>
      <c r="AN1365" s="2">
        <f>IF((2*G1365+M1365-O1365+3*V1365+2*AB1365+2*AE1365+2*AH1365+3*AJ1365)&gt;=7,1,0)</f>
        <v>0</v>
      </c>
    </row>
    <row r="1366" spans="1:40" x14ac:dyDescent="0.25">
      <c r="A1366" t="s">
        <v>27</v>
      </c>
      <c r="B1366" s="1">
        <v>40942</v>
      </c>
      <c r="C1366" s="6">
        <f t="shared" si="210"/>
        <v>2012</v>
      </c>
      <c r="D1366">
        <v>64.400000000000006</v>
      </c>
      <c r="E1366">
        <v>53.6</v>
      </c>
      <c r="F1366">
        <v>57.3</v>
      </c>
      <c r="G1366" s="2">
        <f t="shared" si="211"/>
        <v>0</v>
      </c>
      <c r="H1366">
        <v>64.400000000000006</v>
      </c>
      <c r="I1366">
        <v>53.6</v>
      </c>
      <c r="J1366">
        <v>57.3</v>
      </c>
      <c r="K1366">
        <v>45.6</v>
      </c>
      <c r="L1366">
        <v>65.900000000000006</v>
      </c>
      <c r="M1366" s="2">
        <f t="shared" si="212"/>
        <v>1</v>
      </c>
      <c r="N1366">
        <v>1.2E-2</v>
      </c>
      <c r="O1366" s="2">
        <f t="shared" si="213"/>
        <v>0</v>
      </c>
      <c r="P1366">
        <v>100</v>
      </c>
      <c r="Q1366">
        <v>4.17</v>
      </c>
      <c r="R1366" t="s">
        <v>182</v>
      </c>
      <c r="S1366">
        <v>0</v>
      </c>
      <c r="T1366">
        <v>0</v>
      </c>
      <c r="U1366">
        <v>0</v>
      </c>
      <c r="V1366" s="2">
        <f t="shared" si="214"/>
        <v>0</v>
      </c>
      <c r="W1366">
        <v>25.3</v>
      </c>
      <c r="X1366" s="2">
        <f t="shared" si="215"/>
        <v>1</v>
      </c>
      <c r="Y1366">
        <v>183.6</v>
      </c>
      <c r="Z1366" s="2" t="str">
        <f>CHOOSE(MATCH(Y1366,{0;11;80;111;161;191;241;281;341},1),"North","NorthEast","East","SouthEast","South","SouthWest","West","NorthWest","North")</f>
        <v>South</v>
      </c>
      <c r="AA1366" s="4">
        <f>CHOOSE(MATCH(Z1366,{"South";"SouthEast";"SouthWest";"North";"NorthEast";"East";"West";"NorthWest"},0),1,2,3,4,5,6,7,8)</f>
        <v>1</v>
      </c>
      <c r="AB1366" s="2">
        <f t="shared" si="216"/>
        <v>0</v>
      </c>
      <c r="AC1366">
        <v>1020.6</v>
      </c>
      <c r="AD1366" t="s">
        <v>2000</v>
      </c>
      <c r="AE1366" s="2">
        <f t="shared" si="217"/>
        <v>1</v>
      </c>
      <c r="AF1366" t="s">
        <v>2001</v>
      </c>
      <c r="AG1366" s="2">
        <f t="shared" si="218"/>
        <v>2</v>
      </c>
      <c r="AH1366" s="2">
        <f t="shared" si="219"/>
        <v>0</v>
      </c>
      <c r="AI1366" s="3">
        <v>40.999999997438863</v>
      </c>
      <c r="AJ1366" s="2">
        <v>0</v>
      </c>
      <c r="AK1366">
        <v>0</v>
      </c>
      <c r="AL1366">
        <v>1</v>
      </c>
      <c r="AM1366">
        <v>0</v>
      </c>
      <c r="AN1366" s="2">
        <f>IF((2*G1366+M1366-O1366+3*V1366+2*AB1366+2*AE1366+2*AH1366+3*AJ1366)&gt;=7,1,0)</f>
        <v>0</v>
      </c>
    </row>
    <row r="1367" spans="1:40" x14ac:dyDescent="0.25">
      <c r="A1367" t="s">
        <v>27</v>
      </c>
      <c r="B1367" s="1">
        <v>40944</v>
      </c>
      <c r="C1367" s="6">
        <f t="shared" si="210"/>
        <v>2012</v>
      </c>
      <c r="D1367">
        <v>64.5</v>
      </c>
      <c r="E1367">
        <v>55.4</v>
      </c>
      <c r="F1367">
        <v>58.9</v>
      </c>
      <c r="G1367" s="2">
        <f t="shared" si="211"/>
        <v>0</v>
      </c>
      <c r="H1367">
        <v>64.5</v>
      </c>
      <c r="I1367">
        <v>55.4</v>
      </c>
      <c r="J1367">
        <v>58.9</v>
      </c>
      <c r="K1367">
        <v>47.2</v>
      </c>
      <c r="L1367">
        <v>65.400000000000006</v>
      </c>
      <c r="M1367" s="2">
        <f t="shared" si="212"/>
        <v>1</v>
      </c>
      <c r="N1367">
        <v>0</v>
      </c>
      <c r="O1367" s="2">
        <f t="shared" si="213"/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34.4</v>
      </c>
      <c r="V1367" s="2">
        <f t="shared" si="214"/>
        <v>1</v>
      </c>
      <c r="W1367">
        <v>26.4</v>
      </c>
      <c r="X1367" s="2">
        <f t="shared" si="215"/>
        <v>1</v>
      </c>
      <c r="Y1367">
        <v>178</v>
      </c>
      <c r="Z1367" s="2" t="str">
        <f>CHOOSE(MATCH(Y1367,{0;11;80;111;161;191;241;281;341},1),"North","NorthEast","East","SouthEast","South","SouthWest","West","NorthWest","North")</f>
        <v>South</v>
      </c>
      <c r="AA1367" s="4">
        <f>CHOOSE(MATCH(Z1367,{"South";"SouthEast";"SouthWest";"North";"NorthEast";"East";"West";"NorthWest"},0),1,2,3,4,5,6,7,8)</f>
        <v>1</v>
      </c>
      <c r="AB1367" s="2">
        <f t="shared" si="216"/>
        <v>0</v>
      </c>
      <c r="AC1367">
        <v>1017.8</v>
      </c>
      <c r="AD1367" t="s">
        <v>2002</v>
      </c>
      <c r="AE1367" s="2">
        <f t="shared" si="217"/>
        <v>1</v>
      </c>
      <c r="AF1367" t="s">
        <v>2003</v>
      </c>
      <c r="AG1367" s="2">
        <f t="shared" si="218"/>
        <v>2</v>
      </c>
      <c r="AH1367" s="2">
        <f t="shared" si="219"/>
        <v>0</v>
      </c>
      <c r="AI1367" s="3">
        <v>519.99999999767169</v>
      </c>
      <c r="AJ1367" s="2">
        <v>1</v>
      </c>
      <c r="AK1367">
        <v>0</v>
      </c>
      <c r="AL1367">
        <v>20</v>
      </c>
      <c r="AM1367">
        <v>0</v>
      </c>
      <c r="AN1367" s="2">
        <f>IF((2*G1367+M1367-O1367+3*V1367+2*AB1367+2*AE1367+2*AH1367+3*AJ1367)&gt;=7,1,0)</f>
        <v>1</v>
      </c>
    </row>
    <row r="1368" spans="1:40" x14ac:dyDescent="0.25">
      <c r="A1368" t="s">
        <v>27</v>
      </c>
      <c r="B1368" s="1">
        <v>40947</v>
      </c>
      <c r="C1368" s="6">
        <f t="shared" si="210"/>
        <v>2012</v>
      </c>
      <c r="D1368">
        <v>55.4</v>
      </c>
      <c r="E1368">
        <v>44.6</v>
      </c>
      <c r="F1368">
        <v>49.5</v>
      </c>
      <c r="G1368" s="2">
        <f t="shared" si="211"/>
        <v>0</v>
      </c>
      <c r="H1368">
        <v>55.4</v>
      </c>
      <c r="I1368">
        <v>39.700000000000003</v>
      </c>
      <c r="J1368">
        <v>47.8</v>
      </c>
      <c r="K1368">
        <v>42.8</v>
      </c>
      <c r="L1368">
        <v>78.5</v>
      </c>
      <c r="M1368" s="2">
        <f t="shared" si="212"/>
        <v>0</v>
      </c>
      <c r="N1368">
        <v>0.28000000000000003</v>
      </c>
      <c r="O1368" s="2">
        <f t="shared" si="213"/>
        <v>0</v>
      </c>
      <c r="P1368">
        <v>100</v>
      </c>
      <c r="Q1368">
        <v>4.17</v>
      </c>
      <c r="R1368" t="s">
        <v>182</v>
      </c>
      <c r="S1368">
        <v>0</v>
      </c>
      <c r="T1368">
        <v>0</v>
      </c>
      <c r="U1368">
        <v>0</v>
      </c>
      <c r="V1368" s="2">
        <f t="shared" si="214"/>
        <v>0</v>
      </c>
      <c r="W1368">
        <v>13.9</v>
      </c>
      <c r="X1368" s="2">
        <f t="shared" si="215"/>
        <v>0</v>
      </c>
      <c r="Y1368">
        <v>215</v>
      </c>
      <c r="Z1368" s="2" t="str">
        <f>CHOOSE(MATCH(Y1368,{0;11;80;111;161;191;241;281;341},1),"North","NorthEast","East","SouthEast","South","SouthWest","West","NorthWest","North")</f>
        <v>SouthWest</v>
      </c>
      <c r="AA1368" s="4">
        <f>CHOOSE(MATCH(Z1368,{"South";"SouthEast";"SouthWest";"North";"NorthEast";"East";"West";"NorthWest"},0),1,2,3,4,5,6,7,8)</f>
        <v>3</v>
      </c>
      <c r="AB1368" s="2">
        <f t="shared" si="216"/>
        <v>0</v>
      </c>
      <c r="AC1368">
        <v>1011.1</v>
      </c>
      <c r="AD1368" t="s">
        <v>2004</v>
      </c>
      <c r="AE1368" s="2">
        <f t="shared" si="217"/>
        <v>1</v>
      </c>
      <c r="AF1368" t="s">
        <v>2005</v>
      </c>
      <c r="AG1368" s="2">
        <f t="shared" si="218"/>
        <v>2</v>
      </c>
      <c r="AH1368" s="2">
        <f t="shared" si="219"/>
        <v>0</v>
      </c>
      <c r="AI1368" s="3">
        <v>58.000000000465661</v>
      </c>
      <c r="AJ1368" s="2">
        <v>0</v>
      </c>
      <c r="AK1368">
        <v>0</v>
      </c>
      <c r="AL1368">
        <v>0.3</v>
      </c>
      <c r="AM1368">
        <v>0</v>
      </c>
      <c r="AN1368" s="2">
        <f>IF((2*G1368+M1368-O1368+3*V1368+2*AB1368+2*AE1368+2*AH1368+3*AJ1368)&gt;=7,1,0)</f>
        <v>0</v>
      </c>
    </row>
    <row r="1369" spans="1:40" x14ac:dyDescent="0.25">
      <c r="A1369" t="s">
        <v>27</v>
      </c>
      <c r="B1369" s="1">
        <v>40958</v>
      </c>
      <c r="C1369" s="6">
        <f t="shared" si="210"/>
        <v>2012</v>
      </c>
      <c r="D1369">
        <v>55.4</v>
      </c>
      <c r="E1369">
        <v>42.8</v>
      </c>
      <c r="F1369">
        <v>49</v>
      </c>
      <c r="G1369" s="2">
        <f t="shared" si="211"/>
        <v>0</v>
      </c>
      <c r="H1369">
        <v>55.4</v>
      </c>
      <c r="I1369">
        <v>38.6</v>
      </c>
      <c r="J1369">
        <v>47</v>
      </c>
      <c r="K1369">
        <v>37.4</v>
      </c>
      <c r="L1369">
        <v>64.5</v>
      </c>
      <c r="M1369" s="2">
        <f t="shared" si="212"/>
        <v>1</v>
      </c>
      <c r="N1369">
        <v>0</v>
      </c>
      <c r="O1369" s="2">
        <f t="shared" si="213"/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 s="2">
        <f t="shared" si="214"/>
        <v>0</v>
      </c>
      <c r="W1369">
        <v>18.3</v>
      </c>
      <c r="X1369" s="2">
        <f t="shared" si="215"/>
        <v>1</v>
      </c>
      <c r="Y1369">
        <v>318.39999999999998</v>
      </c>
      <c r="Z1369" s="2" t="str">
        <f>CHOOSE(MATCH(Y1369,{0;11;80;111;161;191;241;281;341},1),"North","NorthEast","East","SouthEast","South","SouthWest","West","NorthWest","North")</f>
        <v>NorthWest</v>
      </c>
      <c r="AA1369" s="4">
        <f>CHOOSE(MATCH(Z1369,{"South";"SouthEast";"SouthWest";"North";"NorthEast";"East";"West";"NorthWest"},0),1,2,3,4,5,6,7,8)</f>
        <v>8</v>
      </c>
      <c r="AB1369" s="2">
        <f t="shared" si="216"/>
        <v>1</v>
      </c>
      <c r="AC1369">
        <v>1024.0999999999999</v>
      </c>
      <c r="AD1369" t="s">
        <v>1103</v>
      </c>
      <c r="AE1369" s="2">
        <f t="shared" si="217"/>
        <v>1</v>
      </c>
      <c r="AF1369" t="s">
        <v>2006</v>
      </c>
      <c r="AG1369" s="2">
        <f t="shared" si="218"/>
        <v>2</v>
      </c>
      <c r="AH1369" s="2">
        <f t="shared" si="219"/>
        <v>0</v>
      </c>
      <c r="AI1369" s="3">
        <v>225</v>
      </c>
      <c r="AJ1369" s="2">
        <v>0</v>
      </c>
      <c r="AK1369">
        <v>0</v>
      </c>
      <c r="AL1369">
        <v>10</v>
      </c>
      <c r="AM1369">
        <v>0</v>
      </c>
      <c r="AN1369" s="2">
        <f>IF((2*G1369+M1369-O1369+3*V1369+2*AB1369+2*AE1369+2*AH1369+3*AJ1369)&gt;=7,1,0)</f>
        <v>0</v>
      </c>
    </row>
    <row r="1370" spans="1:40" x14ac:dyDescent="0.25">
      <c r="A1370" t="s">
        <v>27</v>
      </c>
      <c r="B1370" s="1">
        <v>40968</v>
      </c>
      <c r="C1370" s="6">
        <f t="shared" si="210"/>
        <v>2012</v>
      </c>
      <c r="D1370">
        <v>55.4</v>
      </c>
      <c r="E1370">
        <v>39.200000000000003</v>
      </c>
      <c r="F1370">
        <v>47.1</v>
      </c>
      <c r="G1370" s="2">
        <f t="shared" si="211"/>
        <v>0</v>
      </c>
      <c r="H1370">
        <v>55.4</v>
      </c>
      <c r="I1370">
        <v>29.3</v>
      </c>
      <c r="J1370">
        <v>42.2</v>
      </c>
      <c r="K1370">
        <v>36.700000000000003</v>
      </c>
      <c r="L1370">
        <v>67.900000000000006</v>
      </c>
      <c r="M1370" s="2">
        <f t="shared" si="212"/>
        <v>0</v>
      </c>
      <c r="N1370">
        <v>0.50800000000000001</v>
      </c>
      <c r="O1370" s="2">
        <f t="shared" si="213"/>
        <v>0</v>
      </c>
      <c r="P1370">
        <v>100</v>
      </c>
      <c r="Q1370">
        <v>12.5</v>
      </c>
      <c r="R1370" t="s">
        <v>182</v>
      </c>
      <c r="S1370">
        <v>0</v>
      </c>
      <c r="T1370">
        <v>0</v>
      </c>
      <c r="U1370">
        <v>43.6</v>
      </c>
      <c r="V1370" s="2">
        <f t="shared" si="214"/>
        <v>1</v>
      </c>
      <c r="W1370">
        <v>28.9</v>
      </c>
      <c r="X1370" s="2">
        <f t="shared" si="215"/>
        <v>1</v>
      </c>
      <c r="Y1370">
        <v>326.5</v>
      </c>
      <c r="Z1370" s="2" t="str">
        <f>CHOOSE(MATCH(Y1370,{0;11;80;111;161;191;241;281;341},1),"North","NorthEast","East","SouthEast","South","SouthWest","West","NorthWest","North")</f>
        <v>NorthWest</v>
      </c>
      <c r="AA1370" s="4">
        <f>CHOOSE(MATCH(Z1370,{"South";"SouthEast";"SouthWest";"North";"NorthEast";"East";"West";"NorthWest"},0),1,2,3,4,5,6,7,8)</f>
        <v>8</v>
      </c>
      <c r="AB1370" s="2">
        <f t="shared" si="216"/>
        <v>1</v>
      </c>
      <c r="AC1370">
        <v>1007.6</v>
      </c>
      <c r="AD1370" t="s">
        <v>1165</v>
      </c>
      <c r="AE1370" s="2">
        <f t="shared" si="217"/>
        <v>0</v>
      </c>
      <c r="AF1370" t="s">
        <v>2007</v>
      </c>
      <c r="AG1370" s="2">
        <f t="shared" si="218"/>
        <v>2</v>
      </c>
      <c r="AH1370" s="2">
        <f t="shared" si="219"/>
        <v>0</v>
      </c>
      <c r="AI1370" s="3">
        <v>200.00000000232831</v>
      </c>
      <c r="AJ1370" s="2">
        <v>0</v>
      </c>
      <c r="AK1370">
        <v>0</v>
      </c>
      <c r="AL1370">
        <v>10</v>
      </c>
      <c r="AM1370">
        <v>0</v>
      </c>
      <c r="AN1370" s="2">
        <f>IF((2*G1370+M1370-O1370+3*V1370+2*AB1370+2*AE1370+2*AH1370+3*AJ1370)&gt;=7,1,0)</f>
        <v>0</v>
      </c>
    </row>
    <row r="1371" spans="1:40" x14ac:dyDescent="0.25">
      <c r="A1371" t="s">
        <v>27</v>
      </c>
      <c r="B1371" s="1">
        <v>40971</v>
      </c>
      <c r="C1371" s="6">
        <f t="shared" si="210"/>
        <v>2012</v>
      </c>
      <c r="D1371">
        <v>62.6</v>
      </c>
      <c r="E1371">
        <v>42.2</v>
      </c>
      <c r="F1371">
        <v>53.7</v>
      </c>
      <c r="G1371" s="2">
        <f t="shared" si="211"/>
        <v>0</v>
      </c>
      <c r="H1371">
        <v>62.6</v>
      </c>
      <c r="I1371">
        <v>38.9</v>
      </c>
      <c r="J1371">
        <v>53.1</v>
      </c>
      <c r="K1371">
        <v>46</v>
      </c>
      <c r="L1371">
        <v>75.5</v>
      </c>
      <c r="M1371" s="2">
        <f t="shared" si="212"/>
        <v>0</v>
      </c>
      <c r="N1371">
        <v>0</v>
      </c>
      <c r="O1371" s="2">
        <f t="shared" si="213"/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 s="2">
        <f t="shared" si="214"/>
        <v>0</v>
      </c>
      <c r="W1371">
        <v>9.1999999999999993</v>
      </c>
      <c r="X1371" s="2">
        <f t="shared" si="215"/>
        <v>0</v>
      </c>
      <c r="Y1371">
        <v>274.89999999999998</v>
      </c>
      <c r="Z1371" s="2" t="str">
        <f>CHOOSE(MATCH(Y1371,{0;11;80;111;161;191;241;281;341},1),"North","NorthEast","East","SouthEast","South","SouthWest","West","NorthWest","North")</f>
        <v>West</v>
      </c>
      <c r="AA1371" s="4">
        <f>CHOOSE(MATCH(Z1371,{"South";"SouthEast";"SouthWest";"North";"NorthEast";"East";"West";"NorthWest"},0),1,2,3,4,5,6,7,8)</f>
        <v>7</v>
      </c>
      <c r="AB1371" s="2">
        <f t="shared" si="216"/>
        <v>0</v>
      </c>
      <c r="AC1371">
        <v>1018.3</v>
      </c>
      <c r="AD1371" t="s">
        <v>2008</v>
      </c>
      <c r="AE1371" s="2">
        <f t="shared" si="217"/>
        <v>1</v>
      </c>
      <c r="AF1371" t="s">
        <v>2009</v>
      </c>
      <c r="AG1371" s="2">
        <f t="shared" si="218"/>
        <v>3</v>
      </c>
      <c r="AH1371" s="2">
        <f t="shared" si="219"/>
        <v>0</v>
      </c>
      <c r="AI1371" s="3">
        <v>149.99999999650751</v>
      </c>
      <c r="AJ1371" s="2">
        <v>0</v>
      </c>
      <c r="AK1371">
        <v>0</v>
      </c>
      <c r="AL1371">
        <v>5</v>
      </c>
      <c r="AM1371">
        <v>0</v>
      </c>
      <c r="AN1371" s="2">
        <f>IF((2*G1371+M1371-O1371+3*V1371+2*AB1371+2*AE1371+2*AH1371+3*AJ1371)&gt;=7,1,0)</f>
        <v>0</v>
      </c>
    </row>
    <row r="1372" spans="1:40" x14ac:dyDescent="0.25">
      <c r="A1372" t="s">
        <v>27</v>
      </c>
      <c r="B1372" s="1">
        <v>40973</v>
      </c>
      <c r="C1372" s="6">
        <f t="shared" si="210"/>
        <v>2012</v>
      </c>
      <c r="D1372">
        <v>66.2</v>
      </c>
      <c r="E1372">
        <v>46.4</v>
      </c>
      <c r="F1372">
        <v>57</v>
      </c>
      <c r="G1372" s="2">
        <f t="shared" si="211"/>
        <v>0</v>
      </c>
      <c r="H1372">
        <v>66.2</v>
      </c>
      <c r="I1372">
        <v>43.5</v>
      </c>
      <c r="J1372">
        <v>56.8</v>
      </c>
      <c r="K1372">
        <v>47.1</v>
      </c>
      <c r="L1372">
        <v>69.900000000000006</v>
      </c>
      <c r="M1372" s="2">
        <f t="shared" si="212"/>
        <v>0</v>
      </c>
      <c r="N1372">
        <v>0</v>
      </c>
      <c r="O1372" s="2">
        <f t="shared" si="213"/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 s="2">
        <f t="shared" si="214"/>
        <v>0</v>
      </c>
      <c r="W1372">
        <v>25.3</v>
      </c>
      <c r="X1372" s="2">
        <f t="shared" si="215"/>
        <v>1</v>
      </c>
      <c r="Y1372">
        <v>195.3</v>
      </c>
      <c r="Z1372" s="2" t="str">
        <f>CHOOSE(MATCH(Y1372,{0;11;80;111;161;191;241;281;341},1),"North","NorthEast","East","SouthEast","South","SouthWest","West","NorthWest","North")</f>
        <v>SouthWest</v>
      </c>
      <c r="AA1372" s="4">
        <f>CHOOSE(MATCH(Z1372,{"South";"SouthEast";"SouthWest";"North";"NorthEast";"East";"West";"NorthWest"},0),1,2,3,4,5,6,7,8)</f>
        <v>3</v>
      </c>
      <c r="AB1372" s="2">
        <f t="shared" si="216"/>
        <v>0</v>
      </c>
      <c r="AC1372">
        <v>1015.8</v>
      </c>
      <c r="AD1372" t="s">
        <v>1241</v>
      </c>
      <c r="AE1372" s="2">
        <f t="shared" si="217"/>
        <v>0</v>
      </c>
      <c r="AF1372" t="s">
        <v>2010</v>
      </c>
      <c r="AG1372" s="2">
        <f t="shared" si="218"/>
        <v>3</v>
      </c>
      <c r="AH1372" s="2">
        <f t="shared" si="219"/>
        <v>0</v>
      </c>
      <c r="AI1372" s="3">
        <v>159.99999999767169</v>
      </c>
      <c r="AJ1372" s="2">
        <v>0</v>
      </c>
      <c r="AK1372">
        <v>0</v>
      </c>
      <c r="AL1372">
        <v>1</v>
      </c>
      <c r="AM1372">
        <v>0</v>
      </c>
      <c r="AN1372" s="2">
        <f>IF((2*G1372+M1372-O1372+3*V1372+2*AB1372+2*AE1372+2*AH1372+3*AJ1372)&gt;=7,1,0)</f>
        <v>0</v>
      </c>
    </row>
    <row r="1373" spans="1:40" x14ac:dyDescent="0.25">
      <c r="A1373" t="s">
        <v>27</v>
      </c>
      <c r="B1373" s="1">
        <v>40978</v>
      </c>
      <c r="C1373" s="6">
        <f t="shared" si="210"/>
        <v>2012</v>
      </c>
      <c r="D1373">
        <v>62.6</v>
      </c>
      <c r="E1373">
        <v>51.8</v>
      </c>
      <c r="F1373">
        <v>57.7</v>
      </c>
      <c r="G1373" s="2">
        <f t="shared" si="211"/>
        <v>0</v>
      </c>
      <c r="H1373">
        <v>62.6</v>
      </c>
      <c r="I1373">
        <v>51.8</v>
      </c>
      <c r="J1373">
        <v>57.7</v>
      </c>
      <c r="K1373">
        <v>53.7</v>
      </c>
      <c r="L1373">
        <v>86.5</v>
      </c>
      <c r="M1373" s="2">
        <f t="shared" si="212"/>
        <v>0</v>
      </c>
      <c r="N1373">
        <v>0</v>
      </c>
      <c r="O1373" s="2">
        <f t="shared" si="213"/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 s="2">
        <f t="shared" si="214"/>
        <v>0</v>
      </c>
      <c r="W1373">
        <v>15</v>
      </c>
      <c r="X1373" s="2">
        <f t="shared" si="215"/>
        <v>0</v>
      </c>
      <c r="Y1373">
        <v>48</v>
      </c>
      <c r="Z1373" s="2" t="str">
        <f>CHOOSE(MATCH(Y1373,{0;11;80;111;161;191;241;281;341},1),"North","NorthEast","East","SouthEast","South","SouthWest","West","NorthWest","North")</f>
        <v>NorthEast</v>
      </c>
      <c r="AA1373" s="4">
        <f>CHOOSE(MATCH(Z1373,{"South";"SouthEast";"SouthWest";"North";"NorthEast";"East";"West";"NorthWest"},0),1,2,3,4,5,6,7,8)</f>
        <v>5</v>
      </c>
      <c r="AB1373" s="2">
        <f t="shared" si="216"/>
        <v>1</v>
      </c>
      <c r="AC1373">
        <v>1020.7</v>
      </c>
      <c r="AD1373" t="s">
        <v>1935</v>
      </c>
      <c r="AE1373" s="2">
        <f t="shared" si="217"/>
        <v>1</v>
      </c>
      <c r="AF1373" t="s">
        <v>2011</v>
      </c>
      <c r="AG1373" s="2">
        <f t="shared" si="218"/>
        <v>3</v>
      </c>
      <c r="AH1373" s="2">
        <f t="shared" si="219"/>
        <v>0</v>
      </c>
      <c r="AI1373" s="3">
        <v>55.000000001164153</v>
      </c>
      <c r="AJ1373" s="2">
        <v>0</v>
      </c>
      <c r="AK1373">
        <v>0</v>
      </c>
      <c r="AL1373">
        <v>1</v>
      </c>
      <c r="AM1373">
        <v>0</v>
      </c>
      <c r="AN1373" s="2">
        <f>IF((2*G1373+M1373-O1373+3*V1373+2*AB1373+2*AE1373+2*AH1373+3*AJ1373)&gt;=7,1,0)</f>
        <v>0</v>
      </c>
    </row>
    <row r="1374" spans="1:40" x14ac:dyDescent="0.25">
      <c r="A1374" t="s">
        <v>27</v>
      </c>
      <c r="B1374" s="1">
        <v>40984</v>
      </c>
      <c r="C1374" s="6">
        <f t="shared" si="210"/>
        <v>2012</v>
      </c>
      <c r="D1374">
        <v>57.2</v>
      </c>
      <c r="E1374">
        <v>50</v>
      </c>
      <c r="F1374">
        <v>54.1</v>
      </c>
      <c r="G1374" s="2">
        <f t="shared" si="211"/>
        <v>0</v>
      </c>
      <c r="H1374">
        <v>57.2</v>
      </c>
      <c r="I1374">
        <v>50</v>
      </c>
      <c r="J1374">
        <v>54.1</v>
      </c>
      <c r="K1374">
        <v>41.7</v>
      </c>
      <c r="L1374">
        <v>63.3</v>
      </c>
      <c r="M1374" s="2">
        <f t="shared" si="212"/>
        <v>1</v>
      </c>
      <c r="N1374">
        <v>0</v>
      </c>
      <c r="O1374" s="2">
        <f t="shared" si="213"/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28.9</v>
      </c>
      <c r="V1374" s="2">
        <f t="shared" si="214"/>
        <v>1</v>
      </c>
      <c r="W1374">
        <v>25.3</v>
      </c>
      <c r="X1374" s="2">
        <f t="shared" si="215"/>
        <v>1</v>
      </c>
      <c r="Y1374">
        <v>356.7</v>
      </c>
      <c r="Z1374" s="2" t="str">
        <f>CHOOSE(MATCH(Y1374,{0;11;80;111;161;191;241;281;341},1),"North","NorthEast","East","SouthEast","South","SouthWest","West","NorthWest","North")</f>
        <v>North</v>
      </c>
      <c r="AA1374" s="4">
        <f>CHOOSE(MATCH(Z1374,{"South";"SouthEast";"SouthWest";"North";"NorthEast";"East";"West";"NorthWest"},0),1,2,3,4,5,6,7,8)</f>
        <v>4</v>
      </c>
      <c r="AB1374" s="2">
        <f t="shared" si="216"/>
        <v>1</v>
      </c>
      <c r="AC1374">
        <v>1026.5999999999999</v>
      </c>
      <c r="AD1374" t="s">
        <v>1119</v>
      </c>
      <c r="AE1374" s="2">
        <f t="shared" si="217"/>
        <v>0</v>
      </c>
      <c r="AF1374" t="s">
        <v>2012</v>
      </c>
      <c r="AG1374" s="2">
        <f t="shared" si="218"/>
        <v>3</v>
      </c>
      <c r="AH1374" s="2">
        <f t="shared" si="219"/>
        <v>0</v>
      </c>
      <c r="AI1374" s="3">
        <v>162.9999999969732</v>
      </c>
      <c r="AJ1374" s="2">
        <v>0</v>
      </c>
      <c r="AK1374">
        <v>0</v>
      </c>
      <c r="AL1374">
        <v>1</v>
      </c>
      <c r="AM1374">
        <v>0</v>
      </c>
      <c r="AN1374" s="2">
        <f>IF((2*G1374+M1374-O1374+3*V1374+2*AB1374+2*AE1374+2*AH1374+3*AJ1374)&gt;=7,1,0)</f>
        <v>0</v>
      </c>
    </row>
    <row r="1375" spans="1:40" x14ac:dyDescent="0.25">
      <c r="A1375" t="s">
        <v>27</v>
      </c>
      <c r="B1375" s="1">
        <v>40987</v>
      </c>
      <c r="C1375" s="6">
        <f t="shared" si="210"/>
        <v>2012</v>
      </c>
      <c r="D1375">
        <v>62.6</v>
      </c>
      <c r="E1375">
        <v>48.2</v>
      </c>
      <c r="F1375">
        <v>55</v>
      </c>
      <c r="G1375" s="2">
        <f t="shared" si="211"/>
        <v>0</v>
      </c>
      <c r="H1375">
        <v>62.6</v>
      </c>
      <c r="I1375">
        <v>44.6</v>
      </c>
      <c r="J1375">
        <v>54.6</v>
      </c>
      <c r="K1375">
        <v>49.4</v>
      </c>
      <c r="L1375">
        <v>81.7</v>
      </c>
      <c r="M1375" s="2">
        <f t="shared" si="212"/>
        <v>0</v>
      </c>
      <c r="N1375">
        <v>0</v>
      </c>
      <c r="O1375" s="2">
        <f t="shared" si="213"/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 s="2">
        <f t="shared" si="214"/>
        <v>0</v>
      </c>
      <c r="W1375">
        <v>9.1999999999999993</v>
      </c>
      <c r="X1375" s="2">
        <f t="shared" si="215"/>
        <v>0</v>
      </c>
      <c r="Y1375">
        <v>149.19999999999999</v>
      </c>
      <c r="Z1375" s="2" t="str">
        <f>CHOOSE(MATCH(Y1375,{0;11;80;111;161;191;241;281;341},1),"North","NorthEast","East","SouthEast","South","SouthWest","West","NorthWest","North")</f>
        <v>SouthEast</v>
      </c>
      <c r="AA1375" s="4">
        <f>CHOOSE(MATCH(Z1375,{"South";"SouthEast";"SouthWest";"North";"NorthEast";"East";"West";"NorthWest"},0),1,2,3,4,5,6,7,8)</f>
        <v>2</v>
      </c>
      <c r="AB1375" s="2">
        <f t="shared" si="216"/>
        <v>0</v>
      </c>
      <c r="AC1375">
        <v>1028.4000000000001</v>
      </c>
      <c r="AD1375" t="s">
        <v>2013</v>
      </c>
      <c r="AE1375" s="2">
        <f t="shared" si="217"/>
        <v>1</v>
      </c>
      <c r="AF1375" t="s">
        <v>2014</v>
      </c>
      <c r="AG1375" s="2">
        <f t="shared" si="218"/>
        <v>3</v>
      </c>
      <c r="AH1375" s="2">
        <f t="shared" si="219"/>
        <v>0</v>
      </c>
      <c r="AI1375" s="3">
        <v>452.99999999930151</v>
      </c>
      <c r="AJ1375" s="2">
        <v>1</v>
      </c>
      <c r="AK1375">
        <v>0</v>
      </c>
      <c r="AL1375">
        <v>50</v>
      </c>
      <c r="AM1375">
        <v>0</v>
      </c>
      <c r="AN1375" s="2">
        <f>IF((2*G1375+M1375-O1375+3*V1375+2*AB1375+2*AE1375+2*AH1375+3*AJ1375)&gt;=7,1,0)</f>
        <v>0</v>
      </c>
    </row>
    <row r="1376" spans="1:40" x14ac:dyDescent="0.25">
      <c r="A1376" t="s">
        <v>27</v>
      </c>
      <c r="B1376" s="1">
        <v>40989</v>
      </c>
      <c r="C1376" s="6">
        <f t="shared" si="210"/>
        <v>2012</v>
      </c>
      <c r="D1376">
        <v>66.2</v>
      </c>
      <c r="E1376">
        <v>50</v>
      </c>
      <c r="F1376">
        <v>58.3</v>
      </c>
      <c r="G1376" s="2">
        <f t="shared" si="211"/>
        <v>0</v>
      </c>
      <c r="H1376">
        <v>66.2</v>
      </c>
      <c r="I1376">
        <v>50</v>
      </c>
      <c r="J1376">
        <v>58.3</v>
      </c>
      <c r="K1376">
        <v>51</v>
      </c>
      <c r="L1376">
        <v>77.400000000000006</v>
      </c>
      <c r="M1376" s="2">
        <f t="shared" si="212"/>
        <v>0</v>
      </c>
      <c r="N1376">
        <v>0</v>
      </c>
      <c r="O1376" s="2">
        <f t="shared" si="213"/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 s="2">
        <f t="shared" si="214"/>
        <v>0</v>
      </c>
      <c r="W1376">
        <v>17.2</v>
      </c>
      <c r="X1376" s="2">
        <f t="shared" si="215"/>
        <v>1</v>
      </c>
      <c r="Y1376">
        <v>292.5</v>
      </c>
      <c r="Z1376" s="2" t="str">
        <f>CHOOSE(MATCH(Y1376,{0;11;80;111;161;191;241;281;341},1),"North","NorthEast","East","SouthEast","South","SouthWest","West","NorthWest","North")</f>
        <v>NorthWest</v>
      </c>
      <c r="AA1376" s="4">
        <f>CHOOSE(MATCH(Z1376,{"South";"SouthEast";"SouthWest";"North";"NorthEast";"East";"West";"NorthWest"},0),1,2,3,4,5,6,7,8)</f>
        <v>8</v>
      </c>
      <c r="AB1376" s="2">
        <f t="shared" si="216"/>
        <v>1</v>
      </c>
      <c r="AC1376">
        <v>1027</v>
      </c>
      <c r="AD1376" t="s">
        <v>1947</v>
      </c>
      <c r="AE1376" s="2">
        <f t="shared" si="217"/>
        <v>1</v>
      </c>
      <c r="AF1376" t="s">
        <v>2015</v>
      </c>
      <c r="AG1376" s="2">
        <f t="shared" si="218"/>
        <v>3</v>
      </c>
      <c r="AH1376" s="2">
        <f t="shared" si="219"/>
        <v>0</v>
      </c>
      <c r="AI1376" s="3">
        <v>309.99999999417918</v>
      </c>
      <c r="AJ1376" s="2">
        <v>0</v>
      </c>
      <c r="AK1376">
        <v>0</v>
      </c>
      <c r="AL1376">
        <v>4</v>
      </c>
      <c r="AM1376">
        <v>0</v>
      </c>
      <c r="AN1376" s="2">
        <f>IF((2*G1376+M1376-O1376+3*V1376+2*AB1376+2*AE1376+2*AH1376+3*AJ1376)&gt;=7,1,0)</f>
        <v>0</v>
      </c>
    </row>
    <row r="1377" spans="1:40" x14ac:dyDescent="0.25">
      <c r="A1377" t="s">
        <v>27</v>
      </c>
      <c r="B1377" s="1">
        <v>40989</v>
      </c>
      <c r="C1377" s="6">
        <f t="shared" si="210"/>
        <v>2012</v>
      </c>
      <c r="D1377">
        <v>66.2</v>
      </c>
      <c r="E1377">
        <v>50</v>
      </c>
      <c r="F1377">
        <v>58.3</v>
      </c>
      <c r="G1377" s="2">
        <f t="shared" si="211"/>
        <v>0</v>
      </c>
      <c r="H1377">
        <v>66.2</v>
      </c>
      <c r="I1377">
        <v>50</v>
      </c>
      <c r="J1377">
        <v>58.3</v>
      </c>
      <c r="K1377">
        <v>51</v>
      </c>
      <c r="L1377">
        <v>77.400000000000006</v>
      </c>
      <c r="M1377" s="2">
        <f t="shared" si="212"/>
        <v>0</v>
      </c>
      <c r="N1377">
        <v>0</v>
      </c>
      <c r="O1377" s="2">
        <f t="shared" si="213"/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 s="2">
        <f t="shared" si="214"/>
        <v>0</v>
      </c>
      <c r="W1377">
        <v>17.2</v>
      </c>
      <c r="X1377" s="2">
        <f t="shared" si="215"/>
        <v>1</v>
      </c>
      <c r="Y1377">
        <v>292.5</v>
      </c>
      <c r="Z1377" s="2" t="str">
        <f>CHOOSE(MATCH(Y1377,{0;11;80;111;161;191;241;281;341},1),"North","NorthEast","East","SouthEast","South","SouthWest","West","NorthWest","North")</f>
        <v>NorthWest</v>
      </c>
      <c r="AA1377" s="4">
        <f>CHOOSE(MATCH(Z1377,{"South";"SouthEast";"SouthWest";"North";"NorthEast";"East";"West";"NorthWest"},0),1,2,3,4,5,6,7,8)</f>
        <v>8</v>
      </c>
      <c r="AB1377" s="2">
        <f t="shared" si="216"/>
        <v>1</v>
      </c>
      <c r="AC1377">
        <v>1027</v>
      </c>
      <c r="AD1377" t="s">
        <v>1264</v>
      </c>
      <c r="AE1377" s="2">
        <f t="shared" si="217"/>
        <v>1</v>
      </c>
      <c r="AF1377" t="s">
        <v>2016</v>
      </c>
      <c r="AG1377" s="2">
        <f t="shared" si="218"/>
        <v>3</v>
      </c>
      <c r="AH1377" s="2">
        <f t="shared" si="219"/>
        <v>0</v>
      </c>
      <c r="AI1377" s="3">
        <v>349.99999999883579</v>
      </c>
      <c r="AJ1377" s="2">
        <v>0</v>
      </c>
      <c r="AK1377">
        <v>0</v>
      </c>
      <c r="AL1377">
        <v>20</v>
      </c>
      <c r="AM1377">
        <v>0</v>
      </c>
      <c r="AN1377" s="2">
        <f>IF((2*G1377+M1377-O1377+3*V1377+2*AB1377+2*AE1377+2*AH1377+3*AJ1377)&gt;=7,1,0)</f>
        <v>0</v>
      </c>
    </row>
    <row r="1378" spans="1:40" x14ac:dyDescent="0.25">
      <c r="A1378" t="s">
        <v>27</v>
      </c>
      <c r="B1378" s="1">
        <v>40989</v>
      </c>
      <c r="C1378" s="6">
        <f t="shared" si="210"/>
        <v>2012</v>
      </c>
      <c r="D1378">
        <v>66.2</v>
      </c>
      <c r="E1378">
        <v>50</v>
      </c>
      <c r="F1378">
        <v>58.3</v>
      </c>
      <c r="G1378" s="2">
        <f t="shared" si="211"/>
        <v>0</v>
      </c>
      <c r="H1378">
        <v>66.2</v>
      </c>
      <c r="I1378">
        <v>50</v>
      </c>
      <c r="J1378">
        <v>58.3</v>
      </c>
      <c r="K1378">
        <v>51</v>
      </c>
      <c r="L1378">
        <v>77.400000000000006</v>
      </c>
      <c r="M1378" s="2">
        <f t="shared" si="212"/>
        <v>0</v>
      </c>
      <c r="N1378">
        <v>0</v>
      </c>
      <c r="O1378" s="2">
        <f t="shared" si="213"/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 s="2">
        <f t="shared" si="214"/>
        <v>0</v>
      </c>
      <c r="W1378">
        <v>17.2</v>
      </c>
      <c r="X1378" s="2">
        <f t="shared" si="215"/>
        <v>1</v>
      </c>
      <c r="Y1378">
        <v>292.5</v>
      </c>
      <c r="Z1378" s="2" t="str">
        <f>CHOOSE(MATCH(Y1378,{0;11;80;111;161;191;241;281;341},1),"North","NorthEast","East","SouthEast","South","SouthWest","West","NorthWest","North")</f>
        <v>NorthWest</v>
      </c>
      <c r="AA1378" s="4">
        <f>CHOOSE(MATCH(Z1378,{"South";"SouthEast";"SouthWest";"North";"NorthEast";"East";"West";"NorthWest"},0),1,2,3,4,5,6,7,8)</f>
        <v>8</v>
      </c>
      <c r="AB1378" s="2">
        <f t="shared" si="216"/>
        <v>1</v>
      </c>
      <c r="AC1378">
        <v>1027</v>
      </c>
      <c r="AD1378" t="s">
        <v>1188</v>
      </c>
      <c r="AE1378" s="2">
        <f t="shared" si="217"/>
        <v>0</v>
      </c>
      <c r="AF1378" t="s">
        <v>2017</v>
      </c>
      <c r="AG1378" s="2">
        <f t="shared" si="218"/>
        <v>3</v>
      </c>
      <c r="AH1378" s="2">
        <f t="shared" si="219"/>
        <v>0</v>
      </c>
      <c r="AI1378" s="3">
        <v>85.000000004656613</v>
      </c>
      <c r="AJ1378" s="2">
        <v>0</v>
      </c>
      <c r="AK1378">
        <v>0</v>
      </c>
      <c r="AL1378">
        <v>2</v>
      </c>
      <c r="AM1378">
        <v>0</v>
      </c>
      <c r="AN1378" s="2">
        <f>IF((2*G1378+M1378-O1378+3*V1378+2*AB1378+2*AE1378+2*AH1378+3*AJ1378)&gt;=7,1,0)</f>
        <v>0</v>
      </c>
    </row>
    <row r="1379" spans="1:40" x14ac:dyDescent="0.25">
      <c r="A1379" t="s">
        <v>27</v>
      </c>
      <c r="B1379" s="1">
        <v>40990</v>
      </c>
      <c r="C1379" s="6">
        <f t="shared" si="210"/>
        <v>2012</v>
      </c>
      <c r="D1379">
        <v>66.2</v>
      </c>
      <c r="E1379">
        <v>59</v>
      </c>
      <c r="F1379">
        <v>61.7</v>
      </c>
      <c r="G1379" s="2">
        <f t="shared" si="211"/>
        <v>0</v>
      </c>
      <c r="H1379">
        <v>66.2</v>
      </c>
      <c r="I1379">
        <v>59</v>
      </c>
      <c r="J1379">
        <v>61.7</v>
      </c>
      <c r="K1379">
        <v>50.7</v>
      </c>
      <c r="L1379">
        <v>67.5</v>
      </c>
      <c r="M1379" s="2">
        <f t="shared" si="212"/>
        <v>0</v>
      </c>
      <c r="N1379">
        <v>0</v>
      </c>
      <c r="O1379" s="2">
        <f t="shared" si="213"/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 s="2">
        <f t="shared" si="214"/>
        <v>0</v>
      </c>
      <c r="W1379">
        <v>18.3</v>
      </c>
      <c r="X1379" s="2">
        <f t="shared" si="215"/>
        <v>1</v>
      </c>
      <c r="Y1379">
        <v>310.2</v>
      </c>
      <c r="Z1379" s="2" t="str">
        <f>CHOOSE(MATCH(Y1379,{0;11;80;111;161;191;241;281;341},1),"North","NorthEast","East","SouthEast","South","SouthWest","West","NorthWest","North")</f>
        <v>NorthWest</v>
      </c>
      <c r="AA1379" s="4">
        <f>CHOOSE(MATCH(Z1379,{"South";"SouthEast";"SouthWest";"North";"NorthEast";"East";"West";"NorthWest"},0),1,2,3,4,5,6,7,8)</f>
        <v>8</v>
      </c>
      <c r="AB1379" s="2">
        <f t="shared" si="216"/>
        <v>1</v>
      </c>
      <c r="AC1379">
        <v>1025.0999999999999</v>
      </c>
      <c r="AD1379" t="s">
        <v>2018</v>
      </c>
      <c r="AE1379" s="2">
        <f t="shared" si="217"/>
        <v>1</v>
      </c>
      <c r="AF1379" t="s">
        <v>2019</v>
      </c>
      <c r="AG1379" s="2">
        <f t="shared" si="218"/>
        <v>3</v>
      </c>
      <c r="AH1379" s="2">
        <f t="shared" si="219"/>
        <v>0</v>
      </c>
      <c r="AI1379" s="3">
        <v>1936.0000000032601</v>
      </c>
      <c r="AJ1379" s="2">
        <v>1</v>
      </c>
      <c r="AK1379">
        <v>0</v>
      </c>
      <c r="AL1379">
        <v>25</v>
      </c>
      <c r="AM1379">
        <v>0</v>
      </c>
      <c r="AN1379" s="2">
        <f>IF((2*G1379+M1379-O1379+3*V1379+2*AB1379+2*AE1379+2*AH1379+3*AJ1379)&gt;=7,1,0)</f>
        <v>0</v>
      </c>
    </row>
    <row r="1380" spans="1:40" x14ac:dyDescent="0.25">
      <c r="A1380" t="s">
        <v>27</v>
      </c>
      <c r="B1380" s="1">
        <v>40992</v>
      </c>
      <c r="C1380" s="6">
        <f t="shared" si="210"/>
        <v>2012</v>
      </c>
      <c r="D1380">
        <v>64.400000000000006</v>
      </c>
      <c r="E1380">
        <v>50</v>
      </c>
      <c r="F1380">
        <v>56.4</v>
      </c>
      <c r="G1380" s="2">
        <f t="shared" si="211"/>
        <v>0</v>
      </c>
      <c r="H1380">
        <v>64.400000000000006</v>
      </c>
      <c r="I1380">
        <v>50</v>
      </c>
      <c r="J1380">
        <v>56.4</v>
      </c>
      <c r="K1380">
        <v>50.3</v>
      </c>
      <c r="L1380">
        <v>80.5</v>
      </c>
      <c r="M1380" s="2">
        <f t="shared" si="212"/>
        <v>0</v>
      </c>
      <c r="N1380">
        <v>0</v>
      </c>
      <c r="O1380" s="2">
        <f t="shared" si="213"/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 s="2">
        <f t="shared" si="214"/>
        <v>0</v>
      </c>
      <c r="W1380">
        <v>8.1</v>
      </c>
      <c r="X1380" s="2">
        <f t="shared" si="215"/>
        <v>0</v>
      </c>
      <c r="Y1380">
        <v>200.8</v>
      </c>
      <c r="Z1380" s="2" t="str">
        <f>CHOOSE(MATCH(Y1380,{0;11;80;111;161;191;241;281;341},1),"North","NorthEast","East","SouthEast","South","SouthWest","West","NorthWest","North")</f>
        <v>SouthWest</v>
      </c>
      <c r="AA1380" s="4">
        <f>CHOOSE(MATCH(Z1380,{"South";"SouthEast";"SouthWest";"North";"NorthEast";"East";"West";"NorthWest"},0),1,2,3,4,5,6,7,8)</f>
        <v>3</v>
      </c>
      <c r="AB1380" s="2">
        <f t="shared" si="216"/>
        <v>0</v>
      </c>
      <c r="AC1380">
        <v>1020.6</v>
      </c>
      <c r="AD1380" t="s">
        <v>1885</v>
      </c>
      <c r="AE1380" s="2">
        <f t="shared" si="217"/>
        <v>1</v>
      </c>
      <c r="AF1380" t="s">
        <v>2020</v>
      </c>
      <c r="AG1380" s="2">
        <f t="shared" si="218"/>
        <v>3</v>
      </c>
      <c r="AH1380" s="2">
        <f t="shared" si="219"/>
        <v>0</v>
      </c>
      <c r="AI1380" s="3">
        <v>319.99999999534339</v>
      </c>
      <c r="AJ1380" s="2">
        <v>0</v>
      </c>
      <c r="AK1380">
        <v>0</v>
      </c>
      <c r="AL1380">
        <v>4</v>
      </c>
      <c r="AM1380">
        <v>0</v>
      </c>
      <c r="AN1380" s="2">
        <f>IF((2*G1380+M1380-O1380+3*V1380+2*AB1380+2*AE1380+2*AH1380+3*AJ1380)&gt;=7,1,0)</f>
        <v>0</v>
      </c>
    </row>
    <row r="1381" spans="1:40" x14ac:dyDescent="0.25">
      <c r="A1381" t="s">
        <v>27</v>
      </c>
      <c r="B1381" s="1">
        <v>40992</v>
      </c>
      <c r="C1381" s="6">
        <f t="shared" si="210"/>
        <v>2012</v>
      </c>
      <c r="D1381">
        <v>64.400000000000006</v>
      </c>
      <c r="E1381">
        <v>50</v>
      </c>
      <c r="F1381">
        <v>56.4</v>
      </c>
      <c r="G1381" s="2">
        <f t="shared" si="211"/>
        <v>0</v>
      </c>
      <c r="H1381">
        <v>64.400000000000006</v>
      </c>
      <c r="I1381">
        <v>50</v>
      </c>
      <c r="J1381">
        <v>56.4</v>
      </c>
      <c r="K1381">
        <v>50.3</v>
      </c>
      <c r="L1381">
        <v>80.5</v>
      </c>
      <c r="M1381" s="2">
        <f t="shared" si="212"/>
        <v>0</v>
      </c>
      <c r="N1381">
        <v>0</v>
      </c>
      <c r="O1381" s="2">
        <f t="shared" si="213"/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 s="2">
        <f t="shared" si="214"/>
        <v>0</v>
      </c>
      <c r="W1381">
        <v>8.1</v>
      </c>
      <c r="X1381" s="2">
        <f t="shared" si="215"/>
        <v>0</v>
      </c>
      <c r="Y1381">
        <v>200.8</v>
      </c>
      <c r="Z1381" s="2" t="str">
        <f>CHOOSE(MATCH(Y1381,{0;11;80;111;161;191;241;281;341},1),"North","NorthEast","East","SouthEast","South","SouthWest","West","NorthWest","North")</f>
        <v>SouthWest</v>
      </c>
      <c r="AA1381" s="4">
        <f>CHOOSE(MATCH(Z1381,{"South";"SouthEast";"SouthWest";"North";"NorthEast";"East";"West";"NorthWest"},0),1,2,3,4,5,6,7,8)</f>
        <v>3</v>
      </c>
      <c r="AB1381" s="2">
        <f t="shared" si="216"/>
        <v>0</v>
      </c>
      <c r="AC1381">
        <v>1020.6</v>
      </c>
      <c r="AD1381" t="s">
        <v>1237</v>
      </c>
      <c r="AE1381" s="2">
        <f t="shared" si="217"/>
        <v>1</v>
      </c>
      <c r="AF1381" t="s">
        <v>2021</v>
      </c>
      <c r="AG1381" s="2">
        <f t="shared" si="218"/>
        <v>3</v>
      </c>
      <c r="AH1381" s="2">
        <f t="shared" si="219"/>
        <v>0</v>
      </c>
      <c r="AI1381" s="3">
        <v>1665</v>
      </c>
      <c r="AJ1381" s="2">
        <v>1</v>
      </c>
      <c r="AK1381">
        <v>0</v>
      </c>
      <c r="AL1381">
        <v>3</v>
      </c>
      <c r="AM1381">
        <v>0</v>
      </c>
      <c r="AN1381" s="2">
        <f>IF((2*G1381+M1381-O1381+3*V1381+2*AB1381+2*AE1381+2*AH1381+3*AJ1381)&gt;=7,1,0)</f>
        <v>0</v>
      </c>
    </row>
    <row r="1382" spans="1:40" x14ac:dyDescent="0.25">
      <c r="A1382" t="s">
        <v>27</v>
      </c>
      <c r="B1382" s="1">
        <v>40993</v>
      </c>
      <c r="C1382" s="6">
        <f t="shared" si="210"/>
        <v>2012</v>
      </c>
      <c r="D1382">
        <v>64.400000000000006</v>
      </c>
      <c r="E1382">
        <v>50</v>
      </c>
      <c r="F1382">
        <v>56.8</v>
      </c>
      <c r="G1382" s="2">
        <f t="shared" si="211"/>
        <v>0</v>
      </c>
      <c r="H1382">
        <v>64.400000000000006</v>
      </c>
      <c r="I1382">
        <v>50</v>
      </c>
      <c r="J1382">
        <v>56.8</v>
      </c>
      <c r="K1382">
        <v>50.2</v>
      </c>
      <c r="L1382">
        <v>79</v>
      </c>
      <c r="M1382" s="2">
        <f t="shared" si="212"/>
        <v>0</v>
      </c>
      <c r="N1382">
        <v>0</v>
      </c>
      <c r="O1382" s="2">
        <f t="shared" si="213"/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 s="2">
        <f t="shared" si="214"/>
        <v>0</v>
      </c>
      <c r="W1382">
        <v>9.1999999999999993</v>
      </c>
      <c r="X1382" s="2">
        <f t="shared" si="215"/>
        <v>0</v>
      </c>
      <c r="Y1382">
        <v>190.2</v>
      </c>
      <c r="Z1382" s="2" t="str">
        <f>CHOOSE(MATCH(Y1382,{0;11;80;111;161;191;241;281;341},1),"North","NorthEast","East","SouthEast","South","SouthWest","West","NorthWest","North")</f>
        <v>South</v>
      </c>
      <c r="AA1382" s="4">
        <f>CHOOSE(MATCH(Z1382,{"South";"SouthEast";"SouthWest";"North";"NorthEast";"East";"West";"NorthWest"},0),1,2,3,4,5,6,7,8)</f>
        <v>1</v>
      </c>
      <c r="AB1382" s="2">
        <f t="shared" si="216"/>
        <v>0</v>
      </c>
      <c r="AC1382">
        <v>1018.5</v>
      </c>
      <c r="AD1382" t="s">
        <v>2022</v>
      </c>
      <c r="AE1382" s="2">
        <f t="shared" si="217"/>
        <v>1</v>
      </c>
      <c r="AF1382" t="s">
        <v>2023</v>
      </c>
      <c r="AG1382" s="2">
        <f t="shared" si="218"/>
        <v>3</v>
      </c>
      <c r="AH1382" s="2">
        <f t="shared" si="219"/>
        <v>0</v>
      </c>
      <c r="AI1382" s="3">
        <v>71.000000000931323</v>
      </c>
      <c r="AJ1382" s="2">
        <v>0</v>
      </c>
      <c r="AK1382">
        <v>0</v>
      </c>
      <c r="AL1382">
        <v>0</v>
      </c>
      <c r="AM1382">
        <v>0.5</v>
      </c>
      <c r="AN1382" s="2">
        <f>IF((2*G1382+M1382-O1382+3*V1382+2*AB1382+2*AE1382+2*AH1382+3*AJ1382)&gt;=7,1,0)</f>
        <v>0</v>
      </c>
    </row>
    <row r="1383" spans="1:40" x14ac:dyDescent="0.25">
      <c r="A1383" t="s">
        <v>27</v>
      </c>
      <c r="B1383" s="1">
        <v>40998</v>
      </c>
      <c r="C1383" s="6">
        <f t="shared" si="210"/>
        <v>2012</v>
      </c>
      <c r="D1383">
        <v>68.099999999999994</v>
      </c>
      <c r="E1383">
        <v>50</v>
      </c>
      <c r="F1383">
        <v>58.6</v>
      </c>
      <c r="G1383" s="2">
        <f t="shared" si="211"/>
        <v>0</v>
      </c>
      <c r="H1383">
        <v>68.099999999999994</v>
      </c>
      <c r="I1383">
        <v>50</v>
      </c>
      <c r="J1383">
        <v>58.6</v>
      </c>
      <c r="K1383">
        <v>46.8</v>
      </c>
      <c r="L1383">
        <v>65.3</v>
      </c>
      <c r="M1383" s="2">
        <f t="shared" si="212"/>
        <v>1</v>
      </c>
      <c r="N1383">
        <v>0</v>
      </c>
      <c r="O1383" s="2">
        <f t="shared" si="213"/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 s="2">
        <f t="shared" si="214"/>
        <v>0</v>
      </c>
      <c r="W1383">
        <v>16.100000000000001</v>
      </c>
      <c r="X1383" s="2">
        <f t="shared" si="215"/>
        <v>1</v>
      </c>
      <c r="Y1383">
        <v>168.8</v>
      </c>
      <c r="Z1383" s="2" t="str">
        <f>CHOOSE(MATCH(Y1383,{0;11;80;111;161;191;241;281;341},1),"North","NorthEast","East","SouthEast","South","SouthWest","West","NorthWest","North")</f>
        <v>South</v>
      </c>
      <c r="AA1383" s="4">
        <f>CHOOSE(MATCH(Z1383,{"South";"SouthEast";"SouthWest";"North";"NorthEast";"East";"West";"NorthWest"},0),1,2,3,4,5,6,7,8)</f>
        <v>1</v>
      </c>
      <c r="AB1383" s="2">
        <f t="shared" si="216"/>
        <v>0</v>
      </c>
      <c r="AC1383">
        <v>1012.5</v>
      </c>
      <c r="AD1383" t="s">
        <v>2024</v>
      </c>
      <c r="AE1383" s="2">
        <f t="shared" si="217"/>
        <v>1</v>
      </c>
      <c r="AF1383" t="s">
        <v>2025</v>
      </c>
      <c r="AG1383" s="2">
        <f t="shared" si="218"/>
        <v>3</v>
      </c>
      <c r="AH1383" s="2">
        <f t="shared" si="219"/>
        <v>0</v>
      </c>
      <c r="AI1383" s="3">
        <v>139.00000000256111</v>
      </c>
      <c r="AJ1383" s="2">
        <v>0</v>
      </c>
      <c r="AK1383">
        <v>3</v>
      </c>
      <c r="AL1383">
        <v>0</v>
      </c>
      <c r="AM1383">
        <v>0</v>
      </c>
      <c r="AN1383" s="2">
        <f>IF((2*G1383+M1383-O1383+3*V1383+2*AB1383+2*AE1383+2*AH1383+3*AJ1383)&gt;=7,1,0)</f>
        <v>0</v>
      </c>
    </row>
    <row r="1384" spans="1:40" x14ac:dyDescent="0.25">
      <c r="A1384" t="s">
        <v>27</v>
      </c>
      <c r="B1384" s="1">
        <v>41000</v>
      </c>
      <c r="C1384" s="6">
        <f t="shared" si="210"/>
        <v>2012</v>
      </c>
      <c r="D1384">
        <v>64.400000000000006</v>
      </c>
      <c r="E1384">
        <v>50</v>
      </c>
      <c r="F1384">
        <v>57.7</v>
      </c>
      <c r="G1384" s="2">
        <f t="shared" si="211"/>
        <v>0</v>
      </c>
      <c r="H1384">
        <v>64.400000000000006</v>
      </c>
      <c r="I1384">
        <v>50</v>
      </c>
      <c r="J1384">
        <v>57.7</v>
      </c>
      <c r="K1384">
        <v>50.2</v>
      </c>
      <c r="L1384">
        <v>76.900000000000006</v>
      </c>
      <c r="M1384" s="2">
        <f t="shared" si="212"/>
        <v>0</v>
      </c>
      <c r="N1384">
        <v>0</v>
      </c>
      <c r="O1384" s="2">
        <f t="shared" si="213"/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 s="2">
        <f t="shared" si="214"/>
        <v>0</v>
      </c>
      <c r="W1384">
        <v>9.1999999999999993</v>
      </c>
      <c r="X1384" s="2">
        <f t="shared" si="215"/>
        <v>0</v>
      </c>
      <c r="Y1384">
        <v>135.5</v>
      </c>
      <c r="Z1384" s="2" t="str">
        <f>CHOOSE(MATCH(Y1384,{0;11;80;111;161;191;241;281;341},1),"North","NorthEast","East","SouthEast","South","SouthWest","West","NorthWest","North")</f>
        <v>SouthEast</v>
      </c>
      <c r="AA1384" s="4">
        <f>CHOOSE(MATCH(Z1384,{"South";"SouthEast";"SouthWest";"North";"NorthEast";"East";"West";"NorthWest"},0),1,2,3,4,5,6,7,8)</f>
        <v>2</v>
      </c>
      <c r="AB1384" s="2">
        <f t="shared" si="216"/>
        <v>0</v>
      </c>
      <c r="AC1384">
        <v>1009.8</v>
      </c>
      <c r="AD1384" t="s">
        <v>1205</v>
      </c>
      <c r="AE1384" s="2">
        <f t="shared" si="217"/>
        <v>1</v>
      </c>
      <c r="AF1384" t="s">
        <v>2026</v>
      </c>
      <c r="AG1384" s="2">
        <f t="shared" si="218"/>
        <v>4</v>
      </c>
      <c r="AH1384" s="2">
        <f t="shared" si="219"/>
        <v>0</v>
      </c>
      <c r="AI1384" s="3">
        <v>1815.0000000069849</v>
      </c>
      <c r="AJ1384" s="2">
        <v>1</v>
      </c>
      <c r="AK1384">
        <v>0</v>
      </c>
      <c r="AL1384">
        <v>25</v>
      </c>
      <c r="AM1384">
        <v>0</v>
      </c>
      <c r="AN1384" s="2">
        <f>IF((2*G1384+M1384-O1384+3*V1384+2*AB1384+2*AE1384+2*AH1384+3*AJ1384)&gt;=7,1,0)</f>
        <v>0</v>
      </c>
    </row>
    <row r="1385" spans="1:40" x14ac:dyDescent="0.25">
      <c r="A1385" t="s">
        <v>27</v>
      </c>
      <c r="B1385" s="1">
        <v>41001</v>
      </c>
      <c r="C1385" s="6">
        <f t="shared" si="210"/>
        <v>2012</v>
      </c>
      <c r="D1385">
        <v>66.2</v>
      </c>
      <c r="E1385">
        <v>51.8</v>
      </c>
      <c r="F1385">
        <v>60.1</v>
      </c>
      <c r="G1385" s="2">
        <f t="shared" si="211"/>
        <v>0</v>
      </c>
      <c r="H1385">
        <v>66.2</v>
      </c>
      <c r="I1385">
        <v>51.8</v>
      </c>
      <c r="J1385">
        <v>60.1</v>
      </c>
      <c r="K1385">
        <v>53</v>
      </c>
      <c r="L1385">
        <v>77.900000000000006</v>
      </c>
      <c r="M1385" s="2">
        <f t="shared" si="212"/>
        <v>0</v>
      </c>
      <c r="N1385">
        <v>0</v>
      </c>
      <c r="O1385" s="2">
        <f t="shared" si="213"/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 s="2">
        <f t="shared" si="214"/>
        <v>0</v>
      </c>
      <c r="W1385">
        <v>13.9</v>
      </c>
      <c r="X1385" s="2">
        <f t="shared" si="215"/>
        <v>0</v>
      </c>
      <c r="Y1385">
        <v>138.1</v>
      </c>
      <c r="Z1385" s="2" t="str">
        <f>CHOOSE(MATCH(Y1385,{0;11;80;111;161;191;241;281;341},1),"North","NorthEast","East","SouthEast","South","SouthWest","West","NorthWest","North")</f>
        <v>SouthEast</v>
      </c>
      <c r="AA1385" s="4">
        <f>CHOOSE(MATCH(Z1385,{"South";"SouthEast";"SouthWest";"North";"NorthEast";"East";"West";"NorthWest"},0),1,2,3,4,5,6,7,8)</f>
        <v>2</v>
      </c>
      <c r="AB1385" s="2">
        <f t="shared" si="216"/>
        <v>0</v>
      </c>
      <c r="AC1385">
        <v>1013.5</v>
      </c>
      <c r="AD1385" t="s">
        <v>2027</v>
      </c>
      <c r="AE1385" s="2">
        <f t="shared" si="217"/>
        <v>0</v>
      </c>
      <c r="AF1385" t="s">
        <v>2028</v>
      </c>
      <c r="AG1385" s="2">
        <f t="shared" si="218"/>
        <v>4</v>
      </c>
      <c r="AH1385" s="2">
        <f t="shared" si="219"/>
        <v>0</v>
      </c>
      <c r="AI1385" s="3">
        <v>1505.999999995111</v>
      </c>
      <c r="AJ1385" s="2">
        <v>1</v>
      </c>
      <c r="AK1385">
        <v>0</v>
      </c>
      <c r="AL1385">
        <v>10</v>
      </c>
      <c r="AM1385">
        <v>0</v>
      </c>
      <c r="AN1385" s="2">
        <f>IF((2*G1385+M1385-O1385+3*V1385+2*AB1385+2*AE1385+2*AH1385+3*AJ1385)&gt;=7,1,0)</f>
        <v>0</v>
      </c>
    </row>
    <row r="1386" spans="1:40" x14ac:dyDescent="0.25">
      <c r="A1386" t="s">
        <v>27</v>
      </c>
      <c r="B1386" s="1">
        <v>41001</v>
      </c>
      <c r="C1386" s="6">
        <f t="shared" si="210"/>
        <v>2012</v>
      </c>
      <c r="D1386">
        <v>66.2</v>
      </c>
      <c r="E1386">
        <v>51.8</v>
      </c>
      <c r="F1386">
        <v>60.1</v>
      </c>
      <c r="G1386" s="2">
        <f t="shared" si="211"/>
        <v>0</v>
      </c>
      <c r="H1386">
        <v>66.2</v>
      </c>
      <c r="I1386">
        <v>51.8</v>
      </c>
      <c r="J1386">
        <v>60.1</v>
      </c>
      <c r="K1386">
        <v>53</v>
      </c>
      <c r="L1386">
        <v>77.900000000000006</v>
      </c>
      <c r="M1386" s="2">
        <f t="shared" si="212"/>
        <v>0</v>
      </c>
      <c r="N1386">
        <v>0</v>
      </c>
      <c r="O1386" s="2">
        <f t="shared" si="213"/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 s="2">
        <f t="shared" si="214"/>
        <v>0</v>
      </c>
      <c r="W1386">
        <v>13.9</v>
      </c>
      <c r="X1386" s="2">
        <f t="shared" si="215"/>
        <v>0</v>
      </c>
      <c r="Y1386">
        <v>138.1</v>
      </c>
      <c r="Z1386" s="2" t="str">
        <f>CHOOSE(MATCH(Y1386,{0;11;80;111;161;191;241;281;341},1),"North","NorthEast","East","SouthEast","South","SouthWest","West","NorthWest","North")</f>
        <v>SouthEast</v>
      </c>
      <c r="AA1386" s="4">
        <f>CHOOSE(MATCH(Z1386,{"South";"SouthEast";"SouthWest";"North";"NorthEast";"East";"West";"NorthWest"},0),1,2,3,4,5,6,7,8)</f>
        <v>2</v>
      </c>
      <c r="AB1386" s="2">
        <f t="shared" si="216"/>
        <v>0</v>
      </c>
      <c r="AC1386">
        <v>1013.5</v>
      </c>
      <c r="AD1386" t="s">
        <v>2029</v>
      </c>
      <c r="AE1386" s="2">
        <f t="shared" si="217"/>
        <v>1</v>
      </c>
      <c r="AF1386" t="s">
        <v>2030</v>
      </c>
      <c r="AG1386" s="2">
        <f t="shared" si="218"/>
        <v>4</v>
      </c>
      <c r="AH1386" s="2">
        <f t="shared" si="219"/>
        <v>0</v>
      </c>
      <c r="AI1386" s="3">
        <v>81.000000002095476</v>
      </c>
      <c r="AJ1386" s="2">
        <v>0</v>
      </c>
      <c r="AK1386">
        <v>0</v>
      </c>
      <c r="AL1386">
        <v>0.1</v>
      </c>
      <c r="AM1386">
        <v>0</v>
      </c>
      <c r="AN1386" s="2">
        <f>IF((2*G1386+M1386-O1386+3*V1386+2*AB1386+2*AE1386+2*AH1386+3*AJ1386)&gt;=7,1,0)</f>
        <v>0</v>
      </c>
    </row>
    <row r="1387" spans="1:40" x14ac:dyDescent="0.25">
      <c r="A1387" t="s">
        <v>27</v>
      </c>
      <c r="B1387" s="1">
        <v>41003</v>
      </c>
      <c r="C1387" s="6">
        <f t="shared" si="210"/>
        <v>2012</v>
      </c>
      <c r="D1387">
        <v>75.2</v>
      </c>
      <c r="E1387">
        <v>60.8</v>
      </c>
      <c r="F1387">
        <v>68.3</v>
      </c>
      <c r="G1387" s="2">
        <f t="shared" si="211"/>
        <v>0</v>
      </c>
      <c r="H1387">
        <v>75.2</v>
      </c>
      <c r="I1387">
        <v>60.8</v>
      </c>
      <c r="J1387">
        <v>68.3</v>
      </c>
      <c r="K1387">
        <v>42.2</v>
      </c>
      <c r="L1387">
        <v>39.9</v>
      </c>
      <c r="M1387" s="2">
        <f t="shared" si="212"/>
        <v>1</v>
      </c>
      <c r="N1387">
        <v>0</v>
      </c>
      <c r="O1387" s="2">
        <f t="shared" si="213"/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40.299999999999997</v>
      </c>
      <c r="V1387" s="2">
        <f t="shared" si="214"/>
        <v>1</v>
      </c>
      <c r="W1387">
        <v>27.5</v>
      </c>
      <c r="X1387" s="2">
        <f t="shared" si="215"/>
        <v>1</v>
      </c>
      <c r="Y1387">
        <v>173.9</v>
      </c>
      <c r="Z1387" s="2" t="str">
        <f>CHOOSE(MATCH(Y1387,{0;11;80;111;161;191;241;281;341},1),"North","NorthEast","East","SouthEast","South","SouthWest","West","NorthWest","North")</f>
        <v>South</v>
      </c>
      <c r="AA1387" s="4">
        <f>CHOOSE(MATCH(Z1387,{"South";"SouthEast";"SouthWest";"North";"NorthEast";"East";"West";"NorthWest"},0),1,2,3,4,5,6,7,8)</f>
        <v>1</v>
      </c>
      <c r="AB1387" s="2">
        <f t="shared" si="216"/>
        <v>0</v>
      </c>
      <c r="AC1387">
        <v>1015.4</v>
      </c>
      <c r="AD1387" t="s">
        <v>2031</v>
      </c>
      <c r="AE1387" s="2">
        <f t="shared" si="217"/>
        <v>1</v>
      </c>
      <c r="AF1387" t="s">
        <v>2032</v>
      </c>
      <c r="AG1387" s="2">
        <f t="shared" si="218"/>
        <v>4</v>
      </c>
      <c r="AH1387" s="2">
        <f t="shared" si="219"/>
        <v>0</v>
      </c>
      <c r="AI1387" s="3">
        <v>1245.000000003492</v>
      </c>
      <c r="AJ1387" s="2">
        <v>1</v>
      </c>
      <c r="AK1387">
        <v>0</v>
      </c>
      <c r="AL1387">
        <v>2</v>
      </c>
      <c r="AM1387">
        <v>0</v>
      </c>
      <c r="AN1387" s="2">
        <f>IF((2*G1387+M1387-O1387+3*V1387+2*AB1387+2*AE1387+2*AH1387+3*AJ1387)&gt;=7,1,0)</f>
        <v>1</v>
      </c>
    </row>
    <row r="1388" spans="1:40" x14ac:dyDescent="0.25">
      <c r="A1388" t="s">
        <v>27</v>
      </c>
      <c r="B1388" s="1">
        <v>41004</v>
      </c>
      <c r="C1388" s="6">
        <f t="shared" si="210"/>
        <v>2012</v>
      </c>
      <c r="D1388">
        <v>80.599999999999994</v>
      </c>
      <c r="E1388">
        <v>68</v>
      </c>
      <c r="F1388">
        <v>73</v>
      </c>
      <c r="G1388" s="2">
        <f t="shared" si="211"/>
        <v>1</v>
      </c>
      <c r="H1388">
        <v>78.8</v>
      </c>
      <c r="I1388">
        <v>68</v>
      </c>
      <c r="J1388">
        <v>72.900000000000006</v>
      </c>
      <c r="K1388">
        <v>33.700000000000003</v>
      </c>
      <c r="L1388">
        <v>24.5</v>
      </c>
      <c r="M1388" s="2">
        <f t="shared" si="212"/>
        <v>1</v>
      </c>
      <c r="N1388">
        <v>0</v>
      </c>
      <c r="O1388" s="2">
        <f t="shared" si="213"/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42.5</v>
      </c>
      <c r="V1388" s="2">
        <f t="shared" si="214"/>
        <v>1</v>
      </c>
      <c r="W1388">
        <v>31.1</v>
      </c>
      <c r="X1388" s="2">
        <f t="shared" si="215"/>
        <v>1</v>
      </c>
      <c r="Y1388">
        <v>174.2</v>
      </c>
      <c r="Z1388" s="2" t="str">
        <f>CHOOSE(MATCH(Y1388,{0;11;80;111;161;191;241;281;341},1),"North","NorthEast","East","SouthEast","South","SouthWest","West","NorthWest","North")</f>
        <v>South</v>
      </c>
      <c r="AA1388" s="4">
        <f>CHOOSE(MATCH(Z1388,{"South";"SouthEast";"SouthWest";"North";"NorthEast";"East";"West";"NorthWest"},0),1,2,3,4,5,6,7,8)</f>
        <v>1</v>
      </c>
      <c r="AB1388" s="2">
        <f t="shared" si="216"/>
        <v>0</v>
      </c>
      <c r="AC1388">
        <v>1011.1</v>
      </c>
      <c r="AD1388" t="s">
        <v>2033</v>
      </c>
      <c r="AE1388" s="2">
        <f t="shared" si="217"/>
        <v>0</v>
      </c>
      <c r="AF1388" t="s">
        <v>2034</v>
      </c>
      <c r="AG1388" s="2">
        <f t="shared" si="218"/>
        <v>4</v>
      </c>
      <c r="AH1388" s="2">
        <f t="shared" si="219"/>
        <v>0</v>
      </c>
      <c r="AI1388" s="3">
        <v>31.999999999534339</v>
      </c>
      <c r="AJ1388" s="2">
        <v>0</v>
      </c>
      <c r="AK1388">
        <v>0.1</v>
      </c>
      <c r="AL1388">
        <v>0</v>
      </c>
      <c r="AM1388">
        <v>0</v>
      </c>
      <c r="AN1388" s="2">
        <f>IF((2*G1388+M1388-O1388+3*V1388+2*AB1388+2*AE1388+2*AH1388+3*AJ1388)&gt;=7,1,0)</f>
        <v>0</v>
      </c>
    </row>
    <row r="1389" spans="1:40" x14ac:dyDescent="0.25">
      <c r="A1389" t="s">
        <v>27</v>
      </c>
      <c r="B1389" s="1">
        <v>41005</v>
      </c>
      <c r="C1389" s="6">
        <f t="shared" si="210"/>
        <v>2012</v>
      </c>
      <c r="D1389">
        <v>73.400000000000006</v>
      </c>
      <c r="E1389">
        <v>60.8</v>
      </c>
      <c r="F1389">
        <v>68.5</v>
      </c>
      <c r="G1389" s="2">
        <f t="shared" si="211"/>
        <v>0</v>
      </c>
      <c r="H1389">
        <v>73.400000000000006</v>
      </c>
      <c r="I1389">
        <v>60.8</v>
      </c>
      <c r="J1389">
        <v>68.5</v>
      </c>
      <c r="K1389">
        <v>46.9</v>
      </c>
      <c r="L1389">
        <v>53.6</v>
      </c>
      <c r="M1389" s="2">
        <f t="shared" si="212"/>
        <v>1</v>
      </c>
      <c r="N1389">
        <v>0</v>
      </c>
      <c r="O1389" s="2">
        <f t="shared" si="213"/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38</v>
      </c>
      <c r="V1389" s="2">
        <f t="shared" si="214"/>
        <v>1</v>
      </c>
      <c r="W1389">
        <v>26.4</v>
      </c>
      <c r="X1389" s="2">
        <f t="shared" si="215"/>
        <v>1</v>
      </c>
      <c r="Y1389">
        <v>181.9</v>
      </c>
      <c r="Z1389" s="2" t="str">
        <f>CHOOSE(MATCH(Y1389,{0;11;80;111;161;191;241;281;341},1),"North","NorthEast","East","SouthEast","South","SouthWest","West","NorthWest","North")</f>
        <v>South</v>
      </c>
      <c r="AA1389" s="4">
        <f>CHOOSE(MATCH(Z1389,{"South";"SouthEast";"SouthWest";"North";"NorthEast";"East";"West";"NorthWest"},0),1,2,3,4,5,6,7,8)</f>
        <v>1</v>
      </c>
      <c r="AB1389" s="2">
        <f t="shared" si="216"/>
        <v>0</v>
      </c>
      <c r="AC1389">
        <v>1009.6</v>
      </c>
      <c r="AD1389" t="s">
        <v>2035</v>
      </c>
      <c r="AE1389" s="2">
        <f t="shared" si="217"/>
        <v>1</v>
      </c>
      <c r="AF1389" t="s">
        <v>2036</v>
      </c>
      <c r="AG1389" s="2">
        <f t="shared" si="218"/>
        <v>4</v>
      </c>
      <c r="AH1389" s="2">
        <f t="shared" si="219"/>
        <v>0</v>
      </c>
      <c r="AI1389" s="3">
        <v>270</v>
      </c>
      <c r="AJ1389" s="2">
        <v>0</v>
      </c>
      <c r="AK1389">
        <v>0</v>
      </c>
      <c r="AL1389">
        <v>3</v>
      </c>
      <c r="AM1389">
        <v>0</v>
      </c>
      <c r="AN1389" s="2">
        <f>IF((2*G1389+M1389-O1389+3*V1389+2*AB1389+2*AE1389+2*AH1389+3*AJ1389)&gt;=7,1,0)</f>
        <v>0</v>
      </c>
    </row>
    <row r="1390" spans="1:40" x14ac:dyDescent="0.25">
      <c r="A1390" t="s">
        <v>27</v>
      </c>
      <c r="B1390" s="1">
        <v>41006</v>
      </c>
      <c r="C1390" s="6">
        <f t="shared" si="210"/>
        <v>2012</v>
      </c>
      <c r="D1390">
        <v>77</v>
      </c>
      <c r="E1390">
        <v>59</v>
      </c>
      <c r="F1390">
        <v>67</v>
      </c>
      <c r="G1390" s="2">
        <f t="shared" si="211"/>
        <v>0</v>
      </c>
      <c r="H1390">
        <v>77</v>
      </c>
      <c r="I1390">
        <v>59</v>
      </c>
      <c r="J1390">
        <v>67</v>
      </c>
      <c r="K1390">
        <v>50.4</v>
      </c>
      <c r="L1390">
        <v>56</v>
      </c>
      <c r="M1390" s="2">
        <f t="shared" si="212"/>
        <v>1</v>
      </c>
      <c r="N1390">
        <v>0</v>
      </c>
      <c r="O1390" s="2">
        <f t="shared" si="213"/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 s="2">
        <f t="shared" si="214"/>
        <v>0</v>
      </c>
      <c r="W1390">
        <v>11.4</v>
      </c>
      <c r="X1390" s="2">
        <f t="shared" si="215"/>
        <v>0</v>
      </c>
      <c r="Y1390">
        <v>144.4</v>
      </c>
      <c r="Z1390" s="2" t="str">
        <f>CHOOSE(MATCH(Y1390,{0;11;80;111;161;191;241;281;341},1),"North","NorthEast","East","SouthEast","South","SouthWest","West","NorthWest","North")</f>
        <v>SouthEast</v>
      </c>
      <c r="AA1390" s="4">
        <f>CHOOSE(MATCH(Z1390,{"South";"SouthEast";"SouthWest";"North";"NorthEast";"East";"West";"NorthWest"},0),1,2,3,4,5,6,7,8)</f>
        <v>2</v>
      </c>
      <c r="AB1390" s="2">
        <f t="shared" si="216"/>
        <v>0</v>
      </c>
      <c r="AC1390">
        <v>1008.3</v>
      </c>
      <c r="AD1390" t="s">
        <v>1947</v>
      </c>
      <c r="AE1390" s="2">
        <f t="shared" si="217"/>
        <v>1</v>
      </c>
      <c r="AF1390" t="s">
        <v>2037</v>
      </c>
      <c r="AG1390" s="2">
        <f t="shared" si="218"/>
        <v>4</v>
      </c>
      <c r="AH1390" s="2">
        <f t="shared" si="219"/>
        <v>0</v>
      </c>
      <c r="AI1390" s="3">
        <v>2904.9999999976721</v>
      </c>
      <c r="AJ1390" s="2">
        <v>1</v>
      </c>
      <c r="AK1390">
        <v>0</v>
      </c>
      <c r="AL1390">
        <v>60</v>
      </c>
      <c r="AM1390">
        <v>0</v>
      </c>
      <c r="AN1390" s="2">
        <f>IF((2*G1390+M1390-O1390+3*V1390+2*AB1390+2*AE1390+2*AH1390+3*AJ1390)&gt;=7,1,0)</f>
        <v>0</v>
      </c>
    </row>
    <row r="1391" spans="1:40" x14ac:dyDescent="0.25">
      <c r="A1391" t="s">
        <v>27</v>
      </c>
      <c r="B1391" s="1">
        <v>41007</v>
      </c>
      <c r="C1391" s="6">
        <f t="shared" si="210"/>
        <v>2012</v>
      </c>
      <c r="D1391">
        <v>75.2</v>
      </c>
      <c r="E1391">
        <v>59</v>
      </c>
      <c r="F1391">
        <v>68.400000000000006</v>
      </c>
      <c r="G1391" s="2">
        <f t="shared" si="211"/>
        <v>0</v>
      </c>
      <c r="H1391">
        <v>75.2</v>
      </c>
      <c r="I1391">
        <v>59</v>
      </c>
      <c r="J1391">
        <v>68.400000000000006</v>
      </c>
      <c r="K1391">
        <v>49.1</v>
      </c>
      <c r="L1391">
        <v>52.5</v>
      </c>
      <c r="M1391" s="2">
        <f t="shared" si="212"/>
        <v>1</v>
      </c>
      <c r="N1391">
        <v>0</v>
      </c>
      <c r="O1391" s="2">
        <f t="shared" si="213"/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 s="2">
        <f t="shared" si="214"/>
        <v>0</v>
      </c>
      <c r="W1391">
        <v>25.3</v>
      </c>
      <c r="X1391" s="2">
        <f t="shared" si="215"/>
        <v>1</v>
      </c>
      <c r="Y1391">
        <v>277.3</v>
      </c>
      <c r="Z1391" s="2" t="str">
        <f>CHOOSE(MATCH(Y1391,{0;11;80;111;161;191;241;281;341},1),"North","NorthEast","East","SouthEast","South","SouthWest","West","NorthWest","North")</f>
        <v>West</v>
      </c>
      <c r="AA1391" s="4">
        <f>CHOOSE(MATCH(Z1391,{"South";"SouthEast";"SouthWest";"North";"NorthEast";"East";"West";"NorthWest"},0),1,2,3,4,5,6,7,8)</f>
        <v>7</v>
      </c>
      <c r="AB1391" s="2">
        <f t="shared" si="216"/>
        <v>0</v>
      </c>
      <c r="AC1391">
        <v>1004.3</v>
      </c>
      <c r="AD1391" t="s">
        <v>1234</v>
      </c>
      <c r="AE1391" s="2">
        <f t="shared" si="217"/>
        <v>1</v>
      </c>
      <c r="AF1391" t="s">
        <v>2038</v>
      </c>
      <c r="AG1391" s="2">
        <f t="shared" si="218"/>
        <v>4</v>
      </c>
      <c r="AH1391" s="2">
        <f t="shared" si="219"/>
        <v>0</v>
      </c>
      <c r="AI1391" s="3">
        <v>180</v>
      </c>
      <c r="AJ1391" s="2">
        <v>0</v>
      </c>
      <c r="AK1391">
        <v>0</v>
      </c>
      <c r="AL1391">
        <v>0.5</v>
      </c>
      <c r="AM1391">
        <v>0</v>
      </c>
      <c r="AN1391" s="2">
        <f>IF((2*G1391+M1391-O1391+3*V1391+2*AB1391+2*AE1391+2*AH1391+3*AJ1391)&gt;=7,1,0)</f>
        <v>0</v>
      </c>
    </row>
    <row r="1392" spans="1:40" x14ac:dyDescent="0.25">
      <c r="A1392" t="s">
        <v>27</v>
      </c>
      <c r="B1392" s="1">
        <v>41007</v>
      </c>
      <c r="C1392" s="6">
        <f t="shared" si="210"/>
        <v>2012</v>
      </c>
      <c r="D1392">
        <v>75.2</v>
      </c>
      <c r="E1392">
        <v>59</v>
      </c>
      <c r="F1392">
        <v>68.400000000000006</v>
      </c>
      <c r="G1392" s="2">
        <f t="shared" si="211"/>
        <v>0</v>
      </c>
      <c r="H1392">
        <v>75.2</v>
      </c>
      <c r="I1392">
        <v>59</v>
      </c>
      <c r="J1392">
        <v>68.400000000000006</v>
      </c>
      <c r="K1392">
        <v>49.1</v>
      </c>
      <c r="L1392">
        <v>52.5</v>
      </c>
      <c r="M1392" s="2">
        <f t="shared" si="212"/>
        <v>1</v>
      </c>
      <c r="N1392">
        <v>0</v>
      </c>
      <c r="O1392" s="2">
        <f t="shared" si="213"/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 s="2">
        <f t="shared" si="214"/>
        <v>0</v>
      </c>
      <c r="W1392">
        <v>25.3</v>
      </c>
      <c r="X1392" s="2">
        <f t="shared" si="215"/>
        <v>1</v>
      </c>
      <c r="Y1392">
        <v>277.3</v>
      </c>
      <c r="Z1392" s="2" t="str">
        <f>CHOOSE(MATCH(Y1392,{0;11;80;111;161;191;241;281;341},1),"North","NorthEast","East","SouthEast","South","SouthWest","West","NorthWest","North")</f>
        <v>West</v>
      </c>
      <c r="AA1392" s="4">
        <f>CHOOSE(MATCH(Z1392,{"South";"SouthEast";"SouthWest";"North";"NorthEast";"East";"West";"NorthWest"},0),1,2,3,4,5,6,7,8)</f>
        <v>7</v>
      </c>
      <c r="AB1392" s="2">
        <f t="shared" si="216"/>
        <v>0</v>
      </c>
      <c r="AC1392">
        <v>1004.3</v>
      </c>
      <c r="AD1392" t="s">
        <v>1800</v>
      </c>
      <c r="AE1392" s="2">
        <f t="shared" si="217"/>
        <v>1</v>
      </c>
      <c r="AF1392" t="s">
        <v>2039</v>
      </c>
      <c r="AG1392" s="2">
        <f t="shared" si="218"/>
        <v>4</v>
      </c>
      <c r="AH1392" s="2">
        <f t="shared" si="219"/>
        <v>0</v>
      </c>
      <c r="AI1392" s="3">
        <v>130.00000000465661</v>
      </c>
      <c r="AJ1392" s="2">
        <v>0</v>
      </c>
      <c r="AK1392">
        <v>0</v>
      </c>
      <c r="AL1392">
        <v>0.5</v>
      </c>
      <c r="AM1392">
        <v>0</v>
      </c>
      <c r="AN1392" s="2">
        <f>IF((2*G1392+M1392-O1392+3*V1392+2*AB1392+2*AE1392+2*AH1392+3*AJ1392)&gt;=7,1,0)</f>
        <v>0</v>
      </c>
    </row>
    <row r="1393" spans="1:40" x14ac:dyDescent="0.25">
      <c r="A1393" t="s">
        <v>27</v>
      </c>
      <c r="B1393" s="1">
        <v>41012</v>
      </c>
      <c r="C1393" s="6">
        <f t="shared" si="210"/>
        <v>2012</v>
      </c>
      <c r="D1393">
        <v>71.599999999999994</v>
      </c>
      <c r="E1393">
        <v>59</v>
      </c>
      <c r="F1393">
        <v>66.099999999999994</v>
      </c>
      <c r="G1393" s="2">
        <f t="shared" si="211"/>
        <v>0</v>
      </c>
      <c r="H1393">
        <v>71.599999999999994</v>
      </c>
      <c r="I1393">
        <v>59</v>
      </c>
      <c r="J1393">
        <v>66.099999999999994</v>
      </c>
      <c r="K1393">
        <v>51.4</v>
      </c>
      <c r="L1393">
        <v>61.7</v>
      </c>
      <c r="M1393" s="2">
        <f t="shared" si="212"/>
        <v>1</v>
      </c>
      <c r="N1393">
        <v>0</v>
      </c>
      <c r="O1393" s="2">
        <f t="shared" si="213"/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32.200000000000003</v>
      </c>
      <c r="V1393" s="2">
        <f t="shared" si="214"/>
        <v>1</v>
      </c>
      <c r="W1393">
        <v>23</v>
      </c>
      <c r="X1393" s="2">
        <f t="shared" si="215"/>
        <v>1</v>
      </c>
      <c r="Y1393">
        <v>170.4</v>
      </c>
      <c r="Z1393" s="2" t="str">
        <f>CHOOSE(MATCH(Y1393,{0;11;80;111;161;191;241;281;341},1),"North","NorthEast","East","SouthEast","South","SouthWest","West","NorthWest","North")</f>
        <v>South</v>
      </c>
      <c r="AA1393" s="4">
        <f>CHOOSE(MATCH(Z1393,{"South";"SouthEast";"SouthWest";"North";"NorthEast";"East";"West";"NorthWest"},0),1,2,3,4,5,6,7,8)</f>
        <v>1</v>
      </c>
      <c r="AB1393" s="2">
        <f t="shared" si="216"/>
        <v>0</v>
      </c>
      <c r="AC1393">
        <v>1005.4</v>
      </c>
      <c r="AD1393" t="s">
        <v>1766</v>
      </c>
      <c r="AE1393" s="2">
        <f t="shared" si="217"/>
        <v>0</v>
      </c>
      <c r="AF1393" t="s">
        <v>2040</v>
      </c>
      <c r="AG1393" s="2">
        <f t="shared" si="218"/>
        <v>4</v>
      </c>
      <c r="AH1393" s="2">
        <f t="shared" si="219"/>
        <v>0</v>
      </c>
      <c r="AI1393" s="3">
        <v>50.999999998603023</v>
      </c>
      <c r="AJ1393" s="2">
        <v>0</v>
      </c>
      <c r="AK1393">
        <v>0</v>
      </c>
      <c r="AL1393">
        <v>1</v>
      </c>
      <c r="AM1393">
        <v>0</v>
      </c>
      <c r="AN1393" s="2">
        <f>IF((2*G1393+M1393-O1393+3*V1393+2*AB1393+2*AE1393+2*AH1393+3*AJ1393)&gt;=7,1,0)</f>
        <v>0</v>
      </c>
    </row>
    <row r="1394" spans="1:40" x14ac:dyDescent="0.25">
      <c r="A1394" t="s">
        <v>27</v>
      </c>
      <c r="B1394" s="1">
        <v>41017</v>
      </c>
      <c r="C1394" s="6">
        <f t="shared" si="210"/>
        <v>2012</v>
      </c>
      <c r="D1394">
        <v>78.8</v>
      </c>
      <c r="E1394">
        <v>60.7</v>
      </c>
      <c r="F1394">
        <v>66.400000000000006</v>
      </c>
      <c r="G1394" s="2">
        <f t="shared" si="211"/>
        <v>0</v>
      </c>
      <c r="H1394">
        <v>78.8</v>
      </c>
      <c r="I1394">
        <v>60.7</v>
      </c>
      <c r="J1394">
        <v>66.400000000000006</v>
      </c>
      <c r="K1394">
        <v>45.3</v>
      </c>
      <c r="L1394">
        <v>48.8</v>
      </c>
      <c r="M1394" s="2">
        <f t="shared" si="212"/>
        <v>1</v>
      </c>
      <c r="N1394">
        <v>0</v>
      </c>
      <c r="O1394" s="2">
        <f t="shared" si="213"/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61.1</v>
      </c>
      <c r="V1394" s="2">
        <f t="shared" si="214"/>
        <v>1</v>
      </c>
      <c r="W1394">
        <v>42.5</v>
      </c>
      <c r="X1394" s="2">
        <f t="shared" si="215"/>
        <v>1</v>
      </c>
      <c r="Y1394">
        <v>231.1</v>
      </c>
      <c r="Z1394" s="2" t="str">
        <f>CHOOSE(MATCH(Y1394,{0;11;80;111;161;191;241;281;341},1),"North","NorthEast","East","SouthEast","South","SouthWest","West","NorthWest","North")</f>
        <v>SouthWest</v>
      </c>
      <c r="AA1394" s="4">
        <f>CHOOSE(MATCH(Z1394,{"South";"SouthEast";"SouthWest";"North";"NorthEast";"East";"West";"NorthWest"},0),1,2,3,4,5,6,7,8)</f>
        <v>3</v>
      </c>
      <c r="AB1394" s="2">
        <f t="shared" si="216"/>
        <v>0</v>
      </c>
      <c r="AC1394">
        <v>997.3</v>
      </c>
      <c r="AD1394" t="s">
        <v>2041</v>
      </c>
      <c r="AE1394" s="2">
        <f t="shared" si="217"/>
        <v>0</v>
      </c>
      <c r="AF1394" t="s">
        <v>2042</v>
      </c>
      <c r="AG1394" s="2">
        <f t="shared" si="218"/>
        <v>4</v>
      </c>
      <c r="AH1394" s="2">
        <f t="shared" si="219"/>
        <v>0</v>
      </c>
      <c r="AI1394" s="3">
        <v>115.0000000081491</v>
      </c>
      <c r="AJ1394" s="2">
        <v>0</v>
      </c>
      <c r="AK1394">
        <v>0</v>
      </c>
      <c r="AL1394">
        <v>1.5</v>
      </c>
      <c r="AM1394">
        <v>0</v>
      </c>
      <c r="AN1394" s="2">
        <f>IF((2*G1394+M1394-O1394+3*V1394+2*AB1394+2*AE1394+2*AH1394+3*AJ1394)&gt;=7,1,0)</f>
        <v>0</v>
      </c>
    </row>
    <row r="1395" spans="1:40" x14ac:dyDescent="0.25">
      <c r="A1395" t="s">
        <v>27</v>
      </c>
      <c r="B1395" s="1">
        <v>41017</v>
      </c>
      <c r="C1395" s="6">
        <f t="shared" si="210"/>
        <v>2012</v>
      </c>
      <c r="D1395">
        <v>78.8</v>
      </c>
      <c r="E1395">
        <v>60.7</v>
      </c>
      <c r="F1395">
        <v>66.400000000000006</v>
      </c>
      <c r="G1395" s="2">
        <f t="shared" si="211"/>
        <v>0</v>
      </c>
      <c r="H1395">
        <v>78.8</v>
      </c>
      <c r="I1395">
        <v>60.7</v>
      </c>
      <c r="J1395">
        <v>66.400000000000006</v>
      </c>
      <c r="K1395">
        <v>45.3</v>
      </c>
      <c r="L1395">
        <v>48.8</v>
      </c>
      <c r="M1395" s="2">
        <f t="shared" si="212"/>
        <v>1</v>
      </c>
      <c r="N1395">
        <v>0</v>
      </c>
      <c r="O1395" s="2">
        <f t="shared" si="213"/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61.1</v>
      </c>
      <c r="V1395" s="2">
        <f t="shared" si="214"/>
        <v>1</v>
      </c>
      <c r="W1395">
        <v>42.5</v>
      </c>
      <c r="X1395" s="2">
        <f t="shared" si="215"/>
        <v>1</v>
      </c>
      <c r="Y1395">
        <v>231.1</v>
      </c>
      <c r="Z1395" s="2" t="str">
        <f>CHOOSE(MATCH(Y1395,{0;11;80;111;161;191;241;281;341},1),"North","NorthEast","East","SouthEast","South","SouthWest","West","NorthWest","North")</f>
        <v>SouthWest</v>
      </c>
      <c r="AA1395" s="4">
        <f>CHOOSE(MATCH(Z1395,{"South";"SouthEast";"SouthWest";"North";"NorthEast";"East";"West";"NorthWest"},0),1,2,3,4,5,6,7,8)</f>
        <v>3</v>
      </c>
      <c r="AB1395" s="2">
        <f t="shared" si="216"/>
        <v>0</v>
      </c>
      <c r="AC1395">
        <v>997.3</v>
      </c>
      <c r="AD1395" t="s">
        <v>2043</v>
      </c>
      <c r="AE1395" s="2">
        <f t="shared" si="217"/>
        <v>1</v>
      </c>
      <c r="AF1395" t="s">
        <v>2044</v>
      </c>
      <c r="AG1395" s="2">
        <f t="shared" si="218"/>
        <v>4</v>
      </c>
      <c r="AH1395" s="2">
        <f t="shared" si="219"/>
        <v>0</v>
      </c>
      <c r="AI1395" s="3">
        <v>170.9999999916181</v>
      </c>
      <c r="AJ1395" s="2">
        <v>0</v>
      </c>
      <c r="AK1395">
        <v>0</v>
      </c>
      <c r="AL1395">
        <v>0.5</v>
      </c>
      <c r="AM1395">
        <v>0</v>
      </c>
      <c r="AN1395" s="2">
        <f>IF((2*G1395+M1395-O1395+3*V1395+2*AB1395+2*AE1395+2*AH1395+3*AJ1395)&gt;=7,1,0)</f>
        <v>0</v>
      </c>
    </row>
    <row r="1396" spans="1:40" x14ac:dyDescent="0.25">
      <c r="A1396" t="s">
        <v>27</v>
      </c>
      <c r="B1396" s="1">
        <v>41020</v>
      </c>
      <c r="C1396" s="6">
        <f t="shared" si="210"/>
        <v>2012</v>
      </c>
      <c r="D1396">
        <v>71.599999999999994</v>
      </c>
      <c r="E1396">
        <v>57.2</v>
      </c>
      <c r="F1396">
        <v>65.099999999999994</v>
      </c>
      <c r="G1396" s="2">
        <f t="shared" si="211"/>
        <v>0</v>
      </c>
      <c r="H1396">
        <v>71.599999999999994</v>
      </c>
      <c r="I1396">
        <v>57.2</v>
      </c>
      <c r="J1396">
        <v>65.099999999999994</v>
      </c>
      <c r="K1396">
        <v>50.8</v>
      </c>
      <c r="L1396">
        <v>60.9</v>
      </c>
      <c r="M1396" s="2">
        <f t="shared" si="212"/>
        <v>1</v>
      </c>
      <c r="N1396">
        <v>0</v>
      </c>
      <c r="O1396" s="2">
        <f t="shared" si="213"/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 s="2">
        <f t="shared" si="214"/>
        <v>0</v>
      </c>
      <c r="W1396">
        <v>23</v>
      </c>
      <c r="X1396" s="2">
        <f t="shared" si="215"/>
        <v>1</v>
      </c>
      <c r="Y1396">
        <v>296.60000000000002</v>
      </c>
      <c r="Z1396" s="2" t="str">
        <f>CHOOSE(MATCH(Y1396,{0;11;80;111;161;191;241;281;341},1),"North","NorthEast","East","SouthEast","South","SouthWest","West","NorthWest","North")</f>
        <v>NorthWest</v>
      </c>
      <c r="AA1396" s="4">
        <f>CHOOSE(MATCH(Z1396,{"South";"SouthEast";"SouthWest";"North";"NorthEast";"East";"West";"NorthWest"},0),1,2,3,4,5,6,7,8)</f>
        <v>8</v>
      </c>
      <c r="AB1396" s="2">
        <f t="shared" si="216"/>
        <v>1</v>
      </c>
      <c r="AC1396">
        <v>1011.7</v>
      </c>
      <c r="AD1396" t="s">
        <v>1171</v>
      </c>
      <c r="AE1396" s="2">
        <f t="shared" si="217"/>
        <v>0</v>
      </c>
      <c r="AF1396" t="s">
        <v>2045</v>
      </c>
      <c r="AG1396" s="2">
        <f t="shared" si="218"/>
        <v>4</v>
      </c>
      <c r="AH1396" s="2">
        <f t="shared" si="219"/>
        <v>0</v>
      </c>
      <c r="AI1396" s="3">
        <v>700.00000000814907</v>
      </c>
      <c r="AJ1396" s="2">
        <v>1</v>
      </c>
      <c r="AK1396">
        <v>0</v>
      </c>
      <c r="AL1396">
        <v>3</v>
      </c>
      <c r="AM1396">
        <v>0</v>
      </c>
      <c r="AN1396" s="2">
        <f>IF((2*G1396+M1396-O1396+3*V1396+2*AB1396+2*AE1396+2*AH1396+3*AJ1396)&gt;=7,1,0)</f>
        <v>0</v>
      </c>
    </row>
    <row r="1397" spans="1:40" x14ac:dyDescent="0.25">
      <c r="A1397" t="s">
        <v>27</v>
      </c>
      <c r="B1397" s="1">
        <v>41020</v>
      </c>
      <c r="C1397" s="6">
        <f t="shared" si="210"/>
        <v>2012</v>
      </c>
      <c r="D1397">
        <v>71.599999999999994</v>
      </c>
      <c r="E1397">
        <v>57.2</v>
      </c>
      <c r="F1397">
        <v>65.099999999999994</v>
      </c>
      <c r="G1397" s="2">
        <f t="shared" si="211"/>
        <v>0</v>
      </c>
      <c r="H1397">
        <v>71.599999999999994</v>
      </c>
      <c r="I1397">
        <v>57.2</v>
      </c>
      <c r="J1397">
        <v>65.099999999999994</v>
      </c>
      <c r="K1397">
        <v>50.8</v>
      </c>
      <c r="L1397">
        <v>60.9</v>
      </c>
      <c r="M1397" s="2">
        <f t="shared" si="212"/>
        <v>1</v>
      </c>
      <c r="N1397">
        <v>0</v>
      </c>
      <c r="O1397" s="2">
        <f t="shared" si="213"/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 s="2">
        <f t="shared" si="214"/>
        <v>0</v>
      </c>
      <c r="W1397">
        <v>23</v>
      </c>
      <c r="X1397" s="2">
        <f t="shared" si="215"/>
        <v>1</v>
      </c>
      <c r="Y1397">
        <v>296.60000000000002</v>
      </c>
      <c r="Z1397" s="2" t="str">
        <f>CHOOSE(MATCH(Y1397,{0;11;80;111;161;191;241;281;341},1),"North","NorthEast","East","SouthEast","South","SouthWest","West","NorthWest","North")</f>
        <v>NorthWest</v>
      </c>
      <c r="AA1397" s="4">
        <f>CHOOSE(MATCH(Z1397,{"South";"SouthEast";"SouthWest";"North";"NorthEast";"East";"West";"NorthWest"},0),1,2,3,4,5,6,7,8)</f>
        <v>8</v>
      </c>
      <c r="AB1397" s="2">
        <f t="shared" si="216"/>
        <v>1</v>
      </c>
      <c r="AC1397">
        <v>1011.7</v>
      </c>
      <c r="AD1397" t="s">
        <v>1079</v>
      </c>
      <c r="AE1397" s="2">
        <f t="shared" si="217"/>
        <v>1</v>
      </c>
      <c r="AF1397" t="s">
        <v>2046</v>
      </c>
      <c r="AG1397" s="2">
        <f t="shared" si="218"/>
        <v>4</v>
      </c>
      <c r="AH1397" s="2">
        <f t="shared" si="219"/>
        <v>0</v>
      </c>
      <c r="AI1397" s="3">
        <v>1165.0000000046571</v>
      </c>
      <c r="AJ1397" s="2">
        <v>1</v>
      </c>
      <c r="AK1397">
        <v>0</v>
      </c>
      <c r="AL1397">
        <v>15</v>
      </c>
      <c r="AM1397">
        <v>0</v>
      </c>
      <c r="AN1397" s="2">
        <f>IF((2*G1397+M1397-O1397+3*V1397+2*AB1397+2*AE1397+2*AH1397+3*AJ1397)&gt;=7,1,0)</f>
        <v>1</v>
      </c>
    </row>
    <row r="1398" spans="1:40" x14ac:dyDescent="0.25">
      <c r="A1398" t="s">
        <v>27</v>
      </c>
      <c r="B1398" s="1">
        <v>41022</v>
      </c>
      <c r="C1398" s="6">
        <f t="shared" si="210"/>
        <v>2012</v>
      </c>
      <c r="D1398">
        <v>69.8</v>
      </c>
      <c r="E1398">
        <v>51.8</v>
      </c>
      <c r="F1398">
        <v>60.8</v>
      </c>
      <c r="G1398" s="2">
        <f t="shared" si="211"/>
        <v>0</v>
      </c>
      <c r="H1398">
        <v>69.8</v>
      </c>
      <c r="I1398">
        <v>51.8</v>
      </c>
      <c r="J1398">
        <v>60.8</v>
      </c>
      <c r="K1398">
        <v>49.6</v>
      </c>
      <c r="L1398">
        <v>68.099999999999994</v>
      </c>
      <c r="M1398" s="2">
        <f t="shared" si="212"/>
        <v>0</v>
      </c>
      <c r="N1398">
        <v>0</v>
      </c>
      <c r="O1398" s="2">
        <f t="shared" si="213"/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 s="2">
        <f t="shared" si="214"/>
        <v>0</v>
      </c>
      <c r="W1398">
        <v>9.1999999999999993</v>
      </c>
      <c r="X1398" s="2">
        <f t="shared" si="215"/>
        <v>0</v>
      </c>
      <c r="Y1398">
        <v>146.9</v>
      </c>
      <c r="Z1398" s="2" t="str">
        <f>CHOOSE(MATCH(Y1398,{0;11;80;111;161;191;241;281;341},1),"North","NorthEast","East","SouthEast","South","SouthWest","West","NorthWest","North")</f>
        <v>SouthEast</v>
      </c>
      <c r="AA1398" s="4">
        <f>CHOOSE(MATCH(Z1398,{"South";"SouthEast";"SouthWest";"North";"NorthEast";"East";"West";"NorthWest"},0),1,2,3,4,5,6,7,8)</f>
        <v>2</v>
      </c>
      <c r="AB1398" s="2">
        <f t="shared" si="216"/>
        <v>0</v>
      </c>
      <c r="AC1398">
        <v>1015.8</v>
      </c>
      <c r="AD1398" t="s">
        <v>2047</v>
      </c>
      <c r="AE1398" s="2">
        <f t="shared" si="217"/>
        <v>1</v>
      </c>
      <c r="AF1398" t="s">
        <v>2048</v>
      </c>
      <c r="AG1398" s="2">
        <f t="shared" si="218"/>
        <v>4</v>
      </c>
      <c r="AH1398" s="2">
        <f t="shared" si="219"/>
        <v>0</v>
      </c>
      <c r="AI1398" s="3">
        <v>185.99999999860299</v>
      </c>
      <c r="AJ1398" s="2">
        <v>0</v>
      </c>
      <c r="AK1398">
        <v>0</v>
      </c>
      <c r="AL1398">
        <v>3</v>
      </c>
      <c r="AM1398">
        <v>0</v>
      </c>
      <c r="AN1398" s="2">
        <f>IF((2*G1398+M1398-O1398+3*V1398+2*AB1398+2*AE1398+2*AH1398+3*AJ1398)&gt;=7,1,0)</f>
        <v>0</v>
      </c>
    </row>
    <row r="1399" spans="1:40" x14ac:dyDescent="0.25">
      <c r="A1399" t="s">
        <v>27</v>
      </c>
      <c r="B1399" s="1">
        <v>41024</v>
      </c>
      <c r="C1399" s="6">
        <f t="shared" si="210"/>
        <v>2012</v>
      </c>
      <c r="D1399">
        <v>86</v>
      </c>
      <c r="E1399">
        <v>59.6</v>
      </c>
      <c r="F1399">
        <v>69.8</v>
      </c>
      <c r="G1399" s="2">
        <f t="shared" si="211"/>
        <v>0</v>
      </c>
      <c r="H1399">
        <v>83.6</v>
      </c>
      <c r="I1399">
        <v>59.6</v>
      </c>
      <c r="J1399">
        <v>69.7</v>
      </c>
      <c r="K1399">
        <v>53.8</v>
      </c>
      <c r="L1399">
        <v>59.3</v>
      </c>
      <c r="M1399" s="2">
        <f t="shared" si="212"/>
        <v>1</v>
      </c>
      <c r="N1399">
        <v>0</v>
      </c>
      <c r="O1399" s="2">
        <f t="shared" si="213"/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 s="2">
        <f t="shared" si="214"/>
        <v>0</v>
      </c>
      <c r="W1399">
        <v>19.5</v>
      </c>
      <c r="X1399" s="2">
        <f t="shared" si="215"/>
        <v>1</v>
      </c>
      <c r="Y1399">
        <v>219.6</v>
      </c>
      <c r="Z1399" s="2" t="str">
        <f>CHOOSE(MATCH(Y1399,{0;11;80;111;161;191;241;281;341},1),"North","NorthEast","East","SouthEast","South","SouthWest","West","NorthWest","North")</f>
        <v>SouthWest</v>
      </c>
      <c r="AA1399" s="4">
        <f>CHOOSE(MATCH(Z1399,{"South";"SouthEast";"SouthWest";"North";"NorthEast";"East";"West";"NorthWest"},0),1,2,3,4,5,6,7,8)</f>
        <v>3</v>
      </c>
      <c r="AB1399" s="2">
        <f t="shared" si="216"/>
        <v>0</v>
      </c>
      <c r="AC1399">
        <v>1013.3</v>
      </c>
      <c r="AD1399" t="s">
        <v>1071</v>
      </c>
      <c r="AE1399" s="2">
        <f t="shared" si="217"/>
        <v>0</v>
      </c>
      <c r="AF1399" t="s">
        <v>2049</v>
      </c>
      <c r="AG1399" s="2">
        <f t="shared" si="218"/>
        <v>4</v>
      </c>
      <c r="AH1399" s="2">
        <f t="shared" si="219"/>
        <v>0</v>
      </c>
      <c r="AI1399" s="3">
        <v>130.00000000465661</v>
      </c>
      <c r="AJ1399" s="2">
        <v>0</v>
      </c>
      <c r="AK1399">
        <v>0</v>
      </c>
      <c r="AL1399">
        <v>0.2</v>
      </c>
      <c r="AM1399">
        <v>0</v>
      </c>
      <c r="AN1399" s="2">
        <f>IF((2*G1399+M1399-O1399+3*V1399+2*AB1399+2*AE1399+2*AH1399+3*AJ1399)&gt;=7,1,0)</f>
        <v>0</v>
      </c>
    </row>
    <row r="1400" spans="1:40" x14ac:dyDescent="0.25">
      <c r="A1400" t="s">
        <v>27</v>
      </c>
      <c r="B1400" s="1">
        <v>41026</v>
      </c>
      <c r="C1400" s="6">
        <f t="shared" si="210"/>
        <v>2012</v>
      </c>
      <c r="D1400">
        <v>71.599999999999994</v>
      </c>
      <c r="E1400">
        <v>52.8</v>
      </c>
      <c r="F1400">
        <v>62.1</v>
      </c>
      <c r="G1400" s="2">
        <f t="shared" si="211"/>
        <v>0</v>
      </c>
      <c r="H1400">
        <v>71.599999999999994</v>
      </c>
      <c r="I1400">
        <v>52.8</v>
      </c>
      <c r="J1400">
        <v>62.1</v>
      </c>
      <c r="K1400">
        <v>52.5</v>
      </c>
      <c r="L1400">
        <v>71.7</v>
      </c>
      <c r="M1400" s="2">
        <f t="shared" si="212"/>
        <v>0</v>
      </c>
      <c r="N1400">
        <v>0</v>
      </c>
      <c r="O1400" s="2">
        <f t="shared" si="213"/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 s="2">
        <f t="shared" si="214"/>
        <v>0</v>
      </c>
      <c r="W1400">
        <v>9.1999999999999993</v>
      </c>
      <c r="X1400" s="2">
        <f t="shared" si="215"/>
        <v>0</v>
      </c>
      <c r="Y1400">
        <v>292.39999999999998</v>
      </c>
      <c r="Z1400" s="2" t="str">
        <f>CHOOSE(MATCH(Y1400,{0;11;80;111;161;191;241;281;341},1),"North","NorthEast","East","SouthEast","South","SouthWest","West","NorthWest","North")</f>
        <v>NorthWest</v>
      </c>
      <c r="AA1400" s="4">
        <f>CHOOSE(MATCH(Z1400,{"South";"SouthEast";"SouthWest";"North";"NorthEast";"East";"West";"NorthWest"},0),1,2,3,4,5,6,7,8)</f>
        <v>8</v>
      </c>
      <c r="AB1400" s="2">
        <f t="shared" si="216"/>
        <v>1</v>
      </c>
      <c r="AC1400">
        <v>1015.1</v>
      </c>
      <c r="AD1400" t="s">
        <v>2050</v>
      </c>
      <c r="AE1400" s="2">
        <f t="shared" si="217"/>
        <v>1</v>
      </c>
      <c r="AF1400" t="s">
        <v>2051</v>
      </c>
      <c r="AG1400" s="2">
        <f t="shared" si="218"/>
        <v>4</v>
      </c>
      <c r="AH1400" s="2">
        <f t="shared" si="219"/>
        <v>0</v>
      </c>
      <c r="AI1400" s="3">
        <v>83.999999990919605</v>
      </c>
      <c r="AJ1400" s="2">
        <v>0</v>
      </c>
      <c r="AK1400">
        <v>0</v>
      </c>
      <c r="AL1400">
        <v>0.5</v>
      </c>
      <c r="AM1400">
        <v>0</v>
      </c>
      <c r="AN1400" s="2">
        <f>IF((2*G1400+M1400-O1400+3*V1400+2*AB1400+2*AE1400+2*AH1400+3*AJ1400)&gt;=7,1,0)</f>
        <v>0</v>
      </c>
    </row>
    <row r="1401" spans="1:40" x14ac:dyDescent="0.25">
      <c r="A1401" t="s">
        <v>27</v>
      </c>
      <c r="B1401" s="1">
        <v>41028</v>
      </c>
      <c r="C1401" s="6">
        <f t="shared" si="210"/>
        <v>2012</v>
      </c>
      <c r="D1401">
        <v>69.8</v>
      </c>
      <c r="E1401">
        <v>53.6</v>
      </c>
      <c r="F1401">
        <v>62.2</v>
      </c>
      <c r="G1401" s="2">
        <f t="shared" si="211"/>
        <v>0</v>
      </c>
      <c r="H1401">
        <v>69.8</v>
      </c>
      <c r="I1401">
        <v>53.6</v>
      </c>
      <c r="J1401">
        <v>62.2</v>
      </c>
      <c r="K1401">
        <v>55.8</v>
      </c>
      <c r="L1401">
        <v>79.7</v>
      </c>
      <c r="M1401" s="2">
        <f t="shared" si="212"/>
        <v>0</v>
      </c>
      <c r="N1401">
        <v>0</v>
      </c>
      <c r="O1401" s="2">
        <f t="shared" si="213"/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 s="2">
        <f t="shared" si="214"/>
        <v>0</v>
      </c>
      <c r="W1401">
        <v>10.3</v>
      </c>
      <c r="X1401" s="2">
        <f t="shared" si="215"/>
        <v>0</v>
      </c>
      <c r="Y1401">
        <v>311.89999999999998</v>
      </c>
      <c r="Z1401" s="2" t="str">
        <f>CHOOSE(MATCH(Y1401,{0;11;80;111;161;191;241;281;341},1),"North","NorthEast","East","SouthEast","South","SouthWest","West","NorthWest","North")</f>
        <v>NorthWest</v>
      </c>
      <c r="AA1401" s="4">
        <f>CHOOSE(MATCH(Z1401,{"South";"SouthEast";"SouthWest";"North";"NorthEast";"East";"West";"NorthWest"},0),1,2,3,4,5,6,7,8)</f>
        <v>8</v>
      </c>
      <c r="AB1401" s="2">
        <f t="shared" si="216"/>
        <v>1</v>
      </c>
      <c r="AC1401">
        <v>1014.5</v>
      </c>
      <c r="AD1401" t="s">
        <v>2052</v>
      </c>
      <c r="AE1401" s="2">
        <f t="shared" si="217"/>
        <v>0</v>
      </c>
      <c r="AF1401" t="s">
        <v>2053</v>
      </c>
      <c r="AG1401" s="2">
        <f t="shared" si="218"/>
        <v>4</v>
      </c>
      <c r="AH1401" s="2">
        <f t="shared" si="219"/>
        <v>0</v>
      </c>
      <c r="AI1401" s="3">
        <v>40.999999997438863</v>
      </c>
      <c r="AJ1401" s="2">
        <v>0</v>
      </c>
      <c r="AK1401">
        <v>0</v>
      </c>
      <c r="AL1401">
        <v>0.1</v>
      </c>
      <c r="AM1401">
        <v>0</v>
      </c>
      <c r="AN1401" s="2">
        <f>IF((2*G1401+M1401-O1401+3*V1401+2*AB1401+2*AE1401+2*AH1401+3*AJ1401)&gt;=7,1,0)</f>
        <v>0</v>
      </c>
    </row>
    <row r="1402" spans="1:40" x14ac:dyDescent="0.25">
      <c r="A1402" t="s">
        <v>27</v>
      </c>
      <c r="B1402" s="1">
        <v>41029</v>
      </c>
      <c r="C1402" s="6">
        <f t="shared" si="210"/>
        <v>2012</v>
      </c>
      <c r="D1402">
        <v>71.599999999999994</v>
      </c>
      <c r="E1402">
        <v>55.4</v>
      </c>
      <c r="F1402">
        <v>64.599999999999994</v>
      </c>
      <c r="G1402" s="2">
        <f t="shared" si="211"/>
        <v>0</v>
      </c>
      <c r="H1402">
        <v>71.599999999999994</v>
      </c>
      <c r="I1402">
        <v>55.4</v>
      </c>
      <c r="J1402">
        <v>64.599999999999994</v>
      </c>
      <c r="K1402">
        <v>55.9</v>
      </c>
      <c r="L1402">
        <v>73.8</v>
      </c>
      <c r="M1402" s="2">
        <f t="shared" si="212"/>
        <v>0</v>
      </c>
      <c r="N1402">
        <v>0</v>
      </c>
      <c r="O1402" s="2">
        <f t="shared" si="213"/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 s="2">
        <f t="shared" si="214"/>
        <v>0</v>
      </c>
      <c r="W1402">
        <v>18.3</v>
      </c>
      <c r="X1402" s="2">
        <f t="shared" si="215"/>
        <v>1</v>
      </c>
      <c r="Y1402">
        <v>284.8</v>
      </c>
      <c r="Z1402" s="2" t="str">
        <f>CHOOSE(MATCH(Y1402,{0;11;80;111;161;191;241;281;341},1),"North","NorthEast","East","SouthEast","South","SouthWest","West","NorthWest","North")</f>
        <v>NorthWest</v>
      </c>
      <c r="AA1402" s="4">
        <f>CHOOSE(MATCH(Z1402,{"South";"SouthEast";"SouthWest";"North";"NorthEast";"East";"West";"NorthWest"},0),1,2,3,4,5,6,7,8)</f>
        <v>8</v>
      </c>
      <c r="AB1402" s="2">
        <f t="shared" si="216"/>
        <v>1</v>
      </c>
      <c r="AC1402">
        <v>1012.5</v>
      </c>
      <c r="AD1402" t="s">
        <v>1165</v>
      </c>
      <c r="AE1402" s="2">
        <f t="shared" si="217"/>
        <v>0</v>
      </c>
      <c r="AF1402" t="s">
        <v>2054</v>
      </c>
      <c r="AG1402" s="2">
        <f t="shared" si="218"/>
        <v>4</v>
      </c>
      <c r="AH1402" s="2">
        <f t="shared" si="219"/>
        <v>0</v>
      </c>
      <c r="AI1402" s="3">
        <v>149.99999999650751</v>
      </c>
      <c r="AJ1402" s="2">
        <v>0</v>
      </c>
      <c r="AK1402">
        <v>0</v>
      </c>
      <c r="AL1402">
        <v>0.1</v>
      </c>
      <c r="AM1402">
        <v>0</v>
      </c>
      <c r="AN1402" s="2">
        <f>IF((2*G1402+M1402-O1402+3*V1402+2*AB1402+2*AE1402+2*AH1402+3*AJ1402)&gt;=7,1,0)</f>
        <v>0</v>
      </c>
    </row>
    <row r="1403" spans="1:40" x14ac:dyDescent="0.25">
      <c r="A1403" t="s">
        <v>27</v>
      </c>
      <c r="B1403" s="1">
        <v>41029</v>
      </c>
      <c r="C1403" s="6">
        <f t="shared" si="210"/>
        <v>2012</v>
      </c>
      <c r="D1403">
        <v>71.599999999999994</v>
      </c>
      <c r="E1403">
        <v>55.4</v>
      </c>
      <c r="F1403">
        <v>64.599999999999994</v>
      </c>
      <c r="G1403" s="2">
        <f t="shared" si="211"/>
        <v>0</v>
      </c>
      <c r="H1403">
        <v>71.599999999999994</v>
      </c>
      <c r="I1403">
        <v>55.4</v>
      </c>
      <c r="J1403">
        <v>64.599999999999994</v>
      </c>
      <c r="K1403">
        <v>55.9</v>
      </c>
      <c r="L1403">
        <v>73.8</v>
      </c>
      <c r="M1403" s="2">
        <f t="shared" si="212"/>
        <v>0</v>
      </c>
      <c r="N1403">
        <v>0</v>
      </c>
      <c r="O1403" s="2">
        <f t="shared" si="213"/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 s="2">
        <f t="shared" si="214"/>
        <v>0</v>
      </c>
      <c r="W1403">
        <v>18.3</v>
      </c>
      <c r="X1403" s="2">
        <f t="shared" si="215"/>
        <v>1</v>
      </c>
      <c r="Y1403">
        <v>284.8</v>
      </c>
      <c r="Z1403" s="2" t="str">
        <f>CHOOSE(MATCH(Y1403,{0;11;80;111;161;191;241;281;341},1),"North","NorthEast","East","SouthEast","South","SouthWest","West","NorthWest","North")</f>
        <v>NorthWest</v>
      </c>
      <c r="AA1403" s="4">
        <f>CHOOSE(MATCH(Z1403,{"South";"SouthEast";"SouthWest";"North";"NorthEast";"East";"West";"NorthWest"},0),1,2,3,4,5,6,7,8)</f>
        <v>8</v>
      </c>
      <c r="AB1403" s="2">
        <f t="shared" si="216"/>
        <v>1</v>
      </c>
      <c r="AC1403">
        <v>1012.5</v>
      </c>
      <c r="AD1403" t="s">
        <v>1075</v>
      </c>
      <c r="AE1403" s="2">
        <f t="shared" si="217"/>
        <v>1</v>
      </c>
      <c r="AF1403" t="s">
        <v>2055</v>
      </c>
      <c r="AG1403" s="2">
        <f t="shared" si="218"/>
        <v>4</v>
      </c>
      <c r="AH1403" s="2">
        <f t="shared" si="219"/>
        <v>0</v>
      </c>
      <c r="AI1403" s="3">
        <v>340.00000000814907</v>
      </c>
      <c r="AJ1403" s="2">
        <v>0</v>
      </c>
      <c r="AK1403">
        <v>0</v>
      </c>
      <c r="AL1403">
        <v>2</v>
      </c>
      <c r="AM1403">
        <v>0</v>
      </c>
      <c r="AN1403" s="2">
        <f>IF((2*G1403+M1403-O1403+3*V1403+2*AB1403+2*AE1403+2*AH1403+3*AJ1403)&gt;=7,1,0)</f>
        <v>0</v>
      </c>
    </row>
    <row r="1404" spans="1:40" x14ac:dyDescent="0.25">
      <c r="A1404" t="s">
        <v>27</v>
      </c>
      <c r="B1404" s="1">
        <v>41031</v>
      </c>
      <c r="C1404" s="6">
        <f t="shared" si="210"/>
        <v>2012</v>
      </c>
      <c r="D1404">
        <v>75.2</v>
      </c>
      <c r="E1404">
        <v>59</v>
      </c>
      <c r="F1404">
        <v>66.900000000000006</v>
      </c>
      <c r="G1404" s="2">
        <f t="shared" si="211"/>
        <v>0</v>
      </c>
      <c r="H1404">
        <v>75.2</v>
      </c>
      <c r="I1404">
        <v>59</v>
      </c>
      <c r="J1404">
        <v>66.900000000000006</v>
      </c>
      <c r="K1404">
        <v>56.3</v>
      </c>
      <c r="L1404">
        <v>69.599999999999994</v>
      </c>
      <c r="M1404" s="2">
        <f t="shared" si="212"/>
        <v>0</v>
      </c>
      <c r="N1404">
        <v>0</v>
      </c>
      <c r="O1404" s="2">
        <f t="shared" si="213"/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 s="2">
        <f t="shared" si="214"/>
        <v>0</v>
      </c>
      <c r="W1404">
        <v>18.3</v>
      </c>
      <c r="X1404" s="2">
        <f t="shared" si="215"/>
        <v>1</v>
      </c>
      <c r="Y1404">
        <v>302.2</v>
      </c>
      <c r="Z1404" s="2" t="str">
        <f>CHOOSE(MATCH(Y1404,{0;11;80;111;161;191;241;281;341},1),"North","NorthEast","East","SouthEast","South","SouthWest","West","NorthWest","North")</f>
        <v>NorthWest</v>
      </c>
      <c r="AA1404" s="4">
        <f>CHOOSE(MATCH(Z1404,{"South";"SouthEast";"SouthWest";"North";"NorthEast";"East";"West";"NorthWest"},0),1,2,3,4,5,6,7,8)</f>
        <v>8</v>
      </c>
      <c r="AB1404" s="2">
        <f t="shared" si="216"/>
        <v>1</v>
      </c>
      <c r="AC1404">
        <v>1010.5</v>
      </c>
      <c r="AD1404" t="s">
        <v>2056</v>
      </c>
      <c r="AE1404" s="2">
        <f t="shared" si="217"/>
        <v>1</v>
      </c>
      <c r="AF1404" t="s">
        <v>2057</v>
      </c>
      <c r="AG1404" s="2">
        <f t="shared" si="218"/>
        <v>5</v>
      </c>
      <c r="AH1404" s="2">
        <f t="shared" si="219"/>
        <v>0</v>
      </c>
      <c r="AI1404" s="3">
        <v>195.9999999997672</v>
      </c>
      <c r="AJ1404" s="2">
        <v>0</v>
      </c>
      <c r="AK1404">
        <v>0</v>
      </c>
      <c r="AL1404">
        <v>0.1</v>
      </c>
      <c r="AM1404">
        <v>0</v>
      </c>
      <c r="AN1404" s="2">
        <f>IF((2*G1404+M1404-O1404+3*V1404+2*AB1404+2*AE1404+2*AH1404+3*AJ1404)&gt;=7,1,0)</f>
        <v>0</v>
      </c>
    </row>
    <row r="1405" spans="1:40" x14ac:dyDescent="0.25">
      <c r="A1405" t="s">
        <v>27</v>
      </c>
      <c r="B1405" s="1">
        <v>41033</v>
      </c>
      <c r="C1405" s="6">
        <f t="shared" si="210"/>
        <v>2012</v>
      </c>
      <c r="D1405">
        <v>77</v>
      </c>
      <c r="E1405">
        <v>60.8</v>
      </c>
      <c r="F1405">
        <v>68.099999999999994</v>
      </c>
      <c r="G1405" s="2">
        <f t="shared" si="211"/>
        <v>0</v>
      </c>
      <c r="H1405">
        <v>77</v>
      </c>
      <c r="I1405">
        <v>60.8</v>
      </c>
      <c r="J1405">
        <v>68.099999999999994</v>
      </c>
      <c r="K1405">
        <v>54.6</v>
      </c>
      <c r="L1405">
        <v>63.1</v>
      </c>
      <c r="M1405" s="2">
        <f t="shared" si="212"/>
        <v>1</v>
      </c>
      <c r="N1405">
        <v>0</v>
      </c>
      <c r="O1405" s="2">
        <f t="shared" si="213"/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 s="2">
        <f t="shared" si="214"/>
        <v>0</v>
      </c>
      <c r="W1405">
        <v>11.4</v>
      </c>
      <c r="X1405" s="2">
        <f t="shared" si="215"/>
        <v>0</v>
      </c>
      <c r="Y1405">
        <v>143.9</v>
      </c>
      <c r="Z1405" s="2" t="str">
        <f>CHOOSE(MATCH(Y1405,{0;11;80;111;161;191;241;281;341},1),"North","NorthEast","East","SouthEast","South","SouthWest","West","NorthWest","North")</f>
        <v>SouthEast</v>
      </c>
      <c r="AA1405" s="4">
        <f>CHOOSE(MATCH(Z1405,{"South";"SouthEast";"SouthWest";"North";"NorthEast";"East";"West";"NorthWest"},0),1,2,3,4,5,6,7,8)</f>
        <v>2</v>
      </c>
      <c r="AB1405" s="2">
        <f t="shared" si="216"/>
        <v>0</v>
      </c>
      <c r="AC1405">
        <v>1007.6</v>
      </c>
      <c r="AD1405" t="s">
        <v>2058</v>
      </c>
      <c r="AE1405" s="2">
        <f t="shared" si="217"/>
        <v>0</v>
      </c>
      <c r="AF1405" t="s">
        <v>2059</v>
      </c>
      <c r="AG1405" s="2">
        <f t="shared" si="218"/>
        <v>5</v>
      </c>
      <c r="AH1405" s="2">
        <f t="shared" si="219"/>
        <v>0</v>
      </c>
      <c r="AI1405" s="3">
        <v>769.99999999534339</v>
      </c>
      <c r="AJ1405" s="2">
        <v>1</v>
      </c>
      <c r="AK1405">
        <v>0</v>
      </c>
      <c r="AL1405">
        <v>2</v>
      </c>
      <c r="AM1405">
        <v>0</v>
      </c>
      <c r="AN1405" s="2">
        <f>IF((2*G1405+M1405-O1405+3*V1405+2*AB1405+2*AE1405+2*AH1405+3*AJ1405)&gt;=7,1,0)</f>
        <v>0</v>
      </c>
    </row>
    <row r="1406" spans="1:40" x14ac:dyDescent="0.25">
      <c r="A1406" t="s">
        <v>27</v>
      </c>
      <c r="B1406" s="1">
        <v>41041</v>
      </c>
      <c r="C1406" s="6">
        <f t="shared" si="210"/>
        <v>2012</v>
      </c>
      <c r="D1406">
        <v>75.2</v>
      </c>
      <c r="E1406">
        <v>64.400000000000006</v>
      </c>
      <c r="F1406">
        <v>69.900000000000006</v>
      </c>
      <c r="G1406" s="2">
        <f t="shared" si="211"/>
        <v>0</v>
      </c>
      <c r="H1406">
        <v>75.2</v>
      </c>
      <c r="I1406">
        <v>64.400000000000006</v>
      </c>
      <c r="J1406">
        <v>69.900000000000006</v>
      </c>
      <c r="K1406">
        <v>61.5</v>
      </c>
      <c r="L1406">
        <v>75.2</v>
      </c>
      <c r="M1406" s="2">
        <f t="shared" si="212"/>
        <v>0</v>
      </c>
      <c r="N1406">
        <v>0</v>
      </c>
      <c r="O1406" s="2">
        <f t="shared" si="213"/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 s="2">
        <f t="shared" si="214"/>
        <v>0</v>
      </c>
      <c r="W1406">
        <v>20.8</v>
      </c>
      <c r="X1406" s="2">
        <f t="shared" si="215"/>
        <v>1</v>
      </c>
      <c r="Y1406">
        <v>300.3</v>
      </c>
      <c r="Z1406" s="2" t="str">
        <f>CHOOSE(MATCH(Y1406,{0;11;80;111;161;191;241;281;341},1),"North","NorthEast","East","SouthEast","South","SouthWest","West","NorthWest","North")</f>
        <v>NorthWest</v>
      </c>
      <c r="AA1406" s="4">
        <f>CHOOSE(MATCH(Z1406,{"South";"SouthEast";"SouthWest";"North";"NorthEast";"East";"West";"NorthWest"},0),1,2,3,4,5,6,7,8)</f>
        <v>8</v>
      </c>
      <c r="AB1406" s="2">
        <f t="shared" si="216"/>
        <v>1</v>
      </c>
      <c r="AC1406">
        <v>1013.5</v>
      </c>
      <c r="AD1406" t="s">
        <v>1069</v>
      </c>
      <c r="AE1406" s="2">
        <f t="shared" si="217"/>
        <v>1</v>
      </c>
      <c r="AF1406" t="s">
        <v>2060</v>
      </c>
      <c r="AG1406" s="2">
        <f t="shared" si="218"/>
        <v>5</v>
      </c>
      <c r="AH1406" s="2">
        <f t="shared" si="219"/>
        <v>0</v>
      </c>
      <c r="AI1406" s="3">
        <v>114.99999999767169</v>
      </c>
      <c r="AJ1406" s="2">
        <v>0</v>
      </c>
      <c r="AK1406">
        <v>0</v>
      </c>
      <c r="AL1406">
        <v>0.3</v>
      </c>
      <c r="AM1406">
        <v>0</v>
      </c>
      <c r="AN1406" s="2">
        <f>IF((2*G1406+M1406-O1406+3*V1406+2*AB1406+2*AE1406+2*AH1406+3*AJ1406)&gt;=7,1,0)</f>
        <v>0</v>
      </c>
    </row>
    <row r="1407" spans="1:40" x14ac:dyDescent="0.25">
      <c r="A1407" t="s">
        <v>27</v>
      </c>
      <c r="B1407" s="1">
        <v>41046</v>
      </c>
      <c r="C1407" s="6">
        <f t="shared" si="210"/>
        <v>2012</v>
      </c>
      <c r="D1407">
        <v>75.2</v>
      </c>
      <c r="E1407">
        <v>58.2</v>
      </c>
      <c r="F1407">
        <v>66.099999999999994</v>
      </c>
      <c r="G1407" s="2">
        <f t="shared" si="211"/>
        <v>0</v>
      </c>
      <c r="H1407">
        <v>75.2</v>
      </c>
      <c r="I1407">
        <v>58.2</v>
      </c>
      <c r="J1407">
        <v>66.099999999999994</v>
      </c>
      <c r="K1407">
        <v>55.6</v>
      </c>
      <c r="L1407">
        <v>69.900000000000006</v>
      </c>
      <c r="M1407" s="2">
        <f t="shared" si="212"/>
        <v>0</v>
      </c>
      <c r="N1407">
        <v>0</v>
      </c>
      <c r="O1407" s="2">
        <f t="shared" si="213"/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 s="2">
        <f t="shared" si="214"/>
        <v>0</v>
      </c>
      <c r="W1407">
        <v>28.9</v>
      </c>
      <c r="X1407" s="2">
        <f t="shared" si="215"/>
        <v>1</v>
      </c>
      <c r="Y1407">
        <v>310.89999999999998</v>
      </c>
      <c r="Z1407" s="2" t="str">
        <f>CHOOSE(MATCH(Y1407,{0;11;80;111;161;191;241;281;341},1),"North","NorthEast","East","SouthEast","South","SouthWest","West","NorthWest","North")</f>
        <v>NorthWest</v>
      </c>
      <c r="AA1407" s="4">
        <f>CHOOSE(MATCH(Z1407,{"South";"SouthEast";"SouthWest";"North";"NorthEast";"East";"West";"NorthWest"},0),1,2,3,4,5,6,7,8)</f>
        <v>8</v>
      </c>
      <c r="AB1407" s="2">
        <f t="shared" si="216"/>
        <v>1</v>
      </c>
      <c r="AC1407">
        <v>1007.3</v>
      </c>
      <c r="AD1407" t="s">
        <v>2061</v>
      </c>
      <c r="AE1407" s="2">
        <f t="shared" si="217"/>
        <v>1</v>
      </c>
      <c r="AF1407" t="s">
        <v>2062</v>
      </c>
      <c r="AG1407" s="2">
        <f t="shared" si="218"/>
        <v>5</v>
      </c>
      <c r="AH1407" s="2">
        <f t="shared" si="219"/>
        <v>0</v>
      </c>
      <c r="AI1407" s="3">
        <v>103.0000000004657</v>
      </c>
      <c r="AJ1407" s="2">
        <v>0</v>
      </c>
      <c r="AK1407">
        <v>0</v>
      </c>
      <c r="AL1407">
        <v>1</v>
      </c>
      <c r="AM1407">
        <v>0</v>
      </c>
      <c r="AN1407" s="2">
        <f>IF((2*G1407+M1407-O1407+3*V1407+2*AB1407+2*AE1407+2*AH1407+3*AJ1407)&gt;=7,1,0)</f>
        <v>0</v>
      </c>
    </row>
    <row r="1408" spans="1:40" x14ac:dyDescent="0.25">
      <c r="A1408" t="s">
        <v>27</v>
      </c>
      <c r="B1408" s="1">
        <v>41049</v>
      </c>
      <c r="C1408" s="6">
        <f t="shared" si="210"/>
        <v>2012</v>
      </c>
      <c r="D1408">
        <v>75.2</v>
      </c>
      <c r="E1408">
        <v>54.6</v>
      </c>
      <c r="F1408">
        <v>65.900000000000006</v>
      </c>
      <c r="G1408" s="2">
        <f t="shared" si="211"/>
        <v>0</v>
      </c>
      <c r="H1408">
        <v>75.2</v>
      </c>
      <c r="I1408">
        <v>54.6</v>
      </c>
      <c r="J1408">
        <v>65.900000000000006</v>
      </c>
      <c r="K1408">
        <v>56.8</v>
      </c>
      <c r="L1408">
        <v>73.5</v>
      </c>
      <c r="M1408" s="2">
        <f t="shared" si="212"/>
        <v>0</v>
      </c>
      <c r="N1408">
        <v>0</v>
      </c>
      <c r="O1408" s="2">
        <f t="shared" si="213"/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 s="2">
        <f t="shared" si="214"/>
        <v>0</v>
      </c>
      <c r="W1408">
        <v>8.1</v>
      </c>
      <c r="X1408" s="2">
        <f t="shared" si="215"/>
        <v>0</v>
      </c>
      <c r="Y1408">
        <v>115.2</v>
      </c>
      <c r="Z1408" s="2" t="str">
        <f>CHOOSE(MATCH(Y1408,{0;11;80;111;161;191;241;281;341},1),"North","NorthEast","East","SouthEast","South","SouthWest","West","NorthWest","North")</f>
        <v>SouthEast</v>
      </c>
      <c r="AA1408" s="4">
        <f>CHOOSE(MATCH(Z1408,{"South";"SouthEast";"SouthWest";"North";"NorthEast";"East";"West";"NorthWest"},0),1,2,3,4,5,6,7,8)</f>
        <v>2</v>
      </c>
      <c r="AB1408" s="2">
        <f t="shared" si="216"/>
        <v>0</v>
      </c>
      <c r="AC1408">
        <v>1014.5</v>
      </c>
      <c r="AD1408" t="s">
        <v>1205</v>
      </c>
      <c r="AE1408" s="2">
        <f t="shared" si="217"/>
        <v>1</v>
      </c>
      <c r="AF1408" t="s">
        <v>2063</v>
      </c>
      <c r="AG1408" s="2">
        <f t="shared" si="218"/>
        <v>5</v>
      </c>
      <c r="AH1408" s="2">
        <f t="shared" si="219"/>
        <v>0</v>
      </c>
      <c r="AI1408" s="3">
        <v>1030.0000000046571</v>
      </c>
      <c r="AJ1408" s="2">
        <v>1</v>
      </c>
      <c r="AK1408">
        <v>0</v>
      </c>
      <c r="AL1408">
        <v>15</v>
      </c>
      <c r="AM1408">
        <v>0</v>
      </c>
      <c r="AN1408" s="2">
        <f>IF((2*G1408+M1408-O1408+3*V1408+2*AB1408+2*AE1408+2*AH1408+3*AJ1408)&gt;=7,1,0)</f>
        <v>0</v>
      </c>
    </row>
    <row r="1409" spans="1:40" x14ac:dyDescent="0.25">
      <c r="A1409" t="s">
        <v>27</v>
      </c>
      <c r="B1409" s="1">
        <v>41052</v>
      </c>
      <c r="C1409" s="6">
        <f t="shared" si="210"/>
        <v>2012</v>
      </c>
      <c r="D1409">
        <v>73.400000000000006</v>
      </c>
      <c r="E1409">
        <v>64.400000000000006</v>
      </c>
      <c r="F1409">
        <v>69.2</v>
      </c>
      <c r="G1409" s="2">
        <f t="shared" si="211"/>
        <v>0</v>
      </c>
      <c r="H1409">
        <v>73.400000000000006</v>
      </c>
      <c r="I1409">
        <v>64.400000000000006</v>
      </c>
      <c r="J1409">
        <v>69.2</v>
      </c>
      <c r="K1409">
        <v>55</v>
      </c>
      <c r="L1409">
        <v>60.7</v>
      </c>
      <c r="M1409" s="2">
        <f t="shared" si="212"/>
        <v>1</v>
      </c>
      <c r="N1409">
        <v>0</v>
      </c>
      <c r="O1409" s="2">
        <f t="shared" si="213"/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 s="2">
        <f t="shared" si="214"/>
        <v>0</v>
      </c>
      <c r="W1409">
        <v>27.5</v>
      </c>
      <c r="X1409" s="2">
        <f t="shared" si="215"/>
        <v>1</v>
      </c>
      <c r="Y1409">
        <v>302.7</v>
      </c>
      <c r="Z1409" s="2" t="str">
        <f>CHOOSE(MATCH(Y1409,{0;11;80;111;161;191;241;281;341},1),"North","NorthEast","East","SouthEast","South","SouthWest","West","NorthWest","North")</f>
        <v>NorthWest</v>
      </c>
      <c r="AA1409" s="4">
        <f>CHOOSE(MATCH(Z1409,{"South";"SouthEast";"SouthWest";"North";"NorthEast";"East";"West";"NorthWest"},0),1,2,3,4,5,6,7,8)</f>
        <v>8</v>
      </c>
      <c r="AB1409" s="2">
        <f t="shared" si="216"/>
        <v>1</v>
      </c>
      <c r="AC1409">
        <v>1012.6</v>
      </c>
      <c r="AD1409" t="s">
        <v>1779</v>
      </c>
      <c r="AE1409" s="2">
        <f t="shared" si="217"/>
        <v>1</v>
      </c>
      <c r="AF1409" t="s">
        <v>2064</v>
      </c>
      <c r="AG1409" s="2">
        <f t="shared" si="218"/>
        <v>5</v>
      </c>
      <c r="AH1409" s="2">
        <f t="shared" si="219"/>
        <v>0</v>
      </c>
      <c r="AI1409" s="3">
        <v>245.00000000232831</v>
      </c>
      <c r="AJ1409" s="2">
        <v>0</v>
      </c>
      <c r="AK1409">
        <v>0</v>
      </c>
      <c r="AL1409">
        <v>1</v>
      </c>
      <c r="AM1409">
        <v>0</v>
      </c>
      <c r="AN1409" s="2">
        <f>IF((2*G1409+M1409-O1409+3*V1409+2*AB1409+2*AE1409+2*AH1409+3*AJ1409)&gt;=7,1,0)</f>
        <v>0</v>
      </c>
    </row>
    <row r="1410" spans="1:40" x14ac:dyDescent="0.25">
      <c r="A1410" t="s">
        <v>27</v>
      </c>
      <c r="B1410" s="1">
        <v>41063</v>
      </c>
      <c r="C1410" s="6">
        <f t="shared" si="210"/>
        <v>2012</v>
      </c>
      <c r="D1410">
        <v>77</v>
      </c>
      <c r="E1410">
        <v>59</v>
      </c>
      <c r="F1410">
        <v>69.099999999999994</v>
      </c>
      <c r="G1410" s="2">
        <f t="shared" si="211"/>
        <v>0</v>
      </c>
      <c r="H1410">
        <v>77</v>
      </c>
      <c r="I1410">
        <v>59</v>
      </c>
      <c r="J1410">
        <v>69.099999999999994</v>
      </c>
      <c r="K1410">
        <v>59.8</v>
      </c>
      <c r="L1410">
        <v>73.099999999999994</v>
      </c>
      <c r="M1410" s="2">
        <f t="shared" si="212"/>
        <v>0</v>
      </c>
      <c r="N1410">
        <v>0</v>
      </c>
      <c r="O1410" s="2">
        <f t="shared" si="213"/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 s="2">
        <f t="shared" si="214"/>
        <v>0</v>
      </c>
      <c r="W1410">
        <v>8.1</v>
      </c>
      <c r="X1410" s="2">
        <f t="shared" si="215"/>
        <v>0</v>
      </c>
      <c r="Y1410">
        <v>91.1</v>
      </c>
      <c r="Z1410" s="2" t="str">
        <f>CHOOSE(MATCH(Y1410,{0;11;80;111;161;191;241;281;341},1),"North","NorthEast","East","SouthEast","South","SouthWest","West","NorthWest","North")</f>
        <v>East</v>
      </c>
      <c r="AA1410" s="4">
        <f>CHOOSE(MATCH(Z1410,{"South";"SouthEast";"SouthWest";"North";"NorthEast";"East";"West";"NorthWest"},0),1,2,3,4,5,6,7,8)</f>
        <v>6</v>
      </c>
      <c r="AB1410" s="2">
        <f t="shared" si="216"/>
        <v>0</v>
      </c>
      <c r="AC1410">
        <v>1016.7</v>
      </c>
      <c r="AD1410" t="s">
        <v>2065</v>
      </c>
      <c r="AE1410" s="2">
        <f t="shared" si="217"/>
        <v>1</v>
      </c>
      <c r="AF1410" t="s">
        <v>2066</v>
      </c>
      <c r="AG1410" s="2">
        <f t="shared" si="218"/>
        <v>6</v>
      </c>
      <c r="AH1410" s="2">
        <f t="shared" si="219"/>
        <v>1</v>
      </c>
      <c r="AI1410" s="3">
        <v>29.000000000232831</v>
      </c>
      <c r="AJ1410" s="2">
        <v>0</v>
      </c>
      <c r="AK1410">
        <v>0</v>
      </c>
      <c r="AL1410">
        <v>1</v>
      </c>
      <c r="AM1410">
        <v>0</v>
      </c>
      <c r="AN1410" s="2">
        <f>IF((2*G1410+M1410-O1410+3*V1410+2*AB1410+2*AE1410+2*AH1410+3*AJ1410)&gt;=7,1,0)</f>
        <v>0</v>
      </c>
    </row>
    <row r="1411" spans="1:40" x14ac:dyDescent="0.25">
      <c r="A1411" t="s">
        <v>27</v>
      </c>
      <c r="B1411" s="1">
        <v>41068</v>
      </c>
      <c r="C1411" s="6">
        <f t="shared" ref="C1411:C1474" si="220">YEAR(B1411)</f>
        <v>2012</v>
      </c>
      <c r="D1411">
        <v>78.8</v>
      </c>
      <c r="E1411">
        <v>64.400000000000006</v>
      </c>
      <c r="F1411">
        <v>72.400000000000006</v>
      </c>
      <c r="G1411" s="2">
        <f t="shared" ref="G1411:G1474" si="221">IF(F1411&lt;=70,0,1)</f>
        <v>1</v>
      </c>
      <c r="H1411">
        <v>78.8</v>
      </c>
      <c r="I1411">
        <v>64.400000000000006</v>
      </c>
      <c r="J1411">
        <v>72.400000000000006</v>
      </c>
      <c r="K1411">
        <v>61.8</v>
      </c>
      <c r="L1411">
        <v>70.099999999999994</v>
      </c>
      <c r="M1411" s="2">
        <f t="shared" ref="M1411:M1474" si="222">IF(L1411&lt;=66,1,0)</f>
        <v>0</v>
      </c>
      <c r="N1411">
        <v>0</v>
      </c>
      <c r="O1411" s="2">
        <f t="shared" ref="O1411:O1474" si="223">IF(N1411&lt;=0.01,1,0)</f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 s="2">
        <f t="shared" ref="V1411:V1474" si="224">IF(U1411&lt;=9,0,1)</f>
        <v>0</v>
      </c>
      <c r="W1411">
        <v>13.9</v>
      </c>
      <c r="X1411" s="2">
        <f t="shared" ref="X1411:X1474" si="225">IF(W1411&gt;=16,1,0)</f>
        <v>0</v>
      </c>
      <c r="Y1411">
        <v>322.10000000000002</v>
      </c>
      <c r="Z1411" s="2" t="str">
        <f>CHOOSE(MATCH(Y1411,{0;11;80;111;161;191;241;281;341},1),"North","NorthEast","East","SouthEast","South","SouthWest","West","NorthWest","North")</f>
        <v>NorthWest</v>
      </c>
      <c r="AA1411" s="4">
        <f>CHOOSE(MATCH(Z1411,{"South";"SouthEast";"SouthWest";"North";"NorthEast";"East";"West";"NorthWest"},0),1,2,3,4,5,6,7,8)</f>
        <v>8</v>
      </c>
      <c r="AB1411" s="2">
        <f t="shared" ref="AB1411:AB1474" si="226">IF(OR(AA1411=4,AA1411=5,AA1411=8),1,0)</f>
        <v>1</v>
      </c>
      <c r="AC1411">
        <v>1012.7</v>
      </c>
      <c r="AD1411" t="s">
        <v>2067</v>
      </c>
      <c r="AE1411" s="2">
        <f t="shared" ref="AE1411:AE1474" si="227">IF(TIMEVALUE(AD1411)&lt;=TIME(12,30,0),0,1)</f>
        <v>1</v>
      </c>
      <c r="AF1411" t="s">
        <v>2068</v>
      </c>
      <c r="AG1411" s="2">
        <f t="shared" ref="AG1411:AG1474" si="228">MONTH(AF1411)</f>
        <v>6</v>
      </c>
      <c r="AH1411" s="2">
        <f t="shared" ref="AH1411:AH1474" si="229">IF(OR(AG1411=6,AG1411=7,AG1411=8),1,0)</f>
        <v>1</v>
      </c>
      <c r="AI1411" s="3">
        <v>75.99999999627471</v>
      </c>
      <c r="AJ1411" s="2">
        <v>0</v>
      </c>
      <c r="AK1411">
        <v>0</v>
      </c>
      <c r="AL1411">
        <v>0.2</v>
      </c>
      <c r="AM1411">
        <v>0</v>
      </c>
      <c r="AN1411" s="2">
        <f>IF((2*G1411+M1411-O1411+3*V1411+2*AB1411+2*AE1411+2*AH1411+3*AJ1411)&gt;=7,1,0)</f>
        <v>1</v>
      </c>
    </row>
    <row r="1412" spans="1:40" x14ac:dyDescent="0.25">
      <c r="A1412" t="s">
        <v>27</v>
      </c>
      <c r="B1412" s="1">
        <v>41068</v>
      </c>
      <c r="C1412" s="6">
        <f t="shared" si="220"/>
        <v>2012</v>
      </c>
      <c r="D1412">
        <v>78.8</v>
      </c>
      <c r="E1412">
        <v>64.400000000000006</v>
      </c>
      <c r="F1412">
        <v>72.400000000000006</v>
      </c>
      <c r="G1412" s="2">
        <f t="shared" si="221"/>
        <v>1</v>
      </c>
      <c r="H1412">
        <v>78.8</v>
      </c>
      <c r="I1412">
        <v>64.400000000000006</v>
      </c>
      <c r="J1412">
        <v>72.400000000000006</v>
      </c>
      <c r="K1412">
        <v>61.8</v>
      </c>
      <c r="L1412">
        <v>70.099999999999994</v>
      </c>
      <c r="M1412" s="2">
        <f t="shared" si="222"/>
        <v>0</v>
      </c>
      <c r="N1412">
        <v>0</v>
      </c>
      <c r="O1412" s="2">
        <f t="shared" si="223"/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 s="2">
        <f t="shared" si="224"/>
        <v>0</v>
      </c>
      <c r="W1412">
        <v>13.9</v>
      </c>
      <c r="X1412" s="2">
        <f t="shared" si="225"/>
        <v>0</v>
      </c>
      <c r="Y1412">
        <v>322.10000000000002</v>
      </c>
      <c r="Z1412" s="2" t="str">
        <f>CHOOSE(MATCH(Y1412,{0;11;80;111;161;191;241;281;341},1),"North","NorthEast","East","SouthEast","South","SouthWest","West","NorthWest","North")</f>
        <v>NorthWest</v>
      </c>
      <c r="AA1412" s="4">
        <f>CHOOSE(MATCH(Z1412,{"South";"SouthEast";"SouthWest";"North";"NorthEast";"East";"West";"NorthWest"},0),1,2,3,4,5,6,7,8)</f>
        <v>8</v>
      </c>
      <c r="AB1412" s="2">
        <f t="shared" si="226"/>
        <v>1</v>
      </c>
      <c r="AC1412">
        <v>1012.7</v>
      </c>
      <c r="AD1412" t="s">
        <v>2069</v>
      </c>
      <c r="AE1412" s="2">
        <f t="shared" si="227"/>
        <v>0</v>
      </c>
      <c r="AF1412" t="s">
        <v>2070</v>
      </c>
      <c r="AG1412" s="2">
        <f t="shared" si="228"/>
        <v>6</v>
      </c>
      <c r="AH1412" s="2">
        <f t="shared" si="229"/>
        <v>1</v>
      </c>
      <c r="AI1412" s="3">
        <v>769.99999999534339</v>
      </c>
      <c r="AJ1412" s="2">
        <v>1</v>
      </c>
      <c r="AK1412">
        <v>0</v>
      </c>
      <c r="AL1412">
        <v>2</v>
      </c>
      <c r="AM1412">
        <v>0</v>
      </c>
      <c r="AN1412" s="2">
        <f>IF((2*G1412+M1412-O1412+3*V1412+2*AB1412+2*AE1412+2*AH1412+3*AJ1412)&gt;=7,1,0)</f>
        <v>1</v>
      </c>
    </row>
    <row r="1413" spans="1:40" x14ac:dyDescent="0.25">
      <c r="A1413" t="s">
        <v>27</v>
      </c>
      <c r="B1413" s="1">
        <v>41075</v>
      </c>
      <c r="C1413" s="6">
        <f t="shared" si="220"/>
        <v>2012</v>
      </c>
      <c r="D1413">
        <v>84.2</v>
      </c>
      <c r="E1413">
        <v>69.8</v>
      </c>
      <c r="F1413">
        <v>77.900000000000006</v>
      </c>
      <c r="G1413" s="2">
        <f t="shared" si="221"/>
        <v>1</v>
      </c>
      <c r="H1413">
        <v>87.4</v>
      </c>
      <c r="I1413">
        <v>69.8</v>
      </c>
      <c r="J1413">
        <v>79.599999999999994</v>
      </c>
      <c r="K1413">
        <v>67.2</v>
      </c>
      <c r="L1413">
        <v>70.3</v>
      </c>
      <c r="M1413" s="2">
        <f t="shared" si="222"/>
        <v>0</v>
      </c>
      <c r="N1413">
        <v>0</v>
      </c>
      <c r="O1413" s="2">
        <f t="shared" si="223"/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 s="2">
        <f t="shared" si="224"/>
        <v>0</v>
      </c>
      <c r="W1413">
        <v>17.2</v>
      </c>
      <c r="X1413" s="2">
        <f t="shared" si="225"/>
        <v>1</v>
      </c>
      <c r="Y1413">
        <v>300.89999999999998</v>
      </c>
      <c r="Z1413" s="2" t="str">
        <f>CHOOSE(MATCH(Y1413,{0;11;80;111;161;191;241;281;341},1),"North","NorthEast","East","SouthEast","South","SouthWest","West","NorthWest","North")</f>
        <v>NorthWest</v>
      </c>
      <c r="AA1413" s="4">
        <f>CHOOSE(MATCH(Z1413,{"South";"SouthEast";"SouthWest";"North";"NorthEast";"East";"West";"NorthWest"},0),1,2,3,4,5,6,7,8)</f>
        <v>8</v>
      </c>
      <c r="AB1413" s="2">
        <f t="shared" si="226"/>
        <v>1</v>
      </c>
      <c r="AC1413">
        <v>1011.5</v>
      </c>
      <c r="AD1413" t="s">
        <v>1779</v>
      </c>
      <c r="AE1413" s="2">
        <f t="shared" si="227"/>
        <v>1</v>
      </c>
      <c r="AF1413" t="s">
        <v>2071</v>
      </c>
      <c r="AG1413" s="2">
        <f t="shared" si="228"/>
        <v>6</v>
      </c>
      <c r="AH1413" s="2">
        <f t="shared" si="229"/>
        <v>1</v>
      </c>
      <c r="AI1413" s="3">
        <v>315</v>
      </c>
      <c r="AJ1413" s="2">
        <v>0</v>
      </c>
      <c r="AK1413">
        <v>0</v>
      </c>
      <c r="AL1413">
        <v>0.8</v>
      </c>
      <c r="AM1413">
        <v>0</v>
      </c>
      <c r="AN1413" s="2">
        <f>IF((2*G1413+M1413-O1413+3*V1413+2*AB1413+2*AE1413+2*AH1413+3*AJ1413)&gt;=7,1,0)</f>
        <v>1</v>
      </c>
    </row>
    <row r="1414" spans="1:40" x14ac:dyDescent="0.25">
      <c r="A1414" t="s">
        <v>27</v>
      </c>
      <c r="B1414" s="1">
        <v>41076</v>
      </c>
      <c r="C1414" s="6">
        <f t="shared" si="220"/>
        <v>2012</v>
      </c>
      <c r="D1414">
        <v>82.4</v>
      </c>
      <c r="E1414">
        <v>77</v>
      </c>
      <c r="F1414">
        <v>79</v>
      </c>
      <c r="G1414" s="2">
        <f t="shared" si="221"/>
        <v>1</v>
      </c>
      <c r="H1414">
        <v>85.4</v>
      </c>
      <c r="I1414">
        <v>77</v>
      </c>
      <c r="J1414">
        <v>80.099999999999994</v>
      </c>
      <c r="K1414">
        <v>66.7</v>
      </c>
      <c r="L1414">
        <v>66</v>
      </c>
      <c r="M1414" s="2">
        <f t="shared" si="222"/>
        <v>1</v>
      </c>
      <c r="N1414">
        <v>0</v>
      </c>
      <c r="O1414" s="2">
        <f t="shared" si="223"/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 s="2">
        <f t="shared" si="224"/>
        <v>0</v>
      </c>
      <c r="W1414">
        <v>24.2</v>
      </c>
      <c r="X1414" s="2">
        <f t="shared" si="225"/>
        <v>1</v>
      </c>
      <c r="Y1414">
        <v>302</v>
      </c>
      <c r="Z1414" s="2" t="str">
        <f>CHOOSE(MATCH(Y1414,{0;11;80;111;161;191;241;281;341},1),"North","NorthEast","East","SouthEast","South","SouthWest","West","NorthWest","North")</f>
        <v>NorthWest</v>
      </c>
      <c r="AA1414" s="4">
        <f>CHOOSE(MATCH(Z1414,{"South";"SouthEast";"SouthWest";"North";"NorthEast";"East";"West";"NorthWest"},0),1,2,3,4,5,6,7,8)</f>
        <v>8</v>
      </c>
      <c r="AB1414" s="2">
        <f t="shared" si="226"/>
        <v>1</v>
      </c>
      <c r="AC1414">
        <v>1010.9</v>
      </c>
      <c r="AD1414" t="s">
        <v>1768</v>
      </c>
      <c r="AE1414" s="2">
        <f t="shared" si="227"/>
        <v>0</v>
      </c>
      <c r="AF1414" t="s">
        <v>2072</v>
      </c>
      <c r="AG1414" s="2">
        <f t="shared" si="228"/>
        <v>6</v>
      </c>
      <c r="AH1414" s="2">
        <f t="shared" si="229"/>
        <v>1</v>
      </c>
      <c r="AI1414" s="3">
        <v>210.00000000349249</v>
      </c>
      <c r="AJ1414" s="2">
        <v>0</v>
      </c>
      <c r="AK1414">
        <v>0</v>
      </c>
      <c r="AL1414">
        <v>2</v>
      </c>
      <c r="AM1414">
        <v>0</v>
      </c>
      <c r="AN1414" s="2">
        <f>IF((2*G1414+M1414-O1414+3*V1414+2*AB1414+2*AE1414+2*AH1414+3*AJ1414)&gt;=7,1,0)</f>
        <v>0</v>
      </c>
    </row>
    <row r="1415" spans="1:40" x14ac:dyDescent="0.25">
      <c r="A1415" t="s">
        <v>27</v>
      </c>
      <c r="B1415" s="1">
        <v>41076</v>
      </c>
      <c r="C1415" s="6">
        <f t="shared" si="220"/>
        <v>2012</v>
      </c>
      <c r="D1415">
        <v>82.4</v>
      </c>
      <c r="E1415">
        <v>77</v>
      </c>
      <c r="F1415">
        <v>79</v>
      </c>
      <c r="G1415" s="2">
        <f t="shared" si="221"/>
        <v>1</v>
      </c>
      <c r="H1415">
        <v>85.4</v>
      </c>
      <c r="I1415">
        <v>77</v>
      </c>
      <c r="J1415">
        <v>80.099999999999994</v>
      </c>
      <c r="K1415">
        <v>66.7</v>
      </c>
      <c r="L1415">
        <v>66</v>
      </c>
      <c r="M1415" s="2">
        <f t="shared" si="222"/>
        <v>1</v>
      </c>
      <c r="N1415">
        <v>0</v>
      </c>
      <c r="O1415" s="2">
        <f t="shared" si="223"/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 s="2">
        <f t="shared" si="224"/>
        <v>0</v>
      </c>
      <c r="W1415">
        <v>24.2</v>
      </c>
      <c r="X1415" s="2">
        <f t="shared" si="225"/>
        <v>1</v>
      </c>
      <c r="Y1415">
        <v>302</v>
      </c>
      <c r="Z1415" s="2" t="str">
        <f>CHOOSE(MATCH(Y1415,{0;11;80;111;161;191;241;281;341},1),"North","NorthEast","East","SouthEast","South","SouthWest","West","NorthWest","North")</f>
        <v>NorthWest</v>
      </c>
      <c r="AA1415" s="4">
        <f>CHOOSE(MATCH(Z1415,{"South";"SouthEast";"SouthWest";"North";"NorthEast";"East";"West";"NorthWest"},0),1,2,3,4,5,6,7,8)</f>
        <v>8</v>
      </c>
      <c r="AB1415" s="2">
        <f t="shared" si="226"/>
        <v>1</v>
      </c>
      <c r="AC1415">
        <v>1010.9</v>
      </c>
      <c r="AD1415" t="s">
        <v>1247</v>
      </c>
      <c r="AE1415" s="2">
        <f t="shared" si="227"/>
        <v>0</v>
      </c>
      <c r="AF1415" t="s">
        <v>2073</v>
      </c>
      <c r="AG1415" s="2">
        <f t="shared" si="228"/>
        <v>6</v>
      </c>
      <c r="AH1415" s="2">
        <f t="shared" si="229"/>
        <v>1</v>
      </c>
      <c r="AI1415" s="3">
        <v>3549.9999999941788</v>
      </c>
      <c r="AJ1415" s="2">
        <v>1</v>
      </c>
      <c r="AK1415">
        <v>0</v>
      </c>
      <c r="AL1415">
        <v>3000</v>
      </c>
      <c r="AM1415">
        <v>0</v>
      </c>
      <c r="AN1415" s="2">
        <f>IF((2*G1415+M1415-O1415+3*V1415+2*AB1415+2*AE1415+2*AH1415+3*AJ1415)&gt;=7,1,0)</f>
        <v>1</v>
      </c>
    </row>
    <row r="1416" spans="1:40" x14ac:dyDescent="0.25">
      <c r="A1416" t="s">
        <v>27</v>
      </c>
      <c r="B1416" s="1">
        <v>41077</v>
      </c>
      <c r="C1416" s="6">
        <f t="shared" si="220"/>
        <v>2012</v>
      </c>
      <c r="D1416">
        <v>80.599999999999994</v>
      </c>
      <c r="E1416">
        <v>72.2</v>
      </c>
      <c r="F1416">
        <v>77.400000000000006</v>
      </c>
      <c r="G1416" s="2">
        <f t="shared" si="221"/>
        <v>1</v>
      </c>
      <c r="H1416">
        <v>82.8</v>
      </c>
      <c r="I1416">
        <v>72.2</v>
      </c>
      <c r="J1416">
        <v>77.5</v>
      </c>
      <c r="K1416">
        <v>65.8</v>
      </c>
      <c r="L1416">
        <v>67.5</v>
      </c>
      <c r="M1416" s="2">
        <f t="shared" si="222"/>
        <v>0</v>
      </c>
      <c r="N1416">
        <v>0</v>
      </c>
      <c r="O1416" s="2">
        <f t="shared" si="223"/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 s="2">
        <f t="shared" si="224"/>
        <v>0</v>
      </c>
      <c r="W1416">
        <v>25.3</v>
      </c>
      <c r="X1416" s="2">
        <f t="shared" si="225"/>
        <v>1</v>
      </c>
      <c r="Y1416">
        <v>308</v>
      </c>
      <c r="Z1416" s="2" t="str">
        <f>CHOOSE(MATCH(Y1416,{0;11;80;111;161;191;241;281;341},1),"North","NorthEast","East","SouthEast","South","SouthWest","West","NorthWest","North")</f>
        <v>NorthWest</v>
      </c>
      <c r="AA1416" s="4">
        <f>CHOOSE(MATCH(Z1416,{"South";"SouthEast";"SouthWest";"North";"NorthEast";"East";"West";"NorthWest"},0),1,2,3,4,5,6,7,8)</f>
        <v>8</v>
      </c>
      <c r="AB1416" s="2">
        <f t="shared" si="226"/>
        <v>1</v>
      </c>
      <c r="AC1416">
        <v>1011.5</v>
      </c>
      <c r="AD1416" t="s">
        <v>2074</v>
      </c>
      <c r="AE1416" s="2">
        <f t="shared" si="227"/>
        <v>0</v>
      </c>
      <c r="AF1416" t="s">
        <v>2075</v>
      </c>
      <c r="AG1416" s="2">
        <f t="shared" si="228"/>
        <v>6</v>
      </c>
      <c r="AH1416" s="2">
        <f t="shared" si="229"/>
        <v>1</v>
      </c>
      <c r="AI1416" s="3">
        <v>754.99999999883585</v>
      </c>
      <c r="AJ1416" s="2">
        <v>1</v>
      </c>
      <c r="AK1416">
        <v>0</v>
      </c>
      <c r="AL1416">
        <v>7</v>
      </c>
      <c r="AM1416">
        <v>0</v>
      </c>
      <c r="AN1416" s="2">
        <f>IF((2*G1416+M1416-O1416+3*V1416+2*AB1416+2*AE1416+2*AH1416+3*AJ1416)&gt;=7,1,0)</f>
        <v>1</v>
      </c>
    </row>
    <row r="1417" spans="1:40" x14ac:dyDescent="0.25">
      <c r="A1417" t="s">
        <v>27</v>
      </c>
      <c r="B1417" s="1">
        <v>41078</v>
      </c>
      <c r="C1417" s="6">
        <f t="shared" si="220"/>
        <v>2012</v>
      </c>
      <c r="D1417">
        <v>78.8</v>
      </c>
      <c r="E1417">
        <v>73.400000000000006</v>
      </c>
      <c r="F1417">
        <v>76.400000000000006</v>
      </c>
      <c r="G1417" s="2">
        <f t="shared" si="221"/>
        <v>1</v>
      </c>
      <c r="H1417">
        <v>78.8</v>
      </c>
      <c r="I1417">
        <v>73.400000000000006</v>
      </c>
      <c r="J1417">
        <v>76.400000000000006</v>
      </c>
      <c r="K1417">
        <v>64.099999999999994</v>
      </c>
      <c r="L1417">
        <v>65.900000000000006</v>
      </c>
      <c r="M1417" s="2">
        <f t="shared" si="222"/>
        <v>1</v>
      </c>
      <c r="N1417">
        <v>0</v>
      </c>
      <c r="O1417" s="2">
        <f t="shared" si="223"/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 s="2">
        <f t="shared" si="224"/>
        <v>0</v>
      </c>
      <c r="W1417">
        <v>24.2</v>
      </c>
      <c r="X1417" s="2">
        <f t="shared" si="225"/>
        <v>1</v>
      </c>
      <c r="Y1417">
        <v>311</v>
      </c>
      <c r="Z1417" s="2" t="str">
        <f>CHOOSE(MATCH(Y1417,{0;11;80;111;161;191;241;281;341},1),"North","NorthEast","East","SouthEast","South","SouthWest","West","NorthWest","North")</f>
        <v>NorthWest</v>
      </c>
      <c r="AA1417" s="4">
        <f>CHOOSE(MATCH(Z1417,{"South";"SouthEast";"SouthWest";"North";"NorthEast";"East";"West";"NorthWest"},0),1,2,3,4,5,6,7,8)</f>
        <v>8</v>
      </c>
      <c r="AB1417" s="2">
        <f t="shared" si="226"/>
        <v>1</v>
      </c>
      <c r="AC1417">
        <v>1011.5</v>
      </c>
      <c r="AD1417" t="s">
        <v>2076</v>
      </c>
      <c r="AE1417" s="2">
        <f t="shared" si="227"/>
        <v>1</v>
      </c>
      <c r="AF1417" t="s">
        <v>2077</v>
      </c>
      <c r="AG1417" s="2">
        <f t="shared" si="228"/>
        <v>6</v>
      </c>
      <c r="AH1417" s="2">
        <f t="shared" si="229"/>
        <v>1</v>
      </c>
      <c r="AI1417" s="3">
        <v>69.000000004889444</v>
      </c>
      <c r="AJ1417" s="2">
        <v>0</v>
      </c>
      <c r="AK1417">
        <v>0</v>
      </c>
      <c r="AL1417">
        <v>3</v>
      </c>
      <c r="AM1417">
        <v>0</v>
      </c>
      <c r="AN1417" s="2">
        <f>IF((2*G1417+M1417-O1417+3*V1417+2*AB1417+2*AE1417+2*AH1417+3*AJ1417)&gt;=7,1,0)</f>
        <v>1</v>
      </c>
    </row>
    <row r="1418" spans="1:40" x14ac:dyDescent="0.25">
      <c r="A1418" t="s">
        <v>27</v>
      </c>
      <c r="B1418" s="1">
        <v>41081</v>
      </c>
      <c r="C1418" s="6">
        <f t="shared" si="220"/>
        <v>2012</v>
      </c>
      <c r="D1418">
        <v>80.599999999999994</v>
      </c>
      <c r="E1418">
        <v>75.2</v>
      </c>
      <c r="F1418">
        <v>78.099999999999994</v>
      </c>
      <c r="G1418" s="2">
        <f t="shared" si="221"/>
        <v>1</v>
      </c>
      <c r="H1418">
        <v>83.3</v>
      </c>
      <c r="I1418">
        <v>75.2</v>
      </c>
      <c r="J1418">
        <v>78.599999999999994</v>
      </c>
      <c r="K1418">
        <v>64.900000000000006</v>
      </c>
      <c r="L1418">
        <v>64</v>
      </c>
      <c r="M1418" s="2">
        <f t="shared" si="222"/>
        <v>1</v>
      </c>
      <c r="N1418">
        <v>0</v>
      </c>
      <c r="O1418" s="2">
        <f t="shared" si="223"/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 s="2">
        <f t="shared" si="224"/>
        <v>0</v>
      </c>
      <c r="W1418">
        <v>24.2</v>
      </c>
      <c r="X1418" s="2">
        <f t="shared" si="225"/>
        <v>1</v>
      </c>
      <c r="Y1418">
        <v>304.5</v>
      </c>
      <c r="Z1418" s="2" t="str">
        <f>CHOOSE(MATCH(Y1418,{0;11;80;111;161;191;241;281;341},1),"North","NorthEast","East","SouthEast","South","SouthWest","West","NorthWest","North")</f>
        <v>NorthWest</v>
      </c>
      <c r="AA1418" s="4">
        <f>CHOOSE(MATCH(Z1418,{"South";"SouthEast";"SouthWest";"North";"NorthEast";"East";"West";"NorthWest"},0),1,2,3,4,5,6,7,8)</f>
        <v>8</v>
      </c>
      <c r="AB1418" s="2">
        <f t="shared" si="226"/>
        <v>1</v>
      </c>
      <c r="AC1418">
        <v>1005.7</v>
      </c>
      <c r="AD1418" t="s">
        <v>2078</v>
      </c>
      <c r="AE1418" s="2">
        <f t="shared" si="227"/>
        <v>0</v>
      </c>
      <c r="AF1418" t="s">
        <v>2079</v>
      </c>
      <c r="AG1418" s="2">
        <f t="shared" si="228"/>
        <v>6</v>
      </c>
      <c r="AH1418" s="2">
        <f t="shared" si="229"/>
        <v>1</v>
      </c>
      <c r="AI1418" s="3">
        <v>667.0000000053551</v>
      </c>
      <c r="AJ1418" s="2">
        <v>1</v>
      </c>
      <c r="AK1418">
        <v>0</v>
      </c>
      <c r="AL1418">
        <v>8</v>
      </c>
      <c r="AM1418">
        <v>0</v>
      </c>
      <c r="AN1418" s="2">
        <f>IF((2*G1418+M1418-O1418+3*V1418+2*AB1418+2*AE1418+2*AH1418+3*AJ1418)&gt;=7,1,0)</f>
        <v>1</v>
      </c>
    </row>
    <row r="1419" spans="1:40" x14ac:dyDescent="0.25">
      <c r="A1419" t="s">
        <v>27</v>
      </c>
      <c r="B1419" s="1">
        <v>41083</v>
      </c>
      <c r="C1419" s="6">
        <f t="shared" si="220"/>
        <v>2012</v>
      </c>
      <c r="D1419">
        <v>84.2</v>
      </c>
      <c r="E1419">
        <v>69.8</v>
      </c>
      <c r="F1419">
        <v>77.5</v>
      </c>
      <c r="G1419" s="2">
        <f t="shared" si="221"/>
        <v>1</v>
      </c>
      <c r="H1419">
        <v>86.5</v>
      </c>
      <c r="I1419">
        <v>69.8</v>
      </c>
      <c r="J1419">
        <v>78.8</v>
      </c>
      <c r="K1419">
        <v>65.400000000000006</v>
      </c>
      <c r="L1419">
        <v>66.900000000000006</v>
      </c>
      <c r="M1419" s="2">
        <f t="shared" si="222"/>
        <v>0</v>
      </c>
      <c r="N1419">
        <v>0</v>
      </c>
      <c r="O1419" s="2">
        <f t="shared" si="223"/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 s="2">
        <f t="shared" si="224"/>
        <v>0</v>
      </c>
      <c r="W1419">
        <v>17.2</v>
      </c>
      <c r="X1419" s="2">
        <f t="shared" si="225"/>
        <v>1</v>
      </c>
      <c r="Y1419">
        <v>310.10000000000002</v>
      </c>
      <c r="Z1419" s="2" t="str">
        <f>CHOOSE(MATCH(Y1419,{0;11;80;111;161;191;241;281;341},1),"North","NorthEast","East","SouthEast","South","SouthWest","West","NorthWest","North")</f>
        <v>NorthWest</v>
      </c>
      <c r="AA1419" s="4">
        <f>CHOOSE(MATCH(Z1419,{"South";"SouthEast";"SouthWest";"North";"NorthEast";"East";"West";"NorthWest"},0),1,2,3,4,5,6,7,8)</f>
        <v>8</v>
      </c>
      <c r="AB1419" s="2">
        <f t="shared" si="226"/>
        <v>1</v>
      </c>
      <c r="AC1419">
        <v>1010.3</v>
      </c>
      <c r="AD1419" t="s">
        <v>2080</v>
      </c>
      <c r="AE1419" s="2">
        <f t="shared" si="227"/>
        <v>0</v>
      </c>
      <c r="AF1419" t="s">
        <v>2081</v>
      </c>
      <c r="AG1419" s="2">
        <f t="shared" si="228"/>
        <v>6</v>
      </c>
      <c r="AH1419" s="2">
        <f t="shared" si="229"/>
        <v>1</v>
      </c>
      <c r="AI1419" s="3">
        <v>153.99999999906871</v>
      </c>
      <c r="AJ1419" s="2">
        <v>0</v>
      </c>
      <c r="AK1419">
        <v>0</v>
      </c>
      <c r="AL1419">
        <v>1</v>
      </c>
      <c r="AM1419">
        <v>0</v>
      </c>
      <c r="AN1419" s="2">
        <f>IF((2*G1419+M1419-O1419+3*V1419+2*AB1419+2*AE1419+2*AH1419+3*AJ1419)&gt;=7,1,0)</f>
        <v>0</v>
      </c>
    </row>
    <row r="1420" spans="1:40" x14ac:dyDescent="0.25">
      <c r="A1420" t="s">
        <v>27</v>
      </c>
      <c r="B1420" s="1">
        <v>41084</v>
      </c>
      <c r="C1420" s="6">
        <f t="shared" si="220"/>
        <v>2012</v>
      </c>
      <c r="D1420">
        <v>84.2</v>
      </c>
      <c r="E1420">
        <v>69.5</v>
      </c>
      <c r="F1420">
        <v>77.900000000000006</v>
      </c>
      <c r="G1420" s="2">
        <f t="shared" si="221"/>
        <v>1</v>
      </c>
      <c r="H1420">
        <v>88.5</v>
      </c>
      <c r="I1420">
        <v>69.5</v>
      </c>
      <c r="J1420">
        <v>79.400000000000006</v>
      </c>
      <c r="K1420">
        <v>64.5</v>
      </c>
      <c r="L1420">
        <v>63.9</v>
      </c>
      <c r="M1420" s="2">
        <f t="shared" si="222"/>
        <v>1</v>
      </c>
      <c r="N1420">
        <v>0</v>
      </c>
      <c r="O1420" s="2">
        <f t="shared" si="223"/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 s="2">
        <f t="shared" si="224"/>
        <v>0</v>
      </c>
      <c r="W1420">
        <v>18.3</v>
      </c>
      <c r="X1420" s="2">
        <f t="shared" si="225"/>
        <v>1</v>
      </c>
      <c r="Y1420">
        <v>302</v>
      </c>
      <c r="Z1420" s="2" t="str">
        <f>CHOOSE(MATCH(Y1420,{0;11;80;111;161;191;241;281;341},1),"North","NorthEast","East","SouthEast","South","SouthWest","West","NorthWest","North")</f>
        <v>NorthWest</v>
      </c>
      <c r="AA1420" s="4">
        <f>CHOOSE(MATCH(Z1420,{"South";"SouthEast";"SouthWest";"North";"NorthEast";"East";"West";"NorthWest"},0),1,2,3,4,5,6,7,8)</f>
        <v>8</v>
      </c>
      <c r="AB1420" s="2">
        <f t="shared" si="226"/>
        <v>1</v>
      </c>
      <c r="AC1420">
        <v>1010.8</v>
      </c>
      <c r="AD1420" t="s">
        <v>1188</v>
      </c>
      <c r="AE1420" s="2">
        <f t="shared" si="227"/>
        <v>0</v>
      </c>
      <c r="AF1420" t="s">
        <v>2082</v>
      </c>
      <c r="AG1420" s="2">
        <f t="shared" si="228"/>
        <v>6</v>
      </c>
      <c r="AH1420" s="2">
        <f t="shared" si="229"/>
        <v>1</v>
      </c>
      <c r="AI1420" s="3">
        <v>1865.0000000023281</v>
      </c>
      <c r="AJ1420" s="2">
        <v>1</v>
      </c>
      <c r="AK1420">
        <v>0</v>
      </c>
      <c r="AL1420">
        <v>2</v>
      </c>
      <c r="AM1420">
        <v>0</v>
      </c>
      <c r="AN1420" s="2">
        <f>IF((2*G1420+M1420-O1420+3*V1420+2*AB1420+2*AE1420+2*AH1420+3*AJ1420)&gt;=7,1,0)</f>
        <v>1</v>
      </c>
    </row>
    <row r="1421" spans="1:40" x14ac:dyDescent="0.25">
      <c r="A1421" t="s">
        <v>27</v>
      </c>
      <c r="B1421" s="1">
        <v>41091</v>
      </c>
      <c r="C1421" s="6">
        <f t="shared" si="220"/>
        <v>2012</v>
      </c>
      <c r="D1421">
        <v>80.599999999999994</v>
      </c>
      <c r="E1421">
        <v>68</v>
      </c>
      <c r="F1421">
        <v>76.8</v>
      </c>
      <c r="G1421" s="2">
        <f t="shared" si="221"/>
        <v>1</v>
      </c>
      <c r="H1421">
        <v>83.3</v>
      </c>
      <c r="I1421">
        <v>68</v>
      </c>
      <c r="J1421">
        <v>77.3</v>
      </c>
      <c r="K1421">
        <v>66.099999999999994</v>
      </c>
      <c r="L1421">
        <v>70.2</v>
      </c>
      <c r="M1421" s="2">
        <f t="shared" si="222"/>
        <v>0</v>
      </c>
      <c r="N1421">
        <v>0</v>
      </c>
      <c r="O1421" s="2">
        <f t="shared" si="223"/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 s="2">
        <f t="shared" si="224"/>
        <v>0</v>
      </c>
      <c r="W1421">
        <v>19.5</v>
      </c>
      <c r="X1421" s="2">
        <f t="shared" si="225"/>
        <v>1</v>
      </c>
      <c r="Y1421">
        <v>308.60000000000002</v>
      </c>
      <c r="Z1421" s="2" t="str">
        <f>CHOOSE(MATCH(Y1421,{0;11;80;111;161;191;241;281;341},1),"North","NorthEast","East","SouthEast","South","SouthWest","West","NorthWest","North")</f>
        <v>NorthWest</v>
      </c>
      <c r="AA1421" s="4">
        <f>CHOOSE(MATCH(Z1421,{"South";"SouthEast";"SouthWest";"North";"NorthEast";"East";"West";"NorthWest"},0),1,2,3,4,5,6,7,8)</f>
        <v>8</v>
      </c>
      <c r="AB1421" s="2">
        <f t="shared" si="226"/>
        <v>1</v>
      </c>
      <c r="AC1421">
        <v>1010.7</v>
      </c>
      <c r="AD1421" t="s">
        <v>2083</v>
      </c>
      <c r="AE1421" s="2">
        <f t="shared" si="227"/>
        <v>0</v>
      </c>
      <c r="AF1421" t="s">
        <v>2084</v>
      </c>
      <c r="AG1421" s="2">
        <f t="shared" si="228"/>
        <v>7</v>
      </c>
      <c r="AH1421" s="2">
        <f t="shared" si="229"/>
        <v>1</v>
      </c>
      <c r="AI1421" s="3">
        <v>2075.999999998603</v>
      </c>
      <c r="AJ1421" s="2">
        <v>1</v>
      </c>
      <c r="AK1421">
        <v>0</v>
      </c>
      <c r="AL1421">
        <v>290</v>
      </c>
      <c r="AM1421">
        <v>0</v>
      </c>
      <c r="AN1421" s="2">
        <f>IF((2*G1421+M1421-O1421+3*V1421+2*AB1421+2*AE1421+2*AH1421+3*AJ1421)&gt;=7,1,0)</f>
        <v>1</v>
      </c>
    </row>
    <row r="1422" spans="1:40" x14ac:dyDescent="0.25">
      <c r="A1422" t="s">
        <v>27</v>
      </c>
      <c r="B1422" s="1">
        <v>41092</v>
      </c>
      <c r="C1422" s="6">
        <f t="shared" si="220"/>
        <v>2012</v>
      </c>
      <c r="D1422">
        <v>80.599999999999994</v>
      </c>
      <c r="E1422">
        <v>69.5</v>
      </c>
      <c r="F1422">
        <v>76.2</v>
      </c>
      <c r="G1422" s="2">
        <f t="shared" si="221"/>
        <v>1</v>
      </c>
      <c r="H1422">
        <v>82.3</v>
      </c>
      <c r="I1422">
        <v>69.5</v>
      </c>
      <c r="J1422">
        <v>76.2</v>
      </c>
      <c r="K1422">
        <v>64.099999999999994</v>
      </c>
      <c r="L1422">
        <v>66.599999999999994</v>
      </c>
      <c r="M1422" s="2">
        <f t="shared" si="222"/>
        <v>0</v>
      </c>
      <c r="N1422">
        <v>0</v>
      </c>
      <c r="O1422" s="2">
        <f t="shared" si="223"/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 s="2">
        <f t="shared" si="224"/>
        <v>0</v>
      </c>
      <c r="W1422">
        <v>20.8</v>
      </c>
      <c r="X1422" s="2">
        <f t="shared" si="225"/>
        <v>1</v>
      </c>
      <c r="Y1422">
        <v>304.5</v>
      </c>
      <c r="Z1422" s="2" t="str">
        <f>CHOOSE(MATCH(Y1422,{0;11;80;111;161;191;241;281;341},1),"North","NorthEast","East","SouthEast","South","SouthWest","West","NorthWest","North")</f>
        <v>NorthWest</v>
      </c>
      <c r="AA1422" s="4">
        <f>CHOOSE(MATCH(Z1422,{"South";"SouthEast";"SouthWest";"North";"NorthEast";"East";"West";"NorthWest"},0),1,2,3,4,5,6,7,8)</f>
        <v>8</v>
      </c>
      <c r="AB1422" s="2">
        <f t="shared" si="226"/>
        <v>1</v>
      </c>
      <c r="AC1422">
        <v>1011.4</v>
      </c>
      <c r="AD1422" t="s">
        <v>2085</v>
      </c>
      <c r="AE1422" s="2">
        <f t="shared" si="227"/>
        <v>0</v>
      </c>
      <c r="AF1422" t="s">
        <v>2086</v>
      </c>
      <c r="AG1422" s="2">
        <f t="shared" si="228"/>
        <v>7</v>
      </c>
      <c r="AH1422" s="2">
        <f t="shared" si="229"/>
        <v>1</v>
      </c>
      <c r="AI1422" s="3">
        <v>1785.9999999962749</v>
      </c>
      <c r="AJ1422" s="2">
        <v>1</v>
      </c>
      <c r="AK1422">
        <v>0</v>
      </c>
      <c r="AL1422">
        <v>50</v>
      </c>
      <c r="AM1422">
        <v>0</v>
      </c>
      <c r="AN1422" s="2">
        <f>IF((2*G1422+M1422-O1422+3*V1422+2*AB1422+2*AE1422+2*AH1422+3*AJ1422)&gt;=7,1,0)</f>
        <v>1</v>
      </c>
    </row>
    <row r="1423" spans="1:40" x14ac:dyDescent="0.25">
      <c r="A1423" t="s">
        <v>27</v>
      </c>
      <c r="B1423" s="1">
        <v>41094</v>
      </c>
      <c r="C1423" s="6">
        <f t="shared" si="220"/>
        <v>2012</v>
      </c>
      <c r="D1423">
        <v>80.599999999999994</v>
      </c>
      <c r="E1423">
        <v>68</v>
      </c>
      <c r="F1423">
        <v>76.599999999999994</v>
      </c>
      <c r="G1423" s="2">
        <f t="shared" si="221"/>
        <v>1</v>
      </c>
      <c r="H1423">
        <v>83.3</v>
      </c>
      <c r="I1423">
        <v>68</v>
      </c>
      <c r="J1423">
        <v>77.2</v>
      </c>
      <c r="K1423">
        <v>64.599999999999994</v>
      </c>
      <c r="L1423">
        <v>66.8</v>
      </c>
      <c r="M1423" s="2">
        <f t="shared" si="222"/>
        <v>0</v>
      </c>
      <c r="N1423">
        <v>0</v>
      </c>
      <c r="O1423" s="2">
        <f t="shared" si="223"/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 s="2">
        <f t="shared" si="224"/>
        <v>0</v>
      </c>
      <c r="W1423">
        <v>17.2</v>
      </c>
      <c r="X1423" s="2">
        <f t="shared" si="225"/>
        <v>1</v>
      </c>
      <c r="Y1423">
        <v>312.5</v>
      </c>
      <c r="Z1423" s="2" t="str">
        <f>CHOOSE(MATCH(Y1423,{0;11;80;111;161;191;241;281;341},1),"North","NorthEast","East","SouthEast","South","SouthWest","West","NorthWest","North")</f>
        <v>NorthWest</v>
      </c>
      <c r="AA1423" s="4">
        <f>CHOOSE(MATCH(Z1423,{"South";"SouthEast";"SouthWest";"North";"NorthEast";"East";"West";"NorthWest"},0),1,2,3,4,5,6,7,8)</f>
        <v>8</v>
      </c>
      <c r="AB1423" s="2">
        <f t="shared" si="226"/>
        <v>1</v>
      </c>
      <c r="AC1423">
        <v>1010.8</v>
      </c>
      <c r="AD1423" t="s">
        <v>2087</v>
      </c>
      <c r="AE1423" s="2">
        <f t="shared" si="227"/>
        <v>1</v>
      </c>
      <c r="AF1423" t="s">
        <v>2088</v>
      </c>
      <c r="AG1423" s="2">
        <f t="shared" si="228"/>
        <v>7</v>
      </c>
      <c r="AH1423" s="2">
        <f t="shared" si="229"/>
        <v>1</v>
      </c>
      <c r="AI1423" s="3">
        <v>249.99999999767169</v>
      </c>
      <c r="AJ1423" s="2">
        <v>0</v>
      </c>
      <c r="AK1423">
        <v>0</v>
      </c>
      <c r="AL1423">
        <v>2</v>
      </c>
      <c r="AM1423">
        <v>0</v>
      </c>
      <c r="AN1423" s="2">
        <f>IF((2*G1423+M1423-O1423+3*V1423+2*AB1423+2*AE1423+2*AH1423+3*AJ1423)&gt;=7,1,0)</f>
        <v>1</v>
      </c>
    </row>
    <row r="1424" spans="1:40" x14ac:dyDescent="0.25">
      <c r="A1424" t="s">
        <v>27</v>
      </c>
      <c r="B1424" s="1">
        <v>41104</v>
      </c>
      <c r="C1424" s="6">
        <f t="shared" si="220"/>
        <v>2012</v>
      </c>
      <c r="D1424">
        <v>87.8</v>
      </c>
      <c r="E1424">
        <v>73.400000000000006</v>
      </c>
      <c r="F1424">
        <v>82.7</v>
      </c>
      <c r="G1424" s="2">
        <f t="shared" si="221"/>
        <v>1</v>
      </c>
      <c r="H1424">
        <v>100</v>
      </c>
      <c r="I1424">
        <v>73.400000000000006</v>
      </c>
      <c r="J1424">
        <v>87.7</v>
      </c>
      <c r="K1424">
        <v>68.3</v>
      </c>
      <c r="L1424">
        <v>62.3</v>
      </c>
      <c r="M1424" s="2">
        <f t="shared" si="222"/>
        <v>1</v>
      </c>
      <c r="N1424">
        <v>0</v>
      </c>
      <c r="O1424" s="2">
        <f t="shared" si="223"/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 s="2">
        <f t="shared" si="224"/>
        <v>0</v>
      </c>
      <c r="W1424">
        <v>11.4</v>
      </c>
      <c r="X1424" s="2">
        <f t="shared" si="225"/>
        <v>0</v>
      </c>
      <c r="Y1424">
        <v>302.8</v>
      </c>
      <c r="Z1424" s="2" t="str">
        <f>CHOOSE(MATCH(Y1424,{0;11;80;111;161;191;241;281;341},1),"North","NorthEast","East","SouthEast","South","SouthWest","West","NorthWest","North")</f>
        <v>NorthWest</v>
      </c>
      <c r="AA1424" s="4">
        <f>CHOOSE(MATCH(Z1424,{"South";"SouthEast";"SouthWest";"North";"NorthEast";"East";"West";"NorthWest"},0),1,2,3,4,5,6,7,8)</f>
        <v>8</v>
      </c>
      <c r="AB1424" s="2">
        <f t="shared" si="226"/>
        <v>1</v>
      </c>
      <c r="AC1424">
        <v>1007.8</v>
      </c>
      <c r="AD1424" t="s">
        <v>2089</v>
      </c>
      <c r="AE1424" s="2">
        <f t="shared" si="227"/>
        <v>0</v>
      </c>
      <c r="AF1424" t="s">
        <v>2090</v>
      </c>
      <c r="AG1424" s="2">
        <f t="shared" si="228"/>
        <v>7</v>
      </c>
      <c r="AH1424" s="2">
        <f t="shared" si="229"/>
        <v>1</v>
      </c>
      <c r="AI1424" s="3">
        <v>14418.99999999907</v>
      </c>
      <c r="AJ1424" s="2">
        <v>1</v>
      </c>
      <c r="AK1424">
        <v>0</v>
      </c>
      <c r="AL1424">
        <v>1</v>
      </c>
      <c r="AM1424">
        <v>0</v>
      </c>
      <c r="AN1424" s="2">
        <f>IF((2*G1424+M1424-O1424+3*V1424+2*AB1424+2*AE1424+2*AH1424+3*AJ1424)&gt;=7,1,0)</f>
        <v>1</v>
      </c>
    </row>
    <row r="1425" spans="1:40" x14ac:dyDescent="0.25">
      <c r="A1425" t="s">
        <v>27</v>
      </c>
      <c r="B1425" s="1">
        <v>41104</v>
      </c>
      <c r="C1425" s="6">
        <f t="shared" si="220"/>
        <v>2012</v>
      </c>
      <c r="D1425">
        <v>87.8</v>
      </c>
      <c r="E1425">
        <v>73.400000000000006</v>
      </c>
      <c r="F1425">
        <v>82.7</v>
      </c>
      <c r="G1425" s="2">
        <f t="shared" si="221"/>
        <v>1</v>
      </c>
      <c r="H1425">
        <v>100</v>
      </c>
      <c r="I1425">
        <v>73.400000000000006</v>
      </c>
      <c r="J1425">
        <v>87.7</v>
      </c>
      <c r="K1425">
        <v>68.3</v>
      </c>
      <c r="L1425">
        <v>62.3</v>
      </c>
      <c r="M1425" s="2">
        <f t="shared" si="222"/>
        <v>1</v>
      </c>
      <c r="N1425">
        <v>0</v>
      </c>
      <c r="O1425" s="2">
        <f t="shared" si="223"/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 s="2">
        <f t="shared" si="224"/>
        <v>0</v>
      </c>
      <c r="W1425">
        <v>11.4</v>
      </c>
      <c r="X1425" s="2">
        <f t="shared" si="225"/>
        <v>0</v>
      </c>
      <c r="Y1425">
        <v>302.8</v>
      </c>
      <c r="Z1425" s="2" t="str">
        <f>CHOOSE(MATCH(Y1425,{0;11;80;111;161;191;241;281;341},1),"North","NorthEast","East","SouthEast","South","SouthWest","West","NorthWest","North")</f>
        <v>NorthWest</v>
      </c>
      <c r="AA1425" s="4">
        <f>CHOOSE(MATCH(Z1425,{"South";"SouthEast";"SouthWest";"North";"NorthEast";"East";"West";"NorthWest"},0),1,2,3,4,5,6,7,8)</f>
        <v>8</v>
      </c>
      <c r="AB1425" s="2">
        <f t="shared" si="226"/>
        <v>1</v>
      </c>
      <c r="AC1425">
        <v>1007.8</v>
      </c>
      <c r="AD1425" t="s">
        <v>2091</v>
      </c>
      <c r="AE1425" s="2">
        <f t="shared" si="227"/>
        <v>1</v>
      </c>
      <c r="AF1425" t="s">
        <v>2092</v>
      </c>
      <c r="AG1425" s="2">
        <f t="shared" si="228"/>
        <v>7</v>
      </c>
      <c r="AH1425" s="2">
        <f t="shared" si="229"/>
        <v>1</v>
      </c>
      <c r="AI1425" s="3">
        <v>1424.0000000002331</v>
      </c>
      <c r="AJ1425" s="2">
        <v>1</v>
      </c>
      <c r="AK1425">
        <v>0</v>
      </c>
      <c r="AL1425">
        <v>10</v>
      </c>
      <c r="AM1425">
        <v>0</v>
      </c>
      <c r="AN1425" s="2">
        <f>IF((2*G1425+M1425-O1425+3*V1425+2*AB1425+2*AE1425+2*AH1425+3*AJ1425)&gt;=7,1,0)</f>
        <v>1</v>
      </c>
    </row>
    <row r="1426" spans="1:40" x14ac:dyDescent="0.25">
      <c r="A1426" t="s">
        <v>27</v>
      </c>
      <c r="B1426" s="1">
        <v>41105</v>
      </c>
      <c r="C1426" s="6">
        <f t="shared" si="220"/>
        <v>2012</v>
      </c>
      <c r="D1426">
        <v>89.6</v>
      </c>
      <c r="E1426">
        <v>75.2</v>
      </c>
      <c r="F1426">
        <v>83.2</v>
      </c>
      <c r="G1426" s="2">
        <f t="shared" si="221"/>
        <v>1</v>
      </c>
      <c r="H1426">
        <v>95.9</v>
      </c>
      <c r="I1426">
        <v>75.2</v>
      </c>
      <c r="J1426">
        <v>88.4</v>
      </c>
      <c r="K1426">
        <v>71.599999999999994</v>
      </c>
      <c r="L1426">
        <v>68.599999999999994</v>
      </c>
      <c r="M1426" s="2">
        <f t="shared" si="222"/>
        <v>0</v>
      </c>
      <c r="N1426">
        <v>0</v>
      </c>
      <c r="O1426" s="2">
        <f t="shared" si="223"/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 s="2">
        <f t="shared" si="224"/>
        <v>0</v>
      </c>
      <c r="W1426">
        <v>17.2</v>
      </c>
      <c r="X1426" s="2">
        <f t="shared" si="225"/>
        <v>1</v>
      </c>
      <c r="Y1426">
        <v>310.60000000000002</v>
      </c>
      <c r="Z1426" s="2" t="str">
        <f>CHOOSE(MATCH(Y1426,{0;11;80;111;161;191;241;281;341},1),"North","NorthEast","East","SouthEast","South","SouthWest","West","NorthWest","North")</f>
        <v>NorthWest</v>
      </c>
      <c r="AA1426" s="4">
        <f>CHOOSE(MATCH(Z1426,{"South";"SouthEast";"SouthWest";"North";"NorthEast";"East";"West";"NorthWest"},0),1,2,3,4,5,6,7,8)</f>
        <v>8</v>
      </c>
      <c r="AB1426" s="2">
        <f t="shared" si="226"/>
        <v>1</v>
      </c>
      <c r="AC1426">
        <v>1008.9</v>
      </c>
      <c r="AD1426" t="s">
        <v>1262</v>
      </c>
      <c r="AE1426" s="2">
        <f t="shared" si="227"/>
        <v>0</v>
      </c>
      <c r="AF1426" t="s">
        <v>2093</v>
      </c>
      <c r="AG1426" s="2">
        <f t="shared" si="228"/>
        <v>7</v>
      </c>
      <c r="AH1426" s="2">
        <f t="shared" si="229"/>
        <v>1</v>
      </c>
      <c r="AI1426" s="3">
        <v>100.0000000011642</v>
      </c>
      <c r="AJ1426" s="2">
        <v>0</v>
      </c>
      <c r="AK1426">
        <v>0</v>
      </c>
      <c r="AL1426">
        <v>1</v>
      </c>
      <c r="AM1426">
        <v>0</v>
      </c>
      <c r="AN1426" s="2">
        <f>IF((2*G1426+M1426-O1426+3*V1426+2*AB1426+2*AE1426+2*AH1426+3*AJ1426)&gt;=7,1,0)</f>
        <v>0</v>
      </c>
    </row>
    <row r="1427" spans="1:40" x14ac:dyDescent="0.25">
      <c r="A1427" t="s">
        <v>27</v>
      </c>
      <c r="B1427" s="1">
        <v>41107</v>
      </c>
      <c r="C1427" s="6">
        <f t="shared" si="220"/>
        <v>2012</v>
      </c>
      <c r="D1427">
        <v>87.8</v>
      </c>
      <c r="E1427">
        <v>75.2</v>
      </c>
      <c r="F1427">
        <v>82.3</v>
      </c>
      <c r="G1427" s="2">
        <f t="shared" si="221"/>
        <v>1</v>
      </c>
      <c r="H1427">
        <v>100</v>
      </c>
      <c r="I1427">
        <v>75.2</v>
      </c>
      <c r="J1427">
        <v>88.1</v>
      </c>
      <c r="K1427">
        <v>70</v>
      </c>
      <c r="L1427">
        <v>67.099999999999994</v>
      </c>
      <c r="M1427" s="2">
        <f t="shared" si="222"/>
        <v>0</v>
      </c>
      <c r="N1427">
        <v>0</v>
      </c>
      <c r="O1427" s="2">
        <f t="shared" si="223"/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 s="2">
        <f t="shared" si="224"/>
        <v>0</v>
      </c>
      <c r="W1427">
        <v>21.9</v>
      </c>
      <c r="X1427" s="2">
        <f t="shared" si="225"/>
        <v>1</v>
      </c>
      <c r="Y1427">
        <v>302.8</v>
      </c>
      <c r="Z1427" s="2" t="str">
        <f>CHOOSE(MATCH(Y1427,{0;11;80;111;161;191;241;281;341},1),"North","NorthEast","East","SouthEast","South","SouthWest","West","NorthWest","North")</f>
        <v>NorthWest</v>
      </c>
      <c r="AA1427" s="4">
        <f>CHOOSE(MATCH(Z1427,{"South";"SouthEast";"SouthWest";"North";"NorthEast";"East";"West";"NorthWest"},0),1,2,3,4,5,6,7,8)</f>
        <v>8</v>
      </c>
      <c r="AB1427" s="2">
        <f t="shared" si="226"/>
        <v>1</v>
      </c>
      <c r="AC1427">
        <v>1007.5</v>
      </c>
      <c r="AD1427" t="s">
        <v>2094</v>
      </c>
      <c r="AE1427" s="2">
        <f t="shared" si="227"/>
        <v>1</v>
      </c>
      <c r="AF1427" t="s">
        <v>2095</v>
      </c>
      <c r="AG1427" s="2">
        <f t="shared" si="228"/>
        <v>7</v>
      </c>
      <c r="AH1427" s="2">
        <f t="shared" si="229"/>
        <v>1</v>
      </c>
      <c r="AI1427" s="3">
        <v>1530</v>
      </c>
      <c r="AJ1427" s="2">
        <v>1</v>
      </c>
      <c r="AK1427">
        <v>0</v>
      </c>
      <c r="AL1427">
        <v>5</v>
      </c>
      <c r="AM1427">
        <v>0</v>
      </c>
      <c r="AN1427" s="2">
        <f>IF((2*G1427+M1427-O1427+3*V1427+2*AB1427+2*AE1427+2*AH1427+3*AJ1427)&gt;=7,1,0)</f>
        <v>1</v>
      </c>
    </row>
    <row r="1428" spans="1:40" x14ac:dyDescent="0.25">
      <c r="A1428" t="s">
        <v>27</v>
      </c>
      <c r="B1428" s="1">
        <v>41108</v>
      </c>
      <c r="C1428" s="6">
        <f t="shared" si="220"/>
        <v>2012</v>
      </c>
      <c r="D1428">
        <v>86</v>
      </c>
      <c r="E1428">
        <v>78.8</v>
      </c>
      <c r="F1428">
        <v>81.599999999999994</v>
      </c>
      <c r="G1428" s="2">
        <f t="shared" si="221"/>
        <v>1</v>
      </c>
      <c r="H1428">
        <v>92</v>
      </c>
      <c r="I1428">
        <v>78.8</v>
      </c>
      <c r="J1428">
        <v>84.8</v>
      </c>
      <c r="K1428">
        <v>70.900000000000006</v>
      </c>
      <c r="L1428">
        <v>70.599999999999994</v>
      </c>
      <c r="M1428" s="2">
        <f t="shared" si="222"/>
        <v>0</v>
      </c>
      <c r="N1428">
        <v>0</v>
      </c>
      <c r="O1428" s="2">
        <f t="shared" si="223"/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 s="2">
        <f t="shared" si="224"/>
        <v>0</v>
      </c>
      <c r="W1428">
        <v>25.3</v>
      </c>
      <c r="X1428" s="2">
        <f t="shared" si="225"/>
        <v>1</v>
      </c>
      <c r="Y1428">
        <v>313.89999999999998</v>
      </c>
      <c r="Z1428" s="2" t="str">
        <f>CHOOSE(MATCH(Y1428,{0;11;80;111;161;191;241;281;341},1),"North","NorthEast","East","SouthEast","South","SouthWest","West","NorthWest","North")</f>
        <v>NorthWest</v>
      </c>
      <c r="AA1428" s="4">
        <f>CHOOSE(MATCH(Z1428,{"South";"SouthEast";"SouthWest";"North";"NorthEast";"East";"West";"NorthWest"},0),1,2,3,4,5,6,7,8)</f>
        <v>8</v>
      </c>
      <c r="AB1428" s="2">
        <f t="shared" si="226"/>
        <v>1</v>
      </c>
      <c r="AC1428">
        <v>1009.4</v>
      </c>
      <c r="AD1428" t="s">
        <v>2096</v>
      </c>
      <c r="AE1428" s="2">
        <f t="shared" si="227"/>
        <v>0</v>
      </c>
      <c r="AF1428" t="s">
        <v>2097</v>
      </c>
      <c r="AG1428" s="2">
        <f t="shared" si="228"/>
        <v>7</v>
      </c>
      <c r="AH1428" s="2">
        <f t="shared" si="229"/>
        <v>1</v>
      </c>
      <c r="AI1428" s="3">
        <v>2029.0000000025609</v>
      </c>
      <c r="AJ1428" s="2">
        <v>1</v>
      </c>
      <c r="AK1428">
        <v>0</v>
      </c>
      <c r="AL1428">
        <v>10</v>
      </c>
      <c r="AM1428">
        <v>0</v>
      </c>
      <c r="AN1428" s="2">
        <f>IF((2*G1428+M1428-O1428+3*V1428+2*AB1428+2*AE1428+2*AH1428+3*AJ1428)&gt;=7,1,0)</f>
        <v>1</v>
      </c>
    </row>
    <row r="1429" spans="1:40" x14ac:dyDescent="0.25">
      <c r="A1429" t="s">
        <v>27</v>
      </c>
      <c r="B1429" s="1">
        <v>41108</v>
      </c>
      <c r="C1429" s="6">
        <f t="shared" si="220"/>
        <v>2012</v>
      </c>
      <c r="D1429">
        <v>86</v>
      </c>
      <c r="E1429">
        <v>78.8</v>
      </c>
      <c r="F1429">
        <v>81.599999999999994</v>
      </c>
      <c r="G1429" s="2">
        <f t="shared" si="221"/>
        <v>1</v>
      </c>
      <c r="H1429">
        <v>92</v>
      </c>
      <c r="I1429">
        <v>78.8</v>
      </c>
      <c r="J1429">
        <v>84.8</v>
      </c>
      <c r="K1429">
        <v>70.900000000000006</v>
      </c>
      <c r="L1429">
        <v>70.599999999999994</v>
      </c>
      <c r="M1429" s="2">
        <f t="shared" si="222"/>
        <v>0</v>
      </c>
      <c r="N1429">
        <v>0</v>
      </c>
      <c r="O1429" s="2">
        <f t="shared" si="223"/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 s="2">
        <f t="shared" si="224"/>
        <v>0</v>
      </c>
      <c r="W1429">
        <v>25.3</v>
      </c>
      <c r="X1429" s="2">
        <f t="shared" si="225"/>
        <v>1</v>
      </c>
      <c r="Y1429">
        <v>313.89999999999998</v>
      </c>
      <c r="Z1429" s="2" t="str">
        <f>CHOOSE(MATCH(Y1429,{0;11;80;111;161;191;241;281;341},1),"North","NorthEast","East","SouthEast","South","SouthWest","West","NorthWest","North")</f>
        <v>NorthWest</v>
      </c>
      <c r="AA1429" s="4">
        <f>CHOOSE(MATCH(Z1429,{"South";"SouthEast";"SouthWest";"North";"NorthEast";"East";"West";"NorthWest"},0),1,2,3,4,5,6,7,8)</f>
        <v>8</v>
      </c>
      <c r="AB1429" s="2">
        <f t="shared" si="226"/>
        <v>1</v>
      </c>
      <c r="AC1429">
        <v>1009.4</v>
      </c>
      <c r="AD1429" t="s">
        <v>2031</v>
      </c>
      <c r="AE1429" s="2">
        <f t="shared" si="227"/>
        <v>1</v>
      </c>
      <c r="AF1429" t="s">
        <v>2098</v>
      </c>
      <c r="AG1429" s="2">
        <f t="shared" si="228"/>
        <v>7</v>
      </c>
      <c r="AH1429" s="2">
        <f t="shared" si="229"/>
        <v>1</v>
      </c>
      <c r="AI1429" s="3">
        <v>110.00000000232831</v>
      </c>
      <c r="AJ1429" s="2">
        <v>0</v>
      </c>
      <c r="AK1429">
        <v>0</v>
      </c>
      <c r="AL1429">
        <v>2</v>
      </c>
      <c r="AM1429">
        <v>0</v>
      </c>
      <c r="AN1429" s="2">
        <f>IF((2*G1429+M1429-O1429+3*V1429+2*AB1429+2*AE1429+2*AH1429+3*AJ1429)&gt;=7,1,0)</f>
        <v>1</v>
      </c>
    </row>
    <row r="1430" spans="1:40" x14ac:dyDescent="0.25">
      <c r="A1430" t="s">
        <v>27</v>
      </c>
      <c r="B1430" s="1">
        <v>41109</v>
      </c>
      <c r="C1430" s="6">
        <f t="shared" si="220"/>
        <v>2012</v>
      </c>
      <c r="D1430">
        <v>84.3</v>
      </c>
      <c r="E1430">
        <v>78.8</v>
      </c>
      <c r="F1430">
        <v>81.099999999999994</v>
      </c>
      <c r="G1430" s="2">
        <f t="shared" si="221"/>
        <v>1</v>
      </c>
      <c r="H1430">
        <v>87.6</v>
      </c>
      <c r="I1430">
        <v>78.8</v>
      </c>
      <c r="J1430">
        <v>82.5</v>
      </c>
      <c r="K1430">
        <v>66.400000000000006</v>
      </c>
      <c r="L1430">
        <v>61.3</v>
      </c>
      <c r="M1430" s="2">
        <f t="shared" si="222"/>
        <v>1</v>
      </c>
      <c r="N1430">
        <v>0</v>
      </c>
      <c r="O1430" s="2">
        <f t="shared" si="223"/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 s="2">
        <f t="shared" si="224"/>
        <v>0</v>
      </c>
      <c r="W1430">
        <v>24.2</v>
      </c>
      <c r="X1430" s="2">
        <f t="shared" si="225"/>
        <v>1</v>
      </c>
      <c r="Y1430">
        <v>301.3</v>
      </c>
      <c r="Z1430" s="2" t="str">
        <f>CHOOSE(MATCH(Y1430,{0;11;80;111;161;191;241;281;341},1),"North","NorthEast","East","SouthEast","South","SouthWest","West","NorthWest","North")</f>
        <v>NorthWest</v>
      </c>
      <c r="AA1430" s="4">
        <f>CHOOSE(MATCH(Z1430,{"South";"SouthEast";"SouthWest";"North";"NorthEast";"East";"West";"NorthWest"},0),1,2,3,4,5,6,7,8)</f>
        <v>8</v>
      </c>
      <c r="AB1430" s="2">
        <f t="shared" si="226"/>
        <v>1</v>
      </c>
      <c r="AC1430">
        <v>1009.9</v>
      </c>
      <c r="AD1430" t="s">
        <v>1897</v>
      </c>
      <c r="AE1430" s="2">
        <f t="shared" si="227"/>
        <v>1</v>
      </c>
      <c r="AF1430" t="s">
        <v>2099</v>
      </c>
      <c r="AG1430" s="2">
        <f t="shared" si="228"/>
        <v>7</v>
      </c>
      <c r="AH1430" s="2">
        <f t="shared" si="229"/>
        <v>1</v>
      </c>
      <c r="AI1430" s="3">
        <v>730.00000000116415</v>
      </c>
      <c r="AJ1430" s="2">
        <v>1</v>
      </c>
      <c r="AK1430">
        <v>0</v>
      </c>
      <c r="AL1430">
        <v>80</v>
      </c>
      <c r="AM1430">
        <v>0</v>
      </c>
      <c r="AN1430" s="2">
        <f>IF((2*G1430+M1430-O1430+3*V1430+2*AB1430+2*AE1430+2*AH1430+3*AJ1430)&gt;=7,1,0)</f>
        <v>1</v>
      </c>
    </row>
    <row r="1431" spans="1:40" x14ac:dyDescent="0.25">
      <c r="A1431" t="s">
        <v>27</v>
      </c>
      <c r="B1431" s="1">
        <v>41109</v>
      </c>
      <c r="C1431" s="6">
        <f t="shared" si="220"/>
        <v>2012</v>
      </c>
      <c r="D1431">
        <v>84.3</v>
      </c>
      <c r="E1431">
        <v>78.8</v>
      </c>
      <c r="F1431">
        <v>81.099999999999994</v>
      </c>
      <c r="G1431" s="2">
        <f t="shared" si="221"/>
        <v>1</v>
      </c>
      <c r="H1431">
        <v>87.6</v>
      </c>
      <c r="I1431">
        <v>78.8</v>
      </c>
      <c r="J1431">
        <v>82.5</v>
      </c>
      <c r="K1431">
        <v>66.400000000000006</v>
      </c>
      <c r="L1431">
        <v>61.3</v>
      </c>
      <c r="M1431" s="2">
        <f t="shared" si="222"/>
        <v>1</v>
      </c>
      <c r="N1431">
        <v>0</v>
      </c>
      <c r="O1431" s="2">
        <f t="shared" si="223"/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 s="2">
        <f t="shared" si="224"/>
        <v>0</v>
      </c>
      <c r="W1431">
        <v>24.2</v>
      </c>
      <c r="X1431" s="2">
        <f t="shared" si="225"/>
        <v>1</v>
      </c>
      <c r="Y1431">
        <v>301.3</v>
      </c>
      <c r="Z1431" s="2" t="str">
        <f>CHOOSE(MATCH(Y1431,{0;11;80;111;161;191;241;281;341},1),"North","NorthEast","East","SouthEast","South","SouthWest","West","NorthWest","North")</f>
        <v>NorthWest</v>
      </c>
      <c r="AA1431" s="4">
        <f>CHOOSE(MATCH(Z1431,{"South";"SouthEast";"SouthWest";"North";"NorthEast";"East";"West";"NorthWest"},0),1,2,3,4,5,6,7,8)</f>
        <v>8</v>
      </c>
      <c r="AB1431" s="2">
        <f t="shared" si="226"/>
        <v>1</v>
      </c>
      <c r="AC1431">
        <v>1009.9</v>
      </c>
      <c r="AD1431" t="s">
        <v>2100</v>
      </c>
      <c r="AE1431" s="2">
        <f t="shared" si="227"/>
        <v>1</v>
      </c>
      <c r="AF1431" t="s">
        <v>2101</v>
      </c>
      <c r="AG1431" s="2">
        <f t="shared" si="228"/>
        <v>7</v>
      </c>
      <c r="AH1431" s="2">
        <f t="shared" si="229"/>
        <v>1</v>
      </c>
      <c r="AI1431" s="3">
        <v>1441.0000000032601</v>
      </c>
      <c r="AJ1431" s="2">
        <v>1</v>
      </c>
      <c r="AK1431">
        <v>0</v>
      </c>
      <c r="AL1431">
        <v>100</v>
      </c>
      <c r="AM1431">
        <v>0</v>
      </c>
      <c r="AN1431" s="2">
        <f>IF((2*G1431+M1431-O1431+3*V1431+2*AB1431+2*AE1431+2*AH1431+3*AJ1431)&gt;=7,1,0)</f>
        <v>1</v>
      </c>
    </row>
    <row r="1432" spans="1:40" x14ac:dyDescent="0.25">
      <c r="A1432" t="s">
        <v>27</v>
      </c>
      <c r="B1432" s="1">
        <v>41111</v>
      </c>
      <c r="C1432" s="6">
        <f t="shared" si="220"/>
        <v>2012</v>
      </c>
      <c r="D1432">
        <v>86</v>
      </c>
      <c r="E1432">
        <v>75.2</v>
      </c>
      <c r="F1432">
        <v>81.7</v>
      </c>
      <c r="G1432" s="2">
        <f t="shared" si="221"/>
        <v>1</v>
      </c>
      <c r="H1432">
        <v>90.6</v>
      </c>
      <c r="I1432">
        <v>75.2</v>
      </c>
      <c r="J1432">
        <v>83.6</v>
      </c>
      <c r="K1432">
        <v>65.599999999999994</v>
      </c>
      <c r="L1432">
        <v>58.6</v>
      </c>
      <c r="M1432" s="2">
        <f t="shared" si="222"/>
        <v>1</v>
      </c>
      <c r="N1432">
        <v>0</v>
      </c>
      <c r="O1432" s="2">
        <f t="shared" si="223"/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 s="2">
        <f t="shared" si="224"/>
        <v>0</v>
      </c>
      <c r="W1432">
        <v>20.8</v>
      </c>
      <c r="X1432" s="2">
        <f t="shared" si="225"/>
        <v>1</v>
      </c>
      <c r="Y1432">
        <v>306.39999999999998</v>
      </c>
      <c r="Z1432" s="2" t="str">
        <f>CHOOSE(MATCH(Y1432,{0;11;80;111;161;191;241;281;341},1),"North","NorthEast","East","SouthEast","South","SouthWest","West","NorthWest","North")</f>
        <v>NorthWest</v>
      </c>
      <c r="AA1432" s="4">
        <f>CHOOSE(MATCH(Z1432,{"South";"SouthEast";"SouthWest";"North";"NorthEast";"East";"West";"NorthWest"},0),1,2,3,4,5,6,7,8)</f>
        <v>8</v>
      </c>
      <c r="AB1432" s="2">
        <f t="shared" si="226"/>
        <v>1</v>
      </c>
      <c r="AC1432">
        <v>1008.4</v>
      </c>
      <c r="AD1432" t="s">
        <v>2102</v>
      </c>
      <c r="AE1432" s="2">
        <f t="shared" si="227"/>
        <v>0</v>
      </c>
      <c r="AF1432" t="s">
        <v>2103</v>
      </c>
      <c r="AG1432" s="2">
        <f t="shared" si="228"/>
        <v>7</v>
      </c>
      <c r="AH1432" s="2">
        <f t="shared" si="229"/>
        <v>1</v>
      </c>
      <c r="AI1432" s="3">
        <v>967.99999999115244</v>
      </c>
      <c r="AJ1432" s="2">
        <v>1</v>
      </c>
      <c r="AK1432">
        <v>0</v>
      </c>
      <c r="AL1432">
        <v>10</v>
      </c>
      <c r="AM1432">
        <v>0</v>
      </c>
      <c r="AN1432" s="2">
        <f>IF((2*G1432+M1432-O1432+3*V1432+2*AB1432+2*AE1432+2*AH1432+3*AJ1432)&gt;=7,1,0)</f>
        <v>1</v>
      </c>
    </row>
    <row r="1433" spans="1:40" x14ac:dyDescent="0.25">
      <c r="A1433" t="s">
        <v>27</v>
      </c>
      <c r="B1433" s="1">
        <v>41112</v>
      </c>
      <c r="C1433" s="6">
        <f t="shared" si="220"/>
        <v>2012</v>
      </c>
      <c r="D1433">
        <v>84.2</v>
      </c>
      <c r="E1433">
        <v>71.599999999999994</v>
      </c>
      <c r="F1433">
        <v>80</v>
      </c>
      <c r="G1433" s="2">
        <f t="shared" si="221"/>
        <v>1</v>
      </c>
      <c r="H1433">
        <v>91</v>
      </c>
      <c r="I1433">
        <v>71.599999999999994</v>
      </c>
      <c r="J1433">
        <v>82.6</v>
      </c>
      <c r="K1433">
        <v>67.8</v>
      </c>
      <c r="L1433">
        <v>66.599999999999994</v>
      </c>
      <c r="M1433" s="2">
        <f t="shared" si="222"/>
        <v>0</v>
      </c>
      <c r="N1433">
        <v>0</v>
      </c>
      <c r="O1433" s="2">
        <f t="shared" si="223"/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 s="2">
        <f t="shared" si="224"/>
        <v>0</v>
      </c>
      <c r="W1433">
        <v>20.8</v>
      </c>
      <c r="X1433" s="2">
        <f t="shared" si="225"/>
        <v>1</v>
      </c>
      <c r="Y1433">
        <v>312.7</v>
      </c>
      <c r="Z1433" s="2" t="str">
        <f>CHOOSE(MATCH(Y1433,{0;11;80;111;161;191;241;281;341},1),"North","NorthEast","East","SouthEast","South","SouthWest","West","NorthWest","North")</f>
        <v>NorthWest</v>
      </c>
      <c r="AA1433" s="4">
        <f>CHOOSE(MATCH(Z1433,{"South";"SouthEast";"SouthWest";"North";"NorthEast";"East";"West";"NorthWest"},0),1,2,3,4,5,6,7,8)</f>
        <v>8</v>
      </c>
      <c r="AB1433" s="2">
        <f t="shared" si="226"/>
        <v>1</v>
      </c>
      <c r="AC1433">
        <v>1007.1</v>
      </c>
      <c r="AD1433" t="s">
        <v>2104</v>
      </c>
      <c r="AE1433" s="2">
        <f t="shared" si="227"/>
        <v>1</v>
      </c>
      <c r="AF1433" t="s">
        <v>2105</v>
      </c>
      <c r="AG1433" s="2">
        <f t="shared" si="228"/>
        <v>7</v>
      </c>
      <c r="AH1433" s="2">
        <f t="shared" si="229"/>
        <v>1</v>
      </c>
      <c r="AI1433" s="3">
        <v>56.000000004423782</v>
      </c>
      <c r="AJ1433" s="2">
        <v>0</v>
      </c>
      <c r="AK1433">
        <v>0</v>
      </c>
      <c r="AL1433">
        <v>1</v>
      </c>
      <c r="AM1433">
        <v>0</v>
      </c>
      <c r="AN1433" s="2">
        <f>IF((2*G1433+M1433-O1433+3*V1433+2*AB1433+2*AE1433+2*AH1433+3*AJ1433)&gt;=7,1,0)</f>
        <v>1</v>
      </c>
    </row>
    <row r="1434" spans="1:40" x14ac:dyDescent="0.25">
      <c r="A1434" t="s">
        <v>27</v>
      </c>
      <c r="B1434" s="1">
        <v>41112</v>
      </c>
      <c r="C1434" s="6">
        <f t="shared" si="220"/>
        <v>2012</v>
      </c>
      <c r="D1434">
        <v>84.2</v>
      </c>
      <c r="E1434">
        <v>71.599999999999994</v>
      </c>
      <c r="F1434">
        <v>80</v>
      </c>
      <c r="G1434" s="2">
        <f t="shared" si="221"/>
        <v>1</v>
      </c>
      <c r="H1434">
        <v>91</v>
      </c>
      <c r="I1434">
        <v>71.599999999999994</v>
      </c>
      <c r="J1434">
        <v>82.6</v>
      </c>
      <c r="K1434">
        <v>67.8</v>
      </c>
      <c r="L1434">
        <v>66.599999999999994</v>
      </c>
      <c r="M1434" s="2">
        <f t="shared" si="222"/>
        <v>0</v>
      </c>
      <c r="N1434">
        <v>0</v>
      </c>
      <c r="O1434" s="2">
        <f t="shared" si="223"/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 s="2">
        <f t="shared" si="224"/>
        <v>0</v>
      </c>
      <c r="W1434">
        <v>20.8</v>
      </c>
      <c r="X1434" s="2">
        <f t="shared" si="225"/>
        <v>1</v>
      </c>
      <c r="Y1434">
        <v>312.7</v>
      </c>
      <c r="Z1434" s="2" t="str">
        <f>CHOOSE(MATCH(Y1434,{0;11;80;111;161;191;241;281;341},1),"North","NorthEast","East","SouthEast","South","SouthWest","West","NorthWest","North")</f>
        <v>NorthWest</v>
      </c>
      <c r="AA1434" s="4">
        <f>CHOOSE(MATCH(Z1434,{"South";"SouthEast";"SouthWest";"North";"NorthEast";"East";"West";"NorthWest"},0),1,2,3,4,5,6,7,8)</f>
        <v>8</v>
      </c>
      <c r="AB1434" s="2">
        <f t="shared" si="226"/>
        <v>1</v>
      </c>
      <c r="AC1434">
        <v>1007.1</v>
      </c>
      <c r="AD1434" t="s">
        <v>1853</v>
      </c>
      <c r="AE1434" s="2">
        <f t="shared" si="227"/>
        <v>0</v>
      </c>
      <c r="AF1434" t="s">
        <v>2106</v>
      </c>
      <c r="AG1434" s="2">
        <f t="shared" si="228"/>
        <v>7</v>
      </c>
      <c r="AH1434" s="2">
        <f t="shared" si="229"/>
        <v>1</v>
      </c>
      <c r="AI1434" s="3">
        <v>419.99999999650748</v>
      </c>
      <c r="AJ1434" s="2">
        <v>1</v>
      </c>
      <c r="AK1434">
        <v>5</v>
      </c>
      <c r="AL1434">
        <v>0</v>
      </c>
      <c r="AM1434">
        <v>0</v>
      </c>
      <c r="AN1434" s="2">
        <f>IF((2*G1434+M1434-O1434+3*V1434+2*AB1434+2*AE1434+2*AH1434+3*AJ1434)&gt;=7,1,0)</f>
        <v>1</v>
      </c>
    </row>
    <row r="1435" spans="1:40" x14ac:dyDescent="0.25">
      <c r="A1435" t="s">
        <v>27</v>
      </c>
      <c r="B1435" s="1">
        <v>41112</v>
      </c>
      <c r="C1435" s="6">
        <f t="shared" si="220"/>
        <v>2012</v>
      </c>
      <c r="D1435">
        <v>84.2</v>
      </c>
      <c r="E1435">
        <v>71.599999999999994</v>
      </c>
      <c r="F1435">
        <v>80</v>
      </c>
      <c r="G1435" s="2">
        <f t="shared" si="221"/>
        <v>1</v>
      </c>
      <c r="H1435">
        <v>91</v>
      </c>
      <c r="I1435">
        <v>71.599999999999994</v>
      </c>
      <c r="J1435">
        <v>82.6</v>
      </c>
      <c r="K1435">
        <v>67.8</v>
      </c>
      <c r="L1435">
        <v>66.599999999999994</v>
      </c>
      <c r="M1435" s="2">
        <f t="shared" si="222"/>
        <v>0</v>
      </c>
      <c r="N1435">
        <v>0</v>
      </c>
      <c r="O1435" s="2">
        <f t="shared" si="223"/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 s="2">
        <f t="shared" si="224"/>
        <v>0</v>
      </c>
      <c r="W1435">
        <v>20.8</v>
      </c>
      <c r="X1435" s="2">
        <f t="shared" si="225"/>
        <v>1</v>
      </c>
      <c r="Y1435">
        <v>312.7</v>
      </c>
      <c r="Z1435" s="2" t="str">
        <f>CHOOSE(MATCH(Y1435,{0;11;80;111;161;191;241;281;341},1),"North","NorthEast","East","SouthEast","South","SouthWest","West","NorthWest","North")</f>
        <v>NorthWest</v>
      </c>
      <c r="AA1435" s="4">
        <f>CHOOSE(MATCH(Z1435,{"South";"SouthEast";"SouthWest";"North";"NorthEast";"East";"West";"NorthWest"},0),1,2,3,4,5,6,7,8)</f>
        <v>8</v>
      </c>
      <c r="AB1435" s="2">
        <f t="shared" si="226"/>
        <v>1</v>
      </c>
      <c r="AC1435">
        <v>1007.1</v>
      </c>
      <c r="AD1435" t="s">
        <v>2107</v>
      </c>
      <c r="AE1435" s="2">
        <f t="shared" si="227"/>
        <v>1</v>
      </c>
      <c r="AF1435" t="s">
        <v>2108</v>
      </c>
      <c r="AG1435" s="2">
        <f t="shared" si="228"/>
        <v>7</v>
      </c>
      <c r="AH1435" s="2">
        <f t="shared" si="229"/>
        <v>1</v>
      </c>
      <c r="AI1435" s="3">
        <v>481.99999999953428</v>
      </c>
      <c r="AJ1435" s="2">
        <v>1</v>
      </c>
      <c r="AK1435">
        <v>0</v>
      </c>
      <c r="AL1435">
        <v>80</v>
      </c>
      <c r="AM1435">
        <v>0</v>
      </c>
      <c r="AN1435" s="2">
        <f>IF((2*G1435+M1435-O1435+3*V1435+2*AB1435+2*AE1435+2*AH1435+3*AJ1435)&gt;=7,1,0)</f>
        <v>1</v>
      </c>
    </row>
    <row r="1436" spans="1:40" x14ac:dyDescent="0.25">
      <c r="A1436" t="s">
        <v>27</v>
      </c>
      <c r="B1436" s="1">
        <v>41112</v>
      </c>
      <c r="C1436" s="6">
        <f t="shared" si="220"/>
        <v>2012</v>
      </c>
      <c r="D1436">
        <v>84.2</v>
      </c>
      <c r="E1436">
        <v>71.599999999999994</v>
      </c>
      <c r="F1436">
        <v>80</v>
      </c>
      <c r="G1436" s="2">
        <f t="shared" si="221"/>
        <v>1</v>
      </c>
      <c r="H1436">
        <v>91</v>
      </c>
      <c r="I1436">
        <v>71.599999999999994</v>
      </c>
      <c r="J1436">
        <v>82.6</v>
      </c>
      <c r="K1436">
        <v>67.8</v>
      </c>
      <c r="L1436">
        <v>66.599999999999994</v>
      </c>
      <c r="M1436" s="2">
        <f t="shared" si="222"/>
        <v>0</v>
      </c>
      <c r="N1436">
        <v>0</v>
      </c>
      <c r="O1436" s="2">
        <f t="shared" si="223"/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 s="2">
        <f t="shared" si="224"/>
        <v>0</v>
      </c>
      <c r="W1436">
        <v>20.8</v>
      </c>
      <c r="X1436" s="2">
        <f t="shared" si="225"/>
        <v>1</v>
      </c>
      <c r="Y1436">
        <v>312.7</v>
      </c>
      <c r="Z1436" s="2" t="str">
        <f>CHOOSE(MATCH(Y1436,{0;11;80;111;161;191;241;281;341},1),"North","NorthEast","East","SouthEast","South","SouthWest","West","NorthWest","North")</f>
        <v>NorthWest</v>
      </c>
      <c r="AA1436" s="4">
        <f>CHOOSE(MATCH(Z1436,{"South";"SouthEast";"SouthWest";"North";"NorthEast";"East";"West";"NorthWest"},0),1,2,3,4,5,6,7,8)</f>
        <v>8</v>
      </c>
      <c r="AB1436" s="2">
        <f t="shared" si="226"/>
        <v>1</v>
      </c>
      <c r="AC1436">
        <v>1007.1</v>
      </c>
      <c r="AD1436" t="s">
        <v>1951</v>
      </c>
      <c r="AE1436" s="2">
        <f t="shared" si="227"/>
        <v>0</v>
      </c>
      <c r="AF1436" t="s">
        <v>2109</v>
      </c>
      <c r="AG1436" s="2">
        <f t="shared" si="228"/>
        <v>7</v>
      </c>
      <c r="AH1436" s="2">
        <f t="shared" si="229"/>
        <v>1</v>
      </c>
      <c r="AI1436" s="3">
        <v>2847.000000007683</v>
      </c>
      <c r="AJ1436" s="2">
        <v>1</v>
      </c>
      <c r="AK1436">
        <v>70</v>
      </c>
      <c r="AL1436">
        <v>0</v>
      </c>
      <c r="AM1436">
        <v>0</v>
      </c>
      <c r="AN1436" s="2">
        <f>IF((2*G1436+M1436-O1436+3*V1436+2*AB1436+2*AE1436+2*AH1436+3*AJ1436)&gt;=7,1,0)</f>
        <v>1</v>
      </c>
    </row>
    <row r="1437" spans="1:40" x14ac:dyDescent="0.25">
      <c r="A1437" t="s">
        <v>27</v>
      </c>
      <c r="B1437" s="1">
        <v>41113</v>
      </c>
      <c r="C1437" s="6">
        <f t="shared" si="220"/>
        <v>2012</v>
      </c>
      <c r="D1437">
        <v>84.3</v>
      </c>
      <c r="E1437">
        <v>69.8</v>
      </c>
      <c r="F1437">
        <v>79.3</v>
      </c>
      <c r="G1437" s="2">
        <f t="shared" si="221"/>
        <v>1</v>
      </c>
      <c r="H1437">
        <v>91</v>
      </c>
      <c r="I1437">
        <v>69.8</v>
      </c>
      <c r="J1437">
        <v>82.1</v>
      </c>
      <c r="K1437">
        <v>68.599999999999994</v>
      </c>
      <c r="L1437">
        <v>70.3</v>
      </c>
      <c r="M1437" s="2">
        <f t="shared" si="222"/>
        <v>0</v>
      </c>
      <c r="N1437">
        <v>0</v>
      </c>
      <c r="O1437" s="2">
        <f t="shared" si="223"/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 s="2">
        <f t="shared" si="224"/>
        <v>0</v>
      </c>
      <c r="W1437">
        <v>19.5</v>
      </c>
      <c r="X1437" s="2">
        <f t="shared" si="225"/>
        <v>1</v>
      </c>
      <c r="Y1437">
        <v>310.10000000000002</v>
      </c>
      <c r="Z1437" s="2" t="str">
        <f>CHOOSE(MATCH(Y1437,{0;11;80;111;161;191;241;281;341},1),"North","NorthEast","East","SouthEast","South","SouthWest","West","NorthWest","North")</f>
        <v>NorthWest</v>
      </c>
      <c r="AA1437" s="4">
        <f>CHOOSE(MATCH(Z1437,{"South";"SouthEast";"SouthWest";"North";"NorthEast";"East";"West";"NorthWest"},0),1,2,3,4,5,6,7,8)</f>
        <v>8</v>
      </c>
      <c r="AB1437" s="2">
        <f t="shared" si="226"/>
        <v>1</v>
      </c>
      <c r="AC1437">
        <v>1007.9</v>
      </c>
      <c r="AD1437" t="s">
        <v>1224</v>
      </c>
      <c r="AE1437" s="2">
        <f t="shared" si="227"/>
        <v>1</v>
      </c>
      <c r="AF1437" t="s">
        <v>2110</v>
      </c>
      <c r="AG1437" s="2">
        <f t="shared" si="228"/>
        <v>7</v>
      </c>
      <c r="AH1437" s="2">
        <f t="shared" si="229"/>
        <v>1</v>
      </c>
      <c r="AI1437" s="3">
        <v>410.00000000582082</v>
      </c>
      <c r="AJ1437" s="2">
        <v>1</v>
      </c>
      <c r="AK1437">
        <v>0</v>
      </c>
      <c r="AL1437">
        <v>0.1</v>
      </c>
      <c r="AM1437">
        <v>0</v>
      </c>
      <c r="AN1437" s="2">
        <f>IF((2*G1437+M1437-O1437+3*V1437+2*AB1437+2*AE1437+2*AH1437+3*AJ1437)&gt;=7,1,0)</f>
        <v>1</v>
      </c>
    </row>
    <row r="1438" spans="1:40" x14ac:dyDescent="0.25">
      <c r="A1438" t="s">
        <v>27</v>
      </c>
      <c r="B1438" s="1">
        <v>41113</v>
      </c>
      <c r="C1438" s="6">
        <f t="shared" si="220"/>
        <v>2012</v>
      </c>
      <c r="D1438">
        <v>84.3</v>
      </c>
      <c r="E1438">
        <v>69.8</v>
      </c>
      <c r="F1438">
        <v>79.3</v>
      </c>
      <c r="G1438" s="2">
        <f t="shared" si="221"/>
        <v>1</v>
      </c>
      <c r="H1438">
        <v>91</v>
      </c>
      <c r="I1438">
        <v>69.8</v>
      </c>
      <c r="J1438">
        <v>82.1</v>
      </c>
      <c r="K1438">
        <v>68.599999999999994</v>
      </c>
      <c r="L1438">
        <v>70.3</v>
      </c>
      <c r="M1438" s="2">
        <f t="shared" si="222"/>
        <v>0</v>
      </c>
      <c r="N1438">
        <v>0</v>
      </c>
      <c r="O1438" s="2">
        <f t="shared" si="223"/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 s="2">
        <f t="shared" si="224"/>
        <v>0</v>
      </c>
      <c r="W1438">
        <v>19.5</v>
      </c>
      <c r="X1438" s="2">
        <f t="shared" si="225"/>
        <v>1</v>
      </c>
      <c r="Y1438">
        <v>310.10000000000002</v>
      </c>
      <c r="Z1438" s="2" t="str">
        <f>CHOOSE(MATCH(Y1438,{0;11;80;111;161;191;241;281;341},1),"North","NorthEast","East","SouthEast","South","SouthWest","West","NorthWest","North")</f>
        <v>NorthWest</v>
      </c>
      <c r="AA1438" s="4">
        <f>CHOOSE(MATCH(Z1438,{"South";"SouthEast";"SouthWest";"North";"NorthEast";"East";"West";"NorthWest"},0),1,2,3,4,5,6,7,8)</f>
        <v>8</v>
      </c>
      <c r="AB1438" s="2">
        <f t="shared" si="226"/>
        <v>1</v>
      </c>
      <c r="AC1438">
        <v>1007.9</v>
      </c>
      <c r="AD1438" t="s">
        <v>2111</v>
      </c>
      <c r="AE1438" s="2">
        <f t="shared" si="227"/>
        <v>0</v>
      </c>
      <c r="AF1438" t="s">
        <v>2112</v>
      </c>
      <c r="AG1438" s="2">
        <f t="shared" si="228"/>
        <v>7</v>
      </c>
      <c r="AH1438" s="2">
        <f t="shared" si="229"/>
        <v>1</v>
      </c>
      <c r="AI1438" s="3">
        <v>6414.9999999976717</v>
      </c>
      <c r="AJ1438" s="2">
        <v>1</v>
      </c>
      <c r="AK1438">
        <v>0</v>
      </c>
      <c r="AL1438">
        <v>600</v>
      </c>
      <c r="AM1438">
        <v>0</v>
      </c>
      <c r="AN1438" s="2">
        <f>IF((2*G1438+M1438-O1438+3*V1438+2*AB1438+2*AE1438+2*AH1438+3*AJ1438)&gt;=7,1,0)</f>
        <v>1</v>
      </c>
    </row>
    <row r="1439" spans="1:40" x14ac:dyDescent="0.25">
      <c r="A1439" t="s">
        <v>27</v>
      </c>
      <c r="B1439" s="1">
        <v>41113</v>
      </c>
      <c r="C1439" s="6">
        <f t="shared" si="220"/>
        <v>2012</v>
      </c>
      <c r="D1439">
        <v>84.3</v>
      </c>
      <c r="E1439">
        <v>69.8</v>
      </c>
      <c r="F1439">
        <v>79.3</v>
      </c>
      <c r="G1439" s="2">
        <f t="shared" si="221"/>
        <v>1</v>
      </c>
      <c r="H1439">
        <v>91</v>
      </c>
      <c r="I1439">
        <v>69.8</v>
      </c>
      <c r="J1439">
        <v>82.1</v>
      </c>
      <c r="K1439">
        <v>68.599999999999994</v>
      </c>
      <c r="L1439">
        <v>70.3</v>
      </c>
      <c r="M1439" s="2">
        <f t="shared" si="222"/>
        <v>0</v>
      </c>
      <c r="N1439">
        <v>0</v>
      </c>
      <c r="O1439" s="2">
        <f t="shared" si="223"/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 s="2">
        <f t="shared" si="224"/>
        <v>0</v>
      </c>
      <c r="W1439">
        <v>19.5</v>
      </c>
      <c r="X1439" s="2">
        <f t="shared" si="225"/>
        <v>1</v>
      </c>
      <c r="Y1439">
        <v>310.10000000000002</v>
      </c>
      <c r="Z1439" s="2" t="str">
        <f>CHOOSE(MATCH(Y1439,{0;11;80;111;161;191;241;281;341},1),"North","NorthEast","East","SouthEast","South","SouthWest","West","NorthWest","North")</f>
        <v>NorthWest</v>
      </c>
      <c r="AA1439" s="4">
        <f>CHOOSE(MATCH(Z1439,{"South";"SouthEast";"SouthWest";"North";"NorthEast";"East";"West";"NorthWest"},0),1,2,3,4,5,6,7,8)</f>
        <v>8</v>
      </c>
      <c r="AB1439" s="2">
        <f t="shared" si="226"/>
        <v>1</v>
      </c>
      <c r="AC1439">
        <v>1007.9</v>
      </c>
      <c r="AD1439" t="s">
        <v>2113</v>
      </c>
      <c r="AE1439" s="2">
        <f t="shared" si="227"/>
        <v>1</v>
      </c>
      <c r="AF1439" t="s">
        <v>2114</v>
      </c>
      <c r="AG1439" s="2">
        <f t="shared" si="228"/>
        <v>7</v>
      </c>
      <c r="AH1439" s="2">
        <f t="shared" si="229"/>
        <v>1</v>
      </c>
      <c r="AI1439" s="3">
        <v>525.99999999627471</v>
      </c>
      <c r="AJ1439" s="2">
        <v>1</v>
      </c>
      <c r="AK1439">
        <v>0</v>
      </c>
      <c r="AL1439">
        <v>1</v>
      </c>
      <c r="AM1439">
        <v>0</v>
      </c>
      <c r="AN1439" s="2">
        <f>IF((2*G1439+M1439-O1439+3*V1439+2*AB1439+2*AE1439+2*AH1439+3*AJ1439)&gt;=7,1,0)</f>
        <v>1</v>
      </c>
    </row>
    <row r="1440" spans="1:40" x14ac:dyDescent="0.25">
      <c r="A1440" t="s">
        <v>27</v>
      </c>
      <c r="B1440" s="1">
        <v>41114</v>
      </c>
      <c r="C1440" s="6">
        <f t="shared" si="220"/>
        <v>2012</v>
      </c>
      <c r="D1440">
        <v>86</v>
      </c>
      <c r="E1440">
        <v>69.8</v>
      </c>
      <c r="F1440">
        <v>79.099999999999994</v>
      </c>
      <c r="G1440" s="2">
        <f t="shared" si="221"/>
        <v>1</v>
      </c>
      <c r="H1440">
        <v>108</v>
      </c>
      <c r="I1440">
        <v>69.8</v>
      </c>
      <c r="J1440">
        <v>83.9</v>
      </c>
      <c r="K1440">
        <v>71.3</v>
      </c>
      <c r="L1440">
        <v>77.599999999999994</v>
      </c>
      <c r="M1440" s="2">
        <f t="shared" si="222"/>
        <v>0</v>
      </c>
      <c r="N1440">
        <v>0</v>
      </c>
      <c r="O1440" s="2">
        <f t="shared" si="223"/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 s="2">
        <f t="shared" si="224"/>
        <v>0</v>
      </c>
      <c r="W1440">
        <v>8.1</v>
      </c>
      <c r="X1440" s="2">
        <f t="shared" si="225"/>
        <v>0</v>
      </c>
      <c r="Y1440">
        <v>265.8</v>
      </c>
      <c r="Z1440" s="2" t="str">
        <f>CHOOSE(MATCH(Y1440,{0;11;80;111;161;191;241;281;341},1),"North","NorthEast","East","SouthEast","South","SouthWest","West","NorthWest","North")</f>
        <v>West</v>
      </c>
      <c r="AA1440" s="4">
        <f>CHOOSE(MATCH(Z1440,{"South";"SouthEast";"SouthWest";"North";"NorthEast";"East";"West";"NorthWest"},0),1,2,3,4,5,6,7,8)</f>
        <v>7</v>
      </c>
      <c r="AB1440" s="2">
        <f t="shared" si="226"/>
        <v>0</v>
      </c>
      <c r="AC1440">
        <v>1009.9</v>
      </c>
      <c r="AD1440" t="s">
        <v>2115</v>
      </c>
      <c r="AE1440" s="2">
        <f t="shared" si="227"/>
        <v>0</v>
      </c>
      <c r="AF1440" t="s">
        <v>2116</v>
      </c>
      <c r="AG1440" s="2">
        <f t="shared" si="228"/>
        <v>7</v>
      </c>
      <c r="AH1440" s="2">
        <f t="shared" si="229"/>
        <v>1</v>
      </c>
      <c r="AI1440" s="3">
        <v>48.000000009778887</v>
      </c>
      <c r="AJ1440" s="2">
        <v>0</v>
      </c>
      <c r="AK1440">
        <v>0</v>
      </c>
      <c r="AL1440">
        <v>10</v>
      </c>
      <c r="AM1440">
        <v>0</v>
      </c>
      <c r="AN1440" s="2">
        <f>IF((2*G1440+M1440-O1440+3*V1440+2*AB1440+2*AE1440+2*AH1440+3*AJ1440)&gt;=7,1,0)</f>
        <v>0</v>
      </c>
    </row>
    <row r="1441" spans="1:40" x14ac:dyDescent="0.25">
      <c r="A1441" t="s">
        <v>27</v>
      </c>
      <c r="B1441" s="1">
        <v>41115</v>
      </c>
      <c r="C1441" s="6">
        <f t="shared" si="220"/>
        <v>2012</v>
      </c>
      <c r="D1441">
        <v>87.8</v>
      </c>
      <c r="E1441">
        <v>73.400000000000006</v>
      </c>
      <c r="F1441">
        <v>79.8</v>
      </c>
      <c r="G1441" s="2">
        <f t="shared" si="221"/>
        <v>1</v>
      </c>
      <c r="H1441">
        <v>92</v>
      </c>
      <c r="I1441">
        <v>73.400000000000006</v>
      </c>
      <c r="J1441">
        <v>81.599999999999994</v>
      </c>
      <c r="K1441">
        <v>69</v>
      </c>
      <c r="L1441">
        <v>71.099999999999994</v>
      </c>
      <c r="M1441" s="2">
        <f t="shared" si="222"/>
        <v>0</v>
      </c>
      <c r="N1441">
        <v>0</v>
      </c>
      <c r="O1441" s="2">
        <f t="shared" si="223"/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 s="2">
        <f t="shared" si="224"/>
        <v>0</v>
      </c>
      <c r="W1441">
        <v>25.3</v>
      </c>
      <c r="X1441" s="2">
        <f t="shared" si="225"/>
        <v>1</v>
      </c>
      <c r="Y1441">
        <v>310.2</v>
      </c>
      <c r="Z1441" s="2" t="str">
        <f>CHOOSE(MATCH(Y1441,{0;11;80;111;161;191;241;281;341},1),"North","NorthEast","East","SouthEast","South","SouthWest","West","NorthWest","North")</f>
        <v>NorthWest</v>
      </c>
      <c r="AA1441" s="4">
        <f>CHOOSE(MATCH(Z1441,{"South";"SouthEast";"SouthWest";"North";"NorthEast";"East";"West";"NorthWest"},0),1,2,3,4,5,6,7,8)</f>
        <v>8</v>
      </c>
      <c r="AB1441" s="2">
        <f t="shared" si="226"/>
        <v>1</v>
      </c>
      <c r="AC1441">
        <v>1009.7</v>
      </c>
      <c r="AD1441" t="s">
        <v>1113</v>
      </c>
      <c r="AE1441" s="2">
        <f t="shared" si="227"/>
        <v>1</v>
      </c>
      <c r="AF1441" t="s">
        <v>2117</v>
      </c>
      <c r="AG1441" s="2">
        <f t="shared" si="228"/>
        <v>7</v>
      </c>
      <c r="AH1441" s="2">
        <f t="shared" si="229"/>
        <v>1</v>
      </c>
      <c r="AI1441" s="3">
        <v>634.99999999534339</v>
      </c>
      <c r="AJ1441" s="2">
        <v>1</v>
      </c>
      <c r="AK1441">
        <v>0</v>
      </c>
      <c r="AL1441">
        <v>0.5</v>
      </c>
      <c r="AM1441">
        <v>0</v>
      </c>
      <c r="AN1441" s="2">
        <f>IF((2*G1441+M1441-O1441+3*V1441+2*AB1441+2*AE1441+2*AH1441+3*AJ1441)&gt;=7,1,0)</f>
        <v>1</v>
      </c>
    </row>
    <row r="1442" spans="1:40" x14ac:dyDescent="0.25">
      <c r="A1442" t="s">
        <v>27</v>
      </c>
      <c r="B1442" s="1">
        <v>41118</v>
      </c>
      <c r="C1442" s="6">
        <f t="shared" si="220"/>
        <v>2012</v>
      </c>
      <c r="D1442">
        <v>89.6</v>
      </c>
      <c r="E1442">
        <v>78.8</v>
      </c>
      <c r="F1442">
        <v>84.4</v>
      </c>
      <c r="G1442" s="2">
        <f t="shared" si="221"/>
        <v>1</v>
      </c>
      <c r="H1442">
        <v>96.5</v>
      </c>
      <c r="I1442">
        <v>78.8</v>
      </c>
      <c r="J1442">
        <v>88.9</v>
      </c>
      <c r="K1442">
        <v>70.400000000000006</v>
      </c>
      <c r="L1442">
        <v>63.6</v>
      </c>
      <c r="M1442" s="2">
        <f t="shared" si="222"/>
        <v>1</v>
      </c>
      <c r="N1442">
        <v>0</v>
      </c>
      <c r="O1442" s="2">
        <f t="shared" si="223"/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 s="2">
        <f t="shared" si="224"/>
        <v>0</v>
      </c>
      <c r="W1442">
        <v>26.4</v>
      </c>
      <c r="X1442" s="2">
        <f t="shared" si="225"/>
        <v>1</v>
      </c>
      <c r="Y1442">
        <v>301.5</v>
      </c>
      <c r="Z1442" s="2" t="str">
        <f>CHOOSE(MATCH(Y1442,{0;11;80;111;161;191;241;281;341},1),"North","NorthEast","East","SouthEast","South","SouthWest","West","NorthWest","North")</f>
        <v>NorthWest</v>
      </c>
      <c r="AA1442" s="4">
        <f>CHOOSE(MATCH(Z1442,{"South";"SouthEast";"SouthWest";"North";"NorthEast";"East";"West";"NorthWest"},0),1,2,3,4,5,6,7,8)</f>
        <v>8</v>
      </c>
      <c r="AB1442" s="2">
        <f t="shared" si="226"/>
        <v>1</v>
      </c>
      <c r="AC1442">
        <v>1005.2</v>
      </c>
      <c r="AD1442" t="s">
        <v>2118</v>
      </c>
      <c r="AE1442" s="2">
        <f t="shared" si="227"/>
        <v>1</v>
      </c>
      <c r="AF1442" t="s">
        <v>2119</v>
      </c>
      <c r="AG1442" s="2">
        <f t="shared" si="228"/>
        <v>7</v>
      </c>
      <c r="AH1442" s="2">
        <f t="shared" si="229"/>
        <v>1</v>
      </c>
      <c r="AI1442" s="3">
        <v>5765.999999998603</v>
      </c>
      <c r="AJ1442" s="2">
        <v>1</v>
      </c>
      <c r="AK1442">
        <v>0</v>
      </c>
      <c r="AL1442">
        <v>500</v>
      </c>
      <c r="AM1442">
        <v>0</v>
      </c>
      <c r="AN1442" s="2">
        <f>IF((2*G1442+M1442-O1442+3*V1442+2*AB1442+2*AE1442+2*AH1442+3*AJ1442)&gt;=7,1,0)</f>
        <v>1</v>
      </c>
    </row>
    <row r="1443" spans="1:40" x14ac:dyDescent="0.25">
      <c r="A1443" t="s">
        <v>27</v>
      </c>
      <c r="B1443" s="1">
        <v>41119</v>
      </c>
      <c r="C1443" s="6">
        <f t="shared" si="220"/>
        <v>2012</v>
      </c>
      <c r="D1443">
        <v>91.4</v>
      </c>
      <c r="E1443">
        <v>80.599999999999994</v>
      </c>
      <c r="F1443">
        <v>86.2</v>
      </c>
      <c r="G1443" s="2">
        <f t="shared" si="221"/>
        <v>1</v>
      </c>
      <c r="H1443">
        <v>98.7</v>
      </c>
      <c r="I1443">
        <v>83.3</v>
      </c>
      <c r="J1443">
        <v>90.6</v>
      </c>
      <c r="K1443">
        <v>69.3</v>
      </c>
      <c r="L1443">
        <v>57.4</v>
      </c>
      <c r="M1443" s="2">
        <f t="shared" si="222"/>
        <v>1</v>
      </c>
      <c r="N1443">
        <v>0</v>
      </c>
      <c r="O1443" s="2">
        <f t="shared" si="223"/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 s="2">
        <f t="shared" si="224"/>
        <v>0</v>
      </c>
      <c r="W1443">
        <v>24.2</v>
      </c>
      <c r="X1443" s="2">
        <f t="shared" si="225"/>
        <v>1</v>
      </c>
      <c r="Y1443">
        <v>305</v>
      </c>
      <c r="Z1443" s="2" t="str">
        <f>CHOOSE(MATCH(Y1443,{0;11;80;111;161;191;241;281;341},1),"North","NorthEast","East","SouthEast","South","SouthWest","West","NorthWest","North")</f>
        <v>NorthWest</v>
      </c>
      <c r="AA1443" s="4">
        <f>CHOOSE(MATCH(Z1443,{"South";"SouthEast";"SouthWest";"North";"NorthEast";"East";"West";"NorthWest"},0),1,2,3,4,5,6,7,8)</f>
        <v>8</v>
      </c>
      <c r="AB1443" s="2">
        <f t="shared" si="226"/>
        <v>1</v>
      </c>
      <c r="AC1443">
        <v>1005.9</v>
      </c>
      <c r="AD1443" t="s">
        <v>1750</v>
      </c>
      <c r="AE1443" s="2">
        <f t="shared" si="227"/>
        <v>1</v>
      </c>
      <c r="AF1443" t="s">
        <v>2120</v>
      </c>
      <c r="AG1443" s="2">
        <f t="shared" si="228"/>
        <v>7</v>
      </c>
      <c r="AH1443" s="2">
        <f t="shared" si="229"/>
        <v>1</v>
      </c>
      <c r="AI1443" s="3">
        <v>589.99999999534339</v>
      </c>
      <c r="AJ1443" s="2">
        <v>1</v>
      </c>
      <c r="AK1443">
        <v>4</v>
      </c>
      <c r="AL1443">
        <v>0</v>
      </c>
      <c r="AM1443">
        <v>0</v>
      </c>
      <c r="AN1443" s="2">
        <f>IF((2*G1443+M1443-O1443+3*V1443+2*AB1443+2*AE1443+2*AH1443+3*AJ1443)&gt;=7,1,0)</f>
        <v>1</v>
      </c>
    </row>
    <row r="1444" spans="1:40" x14ac:dyDescent="0.25">
      <c r="A1444" t="s">
        <v>27</v>
      </c>
      <c r="B1444" s="1">
        <v>41120</v>
      </c>
      <c r="C1444" s="6">
        <f t="shared" si="220"/>
        <v>2012</v>
      </c>
      <c r="D1444">
        <v>91.4</v>
      </c>
      <c r="E1444">
        <v>84.2</v>
      </c>
      <c r="F1444">
        <v>87.1</v>
      </c>
      <c r="G1444" s="2">
        <f t="shared" si="221"/>
        <v>1</v>
      </c>
      <c r="H1444">
        <v>95.6</v>
      </c>
      <c r="I1444">
        <v>87.4</v>
      </c>
      <c r="J1444">
        <v>91.1</v>
      </c>
      <c r="K1444">
        <v>68.599999999999994</v>
      </c>
      <c r="L1444">
        <v>54.5</v>
      </c>
      <c r="M1444" s="2">
        <f t="shared" si="222"/>
        <v>1</v>
      </c>
      <c r="N1444">
        <v>0</v>
      </c>
      <c r="O1444" s="2">
        <f t="shared" si="223"/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 s="2">
        <f t="shared" si="224"/>
        <v>0</v>
      </c>
      <c r="W1444">
        <v>23</v>
      </c>
      <c r="X1444" s="2">
        <f t="shared" si="225"/>
        <v>1</v>
      </c>
      <c r="Y1444">
        <v>307.39999999999998</v>
      </c>
      <c r="Z1444" s="2" t="str">
        <f>CHOOSE(MATCH(Y1444,{0;11;80;111;161;191;241;281;341},1),"North","NorthEast","East","SouthEast","South","SouthWest","West","NorthWest","North")</f>
        <v>NorthWest</v>
      </c>
      <c r="AA1444" s="4">
        <f>CHOOSE(MATCH(Z1444,{"South";"SouthEast";"SouthWest";"North";"NorthEast";"East";"West";"NorthWest"},0),1,2,3,4,5,6,7,8)</f>
        <v>8</v>
      </c>
      <c r="AB1444" s="2">
        <f t="shared" si="226"/>
        <v>1</v>
      </c>
      <c r="AC1444">
        <v>1005.9</v>
      </c>
      <c r="AD1444" t="s">
        <v>2121</v>
      </c>
      <c r="AE1444" s="2">
        <f t="shared" si="227"/>
        <v>0</v>
      </c>
      <c r="AF1444" t="s">
        <v>2122</v>
      </c>
      <c r="AG1444" s="2">
        <f t="shared" si="228"/>
        <v>7</v>
      </c>
      <c r="AH1444" s="2">
        <f t="shared" si="229"/>
        <v>1</v>
      </c>
      <c r="AI1444" s="3">
        <v>16628.00000000163</v>
      </c>
      <c r="AJ1444" s="2">
        <v>1</v>
      </c>
      <c r="AK1444">
        <v>0</v>
      </c>
      <c r="AL1444">
        <v>1800</v>
      </c>
      <c r="AM1444">
        <v>0</v>
      </c>
      <c r="AN1444" s="2">
        <f>IF((2*G1444+M1444-O1444+3*V1444+2*AB1444+2*AE1444+2*AH1444+3*AJ1444)&gt;=7,1,0)</f>
        <v>1</v>
      </c>
    </row>
    <row r="1445" spans="1:40" x14ac:dyDescent="0.25">
      <c r="A1445" t="s">
        <v>27</v>
      </c>
      <c r="B1445" s="1">
        <v>41120</v>
      </c>
      <c r="C1445" s="6">
        <f t="shared" si="220"/>
        <v>2012</v>
      </c>
      <c r="D1445">
        <v>91.4</v>
      </c>
      <c r="E1445">
        <v>84.2</v>
      </c>
      <c r="F1445">
        <v>87.1</v>
      </c>
      <c r="G1445" s="2">
        <f t="shared" si="221"/>
        <v>1</v>
      </c>
      <c r="H1445">
        <v>95.6</v>
      </c>
      <c r="I1445">
        <v>87.4</v>
      </c>
      <c r="J1445">
        <v>91.1</v>
      </c>
      <c r="K1445">
        <v>68.599999999999994</v>
      </c>
      <c r="L1445">
        <v>54.5</v>
      </c>
      <c r="M1445" s="2">
        <f t="shared" si="222"/>
        <v>1</v>
      </c>
      <c r="N1445">
        <v>0</v>
      </c>
      <c r="O1445" s="2">
        <f t="shared" si="223"/>
        <v>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 s="2">
        <f t="shared" si="224"/>
        <v>0</v>
      </c>
      <c r="W1445">
        <v>23</v>
      </c>
      <c r="X1445" s="2">
        <f t="shared" si="225"/>
        <v>1</v>
      </c>
      <c r="Y1445">
        <v>307.39999999999998</v>
      </c>
      <c r="Z1445" s="2" t="str">
        <f>CHOOSE(MATCH(Y1445,{0;11;80;111;161;191;241;281;341},1),"North","NorthEast","East","SouthEast","South","SouthWest","West","NorthWest","North")</f>
        <v>NorthWest</v>
      </c>
      <c r="AA1445" s="4">
        <f>CHOOSE(MATCH(Z1445,{"South";"SouthEast";"SouthWest";"North";"NorthEast";"East";"West";"NorthWest"},0),1,2,3,4,5,6,7,8)</f>
        <v>8</v>
      </c>
      <c r="AB1445" s="2">
        <f t="shared" si="226"/>
        <v>1</v>
      </c>
      <c r="AC1445">
        <v>1005.9</v>
      </c>
      <c r="AD1445" t="s">
        <v>1798</v>
      </c>
      <c r="AE1445" s="2">
        <f t="shared" si="227"/>
        <v>0</v>
      </c>
      <c r="AF1445" t="s">
        <v>2123</v>
      </c>
      <c r="AG1445" s="2">
        <f t="shared" si="228"/>
        <v>7</v>
      </c>
      <c r="AH1445" s="2">
        <f t="shared" si="229"/>
        <v>1</v>
      </c>
      <c r="AI1445" s="3">
        <v>790.00000000814907</v>
      </c>
      <c r="AJ1445" s="2">
        <v>1</v>
      </c>
      <c r="AK1445">
        <v>100</v>
      </c>
      <c r="AL1445">
        <v>0</v>
      </c>
      <c r="AM1445">
        <v>0</v>
      </c>
      <c r="AN1445" s="2">
        <f>IF((2*G1445+M1445-O1445+3*V1445+2*AB1445+2*AE1445+2*AH1445+3*AJ1445)&gt;=7,1,0)</f>
        <v>1</v>
      </c>
    </row>
    <row r="1446" spans="1:40" x14ac:dyDescent="0.25">
      <c r="A1446" t="s">
        <v>27</v>
      </c>
      <c r="B1446" s="1">
        <v>41120</v>
      </c>
      <c r="C1446" s="6">
        <f t="shared" si="220"/>
        <v>2012</v>
      </c>
      <c r="D1446">
        <v>91.4</v>
      </c>
      <c r="E1446">
        <v>84.2</v>
      </c>
      <c r="F1446">
        <v>87.1</v>
      </c>
      <c r="G1446" s="2">
        <f t="shared" si="221"/>
        <v>1</v>
      </c>
      <c r="H1446">
        <v>95.6</v>
      </c>
      <c r="I1446">
        <v>87.4</v>
      </c>
      <c r="J1446">
        <v>91.1</v>
      </c>
      <c r="K1446">
        <v>68.599999999999994</v>
      </c>
      <c r="L1446">
        <v>54.5</v>
      </c>
      <c r="M1446" s="2">
        <f t="shared" si="222"/>
        <v>1</v>
      </c>
      <c r="N1446">
        <v>0</v>
      </c>
      <c r="O1446" s="2">
        <f t="shared" si="223"/>
        <v>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 s="2">
        <f t="shared" si="224"/>
        <v>0</v>
      </c>
      <c r="W1446">
        <v>23</v>
      </c>
      <c r="X1446" s="2">
        <f t="shared" si="225"/>
        <v>1</v>
      </c>
      <c r="Y1446">
        <v>307.39999999999998</v>
      </c>
      <c r="Z1446" s="2" t="str">
        <f>CHOOSE(MATCH(Y1446,{0;11;80;111;161;191;241;281;341},1),"North","NorthEast","East","SouthEast","South","SouthWest","West","NorthWest","North")</f>
        <v>NorthWest</v>
      </c>
      <c r="AA1446" s="4">
        <f>CHOOSE(MATCH(Z1446,{"South";"SouthEast";"SouthWest";"North";"NorthEast";"East";"West";"NorthWest"},0),1,2,3,4,5,6,7,8)</f>
        <v>8</v>
      </c>
      <c r="AB1446" s="2">
        <f t="shared" si="226"/>
        <v>1</v>
      </c>
      <c r="AC1446">
        <v>1005.9</v>
      </c>
      <c r="AD1446" t="s">
        <v>2124</v>
      </c>
      <c r="AE1446" s="2">
        <f t="shared" si="227"/>
        <v>0</v>
      </c>
      <c r="AF1446" t="s">
        <v>2125</v>
      </c>
      <c r="AG1446" s="2">
        <f t="shared" si="228"/>
        <v>7</v>
      </c>
      <c r="AH1446" s="2">
        <f t="shared" si="229"/>
        <v>1</v>
      </c>
      <c r="AI1446" s="3">
        <v>1879.9999999988361</v>
      </c>
      <c r="AJ1446" s="2">
        <v>1</v>
      </c>
      <c r="AK1446">
        <v>10</v>
      </c>
      <c r="AL1446">
        <v>0</v>
      </c>
      <c r="AM1446">
        <v>0</v>
      </c>
      <c r="AN1446" s="2">
        <f>IF((2*G1446+M1446-O1446+3*V1446+2*AB1446+2*AE1446+2*AH1446+3*AJ1446)&gt;=7,1,0)</f>
        <v>1</v>
      </c>
    </row>
    <row r="1447" spans="1:40" x14ac:dyDescent="0.25">
      <c r="A1447" t="s">
        <v>27</v>
      </c>
      <c r="B1447" s="1">
        <v>41120</v>
      </c>
      <c r="C1447" s="6">
        <f t="shared" si="220"/>
        <v>2012</v>
      </c>
      <c r="D1447">
        <v>91.4</v>
      </c>
      <c r="E1447">
        <v>84.2</v>
      </c>
      <c r="F1447">
        <v>87.1</v>
      </c>
      <c r="G1447" s="2">
        <f t="shared" si="221"/>
        <v>1</v>
      </c>
      <c r="H1447">
        <v>95.6</v>
      </c>
      <c r="I1447">
        <v>87.4</v>
      </c>
      <c r="J1447">
        <v>91.1</v>
      </c>
      <c r="K1447">
        <v>68.599999999999994</v>
      </c>
      <c r="L1447">
        <v>54.5</v>
      </c>
      <c r="M1447" s="2">
        <f t="shared" si="222"/>
        <v>1</v>
      </c>
      <c r="N1447">
        <v>0</v>
      </c>
      <c r="O1447" s="2">
        <f t="shared" si="223"/>
        <v>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 s="2">
        <f t="shared" si="224"/>
        <v>0</v>
      </c>
      <c r="W1447">
        <v>23</v>
      </c>
      <c r="X1447" s="2">
        <f t="shared" si="225"/>
        <v>1</v>
      </c>
      <c r="Y1447">
        <v>307.39999999999998</v>
      </c>
      <c r="Z1447" s="2" t="str">
        <f>CHOOSE(MATCH(Y1447,{0;11;80;111;161;191;241;281;341},1),"North","NorthEast","East","SouthEast","South","SouthWest","West","NorthWest","North")</f>
        <v>NorthWest</v>
      </c>
      <c r="AA1447" s="4">
        <f>CHOOSE(MATCH(Z1447,{"South";"SouthEast";"SouthWest";"North";"NorthEast";"East";"West";"NorthWest"},0),1,2,3,4,5,6,7,8)</f>
        <v>8</v>
      </c>
      <c r="AB1447" s="2">
        <f t="shared" si="226"/>
        <v>1</v>
      </c>
      <c r="AC1447">
        <v>1005.9</v>
      </c>
      <c r="AD1447" t="s">
        <v>2126</v>
      </c>
      <c r="AE1447" s="2">
        <f t="shared" si="227"/>
        <v>1</v>
      </c>
      <c r="AF1447" t="s">
        <v>2127</v>
      </c>
      <c r="AG1447" s="2">
        <f t="shared" si="228"/>
        <v>7</v>
      </c>
      <c r="AH1447" s="2">
        <f t="shared" si="229"/>
        <v>1</v>
      </c>
      <c r="AI1447" s="3">
        <v>1566.999999994878</v>
      </c>
      <c r="AJ1447" s="2">
        <v>1</v>
      </c>
      <c r="AK1447">
        <v>0</v>
      </c>
      <c r="AL1447">
        <v>10</v>
      </c>
      <c r="AM1447">
        <v>0</v>
      </c>
      <c r="AN1447" s="2">
        <f>IF((2*G1447+M1447-O1447+3*V1447+2*AB1447+2*AE1447+2*AH1447+3*AJ1447)&gt;=7,1,0)</f>
        <v>1</v>
      </c>
    </row>
    <row r="1448" spans="1:40" x14ac:dyDescent="0.25">
      <c r="A1448" t="s">
        <v>27</v>
      </c>
      <c r="B1448" s="1">
        <v>41121</v>
      </c>
      <c r="C1448" s="6">
        <f t="shared" si="220"/>
        <v>2012</v>
      </c>
      <c r="D1448">
        <v>87.8</v>
      </c>
      <c r="E1448">
        <v>80.599999999999994</v>
      </c>
      <c r="F1448">
        <v>84.7</v>
      </c>
      <c r="G1448" s="2">
        <f t="shared" si="221"/>
        <v>1</v>
      </c>
      <c r="H1448">
        <v>95.9</v>
      </c>
      <c r="I1448">
        <v>84.6</v>
      </c>
      <c r="J1448">
        <v>89.8</v>
      </c>
      <c r="K1448">
        <v>70.599999999999994</v>
      </c>
      <c r="L1448">
        <v>63.1</v>
      </c>
      <c r="M1448" s="2">
        <f t="shared" si="222"/>
        <v>1</v>
      </c>
      <c r="N1448">
        <v>0</v>
      </c>
      <c r="O1448" s="2">
        <f t="shared" si="223"/>
        <v>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 s="2">
        <f t="shared" si="224"/>
        <v>0</v>
      </c>
      <c r="W1448">
        <v>26.4</v>
      </c>
      <c r="X1448" s="2">
        <f t="shared" si="225"/>
        <v>1</v>
      </c>
      <c r="Y1448">
        <v>309.60000000000002</v>
      </c>
      <c r="Z1448" s="2" t="str">
        <f>CHOOSE(MATCH(Y1448,{0;11;80;111;161;191;241;281;341},1),"North","NorthEast","East","SouthEast","South","SouthWest","West","NorthWest","North")</f>
        <v>NorthWest</v>
      </c>
      <c r="AA1448" s="4">
        <f>CHOOSE(MATCH(Z1448,{"South";"SouthEast";"SouthWest";"North";"NorthEast";"East";"West";"NorthWest"},0),1,2,3,4,5,6,7,8)</f>
        <v>8</v>
      </c>
      <c r="AB1448" s="2">
        <f t="shared" si="226"/>
        <v>1</v>
      </c>
      <c r="AC1448">
        <v>1005.7</v>
      </c>
      <c r="AD1448" t="s">
        <v>1800</v>
      </c>
      <c r="AE1448" s="2">
        <f t="shared" si="227"/>
        <v>1</v>
      </c>
      <c r="AF1448" t="s">
        <v>2128</v>
      </c>
      <c r="AG1448" s="2">
        <f t="shared" si="228"/>
        <v>7</v>
      </c>
      <c r="AH1448" s="2">
        <f t="shared" si="229"/>
        <v>1</v>
      </c>
      <c r="AI1448" s="3">
        <v>275.00000000582082</v>
      </c>
      <c r="AJ1448" s="2">
        <v>0</v>
      </c>
      <c r="AK1448">
        <v>0.1</v>
      </c>
      <c r="AL1448">
        <v>0</v>
      </c>
      <c r="AM1448">
        <v>0</v>
      </c>
      <c r="AN1448" s="2">
        <f>IF((2*G1448+M1448-O1448+3*V1448+2*AB1448+2*AE1448+2*AH1448+3*AJ1448)&gt;=7,1,0)</f>
        <v>1</v>
      </c>
    </row>
    <row r="1449" spans="1:40" x14ac:dyDescent="0.25">
      <c r="A1449" t="s">
        <v>27</v>
      </c>
      <c r="B1449" s="1">
        <v>41122</v>
      </c>
      <c r="C1449" s="6">
        <f t="shared" si="220"/>
        <v>2012</v>
      </c>
      <c r="D1449">
        <v>84.3</v>
      </c>
      <c r="E1449">
        <v>78.8</v>
      </c>
      <c r="F1449">
        <v>82.1</v>
      </c>
      <c r="G1449" s="2">
        <f t="shared" si="221"/>
        <v>1</v>
      </c>
      <c r="H1449">
        <v>89.8</v>
      </c>
      <c r="I1449">
        <v>78.8</v>
      </c>
      <c r="J1449">
        <v>86.2</v>
      </c>
      <c r="K1449">
        <v>70.900000000000006</v>
      </c>
      <c r="L1449">
        <v>69</v>
      </c>
      <c r="M1449" s="2">
        <f t="shared" si="222"/>
        <v>0</v>
      </c>
      <c r="N1449">
        <v>0</v>
      </c>
      <c r="O1449" s="2">
        <f t="shared" si="223"/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 s="2">
        <f t="shared" si="224"/>
        <v>0</v>
      </c>
      <c r="W1449">
        <v>20.8</v>
      </c>
      <c r="X1449" s="2">
        <f t="shared" si="225"/>
        <v>1</v>
      </c>
      <c r="Y1449">
        <v>309.3</v>
      </c>
      <c r="Z1449" s="2" t="str">
        <f>CHOOSE(MATCH(Y1449,{0;11;80;111;161;191;241;281;341},1),"North","NorthEast","East","SouthEast","South","SouthWest","West","NorthWest","North")</f>
        <v>NorthWest</v>
      </c>
      <c r="AA1449" s="4">
        <f>CHOOSE(MATCH(Z1449,{"South";"SouthEast";"SouthWest";"North";"NorthEast";"East";"West";"NorthWest"},0),1,2,3,4,5,6,7,8)</f>
        <v>8</v>
      </c>
      <c r="AB1449" s="2">
        <f t="shared" si="226"/>
        <v>1</v>
      </c>
      <c r="AC1449">
        <v>1006.9</v>
      </c>
      <c r="AD1449" t="s">
        <v>1075</v>
      </c>
      <c r="AE1449" s="2">
        <f t="shared" si="227"/>
        <v>1</v>
      </c>
      <c r="AF1449" t="s">
        <v>2129</v>
      </c>
      <c r="AG1449" s="2">
        <f t="shared" si="228"/>
        <v>8</v>
      </c>
      <c r="AH1449" s="2">
        <f t="shared" si="229"/>
        <v>1</v>
      </c>
      <c r="AI1449" s="3">
        <v>370.00000000116421</v>
      </c>
      <c r="AJ1449" s="2">
        <v>1</v>
      </c>
      <c r="AK1449">
        <v>0</v>
      </c>
      <c r="AL1449">
        <v>30</v>
      </c>
      <c r="AM1449">
        <v>0</v>
      </c>
      <c r="AN1449" s="2">
        <f>IF((2*G1449+M1449-O1449+3*V1449+2*AB1449+2*AE1449+2*AH1449+3*AJ1449)&gt;=7,1,0)</f>
        <v>1</v>
      </c>
    </row>
    <row r="1450" spans="1:40" x14ac:dyDescent="0.25">
      <c r="A1450" t="s">
        <v>27</v>
      </c>
      <c r="B1450" s="1">
        <v>41122</v>
      </c>
      <c r="C1450" s="6">
        <f t="shared" si="220"/>
        <v>2012</v>
      </c>
      <c r="D1450">
        <v>84.3</v>
      </c>
      <c r="E1450">
        <v>78.8</v>
      </c>
      <c r="F1450">
        <v>82.1</v>
      </c>
      <c r="G1450" s="2">
        <f t="shared" si="221"/>
        <v>1</v>
      </c>
      <c r="H1450">
        <v>89.8</v>
      </c>
      <c r="I1450">
        <v>78.8</v>
      </c>
      <c r="J1450">
        <v>86.2</v>
      </c>
      <c r="K1450">
        <v>70.900000000000006</v>
      </c>
      <c r="L1450">
        <v>69</v>
      </c>
      <c r="M1450" s="2">
        <f t="shared" si="222"/>
        <v>0</v>
      </c>
      <c r="N1450">
        <v>0</v>
      </c>
      <c r="O1450" s="2">
        <f t="shared" si="223"/>
        <v>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 s="2">
        <f t="shared" si="224"/>
        <v>0</v>
      </c>
      <c r="W1450">
        <v>20.8</v>
      </c>
      <c r="X1450" s="2">
        <f t="shared" si="225"/>
        <v>1</v>
      </c>
      <c r="Y1450">
        <v>309.3</v>
      </c>
      <c r="Z1450" s="2" t="str">
        <f>CHOOSE(MATCH(Y1450,{0;11;80;111;161;191;241;281;341},1),"North","NorthEast","East","SouthEast","South","SouthWest","West","NorthWest","North")</f>
        <v>NorthWest</v>
      </c>
      <c r="AA1450" s="4">
        <f>CHOOSE(MATCH(Z1450,{"South";"SouthEast";"SouthWest";"North";"NorthEast";"East";"West";"NorthWest"},0),1,2,3,4,5,6,7,8)</f>
        <v>8</v>
      </c>
      <c r="AB1450" s="2">
        <f t="shared" si="226"/>
        <v>1</v>
      </c>
      <c r="AC1450">
        <v>1006.9</v>
      </c>
      <c r="AD1450" t="s">
        <v>1237</v>
      </c>
      <c r="AE1450" s="2">
        <f t="shared" si="227"/>
        <v>1</v>
      </c>
      <c r="AF1450" t="s">
        <v>2130</v>
      </c>
      <c r="AG1450" s="2">
        <f t="shared" si="228"/>
        <v>8</v>
      </c>
      <c r="AH1450" s="2">
        <f t="shared" si="229"/>
        <v>1</v>
      </c>
      <c r="AI1450" s="3">
        <v>1830.000000003492</v>
      </c>
      <c r="AJ1450" s="2">
        <v>1</v>
      </c>
      <c r="AK1450">
        <v>0</v>
      </c>
      <c r="AL1450">
        <v>20</v>
      </c>
      <c r="AM1450">
        <v>0</v>
      </c>
      <c r="AN1450" s="2">
        <f>IF((2*G1450+M1450-O1450+3*V1450+2*AB1450+2*AE1450+2*AH1450+3*AJ1450)&gt;=7,1,0)</f>
        <v>1</v>
      </c>
    </row>
    <row r="1451" spans="1:40" x14ac:dyDescent="0.25">
      <c r="A1451" t="s">
        <v>27</v>
      </c>
      <c r="B1451" s="1">
        <v>41122</v>
      </c>
      <c r="C1451" s="6">
        <f t="shared" si="220"/>
        <v>2012</v>
      </c>
      <c r="D1451">
        <v>84.3</v>
      </c>
      <c r="E1451">
        <v>78.8</v>
      </c>
      <c r="F1451">
        <v>82.1</v>
      </c>
      <c r="G1451" s="2">
        <f t="shared" si="221"/>
        <v>1</v>
      </c>
      <c r="H1451">
        <v>89.8</v>
      </c>
      <c r="I1451">
        <v>78.8</v>
      </c>
      <c r="J1451">
        <v>86.2</v>
      </c>
      <c r="K1451">
        <v>70.900000000000006</v>
      </c>
      <c r="L1451">
        <v>69</v>
      </c>
      <c r="M1451" s="2">
        <f t="shared" si="222"/>
        <v>0</v>
      </c>
      <c r="N1451">
        <v>0</v>
      </c>
      <c r="O1451" s="2">
        <f t="shared" si="223"/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 s="2">
        <f t="shared" si="224"/>
        <v>0</v>
      </c>
      <c r="W1451">
        <v>20.8</v>
      </c>
      <c r="X1451" s="2">
        <f t="shared" si="225"/>
        <v>1</v>
      </c>
      <c r="Y1451">
        <v>309.3</v>
      </c>
      <c r="Z1451" s="2" t="str">
        <f>CHOOSE(MATCH(Y1451,{0;11;80;111;161;191;241;281;341},1),"North","NorthEast","East","SouthEast","South","SouthWest","West","NorthWest","North")</f>
        <v>NorthWest</v>
      </c>
      <c r="AA1451" s="4">
        <f>CHOOSE(MATCH(Z1451,{"South";"SouthEast";"SouthWest";"North";"NorthEast";"East";"West";"NorthWest"},0),1,2,3,4,5,6,7,8)</f>
        <v>8</v>
      </c>
      <c r="AB1451" s="2">
        <f t="shared" si="226"/>
        <v>1</v>
      </c>
      <c r="AC1451">
        <v>1006.9</v>
      </c>
      <c r="AD1451" t="s">
        <v>1890</v>
      </c>
      <c r="AE1451" s="2">
        <f t="shared" si="227"/>
        <v>1</v>
      </c>
      <c r="AF1451" t="s">
        <v>2131</v>
      </c>
      <c r="AG1451" s="2">
        <f t="shared" si="228"/>
        <v>8</v>
      </c>
      <c r="AH1451" s="2">
        <f t="shared" si="229"/>
        <v>1</v>
      </c>
      <c r="AI1451" s="3">
        <v>104.9999999965075</v>
      </c>
      <c r="AJ1451" s="2">
        <v>0</v>
      </c>
      <c r="AK1451">
        <v>0</v>
      </c>
      <c r="AL1451">
        <v>0.1</v>
      </c>
      <c r="AM1451">
        <v>0</v>
      </c>
      <c r="AN1451" s="2">
        <f>IF((2*G1451+M1451-O1451+3*V1451+2*AB1451+2*AE1451+2*AH1451+3*AJ1451)&gt;=7,1,0)</f>
        <v>1</v>
      </c>
    </row>
    <row r="1452" spans="1:40" x14ac:dyDescent="0.25">
      <c r="A1452" t="s">
        <v>27</v>
      </c>
      <c r="B1452" s="1">
        <v>41122</v>
      </c>
      <c r="C1452" s="6">
        <f t="shared" si="220"/>
        <v>2012</v>
      </c>
      <c r="D1452">
        <v>84.3</v>
      </c>
      <c r="E1452">
        <v>78.8</v>
      </c>
      <c r="F1452">
        <v>82.1</v>
      </c>
      <c r="G1452" s="2">
        <f t="shared" si="221"/>
        <v>1</v>
      </c>
      <c r="H1452">
        <v>89.8</v>
      </c>
      <c r="I1452">
        <v>78.8</v>
      </c>
      <c r="J1452">
        <v>86.2</v>
      </c>
      <c r="K1452">
        <v>70.900000000000006</v>
      </c>
      <c r="L1452">
        <v>69</v>
      </c>
      <c r="M1452" s="2">
        <f t="shared" si="222"/>
        <v>0</v>
      </c>
      <c r="N1452">
        <v>0</v>
      </c>
      <c r="O1452" s="2">
        <f t="shared" si="223"/>
        <v>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 s="2">
        <f t="shared" si="224"/>
        <v>0</v>
      </c>
      <c r="W1452">
        <v>20.8</v>
      </c>
      <c r="X1452" s="2">
        <f t="shared" si="225"/>
        <v>1</v>
      </c>
      <c r="Y1452">
        <v>309.3</v>
      </c>
      <c r="Z1452" s="2" t="str">
        <f>CHOOSE(MATCH(Y1452,{0;11;80;111;161;191;241;281;341},1),"North","NorthEast","East","SouthEast","South","SouthWest","West","NorthWest","North")</f>
        <v>NorthWest</v>
      </c>
      <c r="AA1452" s="4">
        <f>CHOOSE(MATCH(Z1452,{"South";"SouthEast";"SouthWest";"North";"NorthEast";"East";"West";"NorthWest"},0),1,2,3,4,5,6,7,8)</f>
        <v>8</v>
      </c>
      <c r="AB1452" s="2">
        <f t="shared" si="226"/>
        <v>1</v>
      </c>
      <c r="AC1452">
        <v>1006.9</v>
      </c>
      <c r="AD1452" t="s">
        <v>1215</v>
      </c>
      <c r="AE1452" s="2">
        <f t="shared" si="227"/>
        <v>1</v>
      </c>
      <c r="AF1452" t="s">
        <v>2132</v>
      </c>
      <c r="AG1452" s="2">
        <f t="shared" si="228"/>
        <v>8</v>
      </c>
      <c r="AH1452" s="2">
        <f t="shared" si="229"/>
        <v>1</v>
      </c>
      <c r="AI1452" s="3">
        <v>1339.9999999988361</v>
      </c>
      <c r="AJ1452" s="2">
        <v>1</v>
      </c>
      <c r="AK1452">
        <v>0.5</v>
      </c>
      <c r="AL1452">
        <v>0</v>
      </c>
      <c r="AM1452">
        <v>0</v>
      </c>
      <c r="AN1452" s="2">
        <f>IF((2*G1452+M1452-O1452+3*V1452+2*AB1452+2*AE1452+2*AH1452+3*AJ1452)&gt;=7,1,0)</f>
        <v>1</v>
      </c>
    </row>
    <row r="1453" spans="1:40" x14ac:dyDescent="0.25">
      <c r="A1453" t="s">
        <v>27</v>
      </c>
      <c r="B1453" s="1">
        <v>41122</v>
      </c>
      <c r="C1453" s="6">
        <f t="shared" si="220"/>
        <v>2012</v>
      </c>
      <c r="D1453">
        <v>84.3</v>
      </c>
      <c r="E1453">
        <v>78.8</v>
      </c>
      <c r="F1453">
        <v>82.1</v>
      </c>
      <c r="G1453" s="2">
        <f t="shared" si="221"/>
        <v>1</v>
      </c>
      <c r="H1453">
        <v>89.8</v>
      </c>
      <c r="I1453">
        <v>78.8</v>
      </c>
      <c r="J1453">
        <v>86.2</v>
      </c>
      <c r="K1453">
        <v>70.900000000000006</v>
      </c>
      <c r="L1453">
        <v>69</v>
      </c>
      <c r="M1453" s="2">
        <f t="shared" si="222"/>
        <v>0</v>
      </c>
      <c r="N1453">
        <v>0</v>
      </c>
      <c r="O1453" s="2">
        <f t="shared" si="223"/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 s="2">
        <f t="shared" si="224"/>
        <v>0</v>
      </c>
      <c r="W1453">
        <v>20.8</v>
      </c>
      <c r="X1453" s="2">
        <f t="shared" si="225"/>
        <v>1</v>
      </c>
      <c r="Y1453">
        <v>309.3</v>
      </c>
      <c r="Z1453" s="2" t="str">
        <f>CHOOSE(MATCH(Y1453,{0;11;80;111;161;191;241;281;341},1),"North","NorthEast","East","SouthEast","South","SouthWest","West","NorthWest","North")</f>
        <v>NorthWest</v>
      </c>
      <c r="AA1453" s="4">
        <f>CHOOSE(MATCH(Z1453,{"South";"SouthEast";"SouthWest";"North";"NorthEast";"East";"West";"NorthWest"},0),1,2,3,4,5,6,7,8)</f>
        <v>8</v>
      </c>
      <c r="AB1453" s="2">
        <f t="shared" si="226"/>
        <v>1</v>
      </c>
      <c r="AC1453">
        <v>1006.9</v>
      </c>
      <c r="AD1453" t="s">
        <v>1800</v>
      </c>
      <c r="AE1453" s="2">
        <f t="shared" si="227"/>
        <v>1</v>
      </c>
      <c r="AF1453" t="s">
        <v>2133</v>
      </c>
      <c r="AG1453" s="2">
        <f t="shared" si="228"/>
        <v>8</v>
      </c>
      <c r="AH1453" s="2">
        <f t="shared" si="229"/>
        <v>1</v>
      </c>
      <c r="AI1453" s="3">
        <v>1000.000000001164</v>
      </c>
      <c r="AJ1453" s="2">
        <v>1</v>
      </c>
      <c r="AK1453">
        <v>0</v>
      </c>
      <c r="AL1453">
        <v>0.1</v>
      </c>
      <c r="AM1453">
        <v>0</v>
      </c>
      <c r="AN1453" s="2">
        <f>IF((2*G1453+M1453-O1453+3*V1453+2*AB1453+2*AE1453+2*AH1453+3*AJ1453)&gt;=7,1,0)</f>
        <v>1</v>
      </c>
    </row>
    <row r="1454" spans="1:40" x14ac:dyDescent="0.25">
      <c r="A1454" t="s">
        <v>27</v>
      </c>
      <c r="B1454" s="1">
        <v>41122</v>
      </c>
      <c r="C1454" s="6">
        <f t="shared" si="220"/>
        <v>2012</v>
      </c>
      <c r="D1454">
        <v>84.3</v>
      </c>
      <c r="E1454">
        <v>78.8</v>
      </c>
      <c r="F1454">
        <v>82.1</v>
      </c>
      <c r="G1454" s="2">
        <f t="shared" si="221"/>
        <v>1</v>
      </c>
      <c r="H1454">
        <v>89.8</v>
      </c>
      <c r="I1454">
        <v>78.8</v>
      </c>
      <c r="J1454">
        <v>86.2</v>
      </c>
      <c r="K1454">
        <v>70.900000000000006</v>
      </c>
      <c r="L1454">
        <v>69</v>
      </c>
      <c r="M1454" s="2">
        <f t="shared" si="222"/>
        <v>0</v>
      </c>
      <c r="N1454">
        <v>0</v>
      </c>
      <c r="O1454" s="2">
        <f t="shared" si="223"/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 s="2">
        <f t="shared" si="224"/>
        <v>0</v>
      </c>
      <c r="W1454">
        <v>20.8</v>
      </c>
      <c r="X1454" s="2">
        <f t="shared" si="225"/>
        <v>1</v>
      </c>
      <c r="Y1454">
        <v>309.3</v>
      </c>
      <c r="Z1454" s="2" t="str">
        <f>CHOOSE(MATCH(Y1454,{0;11;80;111;161;191;241;281;341},1),"North","NorthEast","East","SouthEast","South","SouthWest","West","NorthWest","North")</f>
        <v>NorthWest</v>
      </c>
      <c r="AA1454" s="4">
        <f>CHOOSE(MATCH(Z1454,{"South";"SouthEast";"SouthWest";"North";"NorthEast";"East";"West";"NorthWest"},0),1,2,3,4,5,6,7,8)</f>
        <v>8</v>
      </c>
      <c r="AB1454" s="2">
        <f t="shared" si="226"/>
        <v>1</v>
      </c>
      <c r="AC1454">
        <v>1006.9</v>
      </c>
      <c r="AD1454" t="s">
        <v>1109</v>
      </c>
      <c r="AE1454" s="2">
        <f t="shared" si="227"/>
        <v>1</v>
      </c>
      <c r="AF1454" t="s">
        <v>2134</v>
      </c>
      <c r="AG1454" s="2">
        <f t="shared" si="228"/>
        <v>8</v>
      </c>
      <c r="AH1454" s="2">
        <f t="shared" si="229"/>
        <v>1</v>
      </c>
      <c r="AI1454" s="3">
        <v>560.00000000232831</v>
      </c>
      <c r="AJ1454" s="2">
        <v>1</v>
      </c>
      <c r="AK1454">
        <v>0</v>
      </c>
      <c r="AL1454">
        <v>0.1</v>
      </c>
      <c r="AM1454">
        <v>0</v>
      </c>
      <c r="AN1454" s="2">
        <f>IF((2*G1454+M1454-O1454+3*V1454+2*AB1454+2*AE1454+2*AH1454+3*AJ1454)&gt;=7,1,0)</f>
        <v>1</v>
      </c>
    </row>
    <row r="1455" spans="1:40" x14ac:dyDescent="0.25">
      <c r="A1455" t="s">
        <v>27</v>
      </c>
      <c r="B1455" s="1">
        <v>41122</v>
      </c>
      <c r="C1455" s="6">
        <f t="shared" si="220"/>
        <v>2012</v>
      </c>
      <c r="D1455">
        <v>84.3</v>
      </c>
      <c r="E1455">
        <v>78.8</v>
      </c>
      <c r="F1455">
        <v>82.1</v>
      </c>
      <c r="G1455" s="2">
        <f t="shared" si="221"/>
        <v>1</v>
      </c>
      <c r="H1455">
        <v>89.8</v>
      </c>
      <c r="I1455">
        <v>78.8</v>
      </c>
      <c r="J1455">
        <v>86.2</v>
      </c>
      <c r="K1455">
        <v>70.900000000000006</v>
      </c>
      <c r="L1455">
        <v>69</v>
      </c>
      <c r="M1455" s="2">
        <f t="shared" si="222"/>
        <v>0</v>
      </c>
      <c r="N1455">
        <v>0</v>
      </c>
      <c r="O1455" s="2">
        <f t="shared" si="223"/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 s="2">
        <f t="shared" si="224"/>
        <v>0</v>
      </c>
      <c r="W1455">
        <v>20.8</v>
      </c>
      <c r="X1455" s="2">
        <f t="shared" si="225"/>
        <v>1</v>
      </c>
      <c r="Y1455">
        <v>309.3</v>
      </c>
      <c r="Z1455" s="2" t="str">
        <f>CHOOSE(MATCH(Y1455,{0;11;80;111;161;191;241;281;341},1),"North","NorthEast","East","SouthEast","South","SouthWest","West","NorthWest","North")</f>
        <v>NorthWest</v>
      </c>
      <c r="AA1455" s="4">
        <f>CHOOSE(MATCH(Z1455,{"South";"SouthEast";"SouthWest";"North";"NorthEast";"East";"West";"NorthWest"},0),1,2,3,4,5,6,7,8)</f>
        <v>8</v>
      </c>
      <c r="AB1455" s="2">
        <f t="shared" si="226"/>
        <v>1</v>
      </c>
      <c r="AC1455">
        <v>1006.9</v>
      </c>
      <c r="AD1455" t="s">
        <v>1133</v>
      </c>
      <c r="AE1455" s="2">
        <f t="shared" si="227"/>
        <v>1</v>
      </c>
      <c r="AF1455" t="s">
        <v>2135</v>
      </c>
      <c r="AG1455" s="2">
        <f t="shared" si="228"/>
        <v>8</v>
      </c>
      <c r="AH1455" s="2">
        <f t="shared" si="229"/>
        <v>1</v>
      </c>
      <c r="AI1455" s="3">
        <v>209.99999999301511</v>
      </c>
      <c r="AJ1455" s="2">
        <v>0</v>
      </c>
      <c r="AK1455">
        <v>0</v>
      </c>
      <c r="AL1455">
        <v>0.1</v>
      </c>
      <c r="AM1455">
        <v>0</v>
      </c>
      <c r="AN1455" s="2">
        <f>IF((2*G1455+M1455-O1455+3*V1455+2*AB1455+2*AE1455+2*AH1455+3*AJ1455)&gt;=7,1,0)</f>
        <v>1</v>
      </c>
    </row>
    <row r="1456" spans="1:40" x14ac:dyDescent="0.25">
      <c r="A1456" t="s">
        <v>27</v>
      </c>
      <c r="B1456" s="1">
        <v>41123</v>
      </c>
      <c r="C1456" s="6">
        <f t="shared" si="220"/>
        <v>2012</v>
      </c>
      <c r="D1456">
        <v>86</v>
      </c>
      <c r="E1456">
        <v>78.8</v>
      </c>
      <c r="F1456">
        <v>82.1</v>
      </c>
      <c r="G1456" s="2">
        <f t="shared" si="221"/>
        <v>1</v>
      </c>
      <c r="H1456">
        <v>93.5</v>
      </c>
      <c r="I1456">
        <v>78.8</v>
      </c>
      <c r="J1456">
        <v>85.7</v>
      </c>
      <c r="K1456">
        <v>69.2</v>
      </c>
      <c r="L1456">
        <v>65.099999999999994</v>
      </c>
      <c r="M1456" s="2">
        <f t="shared" si="222"/>
        <v>1</v>
      </c>
      <c r="N1456">
        <v>0</v>
      </c>
      <c r="O1456" s="2">
        <f t="shared" si="223"/>
        <v>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 s="2">
        <f t="shared" si="224"/>
        <v>0</v>
      </c>
      <c r="W1456">
        <v>18.3</v>
      </c>
      <c r="X1456" s="2">
        <f t="shared" si="225"/>
        <v>1</v>
      </c>
      <c r="Y1456">
        <v>304.5</v>
      </c>
      <c r="Z1456" s="2" t="str">
        <f>CHOOSE(MATCH(Y1456,{0;11;80;111;161;191;241;281;341},1),"North","NorthEast","East","SouthEast","South","SouthWest","West","NorthWest","North")</f>
        <v>NorthWest</v>
      </c>
      <c r="AA1456" s="4">
        <f>CHOOSE(MATCH(Z1456,{"South";"SouthEast";"SouthWest";"North";"NorthEast";"East";"West";"NorthWest"},0),1,2,3,4,5,6,7,8)</f>
        <v>8</v>
      </c>
      <c r="AB1456" s="2">
        <f t="shared" si="226"/>
        <v>1</v>
      </c>
      <c r="AC1456">
        <v>1010.1</v>
      </c>
      <c r="AD1456" t="s">
        <v>2136</v>
      </c>
      <c r="AE1456" s="2">
        <f t="shared" si="227"/>
        <v>0</v>
      </c>
      <c r="AF1456" t="s">
        <v>2137</v>
      </c>
      <c r="AG1456" s="2">
        <f t="shared" si="228"/>
        <v>8</v>
      </c>
      <c r="AH1456" s="2">
        <f t="shared" si="229"/>
        <v>1</v>
      </c>
      <c r="AI1456" s="3">
        <v>225</v>
      </c>
      <c r="AJ1456" s="2">
        <v>0</v>
      </c>
      <c r="AK1456">
        <v>0.1</v>
      </c>
      <c r="AL1456">
        <v>0</v>
      </c>
      <c r="AM1456">
        <v>0</v>
      </c>
      <c r="AN1456" s="2">
        <f>IF((2*G1456+M1456-O1456+3*V1456+2*AB1456+2*AE1456+2*AH1456+3*AJ1456)&gt;=7,1,0)</f>
        <v>0</v>
      </c>
    </row>
    <row r="1457" spans="1:40" x14ac:dyDescent="0.25">
      <c r="A1457" t="s">
        <v>27</v>
      </c>
      <c r="B1457" s="1">
        <v>41124</v>
      </c>
      <c r="C1457" s="6">
        <f t="shared" si="220"/>
        <v>2012</v>
      </c>
      <c r="D1457">
        <v>86</v>
      </c>
      <c r="E1457">
        <v>71.599999999999994</v>
      </c>
      <c r="F1457">
        <v>80.3</v>
      </c>
      <c r="G1457" s="2">
        <f t="shared" si="221"/>
        <v>1</v>
      </c>
      <c r="H1457">
        <v>93.5</v>
      </c>
      <c r="I1457">
        <v>71.599999999999994</v>
      </c>
      <c r="J1457">
        <v>83.4</v>
      </c>
      <c r="K1457">
        <v>68.5</v>
      </c>
      <c r="L1457">
        <v>67.8</v>
      </c>
      <c r="M1457" s="2">
        <f t="shared" si="222"/>
        <v>0</v>
      </c>
      <c r="N1457">
        <v>0</v>
      </c>
      <c r="O1457" s="2">
        <f t="shared" si="223"/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 s="2">
        <f t="shared" si="224"/>
        <v>0</v>
      </c>
      <c r="W1457">
        <v>17.2</v>
      </c>
      <c r="X1457" s="2">
        <f t="shared" si="225"/>
        <v>1</v>
      </c>
      <c r="Y1457">
        <v>304.3</v>
      </c>
      <c r="Z1457" s="2" t="str">
        <f>CHOOSE(MATCH(Y1457,{0;11;80;111;161;191;241;281;341},1),"North","NorthEast","East","SouthEast","South","SouthWest","West","NorthWest","North")</f>
        <v>NorthWest</v>
      </c>
      <c r="AA1457" s="4">
        <f>CHOOSE(MATCH(Z1457,{"South";"SouthEast";"SouthWest";"North";"NorthEast";"East";"West";"NorthWest"},0),1,2,3,4,5,6,7,8)</f>
        <v>8</v>
      </c>
      <c r="AB1457" s="2">
        <f t="shared" si="226"/>
        <v>1</v>
      </c>
      <c r="AC1457">
        <v>1010.7</v>
      </c>
      <c r="AD1457" t="s">
        <v>1191</v>
      </c>
      <c r="AE1457" s="2">
        <f t="shared" si="227"/>
        <v>0</v>
      </c>
      <c r="AF1457" t="s">
        <v>2138</v>
      </c>
      <c r="AG1457" s="2">
        <f t="shared" si="228"/>
        <v>8</v>
      </c>
      <c r="AH1457" s="2">
        <f t="shared" si="229"/>
        <v>1</v>
      </c>
      <c r="AI1457" s="3">
        <v>1750.0000000046571</v>
      </c>
      <c r="AJ1457" s="2">
        <v>1</v>
      </c>
      <c r="AK1457">
        <v>0.1</v>
      </c>
      <c r="AL1457">
        <v>0</v>
      </c>
      <c r="AM1457">
        <v>0</v>
      </c>
      <c r="AN1457" s="2">
        <f>IF((2*G1457+M1457-O1457+3*V1457+2*AB1457+2*AE1457+2*AH1457+3*AJ1457)&gt;=7,1,0)</f>
        <v>1</v>
      </c>
    </row>
    <row r="1458" spans="1:40" x14ac:dyDescent="0.25">
      <c r="A1458" t="s">
        <v>27</v>
      </c>
      <c r="B1458" s="1">
        <v>41124</v>
      </c>
      <c r="C1458" s="6">
        <f t="shared" si="220"/>
        <v>2012</v>
      </c>
      <c r="D1458">
        <v>86</v>
      </c>
      <c r="E1458">
        <v>71.599999999999994</v>
      </c>
      <c r="F1458">
        <v>80.3</v>
      </c>
      <c r="G1458" s="2">
        <f t="shared" si="221"/>
        <v>1</v>
      </c>
      <c r="H1458">
        <v>93.5</v>
      </c>
      <c r="I1458">
        <v>71.599999999999994</v>
      </c>
      <c r="J1458">
        <v>83.4</v>
      </c>
      <c r="K1458">
        <v>68.5</v>
      </c>
      <c r="L1458">
        <v>67.8</v>
      </c>
      <c r="M1458" s="2">
        <f t="shared" si="222"/>
        <v>0</v>
      </c>
      <c r="N1458">
        <v>0</v>
      </c>
      <c r="O1458" s="2">
        <f t="shared" si="223"/>
        <v>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 s="2">
        <f t="shared" si="224"/>
        <v>0</v>
      </c>
      <c r="W1458">
        <v>17.2</v>
      </c>
      <c r="X1458" s="2">
        <f t="shared" si="225"/>
        <v>1</v>
      </c>
      <c r="Y1458">
        <v>304.3</v>
      </c>
      <c r="Z1458" s="2" t="str">
        <f>CHOOSE(MATCH(Y1458,{0;11;80;111;161;191;241;281;341},1),"North","NorthEast","East","SouthEast","South","SouthWest","West","NorthWest","North")</f>
        <v>NorthWest</v>
      </c>
      <c r="AA1458" s="4">
        <f>CHOOSE(MATCH(Z1458,{"South";"SouthEast";"SouthWest";"North";"NorthEast";"East";"West";"NorthWest"},0),1,2,3,4,5,6,7,8)</f>
        <v>8</v>
      </c>
      <c r="AB1458" s="2">
        <f t="shared" si="226"/>
        <v>1</v>
      </c>
      <c r="AC1458">
        <v>1010.7</v>
      </c>
      <c r="AD1458" t="s">
        <v>2087</v>
      </c>
      <c r="AE1458" s="2">
        <f t="shared" si="227"/>
        <v>1</v>
      </c>
      <c r="AF1458" t="s">
        <v>2139</v>
      </c>
      <c r="AG1458" s="2">
        <f t="shared" si="228"/>
        <v>8</v>
      </c>
      <c r="AH1458" s="2">
        <f t="shared" si="229"/>
        <v>1</v>
      </c>
      <c r="AI1458" s="3">
        <v>100.0000000011642</v>
      </c>
      <c r="AJ1458" s="2">
        <v>0</v>
      </c>
      <c r="AK1458">
        <v>0</v>
      </c>
      <c r="AL1458">
        <v>1</v>
      </c>
      <c r="AM1458">
        <v>0</v>
      </c>
      <c r="AN1458" s="2">
        <f>IF((2*G1458+M1458-O1458+3*V1458+2*AB1458+2*AE1458+2*AH1458+3*AJ1458)&gt;=7,1,0)</f>
        <v>1</v>
      </c>
    </row>
    <row r="1459" spans="1:40" x14ac:dyDescent="0.25">
      <c r="A1459" t="s">
        <v>27</v>
      </c>
      <c r="B1459" s="1">
        <v>41125</v>
      </c>
      <c r="C1459" s="6">
        <f t="shared" si="220"/>
        <v>2012</v>
      </c>
      <c r="D1459">
        <v>87.8</v>
      </c>
      <c r="E1459">
        <v>77</v>
      </c>
      <c r="F1459">
        <v>82.9</v>
      </c>
      <c r="G1459" s="2">
        <f t="shared" si="221"/>
        <v>1</v>
      </c>
      <c r="H1459">
        <v>95.9</v>
      </c>
      <c r="I1459">
        <v>77</v>
      </c>
      <c r="J1459">
        <v>86.5</v>
      </c>
      <c r="K1459">
        <v>68.400000000000006</v>
      </c>
      <c r="L1459">
        <v>62.4</v>
      </c>
      <c r="M1459" s="2">
        <f t="shared" si="222"/>
        <v>1</v>
      </c>
      <c r="N1459">
        <v>0</v>
      </c>
      <c r="O1459" s="2">
        <f t="shared" si="223"/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 s="2">
        <f t="shared" si="224"/>
        <v>0</v>
      </c>
      <c r="W1459">
        <v>15</v>
      </c>
      <c r="X1459" s="2">
        <f t="shared" si="225"/>
        <v>0</v>
      </c>
      <c r="Y1459">
        <v>310.3</v>
      </c>
      <c r="Z1459" s="2" t="str">
        <f>CHOOSE(MATCH(Y1459,{0;11;80;111;161;191;241;281;341},1),"North","NorthEast","East","SouthEast","South","SouthWest","West","NorthWest","North")</f>
        <v>NorthWest</v>
      </c>
      <c r="AA1459" s="4">
        <f>CHOOSE(MATCH(Z1459,{"South";"SouthEast";"SouthWest";"North";"NorthEast";"East";"West";"NorthWest"},0),1,2,3,4,5,6,7,8)</f>
        <v>8</v>
      </c>
      <c r="AB1459" s="2">
        <f t="shared" si="226"/>
        <v>1</v>
      </c>
      <c r="AC1459">
        <v>1010.6</v>
      </c>
      <c r="AD1459" t="s">
        <v>1237</v>
      </c>
      <c r="AE1459" s="2">
        <f t="shared" si="227"/>
        <v>1</v>
      </c>
      <c r="AF1459" t="s">
        <v>2140</v>
      </c>
      <c r="AG1459" s="2">
        <f t="shared" si="228"/>
        <v>8</v>
      </c>
      <c r="AH1459" s="2">
        <f t="shared" si="229"/>
        <v>1</v>
      </c>
      <c r="AI1459" s="3">
        <v>465.00000000698492</v>
      </c>
      <c r="AJ1459" s="2">
        <v>1</v>
      </c>
      <c r="AK1459">
        <v>0</v>
      </c>
      <c r="AL1459">
        <v>1</v>
      </c>
      <c r="AM1459">
        <v>0</v>
      </c>
      <c r="AN1459" s="2">
        <f>IF((2*G1459+M1459-O1459+3*V1459+2*AB1459+2*AE1459+2*AH1459+3*AJ1459)&gt;=7,1,0)</f>
        <v>1</v>
      </c>
    </row>
    <row r="1460" spans="1:40" x14ac:dyDescent="0.25">
      <c r="A1460" t="s">
        <v>27</v>
      </c>
      <c r="B1460" s="1">
        <v>41126</v>
      </c>
      <c r="C1460" s="6">
        <f t="shared" si="220"/>
        <v>2012</v>
      </c>
      <c r="D1460">
        <v>91.4</v>
      </c>
      <c r="E1460">
        <v>78.8</v>
      </c>
      <c r="F1460">
        <v>84.4</v>
      </c>
      <c r="G1460" s="2">
        <f t="shared" si="221"/>
        <v>1</v>
      </c>
      <c r="H1460">
        <v>98.7</v>
      </c>
      <c r="I1460">
        <v>78.8</v>
      </c>
      <c r="J1460">
        <v>88.9</v>
      </c>
      <c r="K1460">
        <v>71</v>
      </c>
      <c r="L1460">
        <v>64.8</v>
      </c>
      <c r="M1460" s="2">
        <f t="shared" si="222"/>
        <v>1</v>
      </c>
      <c r="N1460">
        <v>0</v>
      </c>
      <c r="O1460" s="2">
        <f t="shared" si="223"/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 s="2">
        <f t="shared" si="224"/>
        <v>0</v>
      </c>
      <c r="W1460">
        <v>21.9</v>
      </c>
      <c r="X1460" s="2">
        <f t="shared" si="225"/>
        <v>1</v>
      </c>
      <c r="Y1460">
        <v>309</v>
      </c>
      <c r="Z1460" s="2" t="str">
        <f>CHOOSE(MATCH(Y1460,{0;11;80;111;161;191;241;281;341},1),"North","NorthEast","East","SouthEast","South","SouthWest","West","NorthWest","North")</f>
        <v>NorthWest</v>
      </c>
      <c r="AA1460" s="4">
        <f>CHOOSE(MATCH(Z1460,{"South";"SouthEast";"SouthWest";"North";"NorthEast";"East";"West";"NorthWest"},0),1,2,3,4,5,6,7,8)</f>
        <v>8</v>
      </c>
      <c r="AB1460" s="2">
        <f t="shared" si="226"/>
        <v>1</v>
      </c>
      <c r="AC1460">
        <v>1010.5</v>
      </c>
      <c r="AD1460" t="s">
        <v>2141</v>
      </c>
      <c r="AE1460" s="2">
        <f t="shared" si="227"/>
        <v>1</v>
      </c>
      <c r="AF1460" t="s">
        <v>2142</v>
      </c>
      <c r="AG1460" s="2">
        <f t="shared" si="228"/>
        <v>8</v>
      </c>
      <c r="AH1460" s="2">
        <f t="shared" si="229"/>
        <v>1</v>
      </c>
      <c r="AI1460" s="3">
        <v>130.00000000465661</v>
      </c>
      <c r="AJ1460" s="2">
        <v>0</v>
      </c>
      <c r="AK1460">
        <v>0</v>
      </c>
      <c r="AL1460">
        <v>2</v>
      </c>
      <c r="AM1460">
        <v>0</v>
      </c>
      <c r="AN1460" s="2">
        <f>IF((2*G1460+M1460-O1460+3*V1460+2*AB1460+2*AE1460+2*AH1460+3*AJ1460)&gt;=7,1,0)</f>
        <v>1</v>
      </c>
    </row>
    <row r="1461" spans="1:40" x14ac:dyDescent="0.25">
      <c r="A1461" t="s">
        <v>27</v>
      </c>
      <c r="B1461" s="1">
        <v>41127</v>
      </c>
      <c r="C1461" s="6">
        <f t="shared" si="220"/>
        <v>2012</v>
      </c>
      <c r="D1461">
        <v>89.6</v>
      </c>
      <c r="E1461">
        <v>82.4</v>
      </c>
      <c r="F1461">
        <v>85.2</v>
      </c>
      <c r="G1461" s="2">
        <f t="shared" si="221"/>
        <v>1</v>
      </c>
      <c r="H1461">
        <v>97.8</v>
      </c>
      <c r="I1461">
        <v>84.7</v>
      </c>
      <c r="J1461">
        <v>90.1</v>
      </c>
      <c r="K1461">
        <v>70.099999999999994</v>
      </c>
      <c r="L1461">
        <v>60.9</v>
      </c>
      <c r="M1461" s="2">
        <f t="shared" si="222"/>
        <v>1</v>
      </c>
      <c r="N1461">
        <v>0</v>
      </c>
      <c r="O1461" s="2">
        <f t="shared" si="223"/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 s="2">
        <f t="shared" si="224"/>
        <v>0</v>
      </c>
      <c r="W1461">
        <v>21.9</v>
      </c>
      <c r="X1461" s="2">
        <f t="shared" si="225"/>
        <v>1</v>
      </c>
      <c r="Y1461">
        <v>305.3</v>
      </c>
      <c r="Z1461" s="2" t="str">
        <f>CHOOSE(MATCH(Y1461,{0;11;80;111;161;191;241;281;341},1),"North","NorthEast","East","SouthEast","South","SouthWest","West","NorthWest","North")</f>
        <v>NorthWest</v>
      </c>
      <c r="AA1461" s="4">
        <f>CHOOSE(MATCH(Z1461,{"South";"SouthEast";"SouthWest";"North";"NorthEast";"East";"West";"NorthWest"},0),1,2,3,4,5,6,7,8)</f>
        <v>8</v>
      </c>
      <c r="AB1461" s="2">
        <f t="shared" si="226"/>
        <v>1</v>
      </c>
      <c r="AC1461">
        <v>1010.3</v>
      </c>
      <c r="AD1461" t="s">
        <v>1998</v>
      </c>
      <c r="AE1461" s="2">
        <f t="shared" si="227"/>
        <v>1</v>
      </c>
      <c r="AF1461" t="s">
        <v>2143</v>
      </c>
      <c r="AG1461" s="2">
        <f t="shared" si="228"/>
        <v>8</v>
      </c>
      <c r="AH1461" s="2">
        <f t="shared" si="229"/>
        <v>1</v>
      </c>
      <c r="AI1461" s="3">
        <v>10395</v>
      </c>
      <c r="AJ1461" s="2">
        <v>1</v>
      </c>
      <c r="AK1461">
        <v>0</v>
      </c>
      <c r="AL1461">
        <v>100</v>
      </c>
      <c r="AM1461">
        <v>0</v>
      </c>
      <c r="AN1461" s="2">
        <f>IF((2*G1461+M1461-O1461+3*V1461+2*AB1461+2*AE1461+2*AH1461+3*AJ1461)&gt;=7,1,0)</f>
        <v>1</v>
      </c>
    </row>
    <row r="1462" spans="1:40" x14ac:dyDescent="0.25">
      <c r="A1462" t="s">
        <v>27</v>
      </c>
      <c r="B1462" s="1">
        <v>41127</v>
      </c>
      <c r="C1462" s="6">
        <f t="shared" si="220"/>
        <v>2012</v>
      </c>
      <c r="D1462">
        <v>89.6</v>
      </c>
      <c r="E1462">
        <v>82.4</v>
      </c>
      <c r="F1462">
        <v>85.2</v>
      </c>
      <c r="G1462" s="2">
        <f t="shared" si="221"/>
        <v>1</v>
      </c>
      <c r="H1462">
        <v>97.8</v>
      </c>
      <c r="I1462">
        <v>84.7</v>
      </c>
      <c r="J1462">
        <v>90.1</v>
      </c>
      <c r="K1462">
        <v>70.099999999999994</v>
      </c>
      <c r="L1462">
        <v>60.9</v>
      </c>
      <c r="M1462" s="2">
        <f t="shared" si="222"/>
        <v>1</v>
      </c>
      <c r="N1462">
        <v>0</v>
      </c>
      <c r="O1462" s="2">
        <f t="shared" si="223"/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 s="2">
        <f t="shared" si="224"/>
        <v>0</v>
      </c>
      <c r="W1462">
        <v>21.9</v>
      </c>
      <c r="X1462" s="2">
        <f t="shared" si="225"/>
        <v>1</v>
      </c>
      <c r="Y1462">
        <v>305.3</v>
      </c>
      <c r="Z1462" s="2" t="str">
        <f>CHOOSE(MATCH(Y1462,{0;11;80;111;161;191;241;281;341},1),"North","NorthEast","East","SouthEast","South","SouthWest","West","NorthWest","North")</f>
        <v>NorthWest</v>
      </c>
      <c r="AA1462" s="4">
        <f>CHOOSE(MATCH(Z1462,{"South";"SouthEast";"SouthWest";"North";"NorthEast";"East";"West";"NorthWest"},0),1,2,3,4,5,6,7,8)</f>
        <v>8</v>
      </c>
      <c r="AB1462" s="2">
        <f t="shared" si="226"/>
        <v>1</v>
      </c>
      <c r="AC1462">
        <v>1010.3</v>
      </c>
      <c r="AD1462" t="s">
        <v>1105</v>
      </c>
      <c r="AE1462" s="2">
        <f t="shared" si="227"/>
        <v>1</v>
      </c>
      <c r="AF1462" t="s">
        <v>2144</v>
      </c>
      <c r="AG1462" s="2">
        <f t="shared" si="228"/>
        <v>8</v>
      </c>
      <c r="AH1462" s="2">
        <f t="shared" si="229"/>
        <v>1</v>
      </c>
      <c r="AI1462" s="3">
        <v>10325.00000000233</v>
      </c>
      <c r="AJ1462" s="2">
        <v>1</v>
      </c>
      <c r="AK1462">
        <v>0</v>
      </c>
      <c r="AL1462">
        <v>100</v>
      </c>
      <c r="AM1462">
        <v>0</v>
      </c>
      <c r="AN1462" s="2">
        <f>IF((2*G1462+M1462-O1462+3*V1462+2*AB1462+2*AE1462+2*AH1462+3*AJ1462)&gt;=7,1,0)</f>
        <v>1</v>
      </c>
    </row>
    <row r="1463" spans="1:40" x14ac:dyDescent="0.25">
      <c r="A1463" t="s">
        <v>27</v>
      </c>
      <c r="B1463" s="1">
        <v>41127</v>
      </c>
      <c r="C1463" s="6">
        <f t="shared" si="220"/>
        <v>2012</v>
      </c>
      <c r="D1463">
        <v>89.6</v>
      </c>
      <c r="E1463">
        <v>82.4</v>
      </c>
      <c r="F1463">
        <v>85.2</v>
      </c>
      <c r="G1463" s="2">
        <f t="shared" si="221"/>
        <v>1</v>
      </c>
      <c r="H1463">
        <v>97.8</v>
      </c>
      <c r="I1463">
        <v>84.7</v>
      </c>
      <c r="J1463">
        <v>90.1</v>
      </c>
      <c r="K1463">
        <v>70.099999999999994</v>
      </c>
      <c r="L1463">
        <v>60.9</v>
      </c>
      <c r="M1463" s="2">
        <f t="shared" si="222"/>
        <v>1</v>
      </c>
      <c r="N1463">
        <v>0</v>
      </c>
      <c r="O1463" s="2">
        <f t="shared" si="223"/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 s="2">
        <f t="shared" si="224"/>
        <v>0</v>
      </c>
      <c r="W1463">
        <v>21.9</v>
      </c>
      <c r="X1463" s="2">
        <f t="shared" si="225"/>
        <v>1</v>
      </c>
      <c r="Y1463">
        <v>305.3</v>
      </c>
      <c r="Z1463" s="2" t="str">
        <f>CHOOSE(MATCH(Y1463,{0;11;80;111;161;191;241;281;341},1),"North","NorthEast","East","SouthEast","South","SouthWest","West","NorthWest","North")</f>
        <v>NorthWest</v>
      </c>
      <c r="AA1463" s="4">
        <f>CHOOSE(MATCH(Z1463,{"South";"SouthEast";"SouthWest";"North";"NorthEast";"East";"West";"NorthWest"},0),1,2,3,4,5,6,7,8)</f>
        <v>8</v>
      </c>
      <c r="AB1463" s="2">
        <f t="shared" si="226"/>
        <v>1</v>
      </c>
      <c r="AC1463">
        <v>1010.3</v>
      </c>
      <c r="AD1463" t="s">
        <v>1914</v>
      </c>
      <c r="AE1463" s="2">
        <f t="shared" si="227"/>
        <v>1</v>
      </c>
      <c r="AF1463" t="s">
        <v>2145</v>
      </c>
      <c r="AG1463" s="2">
        <f t="shared" si="228"/>
        <v>8</v>
      </c>
      <c r="AH1463" s="2">
        <f t="shared" si="229"/>
        <v>1</v>
      </c>
      <c r="AI1463" s="3">
        <v>10215</v>
      </c>
      <c r="AJ1463" s="2">
        <v>1</v>
      </c>
      <c r="AK1463">
        <v>0</v>
      </c>
      <c r="AL1463">
        <v>100</v>
      </c>
      <c r="AM1463">
        <v>0</v>
      </c>
      <c r="AN1463" s="2">
        <f>IF((2*G1463+M1463-O1463+3*V1463+2*AB1463+2*AE1463+2*AH1463+3*AJ1463)&gt;=7,1,0)</f>
        <v>1</v>
      </c>
    </row>
    <row r="1464" spans="1:40" x14ac:dyDescent="0.25">
      <c r="A1464" t="s">
        <v>27</v>
      </c>
      <c r="B1464" s="1">
        <v>41129</v>
      </c>
      <c r="C1464" s="6">
        <f t="shared" si="220"/>
        <v>2012</v>
      </c>
      <c r="D1464">
        <v>89.6</v>
      </c>
      <c r="E1464">
        <v>80.599999999999994</v>
      </c>
      <c r="F1464">
        <v>85.5</v>
      </c>
      <c r="G1464" s="2">
        <f t="shared" si="221"/>
        <v>1</v>
      </c>
      <c r="H1464">
        <v>98.2</v>
      </c>
      <c r="I1464">
        <v>84.6</v>
      </c>
      <c r="J1464">
        <v>90.9</v>
      </c>
      <c r="K1464">
        <v>71</v>
      </c>
      <c r="L1464">
        <v>62.3</v>
      </c>
      <c r="M1464" s="2">
        <f t="shared" si="222"/>
        <v>1</v>
      </c>
      <c r="N1464">
        <v>0</v>
      </c>
      <c r="O1464" s="2">
        <f t="shared" si="223"/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 s="2">
        <f t="shared" si="224"/>
        <v>0</v>
      </c>
      <c r="W1464">
        <v>18.3</v>
      </c>
      <c r="X1464" s="2">
        <f t="shared" si="225"/>
        <v>1</v>
      </c>
      <c r="Y1464">
        <v>309.2</v>
      </c>
      <c r="Z1464" s="2" t="str">
        <f>CHOOSE(MATCH(Y1464,{0;11;80;111;161;191;241;281;341},1),"North","NorthEast","East","SouthEast","South","SouthWest","West","NorthWest","North")</f>
        <v>NorthWest</v>
      </c>
      <c r="AA1464" s="4">
        <f>CHOOSE(MATCH(Z1464,{"South";"SouthEast";"SouthWest";"North";"NorthEast";"East";"West";"NorthWest"},0),1,2,3,4,5,6,7,8)</f>
        <v>8</v>
      </c>
      <c r="AB1464" s="2">
        <f t="shared" si="226"/>
        <v>1</v>
      </c>
      <c r="AC1464">
        <v>1009.1</v>
      </c>
      <c r="AD1464" t="s">
        <v>1215</v>
      </c>
      <c r="AE1464" s="2">
        <f t="shared" si="227"/>
        <v>1</v>
      </c>
      <c r="AF1464" t="s">
        <v>2146</v>
      </c>
      <c r="AG1464" s="2">
        <f t="shared" si="228"/>
        <v>8</v>
      </c>
      <c r="AH1464" s="2">
        <f t="shared" si="229"/>
        <v>1</v>
      </c>
      <c r="AI1464" s="3">
        <v>1264.9999999953429</v>
      </c>
      <c r="AJ1464" s="2">
        <v>1</v>
      </c>
      <c r="AK1464">
        <v>0</v>
      </c>
      <c r="AL1464">
        <v>5</v>
      </c>
      <c r="AM1464">
        <v>0</v>
      </c>
      <c r="AN1464" s="2">
        <f>IF((2*G1464+M1464-O1464+3*V1464+2*AB1464+2*AE1464+2*AH1464+3*AJ1464)&gt;=7,1,0)</f>
        <v>1</v>
      </c>
    </row>
    <row r="1465" spans="1:40" x14ac:dyDescent="0.25">
      <c r="A1465" t="s">
        <v>27</v>
      </c>
      <c r="B1465" s="1">
        <v>41130</v>
      </c>
      <c r="C1465" s="6">
        <f t="shared" si="220"/>
        <v>2012</v>
      </c>
      <c r="D1465">
        <v>89.6</v>
      </c>
      <c r="E1465">
        <v>80.599999999999994</v>
      </c>
      <c r="F1465">
        <v>85.3</v>
      </c>
      <c r="G1465" s="2">
        <f t="shared" si="221"/>
        <v>1</v>
      </c>
      <c r="H1465">
        <v>100.3</v>
      </c>
      <c r="I1465">
        <v>83.9</v>
      </c>
      <c r="J1465">
        <v>91.4</v>
      </c>
      <c r="K1465">
        <v>71.900000000000006</v>
      </c>
      <c r="L1465">
        <v>64.7</v>
      </c>
      <c r="M1465" s="2">
        <f t="shared" si="222"/>
        <v>1</v>
      </c>
      <c r="N1465">
        <v>0</v>
      </c>
      <c r="O1465" s="2">
        <f t="shared" si="223"/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 s="2">
        <f t="shared" si="224"/>
        <v>0</v>
      </c>
      <c r="W1465">
        <v>16.100000000000001</v>
      </c>
      <c r="X1465" s="2">
        <f t="shared" si="225"/>
        <v>1</v>
      </c>
      <c r="Y1465">
        <v>312.10000000000002</v>
      </c>
      <c r="Z1465" s="2" t="str">
        <f>CHOOSE(MATCH(Y1465,{0;11;80;111;161;191;241;281;341},1),"North","NorthEast","East","SouthEast","South","SouthWest","West","NorthWest","North")</f>
        <v>NorthWest</v>
      </c>
      <c r="AA1465" s="4">
        <f>CHOOSE(MATCH(Z1465,{"South";"SouthEast";"SouthWest";"North";"NorthEast";"East";"West";"NorthWest"},0),1,2,3,4,5,6,7,8)</f>
        <v>8</v>
      </c>
      <c r="AB1465" s="2">
        <f t="shared" si="226"/>
        <v>1</v>
      </c>
      <c r="AC1465">
        <v>1009.6</v>
      </c>
      <c r="AD1465" t="s">
        <v>1800</v>
      </c>
      <c r="AE1465" s="2">
        <f t="shared" si="227"/>
        <v>1</v>
      </c>
      <c r="AF1465" t="s">
        <v>2147</v>
      </c>
      <c r="AG1465" s="2">
        <f t="shared" si="228"/>
        <v>8</v>
      </c>
      <c r="AH1465" s="2">
        <f t="shared" si="229"/>
        <v>1</v>
      </c>
      <c r="AI1465" s="3">
        <v>130.00000000465661</v>
      </c>
      <c r="AJ1465" s="2">
        <v>0</v>
      </c>
      <c r="AK1465">
        <v>1</v>
      </c>
      <c r="AL1465">
        <v>0</v>
      </c>
      <c r="AM1465">
        <v>0</v>
      </c>
      <c r="AN1465" s="2">
        <f>IF((2*G1465+M1465-O1465+3*V1465+2*AB1465+2*AE1465+2*AH1465+3*AJ1465)&gt;=7,1,0)</f>
        <v>1</v>
      </c>
    </row>
    <row r="1466" spans="1:40" x14ac:dyDescent="0.25">
      <c r="A1466" t="s">
        <v>27</v>
      </c>
      <c r="B1466" s="1">
        <v>41130</v>
      </c>
      <c r="C1466" s="6">
        <f t="shared" si="220"/>
        <v>2012</v>
      </c>
      <c r="D1466">
        <v>89.6</v>
      </c>
      <c r="E1466">
        <v>80.599999999999994</v>
      </c>
      <c r="F1466">
        <v>85.3</v>
      </c>
      <c r="G1466" s="2">
        <f t="shared" si="221"/>
        <v>1</v>
      </c>
      <c r="H1466">
        <v>100.3</v>
      </c>
      <c r="I1466">
        <v>83.9</v>
      </c>
      <c r="J1466">
        <v>91.4</v>
      </c>
      <c r="K1466">
        <v>71.900000000000006</v>
      </c>
      <c r="L1466">
        <v>64.7</v>
      </c>
      <c r="M1466" s="2">
        <f t="shared" si="222"/>
        <v>1</v>
      </c>
      <c r="N1466">
        <v>0</v>
      </c>
      <c r="O1466" s="2">
        <f t="shared" si="223"/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 s="2">
        <f t="shared" si="224"/>
        <v>0</v>
      </c>
      <c r="W1466">
        <v>16.100000000000001</v>
      </c>
      <c r="X1466" s="2">
        <f t="shared" si="225"/>
        <v>1</v>
      </c>
      <c r="Y1466">
        <v>312.10000000000002</v>
      </c>
      <c r="Z1466" s="2" t="str">
        <f>CHOOSE(MATCH(Y1466,{0;11;80;111;161;191;241;281;341},1),"North","NorthEast","East","SouthEast","South","SouthWest","West","NorthWest","North")</f>
        <v>NorthWest</v>
      </c>
      <c r="AA1466" s="4">
        <f>CHOOSE(MATCH(Z1466,{"South";"SouthEast";"SouthWest";"North";"NorthEast";"East";"West";"NorthWest"},0),1,2,3,4,5,6,7,8)</f>
        <v>8</v>
      </c>
      <c r="AB1466" s="2">
        <f t="shared" si="226"/>
        <v>1</v>
      </c>
      <c r="AC1466">
        <v>1009.6</v>
      </c>
      <c r="AD1466" t="s">
        <v>2148</v>
      </c>
      <c r="AE1466" s="2">
        <f t="shared" si="227"/>
        <v>1</v>
      </c>
      <c r="AF1466" t="s">
        <v>2149</v>
      </c>
      <c r="AG1466" s="2">
        <f t="shared" si="228"/>
        <v>8</v>
      </c>
      <c r="AH1466" s="2">
        <f t="shared" si="229"/>
        <v>1</v>
      </c>
      <c r="AI1466" s="3">
        <v>227.00000000651929</v>
      </c>
      <c r="AJ1466" s="2">
        <v>0</v>
      </c>
      <c r="AK1466">
        <v>1</v>
      </c>
      <c r="AL1466">
        <v>0</v>
      </c>
      <c r="AM1466">
        <v>0</v>
      </c>
      <c r="AN1466" s="2">
        <f>IF((2*G1466+M1466-O1466+3*V1466+2*AB1466+2*AE1466+2*AH1466+3*AJ1466)&gt;=7,1,0)</f>
        <v>1</v>
      </c>
    </row>
    <row r="1467" spans="1:40" x14ac:dyDescent="0.25">
      <c r="A1467" t="s">
        <v>27</v>
      </c>
      <c r="B1467" s="1">
        <v>41131</v>
      </c>
      <c r="C1467" s="6">
        <f t="shared" si="220"/>
        <v>2012</v>
      </c>
      <c r="D1467">
        <v>86</v>
      </c>
      <c r="E1467">
        <v>77</v>
      </c>
      <c r="F1467">
        <v>83</v>
      </c>
      <c r="G1467" s="2">
        <f t="shared" si="221"/>
        <v>1</v>
      </c>
      <c r="H1467">
        <v>97.2</v>
      </c>
      <c r="I1467">
        <v>77</v>
      </c>
      <c r="J1467">
        <v>89.1</v>
      </c>
      <c r="K1467">
        <v>73</v>
      </c>
      <c r="L1467">
        <v>72.099999999999994</v>
      </c>
      <c r="M1467" s="2">
        <f t="shared" si="222"/>
        <v>0</v>
      </c>
      <c r="N1467">
        <v>0</v>
      </c>
      <c r="O1467" s="2">
        <f t="shared" si="223"/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 s="2">
        <f t="shared" si="224"/>
        <v>0</v>
      </c>
      <c r="W1467">
        <v>16.100000000000001</v>
      </c>
      <c r="X1467" s="2">
        <f t="shared" si="225"/>
        <v>1</v>
      </c>
      <c r="Y1467">
        <v>313.60000000000002</v>
      </c>
      <c r="Z1467" s="2" t="str">
        <f>CHOOSE(MATCH(Y1467,{0;11;80;111;161;191;241;281;341},1),"North","NorthEast","East","SouthEast","South","SouthWest","West","NorthWest","North")</f>
        <v>NorthWest</v>
      </c>
      <c r="AA1467" s="4">
        <f>CHOOSE(MATCH(Z1467,{"South";"SouthEast";"SouthWest";"North";"NorthEast";"East";"West";"NorthWest"},0),1,2,3,4,5,6,7,8)</f>
        <v>8</v>
      </c>
      <c r="AB1467" s="2">
        <f t="shared" si="226"/>
        <v>1</v>
      </c>
      <c r="AC1467">
        <v>1008.9</v>
      </c>
      <c r="AD1467" t="s">
        <v>2150</v>
      </c>
      <c r="AE1467" s="2">
        <f t="shared" si="227"/>
        <v>0</v>
      </c>
      <c r="AF1467" t="s">
        <v>2151</v>
      </c>
      <c r="AG1467" s="2">
        <f t="shared" si="228"/>
        <v>8</v>
      </c>
      <c r="AH1467" s="2">
        <f t="shared" si="229"/>
        <v>1</v>
      </c>
      <c r="AI1467" s="3">
        <v>100.0000000011642</v>
      </c>
      <c r="AJ1467" s="2">
        <v>0</v>
      </c>
      <c r="AK1467">
        <v>0</v>
      </c>
      <c r="AL1467">
        <v>0</v>
      </c>
      <c r="AM1467">
        <v>0.1</v>
      </c>
      <c r="AN1467" s="2">
        <f>IF((2*G1467+M1467-O1467+3*V1467+2*AB1467+2*AE1467+2*AH1467+3*AJ1467)&gt;=7,1,0)</f>
        <v>0</v>
      </c>
    </row>
    <row r="1468" spans="1:40" x14ac:dyDescent="0.25">
      <c r="A1468" t="s">
        <v>27</v>
      </c>
      <c r="B1468" s="1">
        <v>41132</v>
      </c>
      <c r="C1468" s="6">
        <f t="shared" si="220"/>
        <v>2012</v>
      </c>
      <c r="D1468">
        <v>84.2</v>
      </c>
      <c r="E1468">
        <v>77</v>
      </c>
      <c r="F1468">
        <v>80.900000000000006</v>
      </c>
      <c r="G1468" s="2">
        <f t="shared" si="221"/>
        <v>1</v>
      </c>
      <c r="H1468">
        <v>92.5</v>
      </c>
      <c r="I1468">
        <v>77</v>
      </c>
      <c r="J1468">
        <v>84.1</v>
      </c>
      <c r="K1468">
        <v>72.599999999999994</v>
      </c>
      <c r="L1468">
        <v>76.400000000000006</v>
      </c>
      <c r="M1468" s="2">
        <f t="shared" si="222"/>
        <v>0</v>
      </c>
      <c r="N1468">
        <v>0</v>
      </c>
      <c r="O1468" s="2">
        <f t="shared" si="223"/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 s="2">
        <f t="shared" si="224"/>
        <v>0</v>
      </c>
      <c r="W1468">
        <v>13.9</v>
      </c>
      <c r="X1468" s="2">
        <f t="shared" si="225"/>
        <v>0</v>
      </c>
      <c r="Y1468">
        <v>323.5</v>
      </c>
      <c r="Z1468" s="2" t="str">
        <f>CHOOSE(MATCH(Y1468,{0;11;80;111;161;191;241;281;341},1),"North","NorthEast","East","SouthEast","South","SouthWest","West","NorthWest","North")</f>
        <v>NorthWest</v>
      </c>
      <c r="AA1468" s="4">
        <f>CHOOSE(MATCH(Z1468,{"South";"SouthEast";"SouthWest";"North";"NorthEast";"East";"West";"NorthWest"},0),1,2,3,4,5,6,7,8)</f>
        <v>8</v>
      </c>
      <c r="AB1468" s="2">
        <f t="shared" si="226"/>
        <v>1</v>
      </c>
      <c r="AC1468">
        <v>1007.6</v>
      </c>
      <c r="AD1468" t="s">
        <v>1935</v>
      </c>
      <c r="AE1468" s="2">
        <f t="shared" si="227"/>
        <v>1</v>
      </c>
      <c r="AF1468" t="s">
        <v>2152</v>
      </c>
      <c r="AG1468" s="2">
        <f t="shared" si="228"/>
        <v>8</v>
      </c>
      <c r="AH1468" s="2">
        <f t="shared" si="229"/>
        <v>1</v>
      </c>
      <c r="AI1468" s="3">
        <v>90</v>
      </c>
      <c r="AJ1468" s="2">
        <v>0</v>
      </c>
      <c r="AK1468">
        <v>0</v>
      </c>
      <c r="AL1468">
        <v>0.1</v>
      </c>
      <c r="AM1468">
        <v>0</v>
      </c>
      <c r="AN1468" s="2">
        <f>IF((2*G1468+M1468-O1468+3*V1468+2*AB1468+2*AE1468+2*AH1468+3*AJ1468)&gt;=7,1,0)</f>
        <v>1</v>
      </c>
    </row>
    <row r="1469" spans="1:40" x14ac:dyDescent="0.25">
      <c r="A1469" t="s">
        <v>27</v>
      </c>
      <c r="B1469" s="1">
        <v>41133</v>
      </c>
      <c r="C1469" s="6">
        <f t="shared" si="220"/>
        <v>2012</v>
      </c>
      <c r="D1469">
        <v>86</v>
      </c>
      <c r="E1469">
        <v>71.599999999999994</v>
      </c>
      <c r="F1469">
        <v>79.7</v>
      </c>
      <c r="G1469" s="2">
        <f t="shared" si="221"/>
        <v>1</v>
      </c>
      <c r="H1469">
        <v>93.5</v>
      </c>
      <c r="I1469">
        <v>71.599999999999994</v>
      </c>
      <c r="J1469">
        <v>82.5</v>
      </c>
      <c r="K1469">
        <v>71.5</v>
      </c>
      <c r="L1469">
        <v>76.400000000000006</v>
      </c>
      <c r="M1469" s="2">
        <f t="shared" si="222"/>
        <v>0</v>
      </c>
      <c r="N1469">
        <v>0</v>
      </c>
      <c r="O1469" s="2">
        <f t="shared" si="223"/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 s="2">
        <f t="shared" si="224"/>
        <v>0</v>
      </c>
      <c r="W1469">
        <v>12.8</v>
      </c>
      <c r="X1469" s="2">
        <f t="shared" si="225"/>
        <v>0</v>
      </c>
      <c r="Y1469">
        <v>311.10000000000002</v>
      </c>
      <c r="Z1469" s="2" t="str">
        <f>CHOOSE(MATCH(Y1469,{0;11;80;111;161;191;241;281;341},1),"North","NorthEast","East","SouthEast","South","SouthWest","West","NorthWest","North")</f>
        <v>NorthWest</v>
      </c>
      <c r="AA1469" s="4">
        <f>CHOOSE(MATCH(Z1469,{"South";"SouthEast";"SouthWest";"North";"NorthEast";"East";"West";"NorthWest"},0),1,2,3,4,5,6,7,8)</f>
        <v>8</v>
      </c>
      <c r="AB1469" s="2">
        <f t="shared" si="226"/>
        <v>1</v>
      </c>
      <c r="AC1469">
        <v>1008.7</v>
      </c>
      <c r="AD1469" t="s">
        <v>1153</v>
      </c>
      <c r="AE1469" s="2">
        <f t="shared" si="227"/>
        <v>1</v>
      </c>
      <c r="AF1469" t="s">
        <v>2153</v>
      </c>
      <c r="AG1469" s="2">
        <f t="shared" si="228"/>
        <v>8</v>
      </c>
      <c r="AH1469" s="2">
        <f t="shared" si="229"/>
        <v>1</v>
      </c>
      <c r="AI1469" s="3">
        <v>255.00000000349249</v>
      </c>
      <c r="AJ1469" s="2">
        <v>0</v>
      </c>
      <c r="AK1469">
        <v>3</v>
      </c>
      <c r="AL1469">
        <v>0</v>
      </c>
      <c r="AM1469">
        <v>0</v>
      </c>
      <c r="AN1469" s="2">
        <f>IF((2*G1469+M1469-O1469+3*V1469+2*AB1469+2*AE1469+2*AH1469+3*AJ1469)&gt;=7,1,0)</f>
        <v>1</v>
      </c>
    </row>
    <row r="1470" spans="1:40" x14ac:dyDescent="0.25">
      <c r="A1470" t="s">
        <v>27</v>
      </c>
      <c r="B1470" s="1">
        <v>41133</v>
      </c>
      <c r="C1470" s="6">
        <f t="shared" si="220"/>
        <v>2012</v>
      </c>
      <c r="D1470">
        <v>86</v>
      </c>
      <c r="E1470">
        <v>71.599999999999994</v>
      </c>
      <c r="F1470">
        <v>79.7</v>
      </c>
      <c r="G1470" s="2">
        <f t="shared" si="221"/>
        <v>1</v>
      </c>
      <c r="H1470">
        <v>93.5</v>
      </c>
      <c r="I1470">
        <v>71.599999999999994</v>
      </c>
      <c r="J1470">
        <v>82.5</v>
      </c>
      <c r="K1470">
        <v>71.5</v>
      </c>
      <c r="L1470">
        <v>76.400000000000006</v>
      </c>
      <c r="M1470" s="2">
        <f t="shared" si="222"/>
        <v>0</v>
      </c>
      <c r="N1470">
        <v>0</v>
      </c>
      <c r="O1470" s="2">
        <f t="shared" si="223"/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 s="2">
        <f t="shared" si="224"/>
        <v>0</v>
      </c>
      <c r="W1470">
        <v>12.8</v>
      </c>
      <c r="X1470" s="2">
        <f t="shared" si="225"/>
        <v>0</v>
      </c>
      <c r="Y1470">
        <v>311.10000000000002</v>
      </c>
      <c r="Z1470" s="2" t="str">
        <f>CHOOSE(MATCH(Y1470,{0;11;80;111;161;191;241;281;341},1),"North","NorthEast","East","SouthEast","South","SouthWest","West","NorthWest","North")</f>
        <v>NorthWest</v>
      </c>
      <c r="AA1470" s="4">
        <f>CHOOSE(MATCH(Z1470,{"South";"SouthEast";"SouthWest";"North";"NorthEast";"East";"West";"NorthWest"},0),1,2,3,4,5,6,7,8)</f>
        <v>8</v>
      </c>
      <c r="AB1470" s="2">
        <f t="shared" si="226"/>
        <v>1</v>
      </c>
      <c r="AC1470">
        <v>1008.7</v>
      </c>
      <c r="AD1470" t="s">
        <v>1871</v>
      </c>
      <c r="AE1470" s="2">
        <f t="shared" si="227"/>
        <v>0</v>
      </c>
      <c r="AF1470" t="s">
        <v>2154</v>
      </c>
      <c r="AG1470" s="2">
        <f t="shared" si="228"/>
        <v>8</v>
      </c>
      <c r="AH1470" s="2">
        <f t="shared" si="229"/>
        <v>1</v>
      </c>
      <c r="AI1470" s="3">
        <v>239.99999999650751</v>
      </c>
      <c r="AJ1470" s="2">
        <v>0</v>
      </c>
      <c r="AK1470">
        <v>0</v>
      </c>
      <c r="AL1470">
        <v>0.8</v>
      </c>
      <c r="AM1470">
        <v>0</v>
      </c>
      <c r="AN1470" s="2">
        <f>IF((2*G1470+M1470-O1470+3*V1470+2*AB1470+2*AE1470+2*AH1470+3*AJ1470)&gt;=7,1,0)</f>
        <v>0</v>
      </c>
    </row>
    <row r="1471" spans="1:40" x14ac:dyDescent="0.25">
      <c r="A1471" t="s">
        <v>27</v>
      </c>
      <c r="B1471" s="1">
        <v>41134</v>
      </c>
      <c r="C1471" s="6">
        <f t="shared" si="220"/>
        <v>2012</v>
      </c>
      <c r="D1471">
        <v>84.2</v>
      </c>
      <c r="E1471">
        <v>71.599999999999994</v>
      </c>
      <c r="F1471">
        <v>78.7</v>
      </c>
      <c r="G1471" s="2">
        <f t="shared" si="221"/>
        <v>1</v>
      </c>
      <c r="H1471">
        <v>91</v>
      </c>
      <c r="I1471">
        <v>71.599999999999994</v>
      </c>
      <c r="J1471">
        <v>80.8</v>
      </c>
      <c r="K1471">
        <v>70.3</v>
      </c>
      <c r="L1471">
        <v>76.2</v>
      </c>
      <c r="M1471" s="2">
        <f t="shared" si="222"/>
        <v>0</v>
      </c>
      <c r="N1471">
        <v>0</v>
      </c>
      <c r="O1471" s="2">
        <f t="shared" si="223"/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 s="2">
        <f t="shared" si="224"/>
        <v>0</v>
      </c>
      <c r="W1471">
        <v>9.1999999999999993</v>
      </c>
      <c r="X1471" s="2">
        <f t="shared" si="225"/>
        <v>0</v>
      </c>
      <c r="Y1471">
        <v>337.5</v>
      </c>
      <c r="Z1471" s="2" t="str">
        <f>CHOOSE(MATCH(Y1471,{0;11;80;111;161;191;241;281;341},1),"North","NorthEast","East","SouthEast","South","SouthWest","West","NorthWest","North")</f>
        <v>NorthWest</v>
      </c>
      <c r="AA1471" s="4">
        <f>CHOOSE(MATCH(Z1471,{"South";"SouthEast";"SouthWest";"North";"NorthEast";"East";"West";"NorthWest"},0),1,2,3,4,5,6,7,8)</f>
        <v>8</v>
      </c>
      <c r="AB1471" s="2">
        <f t="shared" si="226"/>
        <v>1</v>
      </c>
      <c r="AC1471">
        <v>1010.9</v>
      </c>
      <c r="AD1471" t="s">
        <v>2155</v>
      </c>
      <c r="AE1471" s="2">
        <f t="shared" si="227"/>
        <v>0</v>
      </c>
      <c r="AF1471" t="s">
        <v>2156</v>
      </c>
      <c r="AG1471" s="2">
        <f t="shared" si="228"/>
        <v>8</v>
      </c>
      <c r="AH1471" s="2">
        <f t="shared" si="229"/>
        <v>1</v>
      </c>
      <c r="AI1471" s="3">
        <v>374.99999999650748</v>
      </c>
      <c r="AJ1471" s="2">
        <v>1</v>
      </c>
      <c r="AK1471">
        <v>0</v>
      </c>
      <c r="AL1471">
        <v>0.1</v>
      </c>
      <c r="AM1471">
        <v>0</v>
      </c>
      <c r="AN1471" s="2">
        <f>IF((2*G1471+M1471-O1471+3*V1471+2*AB1471+2*AE1471+2*AH1471+3*AJ1471)&gt;=7,1,0)</f>
        <v>1</v>
      </c>
    </row>
    <row r="1472" spans="1:40" x14ac:dyDescent="0.25">
      <c r="A1472" t="s">
        <v>27</v>
      </c>
      <c r="B1472" s="1">
        <v>41134</v>
      </c>
      <c r="C1472" s="6">
        <f t="shared" si="220"/>
        <v>2012</v>
      </c>
      <c r="D1472">
        <v>84.2</v>
      </c>
      <c r="E1472">
        <v>71.599999999999994</v>
      </c>
      <c r="F1472">
        <v>78.7</v>
      </c>
      <c r="G1472" s="2">
        <f t="shared" si="221"/>
        <v>1</v>
      </c>
      <c r="H1472">
        <v>91</v>
      </c>
      <c r="I1472">
        <v>71.599999999999994</v>
      </c>
      <c r="J1472">
        <v>80.8</v>
      </c>
      <c r="K1472">
        <v>70.3</v>
      </c>
      <c r="L1472">
        <v>76.2</v>
      </c>
      <c r="M1472" s="2">
        <f t="shared" si="222"/>
        <v>0</v>
      </c>
      <c r="N1472">
        <v>0</v>
      </c>
      <c r="O1472" s="2">
        <f t="shared" si="223"/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 s="2">
        <f t="shared" si="224"/>
        <v>0</v>
      </c>
      <c r="W1472">
        <v>9.1999999999999993</v>
      </c>
      <c r="X1472" s="2">
        <f t="shared" si="225"/>
        <v>0</v>
      </c>
      <c r="Y1472">
        <v>337.5</v>
      </c>
      <c r="Z1472" s="2" t="str">
        <f>CHOOSE(MATCH(Y1472,{0;11;80;111;161;191;241;281;341},1),"North","NorthEast","East","SouthEast","South","SouthWest","West","NorthWest","North")</f>
        <v>NorthWest</v>
      </c>
      <c r="AA1472" s="4">
        <f>CHOOSE(MATCH(Z1472,{"South";"SouthEast";"SouthWest";"North";"NorthEast";"East";"West";"NorthWest"},0),1,2,3,4,5,6,7,8)</f>
        <v>8</v>
      </c>
      <c r="AB1472" s="2">
        <f t="shared" si="226"/>
        <v>1</v>
      </c>
      <c r="AC1472">
        <v>1010.9</v>
      </c>
      <c r="AD1472" t="s">
        <v>1085</v>
      </c>
      <c r="AE1472" s="2">
        <f t="shared" si="227"/>
        <v>1</v>
      </c>
      <c r="AF1472" t="s">
        <v>2157</v>
      </c>
      <c r="AG1472" s="2">
        <f t="shared" si="228"/>
        <v>8</v>
      </c>
      <c r="AH1472" s="2">
        <f t="shared" si="229"/>
        <v>1</v>
      </c>
      <c r="AI1472" s="3">
        <v>445.00000000465661</v>
      </c>
      <c r="AJ1472" s="2">
        <v>1</v>
      </c>
      <c r="AK1472">
        <v>2</v>
      </c>
      <c r="AL1472">
        <v>0</v>
      </c>
      <c r="AM1472">
        <v>0</v>
      </c>
      <c r="AN1472" s="2">
        <f>IF((2*G1472+M1472-O1472+3*V1472+2*AB1472+2*AE1472+2*AH1472+3*AJ1472)&gt;=7,1,0)</f>
        <v>1</v>
      </c>
    </row>
    <row r="1473" spans="1:40" x14ac:dyDescent="0.25">
      <c r="A1473" t="s">
        <v>27</v>
      </c>
      <c r="B1473" s="1">
        <v>41135</v>
      </c>
      <c r="C1473" s="6">
        <f t="shared" si="220"/>
        <v>2012</v>
      </c>
      <c r="D1473">
        <v>86</v>
      </c>
      <c r="E1473">
        <v>69.8</v>
      </c>
      <c r="F1473">
        <v>78.099999999999994</v>
      </c>
      <c r="G1473" s="2">
        <f t="shared" si="221"/>
        <v>1</v>
      </c>
      <c r="H1473">
        <v>93.5</v>
      </c>
      <c r="I1473">
        <v>69.8</v>
      </c>
      <c r="J1473">
        <v>81.7</v>
      </c>
      <c r="K1473">
        <v>68.099999999999994</v>
      </c>
      <c r="L1473">
        <v>71.599999999999994</v>
      </c>
      <c r="M1473" s="2">
        <f t="shared" si="222"/>
        <v>0</v>
      </c>
      <c r="N1473">
        <v>0</v>
      </c>
      <c r="O1473" s="2">
        <f t="shared" si="223"/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 s="2">
        <f t="shared" si="224"/>
        <v>0</v>
      </c>
      <c r="W1473">
        <v>10.3</v>
      </c>
      <c r="X1473" s="2">
        <f t="shared" si="225"/>
        <v>0</v>
      </c>
      <c r="Y1473">
        <v>253.4</v>
      </c>
      <c r="Z1473" s="2" t="str">
        <f>CHOOSE(MATCH(Y1473,{0;11;80;111;161;191;241;281;341},1),"North","NorthEast","East","SouthEast","South","SouthWest","West","NorthWest","North")</f>
        <v>West</v>
      </c>
      <c r="AA1473" s="4">
        <f>CHOOSE(MATCH(Z1473,{"South";"SouthEast";"SouthWest";"North";"NorthEast";"East";"West";"NorthWest"},0),1,2,3,4,5,6,7,8)</f>
        <v>7</v>
      </c>
      <c r="AB1473" s="2">
        <f t="shared" si="226"/>
        <v>0</v>
      </c>
      <c r="AC1473">
        <v>1011.3</v>
      </c>
      <c r="AD1473" t="s">
        <v>1906</v>
      </c>
      <c r="AE1473" s="2">
        <f t="shared" si="227"/>
        <v>0</v>
      </c>
      <c r="AF1473" t="s">
        <v>2158</v>
      </c>
      <c r="AG1473" s="2">
        <f t="shared" si="228"/>
        <v>8</v>
      </c>
      <c r="AH1473" s="2">
        <f t="shared" si="229"/>
        <v>1</v>
      </c>
      <c r="AI1473" s="3">
        <v>274.99999999534339</v>
      </c>
      <c r="AJ1473" s="2">
        <v>0</v>
      </c>
      <c r="AK1473">
        <v>0</v>
      </c>
      <c r="AL1473">
        <v>1</v>
      </c>
      <c r="AM1473">
        <v>0</v>
      </c>
      <c r="AN1473" s="2">
        <f>IF((2*G1473+M1473-O1473+3*V1473+2*AB1473+2*AE1473+2*AH1473+3*AJ1473)&gt;=7,1,0)</f>
        <v>0</v>
      </c>
    </row>
    <row r="1474" spans="1:40" x14ac:dyDescent="0.25">
      <c r="A1474" t="s">
        <v>27</v>
      </c>
      <c r="B1474" s="1">
        <v>41135</v>
      </c>
      <c r="C1474" s="6">
        <f t="shared" si="220"/>
        <v>2012</v>
      </c>
      <c r="D1474">
        <v>86</v>
      </c>
      <c r="E1474">
        <v>69.8</v>
      </c>
      <c r="F1474">
        <v>78.099999999999994</v>
      </c>
      <c r="G1474" s="2">
        <f t="shared" si="221"/>
        <v>1</v>
      </c>
      <c r="H1474">
        <v>93.5</v>
      </c>
      <c r="I1474">
        <v>69.8</v>
      </c>
      <c r="J1474">
        <v>81.7</v>
      </c>
      <c r="K1474">
        <v>68.099999999999994</v>
      </c>
      <c r="L1474">
        <v>71.599999999999994</v>
      </c>
      <c r="M1474" s="2">
        <f t="shared" si="222"/>
        <v>0</v>
      </c>
      <c r="N1474">
        <v>0</v>
      </c>
      <c r="O1474" s="2">
        <f t="shared" si="223"/>
        <v>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 s="2">
        <f t="shared" si="224"/>
        <v>0</v>
      </c>
      <c r="W1474">
        <v>10.3</v>
      </c>
      <c r="X1474" s="2">
        <f t="shared" si="225"/>
        <v>0</v>
      </c>
      <c r="Y1474">
        <v>253.4</v>
      </c>
      <c r="Z1474" s="2" t="str">
        <f>CHOOSE(MATCH(Y1474,{0;11;80;111;161;191;241;281;341},1),"North","NorthEast","East","SouthEast","South","SouthWest","West","NorthWest","North")</f>
        <v>West</v>
      </c>
      <c r="AA1474" s="4">
        <f>CHOOSE(MATCH(Z1474,{"South";"SouthEast";"SouthWest";"North";"NorthEast";"East";"West";"NorthWest"},0),1,2,3,4,5,6,7,8)</f>
        <v>7</v>
      </c>
      <c r="AB1474" s="2">
        <f t="shared" si="226"/>
        <v>0</v>
      </c>
      <c r="AC1474">
        <v>1011.3</v>
      </c>
      <c r="AD1474" t="s">
        <v>1796</v>
      </c>
      <c r="AE1474" s="2">
        <f t="shared" si="227"/>
        <v>1</v>
      </c>
      <c r="AF1474" t="s">
        <v>2159</v>
      </c>
      <c r="AG1474" s="2">
        <f t="shared" si="228"/>
        <v>8</v>
      </c>
      <c r="AH1474" s="2">
        <f t="shared" si="229"/>
        <v>1</v>
      </c>
      <c r="AI1474" s="3">
        <v>4425.0000000069849</v>
      </c>
      <c r="AJ1474" s="2">
        <v>1</v>
      </c>
      <c r="AK1474">
        <v>0</v>
      </c>
      <c r="AL1474">
        <v>1000</v>
      </c>
      <c r="AM1474">
        <v>0</v>
      </c>
      <c r="AN1474" s="2">
        <f>IF((2*G1474+M1474-O1474+3*V1474+2*AB1474+2*AE1474+2*AH1474+3*AJ1474)&gt;=7,1,0)</f>
        <v>1</v>
      </c>
    </row>
    <row r="1475" spans="1:40" x14ac:dyDescent="0.25">
      <c r="A1475" t="s">
        <v>27</v>
      </c>
      <c r="B1475" s="1">
        <v>41135</v>
      </c>
      <c r="C1475" s="6">
        <f t="shared" ref="C1475:C1538" si="230">YEAR(B1475)</f>
        <v>2012</v>
      </c>
      <c r="D1475">
        <v>86</v>
      </c>
      <c r="E1475">
        <v>69.8</v>
      </c>
      <c r="F1475">
        <v>78.099999999999994</v>
      </c>
      <c r="G1475" s="2">
        <f t="shared" ref="G1475:G1538" si="231">IF(F1475&lt;=70,0,1)</f>
        <v>1</v>
      </c>
      <c r="H1475">
        <v>93.5</v>
      </c>
      <c r="I1475">
        <v>69.8</v>
      </c>
      <c r="J1475">
        <v>81.7</v>
      </c>
      <c r="K1475">
        <v>68.099999999999994</v>
      </c>
      <c r="L1475">
        <v>71.599999999999994</v>
      </c>
      <c r="M1475" s="2">
        <f t="shared" ref="M1475:M1538" si="232">IF(L1475&lt;=66,1,0)</f>
        <v>0</v>
      </c>
      <c r="N1475">
        <v>0</v>
      </c>
      <c r="O1475" s="2">
        <f t="shared" ref="O1475:O1538" si="233">IF(N1475&lt;=0.01,1,0)</f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 s="2">
        <f t="shared" ref="V1475:V1538" si="234">IF(U1475&lt;=9,0,1)</f>
        <v>0</v>
      </c>
      <c r="W1475">
        <v>10.3</v>
      </c>
      <c r="X1475" s="2">
        <f t="shared" ref="X1475:X1538" si="235">IF(W1475&gt;=16,1,0)</f>
        <v>0</v>
      </c>
      <c r="Y1475">
        <v>253.4</v>
      </c>
      <c r="Z1475" s="2" t="str">
        <f>CHOOSE(MATCH(Y1475,{0;11;80;111;161;191;241;281;341},1),"North","NorthEast","East","SouthEast","South","SouthWest","West","NorthWest","North")</f>
        <v>West</v>
      </c>
      <c r="AA1475" s="4">
        <f>CHOOSE(MATCH(Z1475,{"South";"SouthEast";"SouthWest";"North";"NorthEast";"East";"West";"NorthWest"},0),1,2,3,4,5,6,7,8)</f>
        <v>7</v>
      </c>
      <c r="AB1475" s="2">
        <f t="shared" ref="AB1475:AB1538" si="236">IF(OR(AA1475=4,AA1475=5,AA1475=8),1,0)</f>
        <v>0</v>
      </c>
      <c r="AC1475">
        <v>1011.3</v>
      </c>
      <c r="AD1475" t="s">
        <v>2160</v>
      </c>
      <c r="AE1475" s="2">
        <f t="shared" ref="AE1475:AE1538" si="237">IF(TIMEVALUE(AD1475)&lt;=TIME(12,30,0),0,1)</f>
        <v>0</v>
      </c>
      <c r="AF1475" t="s">
        <v>2161</v>
      </c>
      <c r="AG1475" s="2">
        <f t="shared" ref="AG1475:AG1538" si="238">MONTH(AF1475)</f>
        <v>8</v>
      </c>
      <c r="AH1475" s="2">
        <f t="shared" ref="AH1475:AH1538" si="239">IF(OR(AG1475=6,AG1475=7,AG1475=8),1,0)</f>
        <v>1</v>
      </c>
      <c r="AI1475" s="3">
        <v>820.00000000116415</v>
      </c>
      <c r="AJ1475" s="2">
        <v>1</v>
      </c>
      <c r="AK1475">
        <v>0</v>
      </c>
      <c r="AL1475">
        <v>5</v>
      </c>
      <c r="AM1475">
        <v>0</v>
      </c>
      <c r="AN1475" s="2">
        <f>IF((2*G1475+M1475-O1475+3*V1475+2*AB1475+2*AE1475+2*AH1475+3*AJ1475)&gt;=7,1,0)</f>
        <v>0</v>
      </c>
    </row>
    <row r="1476" spans="1:40" x14ac:dyDescent="0.25">
      <c r="A1476" t="s">
        <v>27</v>
      </c>
      <c r="B1476" s="1">
        <v>41136</v>
      </c>
      <c r="C1476" s="6">
        <f t="shared" si="230"/>
        <v>2012</v>
      </c>
      <c r="D1476">
        <v>86.1</v>
      </c>
      <c r="E1476">
        <v>73.400000000000006</v>
      </c>
      <c r="F1476">
        <v>80.5</v>
      </c>
      <c r="G1476" s="2">
        <f t="shared" si="231"/>
        <v>1</v>
      </c>
      <c r="H1476">
        <v>97.2</v>
      </c>
      <c r="I1476">
        <v>73.400000000000006</v>
      </c>
      <c r="J1476">
        <v>84</v>
      </c>
      <c r="K1476">
        <v>69.5</v>
      </c>
      <c r="L1476">
        <v>70.2</v>
      </c>
      <c r="M1476" s="2">
        <f t="shared" si="232"/>
        <v>0</v>
      </c>
      <c r="N1476">
        <v>0</v>
      </c>
      <c r="O1476" s="2">
        <f t="shared" si="233"/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 s="2">
        <f t="shared" si="234"/>
        <v>0</v>
      </c>
      <c r="W1476">
        <v>15</v>
      </c>
      <c r="X1476" s="2">
        <f t="shared" si="235"/>
        <v>0</v>
      </c>
      <c r="Y1476">
        <v>263</v>
      </c>
      <c r="Z1476" s="2" t="str">
        <f>CHOOSE(MATCH(Y1476,{0;11;80;111;161;191;241;281;341},1),"North","NorthEast","East","SouthEast","South","SouthWest","West","NorthWest","North")</f>
        <v>West</v>
      </c>
      <c r="AA1476" s="4">
        <f>CHOOSE(MATCH(Z1476,{"South";"SouthEast";"SouthWest";"North";"NorthEast";"East";"West";"NorthWest"},0),1,2,3,4,5,6,7,8)</f>
        <v>7</v>
      </c>
      <c r="AB1476" s="2">
        <f t="shared" si="236"/>
        <v>0</v>
      </c>
      <c r="AC1476">
        <v>1010.5</v>
      </c>
      <c r="AD1476" t="s">
        <v>2162</v>
      </c>
      <c r="AE1476" s="2">
        <f t="shared" si="237"/>
        <v>0</v>
      </c>
      <c r="AF1476" t="s">
        <v>2163</v>
      </c>
      <c r="AG1476" s="2">
        <f t="shared" si="238"/>
        <v>8</v>
      </c>
      <c r="AH1476" s="2">
        <f t="shared" si="239"/>
        <v>1</v>
      </c>
      <c r="AI1476" s="3">
        <v>765</v>
      </c>
      <c r="AJ1476" s="2">
        <v>1</v>
      </c>
      <c r="AK1476">
        <v>0</v>
      </c>
      <c r="AL1476">
        <v>6</v>
      </c>
      <c r="AM1476">
        <v>0</v>
      </c>
      <c r="AN1476" s="2">
        <f>IF((2*G1476+M1476-O1476+3*V1476+2*AB1476+2*AE1476+2*AH1476+3*AJ1476)&gt;=7,1,0)</f>
        <v>0</v>
      </c>
    </row>
    <row r="1477" spans="1:40" x14ac:dyDescent="0.25">
      <c r="A1477" t="s">
        <v>27</v>
      </c>
      <c r="B1477" s="1">
        <v>41137</v>
      </c>
      <c r="C1477" s="6">
        <f t="shared" si="230"/>
        <v>2012</v>
      </c>
      <c r="D1477">
        <v>86</v>
      </c>
      <c r="E1477">
        <v>73.400000000000006</v>
      </c>
      <c r="F1477">
        <v>81.400000000000006</v>
      </c>
      <c r="G1477" s="2">
        <f t="shared" si="231"/>
        <v>1</v>
      </c>
      <c r="H1477">
        <v>92</v>
      </c>
      <c r="I1477">
        <v>73.400000000000006</v>
      </c>
      <c r="J1477">
        <v>84</v>
      </c>
      <c r="K1477">
        <v>68.599999999999994</v>
      </c>
      <c r="L1477">
        <v>66.2</v>
      </c>
      <c r="M1477" s="2">
        <f t="shared" si="232"/>
        <v>0</v>
      </c>
      <c r="N1477">
        <v>0</v>
      </c>
      <c r="O1477" s="2">
        <f t="shared" si="233"/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 s="2">
        <f t="shared" si="234"/>
        <v>0</v>
      </c>
      <c r="W1477">
        <v>16.100000000000001</v>
      </c>
      <c r="X1477" s="2">
        <f t="shared" si="235"/>
        <v>1</v>
      </c>
      <c r="Y1477">
        <v>303.2</v>
      </c>
      <c r="Z1477" s="2" t="str">
        <f>CHOOSE(MATCH(Y1477,{0;11;80;111;161;191;241;281;341},1),"North","NorthEast","East","SouthEast","South","SouthWest","West","NorthWest","North")</f>
        <v>NorthWest</v>
      </c>
      <c r="AA1477" s="4">
        <f>CHOOSE(MATCH(Z1477,{"South";"SouthEast";"SouthWest";"North";"NorthEast";"East";"West";"NorthWest"},0),1,2,3,4,5,6,7,8)</f>
        <v>8</v>
      </c>
      <c r="AB1477" s="2">
        <f t="shared" si="236"/>
        <v>1</v>
      </c>
      <c r="AC1477">
        <v>1010.1</v>
      </c>
      <c r="AD1477" t="s">
        <v>1133</v>
      </c>
      <c r="AE1477" s="2">
        <f t="shared" si="237"/>
        <v>1</v>
      </c>
      <c r="AF1477" t="s">
        <v>2164</v>
      </c>
      <c r="AG1477" s="2">
        <f t="shared" si="238"/>
        <v>8</v>
      </c>
      <c r="AH1477" s="2">
        <f t="shared" si="239"/>
        <v>1</v>
      </c>
      <c r="AI1477" s="3">
        <v>1530</v>
      </c>
      <c r="AJ1477" s="2">
        <v>1</v>
      </c>
      <c r="AK1477">
        <v>10</v>
      </c>
      <c r="AL1477">
        <v>0</v>
      </c>
      <c r="AM1477">
        <v>0</v>
      </c>
      <c r="AN1477" s="2">
        <f>IF((2*G1477+M1477-O1477+3*V1477+2*AB1477+2*AE1477+2*AH1477+3*AJ1477)&gt;=7,1,0)</f>
        <v>1</v>
      </c>
    </row>
    <row r="1478" spans="1:40" x14ac:dyDescent="0.25">
      <c r="A1478" t="s">
        <v>27</v>
      </c>
      <c r="B1478" s="1">
        <v>41139</v>
      </c>
      <c r="C1478" s="6">
        <f t="shared" si="230"/>
        <v>2012</v>
      </c>
      <c r="D1478">
        <v>86</v>
      </c>
      <c r="E1478">
        <v>78.8</v>
      </c>
      <c r="F1478">
        <v>81.400000000000006</v>
      </c>
      <c r="G1478" s="2">
        <f t="shared" si="231"/>
        <v>1</v>
      </c>
      <c r="H1478">
        <v>89.4</v>
      </c>
      <c r="I1478">
        <v>78.8</v>
      </c>
      <c r="J1478">
        <v>83</v>
      </c>
      <c r="K1478">
        <v>66.8</v>
      </c>
      <c r="L1478">
        <v>61.6</v>
      </c>
      <c r="M1478" s="2">
        <f t="shared" si="232"/>
        <v>1</v>
      </c>
      <c r="N1478">
        <v>0</v>
      </c>
      <c r="O1478" s="2">
        <f t="shared" si="233"/>
        <v>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 s="2">
        <f t="shared" si="234"/>
        <v>0</v>
      </c>
      <c r="W1478">
        <v>20.8</v>
      </c>
      <c r="X1478" s="2">
        <f t="shared" si="235"/>
        <v>1</v>
      </c>
      <c r="Y1478">
        <v>318.10000000000002</v>
      </c>
      <c r="Z1478" s="2" t="str">
        <f>CHOOSE(MATCH(Y1478,{0;11;80;111;161;191;241;281;341},1),"North","NorthEast","East","SouthEast","South","SouthWest","West","NorthWest","North")</f>
        <v>NorthWest</v>
      </c>
      <c r="AA1478" s="4">
        <f>CHOOSE(MATCH(Z1478,{"South";"SouthEast";"SouthWest";"North";"NorthEast";"East";"West";"NorthWest"},0),1,2,3,4,5,6,7,8)</f>
        <v>8</v>
      </c>
      <c r="AB1478" s="2">
        <f t="shared" si="236"/>
        <v>1</v>
      </c>
      <c r="AC1478">
        <v>1010.9</v>
      </c>
      <c r="AD1478" t="s">
        <v>1237</v>
      </c>
      <c r="AE1478" s="2">
        <f t="shared" si="237"/>
        <v>1</v>
      </c>
      <c r="AF1478" t="s">
        <v>2165</v>
      </c>
      <c r="AG1478" s="2">
        <f t="shared" si="238"/>
        <v>8</v>
      </c>
      <c r="AH1478" s="2">
        <f t="shared" si="239"/>
        <v>1</v>
      </c>
      <c r="AI1478" s="3">
        <v>1045.0000000011639</v>
      </c>
      <c r="AJ1478" s="2">
        <v>1</v>
      </c>
      <c r="AK1478">
        <v>2</v>
      </c>
      <c r="AL1478">
        <v>0</v>
      </c>
      <c r="AM1478">
        <v>0</v>
      </c>
      <c r="AN1478" s="2">
        <f>IF((2*G1478+M1478-O1478+3*V1478+2*AB1478+2*AE1478+2*AH1478+3*AJ1478)&gt;=7,1,0)</f>
        <v>1</v>
      </c>
    </row>
    <row r="1479" spans="1:40" x14ac:dyDescent="0.25">
      <c r="A1479" t="s">
        <v>27</v>
      </c>
      <c r="B1479" s="1">
        <v>41139</v>
      </c>
      <c r="C1479" s="6">
        <f t="shared" si="230"/>
        <v>2012</v>
      </c>
      <c r="D1479">
        <v>86</v>
      </c>
      <c r="E1479">
        <v>78.8</v>
      </c>
      <c r="F1479">
        <v>81.400000000000006</v>
      </c>
      <c r="G1479" s="2">
        <f t="shared" si="231"/>
        <v>1</v>
      </c>
      <c r="H1479">
        <v>89.4</v>
      </c>
      <c r="I1479">
        <v>78.8</v>
      </c>
      <c r="J1479">
        <v>83</v>
      </c>
      <c r="K1479">
        <v>66.8</v>
      </c>
      <c r="L1479">
        <v>61.6</v>
      </c>
      <c r="M1479" s="2">
        <f t="shared" si="232"/>
        <v>1</v>
      </c>
      <c r="N1479">
        <v>0</v>
      </c>
      <c r="O1479" s="2">
        <f t="shared" si="233"/>
        <v>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 s="2">
        <f t="shared" si="234"/>
        <v>0</v>
      </c>
      <c r="W1479">
        <v>20.8</v>
      </c>
      <c r="X1479" s="2">
        <f t="shared" si="235"/>
        <v>1</v>
      </c>
      <c r="Y1479">
        <v>318.10000000000002</v>
      </c>
      <c r="Z1479" s="2" t="str">
        <f>CHOOSE(MATCH(Y1479,{0;11;80;111;161;191;241;281;341},1),"North","NorthEast","East","SouthEast","South","SouthWest","West","NorthWest","North")</f>
        <v>NorthWest</v>
      </c>
      <c r="AA1479" s="4">
        <f>CHOOSE(MATCH(Z1479,{"South";"SouthEast";"SouthWest";"North";"NorthEast";"East";"West";"NorthWest"},0),1,2,3,4,5,6,7,8)</f>
        <v>8</v>
      </c>
      <c r="AB1479" s="2">
        <f t="shared" si="236"/>
        <v>1</v>
      </c>
      <c r="AC1479">
        <v>1010.9</v>
      </c>
      <c r="AD1479" t="s">
        <v>2166</v>
      </c>
      <c r="AE1479" s="2">
        <f t="shared" si="237"/>
        <v>0</v>
      </c>
      <c r="AF1479" t="s">
        <v>2167</v>
      </c>
      <c r="AG1479" s="2">
        <f t="shared" si="238"/>
        <v>8</v>
      </c>
      <c r="AH1479" s="2">
        <f t="shared" si="239"/>
        <v>1</v>
      </c>
      <c r="AI1479" s="3">
        <v>1746.999999994878</v>
      </c>
      <c r="AJ1479" s="2">
        <v>1</v>
      </c>
      <c r="AK1479">
        <v>1</v>
      </c>
      <c r="AL1479">
        <v>0</v>
      </c>
      <c r="AM1479">
        <v>0</v>
      </c>
      <c r="AN1479" s="2">
        <f>IF((2*G1479+M1479-O1479+3*V1479+2*AB1479+2*AE1479+2*AH1479+3*AJ1479)&gt;=7,1,0)</f>
        <v>1</v>
      </c>
    </row>
    <row r="1480" spans="1:40" x14ac:dyDescent="0.25">
      <c r="A1480" t="s">
        <v>27</v>
      </c>
      <c r="B1480" s="1">
        <v>41140</v>
      </c>
      <c r="C1480" s="6">
        <f t="shared" si="230"/>
        <v>2012</v>
      </c>
      <c r="D1480">
        <v>84.2</v>
      </c>
      <c r="E1480">
        <v>77</v>
      </c>
      <c r="F1480">
        <v>80.099999999999994</v>
      </c>
      <c r="G1480" s="2">
        <f t="shared" si="231"/>
        <v>1</v>
      </c>
      <c r="H1480">
        <v>86.5</v>
      </c>
      <c r="I1480">
        <v>77</v>
      </c>
      <c r="J1480">
        <v>80.900000000000006</v>
      </c>
      <c r="K1480">
        <v>65.599999999999994</v>
      </c>
      <c r="L1480">
        <v>61.6</v>
      </c>
      <c r="M1480" s="2">
        <f t="shared" si="232"/>
        <v>1</v>
      </c>
      <c r="N1480">
        <v>0</v>
      </c>
      <c r="O1480" s="2">
        <f t="shared" si="233"/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 s="2">
        <f t="shared" si="234"/>
        <v>0</v>
      </c>
      <c r="W1480">
        <v>20.8</v>
      </c>
      <c r="X1480" s="2">
        <f t="shared" si="235"/>
        <v>1</v>
      </c>
      <c r="Y1480">
        <v>324.60000000000002</v>
      </c>
      <c r="Z1480" s="2" t="str">
        <f>CHOOSE(MATCH(Y1480,{0;11;80;111;161;191;241;281;341},1),"North","NorthEast","East","SouthEast","South","SouthWest","West","NorthWest","North")</f>
        <v>NorthWest</v>
      </c>
      <c r="AA1480" s="4">
        <f>CHOOSE(MATCH(Z1480,{"South";"SouthEast";"SouthWest";"North";"NorthEast";"East";"West";"NorthWest"},0),1,2,3,4,5,6,7,8)</f>
        <v>8</v>
      </c>
      <c r="AB1480" s="2">
        <f t="shared" si="236"/>
        <v>1</v>
      </c>
      <c r="AC1480">
        <v>1013.1</v>
      </c>
      <c r="AD1480" t="s">
        <v>1173</v>
      </c>
      <c r="AE1480" s="2">
        <f t="shared" si="237"/>
        <v>0</v>
      </c>
      <c r="AF1480" t="s">
        <v>2168</v>
      </c>
      <c r="AG1480" s="2">
        <f t="shared" si="238"/>
        <v>8</v>
      </c>
      <c r="AH1480" s="2">
        <f t="shared" si="239"/>
        <v>1</v>
      </c>
      <c r="AI1480" s="3">
        <v>235.00000000116421</v>
      </c>
      <c r="AJ1480" s="2">
        <v>0</v>
      </c>
      <c r="AK1480">
        <v>0</v>
      </c>
      <c r="AL1480">
        <v>1</v>
      </c>
      <c r="AM1480">
        <v>0</v>
      </c>
      <c r="AN1480" s="2">
        <f>IF((2*G1480+M1480-O1480+3*V1480+2*AB1480+2*AE1480+2*AH1480+3*AJ1480)&gt;=7,1,0)</f>
        <v>0</v>
      </c>
    </row>
    <row r="1481" spans="1:40" x14ac:dyDescent="0.25">
      <c r="A1481" t="s">
        <v>27</v>
      </c>
      <c r="B1481" s="1">
        <v>41140</v>
      </c>
      <c r="C1481" s="6">
        <f t="shared" si="230"/>
        <v>2012</v>
      </c>
      <c r="D1481">
        <v>84.2</v>
      </c>
      <c r="E1481">
        <v>77</v>
      </c>
      <c r="F1481">
        <v>80.099999999999994</v>
      </c>
      <c r="G1481" s="2">
        <f t="shared" si="231"/>
        <v>1</v>
      </c>
      <c r="H1481">
        <v>86.5</v>
      </c>
      <c r="I1481">
        <v>77</v>
      </c>
      <c r="J1481">
        <v>80.900000000000006</v>
      </c>
      <c r="K1481">
        <v>65.599999999999994</v>
      </c>
      <c r="L1481">
        <v>61.6</v>
      </c>
      <c r="M1481" s="2">
        <f t="shared" si="232"/>
        <v>1</v>
      </c>
      <c r="N1481">
        <v>0</v>
      </c>
      <c r="O1481" s="2">
        <f t="shared" si="233"/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 s="2">
        <f t="shared" si="234"/>
        <v>0</v>
      </c>
      <c r="W1481">
        <v>20.8</v>
      </c>
      <c r="X1481" s="2">
        <f t="shared" si="235"/>
        <v>1</v>
      </c>
      <c r="Y1481">
        <v>324.60000000000002</v>
      </c>
      <c r="Z1481" s="2" t="str">
        <f>CHOOSE(MATCH(Y1481,{0;11;80;111;161;191;241;281;341},1),"North","NorthEast","East","SouthEast","South","SouthWest","West","NorthWest","North")</f>
        <v>NorthWest</v>
      </c>
      <c r="AA1481" s="4">
        <f>CHOOSE(MATCH(Z1481,{"South";"SouthEast";"SouthWest";"North";"NorthEast";"East";"West";"NorthWest"},0),1,2,3,4,5,6,7,8)</f>
        <v>8</v>
      </c>
      <c r="AB1481" s="2">
        <f t="shared" si="236"/>
        <v>1</v>
      </c>
      <c r="AC1481">
        <v>1013.1</v>
      </c>
      <c r="AD1481" t="s">
        <v>2083</v>
      </c>
      <c r="AE1481" s="2">
        <f t="shared" si="237"/>
        <v>0</v>
      </c>
      <c r="AF1481" t="s">
        <v>2169</v>
      </c>
      <c r="AG1481" s="2">
        <f t="shared" si="238"/>
        <v>8</v>
      </c>
      <c r="AH1481" s="2">
        <f t="shared" si="239"/>
        <v>1</v>
      </c>
      <c r="AI1481" s="3">
        <v>5996.0000000044238</v>
      </c>
      <c r="AJ1481" s="2">
        <v>1</v>
      </c>
      <c r="AK1481">
        <v>0</v>
      </c>
      <c r="AL1481">
        <v>600</v>
      </c>
      <c r="AM1481">
        <v>0</v>
      </c>
      <c r="AN1481" s="2">
        <f>IF((2*G1481+M1481-O1481+3*V1481+2*AB1481+2*AE1481+2*AH1481+3*AJ1481)&gt;=7,1,0)</f>
        <v>1</v>
      </c>
    </row>
    <row r="1482" spans="1:40" x14ac:dyDescent="0.25">
      <c r="A1482" t="s">
        <v>27</v>
      </c>
      <c r="B1482" s="1">
        <v>41140</v>
      </c>
      <c r="C1482" s="6">
        <f t="shared" si="230"/>
        <v>2012</v>
      </c>
      <c r="D1482">
        <v>84.2</v>
      </c>
      <c r="E1482">
        <v>77</v>
      </c>
      <c r="F1482">
        <v>80.099999999999994</v>
      </c>
      <c r="G1482" s="2">
        <f t="shared" si="231"/>
        <v>1</v>
      </c>
      <c r="H1482">
        <v>86.5</v>
      </c>
      <c r="I1482">
        <v>77</v>
      </c>
      <c r="J1482">
        <v>80.900000000000006</v>
      </c>
      <c r="K1482">
        <v>65.599999999999994</v>
      </c>
      <c r="L1482">
        <v>61.6</v>
      </c>
      <c r="M1482" s="2">
        <f t="shared" si="232"/>
        <v>1</v>
      </c>
      <c r="N1482">
        <v>0</v>
      </c>
      <c r="O1482" s="2">
        <f t="shared" si="233"/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 s="2">
        <f t="shared" si="234"/>
        <v>0</v>
      </c>
      <c r="W1482">
        <v>20.8</v>
      </c>
      <c r="X1482" s="2">
        <f t="shared" si="235"/>
        <v>1</v>
      </c>
      <c r="Y1482">
        <v>324.60000000000002</v>
      </c>
      <c r="Z1482" s="2" t="str">
        <f>CHOOSE(MATCH(Y1482,{0;11;80;111;161;191;241;281;341},1),"North","NorthEast","East","SouthEast","South","SouthWest","West","NorthWest","North")</f>
        <v>NorthWest</v>
      </c>
      <c r="AA1482" s="4">
        <f>CHOOSE(MATCH(Z1482,{"South";"SouthEast";"SouthWest";"North";"NorthEast";"East";"West";"NorthWest"},0),1,2,3,4,5,6,7,8)</f>
        <v>8</v>
      </c>
      <c r="AB1482" s="2">
        <f t="shared" si="236"/>
        <v>1</v>
      </c>
      <c r="AC1482">
        <v>1013.1</v>
      </c>
      <c r="AD1482" t="s">
        <v>1191</v>
      </c>
      <c r="AE1482" s="2">
        <f t="shared" si="237"/>
        <v>0</v>
      </c>
      <c r="AF1482" t="s">
        <v>2170</v>
      </c>
      <c r="AG1482" s="2">
        <f t="shared" si="238"/>
        <v>8</v>
      </c>
      <c r="AH1482" s="2">
        <f t="shared" si="239"/>
        <v>1</v>
      </c>
      <c r="AI1482" s="3">
        <v>4080.000000003492</v>
      </c>
      <c r="AJ1482" s="2">
        <v>1</v>
      </c>
      <c r="AK1482">
        <v>0</v>
      </c>
      <c r="AL1482">
        <v>700</v>
      </c>
      <c r="AM1482">
        <v>0</v>
      </c>
      <c r="AN1482" s="2">
        <f>IF((2*G1482+M1482-O1482+3*V1482+2*AB1482+2*AE1482+2*AH1482+3*AJ1482)&gt;=7,1,0)</f>
        <v>1</v>
      </c>
    </row>
    <row r="1483" spans="1:40" x14ac:dyDescent="0.25">
      <c r="A1483" t="s">
        <v>27</v>
      </c>
      <c r="B1483" s="1">
        <v>41140</v>
      </c>
      <c r="C1483" s="6">
        <f t="shared" si="230"/>
        <v>2012</v>
      </c>
      <c r="D1483">
        <v>84.2</v>
      </c>
      <c r="E1483">
        <v>77</v>
      </c>
      <c r="F1483">
        <v>80.099999999999994</v>
      </c>
      <c r="G1483" s="2">
        <f t="shared" si="231"/>
        <v>1</v>
      </c>
      <c r="H1483">
        <v>86.5</v>
      </c>
      <c r="I1483">
        <v>77</v>
      </c>
      <c r="J1483">
        <v>80.900000000000006</v>
      </c>
      <c r="K1483">
        <v>65.599999999999994</v>
      </c>
      <c r="L1483">
        <v>61.6</v>
      </c>
      <c r="M1483" s="2">
        <f t="shared" si="232"/>
        <v>1</v>
      </c>
      <c r="N1483">
        <v>0</v>
      </c>
      <c r="O1483" s="2">
        <f t="shared" si="233"/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 s="2">
        <f t="shared" si="234"/>
        <v>0</v>
      </c>
      <c r="W1483">
        <v>20.8</v>
      </c>
      <c r="X1483" s="2">
        <f t="shared" si="235"/>
        <v>1</v>
      </c>
      <c r="Y1483">
        <v>324.60000000000002</v>
      </c>
      <c r="Z1483" s="2" t="str">
        <f>CHOOSE(MATCH(Y1483,{0;11;80;111;161;191;241;281;341},1),"North","NorthEast","East","SouthEast","South","SouthWest","West","NorthWest","North")</f>
        <v>NorthWest</v>
      </c>
      <c r="AA1483" s="4">
        <f>CHOOSE(MATCH(Z1483,{"South";"SouthEast";"SouthWest";"North";"NorthEast";"East";"West";"NorthWest"},0),1,2,3,4,5,6,7,8)</f>
        <v>8</v>
      </c>
      <c r="AB1483" s="2">
        <f t="shared" si="236"/>
        <v>1</v>
      </c>
      <c r="AC1483">
        <v>1013.1</v>
      </c>
      <c r="AD1483" t="s">
        <v>1947</v>
      </c>
      <c r="AE1483" s="2">
        <f t="shared" si="237"/>
        <v>1</v>
      </c>
      <c r="AF1483" t="s">
        <v>2171</v>
      </c>
      <c r="AG1483" s="2">
        <f t="shared" si="238"/>
        <v>8</v>
      </c>
      <c r="AH1483" s="2">
        <f t="shared" si="239"/>
        <v>1</v>
      </c>
      <c r="AI1483" s="3">
        <v>1019.999999993015</v>
      </c>
      <c r="AJ1483" s="2">
        <v>1</v>
      </c>
      <c r="AK1483">
        <v>0</v>
      </c>
      <c r="AL1483">
        <v>2</v>
      </c>
      <c r="AM1483">
        <v>0</v>
      </c>
      <c r="AN1483" s="2">
        <f>IF((2*G1483+M1483-O1483+3*V1483+2*AB1483+2*AE1483+2*AH1483+3*AJ1483)&gt;=7,1,0)</f>
        <v>1</v>
      </c>
    </row>
    <row r="1484" spans="1:40" x14ac:dyDescent="0.25">
      <c r="A1484" t="s">
        <v>27</v>
      </c>
      <c r="B1484" s="1">
        <v>41140</v>
      </c>
      <c r="C1484" s="6">
        <f t="shared" si="230"/>
        <v>2012</v>
      </c>
      <c r="D1484">
        <v>84.2</v>
      </c>
      <c r="E1484">
        <v>77</v>
      </c>
      <c r="F1484">
        <v>80.099999999999994</v>
      </c>
      <c r="G1484" s="2">
        <f t="shared" si="231"/>
        <v>1</v>
      </c>
      <c r="H1484">
        <v>86.5</v>
      </c>
      <c r="I1484">
        <v>77</v>
      </c>
      <c r="J1484">
        <v>80.900000000000006</v>
      </c>
      <c r="K1484">
        <v>65.599999999999994</v>
      </c>
      <c r="L1484">
        <v>61.6</v>
      </c>
      <c r="M1484" s="2">
        <f t="shared" si="232"/>
        <v>1</v>
      </c>
      <c r="N1484">
        <v>0</v>
      </c>
      <c r="O1484" s="2">
        <f t="shared" si="233"/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 s="2">
        <f t="shared" si="234"/>
        <v>0</v>
      </c>
      <c r="W1484">
        <v>20.8</v>
      </c>
      <c r="X1484" s="2">
        <f t="shared" si="235"/>
        <v>1</v>
      </c>
      <c r="Y1484">
        <v>324.60000000000002</v>
      </c>
      <c r="Z1484" s="2" t="str">
        <f>CHOOSE(MATCH(Y1484,{0;11;80;111;161;191;241;281;341},1),"North","NorthEast","East","SouthEast","South","SouthWest","West","NorthWest","North")</f>
        <v>NorthWest</v>
      </c>
      <c r="AA1484" s="4">
        <f>CHOOSE(MATCH(Z1484,{"South";"SouthEast";"SouthWest";"North";"NorthEast";"East";"West";"NorthWest"},0),1,2,3,4,5,6,7,8)</f>
        <v>8</v>
      </c>
      <c r="AB1484" s="2">
        <f t="shared" si="236"/>
        <v>1</v>
      </c>
      <c r="AC1484">
        <v>1013.1</v>
      </c>
      <c r="AD1484" t="s">
        <v>2172</v>
      </c>
      <c r="AE1484" s="2">
        <f t="shared" si="237"/>
        <v>1</v>
      </c>
      <c r="AF1484" t="s">
        <v>2173</v>
      </c>
      <c r="AG1484" s="2">
        <f t="shared" si="238"/>
        <v>8</v>
      </c>
      <c r="AH1484" s="2">
        <f t="shared" si="239"/>
        <v>1</v>
      </c>
      <c r="AI1484" s="3">
        <v>1514.9999999930151</v>
      </c>
      <c r="AJ1484" s="2">
        <v>1</v>
      </c>
      <c r="AK1484">
        <v>0</v>
      </c>
      <c r="AL1484">
        <v>50</v>
      </c>
      <c r="AM1484">
        <v>0</v>
      </c>
      <c r="AN1484" s="2">
        <f>IF((2*G1484+M1484-O1484+3*V1484+2*AB1484+2*AE1484+2*AH1484+3*AJ1484)&gt;=7,1,0)</f>
        <v>1</v>
      </c>
    </row>
    <row r="1485" spans="1:40" x14ac:dyDescent="0.25">
      <c r="A1485" t="s">
        <v>27</v>
      </c>
      <c r="B1485" s="1">
        <v>41140</v>
      </c>
      <c r="C1485" s="6">
        <f t="shared" si="230"/>
        <v>2012</v>
      </c>
      <c r="D1485">
        <v>84.2</v>
      </c>
      <c r="E1485">
        <v>77</v>
      </c>
      <c r="F1485">
        <v>80.099999999999994</v>
      </c>
      <c r="G1485" s="2">
        <f t="shared" si="231"/>
        <v>1</v>
      </c>
      <c r="H1485">
        <v>86.5</v>
      </c>
      <c r="I1485">
        <v>77</v>
      </c>
      <c r="J1485">
        <v>80.900000000000006</v>
      </c>
      <c r="K1485">
        <v>65.599999999999994</v>
      </c>
      <c r="L1485">
        <v>61.6</v>
      </c>
      <c r="M1485" s="2">
        <f t="shared" si="232"/>
        <v>1</v>
      </c>
      <c r="N1485">
        <v>0</v>
      </c>
      <c r="O1485" s="2">
        <f t="shared" si="233"/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 s="2">
        <f t="shared" si="234"/>
        <v>0</v>
      </c>
      <c r="W1485">
        <v>20.8</v>
      </c>
      <c r="X1485" s="2">
        <f t="shared" si="235"/>
        <v>1</v>
      </c>
      <c r="Y1485">
        <v>324.60000000000002</v>
      </c>
      <c r="Z1485" s="2" t="str">
        <f>CHOOSE(MATCH(Y1485,{0;11;80;111;161;191;241;281;341},1),"North","NorthEast","East","SouthEast","South","SouthWest","West","NorthWest","North")</f>
        <v>NorthWest</v>
      </c>
      <c r="AA1485" s="4">
        <f>CHOOSE(MATCH(Z1485,{"South";"SouthEast";"SouthWest";"North";"NorthEast";"East";"West";"NorthWest"},0),1,2,3,4,5,6,7,8)</f>
        <v>8</v>
      </c>
      <c r="AB1485" s="2">
        <f t="shared" si="236"/>
        <v>1</v>
      </c>
      <c r="AC1485">
        <v>1013.1</v>
      </c>
      <c r="AD1485" t="s">
        <v>2174</v>
      </c>
      <c r="AE1485" s="2">
        <f t="shared" si="237"/>
        <v>1</v>
      </c>
      <c r="AF1485" t="s">
        <v>2175</v>
      </c>
      <c r="AG1485" s="2">
        <f t="shared" si="238"/>
        <v>8</v>
      </c>
      <c r="AH1485" s="2">
        <f t="shared" si="239"/>
        <v>1</v>
      </c>
      <c r="AI1485" s="3">
        <v>1313.999999997905</v>
      </c>
      <c r="AJ1485" s="2">
        <v>1</v>
      </c>
      <c r="AK1485">
        <v>0</v>
      </c>
      <c r="AL1485">
        <v>1</v>
      </c>
      <c r="AM1485">
        <v>0</v>
      </c>
      <c r="AN1485" s="2">
        <f>IF((2*G1485+M1485-O1485+3*V1485+2*AB1485+2*AE1485+2*AH1485+3*AJ1485)&gt;=7,1,0)</f>
        <v>1</v>
      </c>
    </row>
    <row r="1486" spans="1:40" x14ac:dyDescent="0.25">
      <c r="A1486" t="s">
        <v>27</v>
      </c>
      <c r="B1486" s="1">
        <v>41141</v>
      </c>
      <c r="C1486" s="6">
        <f t="shared" si="230"/>
        <v>2012</v>
      </c>
      <c r="D1486">
        <v>82.4</v>
      </c>
      <c r="E1486">
        <v>72.400000000000006</v>
      </c>
      <c r="F1486">
        <v>79</v>
      </c>
      <c r="G1486" s="2">
        <f t="shared" si="231"/>
        <v>1</v>
      </c>
      <c r="H1486">
        <v>84.7</v>
      </c>
      <c r="I1486">
        <v>72.400000000000006</v>
      </c>
      <c r="J1486">
        <v>79.8</v>
      </c>
      <c r="K1486">
        <v>65.8</v>
      </c>
      <c r="L1486">
        <v>64.3</v>
      </c>
      <c r="M1486" s="2">
        <f t="shared" si="232"/>
        <v>1</v>
      </c>
      <c r="N1486">
        <v>0</v>
      </c>
      <c r="O1486" s="2">
        <f t="shared" si="233"/>
        <v>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 s="2">
        <f t="shared" si="234"/>
        <v>0</v>
      </c>
      <c r="W1486">
        <v>20.8</v>
      </c>
      <c r="X1486" s="2">
        <f t="shared" si="235"/>
        <v>1</v>
      </c>
      <c r="Y1486">
        <v>320.39999999999998</v>
      </c>
      <c r="Z1486" s="2" t="str">
        <f>CHOOSE(MATCH(Y1486,{0;11;80;111;161;191;241;281;341},1),"North","NorthEast","East","SouthEast","South","SouthWest","West","NorthWest","North")</f>
        <v>NorthWest</v>
      </c>
      <c r="AA1486" s="4">
        <f>CHOOSE(MATCH(Z1486,{"South";"SouthEast";"SouthWest";"North";"NorthEast";"East";"West";"NorthWest"},0),1,2,3,4,5,6,7,8)</f>
        <v>8</v>
      </c>
      <c r="AB1486" s="2">
        <f t="shared" si="236"/>
        <v>1</v>
      </c>
      <c r="AC1486">
        <v>1013.8</v>
      </c>
      <c r="AD1486" t="s">
        <v>1218</v>
      </c>
      <c r="AE1486" s="2">
        <f t="shared" si="237"/>
        <v>0</v>
      </c>
      <c r="AF1486" t="s">
        <v>2176</v>
      </c>
      <c r="AG1486" s="2">
        <f t="shared" si="238"/>
        <v>8</v>
      </c>
      <c r="AH1486" s="2">
        <f t="shared" si="239"/>
        <v>1</v>
      </c>
      <c r="AI1486" s="3">
        <v>49.999999995343387</v>
      </c>
      <c r="AJ1486" s="2">
        <v>0</v>
      </c>
      <c r="AK1486">
        <v>0</v>
      </c>
      <c r="AL1486">
        <v>1</v>
      </c>
      <c r="AM1486">
        <v>0</v>
      </c>
      <c r="AN1486" s="2">
        <f>IF((2*G1486+M1486-O1486+3*V1486+2*AB1486+2*AE1486+2*AH1486+3*AJ1486)&gt;=7,1,0)</f>
        <v>0</v>
      </c>
    </row>
    <row r="1487" spans="1:40" x14ac:dyDescent="0.25">
      <c r="A1487" t="s">
        <v>27</v>
      </c>
      <c r="B1487" s="1">
        <v>41141</v>
      </c>
      <c r="C1487" s="6">
        <f t="shared" si="230"/>
        <v>2012</v>
      </c>
      <c r="D1487">
        <v>82.4</v>
      </c>
      <c r="E1487">
        <v>72.400000000000006</v>
      </c>
      <c r="F1487">
        <v>79</v>
      </c>
      <c r="G1487" s="2">
        <f t="shared" si="231"/>
        <v>1</v>
      </c>
      <c r="H1487">
        <v>84.7</v>
      </c>
      <c r="I1487">
        <v>72.400000000000006</v>
      </c>
      <c r="J1487">
        <v>79.8</v>
      </c>
      <c r="K1487">
        <v>65.8</v>
      </c>
      <c r="L1487">
        <v>64.3</v>
      </c>
      <c r="M1487" s="2">
        <f t="shared" si="232"/>
        <v>1</v>
      </c>
      <c r="N1487">
        <v>0</v>
      </c>
      <c r="O1487" s="2">
        <f t="shared" si="233"/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 s="2">
        <f t="shared" si="234"/>
        <v>0</v>
      </c>
      <c r="W1487">
        <v>20.8</v>
      </c>
      <c r="X1487" s="2">
        <f t="shared" si="235"/>
        <v>1</v>
      </c>
      <c r="Y1487">
        <v>320.39999999999998</v>
      </c>
      <c r="Z1487" s="2" t="str">
        <f>CHOOSE(MATCH(Y1487,{0;11;80;111;161;191;241;281;341},1),"North","NorthEast","East","SouthEast","South","SouthWest","West","NorthWest","North")</f>
        <v>NorthWest</v>
      </c>
      <c r="AA1487" s="4">
        <f>CHOOSE(MATCH(Z1487,{"South";"SouthEast";"SouthWest";"North";"NorthEast";"East";"West";"NorthWest"},0),1,2,3,4,5,6,7,8)</f>
        <v>8</v>
      </c>
      <c r="AB1487" s="2">
        <f t="shared" si="236"/>
        <v>1</v>
      </c>
      <c r="AC1487">
        <v>1013.8</v>
      </c>
      <c r="AD1487" t="s">
        <v>1861</v>
      </c>
      <c r="AE1487" s="2">
        <f t="shared" si="237"/>
        <v>0</v>
      </c>
      <c r="AF1487" t="s">
        <v>2177</v>
      </c>
      <c r="AG1487" s="2">
        <f t="shared" si="238"/>
        <v>8</v>
      </c>
      <c r="AH1487" s="2">
        <f t="shared" si="239"/>
        <v>1</v>
      </c>
      <c r="AI1487" s="3">
        <v>660.00000000349246</v>
      </c>
      <c r="AJ1487" s="2">
        <v>1</v>
      </c>
      <c r="AK1487">
        <v>0</v>
      </c>
      <c r="AL1487">
        <v>50</v>
      </c>
      <c r="AM1487">
        <v>0</v>
      </c>
      <c r="AN1487" s="2">
        <f>IF((2*G1487+M1487-O1487+3*V1487+2*AB1487+2*AE1487+2*AH1487+3*AJ1487)&gt;=7,1,0)</f>
        <v>1</v>
      </c>
    </row>
    <row r="1488" spans="1:40" x14ac:dyDescent="0.25">
      <c r="A1488" t="s">
        <v>27</v>
      </c>
      <c r="B1488" s="1">
        <v>41141</v>
      </c>
      <c r="C1488" s="6">
        <f t="shared" si="230"/>
        <v>2012</v>
      </c>
      <c r="D1488">
        <v>82.4</v>
      </c>
      <c r="E1488">
        <v>72.400000000000006</v>
      </c>
      <c r="F1488">
        <v>79</v>
      </c>
      <c r="G1488" s="2">
        <f t="shared" si="231"/>
        <v>1</v>
      </c>
      <c r="H1488">
        <v>84.7</v>
      </c>
      <c r="I1488">
        <v>72.400000000000006</v>
      </c>
      <c r="J1488">
        <v>79.8</v>
      </c>
      <c r="K1488">
        <v>65.8</v>
      </c>
      <c r="L1488">
        <v>64.3</v>
      </c>
      <c r="M1488" s="2">
        <f t="shared" si="232"/>
        <v>1</v>
      </c>
      <c r="N1488">
        <v>0</v>
      </c>
      <c r="O1488" s="2">
        <f t="shared" si="233"/>
        <v>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 s="2">
        <f t="shared" si="234"/>
        <v>0</v>
      </c>
      <c r="W1488">
        <v>20.8</v>
      </c>
      <c r="X1488" s="2">
        <f t="shared" si="235"/>
        <v>1</v>
      </c>
      <c r="Y1488">
        <v>320.39999999999998</v>
      </c>
      <c r="Z1488" s="2" t="str">
        <f>CHOOSE(MATCH(Y1488,{0;11;80;111;161;191;241;281;341},1),"North","NorthEast","East","SouthEast","South","SouthWest","West","NorthWest","North")</f>
        <v>NorthWest</v>
      </c>
      <c r="AA1488" s="4">
        <f>CHOOSE(MATCH(Z1488,{"South";"SouthEast";"SouthWest";"North";"NorthEast";"East";"West";"NorthWest"},0),1,2,3,4,5,6,7,8)</f>
        <v>8</v>
      </c>
      <c r="AB1488" s="2">
        <f t="shared" si="236"/>
        <v>1</v>
      </c>
      <c r="AC1488">
        <v>1013.8</v>
      </c>
      <c r="AD1488" t="s">
        <v>1182</v>
      </c>
      <c r="AE1488" s="2">
        <f t="shared" si="237"/>
        <v>1</v>
      </c>
      <c r="AF1488" t="s">
        <v>2178</v>
      </c>
      <c r="AG1488" s="2">
        <f t="shared" si="238"/>
        <v>8</v>
      </c>
      <c r="AH1488" s="2">
        <f t="shared" si="239"/>
        <v>1</v>
      </c>
      <c r="AI1488" s="3">
        <v>1445.000000005821</v>
      </c>
      <c r="AJ1488" s="2">
        <v>1</v>
      </c>
      <c r="AK1488">
        <v>0</v>
      </c>
      <c r="AL1488">
        <v>5</v>
      </c>
      <c r="AM1488">
        <v>0</v>
      </c>
      <c r="AN1488" s="2">
        <f>IF((2*G1488+M1488-O1488+3*V1488+2*AB1488+2*AE1488+2*AH1488+3*AJ1488)&gt;=7,1,0)</f>
        <v>1</v>
      </c>
    </row>
    <row r="1489" spans="1:40" x14ac:dyDescent="0.25">
      <c r="A1489" t="s">
        <v>27</v>
      </c>
      <c r="B1489" s="1">
        <v>41141</v>
      </c>
      <c r="C1489" s="6">
        <f t="shared" si="230"/>
        <v>2012</v>
      </c>
      <c r="D1489">
        <v>82.4</v>
      </c>
      <c r="E1489">
        <v>72.400000000000006</v>
      </c>
      <c r="F1489">
        <v>79</v>
      </c>
      <c r="G1489" s="2">
        <f t="shared" si="231"/>
        <v>1</v>
      </c>
      <c r="H1489">
        <v>84.7</v>
      </c>
      <c r="I1489">
        <v>72.400000000000006</v>
      </c>
      <c r="J1489">
        <v>79.8</v>
      </c>
      <c r="K1489">
        <v>65.8</v>
      </c>
      <c r="L1489">
        <v>64.3</v>
      </c>
      <c r="M1489" s="2">
        <f t="shared" si="232"/>
        <v>1</v>
      </c>
      <c r="N1489">
        <v>0</v>
      </c>
      <c r="O1489" s="2">
        <f t="shared" si="233"/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 s="2">
        <f t="shared" si="234"/>
        <v>0</v>
      </c>
      <c r="W1489">
        <v>20.8</v>
      </c>
      <c r="X1489" s="2">
        <f t="shared" si="235"/>
        <v>1</v>
      </c>
      <c r="Y1489">
        <v>320.39999999999998</v>
      </c>
      <c r="Z1489" s="2" t="str">
        <f>CHOOSE(MATCH(Y1489,{0;11;80;111;161;191;241;281;341},1),"North","NorthEast","East","SouthEast","South","SouthWest","West","NorthWest","North")</f>
        <v>NorthWest</v>
      </c>
      <c r="AA1489" s="4">
        <f>CHOOSE(MATCH(Z1489,{"South";"SouthEast";"SouthWest";"North";"NorthEast";"East";"West";"NorthWest"},0),1,2,3,4,5,6,7,8)</f>
        <v>8</v>
      </c>
      <c r="AB1489" s="2">
        <f t="shared" si="236"/>
        <v>1</v>
      </c>
      <c r="AC1489">
        <v>1013.8</v>
      </c>
      <c r="AD1489" t="s">
        <v>2179</v>
      </c>
      <c r="AE1489" s="2">
        <f t="shared" si="237"/>
        <v>0</v>
      </c>
      <c r="AF1489" t="s">
        <v>2180</v>
      </c>
      <c r="AG1489" s="2">
        <f t="shared" si="238"/>
        <v>8</v>
      </c>
      <c r="AH1489" s="2">
        <f t="shared" si="239"/>
        <v>1</v>
      </c>
      <c r="AI1489" s="3">
        <v>180</v>
      </c>
      <c r="AJ1489" s="2">
        <v>0</v>
      </c>
      <c r="AK1489">
        <v>0</v>
      </c>
      <c r="AL1489">
        <v>3</v>
      </c>
      <c r="AM1489">
        <v>0</v>
      </c>
      <c r="AN1489" s="2">
        <f>IF((2*G1489+M1489-O1489+3*V1489+2*AB1489+2*AE1489+2*AH1489+3*AJ1489)&gt;=7,1,0)</f>
        <v>0</v>
      </c>
    </row>
    <row r="1490" spans="1:40" x14ac:dyDescent="0.25">
      <c r="A1490" t="s">
        <v>27</v>
      </c>
      <c r="B1490" s="1">
        <v>41142</v>
      </c>
      <c r="C1490" s="6">
        <f t="shared" si="230"/>
        <v>2012</v>
      </c>
      <c r="D1490">
        <v>82.4</v>
      </c>
      <c r="E1490">
        <v>75.2</v>
      </c>
      <c r="F1490">
        <v>78.8</v>
      </c>
      <c r="G1490" s="2">
        <f t="shared" si="231"/>
        <v>1</v>
      </c>
      <c r="H1490">
        <v>86.2</v>
      </c>
      <c r="I1490">
        <v>75.2</v>
      </c>
      <c r="J1490">
        <v>79.900000000000006</v>
      </c>
      <c r="K1490">
        <v>67.900000000000006</v>
      </c>
      <c r="L1490">
        <v>69.3</v>
      </c>
      <c r="M1490" s="2">
        <f t="shared" si="232"/>
        <v>0</v>
      </c>
      <c r="N1490">
        <v>0</v>
      </c>
      <c r="O1490" s="2">
        <f t="shared" si="233"/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 s="2">
        <f t="shared" si="234"/>
        <v>0</v>
      </c>
      <c r="W1490">
        <v>21.9</v>
      </c>
      <c r="X1490" s="2">
        <f t="shared" si="235"/>
        <v>1</v>
      </c>
      <c r="Y1490">
        <v>309.89999999999998</v>
      </c>
      <c r="Z1490" s="2" t="str">
        <f>CHOOSE(MATCH(Y1490,{0;11;80;111;161;191;241;281;341},1),"North","NorthEast","East","SouthEast","South","SouthWest","West","NorthWest","North")</f>
        <v>NorthWest</v>
      </c>
      <c r="AA1490" s="4">
        <f>CHOOSE(MATCH(Z1490,{"South";"SouthEast";"SouthWest";"North";"NorthEast";"East";"West";"NorthWest"},0),1,2,3,4,5,6,7,8)</f>
        <v>8</v>
      </c>
      <c r="AB1490" s="2">
        <f t="shared" si="236"/>
        <v>1</v>
      </c>
      <c r="AC1490">
        <v>1012.4</v>
      </c>
      <c r="AD1490" t="s">
        <v>1947</v>
      </c>
      <c r="AE1490" s="2">
        <f t="shared" si="237"/>
        <v>1</v>
      </c>
      <c r="AF1490" t="s">
        <v>2181</v>
      </c>
      <c r="AG1490" s="2">
        <f t="shared" si="238"/>
        <v>8</v>
      </c>
      <c r="AH1490" s="2">
        <f t="shared" si="239"/>
        <v>1</v>
      </c>
      <c r="AI1490" s="3">
        <v>319.99999999534339</v>
      </c>
      <c r="AJ1490" s="2">
        <v>0</v>
      </c>
      <c r="AK1490">
        <v>2</v>
      </c>
      <c r="AL1490">
        <v>0</v>
      </c>
      <c r="AM1490">
        <v>0</v>
      </c>
      <c r="AN1490" s="2">
        <f>IF((2*G1490+M1490-O1490+3*V1490+2*AB1490+2*AE1490+2*AH1490+3*AJ1490)&gt;=7,1,0)</f>
        <v>1</v>
      </c>
    </row>
    <row r="1491" spans="1:40" x14ac:dyDescent="0.25">
      <c r="A1491" t="s">
        <v>27</v>
      </c>
      <c r="B1491" s="1">
        <v>41143</v>
      </c>
      <c r="C1491" s="6">
        <f t="shared" si="230"/>
        <v>2012</v>
      </c>
      <c r="D1491">
        <v>84.3</v>
      </c>
      <c r="E1491">
        <v>69.8</v>
      </c>
      <c r="F1491">
        <v>78.7</v>
      </c>
      <c r="G1491" s="2">
        <f t="shared" si="231"/>
        <v>1</v>
      </c>
      <c r="H1491">
        <v>91.1</v>
      </c>
      <c r="I1491">
        <v>69.8</v>
      </c>
      <c r="J1491">
        <v>81</v>
      </c>
      <c r="K1491">
        <v>68.599999999999994</v>
      </c>
      <c r="L1491">
        <v>71.5</v>
      </c>
      <c r="M1491" s="2">
        <f t="shared" si="232"/>
        <v>0</v>
      </c>
      <c r="N1491">
        <v>0</v>
      </c>
      <c r="O1491" s="2">
        <f t="shared" si="233"/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 s="2">
        <f t="shared" si="234"/>
        <v>0</v>
      </c>
      <c r="W1491">
        <v>18.3</v>
      </c>
      <c r="X1491" s="2">
        <f t="shared" si="235"/>
        <v>1</v>
      </c>
      <c r="Y1491">
        <v>307.3</v>
      </c>
      <c r="Z1491" s="2" t="str">
        <f>CHOOSE(MATCH(Y1491,{0;11;80;111;161;191;241;281;341},1),"North","NorthEast","East","SouthEast","South","SouthWest","West","NorthWest","North")</f>
        <v>NorthWest</v>
      </c>
      <c r="AA1491" s="4">
        <f>CHOOSE(MATCH(Z1491,{"South";"SouthEast";"SouthWest";"North";"NorthEast";"East";"West";"NorthWest"},0),1,2,3,4,5,6,7,8)</f>
        <v>8</v>
      </c>
      <c r="AB1491" s="2">
        <f t="shared" si="236"/>
        <v>1</v>
      </c>
      <c r="AC1491">
        <v>1012.2</v>
      </c>
      <c r="AD1491" t="s">
        <v>1800</v>
      </c>
      <c r="AE1491" s="2">
        <f t="shared" si="237"/>
        <v>1</v>
      </c>
      <c r="AF1491" t="s">
        <v>2182</v>
      </c>
      <c r="AG1491" s="2">
        <f t="shared" si="238"/>
        <v>8</v>
      </c>
      <c r="AH1491" s="2">
        <f t="shared" si="239"/>
        <v>1</v>
      </c>
      <c r="AI1491" s="3">
        <v>180</v>
      </c>
      <c r="AJ1491" s="2">
        <v>0</v>
      </c>
      <c r="AK1491">
        <v>0.5</v>
      </c>
      <c r="AL1491">
        <v>0</v>
      </c>
      <c r="AM1491">
        <v>0</v>
      </c>
      <c r="AN1491" s="2">
        <f>IF((2*G1491+M1491-O1491+3*V1491+2*AB1491+2*AE1491+2*AH1491+3*AJ1491)&gt;=7,1,0)</f>
        <v>1</v>
      </c>
    </row>
    <row r="1492" spans="1:40" x14ac:dyDescent="0.25">
      <c r="A1492" t="s">
        <v>27</v>
      </c>
      <c r="B1492" s="1">
        <v>41144</v>
      </c>
      <c r="C1492" s="6">
        <f t="shared" si="230"/>
        <v>2012</v>
      </c>
      <c r="D1492">
        <v>86</v>
      </c>
      <c r="E1492">
        <v>73.400000000000006</v>
      </c>
      <c r="F1492">
        <v>79.900000000000006</v>
      </c>
      <c r="G1492" s="2">
        <f t="shared" si="231"/>
        <v>1</v>
      </c>
      <c r="H1492">
        <v>95.2</v>
      </c>
      <c r="I1492">
        <v>73.400000000000006</v>
      </c>
      <c r="J1492">
        <v>83.6</v>
      </c>
      <c r="K1492">
        <v>70.099999999999994</v>
      </c>
      <c r="L1492">
        <v>72.2</v>
      </c>
      <c r="M1492" s="2">
        <f t="shared" si="232"/>
        <v>0</v>
      </c>
      <c r="N1492">
        <v>0</v>
      </c>
      <c r="O1492" s="2">
        <f t="shared" si="233"/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 s="2">
        <f t="shared" si="234"/>
        <v>0</v>
      </c>
      <c r="W1492">
        <v>16.100000000000001</v>
      </c>
      <c r="X1492" s="2">
        <f t="shared" si="235"/>
        <v>1</v>
      </c>
      <c r="Y1492">
        <v>292.60000000000002</v>
      </c>
      <c r="Z1492" s="2" t="str">
        <f>CHOOSE(MATCH(Y1492,{0;11;80;111;161;191;241;281;341},1),"North","NorthEast","East","SouthEast","South","SouthWest","West","NorthWest","North")</f>
        <v>NorthWest</v>
      </c>
      <c r="AA1492" s="4">
        <f>CHOOSE(MATCH(Z1492,{"South";"SouthEast";"SouthWest";"North";"NorthEast";"East";"West";"NorthWest"},0),1,2,3,4,5,6,7,8)</f>
        <v>8</v>
      </c>
      <c r="AB1492" s="2">
        <f t="shared" si="236"/>
        <v>1</v>
      </c>
      <c r="AC1492">
        <v>1011</v>
      </c>
      <c r="AD1492" t="s">
        <v>1201</v>
      </c>
      <c r="AE1492" s="2">
        <f t="shared" si="237"/>
        <v>1</v>
      </c>
      <c r="AF1492" t="s">
        <v>2183</v>
      </c>
      <c r="AG1492" s="2">
        <f t="shared" si="238"/>
        <v>8</v>
      </c>
      <c r="AH1492" s="2">
        <f t="shared" si="239"/>
        <v>1</v>
      </c>
      <c r="AI1492" s="3">
        <v>969.99999999767169</v>
      </c>
      <c r="AJ1492" s="2">
        <v>1</v>
      </c>
      <c r="AK1492">
        <v>0</v>
      </c>
      <c r="AL1492">
        <v>50</v>
      </c>
      <c r="AM1492">
        <v>0</v>
      </c>
      <c r="AN1492" s="2">
        <f>IF((2*G1492+M1492-O1492+3*V1492+2*AB1492+2*AE1492+2*AH1492+3*AJ1492)&gt;=7,1,0)</f>
        <v>1</v>
      </c>
    </row>
    <row r="1493" spans="1:40" x14ac:dyDescent="0.25">
      <c r="A1493" t="s">
        <v>27</v>
      </c>
      <c r="B1493" s="1">
        <v>41144</v>
      </c>
      <c r="C1493" s="6">
        <f t="shared" si="230"/>
        <v>2012</v>
      </c>
      <c r="D1493">
        <v>86</v>
      </c>
      <c r="E1493">
        <v>73.400000000000006</v>
      </c>
      <c r="F1493">
        <v>79.900000000000006</v>
      </c>
      <c r="G1493" s="2">
        <f t="shared" si="231"/>
        <v>1</v>
      </c>
      <c r="H1493">
        <v>95.2</v>
      </c>
      <c r="I1493">
        <v>73.400000000000006</v>
      </c>
      <c r="J1493">
        <v>83.6</v>
      </c>
      <c r="K1493">
        <v>70.099999999999994</v>
      </c>
      <c r="L1493">
        <v>72.2</v>
      </c>
      <c r="M1493" s="2">
        <f t="shared" si="232"/>
        <v>0</v>
      </c>
      <c r="N1493">
        <v>0</v>
      </c>
      <c r="O1493" s="2">
        <f t="shared" si="233"/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 s="2">
        <f t="shared" si="234"/>
        <v>0</v>
      </c>
      <c r="W1493">
        <v>16.100000000000001</v>
      </c>
      <c r="X1493" s="2">
        <f t="shared" si="235"/>
        <v>1</v>
      </c>
      <c r="Y1493">
        <v>292.60000000000002</v>
      </c>
      <c r="Z1493" s="2" t="str">
        <f>CHOOSE(MATCH(Y1493,{0;11;80;111;161;191;241;281;341},1),"North","NorthEast","East","SouthEast","South","SouthWest","West","NorthWest","North")</f>
        <v>NorthWest</v>
      </c>
      <c r="AA1493" s="4">
        <f>CHOOSE(MATCH(Z1493,{"South";"SouthEast";"SouthWest";"North";"NorthEast";"East";"West";"NorthWest"},0),1,2,3,4,5,6,7,8)</f>
        <v>8</v>
      </c>
      <c r="AB1493" s="2">
        <f t="shared" si="236"/>
        <v>1</v>
      </c>
      <c r="AC1493">
        <v>1011</v>
      </c>
      <c r="AD1493" t="s">
        <v>1111</v>
      </c>
      <c r="AE1493" s="2">
        <f t="shared" si="237"/>
        <v>1</v>
      </c>
      <c r="AF1493" t="s">
        <v>2184</v>
      </c>
      <c r="AG1493" s="2">
        <f t="shared" si="238"/>
        <v>8</v>
      </c>
      <c r="AH1493" s="2">
        <f t="shared" si="239"/>
        <v>1</v>
      </c>
      <c r="AI1493" s="3">
        <v>2250</v>
      </c>
      <c r="AJ1493" s="2">
        <v>1</v>
      </c>
      <c r="AK1493">
        <v>0</v>
      </c>
      <c r="AL1493">
        <v>100</v>
      </c>
      <c r="AM1493">
        <v>0</v>
      </c>
      <c r="AN1493" s="2">
        <f>IF((2*G1493+M1493-O1493+3*V1493+2*AB1493+2*AE1493+2*AH1493+3*AJ1493)&gt;=7,1,0)</f>
        <v>1</v>
      </c>
    </row>
    <row r="1494" spans="1:40" x14ac:dyDescent="0.25">
      <c r="A1494" t="s">
        <v>27</v>
      </c>
      <c r="B1494" s="1">
        <v>41144</v>
      </c>
      <c r="C1494" s="6">
        <f t="shared" si="230"/>
        <v>2012</v>
      </c>
      <c r="D1494">
        <v>86</v>
      </c>
      <c r="E1494">
        <v>73.400000000000006</v>
      </c>
      <c r="F1494">
        <v>79.900000000000006</v>
      </c>
      <c r="G1494" s="2">
        <f t="shared" si="231"/>
        <v>1</v>
      </c>
      <c r="H1494">
        <v>95.2</v>
      </c>
      <c r="I1494">
        <v>73.400000000000006</v>
      </c>
      <c r="J1494">
        <v>83.6</v>
      </c>
      <c r="K1494">
        <v>70.099999999999994</v>
      </c>
      <c r="L1494">
        <v>72.2</v>
      </c>
      <c r="M1494" s="2">
        <f t="shared" si="232"/>
        <v>0</v>
      </c>
      <c r="N1494">
        <v>0</v>
      </c>
      <c r="O1494" s="2">
        <f t="shared" si="233"/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 s="2">
        <f t="shared" si="234"/>
        <v>0</v>
      </c>
      <c r="W1494">
        <v>16.100000000000001</v>
      </c>
      <c r="X1494" s="2">
        <f t="shared" si="235"/>
        <v>1</v>
      </c>
      <c r="Y1494">
        <v>292.60000000000002</v>
      </c>
      <c r="Z1494" s="2" t="str">
        <f>CHOOSE(MATCH(Y1494,{0;11;80;111;161;191;241;281;341},1),"North","NorthEast","East","SouthEast","South","SouthWest","West","NorthWest","North")</f>
        <v>NorthWest</v>
      </c>
      <c r="AA1494" s="4">
        <f>CHOOSE(MATCH(Z1494,{"South";"SouthEast";"SouthWest";"North";"NorthEast";"East";"West";"NorthWest"},0),1,2,3,4,5,6,7,8)</f>
        <v>8</v>
      </c>
      <c r="AB1494" s="2">
        <f t="shared" si="236"/>
        <v>1</v>
      </c>
      <c r="AC1494">
        <v>1011</v>
      </c>
      <c r="AD1494" t="s">
        <v>1161</v>
      </c>
      <c r="AE1494" s="2">
        <f t="shared" si="237"/>
        <v>0</v>
      </c>
      <c r="AF1494" t="s">
        <v>2185</v>
      </c>
      <c r="AG1494" s="2">
        <f t="shared" si="238"/>
        <v>8</v>
      </c>
      <c r="AH1494" s="2">
        <f t="shared" si="239"/>
        <v>1</v>
      </c>
      <c r="AI1494" s="3">
        <v>154.9999999918509</v>
      </c>
      <c r="AJ1494" s="2">
        <v>0</v>
      </c>
      <c r="AK1494">
        <v>0</v>
      </c>
      <c r="AL1494">
        <v>1</v>
      </c>
      <c r="AM1494">
        <v>0</v>
      </c>
      <c r="AN1494" s="2">
        <f>IF((2*G1494+M1494-O1494+3*V1494+2*AB1494+2*AE1494+2*AH1494+3*AJ1494)&gt;=7,1,0)</f>
        <v>0</v>
      </c>
    </row>
    <row r="1495" spans="1:40" x14ac:dyDescent="0.25">
      <c r="A1495" t="s">
        <v>27</v>
      </c>
      <c r="B1495" s="1">
        <v>41146</v>
      </c>
      <c r="C1495" s="6">
        <f t="shared" si="230"/>
        <v>2012</v>
      </c>
      <c r="D1495">
        <v>87.8</v>
      </c>
      <c r="E1495">
        <v>71.599999999999994</v>
      </c>
      <c r="F1495">
        <v>80.3</v>
      </c>
      <c r="G1495" s="2">
        <f t="shared" si="231"/>
        <v>1</v>
      </c>
      <c r="H1495">
        <v>95.9</v>
      </c>
      <c r="I1495">
        <v>71.599999999999994</v>
      </c>
      <c r="J1495">
        <v>82.9</v>
      </c>
      <c r="K1495">
        <v>65.400000000000006</v>
      </c>
      <c r="L1495">
        <v>60.8</v>
      </c>
      <c r="M1495" s="2">
        <f t="shared" si="232"/>
        <v>1</v>
      </c>
      <c r="N1495">
        <v>0</v>
      </c>
      <c r="O1495" s="2">
        <f t="shared" si="233"/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 s="2">
        <f t="shared" si="234"/>
        <v>0</v>
      </c>
      <c r="W1495">
        <v>19.5</v>
      </c>
      <c r="X1495" s="2">
        <f t="shared" si="235"/>
        <v>1</v>
      </c>
      <c r="Y1495">
        <v>289.5</v>
      </c>
      <c r="Z1495" s="2" t="str">
        <f>CHOOSE(MATCH(Y1495,{0;11;80;111;161;191;241;281;341},1),"North","NorthEast","East","SouthEast","South","SouthWest","West","NorthWest","North")</f>
        <v>NorthWest</v>
      </c>
      <c r="AA1495" s="4">
        <f>CHOOSE(MATCH(Z1495,{"South";"SouthEast";"SouthWest";"North";"NorthEast";"East";"West";"NorthWest"},0),1,2,3,4,5,6,7,8)</f>
        <v>8</v>
      </c>
      <c r="AB1495" s="2">
        <f t="shared" si="236"/>
        <v>1</v>
      </c>
      <c r="AC1495">
        <v>1009.6</v>
      </c>
      <c r="AD1495" t="s">
        <v>2186</v>
      </c>
      <c r="AE1495" s="2">
        <f t="shared" si="237"/>
        <v>1</v>
      </c>
      <c r="AF1495" t="s">
        <v>2187</v>
      </c>
      <c r="AG1495" s="2">
        <f t="shared" si="238"/>
        <v>8</v>
      </c>
      <c r="AH1495" s="2">
        <f t="shared" si="239"/>
        <v>1</v>
      </c>
      <c r="AI1495" s="3">
        <v>1090.0000000011639</v>
      </c>
      <c r="AJ1495" s="2">
        <v>1</v>
      </c>
      <c r="AK1495">
        <v>0</v>
      </c>
      <c r="AL1495">
        <v>60</v>
      </c>
      <c r="AM1495">
        <v>0</v>
      </c>
      <c r="AN1495" s="2">
        <f>IF((2*G1495+M1495-O1495+3*V1495+2*AB1495+2*AE1495+2*AH1495+3*AJ1495)&gt;=7,1,0)</f>
        <v>1</v>
      </c>
    </row>
    <row r="1496" spans="1:40" x14ac:dyDescent="0.25">
      <c r="A1496" t="s">
        <v>27</v>
      </c>
      <c r="B1496" s="1">
        <v>41148</v>
      </c>
      <c r="C1496" s="6">
        <f t="shared" si="230"/>
        <v>2012</v>
      </c>
      <c r="D1496">
        <v>89.6</v>
      </c>
      <c r="E1496">
        <v>69.8</v>
      </c>
      <c r="F1496">
        <v>80.400000000000006</v>
      </c>
      <c r="G1496" s="2">
        <f t="shared" si="231"/>
        <v>1</v>
      </c>
      <c r="H1496">
        <v>98.2</v>
      </c>
      <c r="I1496">
        <v>69.8</v>
      </c>
      <c r="J1496">
        <v>84</v>
      </c>
      <c r="K1496">
        <v>66.7</v>
      </c>
      <c r="L1496">
        <v>63.9</v>
      </c>
      <c r="M1496" s="2">
        <f t="shared" si="232"/>
        <v>1</v>
      </c>
      <c r="N1496">
        <v>0</v>
      </c>
      <c r="O1496" s="2">
        <f t="shared" si="233"/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 s="2">
        <f t="shared" si="234"/>
        <v>0</v>
      </c>
      <c r="W1496">
        <v>17.2</v>
      </c>
      <c r="X1496" s="2">
        <f t="shared" si="235"/>
        <v>1</v>
      </c>
      <c r="Y1496">
        <v>162.1</v>
      </c>
      <c r="Z1496" s="2" t="str">
        <f>CHOOSE(MATCH(Y1496,{0;11;80;111;161;191;241;281;341},1),"North","NorthEast","East","SouthEast","South","SouthWest","West","NorthWest","North")</f>
        <v>South</v>
      </c>
      <c r="AA1496" s="4">
        <f>CHOOSE(MATCH(Z1496,{"South";"SouthEast";"SouthWest";"North";"NorthEast";"East";"West";"NorthWest"},0),1,2,3,4,5,6,7,8)</f>
        <v>1</v>
      </c>
      <c r="AB1496" s="2">
        <f t="shared" si="236"/>
        <v>0</v>
      </c>
      <c r="AC1496">
        <v>1005.9</v>
      </c>
      <c r="AD1496" t="s">
        <v>2188</v>
      </c>
      <c r="AE1496" s="2">
        <f t="shared" si="237"/>
        <v>1</v>
      </c>
      <c r="AF1496" t="s">
        <v>2189</v>
      </c>
      <c r="AG1496" s="2">
        <f t="shared" si="238"/>
        <v>8</v>
      </c>
      <c r="AH1496" s="2">
        <f t="shared" si="239"/>
        <v>1</v>
      </c>
      <c r="AI1496" s="3">
        <v>91.000000003259629</v>
      </c>
      <c r="AJ1496" s="2">
        <v>0</v>
      </c>
      <c r="AK1496">
        <v>0</v>
      </c>
      <c r="AL1496">
        <v>1</v>
      </c>
      <c r="AM1496">
        <v>0</v>
      </c>
      <c r="AN1496" s="2">
        <f>IF((2*G1496+M1496-O1496+3*V1496+2*AB1496+2*AE1496+2*AH1496+3*AJ1496)&gt;=7,1,0)</f>
        <v>0</v>
      </c>
    </row>
    <row r="1497" spans="1:40" x14ac:dyDescent="0.25">
      <c r="A1497" t="s">
        <v>27</v>
      </c>
      <c r="B1497" s="1">
        <v>41148</v>
      </c>
      <c r="C1497" s="6">
        <f t="shared" si="230"/>
        <v>2012</v>
      </c>
      <c r="D1497">
        <v>89.6</v>
      </c>
      <c r="E1497">
        <v>69.8</v>
      </c>
      <c r="F1497">
        <v>80.400000000000006</v>
      </c>
      <c r="G1497" s="2">
        <f t="shared" si="231"/>
        <v>1</v>
      </c>
      <c r="H1497">
        <v>98.2</v>
      </c>
      <c r="I1497">
        <v>69.8</v>
      </c>
      <c r="J1497">
        <v>84</v>
      </c>
      <c r="K1497">
        <v>66.7</v>
      </c>
      <c r="L1497">
        <v>63.9</v>
      </c>
      <c r="M1497" s="2">
        <f t="shared" si="232"/>
        <v>1</v>
      </c>
      <c r="N1497">
        <v>0</v>
      </c>
      <c r="O1497" s="2">
        <f t="shared" si="233"/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 s="2">
        <f t="shared" si="234"/>
        <v>0</v>
      </c>
      <c r="W1497">
        <v>17.2</v>
      </c>
      <c r="X1497" s="2">
        <f t="shared" si="235"/>
        <v>1</v>
      </c>
      <c r="Y1497">
        <v>162.1</v>
      </c>
      <c r="Z1497" s="2" t="str">
        <f>CHOOSE(MATCH(Y1497,{0;11;80;111;161;191;241;281;341},1),"North","NorthEast","East","SouthEast","South","SouthWest","West","NorthWest","North")</f>
        <v>South</v>
      </c>
      <c r="AA1497" s="4">
        <f>CHOOSE(MATCH(Z1497,{"South";"SouthEast";"SouthWest";"North";"NorthEast";"East";"West";"NorthWest"},0),1,2,3,4,5,6,7,8)</f>
        <v>1</v>
      </c>
      <c r="AB1497" s="2">
        <f t="shared" si="236"/>
        <v>0</v>
      </c>
      <c r="AC1497">
        <v>1005.9</v>
      </c>
      <c r="AD1497" t="s">
        <v>1885</v>
      </c>
      <c r="AE1497" s="2">
        <f t="shared" si="237"/>
        <v>1</v>
      </c>
      <c r="AF1497" t="s">
        <v>2190</v>
      </c>
      <c r="AG1497" s="2">
        <f t="shared" si="238"/>
        <v>8</v>
      </c>
      <c r="AH1497" s="2">
        <f t="shared" si="239"/>
        <v>1</v>
      </c>
      <c r="AI1497" s="3">
        <v>1679.999999996508</v>
      </c>
      <c r="AJ1497" s="2">
        <v>1</v>
      </c>
      <c r="AK1497">
        <v>0</v>
      </c>
      <c r="AL1497">
        <v>50</v>
      </c>
      <c r="AM1497">
        <v>0</v>
      </c>
      <c r="AN1497" s="2">
        <f>IF((2*G1497+M1497-O1497+3*V1497+2*AB1497+2*AE1497+2*AH1497+3*AJ1497)&gt;=7,1,0)</f>
        <v>1</v>
      </c>
    </row>
    <row r="1498" spans="1:40" x14ac:dyDescent="0.25">
      <c r="A1498" t="s">
        <v>27</v>
      </c>
      <c r="B1498" s="1">
        <v>41148</v>
      </c>
      <c r="C1498" s="6">
        <f t="shared" si="230"/>
        <v>2012</v>
      </c>
      <c r="D1498">
        <v>89.6</v>
      </c>
      <c r="E1498">
        <v>69.8</v>
      </c>
      <c r="F1498">
        <v>80.400000000000006</v>
      </c>
      <c r="G1498" s="2">
        <f t="shared" si="231"/>
        <v>1</v>
      </c>
      <c r="H1498">
        <v>98.2</v>
      </c>
      <c r="I1498">
        <v>69.8</v>
      </c>
      <c r="J1498">
        <v>84</v>
      </c>
      <c r="K1498">
        <v>66.7</v>
      </c>
      <c r="L1498">
        <v>63.9</v>
      </c>
      <c r="M1498" s="2">
        <f t="shared" si="232"/>
        <v>1</v>
      </c>
      <c r="N1498">
        <v>0</v>
      </c>
      <c r="O1498" s="2">
        <f t="shared" si="233"/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 s="2">
        <f t="shared" si="234"/>
        <v>0</v>
      </c>
      <c r="W1498">
        <v>17.2</v>
      </c>
      <c r="X1498" s="2">
        <f t="shared" si="235"/>
        <v>1</v>
      </c>
      <c r="Y1498">
        <v>162.1</v>
      </c>
      <c r="Z1498" s="2" t="str">
        <f>CHOOSE(MATCH(Y1498,{0;11;80;111;161;191;241;281;341},1),"North","NorthEast","East","SouthEast","South","SouthWest","West","NorthWest","North")</f>
        <v>South</v>
      </c>
      <c r="AA1498" s="4">
        <f>CHOOSE(MATCH(Z1498,{"South";"SouthEast";"SouthWest";"North";"NorthEast";"East";"West";"NorthWest"},0),1,2,3,4,5,6,7,8)</f>
        <v>1</v>
      </c>
      <c r="AB1498" s="2">
        <f t="shared" si="236"/>
        <v>0</v>
      </c>
      <c r="AC1498">
        <v>1005.9</v>
      </c>
      <c r="AD1498" t="s">
        <v>1911</v>
      </c>
      <c r="AE1498" s="2">
        <f t="shared" si="237"/>
        <v>1</v>
      </c>
      <c r="AF1498" t="s">
        <v>2191</v>
      </c>
      <c r="AG1498" s="2">
        <f t="shared" si="238"/>
        <v>8</v>
      </c>
      <c r="AH1498" s="2">
        <f t="shared" si="239"/>
        <v>1</v>
      </c>
      <c r="AI1498" s="3">
        <v>20.00000000232831</v>
      </c>
      <c r="AJ1498" s="2">
        <v>0</v>
      </c>
      <c r="AK1498">
        <v>0</v>
      </c>
      <c r="AL1498">
        <v>1</v>
      </c>
      <c r="AM1498">
        <v>0</v>
      </c>
      <c r="AN1498" s="2">
        <f>IF((2*G1498+M1498-O1498+3*V1498+2*AB1498+2*AE1498+2*AH1498+3*AJ1498)&gt;=7,1,0)</f>
        <v>0</v>
      </c>
    </row>
    <row r="1499" spans="1:40" x14ac:dyDescent="0.25">
      <c r="A1499" t="s">
        <v>27</v>
      </c>
      <c r="B1499" s="1">
        <v>41148</v>
      </c>
      <c r="C1499" s="6">
        <f t="shared" si="230"/>
        <v>2012</v>
      </c>
      <c r="D1499">
        <v>89.6</v>
      </c>
      <c r="E1499">
        <v>69.8</v>
      </c>
      <c r="F1499">
        <v>80.400000000000006</v>
      </c>
      <c r="G1499" s="2">
        <f t="shared" si="231"/>
        <v>1</v>
      </c>
      <c r="H1499">
        <v>98.2</v>
      </c>
      <c r="I1499">
        <v>69.8</v>
      </c>
      <c r="J1499">
        <v>84</v>
      </c>
      <c r="K1499">
        <v>66.7</v>
      </c>
      <c r="L1499">
        <v>63.9</v>
      </c>
      <c r="M1499" s="2">
        <f t="shared" si="232"/>
        <v>1</v>
      </c>
      <c r="N1499">
        <v>0</v>
      </c>
      <c r="O1499" s="2">
        <f t="shared" si="233"/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 s="2">
        <f t="shared" si="234"/>
        <v>0</v>
      </c>
      <c r="W1499">
        <v>17.2</v>
      </c>
      <c r="X1499" s="2">
        <f t="shared" si="235"/>
        <v>1</v>
      </c>
      <c r="Y1499">
        <v>162.1</v>
      </c>
      <c r="Z1499" s="2" t="str">
        <f>CHOOSE(MATCH(Y1499,{0;11;80;111;161;191;241;281;341},1),"North","NorthEast","East","SouthEast","South","SouthWest","West","NorthWest","North")</f>
        <v>South</v>
      </c>
      <c r="AA1499" s="4">
        <f>CHOOSE(MATCH(Z1499,{"South";"SouthEast";"SouthWest";"North";"NorthEast";"East";"West";"NorthWest"},0),1,2,3,4,5,6,7,8)</f>
        <v>1</v>
      </c>
      <c r="AB1499" s="2">
        <f t="shared" si="236"/>
        <v>0</v>
      </c>
      <c r="AC1499">
        <v>1005.9</v>
      </c>
      <c r="AD1499" t="s">
        <v>1228</v>
      </c>
      <c r="AE1499" s="2">
        <f t="shared" si="237"/>
        <v>1</v>
      </c>
      <c r="AF1499" t="s">
        <v>2192</v>
      </c>
      <c r="AG1499" s="2">
        <f t="shared" si="238"/>
        <v>8</v>
      </c>
      <c r="AH1499" s="2">
        <f t="shared" si="239"/>
        <v>1</v>
      </c>
      <c r="AI1499" s="3">
        <v>19.999999991850931</v>
      </c>
      <c r="AJ1499" s="2">
        <v>0</v>
      </c>
      <c r="AK1499">
        <v>0</v>
      </c>
      <c r="AL1499">
        <v>1</v>
      </c>
      <c r="AM1499">
        <v>0</v>
      </c>
      <c r="AN1499" s="2">
        <f>IF((2*G1499+M1499-O1499+3*V1499+2*AB1499+2*AE1499+2*AH1499+3*AJ1499)&gt;=7,1,0)</f>
        <v>0</v>
      </c>
    </row>
    <row r="1500" spans="1:40" x14ac:dyDescent="0.25">
      <c r="A1500" t="s">
        <v>27</v>
      </c>
      <c r="B1500" s="1">
        <v>41148</v>
      </c>
      <c r="C1500" s="6">
        <f t="shared" si="230"/>
        <v>2012</v>
      </c>
      <c r="D1500">
        <v>89.6</v>
      </c>
      <c r="E1500">
        <v>69.8</v>
      </c>
      <c r="F1500">
        <v>80.400000000000006</v>
      </c>
      <c r="G1500" s="2">
        <f t="shared" si="231"/>
        <v>1</v>
      </c>
      <c r="H1500">
        <v>98.2</v>
      </c>
      <c r="I1500">
        <v>69.8</v>
      </c>
      <c r="J1500">
        <v>84</v>
      </c>
      <c r="K1500">
        <v>66.7</v>
      </c>
      <c r="L1500">
        <v>63.9</v>
      </c>
      <c r="M1500" s="2">
        <f t="shared" si="232"/>
        <v>1</v>
      </c>
      <c r="N1500">
        <v>0</v>
      </c>
      <c r="O1500" s="2">
        <f t="shared" si="233"/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 s="2">
        <f t="shared" si="234"/>
        <v>0</v>
      </c>
      <c r="W1500">
        <v>17.2</v>
      </c>
      <c r="X1500" s="2">
        <f t="shared" si="235"/>
        <v>1</v>
      </c>
      <c r="Y1500">
        <v>162.1</v>
      </c>
      <c r="Z1500" s="2" t="str">
        <f>CHOOSE(MATCH(Y1500,{0;11;80;111;161;191;241;281;341},1),"North","NorthEast","East","SouthEast","South","SouthWest","West","NorthWest","North")</f>
        <v>South</v>
      </c>
      <c r="AA1500" s="4">
        <f>CHOOSE(MATCH(Z1500,{"South";"SouthEast";"SouthWest";"North";"NorthEast";"East";"West";"NorthWest"},0),1,2,3,4,5,6,7,8)</f>
        <v>1</v>
      </c>
      <c r="AB1500" s="2">
        <f t="shared" si="236"/>
        <v>0</v>
      </c>
      <c r="AC1500">
        <v>1005.9</v>
      </c>
      <c r="AD1500" t="s">
        <v>2193</v>
      </c>
      <c r="AE1500" s="2">
        <f t="shared" si="237"/>
        <v>1</v>
      </c>
      <c r="AF1500" t="s">
        <v>2194</v>
      </c>
      <c r="AG1500" s="2">
        <f t="shared" si="238"/>
        <v>8</v>
      </c>
      <c r="AH1500" s="2">
        <f t="shared" si="239"/>
        <v>1</v>
      </c>
      <c r="AI1500" s="3">
        <v>1440</v>
      </c>
      <c r="AJ1500" s="2">
        <v>1</v>
      </c>
      <c r="AK1500">
        <v>0</v>
      </c>
      <c r="AL1500">
        <v>1</v>
      </c>
      <c r="AM1500">
        <v>0</v>
      </c>
      <c r="AN1500" s="2">
        <f>IF((2*G1500+M1500-O1500+3*V1500+2*AB1500+2*AE1500+2*AH1500+3*AJ1500)&gt;=7,1,0)</f>
        <v>1</v>
      </c>
    </row>
    <row r="1501" spans="1:40" x14ac:dyDescent="0.25">
      <c r="A1501" t="s">
        <v>27</v>
      </c>
      <c r="B1501" s="1">
        <v>41148</v>
      </c>
      <c r="C1501" s="6">
        <f t="shared" si="230"/>
        <v>2012</v>
      </c>
      <c r="D1501">
        <v>89.6</v>
      </c>
      <c r="E1501">
        <v>69.8</v>
      </c>
      <c r="F1501">
        <v>80.400000000000006</v>
      </c>
      <c r="G1501" s="2">
        <f t="shared" si="231"/>
        <v>1</v>
      </c>
      <c r="H1501">
        <v>98.2</v>
      </c>
      <c r="I1501">
        <v>69.8</v>
      </c>
      <c r="J1501">
        <v>84</v>
      </c>
      <c r="K1501">
        <v>66.7</v>
      </c>
      <c r="L1501">
        <v>63.9</v>
      </c>
      <c r="M1501" s="2">
        <f t="shared" si="232"/>
        <v>1</v>
      </c>
      <c r="N1501">
        <v>0</v>
      </c>
      <c r="O1501" s="2">
        <f t="shared" si="233"/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 s="2">
        <f t="shared" si="234"/>
        <v>0</v>
      </c>
      <c r="W1501">
        <v>17.2</v>
      </c>
      <c r="X1501" s="2">
        <f t="shared" si="235"/>
        <v>1</v>
      </c>
      <c r="Y1501">
        <v>162.1</v>
      </c>
      <c r="Z1501" s="2" t="str">
        <f>CHOOSE(MATCH(Y1501,{0;11;80;111;161;191;241;281;341},1),"North","NorthEast","East","SouthEast","South","SouthWest","West","NorthWest","North")</f>
        <v>South</v>
      </c>
      <c r="AA1501" s="4">
        <f>CHOOSE(MATCH(Z1501,{"South";"SouthEast";"SouthWest";"North";"NorthEast";"East";"West";"NorthWest"},0),1,2,3,4,5,6,7,8)</f>
        <v>1</v>
      </c>
      <c r="AB1501" s="2">
        <f t="shared" si="236"/>
        <v>0</v>
      </c>
      <c r="AC1501">
        <v>1005.9</v>
      </c>
      <c r="AD1501" t="s">
        <v>1897</v>
      </c>
      <c r="AE1501" s="2">
        <f t="shared" si="237"/>
        <v>1</v>
      </c>
      <c r="AF1501" t="s">
        <v>2195</v>
      </c>
      <c r="AG1501" s="2">
        <f t="shared" si="238"/>
        <v>8</v>
      </c>
      <c r="AH1501" s="2">
        <f t="shared" si="239"/>
        <v>1</v>
      </c>
      <c r="AI1501" s="3">
        <v>380.00000000232831</v>
      </c>
      <c r="AJ1501" s="2">
        <v>1</v>
      </c>
      <c r="AK1501">
        <v>0.1</v>
      </c>
      <c r="AL1501">
        <v>0</v>
      </c>
      <c r="AM1501">
        <v>0</v>
      </c>
      <c r="AN1501" s="2">
        <f>IF((2*G1501+M1501-O1501+3*V1501+2*AB1501+2*AE1501+2*AH1501+3*AJ1501)&gt;=7,1,0)</f>
        <v>1</v>
      </c>
    </row>
    <row r="1502" spans="1:40" x14ac:dyDescent="0.25">
      <c r="A1502" t="s">
        <v>27</v>
      </c>
      <c r="B1502" s="1">
        <v>41149</v>
      </c>
      <c r="C1502" s="6">
        <f t="shared" si="230"/>
        <v>2012</v>
      </c>
      <c r="D1502">
        <v>82.4</v>
      </c>
      <c r="E1502">
        <v>71.599999999999994</v>
      </c>
      <c r="F1502">
        <v>78.400000000000006</v>
      </c>
      <c r="G1502" s="2">
        <f t="shared" si="231"/>
        <v>1</v>
      </c>
      <c r="H1502">
        <v>86.2</v>
      </c>
      <c r="I1502">
        <v>71.599999999999994</v>
      </c>
      <c r="J1502">
        <v>79.3</v>
      </c>
      <c r="K1502">
        <v>64.5</v>
      </c>
      <c r="L1502">
        <v>63</v>
      </c>
      <c r="M1502" s="2">
        <f t="shared" si="232"/>
        <v>1</v>
      </c>
      <c r="N1502">
        <v>0</v>
      </c>
      <c r="O1502" s="2">
        <f t="shared" si="233"/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 s="2">
        <f t="shared" si="234"/>
        <v>0</v>
      </c>
      <c r="W1502">
        <v>21.9</v>
      </c>
      <c r="X1502" s="2">
        <f t="shared" si="235"/>
        <v>1</v>
      </c>
      <c r="Y1502">
        <v>325.39999999999998</v>
      </c>
      <c r="Z1502" s="2" t="str">
        <f>CHOOSE(MATCH(Y1502,{0;11;80;111;161;191;241;281;341},1),"North","NorthEast","East","SouthEast","South","SouthWest","West","NorthWest","North")</f>
        <v>NorthWest</v>
      </c>
      <c r="AA1502" s="4">
        <f>CHOOSE(MATCH(Z1502,{"South";"SouthEast";"SouthWest";"North";"NorthEast";"East";"West";"NorthWest"},0),1,2,3,4,5,6,7,8)</f>
        <v>8</v>
      </c>
      <c r="AB1502" s="2">
        <f t="shared" si="236"/>
        <v>1</v>
      </c>
      <c r="AC1502">
        <v>1010.6</v>
      </c>
      <c r="AD1502" t="s">
        <v>2196</v>
      </c>
      <c r="AE1502" s="2">
        <f t="shared" si="237"/>
        <v>1</v>
      </c>
      <c r="AF1502" t="s">
        <v>2197</v>
      </c>
      <c r="AG1502" s="2">
        <f t="shared" si="238"/>
        <v>8</v>
      </c>
      <c r="AH1502" s="2">
        <f t="shared" si="239"/>
        <v>1</v>
      </c>
      <c r="AI1502" s="3">
        <v>2485.0000000011642</v>
      </c>
      <c r="AJ1502" s="2">
        <v>1</v>
      </c>
      <c r="AK1502">
        <v>0</v>
      </c>
      <c r="AL1502">
        <v>950</v>
      </c>
      <c r="AM1502">
        <v>0</v>
      </c>
      <c r="AN1502" s="2">
        <f>IF((2*G1502+M1502-O1502+3*V1502+2*AB1502+2*AE1502+2*AH1502+3*AJ1502)&gt;=7,1,0)</f>
        <v>1</v>
      </c>
    </row>
    <row r="1503" spans="1:40" x14ac:dyDescent="0.25">
      <c r="A1503" t="s">
        <v>27</v>
      </c>
      <c r="B1503" s="1">
        <v>41149</v>
      </c>
      <c r="C1503" s="6">
        <f t="shared" si="230"/>
        <v>2012</v>
      </c>
      <c r="D1503">
        <v>82.4</v>
      </c>
      <c r="E1503">
        <v>71.599999999999994</v>
      </c>
      <c r="F1503">
        <v>78.400000000000006</v>
      </c>
      <c r="G1503" s="2">
        <f t="shared" si="231"/>
        <v>1</v>
      </c>
      <c r="H1503">
        <v>86.2</v>
      </c>
      <c r="I1503">
        <v>71.599999999999994</v>
      </c>
      <c r="J1503">
        <v>79.3</v>
      </c>
      <c r="K1503">
        <v>64.5</v>
      </c>
      <c r="L1503">
        <v>63</v>
      </c>
      <c r="M1503" s="2">
        <f t="shared" si="232"/>
        <v>1</v>
      </c>
      <c r="N1503">
        <v>0</v>
      </c>
      <c r="O1503" s="2">
        <f t="shared" si="233"/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 s="2">
        <f t="shared" si="234"/>
        <v>0</v>
      </c>
      <c r="W1503">
        <v>21.9</v>
      </c>
      <c r="X1503" s="2">
        <f t="shared" si="235"/>
        <v>1</v>
      </c>
      <c r="Y1503">
        <v>325.39999999999998</v>
      </c>
      <c r="Z1503" s="2" t="str">
        <f>CHOOSE(MATCH(Y1503,{0;11;80;111;161;191;241;281;341},1),"North","NorthEast","East","SouthEast","South","SouthWest","West","NorthWest","North")</f>
        <v>NorthWest</v>
      </c>
      <c r="AA1503" s="4">
        <f>CHOOSE(MATCH(Z1503,{"South";"SouthEast";"SouthWest";"North";"NorthEast";"East";"West";"NorthWest"},0),1,2,3,4,5,6,7,8)</f>
        <v>8</v>
      </c>
      <c r="AB1503" s="2">
        <f t="shared" si="236"/>
        <v>1</v>
      </c>
      <c r="AC1503">
        <v>1010.6</v>
      </c>
      <c r="AD1503" t="s">
        <v>2198</v>
      </c>
      <c r="AE1503" s="2">
        <f t="shared" si="237"/>
        <v>1</v>
      </c>
      <c r="AF1503" t="s">
        <v>2199</v>
      </c>
      <c r="AG1503" s="2">
        <f t="shared" si="238"/>
        <v>8</v>
      </c>
      <c r="AH1503" s="2">
        <f t="shared" si="239"/>
        <v>1</v>
      </c>
      <c r="AI1503" s="3">
        <v>946.00000000325963</v>
      </c>
      <c r="AJ1503" s="2">
        <v>1</v>
      </c>
      <c r="AK1503">
        <v>0</v>
      </c>
      <c r="AL1503">
        <v>1</v>
      </c>
      <c r="AM1503">
        <v>0</v>
      </c>
      <c r="AN1503" s="2">
        <f>IF((2*G1503+M1503-O1503+3*V1503+2*AB1503+2*AE1503+2*AH1503+3*AJ1503)&gt;=7,1,0)</f>
        <v>1</v>
      </c>
    </row>
    <row r="1504" spans="1:40" x14ac:dyDescent="0.25">
      <c r="A1504" t="s">
        <v>27</v>
      </c>
      <c r="B1504" s="1">
        <v>41150</v>
      </c>
      <c r="C1504" s="6">
        <f t="shared" si="230"/>
        <v>2012</v>
      </c>
      <c r="D1504">
        <v>80.599999999999994</v>
      </c>
      <c r="E1504">
        <v>75.2</v>
      </c>
      <c r="F1504">
        <v>77.8</v>
      </c>
      <c r="G1504" s="2">
        <f t="shared" si="231"/>
        <v>1</v>
      </c>
      <c r="H1504">
        <v>81.5</v>
      </c>
      <c r="I1504">
        <v>75.2</v>
      </c>
      <c r="J1504">
        <v>78</v>
      </c>
      <c r="K1504">
        <v>59.9</v>
      </c>
      <c r="L1504">
        <v>54.6</v>
      </c>
      <c r="M1504" s="2">
        <f t="shared" si="232"/>
        <v>1</v>
      </c>
      <c r="N1504">
        <v>0</v>
      </c>
      <c r="O1504" s="2">
        <f t="shared" si="233"/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 s="2">
        <f t="shared" si="234"/>
        <v>0</v>
      </c>
      <c r="W1504">
        <v>21.9</v>
      </c>
      <c r="X1504" s="2">
        <f t="shared" si="235"/>
        <v>1</v>
      </c>
      <c r="Y1504">
        <v>332.2</v>
      </c>
      <c r="Z1504" s="2" t="str">
        <f>CHOOSE(MATCH(Y1504,{0;11;80;111;161;191;241;281;341},1),"North","NorthEast","East","SouthEast","South","SouthWest","West","NorthWest","North")</f>
        <v>NorthWest</v>
      </c>
      <c r="AA1504" s="4">
        <f>CHOOSE(MATCH(Z1504,{"South";"SouthEast";"SouthWest";"North";"NorthEast";"East";"West";"NorthWest"},0),1,2,3,4,5,6,7,8)</f>
        <v>8</v>
      </c>
      <c r="AB1504" s="2">
        <f t="shared" si="236"/>
        <v>1</v>
      </c>
      <c r="AC1504">
        <v>1013.6</v>
      </c>
      <c r="AD1504" t="s">
        <v>1218</v>
      </c>
      <c r="AE1504" s="2">
        <f t="shared" si="237"/>
        <v>0</v>
      </c>
      <c r="AF1504" t="s">
        <v>2200</v>
      </c>
      <c r="AG1504" s="2">
        <f t="shared" si="238"/>
        <v>8</v>
      </c>
      <c r="AH1504" s="2">
        <f t="shared" si="239"/>
        <v>1</v>
      </c>
      <c r="AI1504" s="3">
        <v>1769.999999996508</v>
      </c>
      <c r="AJ1504" s="2">
        <v>1</v>
      </c>
      <c r="AK1504">
        <v>0</v>
      </c>
      <c r="AL1504">
        <v>10</v>
      </c>
      <c r="AM1504">
        <v>0</v>
      </c>
      <c r="AN1504" s="2">
        <f>IF((2*G1504+M1504-O1504+3*V1504+2*AB1504+2*AE1504+2*AH1504+3*AJ1504)&gt;=7,1,0)</f>
        <v>1</v>
      </c>
    </row>
    <row r="1505" spans="1:40" x14ac:dyDescent="0.25">
      <c r="A1505" t="s">
        <v>27</v>
      </c>
      <c r="B1505" s="1">
        <v>41151</v>
      </c>
      <c r="C1505" s="6">
        <f t="shared" si="230"/>
        <v>2012</v>
      </c>
      <c r="D1505">
        <v>84.2</v>
      </c>
      <c r="E1505">
        <v>69.5</v>
      </c>
      <c r="F1505">
        <v>78.599999999999994</v>
      </c>
      <c r="G1505" s="2">
        <f t="shared" si="231"/>
        <v>1</v>
      </c>
      <c r="H1505">
        <v>85</v>
      </c>
      <c r="I1505">
        <v>69.5</v>
      </c>
      <c r="J1505">
        <v>78.900000000000006</v>
      </c>
      <c r="K1505">
        <v>63.1</v>
      </c>
      <c r="L1505">
        <v>59.8</v>
      </c>
      <c r="M1505" s="2">
        <f t="shared" si="232"/>
        <v>1</v>
      </c>
      <c r="N1505">
        <v>0</v>
      </c>
      <c r="O1505" s="2">
        <f t="shared" si="233"/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 s="2">
        <f t="shared" si="234"/>
        <v>0</v>
      </c>
      <c r="W1505">
        <v>23</v>
      </c>
      <c r="X1505" s="2">
        <f t="shared" si="235"/>
        <v>1</v>
      </c>
      <c r="Y1505">
        <v>311.3</v>
      </c>
      <c r="Z1505" s="2" t="str">
        <f>CHOOSE(MATCH(Y1505,{0;11;80;111;161;191;241;281;341},1),"North","NorthEast","East","SouthEast","South","SouthWest","West","NorthWest","North")</f>
        <v>NorthWest</v>
      </c>
      <c r="AA1505" s="4">
        <f>CHOOSE(MATCH(Z1505,{"South";"SouthEast";"SouthWest";"North";"NorthEast";"East";"West";"NorthWest"},0),1,2,3,4,5,6,7,8)</f>
        <v>8</v>
      </c>
      <c r="AB1505" s="2">
        <f t="shared" si="236"/>
        <v>1</v>
      </c>
      <c r="AC1505">
        <v>1012.6</v>
      </c>
      <c r="AD1505" t="s">
        <v>2004</v>
      </c>
      <c r="AE1505" s="2">
        <f t="shared" si="237"/>
        <v>1</v>
      </c>
      <c r="AF1505" t="s">
        <v>2201</v>
      </c>
      <c r="AG1505" s="2">
        <f t="shared" si="238"/>
        <v>8</v>
      </c>
      <c r="AH1505" s="2">
        <f t="shared" si="239"/>
        <v>1</v>
      </c>
      <c r="AI1505" s="3">
        <v>2668.0000000004661</v>
      </c>
      <c r="AJ1505" s="2">
        <v>1</v>
      </c>
      <c r="AK1505">
        <v>0</v>
      </c>
      <c r="AL1505">
        <v>20</v>
      </c>
      <c r="AM1505">
        <v>0</v>
      </c>
      <c r="AN1505" s="2">
        <f>IF((2*G1505+M1505-O1505+3*V1505+2*AB1505+2*AE1505+2*AH1505+3*AJ1505)&gt;=7,1,0)</f>
        <v>1</v>
      </c>
    </row>
    <row r="1506" spans="1:40" x14ac:dyDescent="0.25">
      <c r="A1506" t="s">
        <v>27</v>
      </c>
      <c r="B1506" s="1">
        <v>41151</v>
      </c>
      <c r="C1506" s="6">
        <f t="shared" si="230"/>
        <v>2012</v>
      </c>
      <c r="D1506">
        <v>84.2</v>
      </c>
      <c r="E1506">
        <v>69.5</v>
      </c>
      <c r="F1506">
        <v>78.599999999999994</v>
      </c>
      <c r="G1506" s="2">
        <f t="shared" si="231"/>
        <v>1</v>
      </c>
      <c r="H1506">
        <v>85</v>
      </c>
      <c r="I1506">
        <v>69.5</v>
      </c>
      <c r="J1506">
        <v>78.900000000000006</v>
      </c>
      <c r="K1506">
        <v>63.1</v>
      </c>
      <c r="L1506">
        <v>59.8</v>
      </c>
      <c r="M1506" s="2">
        <f t="shared" si="232"/>
        <v>1</v>
      </c>
      <c r="N1506">
        <v>0</v>
      </c>
      <c r="O1506" s="2">
        <f t="shared" si="233"/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 s="2">
        <f t="shared" si="234"/>
        <v>0</v>
      </c>
      <c r="W1506">
        <v>23</v>
      </c>
      <c r="X1506" s="2">
        <f t="shared" si="235"/>
        <v>1</v>
      </c>
      <c r="Y1506">
        <v>311.3</v>
      </c>
      <c r="Z1506" s="2" t="str">
        <f>CHOOSE(MATCH(Y1506,{0;11;80;111;161;191;241;281;341},1),"North","NorthEast","East","SouthEast","South","SouthWest","West","NorthWest","North")</f>
        <v>NorthWest</v>
      </c>
      <c r="AA1506" s="4">
        <f>CHOOSE(MATCH(Z1506,{"South";"SouthEast";"SouthWest";"North";"NorthEast";"East";"West";"NorthWest"},0),1,2,3,4,5,6,7,8)</f>
        <v>8</v>
      </c>
      <c r="AB1506" s="2">
        <f t="shared" si="236"/>
        <v>1</v>
      </c>
      <c r="AC1506">
        <v>1012.6</v>
      </c>
      <c r="AD1506" t="s">
        <v>2202</v>
      </c>
      <c r="AE1506" s="2">
        <f t="shared" si="237"/>
        <v>0</v>
      </c>
      <c r="AF1506" t="s">
        <v>2203</v>
      </c>
      <c r="AG1506" s="2">
        <f t="shared" si="238"/>
        <v>8</v>
      </c>
      <c r="AH1506" s="2">
        <f t="shared" si="239"/>
        <v>1</v>
      </c>
      <c r="AI1506" s="3">
        <v>3469.9999999953429</v>
      </c>
      <c r="AJ1506" s="2">
        <v>1</v>
      </c>
      <c r="AK1506">
        <v>0</v>
      </c>
      <c r="AL1506">
        <v>500</v>
      </c>
      <c r="AM1506">
        <v>0</v>
      </c>
      <c r="AN1506" s="2">
        <f>IF((2*G1506+M1506-O1506+3*V1506+2*AB1506+2*AE1506+2*AH1506+3*AJ1506)&gt;=7,1,0)</f>
        <v>1</v>
      </c>
    </row>
    <row r="1507" spans="1:40" x14ac:dyDescent="0.25">
      <c r="A1507" t="s">
        <v>27</v>
      </c>
      <c r="B1507" s="1">
        <v>41152</v>
      </c>
      <c r="C1507" s="6">
        <f t="shared" si="230"/>
        <v>2012</v>
      </c>
      <c r="D1507">
        <v>82.4</v>
      </c>
      <c r="E1507">
        <v>68.8</v>
      </c>
      <c r="F1507">
        <v>78</v>
      </c>
      <c r="G1507" s="2">
        <f t="shared" si="231"/>
        <v>1</v>
      </c>
      <c r="H1507">
        <v>84</v>
      </c>
      <c r="I1507">
        <v>68.8</v>
      </c>
      <c r="J1507">
        <v>78.599999999999994</v>
      </c>
      <c r="K1507">
        <v>63.2</v>
      </c>
      <c r="L1507">
        <v>60.7</v>
      </c>
      <c r="M1507" s="2">
        <f t="shared" si="232"/>
        <v>1</v>
      </c>
      <c r="N1507">
        <v>0</v>
      </c>
      <c r="O1507" s="2">
        <f t="shared" si="233"/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 s="2">
        <f t="shared" si="234"/>
        <v>0</v>
      </c>
      <c r="W1507">
        <v>20.8</v>
      </c>
      <c r="X1507" s="2">
        <f t="shared" si="235"/>
        <v>1</v>
      </c>
      <c r="Y1507">
        <v>310.39999999999998</v>
      </c>
      <c r="Z1507" s="2" t="str">
        <f>CHOOSE(MATCH(Y1507,{0;11;80;111;161;191;241;281;341},1),"North","NorthEast","East","SouthEast","South","SouthWest","West","NorthWest","North")</f>
        <v>NorthWest</v>
      </c>
      <c r="AA1507" s="4">
        <f>CHOOSE(MATCH(Z1507,{"South";"SouthEast";"SouthWest";"North";"NorthEast";"East";"West";"NorthWest"},0),1,2,3,4,5,6,7,8)</f>
        <v>8</v>
      </c>
      <c r="AB1507" s="2">
        <f t="shared" si="236"/>
        <v>1</v>
      </c>
      <c r="AC1507">
        <v>1011.6</v>
      </c>
      <c r="AD1507" t="s">
        <v>1868</v>
      </c>
      <c r="AE1507" s="2">
        <f t="shared" si="237"/>
        <v>1</v>
      </c>
      <c r="AF1507" t="s">
        <v>2204</v>
      </c>
      <c r="AG1507" s="2">
        <f t="shared" si="238"/>
        <v>8</v>
      </c>
      <c r="AH1507" s="2">
        <f t="shared" si="239"/>
        <v>1</v>
      </c>
      <c r="AI1507" s="3">
        <v>3974.999999996508</v>
      </c>
      <c r="AJ1507" s="2">
        <v>1</v>
      </c>
      <c r="AK1507">
        <v>0</v>
      </c>
      <c r="AL1507">
        <v>1.3</v>
      </c>
      <c r="AM1507">
        <v>0</v>
      </c>
      <c r="AN1507" s="2">
        <f>IF((2*G1507+M1507-O1507+3*V1507+2*AB1507+2*AE1507+2*AH1507+3*AJ1507)&gt;=7,1,0)</f>
        <v>1</v>
      </c>
    </row>
    <row r="1508" spans="1:40" x14ac:dyDescent="0.25">
      <c r="A1508" t="s">
        <v>27</v>
      </c>
      <c r="B1508" s="1">
        <v>41153</v>
      </c>
      <c r="C1508" s="6">
        <f t="shared" si="230"/>
        <v>2012</v>
      </c>
      <c r="D1508">
        <v>80.7</v>
      </c>
      <c r="E1508">
        <v>75.2</v>
      </c>
      <c r="F1508">
        <v>77.8</v>
      </c>
      <c r="G1508" s="2">
        <f t="shared" si="231"/>
        <v>1</v>
      </c>
      <c r="H1508">
        <v>83.4</v>
      </c>
      <c r="I1508">
        <v>75.2</v>
      </c>
      <c r="J1508">
        <v>78.599999999999994</v>
      </c>
      <c r="K1508">
        <v>65.7</v>
      </c>
      <c r="L1508">
        <v>66.400000000000006</v>
      </c>
      <c r="M1508" s="2">
        <f t="shared" si="232"/>
        <v>0</v>
      </c>
      <c r="N1508">
        <v>0</v>
      </c>
      <c r="O1508" s="2">
        <f t="shared" si="233"/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 s="2">
        <f t="shared" si="234"/>
        <v>0</v>
      </c>
      <c r="W1508">
        <v>18.3</v>
      </c>
      <c r="X1508" s="2">
        <f t="shared" si="235"/>
        <v>1</v>
      </c>
      <c r="Y1508">
        <v>317.7</v>
      </c>
      <c r="Z1508" s="2" t="str">
        <f>CHOOSE(MATCH(Y1508,{0;11;80;111;161;191;241;281;341},1),"North","NorthEast","East","SouthEast","South","SouthWest","West","NorthWest","North")</f>
        <v>NorthWest</v>
      </c>
      <c r="AA1508" s="4">
        <f>CHOOSE(MATCH(Z1508,{"South";"SouthEast";"SouthWest";"North";"NorthEast";"East";"West";"NorthWest"},0),1,2,3,4,5,6,7,8)</f>
        <v>8</v>
      </c>
      <c r="AB1508" s="2">
        <f t="shared" si="236"/>
        <v>1</v>
      </c>
      <c r="AC1508">
        <v>1012.4</v>
      </c>
      <c r="AD1508" t="s">
        <v>2000</v>
      </c>
      <c r="AE1508" s="2">
        <f t="shared" si="237"/>
        <v>1</v>
      </c>
      <c r="AF1508" t="s">
        <v>2205</v>
      </c>
      <c r="AG1508" s="2">
        <f t="shared" si="238"/>
        <v>9</v>
      </c>
      <c r="AH1508" s="2">
        <f t="shared" si="239"/>
        <v>0</v>
      </c>
      <c r="AI1508" s="3">
        <v>110.9999999951106</v>
      </c>
      <c r="AJ1508" s="2">
        <v>0</v>
      </c>
      <c r="AK1508">
        <v>0</v>
      </c>
      <c r="AL1508">
        <v>0.1</v>
      </c>
      <c r="AM1508">
        <v>0</v>
      </c>
      <c r="AN1508" s="2">
        <f>IF((2*G1508+M1508-O1508+3*V1508+2*AB1508+2*AE1508+2*AH1508+3*AJ1508)&gt;=7,1,0)</f>
        <v>0</v>
      </c>
    </row>
    <row r="1509" spans="1:40" x14ac:dyDescent="0.25">
      <c r="A1509" t="s">
        <v>27</v>
      </c>
      <c r="B1509" s="1">
        <v>41154</v>
      </c>
      <c r="C1509" s="6">
        <f t="shared" si="230"/>
        <v>2012</v>
      </c>
      <c r="D1509">
        <v>82.4</v>
      </c>
      <c r="E1509">
        <v>68</v>
      </c>
      <c r="F1509">
        <v>76.099999999999994</v>
      </c>
      <c r="G1509" s="2">
        <f t="shared" si="231"/>
        <v>1</v>
      </c>
      <c r="H1509">
        <v>86.2</v>
      </c>
      <c r="I1509">
        <v>68</v>
      </c>
      <c r="J1509">
        <v>77.099999999999994</v>
      </c>
      <c r="K1509">
        <v>66.099999999999994</v>
      </c>
      <c r="L1509">
        <v>71.7</v>
      </c>
      <c r="M1509" s="2">
        <f t="shared" si="232"/>
        <v>0</v>
      </c>
      <c r="N1509">
        <v>0</v>
      </c>
      <c r="O1509" s="2">
        <f t="shared" si="233"/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 s="2">
        <f t="shared" si="234"/>
        <v>0</v>
      </c>
      <c r="W1509">
        <v>16.100000000000001</v>
      </c>
      <c r="X1509" s="2">
        <f t="shared" si="235"/>
        <v>1</v>
      </c>
      <c r="Y1509">
        <v>316</v>
      </c>
      <c r="Z1509" s="2" t="str">
        <f>CHOOSE(MATCH(Y1509,{0;11;80;111;161;191;241;281;341},1),"North","NorthEast","East","SouthEast","South","SouthWest","West","NorthWest","North")</f>
        <v>NorthWest</v>
      </c>
      <c r="AA1509" s="4">
        <f>CHOOSE(MATCH(Z1509,{"South";"SouthEast";"SouthWest";"North";"NorthEast";"East";"West";"NorthWest"},0),1,2,3,4,5,6,7,8)</f>
        <v>8</v>
      </c>
      <c r="AB1509" s="2">
        <f t="shared" si="236"/>
        <v>1</v>
      </c>
      <c r="AC1509">
        <v>1015</v>
      </c>
      <c r="AD1509" t="s">
        <v>2206</v>
      </c>
      <c r="AE1509" s="2">
        <f t="shared" si="237"/>
        <v>1</v>
      </c>
      <c r="AF1509" t="s">
        <v>2207</v>
      </c>
      <c r="AG1509" s="2">
        <f t="shared" si="238"/>
        <v>9</v>
      </c>
      <c r="AH1509" s="2">
        <f t="shared" si="239"/>
        <v>0</v>
      </c>
      <c r="AI1509" s="3">
        <v>1159.9999999988361</v>
      </c>
      <c r="AJ1509" s="2">
        <v>1</v>
      </c>
      <c r="AK1509">
        <v>0</v>
      </c>
      <c r="AL1509">
        <v>9</v>
      </c>
      <c r="AM1509">
        <v>0</v>
      </c>
      <c r="AN1509" s="2">
        <f>IF((2*G1509+M1509-O1509+3*V1509+2*AB1509+2*AE1509+2*AH1509+3*AJ1509)&gt;=7,1,0)</f>
        <v>1</v>
      </c>
    </row>
    <row r="1510" spans="1:40" x14ac:dyDescent="0.25">
      <c r="A1510" t="s">
        <v>27</v>
      </c>
      <c r="B1510" s="1">
        <v>41155</v>
      </c>
      <c r="C1510" s="6">
        <f t="shared" si="230"/>
        <v>2012</v>
      </c>
      <c r="D1510">
        <v>80.599999999999994</v>
      </c>
      <c r="E1510">
        <v>68</v>
      </c>
      <c r="F1510">
        <v>75.5</v>
      </c>
      <c r="G1510" s="2">
        <f t="shared" si="231"/>
        <v>1</v>
      </c>
      <c r="H1510">
        <v>83.9</v>
      </c>
      <c r="I1510">
        <v>68</v>
      </c>
      <c r="J1510">
        <v>76.5</v>
      </c>
      <c r="K1510">
        <v>65.8</v>
      </c>
      <c r="L1510">
        <v>72.2</v>
      </c>
      <c r="M1510" s="2">
        <f t="shared" si="232"/>
        <v>0</v>
      </c>
      <c r="N1510">
        <v>0</v>
      </c>
      <c r="O1510" s="2">
        <f t="shared" si="233"/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 s="2">
        <f t="shared" si="234"/>
        <v>0</v>
      </c>
      <c r="W1510">
        <v>19.5</v>
      </c>
      <c r="X1510" s="2">
        <f t="shared" si="235"/>
        <v>1</v>
      </c>
      <c r="Y1510">
        <v>307.89999999999998</v>
      </c>
      <c r="Z1510" s="2" t="str">
        <f>CHOOSE(MATCH(Y1510,{0;11;80;111;161;191;241;281;341},1),"North","NorthEast","East","SouthEast","South","SouthWest","West","NorthWest","North")</f>
        <v>NorthWest</v>
      </c>
      <c r="AA1510" s="4">
        <f>CHOOSE(MATCH(Z1510,{"South";"SouthEast";"SouthWest";"North";"NorthEast";"East";"West";"NorthWest"},0),1,2,3,4,5,6,7,8)</f>
        <v>8</v>
      </c>
      <c r="AB1510" s="2">
        <f t="shared" si="236"/>
        <v>1</v>
      </c>
      <c r="AC1510">
        <v>1013.4</v>
      </c>
      <c r="AD1510" t="s">
        <v>2208</v>
      </c>
      <c r="AE1510" s="2">
        <f t="shared" si="237"/>
        <v>1</v>
      </c>
      <c r="AF1510" t="s">
        <v>2209</v>
      </c>
      <c r="AG1510" s="2">
        <f t="shared" si="238"/>
        <v>9</v>
      </c>
      <c r="AH1510" s="2">
        <f t="shared" si="239"/>
        <v>0</v>
      </c>
      <c r="AI1510" s="3">
        <v>5391.9999999948777</v>
      </c>
      <c r="AJ1510" s="2">
        <v>1</v>
      </c>
      <c r="AK1510">
        <v>0</v>
      </c>
      <c r="AL1510">
        <v>80</v>
      </c>
      <c r="AM1510">
        <v>0</v>
      </c>
      <c r="AN1510" s="2">
        <f>IF((2*G1510+M1510-O1510+3*V1510+2*AB1510+2*AE1510+2*AH1510+3*AJ1510)&gt;=7,1,0)</f>
        <v>1</v>
      </c>
    </row>
    <row r="1511" spans="1:40" x14ac:dyDescent="0.25">
      <c r="A1511" t="s">
        <v>27</v>
      </c>
      <c r="B1511" s="1">
        <v>41155</v>
      </c>
      <c r="C1511" s="6">
        <f t="shared" si="230"/>
        <v>2012</v>
      </c>
      <c r="D1511">
        <v>80.599999999999994</v>
      </c>
      <c r="E1511">
        <v>68</v>
      </c>
      <c r="F1511">
        <v>75.5</v>
      </c>
      <c r="G1511" s="2">
        <f t="shared" si="231"/>
        <v>1</v>
      </c>
      <c r="H1511">
        <v>83.9</v>
      </c>
      <c r="I1511">
        <v>68</v>
      </c>
      <c r="J1511">
        <v>76.5</v>
      </c>
      <c r="K1511">
        <v>65.8</v>
      </c>
      <c r="L1511">
        <v>72.2</v>
      </c>
      <c r="M1511" s="2">
        <f t="shared" si="232"/>
        <v>0</v>
      </c>
      <c r="N1511">
        <v>0</v>
      </c>
      <c r="O1511" s="2">
        <f t="shared" si="233"/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 s="2">
        <f t="shared" si="234"/>
        <v>0</v>
      </c>
      <c r="W1511">
        <v>19.5</v>
      </c>
      <c r="X1511" s="2">
        <f t="shared" si="235"/>
        <v>1</v>
      </c>
      <c r="Y1511">
        <v>307.89999999999998</v>
      </c>
      <c r="Z1511" s="2" t="str">
        <f>CHOOSE(MATCH(Y1511,{0;11;80;111;161;191;241;281;341},1),"North","NorthEast","East","SouthEast","South","SouthWest","West","NorthWest","North")</f>
        <v>NorthWest</v>
      </c>
      <c r="AA1511" s="4">
        <f>CHOOSE(MATCH(Z1511,{"South";"SouthEast";"SouthWest";"North";"NorthEast";"East";"West";"NorthWest"},0),1,2,3,4,5,6,7,8)</f>
        <v>8</v>
      </c>
      <c r="AB1511" s="2">
        <f t="shared" si="236"/>
        <v>1</v>
      </c>
      <c r="AC1511">
        <v>1013.4</v>
      </c>
      <c r="AD1511" t="s">
        <v>2210</v>
      </c>
      <c r="AE1511" s="2">
        <f t="shared" si="237"/>
        <v>1</v>
      </c>
      <c r="AF1511" t="s">
        <v>2211</v>
      </c>
      <c r="AG1511" s="2">
        <f t="shared" si="238"/>
        <v>9</v>
      </c>
      <c r="AH1511" s="2">
        <f t="shared" si="239"/>
        <v>0</v>
      </c>
      <c r="AI1511" s="3">
        <v>280.00000000116421</v>
      </c>
      <c r="AJ1511" s="2">
        <v>0</v>
      </c>
      <c r="AK1511">
        <v>0</v>
      </c>
      <c r="AL1511">
        <v>15</v>
      </c>
      <c r="AM1511">
        <v>0</v>
      </c>
      <c r="AN1511" s="2">
        <f>IF((2*G1511+M1511-O1511+3*V1511+2*AB1511+2*AE1511+2*AH1511+3*AJ1511)&gt;=7,1,0)</f>
        <v>0</v>
      </c>
    </row>
    <row r="1512" spans="1:40" x14ac:dyDescent="0.25">
      <c r="A1512" t="s">
        <v>27</v>
      </c>
      <c r="B1512" s="1">
        <v>41157</v>
      </c>
      <c r="C1512" s="6">
        <f t="shared" si="230"/>
        <v>2012</v>
      </c>
      <c r="D1512">
        <v>82.4</v>
      </c>
      <c r="E1512">
        <v>68</v>
      </c>
      <c r="F1512">
        <v>75.3</v>
      </c>
      <c r="G1512" s="2">
        <f t="shared" si="231"/>
        <v>1</v>
      </c>
      <c r="H1512">
        <v>87.2</v>
      </c>
      <c r="I1512">
        <v>68</v>
      </c>
      <c r="J1512">
        <v>76.7</v>
      </c>
      <c r="K1512">
        <v>66.7</v>
      </c>
      <c r="L1512">
        <v>75.099999999999994</v>
      </c>
      <c r="M1512" s="2">
        <f t="shared" si="232"/>
        <v>0</v>
      </c>
      <c r="N1512">
        <v>0</v>
      </c>
      <c r="O1512" s="2">
        <f t="shared" si="233"/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 s="2">
        <f t="shared" si="234"/>
        <v>0</v>
      </c>
      <c r="W1512">
        <v>11.4</v>
      </c>
      <c r="X1512" s="2">
        <f t="shared" si="235"/>
        <v>0</v>
      </c>
      <c r="Y1512">
        <v>326</v>
      </c>
      <c r="Z1512" s="2" t="str">
        <f>CHOOSE(MATCH(Y1512,{0;11;80;111;161;191;241;281;341},1),"North","NorthEast","East","SouthEast","South","SouthWest","West","NorthWest","North")</f>
        <v>NorthWest</v>
      </c>
      <c r="AA1512" s="4">
        <f>CHOOSE(MATCH(Z1512,{"South";"SouthEast";"SouthWest";"North";"NorthEast";"East";"West";"NorthWest"},0),1,2,3,4,5,6,7,8)</f>
        <v>8</v>
      </c>
      <c r="AB1512" s="2">
        <f t="shared" si="236"/>
        <v>1</v>
      </c>
      <c r="AC1512">
        <v>1011.8</v>
      </c>
      <c r="AD1512" t="s">
        <v>2141</v>
      </c>
      <c r="AE1512" s="2">
        <f t="shared" si="237"/>
        <v>1</v>
      </c>
      <c r="AF1512" t="s">
        <v>2212</v>
      </c>
      <c r="AG1512" s="2">
        <f t="shared" si="238"/>
        <v>9</v>
      </c>
      <c r="AH1512" s="2">
        <f t="shared" si="239"/>
        <v>0</v>
      </c>
      <c r="AI1512" s="3">
        <v>349.99999999883579</v>
      </c>
      <c r="AJ1512" s="2">
        <v>0</v>
      </c>
      <c r="AK1512">
        <v>0</v>
      </c>
      <c r="AL1512">
        <v>0.3</v>
      </c>
      <c r="AM1512">
        <v>0</v>
      </c>
      <c r="AN1512" s="2">
        <f>IF((2*G1512+M1512-O1512+3*V1512+2*AB1512+2*AE1512+2*AH1512+3*AJ1512)&gt;=7,1,0)</f>
        <v>0</v>
      </c>
    </row>
    <row r="1513" spans="1:40" x14ac:dyDescent="0.25">
      <c r="A1513" t="s">
        <v>27</v>
      </c>
      <c r="B1513" s="1">
        <v>41157</v>
      </c>
      <c r="C1513" s="6">
        <f t="shared" si="230"/>
        <v>2012</v>
      </c>
      <c r="D1513">
        <v>82.4</v>
      </c>
      <c r="E1513">
        <v>68</v>
      </c>
      <c r="F1513">
        <v>75.3</v>
      </c>
      <c r="G1513" s="2">
        <f t="shared" si="231"/>
        <v>1</v>
      </c>
      <c r="H1513">
        <v>87.2</v>
      </c>
      <c r="I1513">
        <v>68</v>
      </c>
      <c r="J1513">
        <v>76.7</v>
      </c>
      <c r="K1513">
        <v>66.7</v>
      </c>
      <c r="L1513">
        <v>75.099999999999994</v>
      </c>
      <c r="M1513" s="2">
        <f t="shared" si="232"/>
        <v>0</v>
      </c>
      <c r="N1513">
        <v>0</v>
      </c>
      <c r="O1513" s="2">
        <f t="shared" si="233"/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 s="2">
        <f t="shared" si="234"/>
        <v>0</v>
      </c>
      <c r="W1513">
        <v>11.4</v>
      </c>
      <c r="X1513" s="2">
        <f t="shared" si="235"/>
        <v>0</v>
      </c>
      <c r="Y1513">
        <v>326</v>
      </c>
      <c r="Z1513" s="2" t="str">
        <f>CHOOSE(MATCH(Y1513,{0;11;80;111;161;191;241;281;341},1),"North","NorthEast","East","SouthEast","South","SouthWest","West","NorthWest","North")</f>
        <v>NorthWest</v>
      </c>
      <c r="AA1513" s="4">
        <f>CHOOSE(MATCH(Z1513,{"South";"SouthEast";"SouthWest";"North";"NorthEast";"East";"West";"NorthWest"},0),1,2,3,4,5,6,7,8)</f>
        <v>8</v>
      </c>
      <c r="AB1513" s="2">
        <f t="shared" si="236"/>
        <v>1</v>
      </c>
      <c r="AC1513">
        <v>1011.8</v>
      </c>
      <c r="AD1513" t="s">
        <v>1107</v>
      </c>
      <c r="AE1513" s="2">
        <f t="shared" si="237"/>
        <v>1</v>
      </c>
      <c r="AF1513" t="s">
        <v>2213</v>
      </c>
      <c r="AG1513" s="2">
        <f t="shared" si="238"/>
        <v>9</v>
      </c>
      <c r="AH1513" s="2">
        <f t="shared" si="239"/>
        <v>0</v>
      </c>
      <c r="AI1513" s="3">
        <v>2569.9999999953429</v>
      </c>
      <c r="AJ1513" s="2">
        <v>1</v>
      </c>
      <c r="AK1513">
        <v>0</v>
      </c>
      <c r="AL1513">
        <v>40</v>
      </c>
      <c r="AM1513">
        <v>0</v>
      </c>
      <c r="AN1513" s="2">
        <f>IF((2*G1513+M1513-O1513+3*V1513+2*AB1513+2*AE1513+2*AH1513+3*AJ1513)&gt;=7,1,0)</f>
        <v>1</v>
      </c>
    </row>
    <row r="1514" spans="1:40" x14ac:dyDescent="0.25">
      <c r="A1514" t="s">
        <v>27</v>
      </c>
      <c r="B1514" s="1">
        <v>41157</v>
      </c>
      <c r="C1514" s="6">
        <f t="shared" si="230"/>
        <v>2012</v>
      </c>
      <c r="D1514">
        <v>82.4</v>
      </c>
      <c r="E1514">
        <v>68</v>
      </c>
      <c r="F1514">
        <v>75.3</v>
      </c>
      <c r="G1514" s="2">
        <f t="shared" si="231"/>
        <v>1</v>
      </c>
      <c r="H1514">
        <v>87.2</v>
      </c>
      <c r="I1514">
        <v>68</v>
      </c>
      <c r="J1514">
        <v>76.7</v>
      </c>
      <c r="K1514">
        <v>66.7</v>
      </c>
      <c r="L1514">
        <v>75.099999999999994</v>
      </c>
      <c r="M1514" s="2">
        <f t="shared" si="232"/>
        <v>0</v>
      </c>
      <c r="N1514">
        <v>0</v>
      </c>
      <c r="O1514" s="2">
        <f t="shared" si="233"/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 s="2">
        <f t="shared" si="234"/>
        <v>0</v>
      </c>
      <c r="W1514">
        <v>11.4</v>
      </c>
      <c r="X1514" s="2">
        <f t="shared" si="235"/>
        <v>0</v>
      </c>
      <c r="Y1514">
        <v>326</v>
      </c>
      <c r="Z1514" s="2" t="str">
        <f>CHOOSE(MATCH(Y1514,{0;11;80;111;161;191;241;281;341},1),"North","NorthEast","East","SouthEast","South","SouthWest","West","NorthWest","North")</f>
        <v>NorthWest</v>
      </c>
      <c r="AA1514" s="4">
        <f>CHOOSE(MATCH(Z1514,{"South";"SouthEast";"SouthWest";"North";"NorthEast";"East";"West";"NorthWest"},0),1,2,3,4,5,6,7,8)</f>
        <v>8</v>
      </c>
      <c r="AB1514" s="2">
        <f t="shared" si="236"/>
        <v>1</v>
      </c>
      <c r="AC1514">
        <v>1011.8</v>
      </c>
      <c r="AD1514" t="s">
        <v>2214</v>
      </c>
      <c r="AE1514" s="2">
        <f t="shared" si="237"/>
        <v>1</v>
      </c>
      <c r="AF1514" t="s">
        <v>2215</v>
      </c>
      <c r="AG1514" s="2">
        <f t="shared" si="238"/>
        <v>9</v>
      </c>
      <c r="AH1514" s="2">
        <f t="shared" si="239"/>
        <v>0</v>
      </c>
      <c r="AI1514" s="3">
        <v>486.00000000209548</v>
      </c>
      <c r="AJ1514" s="2">
        <v>1</v>
      </c>
      <c r="AK1514">
        <v>0</v>
      </c>
      <c r="AL1514">
        <v>1</v>
      </c>
      <c r="AM1514">
        <v>0</v>
      </c>
      <c r="AN1514" s="2">
        <f>IF((2*G1514+M1514-O1514+3*V1514+2*AB1514+2*AE1514+2*AH1514+3*AJ1514)&gt;=7,1,0)</f>
        <v>1</v>
      </c>
    </row>
    <row r="1515" spans="1:40" x14ac:dyDescent="0.25">
      <c r="A1515" t="s">
        <v>27</v>
      </c>
      <c r="B1515" s="1">
        <v>41158</v>
      </c>
      <c r="C1515" s="6">
        <f t="shared" si="230"/>
        <v>2012</v>
      </c>
      <c r="D1515">
        <v>82.4</v>
      </c>
      <c r="E1515">
        <v>68</v>
      </c>
      <c r="F1515">
        <v>76</v>
      </c>
      <c r="G1515" s="2">
        <f t="shared" si="231"/>
        <v>1</v>
      </c>
      <c r="H1515">
        <v>87.2</v>
      </c>
      <c r="I1515">
        <v>68</v>
      </c>
      <c r="J1515">
        <v>77.400000000000006</v>
      </c>
      <c r="K1515">
        <v>66.900000000000006</v>
      </c>
      <c r="L1515">
        <v>73.7</v>
      </c>
      <c r="M1515" s="2">
        <f t="shared" si="232"/>
        <v>0</v>
      </c>
      <c r="N1515">
        <v>0</v>
      </c>
      <c r="O1515" s="2">
        <f t="shared" si="233"/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 s="2">
        <f t="shared" si="234"/>
        <v>0</v>
      </c>
      <c r="W1515">
        <v>20.8</v>
      </c>
      <c r="X1515" s="2">
        <f t="shared" si="235"/>
        <v>1</v>
      </c>
      <c r="Y1515">
        <v>310.89999999999998</v>
      </c>
      <c r="Z1515" s="2" t="str">
        <f>CHOOSE(MATCH(Y1515,{0;11;80;111;161;191;241;281;341},1),"North","NorthEast","East","SouthEast","South","SouthWest","West","NorthWest","North")</f>
        <v>NorthWest</v>
      </c>
      <c r="AA1515" s="4">
        <f>CHOOSE(MATCH(Z1515,{"South";"SouthEast";"SouthWest";"North";"NorthEast";"East";"West";"NorthWest"},0),1,2,3,4,5,6,7,8)</f>
        <v>8</v>
      </c>
      <c r="AB1515" s="2">
        <f t="shared" si="236"/>
        <v>1</v>
      </c>
      <c r="AC1515">
        <v>1011.1</v>
      </c>
      <c r="AD1515" t="s">
        <v>2216</v>
      </c>
      <c r="AE1515" s="2">
        <f t="shared" si="237"/>
        <v>1</v>
      </c>
      <c r="AF1515" t="s">
        <v>2217</v>
      </c>
      <c r="AG1515" s="2">
        <f t="shared" si="238"/>
        <v>9</v>
      </c>
      <c r="AH1515" s="2">
        <f t="shared" si="239"/>
        <v>0</v>
      </c>
      <c r="AI1515" s="3">
        <v>1105.0000000081491</v>
      </c>
      <c r="AJ1515" s="2">
        <v>1</v>
      </c>
      <c r="AK1515">
        <v>0</v>
      </c>
      <c r="AL1515">
        <v>4</v>
      </c>
      <c r="AM1515">
        <v>0</v>
      </c>
      <c r="AN1515" s="2">
        <f>IF((2*G1515+M1515-O1515+3*V1515+2*AB1515+2*AE1515+2*AH1515+3*AJ1515)&gt;=7,1,0)</f>
        <v>1</v>
      </c>
    </row>
    <row r="1516" spans="1:40" x14ac:dyDescent="0.25">
      <c r="A1516" t="s">
        <v>27</v>
      </c>
      <c r="B1516" s="1">
        <v>41158</v>
      </c>
      <c r="C1516" s="6">
        <f t="shared" si="230"/>
        <v>2012</v>
      </c>
      <c r="D1516">
        <v>82.4</v>
      </c>
      <c r="E1516">
        <v>68</v>
      </c>
      <c r="F1516">
        <v>76</v>
      </c>
      <c r="G1516" s="2">
        <f t="shared" si="231"/>
        <v>1</v>
      </c>
      <c r="H1516">
        <v>87.2</v>
      </c>
      <c r="I1516">
        <v>68</v>
      </c>
      <c r="J1516">
        <v>77.400000000000006</v>
      </c>
      <c r="K1516">
        <v>66.900000000000006</v>
      </c>
      <c r="L1516">
        <v>73.7</v>
      </c>
      <c r="M1516" s="2">
        <f t="shared" si="232"/>
        <v>0</v>
      </c>
      <c r="N1516">
        <v>0</v>
      </c>
      <c r="O1516" s="2">
        <f t="shared" si="233"/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 s="2">
        <f t="shared" si="234"/>
        <v>0</v>
      </c>
      <c r="W1516">
        <v>20.8</v>
      </c>
      <c r="X1516" s="2">
        <f t="shared" si="235"/>
        <v>1</v>
      </c>
      <c r="Y1516">
        <v>310.89999999999998</v>
      </c>
      <c r="Z1516" s="2" t="str">
        <f>CHOOSE(MATCH(Y1516,{0;11;80;111;161;191;241;281;341},1),"North","NorthEast","East","SouthEast","South","SouthWest","West","NorthWest","North")</f>
        <v>NorthWest</v>
      </c>
      <c r="AA1516" s="4">
        <f>CHOOSE(MATCH(Z1516,{"South";"SouthEast";"SouthWest";"North";"NorthEast";"East";"West";"NorthWest"},0),1,2,3,4,5,6,7,8)</f>
        <v>8</v>
      </c>
      <c r="AB1516" s="2">
        <f t="shared" si="236"/>
        <v>1</v>
      </c>
      <c r="AC1516">
        <v>1011.1</v>
      </c>
      <c r="AD1516" t="s">
        <v>2218</v>
      </c>
      <c r="AE1516" s="2">
        <f t="shared" si="237"/>
        <v>1</v>
      </c>
      <c r="AF1516" t="s">
        <v>2219</v>
      </c>
      <c r="AG1516" s="2">
        <f t="shared" si="238"/>
        <v>9</v>
      </c>
      <c r="AH1516" s="2">
        <f t="shared" si="239"/>
        <v>0</v>
      </c>
      <c r="AI1516" s="3">
        <v>826.99999999254942</v>
      </c>
      <c r="AJ1516" s="2">
        <v>1</v>
      </c>
      <c r="AK1516">
        <v>0</v>
      </c>
      <c r="AL1516">
        <v>3</v>
      </c>
      <c r="AM1516">
        <v>0</v>
      </c>
      <c r="AN1516" s="2">
        <f>IF((2*G1516+M1516-O1516+3*V1516+2*AB1516+2*AE1516+2*AH1516+3*AJ1516)&gt;=7,1,0)</f>
        <v>1</v>
      </c>
    </row>
    <row r="1517" spans="1:40" x14ac:dyDescent="0.25">
      <c r="A1517" t="s">
        <v>27</v>
      </c>
      <c r="B1517" s="1">
        <v>41161</v>
      </c>
      <c r="C1517" s="6">
        <f t="shared" si="230"/>
        <v>2012</v>
      </c>
      <c r="D1517">
        <v>80.599999999999994</v>
      </c>
      <c r="E1517">
        <v>75.2</v>
      </c>
      <c r="F1517">
        <v>77.3</v>
      </c>
      <c r="G1517" s="2">
        <f t="shared" si="231"/>
        <v>1</v>
      </c>
      <c r="H1517">
        <v>82.8</v>
      </c>
      <c r="I1517">
        <v>75.2</v>
      </c>
      <c r="J1517">
        <v>77.599999999999994</v>
      </c>
      <c r="K1517">
        <v>63.4</v>
      </c>
      <c r="L1517">
        <v>62.4</v>
      </c>
      <c r="M1517" s="2">
        <f t="shared" si="232"/>
        <v>1</v>
      </c>
      <c r="N1517">
        <v>0</v>
      </c>
      <c r="O1517" s="2">
        <f t="shared" si="233"/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 s="2">
        <f t="shared" si="234"/>
        <v>0</v>
      </c>
      <c r="W1517">
        <v>21.9</v>
      </c>
      <c r="X1517" s="2">
        <f t="shared" si="235"/>
        <v>1</v>
      </c>
      <c r="Y1517">
        <v>313.5</v>
      </c>
      <c r="Z1517" s="2" t="str">
        <f>CHOOSE(MATCH(Y1517,{0;11;80;111;161;191;241;281;341},1),"North","NorthEast","East","SouthEast","South","SouthWest","West","NorthWest","North")</f>
        <v>NorthWest</v>
      </c>
      <c r="AA1517" s="4">
        <f>CHOOSE(MATCH(Z1517,{"South";"SouthEast";"SouthWest";"North";"NorthEast";"East";"West";"NorthWest"},0),1,2,3,4,5,6,7,8)</f>
        <v>8</v>
      </c>
      <c r="AB1517" s="2">
        <f t="shared" si="236"/>
        <v>1</v>
      </c>
      <c r="AC1517">
        <v>1011.7</v>
      </c>
      <c r="AD1517" t="s">
        <v>1184</v>
      </c>
      <c r="AE1517" s="2">
        <f t="shared" si="237"/>
        <v>1</v>
      </c>
      <c r="AF1517" t="s">
        <v>2220</v>
      </c>
      <c r="AG1517" s="2">
        <f t="shared" si="238"/>
        <v>9</v>
      </c>
      <c r="AH1517" s="2">
        <f t="shared" si="239"/>
        <v>0</v>
      </c>
      <c r="AI1517" s="3">
        <v>4745.0000000023283</v>
      </c>
      <c r="AJ1517" s="2">
        <v>1</v>
      </c>
      <c r="AK1517">
        <v>0.1</v>
      </c>
      <c r="AL1517">
        <v>0</v>
      </c>
      <c r="AM1517">
        <v>0</v>
      </c>
      <c r="AN1517" s="2">
        <f>IF((2*G1517+M1517-O1517+3*V1517+2*AB1517+2*AE1517+2*AH1517+3*AJ1517)&gt;=7,1,0)</f>
        <v>1</v>
      </c>
    </row>
    <row r="1518" spans="1:40" x14ac:dyDescent="0.25">
      <c r="A1518" t="s">
        <v>27</v>
      </c>
      <c r="B1518" s="1">
        <v>41161</v>
      </c>
      <c r="C1518" s="6">
        <f t="shared" si="230"/>
        <v>2012</v>
      </c>
      <c r="D1518">
        <v>80.599999999999994</v>
      </c>
      <c r="E1518">
        <v>75.2</v>
      </c>
      <c r="F1518">
        <v>77.3</v>
      </c>
      <c r="G1518" s="2">
        <f t="shared" si="231"/>
        <v>1</v>
      </c>
      <c r="H1518">
        <v>82.8</v>
      </c>
      <c r="I1518">
        <v>75.2</v>
      </c>
      <c r="J1518">
        <v>77.599999999999994</v>
      </c>
      <c r="K1518">
        <v>63.4</v>
      </c>
      <c r="L1518">
        <v>62.4</v>
      </c>
      <c r="M1518" s="2">
        <f t="shared" si="232"/>
        <v>1</v>
      </c>
      <c r="N1518">
        <v>0</v>
      </c>
      <c r="O1518" s="2">
        <f t="shared" si="233"/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 s="2">
        <f t="shared" si="234"/>
        <v>0</v>
      </c>
      <c r="W1518">
        <v>21.9</v>
      </c>
      <c r="X1518" s="2">
        <f t="shared" si="235"/>
        <v>1</v>
      </c>
      <c r="Y1518">
        <v>313.5</v>
      </c>
      <c r="Z1518" s="2" t="str">
        <f>CHOOSE(MATCH(Y1518,{0;11;80;111;161;191;241;281;341},1),"North","NorthEast","East","SouthEast","South","SouthWest","West","NorthWest","North")</f>
        <v>NorthWest</v>
      </c>
      <c r="AA1518" s="4">
        <f>CHOOSE(MATCH(Z1518,{"South";"SouthEast";"SouthWest";"North";"NorthEast";"East";"West";"NorthWest"},0),1,2,3,4,5,6,7,8)</f>
        <v>8</v>
      </c>
      <c r="AB1518" s="2">
        <f t="shared" si="236"/>
        <v>1</v>
      </c>
      <c r="AC1518">
        <v>1011.7</v>
      </c>
      <c r="AD1518" t="s">
        <v>2124</v>
      </c>
      <c r="AE1518" s="2">
        <f t="shared" si="237"/>
        <v>0</v>
      </c>
      <c r="AF1518" t="s">
        <v>2221</v>
      </c>
      <c r="AG1518" s="2">
        <f t="shared" si="238"/>
        <v>9</v>
      </c>
      <c r="AH1518" s="2">
        <f t="shared" si="239"/>
        <v>0</v>
      </c>
      <c r="AI1518" s="3">
        <v>640.00000000116415</v>
      </c>
      <c r="AJ1518" s="2">
        <v>1</v>
      </c>
      <c r="AK1518">
        <v>5</v>
      </c>
      <c r="AL1518">
        <v>0</v>
      </c>
      <c r="AM1518">
        <v>0</v>
      </c>
      <c r="AN1518" s="2">
        <f>IF((2*G1518+M1518-O1518+3*V1518+2*AB1518+2*AE1518+2*AH1518+3*AJ1518)&gt;=7,1,0)</f>
        <v>1</v>
      </c>
    </row>
    <row r="1519" spans="1:40" x14ac:dyDescent="0.25">
      <c r="A1519" t="s">
        <v>27</v>
      </c>
      <c r="B1519" s="1">
        <v>41161</v>
      </c>
      <c r="C1519" s="6">
        <f t="shared" si="230"/>
        <v>2012</v>
      </c>
      <c r="D1519">
        <v>80.599999999999994</v>
      </c>
      <c r="E1519">
        <v>75.2</v>
      </c>
      <c r="F1519">
        <v>77.3</v>
      </c>
      <c r="G1519" s="2">
        <f t="shared" si="231"/>
        <v>1</v>
      </c>
      <c r="H1519">
        <v>82.8</v>
      </c>
      <c r="I1519">
        <v>75.2</v>
      </c>
      <c r="J1519">
        <v>77.599999999999994</v>
      </c>
      <c r="K1519">
        <v>63.4</v>
      </c>
      <c r="L1519">
        <v>62.4</v>
      </c>
      <c r="M1519" s="2">
        <f t="shared" si="232"/>
        <v>1</v>
      </c>
      <c r="N1519">
        <v>0</v>
      </c>
      <c r="O1519" s="2">
        <f t="shared" si="233"/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 s="2">
        <f t="shared" si="234"/>
        <v>0</v>
      </c>
      <c r="W1519">
        <v>21.9</v>
      </c>
      <c r="X1519" s="2">
        <f t="shared" si="235"/>
        <v>1</v>
      </c>
      <c r="Y1519">
        <v>313.5</v>
      </c>
      <c r="Z1519" s="2" t="str">
        <f>CHOOSE(MATCH(Y1519,{0;11;80;111;161;191;241;281;341},1),"North","NorthEast","East","SouthEast","South","SouthWest","West","NorthWest","North")</f>
        <v>NorthWest</v>
      </c>
      <c r="AA1519" s="4">
        <f>CHOOSE(MATCH(Z1519,{"South";"SouthEast";"SouthWest";"North";"NorthEast";"East";"West";"NorthWest"},0),1,2,3,4,5,6,7,8)</f>
        <v>8</v>
      </c>
      <c r="AB1519" s="2">
        <f t="shared" si="236"/>
        <v>1</v>
      </c>
      <c r="AC1519">
        <v>1011.7</v>
      </c>
      <c r="AD1519" t="s">
        <v>2222</v>
      </c>
      <c r="AE1519" s="2">
        <f t="shared" si="237"/>
        <v>1</v>
      </c>
      <c r="AF1519" t="s">
        <v>2223</v>
      </c>
      <c r="AG1519" s="2">
        <f t="shared" si="238"/>
        <v>9</v>
      </c>
      <c r="AH1519" s="2">
        <f t="shared" si="239"/>
        <v>0</v>
      </c>
      <c r="AI1519" s="3">
        <v>558.00000000628643</v>
      </c>
      <c r="AJ1519" s="2">
        <v>1</v>
      </c>
      <c r="AK1519">
        <v>6</v>
      </c>
      <c r="AL1519">
        <v>0</v>
      </c>
      <c r="AM1519">
        <v>0</v>
      </c>
      <c r="AN1519" s="2">
        <f>IF((2*G1519+M1519-O1519+3*V1519+2*AB1519+2*AE1519+2*AH1519+3*AJ1519)&gt;=7,1,0)</f>
        <v>1</v>
      </c>
    </row>
    <row r="1520" spans="1:40" x14ac:dyDescent="0.25">
      <c r="A1520" t="s">
        <v>27</v>
      </c>
      <c r="B1520" s="1">
        <v>41162</v>
      </c>
      <c r="C1520" s="6">
        <f t="shared" si="230"/>
        <v>2012</v>
      </c>
      <c r="D1520">
        <v>82.4</v>
      </c>
      <c r="E1520">
        <v>70.400000000000006</v>
      </c>
      <c r="F1520">
        <v>77.3</v>
      </c>
      <c r="G1520" s="2">
        <f t="shared" si="231"/>
        <v>1</v>
      </c>
      <c r="H1520">
        <v>84.7</v>
      </c>
      <c r="I1520">
        <v>70.400000000000006</v>
      </c>
      <c r="J1520">
        <v>77.900000000000006</v>
      </c>
      <c r="K1520">
        <v>64</v>
      </c>
      <c r="L1520">
        <v>63.9</v>
      </c>
      <c r="M1520" s="2">
        <f t="shared" si="232"/>
        <v>1</v>
      </c>
      <c r="N1520">
        <v>0</v>
      </c>
      <c r="O1520" s="2">
        <f t="shared" si="233"/>
        <v>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 s="2">
        <f t="shared" si="234"/>
        <v>0</v>
      </c>
      <c r="W1520">
        <v>21.9</v>
      </c>
      <c r="X1520" s="2">
        <f t="shared" si="235"/>
        <v>1</v>
      </c>
      <c r="Y1520">
        <v>308</v>
      </c>
      <c r="Z1520" s="2" t="str">
        <f>CHOOSE(MATCH(Y1520,{0;11;80;111;161;191;241;281;341},1),"North","NorthEast","East","SouthEast","South","SouthWest","West","NorthWest","North")</f>
        <v>NorthWest</v>
      </c>
      <c r="AA1520" s="4">
        <f>CHOOSE(MATCH(Z1520,{"South";"SouthEast";"SouthWest";"North";"NorthEast";"East";"West";"NorthWest"},0),1,2,3,4,5,6,7,8)</f>
        <v>8</v>
      </c>
      <c r="AB1520" s="2">
        <f t="shared" si="236"/>
        <v>1</v>
      </c>
      <c r="AC1520">
        <v>1013.5</v>
      </c>
      <c r="AD1520" t="s">
        <v>1252</v>
      </c>
      <c r="AE1520" s="2">
        <f t="shared" si="237"/>
        <v>1</v>
      </c>
      <c r="AF1520" t="s">
        <v>2224</v>
      </c>
      <c r="AG1520" s="2">
        <f t="shared" si="238"/>
        <v>9</v>
      </c>
      <c r="AH1520" s="2">
        <f t="shared" si="239"/>
        <v>0</v>
      </c>
      <c r="AI1520" s="3">
        <v>1065.000000003492</v>
      </c>
      <c r="AJ1520" s="2">
        <v>1</v>
      </c>
      <c r="AK1520">
        <v>0</v>
      </c>
      <c r="AL1520">
        <v>10</v>
      </c>
      <c r="AM1520">
        <v>0</v>
      </c>
      <c r="AN1520" s="2">
        <f>IF((2*G1520+M1520-O1520+3*V1520+2*AB1520+2*AE1520+2*AH1520+3*AJ1520)&gt;=7,1,0)</f>
        <v>1</v>
      </c>
    </row>
    <row r="1521" spans="1:40" x14ac:dyDescent="0.25">
      <c r="A1521" t="s">
        <v>27</v>
      </c>
      <c r="B1521" s="1">
        <v>41162</v>
      </c>
      <c r="C1521" s="6">
        <f t="shared" si="230"/>
        <v>2012</v>
      </c>
      <c r="D1521">
        <v>82.4</v>
      </c>
      <c r="E1521">
        <v>70.400000000000006</v>
      </c>
      <c r="F1521">
        <v>77.3</v>
      </c>
      <c r="G1521" s="2">
        <f t="shared" si="231"/>
        <v>1</v>
      </c>
      <c r="H1521">
        <v>84.7</v>
      </c>
      <c r="I1521">
        <v>70.400000000000006</v>
      </c>
      <c r="J1521">
        <v>77.900000000000006</v>
      </c>
      <c r="K1521">
        <v>64</v>
      </c>
      <c r="L1521">
        <v>63.9</v>
      </c>
      <c r="M1521" s="2">
        <f t="shared" si="232"/>
        <v>1</v>
      </c>
      <c r="N1521">
        <v>0</v>
      </c>
      <c r="O1521" s="2">
        <f t="shared" si="233"/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 s="2">
        <f t="shared" si="234"/>
        <v>0</v>
      </c>
      <c r="W1521">
        <v>21.9</v>
      </c>
      <c r="X1521" s="2">
        <f t="shared" si="235"/>
        <v>1</v>
      </c>
      <c r="Y1521">
        <v>308</v>
      </c>
      <c r="Z1521" s="2" t="str">
        <f>CHOOSE(MATCH(Y1521,{0;11;80;111;161;191;241;281;341},1),"North","NorthEast","East","SouthEast","South","SouthWest","West","NorthWest","North")</f>
        <v>NorthWest</v>
      </c>
      <c r="AA1521" s="4">
        <f>CHOOSE(MATCH(Z1521,{"South";"SouthEast";"SouthWest";"North";"NorthEast";"East";"West";"NorthWest"},0),1,2,3,4,5,6,7,8)</f>
        <v>8</v>
      </c>
      <c r="AB1521" s="2">
        <f t="shared" si="236"/>
        <v>1</v>
      </c>
      <c r="AC1521">
        <v>1013.5</v>
      </c>
      <c r="AD1521" t="s">
        <v>1911</v>
      </c>
      <c r="AE1521" s="2">
        <f t="shared" si="237"/>
        <v>1</v>
      </c>
      <c r="AF1521" t="s">
        <v>2225</v>
      </c>
      <c r="AG1521" s="2">
        <f t="shared" si="238"/>
        <v>9</v>
      </c>
      <c r="AH1521" s="2">
        <f t="shared" si="239"/>
        <v>0</v>
      </c>
      <c r="AI1521" s="3">
        <v>1429.9999999988361</v>
      </c>
      <c r="AJ1521" s="2">
        <v>1</v>
      </c>
      <c r="AK1521">
        <v>0</v>
      </c>
      <c r="AL1521">
        <v>3</v>
      </c>
      <c r="AM1521">
        <v>0</v>
      </c>
      <c r="AN1521" s="2">
        <f>IF((2*G1521+M1521-O1521+3*V1521+2*AB1521+2*AE1521+2*AH1521+3*AJ1521)&gt;=7,1,0)</f>
        <v>1</v>
      </c>
    </row>
    <row r="1522" spans="1:40" x14ac:dyDescent="0.25">
      <c r="A1522" t="s">
        <v>27</v>
      </c>
      <c r="B1522" s="1">
        <v>41163</v>
      </c>
      <c r="C1522" s="6">
        <f t="shared" si="230"/>
        <v>2012</v>
      </c>
      <c r="D1522">
        <v>78.8</v>
      </c>
      <c r="E1522">
        <v>73.400000000000006</v>
      </c>
      <c r="F1522">
        <v>76</v>
      </c>
      <c r="G1522" s="2">
        <f t="shared" si="231"/>
        <v>1</v>
      </c>
      <c r="H1522">
        <v>78.8</v>
      </c>
      <c r="I1522">
        <v>73.400000000000006</v>
      </c>
      <c r="J1522">
        <v>76</v>
      </c>
      <c r="K1522">
        <v>64.599999999999994</v>
      </c>
      <c r="L1522">
        <v>67.900000000000006</v>
      </c>
      <c r="M1522" s="2">
        <f t="shared" si="232"/>
        <v>0</v>
      </c>
      <c r="N1522">
        <v>0</v>
      </c>
      <c r="O1522" s="2">
        <f t="shared" si="233"/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 s="2">
        <f t="shared" si="234"/>
        <v>0</v>
      </c>
      <c r="W1522">
        <v>21.9</v>
      </c>
      <c r="X1522" s="2">
        <f t="shared" si="235"/>
        <v>1</v>
      </c>
      <c r="Y1522">
        <v>312.7</v>
      </c>
      <c r="Z1522" s="2" t="str">
        <f>CHOOSE(MATCH(Y1522,{0;11;80;111;161;191;241;281;341},1),"North","NorthEast","East","SouthEast","South","SouthWest","West","NorthWest","North")</f>
        <v>NorthWest</v>
      </c>
      <c r="AA1522" s="4">
        <f>CHOOSE(MATCH(Z1522,{"South";"SouthEast";"SouthWest";"North";"NorthEast";"East";"West";"NorthWest"},0),1,2,3,4,5,6,7,8)</f>
        <v>8</v>
      </c>
      <c r="AB1522" s="2">
        <f t="shared" si="236"/>
        <v>1</v>
      </c>
      <c r="AC1522">
        <v>1013.3</v>
      </c>
      <c r="AD1522" t="s">
        <v>1075</v>
      </c>
      <c r="AE1522" s="2">
        <f t="shared" si="237"/>
        <v>1</v>
      </c>
      <c r="AF1522" t="s">
        <v>2226</v>
      </c>
      <c r="AG1522" s="2">
        <f t="shared" si="238"/>
        <v>9</v>
      </c>
      <c r="AH1522" s="2">
        <f t="shared" si="239"/>
        <v>0</v>
      </c>
      <c r="AI1522" s="3">
        <v>2700</v>
      </c>
      <c r="AJ1522" s="2">
        <v>1</v>
      </c>
      <c r="AK1522">
        <v>0</v>
      </c>
      <c r="AL1522">
        <v>80</v>
      </c>
      <c r="AM1522">
        <v>0</v>
      </c>
      <c r="AN1522" s="2">
        <f>IF((2*G1522+M1522-O1522+3*V1522+2*AB1522+2*AE1522+2*AH1522+3*AJ1522)&gt;=7,1,0)</f>
        <v>1</v>
      </c>
    </row>
    <row r="1523" spans="1:40" x14ac:dyDescent="0.25">
      <c r="A1523" t="s">
        <v>27</v>
      </c>
      <c r="B1523" s="1">
        <v>41164</v>
      </c>
      <c r="C1523" s="6">
        <f t="shared" si="230"/>
        <v>2012</v>
      </c>
      <c r="D1523">
        <v>78.900000000000006</v>
      </c>
      <c r="E1523">
        <v>68</v>
      </c>
      <c r="F1523">
        <v>74.599999999999994</v>
      </c>
      <c r="G1523" s="2">
        <f t="shared" si="231"/>
        <v>1</v>
      </c>
      <c r="H1523">
        <v>78.900000000000006</v>
      </c>
      <c r="I1523">
        <v>68</v>
      </c>
      <c r="J1523">
        <v>74.599999999999994</v>
      </c>
      <c r="K1523">
        <v>63.6</v>
      </c>
      <c r="L1523">
        <v>68.900000000000006</v>
      </c>
      <c r="M1523" s="2">
        <f t="shared" si="232"/>
        <v>0</v>
      </c>
      <c r="N1523">
        <v>0</v>
      </c>
      <c r="O1523" s="2">
        <f t="shared" si="233"/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 s="2">
        <f t="shared" si="234"/>
        <v>0</v>
      </c>
      <c r="W1523">
        <v>18.3</v>
      </c>
      <c r="X1523" s="2">
        <f t="shared" si="235"/>
        <v>1</v>
      </c>
      <c r="Y1523">
        <v>309.3</v>
      </c>
      <c r="Z1523" s="2" t="str">
        <f>CHOOSE(MATCH(Y1523,{0;11;80;111;161;191;241;281;341},1),"North","NorthEast","East","SouthEast","South","SouthWest","West","NorthWest","North")</f>
        <v>NorthWest</v>
      </c>
      <c r="AA1523" s="4">
        <f>CHOOSE(MATCH(Z1523,{"South";"SouthEast";"SouthWest";"North";"NorthEast";"East";"West";"NorthWest"},0),1,2,3,4,5,6,7,8)</f>
        <v>8</v>
      </c>
      <c r="AB1523" s="2">
        <f t="shared" si="236"/>
        <v>1</v>
      </c>
      <c r="AC1523">
        <v>1011.9</v>
      </c>
      <c r="AD1523" t="s">
        <v>1230</v>
      </c>
      <c r="AE1523" s="2">
        <f t="shared" si="237"/>
        <v>1</v>
      </c>
      <c r="AF1523" t="s">
        <v>2227</v>
      </c>
      <c r="AG1523" s="2">
        <f t="shared" si="238"/>
        <v>9</v>
      </c>
      <c r="AH1523" s="2">
        <f t="shared" si="239"/>
        <v>0</v>
      </c>
      <c r="AI1523" s="3">
        <v>110.00000000232831</v>
      </c>
      <c r="AJ1523" s="2">
        <v>0</v>
      </c>
      <c r="AK1523">
        <v>0</v>
      </c>
      <c r="AL1523">
        <v>0.1</v>
      </c>
      <c r="AM1523">
        <v>0</v>
      </c>
      <c r="AN1523" s="2">
        <f>IF((2*G1523+M1523-O1523+3*V1523+2*AB1523+2*AE1523+2*AH1523+3*AJ1523)&gt;=7,1,0)</f>
        <v>0</v>
      </c>
    </row>
    <row r="1524" spans="1:40" x14ac:dyDescent="0.25">
      <c r="A1524" t="s">
        <v>27</v>
      </c>
      <c r="B1524" s="1">
        <v>41164</v>
      </c>
      <c r="C1524" s="6">
        <f t="shared" si="230"/>
        <v>2012</v>
      </c>
      <c r="D1524">
        <v>78.900000000000006</v>
      </c>
      <c r="E1524">
        <v>68</v>
      </c>
      <c r="F1524">
        <v>74.599999999999994</v>
      </c>
      <c r="G1524" s="2">
        <f t="shared" si="231"/>
        <v>1</v>
      </c>
      <c r="H1524">
        <v>78.900000000000006</v>
      </c>
      <c r="I1524">
        <v>68</v>
      </c>
      <c r="J1524">
        <v>74.599999999999994</v>
      </c>
      <c r="K1524">
        <v>63.6</v>
      </c>
      <c r="L1524">
        <v>68.900000000000006</v>
      </c>
      <c r="M1524" s="2">
        <f t="shared" si="232"/>
        <v>0</v>
      </c>
      <c r="N1524">
        <v>0</v>
      </c>
      <c r="O1524" s="2">
        <f t="shared" si="233"/>
        <v>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 s="2">
        <f t="shared" si="234"/>
        <v>0</v>
      </c>
      <c r="W1524">
        <v>18.3</v>
      </c>
      <c r="X1524" s="2">
        <f t="shared" si="235"/>
        <v>1</v>
      </c>
      <c r="Y1524">
        <v>309.3</v>
      </c>
      <c r="Z1524" s="2" t="str">
        <f>CHOOSE(MATCH(Y1524,{0;11;80;111;161;191;241;281;341},1),"North","NorthEast","East","SouthEast","South","SouthWest","West","NorthWest","North")</f>
        <v>NorthWest</v>
      </c>
      <c r="AA1524" s="4">
        <f>CHOOSE(MATCH(Z1524,{"South";"SouthEast";"SouthWest";"North";"NorthEast";"East";"West";"NorthWest"},0),1,2,3,4,5,6,7,8)</f>
        <v>8</v>
      </c>
      <c r="AB1524" s="2">
        <f t="shared" si="236"/>
        <v>1</v>
      </c>
      <c r="AC1524">
        <v>1011.9</v>
      </c>
      <c r="AD1524" t="s">
        <v>1203</v>
      </c>
      <c r="AE1524" s="2">
        <f t="shared" si="237"/>
        <v>1</v>
      </c>
      <c r="AF1524" t="s">
        <v>2228</v>
      </c>
      <c r="AG1524" s="2">
        <f t="shared" si="238"/>
        <v>9</v>
      </c>
      <c r="AH1524" s="2">
        <f t="shared" si="239"/>
        <v>0</v>
      </c>
      <c r="AI1524" s="3">
        <v>544.99999999534339</v>
      </c>
      <c r="AJ1524" s="2">
        <v>1</v>
      </c>
      <c r="AK1524">
        <v>0</v>
      </c>
      <c r="AL1524">
        <v>5</v>
      </c>
      <c r="AM1524">
        <v>0</v>
      </c>
      <c r="AN1524" s="2">
        <f>IF((2*G1524+M1524-O1524+3*V1524+2*AB1524+2*AE1524+2*AH1524+3*AJ1524)&gt;=7,1,0)</f>
        <v>1</v>
      </c>
    </row>
    <row r="1525" spans="1:40" x14ac:dyDescent="0.25">
      <c r="A1525" t="s">
        <v>27</v>
      </c>
      <c r="B1525" s="1">
        <v>41165</v>
      </c>
      <c r="C1525" s="6">
        <f t="shared" si="230"/>
        <v>2012</v>
      </c>
      <c r="D1525">
        <v>82.4</v>
      </c>
      <c r="E1525">
        <v>66.2</v>
      </c>
      <c r="F1525">
        <v>74.5</v>
      </c>
      <c r="G1525" s="2">
        <f t="shared" si="231"/>
        <v>1</v>
      </c>
      <c r="H1525">
        <v>87.2</v>
      </c>
      <c r="I1525">
        <v>66.2</v>
      </c>
      <c r="J1525">
        <v>75.599999999999994</v>
      </c>
      <c r="K1525">
        <v>63.8</v>
      </c>
      <c r="L1525">
        <v>69.8</v>
      </c>
      <c r="M1525" s="2">
        <f t="shared" si="232"/>
        <v>0</v>
      </c>
      <c r="N1525">
        <v>0</v>
      </c>
      <c r="O1525" s="2">
        <f t="shared" si="233"/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 s="2">
        <f t="shared" si="234"/>
        <v>0</v>
      </c>
      <c r="W1525">
        <v>10.3</v>
      </c>
      <c r="X1525" s="2">
        <f t="shared" si="235"/>
        <v>0</v>
      </c>
      <c r="Y1525">
        <v>158</v>
      </c>
      <c r="Z1525" s="2" t="str">
        <f>CHOOSE(MATCH(Y1525,{0;11;80;111;161;191;241;281;341},1),"North","NorthEast","East","SouthEast","South","SouthWest","West","NorthWest","North")</f>
        <v>SouthEast</v>
      </c>
      <c r="AA1525" s="4">
        <f>CHOOSE(MATCH(Z1525,{"South";"SouthEast";"SouthWest";"North";"NorthEast";"East";"West";"NorthWest"},0),1,2,3,4,5,6,7,8)</f>
        <v>2</v>
      </c>
      <c r="AB1525" s="2">
        <f t="shared" si="236"/>
        <v>0</v>
      </c>
      <c r="AC1525">
        <v>1010.1</v>
      </c>
      <c r="AD1525" t="s">
        <v>2065</v>
      </c>
      <c r="AE1525" s="2">
        <f t="shared" si="237"/>
        <v>1</v>
      </c>
      <c r="AF1525" t="s">
        <v>2229</v>
      </c>
      <c r="AG1525" s="2">
        <f t="shared" si="238"/>
        <v>9</v>
      </c>
      <c r="AH1525" s="2">
        <f t="shared" si="239"/>
        <v>0</v>
      </c>
      <c r="AI1525" s="3">
        <v>665.00000000931323</v>
      </c>
      <c r="AJ1525" s="2">
        <v>1</v>
      </c>
      <c r="AK1525">
        <v>0</v>
      </c>
      <c r="AL1525">
        <v>20</v>
      </c>
      <c r="AM1525">
        <v>0</v>
      </c>
      <c r="AN1525" s="2">
        <f>IF((2*G1525+M1525-O1525+3*V1525+2*AB1525+2*AE1525+2*AH1525+3*AJ1525)&gt;=7,1,0)</f>
        <v>0</v>
      </c>
    </row>
    <row r="1526" spans="1:40" x14ac:dyDescent="0.25">
      <c r="A1526" t="s">
        <v>27</v>
      </c>
      <c r="B1526" s="1">
        <v>41166</v>
      </c>
      <c r="C1526" s="6">
        <f t="shared" si="230"/>
        <v>2012</v>
      </c>
      <c r="D1526">
        <v>95</v>
      </c>
      <c r="E1526">
        <v>68</v>
      </c>
      <c r="F1526">
        <v>80.5</v>
      </c>
      <c r="G1526" s="2">
        <f t="shared" si="231"/>
        <v>1</v>
      </c>
      <c r="H1526">
        <v>96.3</v>
      </c>
      <c r="I1526">
        <v>68</v>
      </c>
      <c r="J1526">
        <v>81.099999999999994</v>
      </c>
      <c r="K1526">
        <v>63.4</v>
      </c>
      <c r="L1526">
        <v>59.3</v>
      </c>
      <c r="M1526" s="2">
        <f t="shared" si="232"/>
        <v>1</v>
      </c>
      <c r="N1526">
        <v>0</v>
      </c>
      <c r="O1526" s="2">
        <f t="shared" si="233"/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 s="2">
        <f t="shared" si="234"/>
        <v>0</v>
      </c>
      <c r="W1526">
        <v>25.3</v>
      </c>
      <c r="X1526" s="2">
        <f t="shared" si="235"/>
        <v>1</v>
      </c>
      <c r="Y1526">
        <v>160</v>
      </c>
      <c r="Z1526" s="2" t="str">
        <f>CHOOSE(MATCH(Y1526,{0;11;80;111;161;191;241;281;341},1),"North","NorthEast","East","SouthEast","South","SouthWest","West","NorthWest","North")</f>
        <v>SouthEast</v>
      </c>
      <c r="AA1526" s="4">
        <f>CHOOSE(MATCH(Z1526,{"South";"SouthEast";"SouthWest";"North";"NorthEast";"East";"West";"NorthWest"},0),1,2,3,4,5,6,7,8)</f>
        <v>2</v>
      </c>
      <c r="AB1526" s="2">
        <f t="shared" si="236"/>
        <v>0</v>
      </c>
      <c r="AC1526">
        <v>1010.3</v>
      </c>
      <c r="AD1526" t="s">
        <v>2230</v>
      </c>
      <c r="AE1526" s="2">
        <f t="shared" si="237"/>
        <v>0</v>
      </c>
      <c r="AF1526" t="s">
        <v>2231</v>
      </c>
      <c r="AG1526" s="2">
        <f t="shared" si="238"/>
        <v>9</v>
      </c>
      <c r="AH1526" s="2">
        <f t="shared" si="239"/>
        <v>0</v>
      </c>
      <c r="AI1526" s="3">
        <v>2688.000000002794</v>
      </c>
      <c r="AJ1526" s="2">
        <v>1</v>
      </c>
      <c r="AK1526">
        <v>0</v>
      </c>
      <c r="AL1526">
        <v>1500</v>
      </c>
      <c r="AM1526">
        <v>0</v>
      </c>
      <c r="AN1526" s="2">
        <f>IF((2*G1526+M1526-O1526+3*V1526+2*AB1526+2*AE1526+2*AH1526+3*AJ1526)&gt;=7,1,0)</f>
        <v>0</v>
      </c>
    </row>
    <row r="1527" spans="1:40" x14ac:dyDescent="0.25">
      <c r="A1527" t="s">
        <v>27</v>
      </c>
      <c r="B1527" s="1">
        <v>41166</v>
      </c>
      <c r="C1527" s="6">
        <f t="shared" si="230"/>
        <v>2012</v>
      </c>
      <c r="D1527">
        <v>95</v>
      </c>
      <c r="E1527">
        <v>68</v>
      </c>
      <c r="F1527">
        <v>80.5</v>
      </c>
      <c r="G1527" s="2">
        <f t="shared" si="231"/>
        <v>1</v>
      </c>
      <c r="H1527">
        <v>96.3</v>
      </c>
      <c r="I1527">
        <v>68</v>
      </c>
      <c r="J1527">
        <v>81.099999999999994</v>
      </c>
      <c r="K1527">
        <v>63.4</v>
      </c>
      <c r="L1527">
        <v>59.3</v>
      </c>
      <c r="M1527" s="2">
        <f t="shared" si="232"/>
        <v>1</v>
      </c>
      <c r="N1527">
        <v>0</v>
      </c>
      <c r="O1527" s="2">
        <f t="shared" si="233"/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 s="2">
        <f t="shared" si="234"/>
        <v>0</v>
      </c>
      <c r="W1527">
        <v>25.3</v>
      </c>
      <c r="X1527" s="2">
        <f t="shared" si="235"/>
        <v>1</v>
      </c>
      <c r="Y1527">
        <v>160</v>
      </c>
      <c r="Z1527" s="2" t="str">
        <f>CHOOSE(MATCH(Y1527,{0;11;80;111;161;191;241;281;341},1),"North","NorthEast","East","SouthEast","South","SouthWest","West","NorthWest","North")</f>
        <v>SouthEast</v>
      </c>
      <c r="AA1527" s="4">
        <f>CHOOSE(MATCH(Z1527,{"South";"SouthEast";"SouthWest";"North";"NorthEast";"East";"West";"NorthWest"},0),1,2,3,4,5,6,7,8)</f>
        <v>2</v>
      </c>
      <c r="AB1527" s="2">
        <f t="shared" si="236"/>
        <v>0</v>
      </c>
      <c r="AC1527">
        <v>1010.3</v>
      </c>
      <c r="AD1527" t="s">
        <v>1161</v>
      </c>
      <c r="AE1527" s="2">
        <f t="shared" si="237"/>
        <v>0</v>
      </c>
      <c r="AF1527" t="s">
        <v>2232</v>
      </c>
      <c r="AG1527" s="2">
        <f t="shared" si="238"/>
        <v>9</v>
      </c>
      <c r="AH1527" s="2">
        <f t="shared" si="239"/>
        <v>0</v>
      </c>
      <c r="AI1527" s="3">
        <v>540</v>
      </c>
      <c r="AJ1527" s="2">
        <v>1</v>
      </c>
      <c r="AK1527">
        <v>0</v>
      </c>
      <c r="AL1527">
        <v>10</v>
      </c>
      <c r="AM1527">
        <v>0</v>
      </c>
      <c r="AN1527" s="2">
        <f>IF((2*G1527+M1527-O1527+3*V1527+2*AB1527+2*AE1527+2*AH1527+3*AJ1527)&gt;=7,1,0)</f>
        <v>0</v>
      </c>
    </row>
    <row r="1528" spans="1:40" x14ac:dyDescent="0.25">
      <c r="A1528" t="s">
        <v>27</v>
      </c>
      <c r="B1528" s="1">
        <v>41167</v>
      </c>
      <c r="C1528" s="6">
        <f t="shared" si="230"/>
        <v>2012</v>
      </c>
      <c r="D1528">
        <v>87.8</v>
      </c>
      <c r="E1528">
        <v>77</v>
      </c>
      <c r="F1528">
        <v>81.099999999999994</v>
      </c>
      <c r="G1528" s="2">
        <f t="shared" si="231"/>
        <v>1</v>
      </c>
      <c r="H1528">
        <v>93.5</v>
      </c>
      <c r="I1528">
        <v>77</v>
      </c>
      <c r="J1528">
        <v>83.2</v>
      </c>
      <c r="K1528">
        <v>67.099999999999994</v>
      </c>
      <c r="L1528">
        <v>64.8</v>
      </c>
      <c r="M1528" s="2">
        <f t="shared" si="232"/>
        <v>1</v>
      </c>
      <c r="N1528">
        <v>0</v>
      </c>
      <c r="O1528" s="2">
        <f t="shared" si="233"/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 s="2">
        <f t="shared" si="234"/>
        <v>0</v>
      </c>
      <c r="W1528">
        <v>20.8</v>
      </c>
      <c r="X1528" s="2">
        <f t="shared" si="235"/>
        <v>1</v>
      </c>
      <c r="Y1528">
        <v>184.8</v>
      </c>
      <c r="Z1528" s="2" t="str">
        <f>CHOOSE(MATCH(Y1528,{0;11;80;111;161;191;241;281;341},1),"North","NorthEast","East","SouthEast","South","SouthWest","West","NorthWest","North")</f>
        <v>South</v>
      </c>
      <c r="AA1528" s="4">
        <f>CHOOSE(MATCH(Z1528,{"South";"SouthEast";"SouthWest";"North";"NorthEast";"East";"West";"NorthWest"},0),1,2,3,4,5,6,7,8)</f>
        <v>1</v>
      </c>
      <c r="AB1528" s="2">
        <f t="shared" si="236"/>
        <v>0</v>
      </c>
      <c r="AC1528">
        <v>1008.1</v>
      </c>
      <c r="AD1528" t="s">
        <v>1131</v>
      </c>
      <c r="AE1528" s="2">
        <f t="shared" si="237"/>
        <v>1</v>
      </c>
      <c r="AF1528" t="s">
        <v>2233</v>
      </c>
      <c r="AG1528" s="2">
        <f t="shared" si="238"/>
        <v>9</v>
      </c>
      <c r="AH1528" s="2">
        <f t="shared" si="239"/>
        <v>0</v>
      </c>
      <c r="AI1528" s="3">
        <v>95.000000005820766</v>
      </c>
      <c r="AJ1528" s="2">
        <v>0</v>
      </c>
      <c r="AK1528">
        <v>0</v>
      </c>
      <c r="AL1528">
        <v>0.1</v>
      </c>
      <c r="AM1528">
        <v>0</v>
      </c>
      <c r="AN1528" s="2">
        <f>IF((2*G1528+M1528-O1528+3*V1528+2*AB1528+2*AE1528+2*AH1528+3*AJ1528)&gt;=7,1,0)</f>
        <v>0</v>
      </c>
    </row>
    <row r="1529" spans="1:40" x14ac:dyDescent="0.25">
      <c r="A1529" t="s">
        <v>27</v>
      </c>
      <c r="B1529" s="1">
        <v>41167</v>
      </c>
      <c r="C1529" s="6">
        <f t="shared" si="230"/>
        <v>2012</v>
      </c>
      <c r="D1529">
        <v>87.8</v>
      </c>
      <c r="E1529">
        <v>77</v>
      </c>
      <c r="F1529">
        <v>81.099999999999994</v>
      </c>
      <c r="G1529" s="2">
        <f t="shared" si="231"/>
        <v>1</v>
      </c>
      <c r="H1529">
        <v>93.5</v>
      </c>
      <c r="I1529">
        <v>77</v>
      </c>
      <c r="J1529">
        <v>83.2</v>
      </c>
      <c r="K1529">
        <v>67.099999999999994</v>
      </c>
      <c r="L1529">
        <v>64.8</v>
      </c>
      <c r="M1529" s="2">
        <f t="shared" si="232"/>
        <v>1</v>
      </c>
      <c r="N1529">
        <v>0</v>
      </c>
      <c r="O1529" s="2">
        <f t="shared" si="233"/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 s="2">
        <f t="shared" si="234"/>
        <v>0</v>
      </c>
      <c r="W1529">
        <v>20.8</v>
      </c>
      <c r="X1529" s="2">
        <f t="shared" si="235"/>
        <v>1</v>
      </c>
      <c r="Y1529">
        <v>184.8</v>
      </c>
      <c r="Z1529" s="2" t="str">
        <f>CHOOSE(MATCH(Y1529,{0;11;80;111;161;191;241;281;341},1),"North","NorthEast","East","SouthEast","South","SouthWest","West","NorthWest","North")</f>
        <v>South</v>
      </c>
      <c r="AA1529" s="4">
        <f>CHOOSE(MATCH(Z1529,{"South";"SouthEast";"SouthWest";"North";"NorthEast";"East";"West";"NorthWest"},0),1,2,3,4,5,6,7,8)</f>
        <v>1</v>
      </c>
      <c r="AB1529" s="2">
        <f t="shared" si="236"/>
        <v>0</v>
      </c>
      <c r="AC1529">
        <v>1008.1</v>
      </c>
      <c r="AD1529" t="s">
        <v>1111</v>
      </c>
      <c r="AE1529" s="2">
        <f t="shared" si="237"/>
        <v>1</v>
      </c>
      <c r="AF1529" t="s">
        <v>2234</v>
      </c>
      <c r="AG1529" s="2">
        <f t="shared" si="238"/>
        <v>9</v>
      </c>
      <c r="AH1529" s="2">
        <f t="shared" si="239"/>
        <v>0</v>
      </c>
      <c r="AI1529" s="3">
        <v>2280.000000003492</v>
      </c>
      <c r="AJ1529" s="2">
        <v>1</v>
      </c>
      <c r="AK1529">
        <v>0</v>
      </c>
      <c r="AL1529">
        <v>20</v>
      </c>
      <c r="AM1529">
        <v>0</v>
      </c>
      <c r="AN1529" s="2">
        <f>IF((2*G1529+M1529-O1529+3*V1529+2*AB1529+2*AE1529+2*AH1529+3*AJ1529)&gt;=7,1,0)</f>
        <v>1</v>
      </c>
    </row>
    <row r="1530" spans="1:40" x14ac:dyDescent="0.25">
      <c r="A1530" t="s">
        <v>27</v>
      </c>
      <c r="B1530" s="1">
        <v>41167</v>
      </c>
      <c r="C1530" s="6">
        <f t="shared" si="230"/>
        <v>2012</v>
      </c>
      <c r="D1530">
        <v>87.8</v>
      </c>
      <c r="E1530">
        <v>77</v>
      </c>
      <c r="F1530">
        <v>81.099999999999994</v>
      </c>
      <c r="G1530" s="2">
        <f t="shared" si="231"/>
        <v>1</v>
      </c>
      <c r="H1530">
        <v>93.5</v>
      </c>
      <c r="I1530">
        <v>77</v>
      </c>
      <c r="J1530">
        <v>83.2</v>
      </c>
      <c r="K1530">
        <v>67.099999999999994</v>
      </c>
      <c r="L1530">
        <v>64.8</v>
      </c>
      <c r="M1530" s="2">
        <f t="shared" si="232"/>
        <v>1</v>
      </c>
      <c r="N1530">
        <v>0</v>
      </c>
      <c r="O1530" s="2">
        <f t="shared" si="233"/>
        <v>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 s="2">
        <f t="shared" si="234"/>
        <v>0</v>
      </c>
      <c r="W1530">
        <v>20.8</v>
      </c>
      <c r="X1530" s="2">
        <f t="shared" si="235"/>
        <v>1</v>
      </c>
      <c r="Y1530">
        <v>184.8</v>
      </c>
      <c r="Z1530" s="2" t="str">
        <f>CHOOSE(MATCH(Y1530,{0;11;80;111;161;191;241;281;341},1),"North","NorthEast","East","SouthEast","South","SouthWest","West","NorthWest","North")</f>
        <v>South</v>
      </c>
      <c r="AA1530" s="4">
        <f>CHOOSE(MATCH(Z1530,{"South";"SouthEast";"SouthWest";"North";"NorthEast";"East";"West";"NorthWest"},0),1,2,3,4,5,6,7,8)</f>
        <v>1</v>
      </c>
      <c r="AB1530" s="2">
        <f t="shared" si="236"/>
        <v>0</v>
      </c>
      <c r="AC1530">
        <v>1008.1</v>
      </c>
      <c r="AD1530" t="s">
        <v>1249</v>
      </c>
      <c r="AE1530" s="2">
        <f t="shared" si="237"/>
        <v>1</v>
      </c>
      <c r="AF1530" t="s">
        <v>2235</v>
      </c>
      <c r="AG1530" s="2">
        <f t="shared" si="238"/>
        <v>9</v>
      </c>
      <c r="AH1530" s="2">
        <f t="shared" si="239"/>
        <v>0</v>
      </c>
      <c r="AI1530" s="3">
        <v>946.00000000325963</v>
      </c>
      <c r="AJ1530" s="2">
        <v>1</v>
      </c>
      <c r="AK1530">
        <v>0</v>
      </c>
      <c r="AL1530">
        <v>2</v>
      </c>
      <c r="AM1530">
        <v>0</v>
      </c>
      <c r="AN1530" s="2">
        <f>IF((2*G1530+M1530-O1530+3*V1530+2*AB1530+2*AE1530+2*AH1530+3*AJ1530)&gt;=7,1,0)</f>
        <v>1</v>
      </c>
    </row>
    <row r="1531" spans="1:40" x14ac:dyDescent="0.25">
      <c r="A1531" t="s">
        <v>27</v>
      </c>
      <c r="B1531" s="1">
        <v>41168</v>
      </c>
      <c r="C1531" s="6">
        <f t="shared" si="230"/>
        <v>2012</v>
      </c>
      <c r="D1531">
        <v>82.4</v>
      </c>
      <c r="E1531">
        <v>71.599999999999994</v>
      </c>
      <c r="F1531">
        <v>76.900000000000006</v>
      </c>
      <c r="G1531" s="2">
        <f t="shared" si="231"/>
        <v>1</v>
      </c>
      <c r="H1531">
        <v>88.3</v>
      </c>
      <c r="I1531">
        <v>71.599999999999994</v>
      </c>
      <c r="J1531">
        <v>78.2</v>
      </c>
      <c r="K1531">
        <v>70.8</v>
      </c>
      <c r="L1531">
        <v>82.1</v>
      </c>
      <c r="M1531" s="2">
        <f t="shared" si="232"/>
        <v>0</v>
      </c>
      <c r="N1531">
        <v>0</v>
      </c>
      <c r="O1531" s="2">
        <f t="shared" si="233"/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 s="2">
        <f t="shared" si="234"/>
        <v>0</v>
      </c>
      <c r="W1531">
        <v>10.3</v>
      </c>
      <c r="X1531" s="2">
        <f t="shared" si="235"/>
        <v>0</v>
      </c>
      <c r="Y1531">
        <v>42.2</v>
      </c>
      <c r="Z1531" s="2" t="str">
        <f>CHOOSE(MATCH(Y1531,{0;11;80;111;161;191;241;281;341},1),"North","NorthEast","East","SouthEast","South","SouthWest","West","NorthWest","North")</f>
        <v>NorthEast</v>
      </c>
      <c r="AA1531" s="4">
        <f>CHOOSE(MATCH(Z1531,{"South";"SouthEast";"SouthWest";"North";"NorthEast";"East";"West";"NorthWest"},0),1,2,3,4,5,6,7,8)</f>
        <v>5</v>
      </c>
      <c r="AB1531" s="2">
        <f t="shared" si="236"/>
        <v>1</v>
      </c>
      <c r="AC1531">
        <v>1006.8</v>
      </c>
      <c r="AD1531" t="s">
        <v>1213</v>
      </c>
      <c r="AE1531" s="2">
        <f t="shared" si="237"/>
        <v>1</v>
      </c>
      <c r="AF1531" t="s">
        <v>2236</v>
      </c>
      <c r="AG1531" s="2">
        <f t="shared" si="238"/>
        <v>9</v>
      </c>
      <c r="AH1531" s="2">
        <f t="shared" si="239"/>
        <v>0</v>
      </c>
      <c r="AI1531" s="3">
        <v>1035</v>
      </c>
      <c r="AJ1531" s="2">
        <v>1</v>
      </c>
      <c r="AK1531">
        <v>0</v>
      </c>
      <c r="AL1531">
        <v>0.1</v>
      </c>
      <c r="AM1531">
        <v>0</v>
      </c>
      <c r="AN1531" s="2">
        <f>IF((2*G1531+M1531-O1531+3*V1531+2*AB1531+2*AE1531+2*AH1531+3*AJ1531)&gt;=7,1,0)</f>
        <v>1</v>
      </c>
    </row>
    <row r="1532" spans="1:40" x14ac:dyDescent="0.25">
      <c r="A1532" t="s">
        <v>27</v>
      </c>
      <c r="B1532" s="1">
        <v>41168</v>
      </c>
      <c r="C1532" s="6">
        <f t="shared" si="230"/>
        <v>2012</v>
      </c>
      <c r="D1532">
        <v>82.4</v>
      </c>
      <c r="E1532">
        <v>71.599999999999994</v>
      </c>
      <c r="F1532">
        <v>76.900000000000006</v>
      </c>
      <c r="G1532" s="2">
        <f t="shared" si="231"/>
        <v>1</v>
      </c>
      <c r="H1532">
        <v>88.3</v>
      </c>
      <c r="I1532">
        <v>71.599999999999994</v>
      </c>
      <c r="J1532">
        <v>78.2</v>
      </c>
      <c r="K1532">
        <v>70.8</v>
      </c>
      <c r="L1532">
        <v>82.1</v>
      </c>
      <c r="M1532" s="2">
        <f t="shared" si="232"/>
        <v>0</v>
      </c>
      <c r="N1532">
        <v>0</v>
      </c>
      <c r="O1532" s="2">
        <f t="shared" si="233"/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 s="2">
        <f t="shared" si="234"/>
        <v>0</v>
      </c>
      <c r="W1532">
        <v>10.3</v>
      </c>
      <c r="X1532" s="2">
        <f t="shared" si="235"/>
        <v>0</v>
      </c>
      <c r="Y1532">
        <v>42.2</v>
      </c>
      <c r="Z1532" s="2" t="str">
        <f>CHOOSE(MATCH(Y1532,{0;11;80;111;161;191;241;281;341},1),"North","NorthEast","East","SouthEast","South","SouthWest","West","NorthWest","North")</f>
        <v>NorthEast</v>
      </c>
      <c r="AA1532" s="4">
        <f>CHOOSE(MATCH(Z1532,{"South";"SouthEast";"SouthWest";"North";"NorthEast";"East";"West";"NorthWest"},0),1,2,3,4,5,6,7,8)</f>
        <v>5</v>
      </c>
      <c r="AB1532" s="2">
        <f t="shared" si="236"/>
        <v>1</v>
      </c>
      <c r="AC1532">
        <v>1006.8</v>
      </c>
      <c r="AD1532" t="s">
        <v>2237</v>
      </c>
      <c r="AE1532" s="2">
        <f t="shared" si="237"/>
        <v>0</v>
      </c>
      <c r="AF1532" t="s">
        <v>2238</v>
      </c>
      <c r="AG1532" s="2">
        <f t="shared" si="238"/>
        <v>9</v>
      </c>
      <c r="AH1532" s="2">
        <f t="shared" si="239"/>
        <v>0</v>
      </c>
      <c r="AI1532" s="3">
        <v>1229.999999996508</v>
      </c>
      <c r="AJ1532" s="2">
        <v>1</v>
      </c>
      <c r="AK1532">
        <v>0</v>
      </c>
      <c r="AL1532">
        <v>50</v>
      </c>
      <c r="AM1532">
        <v>0</v>
      </c>
      <c r="AN1532" s="2">
        <f>IF((2*G1532+M1532-O1532+3*V1532+2*AB1532+2*AE1532+2*AH1532+3*AJ1532)&gt;=7,1,0)</f>
        <v>0</v>
      </c>
    </row>
    <row r="1533" spans="1:40" x14ac:dyDescent="0.25">
      <c r="A1533" t="s">
        <v>27</v>
      </c>
      <c r="B1533" s="1">
        <v>41169</v>
      </c>
      <c r="C1533" s="6">
        <f t="shared" si="230"/>
        <v>2012</v>
      </c>
      <c r="D1533">
        <v>78.8</v>
      </c>
      <c r="E1533">
        <v>71.599999999999994</v>
      </c>
      <c r="F1533">
        <v>75.2</v>
      </c>
      <c r="G1533" s="2">
        <f t="shared" si="231"/>
        <v>1</v>
      </c>
      <c r="H1533">
        <v>78.8</v>
      </c>
      <c r="I1533">
        <v>71.599999999999994</v>
      </c>
      <c r="J1533">
        <v>75.2</v>
      </c>
      <c r="K1533">
        <v>68.8</v>
      </c>
      <c r="L1533">
        <v>80.900000000000006</v>
      </c>
      <c r="M1533" s="2">
        <f t="shared" si="232"/>
        <v>0</v>
      </c>
      <c r="N1533">
        <v>0.441</v>
      </c>
      <c r="O1533" s="2">
        <f t="shared" si="233"/>
        <v>0</v>
      </c>
      <c r="P1533">
        <v>100</v>
      </c>
      <c r="Q1533">
        <v>4.17</v>
      </c>
      <c r="R1533" t="s">
        <v>182</v>
      </c>
      <c r="S1533">
        <v>0</v>
      </c>
      <c r="T1533">
        <v>0</v>
      </c>
      <c r="U1533">
        <v>0</v>
      </c>
      <c r="V1533" s="2">
        <f t="shared" si="234"/>
        <v>0</v>
      </c>
      <c r="W1533">
        <v>13.9</v>
      </c>
      <c r="X1533" s="2">
        <f t="shared" si="235"/>
        <v>0</v>
      </c>
      <c r="Y1533">
        <v>320.7</v>
      </c>
      <c r="Z1533" s="2" t="str">
        <f>CHOOSE(MATCH(Y1533,{0;11;80;111;161;191;241;281;341},1),"North","NorthEast","East","SouthEast","South","SouthWest","West","NorthWest","North")</f>
        <v>NorthWest</v>
      </c>
      <c r="AA1533" s="4">
        <f>CHOOSE(MATCH(Z1533,{"South";"SouthEast";"SouthWest";"North";"NorthEast";"East";"West";"NorthWest"},0),1,2,3,4,5,6,7,8)</f>
        <v>8</v>
      </c>
      <c r="AB1533" s="2">
        <f t="shared" si="236"/>
        <v>1</v>
      </c>
      <c r="AC1533">
        <v>1009.8</v>
      </c>
      <c r="AD1533" t="s">
        <v>2239</v>
      </c>
      <c r="AE1533" s="2">
        <f t="shared" si="237"/>
        <v>0</v>
      </c>
      <c r="AF1533" t="s">
        <v>2240</v>
      </c>
      <c r="AG1533" s="2">
        <f t="shared" si="238"/>
        <v>9</v>
      </c>
      <c r="AH1533" s="2">
        <f t="shared" si="239"/>
        <v>0</v>
      </c>
      <c r="AI1533" s="3">
        <v>711.99999999487773</v>
      </c>
      <c r="AJ1533" s="2">
        <v>1</v>
      </c>
      <c r="AK1533">
        <v>4</v>
      </c>
      <c r="AL1533">
        <v>0</v>
      </c>
      <c r="AM1533">
        <v>0</v>
      </c>
      <c r="AN1533" s="2">
        <f>IF((2*G1533+M1533-O1533+3*V1533+2*AB1533+2*AE1533+2*AH1533+3*AJ1533)&gt;=7,1,0)</f>
        <v>1</v>
      </c>
    </row>
    <row r="1534" spans="1:40" x14ac:dyDescent="0.25">
      <c r="A1534" t="s">
        <v>27</v>
      </c>
      <c r="B1534" s="1">
        <v>41171</v>
      </c>
      <c r="C1534" s="6">
        <f t="shared" si="230"/>
        <v>2012</v>
      </c>
      <c r="D1534">
        <v>78.900000000000006</v>
      </c>
      <c r="E1534">
        <v>66.2</v>
      </c>
      <c r="F1534">
        <v>73.900000000000006</v>
      </c>
      <c r="G1534" s="2">
        <f t="shared" si="231"/>
        <v>1</v>
      </c>
      <c r="H1534">
        <v>78.900000000000006</v>
      </c>
      <c r="I1534">
        <v>66.2</v>
      </c>
      <c r="J1534">
        <v>73.900000000000006</v>
      </c>
      <c r="K1534">
        <v>67.3</v>
      </c>
      <c r="L1534">
        <v>80.5</v>
      </c>
      <c r="M1534" s="2">
        <f t="shared" si="232"/>
        <v>0</v>
      </c>
      <c r="N1534">
        <v>0</v>
      </c>
      <c r="O1534" s="2">
        <f t="shared" si="233"/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 s="2">
        <f t="shared" si="234"/>
        <v>0</v>
      </c>
      <c r="W1534">
        <v>11.4</v>
      </c>
      <c r="X1534" s="2">
        <f t="shared" si="235"/>
        <v>0</v>
      </c>
      <c r="Y1534">
        <v>330.3</v>
      </c>
      <c r="Z1534" s="2" t="str">
        <f>CHOOSE(MATCH(Y1534,{0;11;80;111;161;191;241;281;341},1),"North","NorthEast","East","SouthEast","South","SouthWest","West","NorthWest","North")</f>
        <v>NorthWest</v>
      </c>
      <c r="AA1534" s="4">
        <f>CHOOSE(MATCH(Z1534,{"South";"SouthEast";"SouthWest";"North";"NorthEast";"East";"West";"NorthWest"},0),1,2,3,4,5,6,7,8)</f>
        <v>8</v>
      </c>
      <c r="AB1534" s="2">
        <f t="shared" si="236"/>
        <v>1</v>
      </c>
      <c r="AC1534">
        <v>1012.1</v>
      </c>
      <c r="AD1534" t="s">
        <v>2241</v>
      </c>
      <c r="AE1534" s="2">
        <f t="shared" si="237"/>
        <v>1</v>
      </c>
      <c r="AF1534" t="s">
        <v>2242</v>
      </c>
      <c r="AG1534" s="2">
        <f t="shared" si="238"/>
        <v>9</v>
      </c>
      <c r="AH1534" s="2">
        <f t="shared" si="239"/>
        <v>0</v>
      </c>
      <c r="AI1534" s="3">
        <v>40.999999997438863</v>
      </c>
      <c r="AJ1534" s="2">
        <v>0</v>
      </c>
      <c r="AK1534">
        <v>0</v>
      </c>
      <c r="AL1534">
        <v>1</v>
      </c>
      <c r="AM1534">
        <v>0</v>
      </c>
      <c r="AN1534" s="2">
        <f>IF((2*G1534+M1534-O1534+3*V1534+2*AB1534+2*AE1534+2*AH1534+3*AJ1534)&gt;=7,1,0)</f>
        <v>0</v>
      </c>
    </row>
    <row r="1535" spans="1:40" x14ac:dyDescent="0.25">
      <c r="A1535" t="s">
        <v>27</v>
      </c>
      <c r="B1535" s="1">
        <v>41171</v>
      </c>
      <c r="C1535" s="6">
        <f t="shared" si="230"/>
        <v>2012</v>
      </c>
      <c r="D1535">
        <v>78.900000000000006</v>
      </c>
      <c r="E1535">
        <v>66.2</v>
      </c>
      <c r="F1535">
        <v>73.900000000000006</v>
      </c>
      <c r="G1535" s="2">
        <f t="shared" si="231"/>
        <v>1</v>
      </c>
      <c r="H1535">
        <v>78.900000000000006</v>
      </c>
      <c r="I1535">
        <v>66.2</v>
      </c>
      <c r="J1535">
        <v>73.900000000000006</v>
      </c>
      <c r="K1535">
        <v>67.3</v>
      </c>
      <c r="L1535">
        <v>80.5</v>
      </c>
      <c r="M1535" s="2">
        <f t="shared" si="232"/>
        <v>0</v>
      </c>
      <c r="N1535">
        <v>0</v>
      </c>
      <c r="O1535" s="2">
        <f t="shared" si="233"/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s="2">
        <f t="shared" si="234"/>
        <v>0</v>
      </c>
      <c r="W1535">
        <v>11.4</v>
      </c>
      <c r="X1535" s="2">
        <f t="shared" si="235"/>
        <v>0</v>
      </c>
      <c r="Y1535">
        <v>330.3</v>
      </c>
      <c r="Z1535" s="2" t="str">
        <f>CHOOSE(MATCH(Y1535,{0;11;80;111;161;191;241;281;341},1),"North","NorthEast","East","SouthEast","South","SouthWest","West","NorthWest","North")</f>
        <v>NorthWest</v>
      </c>
      <c r="AA1535" s="4">
        <f>CHOOSE(MATCH(Z1535,{"South";"SouthEast";"SouthWest";"North";"NorthEast";"East";"West";"NorthWest"},0),1,2,3,4,5,6,7,8)</f>
        <v>8</v>
      </c>
      <c r="AB1535" s="2">
        <f t="shared" si="236"/>
        <v>1</v>
      </c>
      <c r="AC1535">
        <v>1012.1</v>
      </c>
      <c r="AD1535" t="s">
        <v>2243</v>
      </c>
      <c r="AE1535" s="2">
        <f t="shared" si="237"/>
        <v>1</v>
      </c>
      <c r="AF1535" t="s">
        <v>2244</v>
      </c>
      <c r="AG1535" s="2">
        <f t="shared" si="238"/>
        <v>9</v>
      </c>
      <c r="AH1535" s="2">
        <f t="shared" si="239"/>
        <v>0</v>
      </c>
      <c r="AI1535" s="3">
        <v>95.999999998603016</v>
      </c>
      <c r="AJ1535" s="2">
        <v>0</v>
      </c>
      <c r="AK1535">
        <v>100</v>
      </c>
      <c r="AL1535">
        <v>0</v>
      </c>
      <c r="AM1535">
        <v>0</v>
      </c>
      <c r="AN1535" s="2">
        <f>IF((2*G1535+M1535-O1535+3*V1535+2*AB1535+2*AE1535+2*AH1535+3*AJ1535)&gt;=7,1,0)</f>
        <v>0</v>
      </c>
    </row>
    <row r="1536" spans="1:40" x14ac:dyDescent="0.25">
      <c r="A1536" t="s">
        <v>27</v>
      </c>
      <c r="B1536" s="1">
        <v>41172</v>
      </c>
      <c r="C1536" s="6">
        <f t="shared" si="230"/>
        <v>2012</v>
      </c>
      <c r="D1536">
        <v>80.599999999999994</v>
      </c>
      <c r="E1536">
        <v>68</v>
      </c>
      <c r="F1536">
        <v>74.099999999999994</v>
      </c>
      <c r="G1536" s="2">
        <f t="shared" si="231"/>
        <v>1</v>
      </c>
      <c r="H1536">
        <v>83.9</v>
      </c>
      <c r="I1536">
        <v>68</v>
      </c>
      <c r="J1536">
        <v>74.599999999999994</v>
      </c>
      <c r="K1536">
        <v>66.7</v>
      </c>
      <c r="L1536">
        <v>78.3</v>
      </c>
      <c r="M1536" s="2">
        <f t="shared" si="232"/>
        <v>0</v>
      </c>
      <c r="N1536">
        <v>0</v>
      </c>
      <c r="O1536" s="2">
        <f t="shared" si="233"/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 s="2">
        <f t="shared" si="234"/>
        <v>0</v>
      </c>
      <c r="W1536">
        <v>19.5</v>
      </c>
      <c r="X1536" s="2">
        <f t="shared" si="235"/>
        <v>1</v>
      </c>
      <c r="Y1536">
        <v>291.2</v>
      </c>
      <c r="Z1536" s="2" t="str">
        <f>CHOOSE(MATCH(Y1536,{0;11;80;111;161;191;241;281;341},1),"North","NorthEast","East","SouthEast","South","SouthWest","West","NorthWest","North")</f>
        <v>NorthWest</v>
      </c>
      <c r="AA1536" s="4">
        <f>CHOOSE(MATCH(Z1536,{"South";"SouthEast";"SouthWest";"North";"NorthEast";"East";"West";"NorthWest"},0),1,2,3,4,5,6,7,8)</f>
        <v>8</v>
      </c>
      <c r="AB1536" s="2">
        <f t="shared" si="236"/>
        <v>1</v>
      </c>
      <c r="AC1536">
        <v>1012.4</v>
      </c>
      <c r="AD1536" t="s">
        <v>1885</v>
      </c>
      <c r="AE1536" s="2">
        <f t="shared" si="237"/>
        <v>1</v>
      </c>
      <c r="AF1536" t="s">
        <v>2245</v>
      </c>
      <c r="AG1536" s="2">
        <f t="shared" si="238"/>
        <v>9</v>
      </c>
      <c r="AH1536" s="2">
        <f t="shared" si="239"/>
        <v>0</v>
      </c>
      <c r="AI1536" s="3">
        <v>24.99999999767169</v>
      </c>
      <c r="AJ1536" s="2">
        <v>0</v>
      </c>
      <c r="AK1536">
        <v>0</v>
      </c>
      <c r="AL1536">
        <v>1</v>
      </c>
      <c r="AM1536">
        <v>0</v>
      </c>
      <c r="AN1536" s="2">
        <f>IF((2*G1536+M1536-O1536+3*V1536+2*AB1536+2*AE1536+2*AH1536+3*AJ1536)&gt;=7,1,0)</f>
        <v>0</v>
      </c>
    </row>
    <row r="1537" spans="1:40" x14ac:dyDescent="0.25">
      <c r="A1537" t="s">
        <v>27</v>
      </c>
      <c r="B1537" s="1">
        <v>41172</v>
      </c>
      <c r="C1537" s="6">
        <f t="shared" si="230"/>
        <v>2012</v>
      </c>
      <c r="D1537">
        <v>80.599999999999994</v>
      </c>
      <c r="E1537">
        <v>68</v>
      </c>
      <c r="F1537">
        <v>74.099999999999994</v>
      </c>
      <c r="G1537" s="2">
        <f t="shared" si="231"/>
        <v>1</v>
      </c>
      <c r="H1537">
        <v>83.9</v>
      </c>
      <c r="I1537">
        <v>68</v>
      </c>
      <c r="J1537">
        <v>74.599999999999994</v>
      </c>
      <c r="K1537">
        <v>66.7</v>
      </c>
      <c r="L1537">
        <v>78.3</v>
      </c>
      <c r="M1537" s="2">
        <f t="shared" si="232"/>
        <v>0</v>
      </c>
      <c r="N1537">
        <v>0</v>
      </c>
      <c r="O1537" s="2">
        <f t="shared" si="233"/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 s="2">
        <f t="shared" si="234"/>
        <v>0</v>
      </c>
      <c r="W1537">
        <v>19.5</v>
      </c>
      <c r="X1537" s="2">
        <f t="shared" si="235"/>
        <v>1</v>
      </c>
      <c r="Y1537">
        <v>291.2</v>
      </c>
      <c r="Z1537" s="2" t="str">
        <f>CHOOSE(MATCH(Y1537,{0;11;80;111;161;191;241;281;341},1),"North","NorthEast","East","SouthEast","South","SouthWest","West","NorthWest","North")</f>
        <v>NorthWest</v>
      </c>
      <c r="AA1537" s="4">
        <f>CHOOSE(MATCH(Z1537,{"South";"SouthEast";"SouthWest";"North";"NorthEast";"East";"West";"NorthWest"},0),1,2,3,4,5,6,7,8)</f>
        <v>8</v>
      </c>
      <c r="AB1537" s="2">
        <f t="shared" si="236"/>
        <v>1</v>
      </c>
      <c r="AC1537">
        <v>1012.4</v>
      </c>
      <c r="AD1537" t="s">
        <v>1103</v>
      </c>
      <c r="AE1537" s="2">
        <f t="shared" si="237"/>
        <v>1</v>
      </c>
      <c r="AF1537" t="s">
        <v>2246</v>
      </c>
      <c r="AG1537" s="2">
        <f t="shared" si="238"/>
        <v>9</v>
      </c>
      <c r="AH1537" s="2">
        <f t="shared" si="239"/>
        <v>0</v>
      </c>
      <c r="AI1537" s="3">
        <v>1350</v>
      </c>
      <c r="AJ1537" s="2">
        <v>1</v>
      </c>
      <c r="AK1537">
        <v>0</v>
      </c>
      <c r="AL1537">
        <v>3</v>
      </c>
      <c r="AM1537">
        <v>0</v>
      </c>
      <c r="AN1537" s="2">
        <f>IF((2*G1537+M1537-O1537+3*V1537+2*AB1537+2*AE1537+2*AH1537+3*AJ1537)&gt;=7,1,0)</f>
        <v>1</v>
      </c>
    </row>
    <row r="1538" spans="1:40" x14ac:dyDescent="0.25">
      <c r="A1538" t="s">
        <v>27</v>
      </c>
      <c r="B1538" s="1">
        <v>41172</v>
      </c>
      <c r="C1538" s="6">
        <f t="shared" si="230"/>
        <v>2012</v>
      </c>
      <c r="D1538">
        <v>80.599999999999994</v>
      </c>
      <c r="E1538">
        <v>68</v>
      </c>
      <c r="F1538">
        <v>74.099999999999994</v>
      </c>
      <c r="G1538" s="2">
        <f t="shared" si="231"/>
        <v>1</v>
      </c>
      <c r="H1538">
        <v>83.9</v>
      </c>
      <c r="I1538">
        <v>68</v>
      </c>
      <c r="J1538">
        <v>74.599999999999994</v>
      </c>
      <c r="K1538">
        <v>66.7</v>
      </c>
      <c r="L1538">
        <v>78.3</v>
      </c>
      <c r="M1538" s="2">
        <f t="shared" si="232"/>
        <v>0</v>
      </c>
      <c r="N1538">
        <v>0</v>
      </c>
      <c r="O1538" s="2">
        <f t="shared" si="233"/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 s="2">
        <f t="shared" si="234"/>
        <v>0</v>
      </c>
      <c r="W1538">
        <v>19.5</v>
      </c>
      <c r="X1538" s="2">
        <f t="shared" si="235"/>
        <v>1</v>
      </c>
      <c r="Y1538">
        <v>291.2</v>
      </c>
      <c r="Z1538" s="2" t="str">
        <f>CHOOSE(MATCH(Y1538,{0;11;80;111;161;191;241;281;341},1),"North","NorthEast","East","SouthEast","South","SouthWest","West","NorthWest","North")</f>
        <v>NorthWest</v>
      </c>
      <c r="AA1538" s="4">
        <f>CHOOSE(MATCH(Z1538,{"South";"SouthEast";"SouthWest";"North";"NorthEast";"East";"West";"NorthWest"},0),1,2,3,4,5,6,7,8)</f>
        <v>8</v>
      </c>
      <c r="AB1538" s="2">
        <f t="shared" si="236"/>
        <v>1</v>
      </c>
      <c r="AC1538">
        <v>1012.4</v>
      </c>
      <c r="AD1538" t="s">
        <v>2247</v>
      </c>
      <c r="AE1538" s="2">
        <f t="shared" si="237"/>
        <v>1</v>
      </c>
      <c r="AF1538" t="s">
        <v>2248</v>
      </c>
      <c r="AG1538" s="2">
        <f t="shared" si="238"/>
        <v>9</v>
      </c>
      <c r="AH1538" s="2">
        <f t="shared" si="239"/>
        <v>0</v>
      </c>
      <c r="AI1538" s="3">
        <v>980.9999999916181</v>
      </c>
      <c r="AJ1538" s="2">
        <v>1</v>
      </c>
      <c r="AK1538">
        <v>0</v>
      </c>
      <c r="AL1538">
        <v>25</v>
      </c>
      <c r="AM1538">
        <v>0</v>
      </c>
      <c r="AN1538" s="2">
        <f>IF((2*G1538+M1538-O1538+3*V1538+2*AB1538+2*AE1538+2*AH1538+3*AJ1538)&gt;=7,1,0)</f>
        <v>1</v>
      </c>
    </row>
    <row r="1539" spans="1:40" x14ac:dyDescent="0.25">
      <c r="A1539" t="s">
        <v>27</v>
      </c>
      <c r="B1539" s="1">
        <v>41173</v>
      </c>
      <c r="C1539" s="6">
        <f t="shared" ref="C1539:C1602" si="240">YEAR(B1539)</f>
        <v>2012</v>
      </c>
      <c r="D1539">
        <v>80.599999999999994</v>
      </c>
      <c r="E1539">
        <v>67.7</v>
      </c>
      <c r="F1539">
        <v>74.900000000000006</v>
      </c>
      <c r="G1539" s="2">
        <f t="shared" ref="G1539:G1602" si="241">IF(F1539&lt;=70,0,1)</f>
        <v>1</v>
      </c>
      <c r="H1539">
        <v>83.9</v>
      </c>
      <c r="I1539">
        <v>67.7</v>
      </c>
      <c r="J1539">
        <v>75.400000000000006</v>
      </c>
      <c r="K1539">
        <v>66.7</v>
      </c>
      <c r="L1539">
        <v>76</v>
      </c>
      <c r="M1539" s="2">
        <f t="shared" ref="M1539:M1602" si="242">IF(L1539&lt;=66,1,0)</f>
        <v>0</v>
      </c>
      <c r="N1539">
        <v>0</v>
      </c>
      <c r="O1539" s="2">
        <f t="shared" ref="O1539:O1602" si="243">IF(N1539&lt;=0.01,1,0)</f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 s="2">
        <f t="shared" ref="V1539:V1602" si="244">IF(U1539&lt;=9,0,1)</f>
        <v>0</v>
      </c>
      <c r="W1539">
        <v>15</v>
      </c>
      <c r="X1539" s="2">
        <f t="shared" ref="X1539:X1602" si="245">IF(W1539&gt;=16,1,0)</f>
        <v>0</v>
      </c>
      <c r="Y1539">
        <v>4.5999999999999996</v>
      </c>
      <c r="Z1539" s="2" t="str">
        <f>CHOOSE(MATCH(Y1539,{0;11;80;111;161;191;241;281;341},1),"North","NorthEast","East","SouthEast","South","SouthWest","West","NorthWest","North")</f>
        <v>North</v>
      </c>
      <c r="AA1539" s="4">
        <f>CHOOSE(MATCH(Z1539,{"South";"SouthEast";"SouthWest";"North";"NorthEast";"East";"West";"NorthWest"},0),1,2,3,4,5,6,7,8)</f>
        <v>4</v>
      </c>
      <c r="AB1539" s="2">
        <f t="shared" ref="AB1539:AB1602" si="246">IF(OR(AA1539=4,AA1539=5,AA1539=8),1,0)</f>
        <v>1</v>
      </c>
      <c r="AC1539">
        <v>1013.5</v>
      </c>
      <c r="AD1539" t="s">
        <v>1125</v>
      </c>
      <c r="AE1539" s="2">
        <f t="shared" ref="AE1539:AE1602" si="247">IF(TIMEVALUE(AD1539)&lt;=TIME(12,30,0),0,1)</f>
        <v>1</v>
      </c>
      <c r="AF1539" t="s">
        <v>2249</v>
      </c>
      <c r="AG1539" s="2">
        <f t="shared" ref="AG1539:AG1602" si="248">MONTH(AF1539)</f>
        <v>9</v>
      </c>
      <c r="AH1539" s="2">
        <f t="shared" ref="AH1539:AH1602" si="249">IF(OR(AG1539=6,AG1539=7,AG1539=8),1,0)</f>
        <v>0</v>
      </c>
      <c r="AI1539" s="3">
        <v>1090.0000000011639</v>
      </c>
      <c r="AJ1539" s="2">
        <v>1</v>
      </c>
      <c r="AK1539">
        <v>0</v>
      </c>
      <c r="AL1539">
        <v>180</v>
      </c>
      <c r="AM1539">
        <v>0</v>
      </c>
      <c r="AN1539" s="2">
        <f>IF((2*G1539+M1539-O1539+3*V1539+2*AB1539+2*AE1539+2*AH1539+3*AJ1539)&gt;=7,1,0)</f>
        <v>1</v>
      </c>
    </row>
    <row r="1540" spans="1:40" x14ac:dyDescent="0.25">
      <c r="A1540" t="s">
        <v>27</v>
      </c>
      <c r="B1540" s="1">
        <v>41174</v>
      </c>
      <c r="C1540" s="6">
        <f t="shared" si="240"/>
        <v>2012</v>
      </c>
      <c r="D1540">
        <v>77</v>
      </c>
      <c r="E1540">
        <v>66.2</v>
      </c>
      <c r="F1540">
        <v>73.2</v>
      </c>
      <c r="G1540" s="2">
        <f t="shared" si="241"/>
        <v>1</v>
      </c>
      <c r="H1540">
        <v>77</v>
      </c>
      <c r="I1540">
        <v>66.2</v>
      </c>
      <c r="J1540">
        <v>73.2</v>
      </c>
      <c r="K1540">
        <v>63.4</v>
      </c>
      <c r="L1540">
        <v>72</v>
      </c>
      <c r="M1540" s="2">
        <f t="shared" si="242"/>
        <v>0</v>
      </c>
      <c r="N1540">
        <v>0</v>
      </c>
      <c r="O1540" s="2">
        <f t="shared" si="243"/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 s="2">
        <f t="shared" si="244"/>
        <v>0</v>
      </c>
      <c r="W1540">
        <v>11.4</v>
      </c>
      <c r="X1540" s="2">
        <f t="shared" si="245"/>
        <v>0</v>
      </c>
      <c r="Y1540">
        <v>8.1999999999999993</v>
      </c>
      <c r="Z1540" s="2" t="str">
        <f>CHOOSE(MATCH(Y1540,{0;11;80;111;161;191;241;281;341},1),"North","NorthEast","East","SouthEast","South","SouthWest","West","NorthWest","North")</f>
        <v>North</v>
      </c>
      <c r="AA1540" s="4">
        <f>CHOOSE(MATCH(Z1540,{"South";"SouthEast";"SouthWest";"North";"NorthEast";"East";"West";"NorthWest"},0),1,2,3,4,5,6,7,8)</f>
        <v>4</v>
      </c>
      <c r="AB1540" s="2">
        <f t="shared" si="246"/>
        <v>1</v>
      </c>
      <c r="AC1540">
        <v>1015.8</v>
      </c>
      <c r="AD1540" t="s">
        <v>1243</v>
      </c>
      <c r="AE1540" s="2">
        <f t="shared" si="247"/>
        <v>1</v>
      </c>
      <c r="AF1540" t="s">
        <v>2250</v>
      </c>
      <c r="AG1540" s="2">
        <f t="shared" si="248"/>
        <v>9</v>
      </c>
      <c r="AH1540" s="2">
        <f t="shared" si="249"/>
        <v>0</v>
      </c>
      <c r="AI1540" s="3">
        <v>1579.9999999953429</v>
      </c>
      <c r="AJ1540" s="2">
        <v>1</v>
      </c>
      <c r="AK1540">
        <v>0</v>
      </c>
      <c r="AL1540">
        <v>19</v>
      </c>
      <c r="AM1540">
        <v>0</v>
      </c>
      <c r="AN1540" s="2">
        <f>IF((2*G1540+M1540-O1540+3*V1540+2*AB1540+2*AE1540+2*AH1540+3*AJ1540)&gt;=7,1,0)</f>
        <v>1</v>
      </c>
    </row>
    <row r="1541" spans="1:40" x14ac:dyDescent="0.25">
      <c r="A1541" t="s">
        <v>27</v>
      </c>
      <c r="B1541" s="1">
        <v>41176</v>
      </c>
      <c r="C1541" s="6">
        <f t="shared" si="240"/>
        <v>2012</v>
      </c>
      <c r="D1541">
        <v>78.8</v>
      </c>
      <c r="E1541">
        <v>64.400000000000006</v>
      </c>
      <c r="F1541">
        <v>72.900000000000006</v>
      </c>
      <c r="G1541" s="2">
        <f t="shared" si="241"/>
        <v>1</v>
      </c>
      <c r="H1541">
        <v>78.8</v>
      </c>
      <c r="I1541">
        <v>64.400000000000006</v>
      </c>
      <c r="J1541">
        <v>72.900000000000006</v>
      </c>
      <c r="K1541">
        <v>63.4</v>
      </c>
      <c r="L1541">
        <v>72.7</v>
      </c>
      <c r="M1541" s="2">
        <f t="shared" si="242"/>
        <v>0</v>
      </c>
      <c r="N1541">
        <v>0</v>
      </c>
      <c r="O1541" s="2">
        <f t="shared" si="243"/>
        <v>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 s="2">
        <f t="shared" si="244"/>
        <v>0</v>
      </c>
      <c r="W1541">
        <v>15</v>
      </c>
      <c r="X1541" s="2">
        <f t="shared" si="245"/>
        <v>0</v>
      </c>
      <c r="Y1541">
        <v>318.2</v>
      </c>
      <c r="Z1541" s="2" t="str">
        <f>CHOOSE(MATCH(Y1541,{0;11;80;111;161;191;241;281;341},1),"North","NorthEast","East","SouthEast","South","SouthWest","West","NorthWest","North")</f>
        <v>NorthWest</v>
      </c>
      <c r="AA1541" s="4">
        <f>CHOOSE(MATCH(Z1541,{"South";"SouthEast";"SouthWest";"North";"NorthEast";"East";"West";"NorthWest"},0),1,2,3,4,5,6,7,8)</f>
        <v>8</v>
      </c>
      <c r="AB1541" s="2">
        <f t="shared" si="246"/>
        <v>1</v>
      </c>
      <c r="AC1541">
        <v>1014.4</v>
      </c>
      <c r="AD1541" t="s">
        <v>1252</v>
      </c>
      <c r="AE1541" s="2">
        <f t="shared" si="247"/>
        <v>1</v>
      </c>
      <c r="AF1541" t="s">
        <v>2251</v>
      </c>
      <c r="AG1541" s="2">
        <f t="shared" si="248"/>
        <v>9</v>
      </c>
      <c r="AH1541" s="2">
        <f t="shared" si="249"/>
        <v>0</v>
      </c>
      <c r="AI1541" s="3">
        <v>705.00000000349246</v>
      </c>
      <c r="AJ1541" s="2">
        <v>1</v>
      </c>
      <c r="AK1541">
        <v>0</v>
      </c>
      <c r="AL1541">
        <v>2</v>
      </c>
      <c r="AM1541">
        <v>0</v>
      </c>
      <c r="AN1541" s="2">
        <f>IF((2*G1541+M1541-O1541+3*V1541+2*AB1541+2*AE1541+2*AH1541+3*AJ1541)&gt;=7,1,0)</f>
        <v>1</v>
      </c>
    </row>
    <row r="1542" spans="1:40" x14ac:dyDescent="0.25">
      <c r="A1542" t="s">
        <v>27</v>
      </c>
      <c r="B1542" s="1">
        <v>41178</v>
      </c>
      <c r="C1542" s="6">
        <f t="shared" si="240"/>
        <v>2012</v>
      </c>
      <c r="D1542">
        <v>84.2</v>
      </c>
      <c r="E1542">
        <v>66.2</v>
      </c>
      <c r="F1542">
        <v>74.7</v>
      </c>
      <c r="G1542" s="2">
        <f t="shared" si="241"/>
        <v>1</v>
      </c>
      <c r="H1542">
        <v>91</v>
      </c>
      <c r="I1542">
        <v>66.2</v>
      </c>
      <c r="J1542">
        <v>76.7</v>
      </c>
      <c r="K1542">
        <v>66.7</v>
      </c>
      <c r="L1542">
        <v>76.8</v>
      </c>
      <c r="M1542" s="2">
        <f t="shared" si="242"/>
        <v>0</v>
      </c>
      <c r="N1542">
        <v>0</v>
      </c>
      <c r="O1542" s="2">
        <f t="shared" si="243"/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 s="2">
        <f t="shared" si="244"/>
        <v>0</v>
      </c>
      <c r="W1542">
        <v>8.1</v>
      </c>
      <c r="X1542" s="2">
        <f t="shared" si="245"/>
        <v>0</v>
      </c>
      <c r="Y1542">
        <v>170.4</v>
      </c>
      <c r="Z1542" s="2" t="str">
        <f>CHOOSE(MATCH(Y1542,{0;11;80;111;161;191;241;281;341},1),"North","NorthEast","East","SouthEast","South","SouthWest","West","NorthWest","North")</f>
        <v>South</v>
      </c>
      <c r="AA1542" s="4">
        <f>CHOOSE(MATCH(Z1542,{"South";"SouthEast";"SouthWest";"North";"NorthEast";"East";"West";"NorthWest"},0),1,2,3,4,5,6,7,8)</f>
        <v>1</v>
      </c>
      <c r="AB1542" s="2">
        <f t="shared" si="246"/>
        <v>0</v>
      </c>
      <c r="AC1542">
        <v>1012.9</v>
      </c>
      <c r="AD1542" t="s">
        <v>1914</v>
      </c>
      <c r="AE1542" s="2">
        <f t="shared" si="247"/>
        <v>1</v>
      </c>
      <c r="AF1542" t="s">
        <v>2252</v>
      </c>
      <c r="AG1542" s="2">
        <f t="shared" si="248"/>
        <v>9</v>
      </c>
      <c r="AH1542" s="2">
        <f t="shared" si="249"/>
        <v>0</v>
      </c>
      <c r="AI1542" s="3">
        <v>294.99999999767169</v>
      </c>
      <c r="AJ1542" s="2">
        <v>0</v>
      </c>
      <c r="AK1542">
        <v>0</v>
      </c>
      <c r="AL1542">
        <v>1</v>
      </c>
      <c r="AM1542">
        <v>0</v>
      </c>
      <c r="AN1542" s="2">
        <f>IF((2*G1542+M1542-O1542+3*V1542+2*AB1542+2*AE1542+2*AH1542+3*AJ1542)&gt;=7,1,0)</f>
        <v>0</v>
      </c>
    </row>
    <row r="1543" spans="1:40" x14ac:dyDescent="0.25">
      <c r="A1543" t="s">
        <v>27</v>
      </c>
      <c r="B1543" s="1">
        <v>41179</v>
      </c>
      <c r="C1543" s="6">
        <f t="shared" si="240"/>
        <v>2012</v>
      </c>
      <c r="D1543">
        <v>84.2</v>
      </c>
      <c r="E1543">
        <v>66.2</v>
      </c>
      <c r="F1543">
        <v>75.400000000000006</v>
      </c>
      <c r="G1543" s="2">
        <f t="shared" si="241"/>
        <v>1</v>
      </c>
      <c r="H1543">
        <v>89.6</v>
      </c>
      <c r="I1543">
        <v>66.2</v>
      </c>
      <c r="J1543">
        <v>77.2</v>
      </c>
      <c r="K1543">
        <v>65.900000000000006</v>
      </c>
      <c r="L1543">
        <v>72.599999999999994</v>
      </c>
      <c r="M1543" s="2">
        <f t="shared" si="242"/>
        <v>0</v>
      </c>
      <c r="N1543">
        <v>0</v>
      </c>
      <c r="O1543" s="2">
        <f t="shared" si="243"/>
        <v>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 s="2">
        <f t="shared" si="244"/>
        <v>0</v>
      </c>
      <c r="W1543">
        <v>8.1</v>
      </c>
      <c r="X1543" s="2">
        <f t="shared" si="245"/>
        <v>0</v>
      </c>
      <c r="Y1543">
        <v>220.3</v>
      </c>
      <c r="Z1543" s="2" t="str">
        <f>CHOOSE(MATCH(Y1543,{0;11;80;111;161;191;241;281;341},1),"North","NorthEast","East","SouthEast","South","SouthWest","West","NorthWest","North")</f>
        <v>SouthWest</v>
      </c>
      <c r="AA1543" s="4">
        <f>CHOOSE(MATCH(Z1543,{"South";"SouthEast";"SouthWest";"North";"NorthEast";"East";"West";"NorthWest"},0),1,2,3,4,5,6,7,8)</f>
        <v>3</v>
      </c>
      <c r="AB1543" s="2">
        <f t="shared" si="246"/>
        <v>0</v>
      </c>
      <c r="AC1543">
        <v>1014.5</v>
      </c>
      <c r="AD1543" t="s">
        <v>1097</v>
      </c>
      <c r="AE1543" s="2">
        <f t="shared" si="247"/>
        <v>1</v>
      </c>
      <c r="AF1543" t="s">
        <v>2253</v>
      </c>
      <c r="AG1543" s="2">
        <f t="shared" si="248"/>
        <v>9</v>
      </c>
      <c r="AH1543" s="2">
        <f t="shared" si="249"/>
        <v>0</v>
      </c>
      <c r="AI1543" s="3">
        <v>1680.9999999997669</v>
      </c>
      <c r="AJ1543" s="2">
        <v>1</v>
      </c>
      <c r="AK1543">
        <v>0</v>
      </c>
      <c r="AL1543">
        <v>150</v>
      </c>
      <c r="AM1543">
        <v>0</v>
      </c>
      <c r="AN1543" s="2">
        <f>IF((2*G1543+M1543-O1543+3*V1543+2*AB1543+2*AE1543+2*AH1543+3*AJ1543)&gt;=7,1,0)</f>
        <v>0</v>
      </c>
    </row>
    <row r="1544" spans="1:40" x14ac:dyDescent="0.25">
      <c r="A1544" t="s">
        <v>27</v>
      </c>
      <c r="B1544" s="1">
        <v>41179</v>
      </c>
      <c r="C1544" s="6">
        <f t="shared" si="240"/>
        <v>2012</v>
      </c>
      <c r="D1544">
        <v>84.2</v>
      </c>
      <c r="E1544">
        <v>66.2</v>
      </c>
      <c r="F1544">
        <v>75.400000000000006</v>
      </c>
      <c r="G1544" s="2">
        <f t="shared" si="241"/>
        <v>1</v>
      </c>
      <c r="H1544">
        <v>89.6</v>
      </c>
      <c r="I1544">
        <v>66.2</v>
      </c>
      <c r="J1544">
        <v>77.2</v>
      </c>
      <c r="K1544">
        <v>65.900000000000006</v>
      </c>
      <c r="L1544">
        <v>72.599999999999994</v>
      </c>
      <c r="M1544" s="2">
        <f t="shared" si="242"/>
        <v>0</v>
      </c>
      <c r="N1544">
        <v>0</v>
      </c>
      <c r="O1544" s="2">
        <f t="shared" si="243"/>
        <v>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 s="2">
        <f t="shared" si="244"/>
        <v>0</v>
      </c>
      <c r="W1544">
        <v>8.1</v>
      </c>
      <c r="X1544" s="2">
        <f t="shared" si="245"/>
        <v>0</v>
      </c>
      <c r="Y1544">
        <v>220.3</v>
      </c>
      <c r="Z1544" s="2" t="str">
        <f>CHOOSE(MATCH(Y1544,{0;11;80;111;161;191;241;281;341},1),"North","NorthEast","East","SouthEast","South","SouthWest","West","NorthWest","North")</f>
        <v>SouthWest</v>
      </c>
      <c r="AA1544" s="4">
        <f>CHOOSE(MATCH(Z1544,{"South";"SouthEast";"SouthWest";"North";"NorthEast";"East";"West";"NorthWest"},0),1,2,3,4,5,6,7,8)</f>
        <v>3</v>
      </c>
      <c r="AB1544" s="2">
        <f t="shared" si="246"/>
        <v>0</v>
      </c>
      <c r="AC1544">
        <v>1014.5</v>
      </c>
      <c r="AD1544" t="s">
        <v>2254</v>
      </c>
      <c r="AE1544" s="2">
        <f t="shared" si="247"/>
        <v>0</v>
      </c>
      <c r="AF1544" t="s">
        <v>2255</v>
      </c>
      <c r="AG1544" s="2">
        <f t="shared" si="248"/>
        <v>9</v>
      </c>
      <c r="AH1544" s="2">
        <f t="shared" si="249"/>
        <v>0</v>
      </c>
      <c r="AI1544" s="3">
        <v>151.99999999254939</v>
      </c>
      <c r="AJ1544" s="2">
        <v>0</v>
      </c>
      <c r="AK1544">
        <v>0.5</v>
      </c>
      <c r="AL1544">
        <v>0</v>
      </c>
      <c r="AM1544">
        <v>0</v>
      </c>
      <c r="AN1544" s="2">
        <f>IF((2*G1544+M1544-O1544+3*V1544+2*AB1544+2*AE1544+2*AH1544+3*AJ1544)&gt;=7,1,0)</f>
        <v>0</v>
      </c>
    </row>
    <row r="1545" spans="1:40" x14ac:dyDescent="0.25">
      <c r="A1545" t="s">
        <v>27</v>
      </c>
      <c r="B1545" s="1">
        <v>41179</v>
      </c>
      <c r="C1545" s="6">
        <f t="shared" si="240"/>
        <v>2012</v>
      </c>
      <c r="D1545">
        <v>84.2</v>
      </c>
      <c r="E1545">
        <v>66.2</v>
      </c>
      <c r="F1545">
        <v>75.400000000000006</v>
      </c>
      <c r="G1545" s="2">
        <f t="shared" si="241"/>
        <v>1</v>
      </c>
      <c r="H1545">
        <v>89.6</v>
      </c>
      <c r="I1545">
        <v>66.2</v>
      </c>
      <c r="J1545">
        <v>77.2</v>
      </c>
      <c r="K1545">
        <v>65.900000000000006</v>
      </c>
      <c r="L1545">
        <v>72.599999999999994</v>
      </c>
      <c r="M1545" s="2">
        <f t="shared" si="242"/>
        <v>0</v>
      </c>
      <c r="N1545">
        <v>0</v>
      </c>
      <c r="O1545" s="2">
        <f t="shared" si="243"/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 s="2">
        <f t="shared" si="244"/>
        <v>0</v>
      </c>
      <c r="W1545">
        <v>8.1</v>
      </c>
      <c r="X1545" s="2">
        <f t="shared" si="245"/>
        <v>0</v>
      </c>
      <c r="Y1545">
        <v>220.3</v>
      </c>
      <c r="Z1545" s="2" t="str">
        <f>CHOOSE(MATCH(Y1545,{0;11;80;111;161;191;241;281;341},1),"North","NorthEast","East","SouthEast","South","SouthWest","West","NorthWest","North")</f>
        <v>SouthWest</v>
      </c>
      <c r="AA1545" s="4">
        <f>CHOOSE(MATCH(Z1545,{"South";"SouthEast";"SouthWest";"North";"NorthEast";"East";"West";"NorthWest"},0),1,2,3,4,5,6,7,8)</f>
        <v>3</v>
      </c>
      <c r="AB1545" s="2">
        <f t="shared" si="246"/>
        <v>0</v>
      </c>
      <c r="AC1545">
        <v>1014.5</v>
      </c>
      <c r="AD1545" t="s">
        <v>2256</v>
      </c>
      <c r="AE1545" s="2">
        <f t="shared" si="247"/>
        <v>1</v>
      </c>
      <c r="AF1545" t="s">
        <v>2257</v>
      </c>
      <c r="AG1545" s="2">
        <f t="shared" si="248"/>
        <v>9</v>
      </c>
      <c r="AH1545" s="2">
        <f t="shared" si="249"/>
        <v>0</v>
      </c>
      <c r="AI1545" s="3">
        <v>780.99999999976717</v>
      </c>
      <c r="AJ1545" s="2">
        <v>1</v>
      </c>
      <c r="AK1545">
        <v>0</v>
      </c>
      <c r="AL1545">
        <v>50</v>
      </c>
      <c r="AM1545">
        <v>0</v>
      </c>
      <c r="AN1545" s="2">
        <f>IF((2*G1545+M1545-O1545+3*V1545+2*AB1545+2*AE1545+2*AH1545+3*AJ1545)&gt;=7,1,0)</f>
        <v>0</v>
      </c>
    </row>
    <row r="1546" spans="1:40" x14ac:dyDescent="0.25">
      <c r="A1546" t="s">
        <v>27</v>
      </c>
      <c r="B1546" s="1">
        <v>41181</v>
      </c>
      <c r="C1546" s="6">
        <f t="shared" si="240"/>
        <v>2012</v>
      </c>
      <c r="D1546">
        <v>82.4</v>
      </c>
      <c r="E1546">
        <v>69.8</v>
      </c>
      <c r="F1546">
        <v>76.3</v>
      </c>
      <c r="G1546" s="2">
        <f t="shared" si="241"/>
        <v>1</v>
      </c>
      <c r="H1546">
        <v>86.2</v>
      </c>
      <c r="I1546">
        <v>69.8</v>
      </c>
      <c r="J1546">
        <v>77.3</v>
      </c>
      <c r="K1546">
        <v>66.8</v>
      </c>
      <c r="L1546">
        <v>73</v>
      </c>
      <c r="M1546" s="2">
        <f t="shared" si="242"/>
        <v>0</v>
      </c>
      <c r="N1546">
        <v>0</v>
      </c>
      <c r="O1546" s="2">
        <f t="shared" si="243"/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 s="2">
        <f t="shared" si="244"/>
        <v>0</v>
      </c>
      <c r="W1546">
        <v>19.5</v>
      </c>
      <c r="X1546" s="2">
        <f t="shared" si="245"/>
        <v>1</v>
      </c>
      <c r="Y1546">
        <v>314.89999999999998</v>
      </c>
      <c r="Z1546" s="2" t="str">
        <f>CHOOSE(MATCH(Y1546,{0;11;80;111;161;191;241;281;341},1),"North","NorthEast","East","SouthEast","South","SouthWest","West","NorthWest","North")</f>
        <v>NorthWest</v>
      </c>
      <c r="AA1546" s="4">
        <f>CHOOSE(MATCH(Z1546,{"South";"SouthEast";"SouthWest";"North";"NorthEast";"East";"West";"NorthWest"},0),1,2,3,4,5,6,7,8)</f>
        <v>8</v>
      </c>
      <c r="AB1546" s="2">
        <f t="shared" si="246"/>
        <v>1</v>
      </c>
      <c r="AC1546">
        <v>1014.2</v>
      </c>
      <c r="AD1546" t="s">
        <v>1978</v>
      </c>
      <c r="AE1546" s="2">
        <f t="shared" si="247"/>
        <v>0</v>
      </c>
      <c r="AF1546" t="s">
        <v>2258</v>
      </c>
      <c r="AG1546" s="2">
        <f t="shared" si="248"/>
        <v>9</v>
      </c>
      <c r="AH1546" s="2">
        <f t="shared" si="249"/>
        <v>0</v>
      </c>
      <c r="AI1546" s="3">
        <v>1384.9999999988361</v>
      </c>
      <c r="AJ1546" s="2">
        <v>1</v>
      </c>
      <c r="AK1546">
        <v>3</v>
      </c>
      <c r="AL1546">
        <v>0</v>
      </c>
      <c r="AM1546">
        <v>0</v>
      </c>
      <c r="AN1546" s="2">
        <f>IF((2*G1546+M1546-O1546+3*V1546+2*AB1546+2*AE1546+2*AH1546+3*AJ1546)&gt;=7,1,0)</f>
        <v>0</v>
      </c>
    </row>
    <row r="1547" spans="1:40" x14ac:dyDescent="0.25">
      <c r="A1547" t="s">
        <v>27</v>
      </c>
      <c r="B1547" s="1">
        <v>41182</v>
      </c>
      <c r="C1547" s="6">
        <f t="shared" si="240"/>
        <v>2012</v>
      </c>
      <c r="D1547">
        <v>82.4</v>
      </c>
      <c r="E1547">
        <v>68</v>
      </c>
      <c r="F1547">
        <v>75.2</v>
      </c>
      <c r="G1547" s="2">
        <f t="shared" si="241"/>
        <v>1</v>
      </c>
      <c r="H1547">
        <v>87.2</v>
      </c>
      <c r="I1547">
        <v>68</v>
      </c>
      <c r="J1547">
        <v>76.3</v>
      </c>
      <c r="K1547">
        <v>66.5</v>
      </c>
      <c r="L1547">
        <v>74.7</v>
      </c>
      <c r="M1547" s="2">
        <f t="shared" si="242"/>
        <v>0</v>
      </c>
      <c r="N1547">
        <v>0</v>
      </c>
      <c r="O1547" s="2">
        <f t="shared" si="243"/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 s="2">
        <f t="shared" si="244"/>
        <v>0</v>
      </c>
      <c r="W1547">
        <v>19.5</v>
      </c>
      <c r="X1547" s="2">
        <f t="shared" si="245"/>
        <v>1</v>
      </c>
      <c r="Y1547">
        <v>318</v>
      </c>
      <c r="Z1547" s="2" t="str">
        <f>CHOOSE(MATCH(Y1547,{0;11;80;111;161;191;241;281;341},1),"North","NorthEast","East","SouthEast","South","SouthWest","West","NorthWest","North")</f>
        <v>NorthWest</v>
      </c>
      <c r="AA1547" s="4">
        <f>CHOOSE(MATCH(Z1547,{"South";"SouthEast";"SouthWest";"North";"NorthEast";"East";"West";"NorthWest"},0),1,2,3,4,5,6,7,8)</f>
        <v>8</v>
      </c>
      <c r="AB1547" s="2">
        <f t="shared" si="246"/>
        <v>1</v>
      </c>
      <c r="AC1547">
        <v>1014.5</v>
      </c>
      <c r="AD1547" t="s">
        <v>1964</v>
      </c>
      <c r="AE1547" s="2">
        <f t="shared" si="247"/>
        <v>0</v>
      </c>
      <c r="AF1547" t="s">
        <v>2259</v>
      </c>
      <c r="AG1547" s="2">
        <f t="shared" si="248"/>
        <v>9</v>
      </c>
      <c r="AH1547" s="2">
        <f t="shared" si="249"/>
        <v>0</v>
      </c>
      <c r="AI1547" s="3">
        <v>1255.9999999974391</v>
      </c>
      <c r="AJ1547" s="2">
        <v>1</v>
      </c>
      <c r="AK1547">
        <v>0</v>
      </c>
      <c r="AL1547">
        <v>200</v>
      </c>
      <c r="AM1547">
        <v>0</v>
      </c>
      <c r="AN1547" s="2">
        <f>IF((2*G1547+M1547-O1547+3*V1547+2*AB1547+2*AE1547+2*AH1547+3*AJ1547)&gt;=7,1,0)</f>
        <v>0</v>
      </c>
    </row>
    <row r="1548" spans="1:40" x14ac:dyDescent="0.25">
      <c r="A1548" t="s">
        <v>27</v>
      </c>
      <c r="B1548" s="1">
        <v>41183</v>
      </c>
      <c r="C1548" s="6">
        <f t="shared" si="240"/>
        <v>2012</v>
      </c>
      <c r="D1548">
        <v>80.599999999999994</v>
      </c>
      <c r="E1548">
        <v>68</v>
      </c>
      <c r="F1548">
        <v>73.8</v>
      </c>
      <c r="G1548" s="2">
        <f t="shared" si="241"/>
        <v>1</v>
      </c>
      <c r="H1548">
        <v>84.6</v>
      </c>
      <c r="I1548">
        <v>68</v>
      </c>
      <c r="J1548">
        <v>74.099999999999994</v>
      </c>
      <c r="K1548">
        <v>68.099999999999994</v>
      </c>
      <c r="L1548">
        <v>82.7</v>
      </c>
      <c r="M1548" s="2">
        <f t="shared" si="242"/>
        <v>0</v>
      </c>
      <c r="N1548">
        <v>0</v>
      </c>
      <c r="O1548" s="2">
        <f t="shared" si="243"/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 s="2">
        <f t="shared" si="244"/>
        <v>0</v>
      </c>
      <c r="W1548">
        <v>10.3</v>
      </c>
      <c r="X1548" s="2">
        <f t="shared" si="245"/>
        <v>0</v>
      </c>
      <c r="Y1548">
        <v>325.7</v>
      </c>
      <c r="Z1548" s="2" t="str">
        <f>CHOOSE(MATCH(Y1548,{0;11;80;111;161;191;241;281;341},1),"North","NorthEast","East","SouthEast","South","SouthWest","West","NorthWest","North")</f>
        <v>NorthWest</v>
      </c>
      <c r="AA1548" s="4">
        <f>CHOOSE(MATCH(Z1548,{"South";"SouthEast";"SouthWest";"North";"NorthEast";"East";"West";"NorthWest"},0),1,2,3,4,5,6,7,8)</f>
        <v>8</v>
      </c>
      <c r="AB1548" s="2">
        <f t="shared" si="246"/>
        <v>1</v>
      </c>
      <c r="AC1548">
        <v>1016.2</v>
      </c>
      <c r="AD1548" t="s">
        <v>1123</v>
      </c>
      <c r="AE1548" s="2">
        <f t="shared" si="247"/>
        <v>1</v>
      </c>
      <c r="AF1548" t="s">
        <v>2260</v>
      </c>
      <c r="AG1548" s="2">
        <f t="shared" si="248"/>
        <v>10</v>
      </c>
      <c r="AH1548" s="2">
        <f t="shared" si="249"/>
        <v>0</v>
      </c>
      <c r="AI1548" s="3">
        <v>420.00000000698492</v>
      </c>
      <c r="AJ1548" s="2">
        <v>1</v>
      </c>
      <c r="AK1548">
        <v>3</v>
      </c>
      <c r="AL1548">
        <v>0</v>
      </c>
      <c r="AM1548">
        <v>0</v>
      </c>
      <c r="AN1548" s="2">
        <f>IF((2*G1548+M1548-O1548+3*V1548+2*AB1548+2*AE1548+2*AH1548+3*AJ1548)&gt;=7,1,0)</f>
        <v>1</v>
      </c>
    </row>
    <row r="1549" spans="1:40" x14ac:dyDescent="0.25">
      <c r="A1549" t="s">
        <v>27</v>
      </c>
      <c r="B1549" s="1">
        <v>41185</v>
      </c>
      <c r="C1549" s="6">
        <f t="shared" si="240"/>
        <v>2012</v>
      </c>
      <c r="D1549">
        <v>84.2</v>
      </c>
      <c r="E1549">
        <v>66.2</v>
      </c>
      <c r="F1549">
        <v>76.099999999999994</v>
      </c>
      <c r="G1549" s="2">
        <f t="shared" si="241"/>
        <v>1</v>
      </c>
      <c r="H1549">
        <v>88.5</v>
      </c>
      <c r="I1549">
        <v>66.2</v>
      </c>
      <c r="J1549">
        <v>77.2</v>
      </c>
      <c r="K1549">
        <v>64.8</v>
      </c>
      <c r="L1549">
        <v>69.099999999999994</v>
      </c>
      <c r="M1549" s="2">
        <f t="shared" si="242"/>
        <v>0</v>
      </c>
      <c r="N1549">
        <v>0</v>
      </c>
      <c r="O1549" s="2">
        <f t="shared" si="243"/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 s="2">
        <f t="shared" si="244"/>
        <v>0</v>
      </c>
      <c r="W1549">
        <v>23</v>
      </c>
      <c r="X1549" s="2">
        <f t="shared" si="245"/>
        <v>1</v>
      </c>
      <c r="Y1549">
        <v>280.7</v>
      </c>
      <c r="Z1549" s="2" t="str">
        <f>CHOOSE(MATCH(Y1549,{0;11;80;111;161;191;241;281;341},1),"North","NorthEast","East","SouthEast","South","SouthWest","West","NorthWest","North")</f>
        <v>West</v>
      </c>
      <c r="AA1549" s="4">
        <f>CHOOSE(MATCH(Z1549,{"South";"SouthEast";"SouthWest";"North";"NorthEast";"East";"West";"NorthWest"},0),1,2,3,4,5,6,7,8)</f>
        <v>7</v>
      </c>
      <c r="AB1549" s="2">
        <f t="shared" si="246"/>
        <v>0</v>
      </c>
      <c r="AC1549">
        <v>1014.4</v>
      </c>
      <c r="AD1549" t="s">
        <v>1834</v>
      </c>
      <c r="AE1549" s="2">
        <f t="shared" si="247"/>
        <v>1</v>
      </c>
      <c r="AF1549" t="s">
        <v>2261</v>
      </c>
      <c r="AG1549" s="2">
        <f t="shared" si="248"/>
        <v>10</v>
      </c>
      <c r="AH1549" s="2">
        <f t="shared" si="249"/>
        <v>0</v>
      </c>
      <c r="AI1549" s="3">
        <v>1755</v>
      </c>
      <c r="AJ1549" s="2">
        <v>1</v>
      </c>
      <c r="AK1549">
        <v>0</v>
      </c>
      <c r="AL1549">
        <v>10</v>
      </c>
      <c r="AM1549">
        <v>0</v>
      </c>
      <c r="AN1549" s="2">
        <f>IF((2*G1549+M1549-O1549+3*V1549+2*AB1549+2*AE1549+2*AH1549+3*AJ1549)&gt;=7,1,0)</f>
        <v>0</v>
      </c>
    </row>
    <row r="1550" spans="1:40" x14ac:dyDescent="0.25">
      <c r="A1550" t="s">
        <v>27</v>
      </c>
      <c r="B1550" s="1">
        <v>41185</v>
      </c>
      <c r="C1550" s="6">
        <f t="shared" si="240"/>
        <v>2012</v>
      </c>
      <c r="D1550">
        <v>84.2</v>
      </c>
      <c r="E1550">
        <v>66.2</v>
      </c>
      <c r="F1550">
        <v>76.099999999999994</v>
      </c>
      <c r="G1550" s="2">
        <f t="shared" si="241"/>
        <v>1</v>
      </c>
      <c r="H1550">
        <v>88.5</v>
      </c>
      <c r="I1550">
        <v>66.2</v>
      </c>
      <c r="J1550">
        <v>77.2</v>
      </c>
      <c r="K1550">
        <v>64.8</v>
      </c>
      <c r="L1550">
        <v>69.099999999999994</v>
      </c>
      <c r="M1550" s="2">
        <f t="shared" si="242"/>
        <v>0</v>
      </c>
      <c r="N1550">
        <v>0</v>
      </c>
      <c r="O1550" s="2">
        <f t="shared" si="243"/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 s="2">
        <f t="shared" si="244"/>
        <v>0</v>
      </c>
      <c r="W1550">
        <v>23</v>
      </c>
      <c r="X1550" s="2">
        <f t="shared" si="245"/>
        <v>1</v>
      </c>
      <c r="Y1550">
        <v>280.7</v>
      </c>
      <c r="Z1550" s="2" t="str">
        <f>CHOOSE(MATCH(Y1550,{0;11;80;111;161;191;241;281;341},1),"North","NorthEast","East","SouthEast","South","SouthWest","West","NorthWest","North")</f>
        <v>West</v>
      </c>
      <c r="AA1550" s="4">
        <f>CHOOSE(MATCH(Z1550,{"South";"SouthEast";"SouthWest";"North";"NorthEast";"East";"West";"NorthWest"},0),1,2,3,4,5,6,7,8)</f>
        <v>7</v>
      </c>
      <c r="AB1550" s="2">
        <f t="shared" si="246"/>
        <v>0</v>
      </c>
      <c r="AC1550">
        <v>1014.4</v>
      </c>
      <c r="AD1550" t="s">
        <v>2078</v>
      </c>
      <c r="AE1550" s="2">
        <f t="shared" si="247"/>
        <v>0</v>
      </c>
      <c r="AF1550" t="s">
        <v>2262</v>
      </c>
      <c r="AG1550" s="2">
        <f t="shared" si="248"/>
        <v>10</v>
      </c>
      <c r="AH1550" s="2">
        <f t="shared" si="249"/>
        <v>0</v>
      </c>
      <c r="AI1550" s="3">
        <v>445.00000000465661</v>
      </c>
      <c r="AJ1550" s="2">
        <v>1</v>
      </c>
      <c r="AK1550">
        <v>0</v>
      </c>
      <c r="AL1550">
        <v>30</v>
      </c>
      <c r="AM1550">
        <v>0</v>
      </c>
      <c r="AN1550" s="2">
        <f>IF((2*G1550+M1550-O1550+3*V1550+2*AB1550+2*AE1550+2*AH1550+3*AJ1550)&gt;=7,1,0)</f>
        <v>0</v>
      </c>
    </row>
    <row r="1551" spans="1:40" x14ac:dyDescent="0.25">
      <c r="A1551" t="s">
        <v>27</v>
      </c>
      <c r="B1551" s="1">
        <v>41185</v>
      </c>
      <c r="C1551" s="6">
        <f t="shared" si="240"/>
        <v>2012</v>
      </c>
      <c r="D1551">
        <v>84.2</v>
      </c>
      <c r="E1551">
        <v>66.2</v>
      </c>
      <c r="F1551">
        <v>76.099999999999994</v>
      </c>
      <c r="G1551" s="2">
        <f t="shared" si="241"/>
        <v>1</v>
      </c>
      <c r="H1551">
        <v>88.5</v>
      </c>
      <c r="I1551">
        <v>66.2</v>
      </c>
      <c r="J1551">
        <v>77.2</v>
      </c>
      <c r="K1551">
        <v>64.8</v>
      </c>
      <c r="L1551">
        <v>69.099999999999994</v>
      </c>
      <c r="M1551" s="2">
        <f t="shared" si="242"/>
        <v>0</v>
      </c>
      <c r="N1551">
        <v>0</v>
      </c>
      <c r="O1551" s="2">
        <f t="shared" si="243"/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 s="2">
        <f t="shared" si="244"/>
        <v>0</v>
      </c>
      <c r="W1551">
        <v>23</v>
      </c>
      <c r="X1551" s="2">
        <f t="shared" si="245"/>
        <v>1</v>
      </c>
      <c r="Y1551">
        <v>280.7</v>
      </c>
      <c r="Z1551" s="2" t="str">
        <f>CHOOSE(MATCH(Y1551,{0;11;80;111;161;191;241;281;341},1),"North","NorthEast","East","SouthEast","South","SouthWest","West","NorthWest","North")</f>
        <v>West</v>
      </c>
      <c r="AA1551" s="4">
        <f>CHOOSE(MATCH(Z1551,{"South";"SouthEast";"SouthWest";"North";"NorthEast";"East";"West";"NorthWest"},0),1,2,3,4,5,6,7,8)</f>
        <v>7</v>
      </c>
      <c r="AB1551" s="2">
        <f t="shared" si="246"/>
        <v>0</v>
      </c>
      <c r="AC1551">
        <v>1014.4</v>
      </c>
      <c r="AD1551" t="s">
        <v>2263</v>
      </c>
      <c r="AE1551" s="2">
        <f t="shared" si="247"/>
        <v>0</v>
      </c>
      <c r="AF1551" t="s">
        <v>2264</v>
      </c>
      <c r="AG1551" s="2">
        <f t="shared" si="248"/>
        <v>10</v>
      </c>
      <c r="AH1551" s="2">
        <f t="shared" si="249"/>
        <v>0</v>
      </c>
      <c r="AI1551" s="3">
        <v>716.00000000791624</v>
      </c>
      <c r="AJ1551" s="2">
        <v>1</v>
      </c>
      <c r="AK1551">
        <v>15</v>
      </c>
      <c r="AL1551">
        <v>0</v>
      </c>
      <c r="AM1551">
        <v>0</v>
      </c>
      <c r="AN1551" s="2">
        <f>IF((2*G1551+M1551-O1551+3*V1551+2*AB1551+2*AE1551+2*AH1551+3*AJ1551)&gt;=7,1,0)</f>
        <v>0</v>
      </c>
    </row>
    <row r="1552" spans="1:40" x14ac:dyDescent="0.25">
      <c r="A1552" t="s">
        <v>27</v>
      </c>
      <c r="B1552" s="1">
        <v>41186</v>
      </c>
      <c r="C1552" s="6">
        <f t="shared" si="240"/>
        <v>2012</v>
      </c>
      <c r="D1552">
        <v>80.599999999999994</v>
      </c>
      <c r="E1552">
        <v>68</v>
      </c>
      <c r="F1552">
        <v>75.099999999999994</v>
      </c>
      <c r="G1552" s="2">
        <f t="shared" si="241"/>
        <v>1</v>
      </c>
      <c r="H1552">
        <v>83.3</v>
      </c>
      <c r="I1552">
        <v>68</v>
      </c>
      <c r="J1552">
        <v>75.400000000000006</v>
      </c>
      <c r="K1552">
        <v>65.3</v>
      </c>
      <c r="L1552">
        <v>71.7</v>
      </c>
      <c r="M1552" s="2">
        <f t="shared" si="242"/>
        <v>0</v>
      </c>
      <c r="N1552">
        <v>0</v>
      </c>
      <c r="O1552" s="2">
        <f t="shared" si="243"/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 s="2">
        <f t="shared" si="244"/>
        <v>0</v>
      </c>
      <c r="W1552">
        <v>17.2</v>
      </c>
      <c r="X1552" s="2">
        <f t="shared" si="245"/>
        <v>1</v>
      </c>
      <c r="Y1552">
        <v>298.60000000000002</v>
      </c>
      <c r="Z1552" s="2" t="str">
        <f>CHOOSE(MATCH(Y1552,{0;11;80;111;161;191;241;281;341},1),"North","NorthEast","East","SouthEast","South","SouthWest","West","NorthWest","North")</f>
        <v>NorthWest</v>
      </c>
      <c r="AA1552" s="4">
        <f>CHOOSE(MATCH(Z1552,{"South";"SouthEast";"SouthWest";"North";"NorthEast";"East";"West";"NorthWest"},0),1,2,3,4,5,6,7,8)</f>
        <v>8</v>
      </c>
      <c r="AB1552" s="2">
        <f t="shared" si="246"/>
        <v>1</v>
      </c>
      <c r="AC1552">
        <v>1012.6</v>
      </c>
      <c r="AD1552" t="s">
        <v>2265</v>
      </c>
      <c r="AE1552" s="2">
        <f t="shared" si="247"/>
        <v>1</v>
      </c>
      <c r="AF1552" t="s">
        <v>2266</v>
      </c>
      <c r="AG1552" s="2">
        <f t="shared" si="248"/>
        <v>10</v>
      </c>
      <c r="AH1552" s="2">
        <f t="shared" si="249"/>
        <v>0</v>
      </c>
      <c r="AI1552" s="3">
        <v>1711.0000000032601</v>
      </c>
      <c r="AJ1552" s="2">
        <v>1</v>
      </c>
      <c r="AK1552">
        <v>0</v>
      </c>
      <c r="AL1552">
        <v>10</v>
      </c>
      <c r="AM1552">
        <v>0</v>
      </c>
      <c r="AN1552" s="2">
        <f>IF((2*G1552+M1552-O1552+3*V1552+2*AB1552+2*AE1552+2*AH1552+3*AJ1552)&gt;=7,1,0)</f>
        <v>1</v>
      </c>
    </row>
    <row r="1553" spans="1:40" x14ac:dyDescent="0.25">
      <c r="A1553" t="s">
        <v>27</v>
      </c>
      <c r="B1553" s="1">
        <v>41186</v>
      </c>
      <c r="C1553" s="6">
        <f t="shared" si="240"/>
        <v>2012</v>
      </c>
      <c r="D1553">
        <v>80.599999999999994</v>
      </c>
      <c r="E1553">
        <v>68</v>
      </c>
      <c r="F1553">
        <v>75.099999999999994</v>
      </c>
      <c r="G1553" s="2">
        <f t="shared" si="241"/>
        <v>1</v>
      </c>
      <c r="H1553">
        <v>83.3</v>
      </c>
      <c r="I1553">
        <v>68</v>
      </c>
      <c r="J1553">
        <v>75.400000000000006</v>
      </c>
      <c r="K1553">
        <v>65.3</v>
      </c>
      <c r="L1553">
        <v>71.7</v>
      </c>
      <c r="M1553" s="2">
        <f t="shared" si="242"/>
        <v>0</v>
      </c>
      <c r="N1553">
        <v>0</v>
      </c>
      <c r="O1553" s="2">
        <f t="shared" si="243"/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 s="2">
        <f t="shared" si="244"/>
        <v>0</v>
      </c>
      <c r="W1553">
        <v>17.2</v>
      </c>
      <c r="X1553" s="2">
        <f t="shared" si="245"/>
        <v>1</v>
      </c>
      <c r="Y1553">
        <v>298.60000000000002</v>
      </c>
      <c r="Z1553" s="2" t="str">
        <f>CHOOSE(MATCH(Y1553,{0;11;80;111;161;191;241;281;341},1),"North","NorthEast","East","SouthEast","South","SouthWest","West","NorthWest","North")</f>
        <v>NorthWest</v>
      </c>
      <c r="AA1553" s="4">
        <f>CHOOSE(MATCH(Z1553,{"South";"SouthEast";"SouthWest";"North";"NorthEast";"East";"West";"NorthWest"},0),1,2,3,4,5,6,7,8)</f>
        <v>8</v>
      </c>
      <c r="AB1553" s="2">
        <f t="shared" si="246"/>
        <v>1</v>
      </c>
      <c r="AC1553">
        <v>1012.6</v>
      </c>
      <c r="AD1553" t="s">
        <v>1107</v>
      </c>
      <c r="AE1553" s="2">
        <f t="shared" si="247"/>
        <v>1</v>
      </c>
      <c r="AF1553" t="s">
        <v>2267</v>
      </c>
      <c r="AG1553" s="2">
        <f t="shared" si="248"/>
        <v>10</v>
      </c>
      <c r="AH1553" s="2">
        <f t="shared" si="249"/>
        <v>0</v>
      </c>
      <c r="AI1553" s="3">
        <v>1710</v>
      </c>
      <c r="AJ1553" s="2">
        <v>1</v>
      </c>
      <c r="AK1553">
        <v>0</v>
      </c>
      <c r="AL1553">
        <v>80</v>
      </c>
      <c r="AM1553">
        <v>0</v>
      </c>
      <c r="AN1553" s="2">
        <f>IF((2*G1553+M1553-O1553+3*V1553+2*AB1553+2*AE1553+2*AH1553+3*AJ1553)&gt;=7,1,0)</f>
        <v>1</v>
      </c>
    </row>
    <row r="1554" spans="1:40" x14ac:dyDescent="0.25">
      <c r="A1554" t="s">
        <v>27</v>
      </c>
      <c r="B1554" s="1">
        <v>41190</v>
      </c>
      <c r="C1554" s="6">
        <f t="shared" si="240"/>
        <v>2012</v>
      </c>
      <c r="D1554">
        <v>80.599999999999994</v>
      </c>
      <c r="E1554">
        <v>64.400000000000006</v>
      </c>
      <c r="F1554">
        <v>72.400000000000006</v>
      </c>
      <c r="G1554" s="2">
        <f t="shared" si="241"/>
        <v>1</v>
      </c>
      <c r="H1554">
        <v>82.8</v>
      </c>
      <c r="I1554">
        <v>64.400000000000006</v>
      </c>
      <c r="J1554">
        <v>72.5</v>
      </c>
      <c r="K1554">
        <v>63.2</v>
      </c>
      <c r="L1554">
        <v>73.5</v>
      </c>
      <c r="M1554" s="2">
        <f t="shared" si="242"/>
        <v>0</v>
      </c>
      <c r="N1554">
        <v>0</v>
      </c>
      <c r="O1554" s="2">
        <f t="shared" si="243"/>
        <v>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 s="2">
        <f t="shared" si="244"/>
        <v>0</v>
      </c>
      <c r="W1554">
        <v>20.8</v>
      </c>
      <c r="X1554" s="2">
        <f t="shared" si="245"/>
        <v>1</v>
      </c>
      <c r="Y1554">
        <v>273.39999999999998</v>
      </c>
      <c r="Z1554" s="2" t="str">
        <f>CHOOSE(MATCH(Y1554,{0;11;80;111;161;191;241;281;341},1),"North","NorthEast","East","SouthEast","South","SouthWest","West","NorthWest","North")</f>
        <v>West</v>
      </c>
      <c r="AA1554" s="4">
        <f>CHOOSE(MATCH(Z1554,{"South";"SouthEast";"SouthWest";"North";"NorthEast";"East";"West";"NorthWest"},0),1,2,3,4,5,6,7,8)</f>
        <v>7</v>
      </c>
      <c r="AB1554" s="2">
        <f t="shared" si="246"/>
        <v>0</v>
      </c>
      <c r="AC1554">
        <v>1011.7</v>
      </c>
      <c r="AD1554" t="s">
        <v>1125</v>
      </c>
      <c r="AE1554" s="2">
        <f t="shared" si="247"/>
        <v>1</v>
      </c>
      <c r="AF1554" t="s">
        <v>2268</v>
      </c>
      <c r="AG1554" s="2">
        <f t="shared" si="248"/>
        <v>10</v>
      </c>
      <c r="AH1554" s="2">
        <f t="shared" si="249"/>
        <v>0</v>
      </c>
      <c r="AI1554" s="3">
        <v>2490.0000000069849</v>
      </c>
      <c r="AJ1554" s="2">
        <v>1</v>
      </c>
      <c r="AK1554">
        <v>0</v>
      </c>
      <c r="AL1554">
        <v>300</v>
      </c>
      <c r="AM1554">
        <v>0</v>
      </c>
      <c r="AN1554" s="2">
        <f>IF((2*G1554+M1554-O1554+3*V1554+2*AB1554+2*AE1554+2*AH1554+3*AJ1554)&gt;=7,1,0)</f>
        <v>0</v>
      </c>
    </row>
    <row r="1555" spans="1:40" x14ac:dyDescent="0.25">
      <c r="A1555" t="s">
        <v>27</v>
      </c>
      <c r="B1555" s="1">
        <v>41194</v>
      </c>
      <c r="C1555" s="6">
        <f t="shared" si="240"/>
        <v>2012</v>
      </c>
      <c r="D1555">
        <v>77</v>
      </c>
      <c r="E1555">
        <v>62.6</v>
      </c>
      <c r="F1555">
        <v>70</v>
      </c>
      <c r="G1555" s="2">
        <f t="shared" si="241"/>
        <v>0</v>
      </c>
      <c r="H1555">
        <v>77</v>
      </c>
      <c r="I1555">
        <v>62.6</v>
      </c>
      <c r="J1555">
        <v>70</v>
      </c>
      <c r="K1555">
        <v>63.5</v>
      </c>
      <c r="L1555">
        <v>80.5</v>
      </c>
      <c r="M1555" s="2">
        <f t="shared" si="242"/>
        <v>0</v>
      </c>
      <c r="N1555">
        <v>0</v>
      </c>
      <c r="O1555" s="2">
        <f t="shared" si="243"/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 s="2">
        <f t="shared" si="244"/>
        <v>0</v>
      </c>
      <c r="W1555">
        <v>10.3</v>
      </c>
      <c r="X1555" s="2">
        <f t="shared" si="245"/>
        <v>0</v>
      </c>
      <c r="Y1555">
        <v>123</v>
      </c>
      <c r="Z1555" s="2" t="str">
        <f>CHOOSE(MATCH(Y1555,{0;11;80;111;161;191;241;281;341},1),"North","NorthEast","East","SouthEast","South","SouthWest","West","NorthWest","North")</f>
        <v>SouthEast</v>
      </c>
      <c r="AA1555" s="4">
        <f>CHOOSE(MATCH(Z1555,{"South";"SouthEast";"SouthWest";"North";"NorthEast";"East";"West";"NorthWest"},0),1,2,3,4,5,6,7,8)</f>
        <v>2</v>
      </c>
      <c r="AB1555" s="2">
        <f t="shared" si="246"/>
        <v>0</v>
      </c>
      <c r="AC1555">
        <v>1014.8</v>
      </c>
      <c r="AD1555" t="s">
        <v>2269</v>
      </c>
      <c r="AE1555" s="2">
        <f t="shared" si="247"/>
        <v>1</v>
      </c>
      <c r="AF1555" t="s">
        <v>2270</v>
      </c>
      <c r="AG1555" s="2">
        <f t="shared" si="248"/>
        <v>10</v>
      </c>
      <c r="AH1555" s="2">
        <f t="shared" si="249"/>
        <v>0</v>
      </c>
      <c r="AI1555" s="3">
        <v>717.00000000069849</v>
      </c>
      <c r="AJ1555" s="2">
        <v>1</v>
      </c>
      <c r="AK1555">
        <v>0</v>
      </c>
      <c r="AL1555">
        <v>0.5</v>
      </c>
      <c r="AM1555">
        <v>0</v>
      </c>
      <c r="AN1555" s="2">
        <f>IF((2*G1555+M1555-O1555+3*V1555+2*AB1555+2*AE1555+2*AH1555+3*AJ1555)&gt;=7,1,0)</f>
        <v>0</v>
      </c>
    </row>
    <row r="1556" spans="1:40" x14ac:dyDescent="0.25">
      <c r="A1556" t="s">
        <v>27</v>
      </c>
      <c r="B1556" s="1">
        <v>41194</v>
      </c>
      <c r="C1556" s="6">
        <f t="shared" si="240"/>
        <v>2012</v>
      </c>
      <c r="D1556">
        <v>77</v>
      </c>
      <c r="E1556">
        <v>62.6</v>
      </c>
      <c r="F1556">
        <v>70</v>
      </c>
      <c r="G1556" s="2">
        <f t="shared" si="241"/>
        <v>0</v>
      </c>
      <c r="H1556">
        <v>77</v>
      </c>
      <c r="I1556">
        <v>62.6</v>
      </c>
      <c r="J1556">
        <v>70</v>
      </c>
      <c r="K1556">
        <v>63.5</v>
      </c>
      <c r="L1556">
        <v>80.5</v>
      </c>
      <c r="M1556" s="2">
        <f t="shared" si="242"/>
        <v>0</v>
      </c>
      <c r="N1556">
        <v>0</v>
      </c>
      <c r="O1556" s="2">
        <f t="shared" si="243"/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 s="2">
        <f t="shared" si="244"/>
        <v>0</v>
      </c>
      <c r="W1556">
        <v>10.3</v>
      </c>
      <c r="X1556" s="2">
        <f t="shared" si="245"/>
        <v>0</v>
      </c>
      <c r="Y1556">
        <v>123</v>
      </c>
      <c r="Z1556" s="2" t="str">
        <f>CHOOSE(MATCH(Y1556,{0;11;80;111;161;191;241;281;341},1),"North","NorthEast","East","SouthEast","South","SouthWest","West","NorthWest","North")</f>
        <v>SouthEast</v>
      </c>
      <c r="AA1556" s="4">
        <f>CHOOSE(MATCH(Z1556,{"South";"SouthEast";"SouthWest";"North";"NorthEast";"East";"West";"NorthWest"},0),1,2,3,4,5,6,7,8)</f>
        <v>2</v>
      </c>
      <c r="AB1556" s="2">
        <f t="shared" si="246"/>
        <v>0</v>
      </c>
      <c r="AC1556">
        <v>1014.8</v>
      </c>
      <c r="AD1556" t="s">
        <v>1133</v>
      </c>
      <c r="AE1556" s="2">
        <f t="shared" si="247"/>
        <v>1</v>
      </c>
      <c r="AF1556" t="s">
        <v>2271</v>
      </c>
      <c r="AG1556" s="2">
        <f t="shared" si="248"/>
        <v>10</v>
      </c>
      <c r="AH1556" s="2">
        <f t="shared" si="249"/>
        <v>0</v>
      </c>
      <c r="AI1556" s="3">
        <v>334.99999999185093</v>
      </c>
      <c r="AJ1556" s="2">
        <v>0</v>
      </c>
      <c r="AK1556">
        <v>0</v>
      </c>
      <c r="AL1556">
        <v>10</v>
      </c>
      <c r="AM1556">
        <v>0</v>
      </c>
      <c r="AN1556" s="2">
        <f>IF((2*G1556+M1556-O1556+3*V1556+2*AB1556+2*AE1556+2*AH1556+3*AJ1556)&gt;=7,1,0)</f>
        <v>0</v>
      </c>
    </row>
    <row r="1557" spans="1:40" x14ac:dyDescent="0.25">
      <c r="A1557" t="s">
        <v>27</v>
      </c>
      <c r="B1557" s="1">
        <v>41196</v>
      </c>
      <c r="C1557" s="6">
        <f t="shared" si="240"/>
        <v>2012</v>
      </c>
      <c r="D1557">
        <v>78.8</v>
      </c>
      <c r="E1557">
        <v>64.400000000000006</v>
      </c>
      <c r="F1557">
        <v>72.599999999999994</v>
      </c>
      <c r="G1557" s="2">
        <f t="shared" si="241"/>
        <v>1</v>
      </c>
      <c r="H1557">
        <v>78.8</v>
      </c>
      <c r="I1557">
        <v>64.400000000000006</v>
      </c>
      <c r="J1557">
        <v>72.599999999999994</v>
      </c>
      <c r="K1557">
        <v>64.599999999999994</v>
      </c>
      <c r="L1557">
        <v>76.599999999999994</v>
      </c>
      <c r="M1557" s="2">
        <f t="shared" si="242"/>
        <v>0</v>
      </c>
      <c r="N1557">
        <v>0</v>
      </c>
      <c r="O1557" s="2">
        <f t="shared" si="243"/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 s="2">
        <f t="shared" si="244"/>
        <v>0</v>
      </c>
      <c r="W1557">
        <v>15</v>
      </c>
      <c r="X1557" s="2">
        <f t="shared" si="245"/>
        <v>0</v>
      </c>
      <c r="Y1557">
        <v>144.1</v>
      </c>
      <c r="Z1557" s="2" t="str">
        <f>CHOOSE(MATCH(Y1557,{0;11;80;111;161;191;241;281;341},1),"North","NorthEast","East","SouthEast","South","SouthWest","West","NorthWest","North")</f>
        <v>SouthEast</v>
      </c>
      <c r="AA1557" s="4">
        <f>CHOOSE(MATCH(Z1557,{"South";"SouthEast";"SouthWest";"North";"NorthEast";"East";"West";"NorthWest"},0),1,2,3,4,5,6,7,8)</f>
        <v>2</v>
      </c>
      <c r="AB1557" s="2">
        <f t="shared" si="246"/>
        <v>0</v>
      </c>
      <c r="AC1557">
        <v>1014.4</v>
      </c>
      <c r="AD1557" t="s">
        <v>2031</v>
      </c>
      <c r="AE1557" s="2">
        <f t="shared" si="247"/>
        <v>1</v>
      </c>
      <c r="AF1557" t="s">
        <v>2272</v>
      </c>
      <c r="AG1557" s="2">
        <f t="shared" si="248"/>
        <v>10</v>
      </c>
      <c r="AH1557" s="2">
        <f t="shared" si="249"/>
        <v>0</v>
      </c>
      <c r="AI1557" s="3">
        <v>790.00000000814907</v>
      </c>
      <c r="AJ1557" s="2">
        <v>1</v>
      </c>
      <c r="AK1557">
        <v>0</v>
      </c>
      <c r="AL1557">
        <v>10</v>
      </c>
      <c r="AM1557">
        <v>0</v>
      </c>
      <c r="AN1557" s="2">
        <f>IF((2*G1557+M1557-O1557+3*V1557+2*AB1557+2*AE1557+2*AH1557+3*AJ1557)&gt;=7,1,0)</f>
        <v>0</v>
      </c>
    </row>
    <row r="1558" spans="1:40" x14ac:dyDescent="0.25">
      <c r="A1558" t="s">
        <v>27</v>
      </c>
      <c r="B1558" s="1">
        <v>41196</v>
      </c>
      <c r="C1558" s="6">
        <f t="shared" si="240"/>
        <v>2012</v>
      </c>
      <c r="D1558">
        <v>78.8</v>
      </c>
      <c r="E1558">
        <v>64.400000000000006</v>
      </c>
      <c r="F1558">
        <v>72.599999999999994</v>
      </c>
      <c r="G1558" s="2">
        <f t="shared" si="241"/>
        <v>1</v>
      </c>
      <c r="H1558">
        <v>78.8</v>
      </c>
      <c r="I1558">
        <v>64.400000000000006</v>
      </c>
      <c r="J1558">
        <v>72.599999999999994</v>
      </c>
      <c r="K1558">
        <v>64.599999999999994</v>
      </c>
      <c r="L1558">
        <v>76.599999999999994</v>
      </c>
      <c r="M1558" s="2">
        <f t="shared" si="242"/>
        <v>0</v>
      </c>
      <c r="N1558">
        <v>0</v>
      </c>
      <c r="O1558" s="2">
        <f t="shared" si="243"/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 s="2">
        <f t="shared" si="244"/>
        <v>0</v>
      </c>
      <c r="W1558">
        <v>15</v>
      </c>
      <c r="X1558" s="2">
        <f t="shared" si="245"/>
        <v>0</v>
      </c>
      <c r="Y1558">
        <v>144.1</v>
      </c>
      <c r="Z1558" s="2" t="str">
        <f>CHOOSE(MATCH(Y1558,{0;11;80;111;161;191;241;281;341},1),"North","NorthEast","East","SouthEast","South","SouthWest","West","NorthWest","North")</f>
        <v>SouthEast</v>
      </c>
      <c r="AA1558" s="4">
        <f>CHOOSE(MATCH(Z1558,{"South";"SouthEast";"SouthWest";"North";"NorthEast";"East";"West";"NorthWest"},0),1,2,3,4,5,6,7,8)</f>
        <v>2</v>
      </c>
      <c r="AB1558" s="2">
        <f t="shared" si="246"/>
        <v>0</v>
      </c>
      <c r="AC1558">
        <v>1014.4</v>
      </c>
      <c r="AD1558" t="s">
        <v>1123</v>
      </c>
      <c r="AE1558" s="2">
        <f t="shared" si="247"/>
        <v>1</v>
      </c>
      <c r="AF1558" t="s">
        <v>2273</v>
      </c>
      <c r="AG1558" s="2">
        <f t="shared" si="248"/>
        <v>10</v>
      </c>
      <c r="AH1558" s="2">
        <f t="shared" si="249"/>
        <v>0</v>
      </c>
      <c r="AI1558" s="3">
        <v>90</v>
      </c>
      <c r="AJ1558" s="2">
        <v>0</v>
      </c>
      <c r="AK1558">
        <v>0</v>
      </c>
      <c r="AL1558">
        <v>300</v>
      </c>
      <c r="AM1558">
        <v>0</v>
      </c>
      <c r="AN1558" s="2">
        <f>IF((2*G1558+M1558-O1558+3*V1558+2*AB1558+2*AE1558+2*AH1558+3*AJ1558)&gt;=7,1,0)</f>
        <v>0</v>
      </c>
    </row>
    <row r="1559" spans="1:40" x14ac:dyDescent="0.25">
      <c r="A1559" t="s">
        <v>27</v>
      </c>
      <c r="B1559" s="1">
        <v>41196</v>
      </c>
      <c r="C1559" s="6">
        <f t="shared" si="240"/>
        <v>2012</v>
      </c>
      <c r="D1559">
        <v>78.8</v>
      </c>
      <c r="E1559">
        <v>64.400000000000006</v>
      </c>
      <c r="F1559">
        <v>72.599999999999994</v>
      </c>
      <c r="G1559" s="2">
        <f t="shared" si="241"/>
        <v>1</v>
      </c>
      <c r="H1559">
        <v>78.8</v>
      </c>
      <c r="I1559">
        <v>64.400000000000006</v>
      </c>
      <c r="J1559">
        <v>72.599999999999994</v>
      </c>
      <c r="K1559">
        <v>64.599999999999994</v>
      </c>
      <c r="L1559">
        <v>76.599999999999994</v>
      </c>
      <c r="M1559" s="2">
        <f t="shared" si="242"/>
        <v>0</v>
      </c>
      <c r="N1559">
        <v>0</v>
      </c>
      <c r="O1559" s="2">
        <f t="shared" si="243"/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 s="2">
        <f t="shared" si="244"/>
        <v>0</v>
      </c>
      <c r="W1559">
        <v>15</v>
      </c>
      <c r="X1559" s="2">
        <f t="shared" si="245"/>
        <v>0</v>
      </c>
      <c r="Y1559">
        <v>144.1</v>
      </c>
      <c r="Z1559" s="2" t="str">
        <f>CHOOSE(MATCH(Y1559,{0;11;80;111;161;191;241;281;341},1),"North","NorthEast","East","SouthEast","South","SouthWest","West","NorthWest","North")</f>
        <v>SouthEast</v>
      </c>
      <c r="AA1559" s="4">
        <f>CHOOSE(MATCH(Z1559,{"South";"SouthEast";"SouthWest";"North";"NorthEast";"East";"West";"NorthWest"},0),1,2,3,4,5,6,7,8)</f>
        <v>2</v>
      </c>
      <c r="AB1559" s="2">
        <f t="shared" si="246"/>
        <v>0</v>
      </c>
      <c r="AC1559">
        <v>1014.4</v>
      </c>
      <c r="AD1559" t="s">
        <v>2031</v>
      </c>
      <c r="AE1559" s="2">
        <f t="shared" si="247"/>
        <v>1</v>
      </c>
      <c r="AF1559" t="s">
        <v>2272</v>
      </c>
      <c r="AG1559" s="2">
        <f t="shared" si="248"/>
        <v>10</v>
      </c>
      <c r="AH1559" s="2">
        <f t="shared" si="249"/>
        <v>0</v>
      </c>
      <c r="AI1559" s="3">
        <v>264.00000000139698</v>
      </c>
      <c r="AJ1559" s="2">
        <v>0</v>
      </c>
      <c r="AK1559">
        <v>0</v>
      </c>
      <c r="AL1559">
        <v>10</v>
      </c>
      <c r="AM1559">
        <v>0</v>
      </c>
      <c r="AN1559" s="2">
        <f>IF((2*G1559+M1559-O1559+3*V1559+2*AB1559+2*AE1559+2*AH1559+3*AJ1559)&gt;=7,1,0)</f>
        <v>0</v>
      </c>
    </row>
    <row r="1560" spans="1:40" x14ac:dyDescent="0.25">
      <c r="A1560" t="s">
        <v>27</v>
      </c>
      <c r="B1560" s="1">
        <v>41196</v>
      </c>
      <c r="C1560" s="6">
        <f t="shared" si="240"/>
        <v>2012</v>
      </c>
      <c r="D1560">
        <v>78.8</v>
      </c>
      <c r="E1560">
        <v>64.400000000000006</v>
      </c>
      <c r="F1560">
        <v>72.599999999999994</v>
      </c>
      <c r="G1560" s="2">
        <f t="shared" si="241"/>
        <v>1</v>
      </c>
      <c r="H1560">
        <v>78.8</v>
      </c>
      <c r="I1560">
        <v>64.400000000000006</v>
      </c>
      <c r="J1560">
        <v>72.599999999999994</v>
      </c>
      <c r="K1560">
        <v>64.599999999999994</v>
      </c>
      <c r="L1560">
        <v>76.599999999999994</v>
      </c>
      <c r="M1560" s="2">
        <f t="shared" si="242"/>
        <v>0</v>
      </c>
      <c r="N1560">
        <v>0</v>
      </c>
      <c r="O1560" s="2">
        <f t="shared" si="243"/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 s="2">
        <f t="shared" si="244"/>
        <v>0</v>
      </c>
      <c r="W1560">
        <v>15</v>
      </c>
      <c r="X1560" s="2">
        <f t="shared" si="245"/>
        <v>0</v>
      </c>
      <c r="Y1560">
        <v>144.1</v>
      </c>
      <c r="Z1560" s="2" t="str">
        <f>CHOOSE(MATCH(Y1560,{0;11;80;111;161;191;241;281;341},1),"North","NorthEast","East","SouthEast","South","SouthWest","West","NorthWest","North")</f>
        <v>SouthEast</v>
      </c>
      <c r="AA1560" s="4">
        <f>CHOOSE(MATCH(Z1560,{"South";"SouthEast";"SouthWest";"North";"NorthEast";"East";"West";"NorthWest"},0),1,2,3,4,5,6,7,8)</f>
        <v>2</v>
      </c>
      <c r="AB1560" s="2">
        <f t="shared" si="246"/>
        <v>0</v>
      </c>
      <c r="AC1560">
        <v>1014.4</v>
      </c>
      <c r="AD1560" t="s">
        <v>2274</v>
      </c>
      <c r="AE1560" s="2">
        <f t="shared" si="247"/>
        <v>1</v>
      </c>
      <c r="AF1560" t="s">
        <v>2275</v>
      </c>
      <c r="AG1560" s="2">
        <f t="shared" si="248"/>
        <v>10</v>
      </c>
      <c r="AH1560" s="2">
        <f t="shared" si="249"/>
        <v>0</v>
      </c>
      <c r="AI1560" s="3">
        <v>174.00000000139701</v>
      </c>
      <c r="AJ1560" s="2">
        <v>0</v>
      </c>
      <c r="AK1560">
        <v>0</v>
      </c>
      <c r="AL1560">
        <v>0.2</v>
      </c>
      <c r="AM1560">
        <v>0</v>
      </c>
      <c r="AN1560" s="2">
        <f>IF((2*G1560+M1560-O1560+3*V1560+2*AB1560+2*AE1560+2*AH1560+3*AJ1560)&gt;=7,1,0)</f>
        <v>0</v>
      </c>
    </row>
    <row r="1561" spans="1:40" x14ac:dyDescent="0.25">
      <c r="A1561" t="s">
        <v>27</v>
      </c>
      <c r="B1561" s="1">
        <v>41197</v>
      </c>
      <c r="C1561" s="6">
        <f t="shared" si="240"/>
        <v>2012</v>
      </c>
      <c r="D1561">
        <v>89.6</v>
      </c>
      <c r="E1561">
        <v>69.8</v>
      </c>
      <c r="F1561">
        <v>76.900000000000006</v>
      </c>
      <c r="G1561" s="2">
        <f t="shared" si="241"/>
        <v>1</v>
      </c>
      <c r="H1561">
        <v>90.3</v>
      </c>
      <c r="I1561">
        <v>69.8</v>
      </c>
      <c r="J1561">
        <v>77.599999999999994</v>
      </c>
      <c r="K1561">
        <v>62.3</v>
      </c>
      <c r="L1561">
        <v>61.3</v>
      </c>
      <c r="M1561" s="2">
        <f t="shared" si="242"/>
        <v>1</v>
      </c>
      <c r="N1561">
        <v>0</v>
      </c>
      <c r="O1561" s="2">
        <f t="shared" si="243"/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 s="2">
        <f t="shared" si="244"/>
        <v>0</v>
      </c>
      <c r="W1561">
        <v>24.2</v>
      </c>
      <c r="X1561" s="2">
        <f t="shared" si="245"/>
        <v>1</v>
      </c>
      <c r="Y1561">
        <v>168.9</v>
      </c>
      <c r="Z1561" s="2" t="str">
        <f>CHOOSE(MATCH(Y1561,{0;11;80;111;161;191;241;281;341},1),"North","NorthEast","East","SouthEast","South","SouthWest","West","NorthWest","North")</f>
        <v>South</v>
      </c>
      <c r="AA1561" s="4">
        <f>CHOOSE(MATCH(Z1561,{"South";"SouthEast";"SouthWest";"North";"NorthEast";"East";"West";"NorthWest"},0),1,2,3,4,5,6,7,8)</f>
        <v>1</v>
      </c>
      <c r="AB1561" s="2">
        <f t="shared" si="246"/>
        <v>0</v>
      </c>
      <c r="AC1561">
        <v>1014.6</v>
      </c>
      <c r="AD1561" t="s">
        <v>1247</v>
      </c>
      <c r="AE1561" s="2">
        <f t="shared" si="247"/>
        <v>0</v>
      </c>
      <c r="AF1561" t="s">
        <v>2276</v>
      </c>
      <c r="AG1561" s="2">
        <f t="shared" si="248"/>
        <v>10</v>
      </c>
      <c r="AH1561" s="2">
        <f t="shared" si="249"/>
        <v>0</v>
      </c>
      <c r="AI1561" s="3">
        <v>689.99999999650754</v>
      </c>
      <c r="AJ1561" s="2">
        <v>1</v>
      </c>
      <c r="AK1561">
        <v>0</v>
      </c>
      <c r="AL1561">
        <v>50</v>
      </c>
      <c r="AM1561">
        <v>0</v>
      </c>
      <c r="AN1561" s="2">
        <f>IF((2*G1561+M1561-O1561+3*V1561+2*AB1561+2*AE1561+2*AH1561+3*AJ1561)&gt;=7,1,0)</f>
        <v>0</v>
      </c>
    </row>
    <row r="1562" spans="1:40" x14ac:dyDescent="0.25">
      <c r="A1562" t="s">
        <v>27</v>
      </c>
      <c r="B1562" s="1">
        <v>41198</v>
      </c>
      <c r="C1562" s="6">
        <f t="shared" si="240"/>
        <v>2012</v>
      </c>
      <c r="D1562">
        <v>82.4</v>
      </c>
      <c r="E1562">
        <v>69.8</v>
      </c>
      <c r="F1562">
        <v>76.2</v>
      </c>
      <c r="G1562" s="2">
        <f t="shared" si="241"/>
        <v>1</v>
      </c>
      <c r="H1562">
        <v>86.2</v>
      </c>
      <c r="I1562">
        <v>69.8</v>
      </c>
      <c r="J1562">
        <v>77</v>
      </c>
      <c r="K1562">
        <v>65.8</v>
      </c>
      <c r="L1562">
        <v>71.3</v>
      </c>
      <c r="M1562" s="2">
        <f t="shared" si="242"/>
        <v>0</v>
      </c>
      <c r="N1562">
        <v>0</v>
      </c>
      <c r="O1562" s="2">
        <f t="shared" si="243"/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 s="2">
        <f t="shared" si="244"/>
        <v>0</v>
      </c>
      <c r="W1562">
        <v>12.8</v>
      </c>
      <c r="X1562" s="2">
        <f t="shared" si="245"/>
        <v>0</v>
      </c>
      <c r="Y1562">
        <v>190.3</v>
      </c>
      <c r="Z1562" s="2" t="str">
        <f>CHOOSE(MATCH(Y1562,{0;11;80;111;161;191;241;281;341},1),"North","NorthEast","East","SouthEast","South","SouthWest","West","NorthWest","North")</f>
        <v>South</v>
      </c>
      <c r="AA1562" s="4">
        <f>CHOOSE(MATCH(Z1562,{"South";"SouthEast";"SouthWest";"North";"NorthEast";"East";"West";"NorthWest"},0),1,2,3,4,5,6,7,8)</f>
        <v>1</v>
      </c>
      <c r="AB1562" s="2">
        <f t="shared" si="246"/>
        <v>0</v>
      </c>
      <c r="AC1562">
        <v>1017.4</v>
      </c>
      <c r="AD1562" t="s">
        <v>1750</v>
      </c>
      <c r="AE1562" s="2">
        <f t="shared" si="247"/>
        <v>1</v>
      </c>
      <c r="AF1562" t="s">
        <v>2277</v>
      </c>
      <c r="AG1562" s="2">
        <f t="shared" si="248"/>
        <v>10</v>
      </c>
      <c r="AH1562" s="2">
        <f t="shared" si="249"/>
        <v>0</v>
      </c>
      <c r="AI1562" s="3">
        <v>505.00000000116421</v>
      </c>
      <c r="AJ1562" s="2">
        <v>1</v>
      </c>
      <c r="AK1562">
        <v>0</v>
      </c>
      <c r="AL1562">
        <v>20</v>
      </c>
      <c r="AM1562">
        <v>0</v>
      </c>
      <c r="AN1562" s="2">
        <f>IF((2*G1562+M1562-O1562+3*V1562+2*AB1562+2*AE1562+2*AH1562+3*AJ1562)&gt;=7,1,0)</f>
        <v>0</v>
      </c>
    </row>
    <row r="1563" spans="1:40" x14ac:dyDescent="0.25">
      <c r="A1563" t="s">
        <v>27</v>
      </c>
      <c r="B1563" s="1">
        <v>41198</v>
      </c>
      <c r="C1563" s="6">
        <f t="shared" si="240"/>
        <v>2012</v>
      </c>
      <c r="D1563">
        <v>82.4</v>
      </c>
      <c r="E1563">
        <v>69.8</v>
      </c>
      <c r="F1563">
        <v>76.2</v>
      </c>
      <c r="G1563" s="2">
        <f t="shared" si="241"/>
        <v>1</v>
      </c>
      <c r="H1563">
        <v>86.2</v>
      </c>
      <c r="I1563">
        <v>69.8</v>
      </c>
      <c r="J1563">
        <v>77</v>
      </c>
      <c r="K1563">
        <v>65.8</v>
      </c>
      <c r="L1563">
        <v>71.3</v>
      </c>
      <c r="M1563" s="2">
        <f t="shared" si="242"/>
        <v>0</v>
      </c>
      <c r="N1563">
        <v>0</v>
      </c>
      <c r="O1563" s="2">
        <f t="shared" si="243"/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 s="2">
        <f t="shared" si="244"/>
        <v>0</v>
      </c>
      <c r="W1563">
        <v>12.8</v>
      </c>
      <c r="X1563" s="2">
        <f t="shared" si="245"/>
        <v>0</v>
      </c>
      <c r="Y1563">
        <v>190.3</v>
      </c>
      <c r="Z1563" s="2" t="str">
        <f>CHOOSE(MATCH(Y1563,{0;11;80;111;161;191;241;281;341},1),"North","NorthEast","East","SouthEast","South","SouthWest","West","NorthWest","North")</f>
        <v>South</v>
      </c>
      <c r="AA1563" s="4">
        <f>CHOOSE(MATCH(Z1563,{"South";"SouthEast";"SouthWest";"North";"NorthEast";"East";"West";"NorthWest"},0),1,2,3,4,5,6,7,8)</f>
        <v>1</v>
      </c>
      <c r="AB1563" s="2">
        <f t="shared" si="246"/>
        <v>0</v>
      </c>
      <c r="AC1563">
        <v>1017.4</v>
      </c>
      <c r="AD1563" t="s">
        <v>1800</v>
      </c>
      <c r="AE1563" s="2">
        <f t="shared" si="247"/>
        <v>1</v>
      </c>
      <c r="AF1563" t="s">
        <v>2278</v>
      </c>
      <c r="AG1563" s="2">
        <f t="shared" si="248"/>
        <v>10</v>
      </c>
      <c r="AH1563" s="2">
        <f t="shared" si="249"/>
        <v>0</v>
      </c>
      <c r="AI1563" s="3">
        <v>280.00000000116421</v>
      </c>
      <c r="AJ1563" s="2">
        <v>0</v>
      </c>
      <c r="AK1563">
        <v>0</v>
      </c>
      <c r="AL1563">
        <v>7</v>
      </c>
      <c r="AM1563">
        <v>0</v>
      </c>
      <c r="AN1563" s="2">
        <f>IF((2*G1563+M1563-O1563+3*V1563+2*AB1563+2*AE1563+2*AH1563+3*AJ1563)&gt;=7,1,0)</f>
        <v>0</v>
      </c>
    </row>
    <row r="1564" spans="1:40" x14ac:dyDescent="0.25">
      <c r="A1564" t="s">
        <v>27</v>
      </c>
      <c r="B1564" s="1">
        <v>41199</v>
      </c>
      <c r="C1564" s="6">
        <f t="shared" si="240"/>
        <v>2012</v>
      </c>
      <c r="D1564">
        <v>80.599999999999994</v>
      </c>
      <c r="E1564">
        <v>66.2</v>
      </c>
      <c r="F1564">
        <v>74.2</v>
      </c>
      <c r="G1564" s="2">
        <f t="shared" si="241"/>
        <v>1</v>
      </c>
      <c r="H1564">
        <v>85.4</v>
      </c>
      <c r="I1564">
        <v>66.2</v>
      </c>
      <c r="J1564">
        <v>74.8</v>
      </c>
      <c r="K1564">
        <v>63.7</v>
      </c>
      <c r="L1564">
        <v>70.3</v>
      </c>
      <c r="M1564" s="2">
        <f t="shared" si="242"/>
        <v>0</v>
      </c>
      <c r="N1564">
        <v>0</v>
      </c>
      <c r="O1564" s="2">
        <f t="shared" si="243"/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 s="2">
        <f t="shared" si="244"/>
        <v>0</v>
      </c>
      <c r="W1564">
        <v>10.3</v>
      </c>
      <c r="X1564" s="2">
        <f t="shared" si="245"/>
        <v>0</v>
      </c>
      <c r="Y1564">
        <v>225.9</v>
      </c>
      <c r="Z1564" s="2" t="str">
        <f>CHOOSE(MATCH(Y1564,{0;11;80;111;161;191;241;281;341},1),"North","NorthEast","East","SouthEast","South","SouthWest","West","NorthWest","North")</f>
        <v>SouthWest</v>
      </c>
      <c r="AA1564" s="4">
        <f>CHOOSE(MATCH(Z1564,{"South";"SouthEast";"SouthWest";"North";"NorthEast";"East";"West";"NorthWest"},0),1,2,3,4,5,6,7,8)</f>
        <v>3</v>
      </c>
      <c r="AB1564" s="2">
        <f t="shared" si="246"/>
        <v>0</v>
      </c>
      <c r="AC1564">
        <v>1018.3</v>
      </c>
      <c r="AD1564" t="s">
        <v>1868</v>
      </c>
      <c r="AE1564" s="2">
        <f t="shared" si="247"/>
        <v>1</v>
      </c>
      <c r="AF1564" t="s">
        <v>2279</v>
      </c>
      <c r="AG1564" s="2">
        <f t="shared" si="248"/>
        <v>10</v>
      </c>
      <c r="AH1564" s="2">
        <f t="shared" si="249"/>
        <v>0</v>
      </c>
      <c r="AI1564" s="3">
        <v>119.99999999301509</v>
      </c>
      <c r="AJ1564" s="2">
        <v>0</v>
      </c>
      <c r="AK1564">
        <v>0</v>
      </c>
      <c r="AL1564">
        <v>0.1</v>
      </c>
      <c r="AM1564">
        <v>0</v>
      </c>
      <c r="AN1564" s="2">
        <f>IF((2*G1564+M1564-O1564+3*V1564+2*AB1564+2*AE1564+2*AH1564+3*AJ1564)&gt;=7,1,0)</f>
        <v>0</v>
      </c>
    </row>
    <row r="1565" spans="1:40" x14ac:dyDescent="0.25">
      <c r="A1565" t="s">
        <v>27</v>
      </c>
      <c r="B1565" s="1">
        <v>41199</v>
      </c>
      <c r="C1565" s="6">
        <f t="shared" si="240"/>
        <v>2012</v>
      </c>
      <c r="D1565">
        <v>80.599999999999994</v>
      </c>
      <c r="E1565">
        <v>66.2</v>
      </c>
      <c r="F1565">
        <v>74.2</v>
      </c>
      <c r="G1565" s="2">
        <f t="shared" si="241"/>
        <v>1</v>
      </c>
      <c r="H1565">
        <v>85.4</v>
      </c>
      <c r="I1565">
        <v>66.2</v>
      </c>
      <c r="J1565">
        <v>74.8</v>
      </c>
      <c r="K1565">
        <v>63.7</v>
      </c>
      <c r="L1565">
        <v>70.3</v>
      </c>
      <c r="M1565" s="2">
        <f t="shared" si="242"/>
        <v>0</v>
      </c>
      <c r="N1565">
        <v>0</v>
      </c>
      <c r="O1565" s="2">
        <f t="shared" si="243"/>
        <v>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 s="2">
        <f t="shared" si="244"/>
        <v>0</v>
      </c>
      <c r="W1565">
        <v>10.3</v>
      </c>
      <c r="X1565" s="2">
        <f t="shared" si="245"/>
        <v>0</v>
      </c>
      <c r="Y1565">
        <v>225.9</v>
      </c>
      <c r="Z1565" s="2" t="str">
        <f>CHOOSE(MATCH(Y1565,{0;11;80;111;161;191;241;281;341},1),"North","NorthEast","East","SouthEast","South","SouthWest","West","NorthWest","North")</f>
        <v>SouthWest</v>
      </c>
      <c r="AA1565" s="4">
        <f>CHOOSE(MATCH(Z1565,{"South";"SouthEast";"SouthWest";"North";"NorthEast";"East";"West";"NorthWest"},0),1,2,3,4,5,6,7,8)</f>
        <v>3</v>
      </c>
      <c r="AB1565" s="2">
        <f t="shared" si="246"/>
        <v>0</v>
      </c>
      <c r="AC1565">
        <v>1018.3</v>
      </c>
      <c r="AD1565" t="s">
        <v>1879</v>
      </c>
      <c r="AE1565" s="2">
        <f t="shared" si="247"/>
        <v>1</v>
      </c>
      <c r="AF1565" t="s">
        <v>2280</v>
      </c>
      <c r="AG1565" s="2">
        <f t="shared" si="248"/>
        <v>10</v>
      </c>
      <c r="AH1565" s="2">
        <f t="shared" si="249"/>
        <v>0</v>
      </c>
      <c r="AI1565" s="3">
        <v>1440</v>
      </c>
      <c r="AJ1565" s="2">
        <v>1</v>
      </c>
      <c r="AK1565">
        <v>0</v>
      </c>
      <c r="AL1565">
        <v>10</v>
      </c>
      <c r="AM1565">
        <v>0</v>
      </c>
      <c r="AN1565" s="2">
        <f>IF((2*G1565+M1565-O1565+3*V1565+2*AB1565+2*AE1565+2*AH1565+3*AJ1565)&gt;=7,1,0)</f>
        <v>0</v>
      </c>
    </row>
    <row r="1566" spans="1:40" x14ac:dyDescent="0.25">
      <c r="A1566" t="s">
        <v>27</v>
      </c>
      <c r="B1566" s="1">
        <v>41199</v>
      </c>
      <c r="C1566" s="6">
        <f t="shared" si="240"/>
        <v>2012</v>
      </c>
      <c r="D1566">
        <v>80.599999999999994</v>
      </c>
      <c r="E1566">
        <v>66.2</v>
      </c>
      <c r="F1566">
        <v>74.2</v>
      </c>
      <c r="G1566" s="2">
        <f t="shared" si="241"/>
        <v>1</v>
      </c>
      <c r="H1566">
        <v>85.4</v>
      </c>
      <c r="I1566">
        <v>66.2</v>
      </c>
      <c r="J1566">
        <v>74.8</v>
      </c>
      <c r="K1566">
        <v>63.7</v>
      </c>
      <c r="L1566">
        <v>70.3</v>
      </c>
      <c r="M1566" s="2">
        <f t="shared" si="242"/>
        <v>0</v>
      </c>
      <c r="N1566">
        <v>0</v>
      </c>
      <c r="O1566" s="2">
        <f t="shared" si="243"/>
        <v>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 s="2">
        <f t="shared" si="244"/>
        <v>0</v>
      </c>
      <c r="W1566">
        <v>10.3</v>
      </c>
      <c r="X1566" s="2">
        <f t="shared" si="245"/>
        <v>0</v>
      </c>
      <c r="Y1566">
        <v>225.9</v>
      </c>
      <c r="Z1566" s="2" t="str">
        <f>CHOOSE(MATCH(Y1566,{0;11;80;111;161;191;241;281;341},1),"North","NorthEast","East","SouthEast","South","SouthWest","West","NorthWest","North")</f>
        <v>SouthWest</v>
      </c>
      <c r="AA1566" s="4">
        <f>CHOOSE(MATCH(Z1566,{"South";"SouthEast";"SouthWest";"North";"NorthEast";"East";"West";"NorthWest"},0),1,2,3,4,5,6,7,8)</f>
        <v>3</v>
      </c>
      <c r="AB1566" s="2">
        <f t="shared" si="246"/>
        <v>0</v>
      </c>
      <c r="AC1566">
        <v>1018.3</v>
      </c>
      <c r="AD1566" t="s">
        <v>2281</v>
      </c>
      <c r="AE1566" s="2">
        <f t="shared" si="247"/>
        <v>1</v>
      </c>
      <c r="AF1566" t="s">
        <v>2282</v>
      </c>
      <c r="AG1566" s="2">
        <f t="shared" si="248"/>
        <v>10</v>
      </c>
      <c r="AH1566" s="2">
        <f t="shared" si="249"/>
        <v>0</v>
      </c>
      <c r="AI1566" s="3">
        <v>365.99999999860302</v>
      </c>
      <c r="AJ1566" s="2">
        <v>1</v>
      </c>
      <c r="AK1566">
        <v>0</v>
      </c>
      <c r="AL1566">
        <v>5</v>
      </c>
      <c r="AM1566">
        <v>0</v>
      </c>
      <c r="AN1566" s="2">
        <f>IF((2*G1566+M1566-O1566+3*V1566+2*AB1566+2*AE1566+2*AH1566+3*AJ1566)&gt;=7,1,0)</f>
        <v>0</v>
      </c>
    </row>
    <row r="1567" spans="1:40" x14ac:dyDescent="0.25">
      <c r="A1567" t="s">
        <v>27</v>
      </c>
      <c r="B1567" s="1">
        <v>41200</v>
      </c>
      <c r="C1567" s="6">
        <f t="shared" si="240"/>
        <v>2012</v>
      </c>
      <c r="D1567">
        <v>78.8</v>
      </c>
      <c r="E1567">
        <v>68</v>
      </c>
      <c r="F1567">
        <v>73.900000000000006</v>
      </c>
      <c r="G1567" s="2">
        <f t="shared" si="241"/>
        <v>1</v>
      </c>
      <c r="H1567">
        <v>78.8</v>
      </c>
      <c r="I1567">
        <v>68</v>
      </c>
      <c r="J1567">
        <v>73.900000000000006</v>
      </c>
      <c r="K1567">
        <v>67.2</v>
      </c>
      <c r="L1567">
        <v>80.2</v>
      </c>
      <c r="M1567" s="2">
        <f t="shared" si="242"/>
        <v>0</v>
      </c>
      <c r="N1567">
        <v>0</v>
      </c>
      <c r="O1567" s="2">
        <f t="shared" si="243"/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 s="2">
        <f t="shared" si="244"/>
        <v>0</v>
      </c>
      <c r="W1567">
        <v>17.2</v>
      </c>
      <c r="X1567" s="2">
        <f t="shared" si="245"/>
        <v>1</v>
      </c>
      <c r="Y1567">
        <v>294.2</v>
      </c>
      <c r="Z1567" s="2" t="str">
        <f>CHOOSE(MATCH(Y1567,{0;11;80;111;161;191;241;281;341},1),"North","NorthEast","East","SouthEast","South","SouthWest","West","NorthWest","North")</f>
        <v>NorthWest</v>
      </c>
      <c r="AA1567" s="4">
        <f>CHOOSE(MATCH(Z1567,{"South";"SouthEast";"SouthWest";"North";"NorthEast";"East";"West";"NorthWest"},0),1,2,3,4,5,6,7,8)</f>
        <v>8</v>
      </c>
      <c r="AB1567" s="2">
        <f t="shared" si="246"/>
        <v>1</v>
      </c>
      <c r="AC1567">
        <v>1017.8</v>
      </c>
      <c r="AD1567" t="s">
        <v>1127</v>
      </c>
      <c r="AE1567" s="2">
        <f t="shared" si="247"/>
        <v>1</v>
      </c>
      <c r="AF1567" t="s">
        <v>2283</v>
      </c>
      <c r="AG1567" s="2">
        <f t="shared" si="248"/>
        <v>10</v>
      </c>
      <c r="AH1567" s="2">
        <f t="shared" si="249"/>
        <v>0</v>
      </c>
      <c r="AI1567" s="3">
        <v>1510.0000000081491</v>
      </c>
      <c r="AJ1567" s="2">
        <v>1</v>
      </c>
      <c r="AK1567">
        <v>2</v>
      </c>
      <c r="AL1567">
        <v>0</v>
      </c>
      <c r="AM1567">
        <v>0</v>
      </c>
      <c r="AN1567" s="2">
        <f>IF((2*G1567+M1567-O1567+3*V1567+2*AB1567+2*AE1567+2*AH1567+3*AJ1567)&gt;=7,1,0)</f>
        <v>1</v>
      </c>
    </row>
    <row r="1568" spans="1:40" x14ac:dyDescent="0.25">
      <c r="A1568" t="s">
        <v>27</v>
      </c>
      <c r="B1568" s="1">
        <v>41200</v>
      </c>
      <c r="C1568" s="6">
        <f t="shared" si="240"/>
        <v>2012</v>
      </c>
      <c r="D1568">
        <v>78.8</v>
      </c>
      <c r="E1568">
        <v>68</v>
      </c>
      <c r="F1568">
        <v>73.900000000000006</v>
      </c>
      <c r="G1568" s="2">
        <f t="shared" si="241"/>
        <v>1</v>
      </c>
      <c r="H1568">
        <v>78.8</v>
      </c>
      <c r="I1568">
        <v>68</v>
      </c>
      <c r="J1568">
        <v>73.900000000000006</v>
      </c>
      <c r="K1568">
        <v>67.2</v>
      </c>
      <c r="L1568">
        <v>80.2</v>
      </c>
      <c r="M1568" s="2">
        <f t="shared" si="242"/>
        <v>0</v>
      </c>
      <c r="N1568">
        <v>0</v>
      </c>
      <c r="O1568" s="2">
        <f t="shared" si="243"/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 s="2">
        <f t="shared" si="244"/>
        <v>0</v>
      </c>
      <c r="W1568">
        <v>17.2</v>
      </c>
      <c r="X1568" s="2">
        <f t="shared" si="245"/>
        <v>1</v>
      </c>
      <c r="Y1568">
        <v>294.2</v>
      </c>
      <c r="Z1568" s="2" t="str">
        <f>CHOOSE(MATCH(Y1568,{0;11;80;111;161;191;241;281;341},1),"North","NorthEast","East","SouthEast","South","SouthWest","West","NorthWest","North")</f>
        <v>NorthWest</v>
      </c>
      <c r="AA1568" s="4">
        <f>CHOOSE(MATCH(Z1568,{"South";"SouthEast";"SouthWest";"North";"NorthEast";"East";"West";"NorthWest"},0),1,2,3,4,5,6,7,8)</f>
        <v>8</v>
      </c>
      <c r="AB1568" s="2">
        <f t="shared" si="246"/>
        <v>1</v>
      </c>
      <c r="AC1568">
        <v>1017.8</v>
      </c>
      <c r="AD1568" t="s">
        <v>1864</v>
      </c>
      <c r="AE1568" s="2">
        <f t="shared" si="247"/>
        <v>1</v>
      </c>
      <c r="AF1568" t="s">
        <v>2284</v>
      </c>
      <c r="AG1568" s="2">
        <f t="shared" si="248"/>
        <v>10</v>
      </c>
      <c r="AH1568" s="2">
        <f t="shared" si="249"/>
        <v>0</v>
      </c>
      <c r="AI1568" s="3">
        <v>147.00000000768341</v>
      </c>
      <c r="AJ1568" s="2">
        <v>0</v>
      </c>
      <c r="AK1568">
        <v>0</v>
      </c>
      <c r="AL1568">
        <v>0.1</v>
      </c>
      <c r="AM1568">
        <v>0</v>
      </c>
      <c r="AN1568" s="2">
        <f>IF((2*G1568+M1568-O1568+3*V1568+2*AB1568+2*AE1568+2*AH1568+3*AJ1568)&gt;=7,1,0)</f>
        <v>0</v>
      </c>
    </row>
    <row r="1569" spans="1:40" x14ac:dyDescent="0.25">
      <c r="A1569" t="s">
        <v>27</v>
      </c>
      <c r="B1569" s="1">
        <v>41201</v>
      </c>
      <c r="C1569" s="6">
        <f t="shared" si="240"/>
        <v>2012</v>
      </c>
      <c r="D1569">
        <v>77</v>
      </c>
      <c r="E1569">
        <v>71.599999999999994</v>
      </c>
      <c r="F1569">
        <v>74.2</v>
      </c>
      <c r="G1569" s="2">
        <f t="shared" si="241"/>
        <v>1</v>
      </c>
      <c r="H1569">
        <v>77</v>
      </c>
      <c r="I1569">
        <v>71.599999999999994</v>
      </c>
      <c r="J1569">
        <v>74.2</v>
      </c>
      <c r="K1569">
        <v>64.900000000000006</v>
      </c>
      <c r="L1569">
        <v>73.099999999999994</v>
      </c>
      <c r="M1569" s="2">
        <f t="shared" si="242"/>
        <v>0</v>
      </c>
      <c r="N1569">
        <v>0</v>
      </c>
      <c r="O1569" s="2">
        <f t="shared" si="243"/>
        <v>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 s="2">
        <f t="shared" si="244"/>
        <v>0</v>
      </c>
      <c r="W1569">
        <v>16.100000000000001</v>
      </c>
      <c r="X1569" s="2">
        <f t="shared" si="245"/>
        <v>1</v>
      </c>
      <c r="Y1569">
        <v>315.3</v>
      </c>
      <c r="Z1569" s="2" t="str">
        <f>CHOOSE(MATCH(Y1569,{0;11;80;111;161;191;241;281;341},1),"North","NorthEast","East","SouthEast","South","SouthWest","West","NorthWest","North")</f>
        <v>NorthWest</v>
      </c>
      <c r="AA1569" s="4">
        <f>CHOOSE(MATCH(Z1569,{"South";"SouthEast";"SouthWest";"North";"NorthEast";"East";"West";"NorthWest"},0),1,2,3,4,5,6,7,8)</f>
        <v>8</v>
      </c>
      <c r="AB1569" s="2">
        <f t="shared" si="246"/>
        <v>1</v>
      </c>
      <c r="AC1569">
        <v>1017.3</v>
      </c>
      <c r="AD1569" t="s">
        <v>1900</v>
      </c>
      <c r="AE1569" s="2">
        <f t="shared" si="247"/>
        <v>1</v>
      </c>
      <c r="AF1569" t="s">
        <v>2285</v>
      </c>
      <c r="AG1569" s="2">
        <f t="shared" si="248"/>
        <v>10</v>
      </c>
      <c r="AH1569" s="2">
        <f t="shared" si="249"/>
        <v>0</v>
      </c>
      <c r="AI1569" s="3">
        <v>739.99999999185093</v>
      </c>
      <c r="AJ1569" s="2">
        <v>1</v>
      </c>
      <c r="AK1569">
        <v>0</v>
      </c>
      <c r="AL1569">
        <v>30</v>
      </c>
      <c r="AM1569">
        <v>0</v>
      </c>
      <c r="AN1569" s="2">
        <f>IF((2*G1569+M1569-O1569+3*V1569+2*AB1569+2*AE1569+2*AH1569+3*AJ1569)&gt;=7,1,0)</f>
        <v>1</v>
      </c>
    </row>
    <row r="1570" spans="1:40" x14ac:dyDescent="0.25">
      <c r="A1570" t="s">
        <v>27</v>
      </c>
      <c r="B1570" s="1">
        <v>41201</v>
      </c>
      <c r="C1570" s="6">
        <f t="shared" si="240"/>
        <v>2012</v>
      </c>
      <c r="D1570">
        <v>77</v>
      </c>
      <c r="E1570">
        <v>71.599999999999994</v>
      </c>
      <c r="F1570">
        <v>74.2</v>
      </c>
      <c r="G1570" s="2">
        <f t="shared" si="241"/>
        <v>1</v>
      </c>
      <c r="H1570">
        <v>77</v>
      </c>
      <c r="I1570">
        <v>71.599999999999994</v>
      </c>
      <c r="J1570">
        <v>74.2</v>
      </c>
      <c r="K1570">
        <v>64.900000000000006</v>
      </c>
      <c r="L1570">
        <v>73.099999999999994</v>
      </c>
      <c r="M1570" s="2">
        <f t="shared" si="242"/>
        <v>0</v>
      </c>
      <c r="N1570">
        <v>0</v>
      </c>
      <c r="O1570" s="2">
        <f t="shared" si="243"/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 s="2">
        <f t="shared" si="244"/>
        <v>0</v>
      </c>
      <c r="W1570">
        <v>16.100000000000001</v>
      </c>
      <c r="X1570" s="2">
        <f t="shared" si="245"/>
        <v>1</v>
      </c>
      <c r="Y1570">
        <v>315.3</v>
      </c>
      <c r="Z1570" s="2" t="str">
        <f>CHOOSE(MATCH(Y1570,{0;11;80;111;161;191;241;281;341},1),"North","NorthEast","East","SouthEast","South","SouthWest","West","NorthWest","North")</f>
        <v>NorthWest</v>
      </c>
      <c r="AA1570" s="4">
        <f>CHOOSE(MATCH(Z1570,{"South";"SouthEast";"SouthWest";"North";"NorthEast";"East";"West";"NorthWest"},0),1,2,3,4,5,6,7,8)</f>
        <v>8</v>
      </c>
      <c r="AB1570" s="2">
        <f t="shared" si="246"/>
        <v>1</v>
      </c>
      <c r="AC1570">
        <v>1017.3</v>
      </c>
      <c r="AD1570" t="s">
        <v>2286</v>
      </c>
      <c r="AE1570" s="2">
        <f t="shared" si="247"/>
        <v>1</v>
      </c>
      <c r="AF1570" t="s">
        <v>2287</v>
      </c>
      <c r="AG1570" s="2">
        <f t="shared" si="248"/>
        <v>10</v>
      </c>
      <c r="AH1570" s="2">
        <f t="shared" si="249"/>
        <v>0</v>
      </c>
      <c r="AI1570" s="3">
        <v>609.99999999767169</v>
      </c>
      <c r="AJ1570" s="2">
        <v>1</v>
      </c>
      <c r="AK1570">
        <v>0</v>
      </c>
      <c r="AL1570">
        <v>10</v>
      </c>
      <c r="AM1570">
        <v>0</v>
      </c>
      <c r="AN1570" s="2">
        <f>IF((2*G1570+M1570-O1570+3*V1570+2*AB1570+2*AE1570+2*AH1570+3*AJ1570)&gt;=7,1,0)</f>
        <v>1</v>
      </c>
    </row>
    <row r="1571" spans="1:40" x14ac:dyDescent="0.25">
      <c r="A1571" t="s">
        <v>27</v>
      </c>
      <c r="B1571" s="1">
        <v>41202</v>
      </c>
      <c r="C1571" s="6">
        <f t="shared" si="240"/>
        <v>2012</v>
      </c>
      <c r="D1571">
        <v>77</v>
      </c>
      <c r="E1571">
        <v>68</v>
      </c>
      <c r="F1571">
        <v>72.7</v>
      </c>
      <c r="G1571" s="2">
        <f t="shared" si="241"/>
        <v>1</v>
      </c>
      <c r="H1571">
        <v>77</v>
      </c>
      <c r="I1571">
        <v>68</v>
      </c>
      <c r="J1571">
        <v>72.7</v>
      </c>
      <c r="K1571">
        <v>61.9</v>
      </c>
      <c r="L1571">
        <v>69.599999999999994</v>
      </c>
      <c r="M1571" s="2">
        <f t="shared" si="242"/>
        <v>0</v>
      </c>
      <c r="N1571">
        <v>0</v>
      </c>
      <c r="O1571" s="2">
        <f t="shared" si="243"/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 s="2">
        <f t="shared" si="244"/>
        <v>0</v>
      </c>
      <c r="W1571">
        <v>16.100000000000001</v>
      </c>
      <c r="X1571" s="2">
        <f t="shared" si="245"/>
        <v>1</v>
      </c>
      <c r="Y1571">
        <v>316.39999999999998</v>
      </c>
      <c r="Z1571" s="2" t="str">
        <f>CHOOSE(MATCH(Y1571,{0;11;80;111;161;191;241;281;341},1),"North","NorthEast","East","SouthEast","South","SouthWest","West","NorthWest","North")</f>
        <v>NorthWest</v>
      </c>
      <c r="AA1571" s="4">
        <f>CHOOSE(MATCH(Z1571,{"South";"SouthEast";"SouthWest";"North";"NorthEast";"East";"West";"NorthWest"},0),1,2,3,4,5,6,7,8)</f>
        <v>8</v>
      </c>
      <c r="AB1571" s="2">
        <f t="shared" si="246"/>
        <v>1</v>
      </c>
      <c r="AC1571">
        <v>1015.7</v>
      </c>
      <c r="AD1571" t="s">
        <v>2172</v>
      </c>
      <c r="AE1571" s="2">
        <f t="shared" si="247"/>
        <v>1</v>
      </c>
      <c r="AF1571" t="s">
        <v>2288</v>
      </c>
      <c r="AG1571" s="2">
        <f t="shared" si="248"/>
        <v>10</v>
      </c>
      <c r="AH1571" s="2">
        <f t="shared" si="249"/>
        <v>0</v>
      </c>
      <c r="AI1571" s="3">
        <v>1454.999999996508</v>
      </c>
      <c r="AJ1571" s="2">
        <v>1</v>
      </c>
      <c r="AK1571">
        <v>0</v>
      </c>
      <c r="AL1571">
        <v>100</v>
      </c>
      <c r="AM1571">
        <v>0</v>
      </c>
      <c r="AN1571" s="2">
        <f>IF((2*G1571+M1571-O1571+3*V1571+2*AB1571+2*AE1571+2*AH1571+3*AJ1571)&gt;=7,1,0)</f>
        <v>1</v>
      </c>
    </row>
    <row r="1572" spans="1:40" x14ac:dyDescent="0.25">
      <c r="A1572" t="s">
        <v>27</v>
      </c>
      <c r="B1572" s="1">
        <v>41203</v>
      </c>
      <c r="C1572" s="6">
        <f t="shared" si="240"/>
        <v>2012</v>
      </c>
      <c r="D1572">
        <v>73.400000000000006</v>
      </c>
      <c r="E1572">
        <v>68</v>
      </c>
      <c r="F1572">
        <v>70.599999999999994</v>
      </c>
      <c r="G1572" s="2">
        <f t="shared" si="241"/>
        <v>1</v>
      </c>
      <c r="H1572">
        <v>73.400000000000006</v>
      </c>
      <c r="I1572">
        <v>68</v>
      </c>
      <c r="J1572">
        <v>70.599999999999994</v>
      </c>
      <c r="K1572">
        <v>57</v>
      </c>
      <c r="L1572">
        <v>62.2</v>
      </c>
      <c r="M1572" s="2">
        <f t="shared" si="242"/>
        <v>1</v>
      </c>
      <c r="N1572">
        <v>0</v>
      </c>
      <c r="O1572" s="2">
        <f t="shared" si="243"/>
        <v>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 s="2">
        <f t="shared" si="244"/>
        <v>0</v>
      </c>
      <c r="W1572">
        <v>20.8</v>
      </c>
      <c r="X1572" s="2">
        <f t="shared" si="245"/>
        <v>1</v>
      </c>
      <c r="Y1572">
        <v>324.89999999999998</v>
      </c>
      <c r="Z1572" s="2" t="str">
        <f>CHOOSE(MATCH(Y1572,{0;11;80;111;161;191;241;281;341},1),"North","NorthEast","East","SouthEast","South","SouthWest","West","NorthWest","North")</f>
        <v>NorthWest</v>
      </c>
      <c r="AA1572" s="4">
        <f>CHOOSE(MATCH(Z1572,{"South";"SouthEast";"SouthWest";"North";"NorthEast";"East";"West";"NorthWest"},0),1,2,3,4,5,6,7,8)</f>
        <v>8</v>
      </c>
      <c r="AB1572" s="2">
        <f t="shared" si="246"/>
        <v>1</v>
      </c>
      <c r="AC1572">
        <v>1013.8</v>
      </c>
      <c r="AD1572" t="s">
        <v>2289</v>
      </c>
      <c r="AE1572" s="2">
        <f t="shared" si="247"/>
        <v>1</v>
      </c>
      <c r="AF1572" t="s">
        <v>2290</v>
      </c>
      <c r="AG1572" s="2">
        <f t="shared" si="248"/>
        <v>10</v>
      </c>
      <c r="AH1572" s="2">
        <f t="shared" si="249"/>
        <v>0</v>
      </c>
      <c r="AI1572" s="3">
        <v>107.0000000030268</v>
      </c>
      <c r="AJ1572" s="2">
        <v>0</v>
      </c>
      <c r="AK1572">
        <v>0</v>
      </c>
      <c r="AL1572">
        <v>2</v>
      </c>
      <c r="AM1572">
        <v>0</v>
      </c>
      <c r="AN1572" s="2">
        <f>IF((2*G1572+M1572-O1572+3*V1572+2*AB1572+2*AE1572+2*AH1572+3*AJ1572)&gt;=7,1,0)</f>
        <v>0</v>
      </c>
    </row>
    <row r="1573" spans="1:40" x14ac:dyDescent="0.25">
      <c r="A1573" t="s">
        <v>27</v>
      </c>
      <c r="B1573" s="1">
        <v>41204</v>
      </c>
      <c r="C1573" s="6">
        <f t="shared" si="240"/>
        <v>2012</v>
      </c>
      <c r="D1573">
        <v>71.599999999999994</v>
      </c>
      <c r="E1573">
        <v>62.6</v>
      </c>
      <c r="F1573">
        <v>67.599999999999994</v>
      </c>
      <c r="G1573" s="2">
        <f t="shared" si="241"/>
        <v>0</v>
      </c>
      <c r="H1573">
        <v>71.599999999999994</v>
      </c>
      <c r="I1573">
        <v>62.6</v>
      </c>
      <c r="J1573">
        <v>67.599999999999994</v>
      </c>
      <c r="K1573">
        <v>58.9</v>
      </c>
      <c r="L1573">
        <v>74.2</v>
      </c>
      <c r="M1573" s="2">
        <f t="shared" si="242"/>
        <v>0</v>
      </c>
      <c r="N1573">
        <v>0.33100000000000002</v>
      </c>
      <c r="O1573" s="2">
        <f t="shared" si="243"/>
        <v>0</v>
      </c>
      <c r="P1573">
        <v>100</v>
      </c>
      <c r="Q1573">
        <v>8.33</v>
      </c>
      <c r="R1573" t="s">
        <v>182</v>
      </c>
      <c r="S1573">
        <v>0</v>
      </c>
      <c r="T1573">
        <v>0</v>
      </c>
      <c r="U1573">
        <v>0</v>
      </c>
      <c r="V1573" s="2">
        <f t="shared" si="244"/>
        <v>0</v>
      </c>
      <c r="W1573">
        <v>18.3</v>
      </c>
      <c r="X1573" s="2">
        <f t="shared" si="245"/>
        <v>1</v>
      </c>
      <c r="Y1573">
        <v>313.10000000000002</v>
      </c>
      <c r="Z1573" s="2" t="str">
        <f>CHOOSE(MATCH(Y1573,{0;11;80;111;161;191;241;281;341},1),"North","NorthEast","East","SouthEast","South","SouthWest","West","NorthWest","North")</f>
        <v>NorthWest</v>
      </c>
      <c r="AA1573" s="4">
        <f>CHOOSE(MATCH(Z1573,{"South";"SouthEast";"SouthWest";"North";"NorthEast";"East";"West";"NorthWest"},0),1,2,3,4,5,6,7,8)</f>
        <v>8</v>
      </c>
      <c r="AB1573" s="2">
        <f t="shared" si="246"/>
        <v>1</v>
      </c>
      <c r="AC1573">
        <v>1013</v>
      </c>
      <c r="AD1573" t="s">
        <v>2291</v>
      </c>
      <c r="AE1573" s="2">
        <f t="shared" si="247"/>
        <v>0</v>
      </c>
      <c r="AF1573" t="s">
        <v>2292</v>
      </c>
      <c r="AG1573" s="2">
        <f t="shared" si="248"/>
        <v>10</v>
      </c>
      <c r="AH1573" s="2">
        <f t="shared" si="249"/>
        <v>0</v>
      </c>
      <c r="AI1573" s="3">
        <v>381.99999999837019</v>
      </c>
      <c r="AJ1573" s="2">
        <v>1</v>
      </c>
      <c r="AK1573">
        <v>0</v>
      </c>
      <c r="AL1573">
        <v>2</v>
      </c>
      <c r="AM1573">
        <v>0</v>
      </c>
      <c r="AN1573" s="2">
        <f>IF((2*G1573+M1573-O1573+3*V1573+2*AB1573+2*AE1573+2*AH1573+3*AJ1573)&gt;=7,1,0)</f>
        <v>0</v>
      </c>
    </row>
    <row r="1574" spans="1:40" x14ac:dyDescent="0.25">
      <c r="A1574" t="s">
        <v>27</v>
      </c>
      <c r="B1574" s="1">
        <v>41208</v>
      </c>
      <c r="C1574" s="6">
        <f t="shared" si="240"/>
        <v>2012</v>
      </c>
      <c r="D1574">
        <v>73.400000000000006</v>
      </c>
      <c r="E1574">
        <v>59</v>
      </c>
      <c r="F1574">
        <v>65.3</v>
      </c>
      <c r="G1574" s="2">
        <f t="shared" si="241"/>
        <v>0</v>
      </c>
      <c r="H1574">
        <v>73.400000000000006</v>
      </c>
      <c r="I1574">
        <v>59</v>
      </c>
      <c r="J1574">
        <v>65.3</v>
      </c>
      <c r="K1574">
        <v>58.9</v>
      </c>
      <c r="L1574">
        <v>80.400000000000006</v>
      </c>
      <c r="M1574" s="2">
        <f t="shared" si="242"/>
        <v>0</v>
      </c>
      <c r="N1574">
        <v>0</v>
      </c>
      <c r="O1574" s="2">
        <f t="shared" si="243"/>
        <v>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 s="2">
        <f t="shared" si="244"/>
        <v>0</v>
      </c>
      <c r="W1574">
        <v>8.1</v>
      </c>
      <c r="X1574" s="2">
        <f t="shared" si="245"/>
        <v>0</v>
      </c>
      <c r="Y1574">
        <v>188.3</v>
      </c>
      <c r="Z1574" s="2" t="str">
        <f>CHOOSE(MATCH(Y1574,{0;11;80;111;161;191;241;281;341},1),"North","NorthEast","East","SouthEast","South","SouthWest","West","NorthWest","North")</f>
        <v>South</v>
      </c>
      <c r="AA1574" s="4">
        <f>CHOOSE(MATCH(Z1574,{"South";"SouthEast";"SouthWest";"North";"NorthEast";"East";"West";"NorthWest"},0),1,2,3,4,5,6,7,8)</f>
        <v>1</v>
      </c>
      <c r="AB1574" s="2">
        <f t="shared" si="246"/>
        <v>0</v>
      </c>
      <c r="AC1574">
        <v>1011.6</v>
      </c>
      <c r="AD1574" t="s">
        <v>2210</v>
      </c>
      <c r="AE1574" s="2">
        <f t="shared" si="247"/>
        <v>1</v>
      </c>
      <c r="AF1574" t="s">
        <v>2293</v>
      </c>
      <c r="AG1574" s="2">
        <f t="shared" si="248"/>
        <v>10</v>
      </c>
      <c r="AH1574" s="2">
        <f t="shared" si="249"/>
        <v>0</v>
      </c>
      <c r="AI1574" s="3">
        <v>225</v>
      </c>
      <c r="AJ1574" s="2">
        <v>0</v>
      </c>
      <c r="AK1574">
        <v>0</v>
      </c>
      <c r="AL1574">
        <v>10</v>
      </c>
      <c r="AM1574">
        <v>0</v>
      </c>
      <c r="AN1574" s="2">
        <f>IF((2*G1574+M1574-O1574+3*V1574+2*AB1574+2*AE1574+2*AH1574+3*AJ1574)&gt;=7,1,0)</f>
        <v>0</v>
      </c>
    </row>
    <row r="1575" spans="1:40" x14ac:dyDescent="0.25">
      <c r="A1575" t="s">
        <v>27</v>
      </c>
      <c r="B1575" s="1">
        <v>41209</v>
      </c>
      <c r="C1575" s="6">
        <f t="shared" si="240"/>
        <v>2012</v>
      </c>
      <c r="D1575">
        <v>78.8</v>
      </c>
      <c r="E1575">
        <v>60.8</v>
      </c>
      <c r="F1575">
        <v>69.7</v>
      </c>
      <c r="G1575" s="2">
        <f t="shared" si="241"/>
        <v>0</v>
      </c>
      <c r="H1575">
        <v>78.8</v>
      </c>
      <c r="I1575">
        <v>60.8</v>
      </c>
      <c r="J1575">
        <v>69.7</v>
      </c>
      <c r="K1575">
        <v>59.5</v>
      </c>
      <c r="L1575">
        <v>71.2</v>
      </c>
      <c r="M1575" s="2">
        <f t="shared" si="242"/>
        <v>0</v>
      </c>
      <c r="N1575">
        <v>0</v>
      </c>
      <c r="O1575" s="2">
        <f t="shared" si="243"/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 s="2">
        <f t="shared" si="244"/>
        <v>0</v>
      </c>
      <c r="W1575">
        <v>42.5</v>
      </c>
      <c r="X1575" s="2">
        <f t="shared" si="245"/>
        <v>1</v>
      </c>
      <c r="Y1575">
        <v>174.9</v>
      </c>
      <c r="Z1575" s="2" t="str">
        <f>CHOOSE(MATCH(Y1575,{0;11;80;111;161;191;241;281;341},1),"North","NorthEast","East","SouthEast","South","SouthWest","West","NorthWest","North")</f>
        <v>South</v>
      </c>
      <c r="AA1575" s="4">
        <f>CHOOSE(MATCH(Z1575,{"South";"SouthEast";"SouthWest";"North";"NorthEast";"East";"West";"NorthWest"},0),1,2,3,4,5,6,7,8)</f>
        <v>1</v>
      </c>
      <c r="AB1575" s="2">
        <f t="shared" si="246"/>
        <v>0</v>
      </c>
      <c r="AC1575">
        <v>1011.4</v>
      </c>
      <c r="AD1575" t="s">
        <v>1207</v>
      </c>
      <c r="AE1575" s="2">
        <f t="shared" si="247"/>
        <v>1</v>
      </c>
      <c r="AF1575" t="s">
        <v>2294</v>
      </c>
      <c r="AG1575" s="2">
        <f t="shared" si="248"/>
        <v>10</v>
      </c>
      <c r="AH1575" s="2">
        <f t="shared" si="249"/>
        <v>0</v>
      </c>
      <c r="AI1575" s="3">
        <v>159.99999999767169</v>
      </c>
      <c r="AJ1575" s="2">
        <v>0</v>
      </c>
      <c r="AK1575">
        <v>0</v>
      </c>
      <c r="AL1575">
        <v>0.3</v>
      </c>
      <c r="AM1575">
        <v>0</v>
      </c>
      <c r="AN1575" s="2">
        <f>IF((2*G1575+M1575-O1575+3*V1575+2*AB1575+2*AE1575+2*AH1575+3*AJ1575)&gt;=7,1,0)</f>
        <v>0</v>
      </c>
    </row>
    <row r="1576" spans="1:40" x14ac:dyDescent="0.25">
      <c r="A1576" t="s">
        <v>27</v>
      </c>
      <c r="B1576" s="1">
        <v>41210</v>
      </c>
      <c r="C1576" s="6">
        <f t="shared" si="240"/>
        <v>2012</v>
      </c>
      <c r="D1576">
        <v>82.4</v>
      </c>
      <c r="E1576">
        <v>69.8</v>
      </c>
      <c r="F1576">
        <v>75.400000000000006</v>
      </c>
      <c r="G1576" s="2">
        <f t="shared" si="241"/>
        <v>1</v>
      </c>
      <c r="H1576">
        <v>82.5</v>
      </c>
      <c r="I1576">
        <v>69.8</v>
      </c>
      <c r="J1576">
        <v>75.400000000000006</v>
      </c>
      <c r="K1576">
        <v>61</v>
      </c>
      <c r="L1576">
        <v>62.5</v>
      </c>
      <c r="M1576" s="2">
        <f t="shared" si="242"/>
        <v>1</v>
      </c>
      <c r="N1576">
        <v>0</v>
      </c>
      <c r="O1576" s="2">
        <f t="shared" si="243"/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47.2</v>
      </c>
      <c r="V1576" s="2">
        <f t="shared" si="244"/>
        <v>1</v>
      </c>
      <c r="W1576">
        <v>35.6</v>
      </c>
      <c r="X1576" s="2">
        <f t="shared" si="245"/>
        <v>1</v>
      </c>
      <c r="Y1576">
        <v>180.2</v>
      </c>
      <c r="Z1576" s="2" t="str">
        <f>CHOOSE(MATCH(Y1576,{0;11;80;111;161;191;241;281;341},1),"North","NorthEast","East","SouthEast","South","SouthWest","West","NorthWest","North")</f>
        <v>South</v>
      </c>
      <c r="AA1576" s="4">
        <f>CHOOSE(MATCH(Z1576,{"South";"SouthEast";"SouthWest";"North";"NorthEast";"East";"West";"NorthWest"},0),1,2,3,4,5,6,7,8)</f>
        <v>1</v>
      </c>
      <c r="AB1576" s="2">
        <f t="shared" si="246"/>
        <v>0</v>
      </c>
      <c r="AC1576">
        <v>1010.6</v>
      </c>
      <c r="AD1576" t="s">
        <v>1191</v>
      </c>
      <c r="AE1576" s="2">
        <f t="shared" si="247"/>
        <v>0</v>
      </c>
      <c r="AF1576" t="s">
        <v>2295</v>
      </c>
      <c r="AG1576" s="2">
        <f t="shared" si="248"/>
        <v>10</v>
      </c>
      <c r="AH1576" s="2">
        <f t="shared" si="249"/>
        <v>0</v>
      </c>
      <c r="AI1576" s="3">
        <v>419.99999999650748</v>
      </c>
      <c r="AJ1576" s="2">
        <v>1</v>
      </c>
      <c r="AK1576">
        <v>0</v>
      </c>
      <c r="AL1576">
        <v>0.1</v>
      </c>
      <c r="AM1576">
        <v>0</v>
      </c>
      <c r="AN1576" s="2">
        <f>IF((2*G1576+M1576-O1576+3*V1576+2*AB1576+2*AE1576+2*AH1576+3*AJ1576)&gt;=7,1,0)</f>
        <v>1</v>
      </c>
    </row>
    <row r="1577" spans="1:40" x14ac:dyDescent="0.25">
      <c r="A1577" t="s">
        <v>27</v>
      </c>
      <c r="B1577" s="1">
        <v>41212</v>
      </c>
      <c r="C1577" s="6">
        <f t="shared" si="240"/>
        <v>2012</v>
      </c>
      <c r="D1577">
        <v>75.2</v>
      </c>
      <c r="E1577">
        <v>66.2</v>
      </c>
      <c r="F1577">
        <v>70.3</v>
      </c>
      <c r="G1577" s="2">
        <f t="shared" si="241"/>
        <v>1</v>
      </c>
      <c r="H1577">
        <v>75.2</v>
      </c>
      <c r="I1577">
        <v>66.2</v>
      </c>
      <c r="J1577">
        <v>70.3</v>
      </c>
      <c r="K1577">
        <v>59.8</v>
      </c>
      <c r="L1577">
        <v>69.900000000000006</v>
      </c>
      <c r="M1577" s="2">
        <f t="shared" si="242"/>
        <v>0</v>
      </c>
      <c r="N1577">
        <v>1.2E-2</v>
      </c>
      <c r="O1577" s="2">
        <f t="shared" si="243"/>
        <v>0</v>
      </c>
      <c r="P1577">
        <v>100</v>
      </c>
      <c r="Q1577">
        <v>4.17</v>
      </c>
      <c r="R1577" t="s">
        <v>182</v>
      </c>
      <c r="S1577">
        <v>0</v>
      </c>
      <c r="T1577">
        <v>0</v>
      </c>
      <c r="U1577">
        <v>0</v>
      </c>
      <c r="V1577" s="2">
        <f t="shared" si="244"/>
        <v>0</v>
      </c>
      <c r="W1577">
        <v>20.8</v>
      </c>
      <c r="X1577" s="2">
        <f t="shared" si="245"/>
        <v>1</v>
      </c>
      <c r="Y1577">
        <v>289</v>
      </c>
      <c r="Z1577" s="2" t="str">
        <f>CHOOSE(MATCH(Y1577,{0;11;80;111;161;191;241;281;341},1),"North","NorthEast","East","SouthEast","South","SouthWest","West","NorthWest","North")</f>
        <v>NorthWest</v>
      </c>
      <c r="AA1577" s="4">
        <f>CHOOSE(MATCH(Z1577,{"South";"SouthEast";"SouthWest";"North";"NorthEast";"East";"West";"NorthWest"},0),1,2,3,4,5,6,7,8)</f>
        <v>8</v>
      </c>
      <c r="AB1577" s="2">
        <f t="shared" si="246"/>
        <v>1</v>
      </c>
      <c r="AC1577">
        <v>1011.2</v>
      </c>
      <c r="AD1577" t="s">
        <v>2296</v>
      </c>
      <c r="AE1577" s="2">
        <f t="shared" si="247"/>
        <v>1</v>
      </c>
      <c r="AF1577" t="s">
        <v>2297</v>
      </c>
      <c r="AG1577" s="2">
        <f t="shared" si="248"/>
        <v>10</v>
      </c>
      <c r="AH1577" s="2">
        <f t="shared" si="249"/>
        <v>0</v>
      </c>
      <c r="AI1577" s="3">
        <v>152.99999999580899</v>
      </c>
      <c r="AJ1577" s="2">
        <v>0</v>
      </c>
      <c r="AK1577">
        <v>2</v>
      </c>
      <c r="AL1577">
        <v>0</v>
      </c>
      <c r="AM1577">
        <v>0</v>
      </c>
      <c r="AN1577" s="2">
        <f>IF((2*G1577+M1577-O1577+3*V1577+2*AB1577+2*AE1577+2*AH1577+3*AJ1577)&gt;=7,1,0)</f>
        <v>0</v>
      </c>
    </row>
    <row r="1578" spans="1:40" x14ac:dyDescent="0.25">
      <c r="A1578" t="s">
        <v>27</v>
      </c>
      <c r="B1578" s="1">
        <v>41214</v>
      </c>
      <c r="C1578" s="6">
        <f t="shared" si="240"/>
        <v>2012</v>
      </c>
      <c r="D1578">
        <v>77</v>
      </c>
      <c r="E1578">
        <v>62.6</v>
      </c>
      <c r="F1578">
        <v>71.599999999999994</v>
      </c>
      <c r="G1578" s="2">
        <f t="shared" si="241"/>
        <v>1</v>
      </c>
      <c r="H1578">
        <v>77</v>
      </c>
      <c r="I1578">
        <v>62.6</v>
      </c>
      <c r="J1578">
        <v>71.599999999999994</v>
      </c>
      <c r="K1578">
        <v>61.1</v>
      </c>
      <c r="L1578">
        <v>69.900000000000006</v>
      </c>
      <c r="M1578" s="2">
        <f t="shared" si="242"/>
        <v>0</v>
      </c>
      <c r="N1578">
        <v>1.2E-2</v>
      </c>
      <c r="O1578" s="2">
        <f t="shared" si="243"/>
        <v>0</v>
      </c>
      <c r="P1578">
        <v>100</v>
      </c>
      <c r="Q1578">
        <v>4.17</v>
      </c>
      <c r="R1578" t="s">
        <v>182</v>
      </c>
      <c r="S1578">
        <v>0</v>
      </c>
      <c r="T1578">
        <v>0</v>
      </c>
      <c r="U1578">
        <v>39.1</v>
      </c>
      <c r="V1578" s="2">
        <f t="shared" si="244"/>
        <v>1</v>
      </c>
      <c r="W1578">
        <v>27.5</v>
      </c>
      <c r="X1578" s="2">
        <f t="shared" si="245"/>
        <v>1</v>
      </c>
      <c r="Y1578">
        <v>174.4</v>
      </c>
      <c r="Z1578" s="2" t="str">
        <f>CHOOSE(MATCH(Y1578,{0;11;80;111;161;191;241;281;341},1),"North","NorthEast","East","SouthEast","South","SouthWest","West","NorthWest","North")</f>
        <v>South</v>
      </c>
      <c r="AA1578" s="4">
        <f>CHOOSE(MATCH(Z1578,{"South";"SouthEast";"SouthWest";"North";"NorthEast";"East";"West";"NorthWest"},0),1,2,3,4,5,6,7,8)</f>
        <v>1</v>
      </c>
      <c r="AB1578" s="2">
        <f t="shared" si="246"/>
        <v>0</v>
      </c>
      <c r="AC1578">
        <v>1010.6</v>
      </c>
      <c r="AD1578" t="s">
        <v>2298</v>
      </c>
      <c r="AE1578" s="2">
        <f t="shared" si="247"/>
        <v>1</v>
      </c>
      <c r="AF1578" t="s">
        <v>2299</v>
      </c>
      <c r="AG1578" s="2">
        <f t="shared" si="248"/>
        <v>11</v>
      </c>
      <c r="AH1578" s="2">
        <f t="shared" si="249"/>
        <v>0</v>
      </c>
      <c r="AI1578" s="3">
        <v>90</v>
      </c>
      <c r="AJ1578" s="2">
        <v>0</v>
      </c>
      <c r="AK1578">
        <v>0</v>
      </c>
      <c r="AL1578">
        <v>2</v>
      </c>
      <c r="AM1578">
        <v>0</v>
      </c>
      <c r="AN1578" s="2">
        <f>IF((2*G1578+M1578-O1578+3*V1578+2*AB1578+2*AE1578+2*AH1578+3*AJ1578)&gt;=7,1,0)</f>
        <v>1</v>
      </c>
    </row>
    <row r="1579" spans="1:40" x14ac:dyDescent="0.25">
      <c r="A1579" t="s">
        <v>27</v>
      </c>
      <c r="B1579" s="1">
        <v>41214</v>
      </c>
      <c r="C1579" s="6">
        <f t="shared" si="240"/>
        <v>2012</v>
      </c>
      <c r="D1579">
        <v>77</v>
      </c>
      <c r="E1579">
        <v>62.6</v>
      </c>
      <c r="F1579">
        <v>71.599999999999994</v>
      </c>
      <c r="G1579" s="2">
        <f t="shared" si="241"/>
        <v>1</v>
      </c>
      <c r="H1579">
        <v>77</v>
      </c>
      <c r="I1579">
        <v>62.6</v>
      </c>
      <c r="J1579">
        <v>71.599999999999994</v>
      </c>
      <c r="K1579">
        <v>61.1</v>
      </c>
      <c r="L1579">
        <v>69.900000000000006</v>
      </c>
      <c r="M1579" s="2">
        <f t="shared" si="242"/>
        <v>0</v>
      </c>
      <c r="N1579">
        <v>1.2E-2</v>
      </c>
      <c r="O1579" s="2">
        <f t="shared" si="243"/>
        <v>0</v>
      </c>
      <c r="P1579">
        <v>100</v>
      </c>
      <c r="Q1579">
        <v>4.17</v>
      </c>
      <c r="R1579" t="s">
        <v>182</v>
      </c>
      <c r="S1579">
        <v>0</v>
      </c>
      <c r="T1579">
        <v>0</v>
      </c>
      <c r="U1579">
        <v>39.1</v>
      </c>
      <c r="V1579" s="2">
        <f t="shared" si="244"/>
        <v>1</v>
      </c>
      <c r="W1579">
        <v>27.5</v>
      </c>
      <c r="X1579" s="2">
        <f t="shared" si="245"/>
        <v>1</v>
      </c>
      <c r="Y1579">
        <v>174.4</v>
      </c>
      <c r="Z1579" s="2" t="str">
        <f>CHOOSE(MATCH(Y1579,{0;11;80;111;161;191;241;281;341},1),"North","NorthEast","East","SouthEast","South","SouthWest","West","NorthWest","North")</f>
        <v>South</v>
      </c>
      <c r="AA1579" s="4">
        <f>CHOOSE(MATCH(Z1579,{"South";"SouthEast";"SouthWest";"North";"NorthEast";"East";"West";"NorthWest"},0),1,2,3,4,5,6,7,8)</f>
        <v>1</v>
      </c>
      <c r="AB1579" s="2">
        <f t="shared" si="246"/>
        <v>0</v>
      </c>
      <c r="AC1579">
        <v>1010.6</v>
      </c>
      <c r="AD1579" t="s">
        <v>2300</v>
      </c>
      <c r="AE1579" s="2">
        <f t="shared" si="247"/>
        <v>0</v>
      </c>
      <c r="AF1579" t="s">
        <v>2301</v>
      </c>
      <c r="AG1579" s="2">
        <f t="shared" si="248"/>
        <v>11</v>
      </c>
      <c r="AH1579" s="2">
        <f t="shared" si="249"/>
        <v>0</v>
      </c>
      <c r="AI1579" s="3">
        <v>156.00000000558791</v>
      </c>
      <c r="AJ1579" s="2">
        <v>0</v>
      </c>
      <c r="AK1579">
        <v>0</v>
      </c>
      <c r="AL1579">
        <v>1</v>
      </c>
      <c r="AM1579">
        <v>0</v>
      </c>
      <c r="AN1579" s="2">
        <f>IF((2*G1579+M1579-O1579+3*V1579+2*AB1579+2*AE1579+2*AH1579+3*AJ1579)&gt;=7,1,0)</f>
        <v>0</v>
      </c>
    </row>
    <row r="1580" spans="1:40" x14ac:dyDescent="0.25">
      <c r="A1580" t="s">
        <v>27</v>
      </c>
      <c r="B1580" s="1">
        <v>41214</v>
      </c>
      <c r="C1580" s="6">
        <f t="shared" si="240"/>
        <v>2012</v>
      </c>
      <c r="D1580">
        <v>77</v>
      </c>
      <c r="E1580">
        <v>62.6</v>
      </c>
      <c r="F1580">
        <v>71.599999999999994</v>
      </c>
      <c r="G1580" s="2">
        <f t="shared" si="241"/>
        <v>1</v>
      </c>
      <c r="H1580">
        <v>77</v>
      </c>
      <c r="I1580">
        <v>62.6</v>
      </c>
      <c r="J1580">
        <v>71.599999999999994</v>
      </c>
      <c r="K1580">
        <v>61.1</v>
      </c>
      <c r="L1580">
        <v>69.900000000000006</v>
      </c>
      <c r="M1580" s="2">
        <f t="shared" si="242"/>
        <v>0</v>
      </c>
      <c r="N1580">
        <v>1.2E-2</v>
      </c>
      <c r="O1580" s="2">
        <f t="shared" si="243"/>
        <v>0</v>
      </c>
      <c r="P1580">
        <v>100</v>
      </c>
      <c r="Q1580">
        <v>4.17</v>
      </c>
      <c r="R1580" t="s">
        <v>182</v>
      </c>
      <c r="S1580">
        <v>0</v>
      </c>
      <c r="T1580">
        <v>0</v>
      </c>
      <c r="U1580">
        <v>39.1</v>
      </c>
      <c r="V1580" s="2">
        <f t="shared" si="244"/>
        <v>1</v>
      </c>
      <c r="W1580">
        <v>27.5</v>
      </c>
      <c r="X1580" s="2">
        <f t="shared" si="245"/>
        <v>1</v>
      </c>
      <c r="Y1580">
        <v>174.4</v>
      </c>
      <c r="Z1580" s="2" t="str">
        <f>CHOOSE(MATCH(Y1580,{0;11;80;111;161;191;241;281;341},1),"North","NorthEast","East","SouthEast","South","SouthWest","West","NorthWest","North")</f>
        <v>South</v>
      </c>
      <c r="AA1580" s="4">
        <f>CHOOSE(MATCH(Z1580,{"South";"SouthEast";"SouthWest";"North";"NorthEast";"East";"West";"NorthWest"},0),1,2,3,4,5,6,7,8)</f>
        <v>1</v>
      </c>
      <c r="AB1580" s="2">
        <f t="shared" si="246"/>
        <v>0</v>
      </c>
      <c r="AC1580">
        <v>1010.6</v>
      </c>
      <c r="AD1580" t="s">
        <v>1996</v>
      </c>
      <c r="AE1580" s="2">
        <f t="shared" si="247"/>
        <v>1</v>
      </c>
      <c r="AF1580" t="s">
        <v>2302</v>
      </c>
      <c r="AG1580" s="2">
        <f t="shared" si="248"/>
        <v>11</v>
      </c>
      <c r="AH1580" s="2">
        <f t="shared" si="249"/>
        <v>0</v>
      </c>
      <c r="AI1580" s="3">
        <v>140.99999999860299</v>
      </c>
      <c r="AJ1580" s="2">
        <v>0</v>
      </c>
      <c r="AK1580">
        <v>0</v>
      </c>
      <c r="AL1580">
        <v>1</v>
      </c>
      <c r="AM1580">
        <v>0</v>
      </c>
      <c r="AN1580" s="2">
        <f>IF((2*G1580+M1580-O1580+3*V1580+2*AB1580+2*AE1580+2*AH1580+3*AJ1580)&gt;=7,1,0)</f>
        <v>1</v>
      </c>
    </row>
    <row r="1581" spans="1:40" x14ac:dyDescent="0.25">
      <c r="A1581" t="s">
        <v>27</v>
      </c>
      <c r="B1581" s="1">
        <v>41214</v>
      </c>
      <c r="C1581" s="6">
        <f t="shared" si="240"/>
        <v>2012</v>
      </c>
      <c r="D1581">
        <v>77</v>
      </c>
      <c r="E1581">
        <v>62.6</v>
      </c>
      <c r="F1581">
        <v>71.599999999999994</v>
      </c>
      <c r="G1581" s="2">
        <f t="shared" si="241"/>
        <v>1</v>
      </c>
      <c r="H1581">
        <v>77</v>
      </c>
      <c r="I1581">
        <v>62.6</v>
      </c>
      <c r="J1581">
        <v>71.599999999999994</v>
      </c>
      <c r="K1581">
        <v>61.1</v>
      </c>
      <c r="L1581">
        <v>69.900000000000006</v>
      </c>
      <c r="M1581" s="2">
        <f t="shared" si="242"/>
        <v>0</v>
      </c>
      <c r="N1581">
        <v>1.2E-2</v>
      </c>
      <c r="O1581" s="2">
        <f t="shared" si="243"/>
        <v>0</v>
      </c>
      <c r="P1581">
        <v>100</v>
      </c>
      <c r="Q1581">
        <v>4.17</v>
      </c>
      <c r="R1581" t="s">
        <v>182</v>
      </c>
      <c r="S1581">
        <v>0</v>
      </c>
      <c r="T1581">
        <v>0</v>
      </c>
      <c r="U1581">
        <v>39.1</v>
      </c>
      <c r="V1581" s="2">
        <f t="shared" si="244"/>
        <v>1</v>
      </c>
      <c r="W1581">
        <v>27.5</v>
      </c>
      <c r="X1581" s="2">
        <f t="shared" si="245"/>
        <v>1</v>
      </c>
      <c r="Y1581">
        <v>174.4</v>
      </c>
      <c r="Z1581" s="2" t="str">
        <f>CHOOSE(MATCH(Y1581,{0;11;80;111;161;191;241;281;341},1),"North","NorthEast","East","SouthEast","South","SouthWest","West","NorthWest","North")</f>
        <v>South</v>
      </c>
      <c r="AA1581" s="4">
        <f>CHOOSE(MATCH(Z1581,{"South";"SouthEast";"SouthWest";"North";"NorthEast";"East";"West";"NorthWest"},0),1,2,3,4,5,6,7,8)</f>
        <v>1</v>
      </c>
      <c r="AB1581" s="2">
        <f t="shared" si="246"/>
        <v>0</v>
      </c>
      <c r="AC1581">
        <v>1010.6</v>
      </c>
      <c r="AD1581" t="s">
        <v>2303</v>
      </c>
      <c r="AE1581" s="2">
        <f t="shared" si="247"/>
        <v>1</v>
      </c>
      <c r="AF1581" t="s">
        <v>2304</v>
      </c>
      <c r="AG1581" s="2">
        <f t="shared" si="248"/>
        <v>11</v>
      </c>
      <c r="AH1581" s="2">
        <f t="shared" si="249"/>
        <v>0</v>
      </c>
      <c r="AI1581" s="3">
        <v>773.99999999790452</v>
      </c>
      <c r="AJ1581" s="2">
        <v>1</v>
      </c>
      <c r="AK1581">
        <v>5</v>
      </c>
      <c r="AL1581">
        <v>0</v>
      </c>
      <c r="AM1581">
        <v>0</v>
      </c>
      <c r="AN1581" s="2">
        <f>IF((2*G1581+M1581-O1581+3*V1581+2*AB1581+2*AE1581+2*AH1581+3*AJ1581)&gt;=7,1,0)</f>
        <v>1</v>
      </c>
    </row>
    <row r="1582" spans="1:40" x14ac:dyDescent="0.25">
      <c r="A1582" t="s">
        <v>27</v>
      </c>
      <c r="B1582" s="1">
        <v>41214</v>
      </c>
      <c r="C1582" s="6">
        <f t="shared" si="240"/>
        <v>2012</v>
      </c>
      <c r="D1582">
        <v>77</v>
      </c>
      <c r="E1582">
        <v>62.6</v>
      </c>
      <c r="F1582">
        <v>71.599999999999994</v>
      </c>
      <c r="G1582" s="2">
        <f t="shared" si="241"/>
        <v>1</v>
      </c>
      <c r="H1582">
        <v>77</v>
      </c>
      <c r="I1582">
        <v>62.6</v>
      </c>
      <c r="J1582">
        <v>71.599999999999994</v>
      </c>
      <c r="K1582">
        <v>61.1</v>
      </c>
      <c r="L1582">
        <v>69.900000000000006</v>
      </c>
      <c r="M1582" s="2">
        <f t="shared" si="242"/>
        <v>0</v>
      </c>
      <c r="N1582">
        <v>1.2E-2</v>
      </c>
      <c r="O1582" s="2">
        <f t="shared" si="243"/>
        <v>0</v>
      </c>
      <c r="P1582">
        <v>100</v>
      </c>
      <c r="Q1582">
        <v>4.17</v>
      </c>
      <c r="R1582" t="s">
        <v>182</v>
      </c>
      <c r="S1582">
        <v>0</v>
      </c>
      <c r="T1582">
        <v>0</v>
      </c>
      <c r="U1582">
        <v>39.1</v>
      </c>
      <c r="V1582" s="2">
        <f t="shared" si="244"/>
        <v>1</v>
      </c>
      <c r="W1582">
        <v>27.5</v>
      </c>
      <c r="X1582" s="2">
        <f t="shared" si="245"/>
        <v>1</v>
      </c>
      <c r="Y1582">
        <v>174.4</v>
      </c>
      <c r="Z1582" s="2" t="str">
        <f>CHOOSE(MATCH(Y1582,{0;11;80;111;161;191;241;281;341},1),"North","NorthEast","East","SouthEast","South","SouthWest","West","NorthWest","North")</f>
        <v>South</v>
      </c>
      <c r="AA1582" s="4">
        <f>CHOOSE(MATCH(Z1582,{"South";"SouthEast";"SouthWest";"North";"NorthEast";"East";"West";"NorthWest"},0),1,2,3,4,5,6,7,8)</f>
        <v>1</v>
      </c>
      <c r="AB1582" s="2">
        <f t="shared" si="246"/>
        <v>0</v>
      </c>
      <c r="AC1582">
        <v>1010.6</v>
      </c>
      <c r="AD1582" t="s">
        <v>1115</v>
      </c>
      <c r="AE1582" s="2">
        <f t="shared" si="247"/>
        <v>0</v>
      </c>
      <c r="AF1582" t="s">
        <v>2305</v>
      </c>
      <c r="AG1582" s="2">
        <f t="shared" si="248"/>
        <v>11</v>
      </c>
      <c r="AH1582" s="2">
        <f t="shared" si="249"/>
        <v>0</v>
      </c>
      <c r="AI1582" s="3">
        <v>70.000000008149073</v>
      </c>
      <c r="AJ1582" s="2">
        <v>0</v>
      </c>
      <c r="AK1582">
        <v>2</v>
      </c>
      <c r="AL1582">
        <v>0</v>
      </c>
      <c r="AM1582">
        <v>0</v>
      </c>
      <c r="AN1582" s="2">
        <f>IF((2*G1582+M1582-O1582+3*V1582+2*AB1582+2*AE1582+2*AH1582+3*AJ1582)&gt;=7,1,0)</f>
        <v>0</v>
      </c>
    </row>
    <row r="1583" spans="1:40" x14ac:dyDescent="0.25">
      <c r="A1583" t="s">
        <v>27</v>
      </c>
      <c r="B1583" s="1">
        <v>41214</v>
      </c>
      <c r="C1583" s="6">
        <f t="shared" si="240"/>
        <v>2012</v>
      </c>
      <c r="D1583">
        <v>77</v>
      </c>
      <c r="E1583">
        <v>62.6</v>
      </c>
      <c r="F1583">
        <v>71.599999999999994</v>
      </c>
      <c r="G1583" s="2">
        <f t="shared" si="241"/>
        <v>1</v>
      </c>
      <c r="H1583">
        <v>77</v>
      </c>
      <c r="I1583">
        <v>62.6</v>
      </c>
      <c r="J1583">
        <v>71.599999999999994</v>
      </c>
      <c r="K1583">
        <v>61.1</v>
      </c>
      <c r="L1583">
        <v>69.900000000000006</v>
      </c>
      <c r="M1583" s="2">
        <f t="shared" si="242"/>
        <v>0</v>
      </c>
      <c r="N1583">
        <v>1.2E-2</v>
      </c>
      <c r="O1583" s="2">
        <f t="shared" si="243"/>
        <v>0</v>
      </c>
      <c r="P1583">
        <v>100</v>
      </c>
      <c r="Q1583">
        <v>4.17</v>
      </c>
      <c r="R1583" t="s">
        <v>182</v>
      </c>
      <c r="S1583">
        <v>0</v>
      </c>
      <c r="T1583">
        <v>0</v>
      </c>
      <c r="U1583">
        <v>39.1</v>
      </c>
      <c r="V1583" s="2">
        <f t="shared" si="244"/>
        <v>1</v>
      </c>
      <c r="W1583">
        <v>27.5</v>
      </c>
      <c r="X1583" s="2">
        <f t="shared" si="245"/>
        <v>1</v>
      </c>
      <c r="Y1583">
        <v>174.4</v>
      </c>
      <c r="Z1583" s="2" t="str">
        <f>CHOOSE(MATCH(Y1583,{0;11;80;111;161;191;241;281;341},1),"North","NorthEast","East","SouthEast","South","SouthWest","West","NorthWest","North")</f>
        <v>South</v>
      </c>
      <c r="AA1583" s="4">
        <f>CHOOSE(MATCH(Z1583,{"South";"SouthEast";"SouthWest";"North";"NorthEast";"East";"West";"NorthWest"},0),1,2,3,4,5,6,7,8)</f>
        <v>1</v>
      </c>
      <c r="AB1583" s="2">
        <f t="shared" si="246"/>
        <v>0</v>
      </c>
      <c r="AC1583">
        <v>1010.6</v>
      </c>
      <c r="AD1583" t="s">
        <v>2306</v>
      </c>
      <c r="AE1583" s="2">
        <f t="shared" si="247"/>
        <v>1</v>
      </c>
      <c r="AF1583" t="s">
        <v>2307</v>
      </c>
      <c r="AG1583" s="2">
        <f t="shared" si="248"/>
        <v>11</v>
      </c>
      <c r="AH1583" s="2">
        <f t="shared" si="249"/>
        <v>0</v>
      </c>
      <c r="AI1583" s="3">
        <v>537.99999999348074</v>
      </c>
      <c r="AJ1583" s="2">
        <v>1</v>
      </c>
      <c r="AK1583">
        <v>0</v>
      </c>
      <c r="AL1583">
        <v>5</v>
      </c>
      <c r="AM1583">
        <v>0</v>
      </c>
      <c r="AN1583" s="2">
        <f>IF((2*G1583+M1583-O1583+3*V1583+2*AB1583+2*AE1583+2*AH1583+3*AJ1583)&gt;=7,1,0)</f>
        <v>1</v>
      </c>
    </row>
    <row r="1584" spans="1:40" x14ac:dyDescent="0.25">
      <c r="A1584" t="s">
        <v>27</v>
      </c>
      <c r="B1584" s="1">
        <v>41215</v>
      </c>
      <c r="C1584" s="6">
        <f t="shared" si="240"/>
        <v>2012</v>
      </c>
      <c r="D1584">
        <v>87.8</v>
      </c>
      <c r="E1584">
        <v>69.7</v>
      </c>
      <c r="F1584">
        <v>77.099999999999994</v>
      </c>
      <c r="G1584" s="2">
        <f t="shared" si="241"/>
        <v>1</v>
      </c>
      <c r="H1584">
        <v>87.8</v>
      </c>
      <c r="I1584">
        <v>69.7</v>
      </c>
      <c r="J1584">
        <v>77.099999999999994</v>
      </c>
      <c r="K1584">
        <v>64.400000000000006</v>
      </c>
      <c r="L1584">
        <v>67.5</v>
      </c>
      <c r="M1584" s="2">
        <f t="shared" si="242"/>
        <v>0</v>
      </c>
      <c r="N1584">
        <v>0</v>
      </c>
      <c r="O1584" s="2">
        <f t="shared" si="243"/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 s="2">
        <f t="shared" si="244"/>
        <v>0</v>
      </c>
      <c r="W1584">
        <v>23</v>
      </c>
      <c r="X1584" s="2">
        <f t="shared" si="245"/>
        <v>1</v>
      </c>
      <c r="Y1584">
        <v>179.8</v>
      </c>
      <c r="Z1584" s="2" t="str">
        <f>CHOOSE(MATCH(Y1584,{0;11;80;111;161;191;241;281;341},1),"North","NorthEast","East","SouthEast","South","SouthWest","West","NorthWest","North")</f>
        <v>South</v>
      </c>
      <c r="AA1584" s="4">
        <f>CHOOSE(MATCH(Z1584,{"South";"SouthEast";"SouthWest";"North";"NorthEast";"East";"West";"NorthWest"},0),1,2,3,4,5,6,7,8)</f>
        <v>1</v>
      </c>
      <c r="AB1584" s="2">
        <f t="shared" si="246"/>
        <v>0</v>
      </c>
      <c r="AC1584">
        <v>1009.8</v>
      </c>
      <c r="AD1584" t="s">
        <v>2308</v>
      </c>
      <c r="AE1584" s="2">
        <f t="shared" si="247"/>
        <v>0</v>
      </c>
      <c r="AF1584" t="s">
        <v>2309</v>
      </c>
      <c r="AG1584" s="2">
        <f t="shared" si="248"/>
        <v>11</v>
      </c>
      <c r="AH1584" s="2">
        <f t="shared" si="249"/>
        <v>0</v>
      </c>
      <c r="AI1584" s="3">
        <v>209.0000000002328</v>
      </c>
      <c r="AJ1584" s="2">
        <v>0</v>
      </c>
      <c r="AK1584">
        <v>0</v>
      </c>
      <c r="AL1584">
        <v>5</v>
      </c>
      <c r="AM1584">
        <v>0</v>
      </c>
      <c r="AN1584" s="2">
        <f>IF((2*G1584+M1584-O1584+3*V1584+2*AB1584+2*AE1584+2*AH1584+3*AJ1584)&gt;=7,1,0)</f>
        <v>0</v>
      </c>
    </row>
    <row r="1585" spans="1:40" x14ac:dyDescent="0.25">
      <c r="A1585" t="s">
        <v>27</v>
      </c>
      <c r="B1585" s="1">
        <v>41218</v>
      </c>
      <c r="C1585" s="6">
        <f t="shared" si="240"/>
        <v>2012</v>
      </c>
      <c r="D1585">
        <v>73.400000000000006</v>
      </c>
      <c r="E1585">
        <v>62.6</v>
      </c>
      <c r="F1585">
        <v>67.599999999999994</v>
      </c>
      <c r="G1585" s="2">
        <f t="shared" si="241"/>
        <v>0</v>
      </c>
      <c r="H1585">
        <v>73.400000000000006</v>
      </c>
      <c r="I1585">
        <v>62.6</v>
      </c>
      <c r="J1585">
        <v>67.599999999999994</v>
      </c>
      <c r="K1585">
        <v>60.9</v>
      </c>
      <c r="L1585">
        <v>79.400000000000006</v>
      </c>
      <c r="M1585" s="2">
        <f t="shared" si="242"/>
        <v>0</v>
      </c>
      <c r="N1585">
        <v>0</v>
      </c>
      <c r="O1585" s="2">
        <f t="shared" si="243"/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 s="2">
        <f t="shared" si="244"/>
        <v>0</v>
      </c>
      <c r="W1585">
        <v>12.8</v>
      </c>
      <c r="X1585" s="2">
        <f t="shared" si="245"/>
        <v>0</v>
      </c>
      <c r="Y1585">
        <v>294.10000000000002</v>
      </c>
      <c r="Z1585" s="2" t="str">
        <f>CHOOSE(MATCH(Y1585,{0;11;80;111;161;191;241;281;341},1),"North","NorthEast","East","SouthEast","South","SouthWest","West","NorthWest","North")</f>
        <v>NorthWest</v>
      </c>
      <c r="AA1585" s="4">
        <f>CHOOSE(MATCH(Z1585,{"South";"SouthEast";"SouthWest";"North";"NorthEast";"East";"West";"NorthWest"},0),1,2,3,4,5,6,7,8)</f>
        <v>8</v>
      </c>
      <c r="AB1585" s="2">
        <f t="shared" si="246"/>
        <v>1</v>
      </c>
      <c r="AC1585">
        <v>1015.8</v>
      </c>
      <c r="AD1585" t="s">
        <v>1121</v>
      </c>
      <c r="AE1585" s="2">
        <f t="shared" si="247"/>
        <v>1</v>
      </c>
      <c r="AF1585" t="s">
        <v>2310</v>
      </c>
      <c r="AG1585" s="2">
        <f t="shared" si="248"/>
        <v>11</v>
      </c>
      <c r="AH1585" s="2">
        <f t="shared" si="249"/>
        <v>0</v>
      </c>
      <c r="AI1585" s="3">
        <v>1585.0000000011639</v>
      </c>
      <c r="AJ1585" s="2">
        <v>1</v>
      </c>
      <c r="AK1585">
        <v>0</v>
      </c>
      <c r="AL1585">
        <v>10</v>
      </c>
      <c r="AM1585">
        <v>0</v>
      </c>
      <c r="AN1585" s="2">
        <f>IF((2*G1585+M1585-O1585+3*V1585+2*AB1585+2*AE1585+2*AH1585+3*AJ1585)&gt;=7,1,0)</f>
        <v>0</v>
      </c>
    </row>
    <row r="1586" spans="1:40" x14ac:dyDescent="0.25">
      <c r="A1586" t="s">
        <v>27</v>
      </c>
      <c r="B1586" s="1">
        <v>41219</v>
      </c>
      <c r="C1586" s="6">
        <f t="shared" si="240"/>
        <v>2012</v>
      </c>
      <c r="D1586">
        <v>77</v>
      </c>
      <c r="E1586">
        <v>62.6</v>
      </c>
      <c r="F1586">
        <v>70</v>
      </c>
      <c r="G1586" s="2">
        <f t="shared" si="241"/>
        <v>0</v>
      </c>
      <c r="H1586">
        <v>77</v>
      </c>
      <c r="I1586">
        <v>62.6</v>
      </c>
      <c r="J1586">
        <v>70</v>
      </c>
      <c r="K1586">
        <v>62.5</v>
      </c>
      <c r="L1586">
        <v>77.3</v>
      </c>
      <c r="M1586" s="2">
        <f t="shared" si="242"/>
        <v>0</v>
      </c>
      <c r="N1586">
        <v>0</v>
      </c>
      <c r="O1586" s="2">
        <f t="shared" si="243"/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 s="2">
        <f t="shared" si="244"/>
        <v>0</v>
      </c>
      <c r="W1586">
        <v>11.4</v>
      </c>
      <c r="X1586" s="2">
        <f t="shared" si="245"/>
        <v>0</v>
      </c>
      <c r="Y1586">
        <v>159.30000000000001</v>
      </c>
      <c r="Z1586" s="2" t="str">
        <f>CHOOSE(MATCH(Y1586,{0;11;80;111;161;191;241;281;341},1),"North","NorthEast","East","SouthEast","South","SouthWest","West","NorthWest","North")</f>
        <v>SouthEast</v>
      </c>
      <c r="AA1586" s="4">
        <f>CHOOSE(MATCH(Z1586,{"South";"SouthEast";"SouthWest";"North";"NorthEast";"East";"West";"NorthWest"},0),1,2,3,4,5,6,7,8)</f>
        <v>2</v>
      </c>
      <c r="AB1586" s="2">
        <f t="shared" si="246"/>
        <v>0</v>
      </c>
      <c r="AC1586">
        <v>1015</v>
      </c>
      <c r="AD1586" t="s">
        <v>1201</v>
      </c>
      <c r="AE1586" s="2">
        <f t="shared" si="247"/>
        <v>1</v>
      </c>
      <c r="AF1586" t="s">
        <v>2311</v>
      </c>
      <c r="AG1586" s="2">
        <f t="shared" si="248"/>
        <v>11</v>
      </c>
      <c r="AH1586" s="2">
        <f t="shared" si="249"/>
        <v>0</v>
      </c>
      <c r="AI1586" s="3">
        <v>3164.999999996508</v>
      </c>
      <c r="AJ1586" s="2">
        <v>1</v>
      </c>
      <c r="AK1586">
        <v>0</v>
      </c>
      <c r="AL1586">
        <v>60</v>
      </c>
      <c r="AM1586">
        <v>0</v>
      </c>
      <c r="AN1586" s="2">
        <f>IF((2*G1586+M1586-O1586+3*V1586+2*AB1586+2*AE1586+2*AH1586+3*AJ1586)&gt;=7,1,0)</f>
        <v>0</v>
      </c>
    </row>
    <row r="1587" spans="1:40" x14ac:dyDescent="0.25">
      <c r="A1587" t="s">
        <v>27</v>
      </c>
      <c r="B1587" s="1">
        <v>41219</v>
      </c>
      <c r="C1587" s="6">
        <f t="shared" si="240"/>
        <v>2012</v>
      </c>
      <c r="D1587">
        <v>77</v>
      </c>
      <c r="E1587">
        <v>62.6</v>
      </c>
      <c r="F1587">
        <v>70</v>
      </c>
      <c r="G1587" s="2">
        <f t="shared" si="241"/>
        <v>0</v>
      </c>
      <c r="H1587">
        <v>77</v>
      </c>
      <c r="I1587">
        <v>62.6</v>
      </c>
      <c r="J1587">
        <v>70</v>
      </c>
      <c r="K1587">
        <v>62.5</v>
      </c>
      <c r="L1587">
        <v>77.3</v>
      </c>
      <c r="M1587" s="2">
        <f t="shared" si="242"/>
        <v>0</v>
      </c>
      <c r="N1587">
        <v>0</v>
      </c>
      <c r="O1587" s="2">
        <f t="shared" si="243"/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 s="2">
        <f t="shared" si="244"/>
        <v>0</v>
      </c>
      <c r="W1587">
        <v>11.4</v>
      </c>
      <c r="X1587" s="2">
        <f t="shared" si="245"/>
        <v>0</v>
      </c>
      <c r="Y1587">
        <v>159.30000000000001</v>
      </c>
      <c r="Z1587" s="2" t="str">
        <f>CHOOSE(MATCH(Y1587,{0;11;80;111;161;191;241;281;341},1),"North","NorthEast","East","SouthEast","South","SouthWest","West","NorthWest","North")</f>
        <v>SouthEast</v>
      </c>
      <c r="AA1587" s="4">
        <f>CHOOSE(MATCH(Z1587,{"South";"SouthEast";"SouthWest";"North";"NorthEast";"East";"West";"NorthWest"},0),1,2,3,4,5,6,7,8)</f>
        <v>2</v>
      </c>
      <c r="AB1587" s="2">
        <f t="shared" si="246"/>
        <v>0</v>
      </c>
      <c r="AC1587">
        <v>1015</v>
      </c>
      <c r="AD1587" t="s">
        <v>1123</v>
      </c>
      <c r="AE1587" s="2">
        <f t="shared" si="247"/>
        <v>1</v>
      </c>
      <c r="AF1587" t="s">
        <v>2312</v>
      </c>
      <c r="AG1587" s="2">
        <f t="shared" si="248"/>
        <v>11</v>
      </c>
      <c r="AH1587" s="2">
        <f t="shared" si="249"/>
        <v>0</v>
      </c>
      <c r="AI1587" s="3">
        <v>1715.000000005821</v>
      </c>
      <c r="AJ1587" s="2">
        <v>1</v>
      </c>
      <c r="AK1587">
        <v>0</v>
      </c>
      <c r="AL1587">
        <v>2</v>
      </c>
      <c r="AM1587">
        <v>0</v>
      </c>
      <c r="AN1587" s="2">
        <f>IF((2*G1587+M1587-O1587+3*V1587+2*AB1587+2*AE1587+2*AH1587+3*AJ1587)&gt;=7,1,0)</f>
        <v>0</v>
      </c>
    </row>
    <row r="1588" spans="1:40" x14ac:dyDescent="0.25">
      <c r="A1588" t="s">
        <v>27</v>
      </c>
      <c r="B1588" s="1">
        <v>41220</v>
      </c>
      <c r="C1588" s="6">
        <f t="shared" si="240"/>
        <v>2012</v>
      </c>
      <c r="D1588">
        <v>78.900000000000006</v>
      </c>
      <c r="E1588">
        <v>66.2</v>
      </c>
      <c r="F1588">
        <v>72.5</v>
      </c>
      <c r="G1588" s="2">
        <f t="shared" si="241"/>
        <v>1</v>
      </c>
      <c r="H1588">
        <v>78.900000000000006</v>
      </c>
      <c r="I1588">
        <v>66.2</v>
      </c>
      <c r="J1588">
        <v>72.5</v>
      </c>
      <c r="K1588">
        <v>63.9</v>
      </c>
      <c r="L1588">
        <v>75</v>
      </c>
      <c r="M1588" s="2">
        <f t="shared" si="242"/>
        <v>0</v>
      </c>
      <c r="N1588">
        <v>0</v>
      </c>
      <c r="O1588" s="2">
        <f t="shared" si="243"/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 s="2">
        <f t="shared" si="244"/>
        <v>0</v>
      </c>
      <c r="W1588">
        <v>17.2</v>
      </c>
      <c r="X1588" s="2">
        <f t="shared" si="245"/>
        <v>1</v>
      </c>
      <c r="Y1588">
        <v>279</v>
      </c>
      <c r="Z1588" s="2" t="str">
        <f>CHOOSE(MATCH(Y1588,{0;11;80;111;161;191;241;281;341},1),"North","NorthEast","East","SouthEast","South","SouthWest","West","NorthWest","North")</f>
        <v>West</v>
      </c>
      <c r="AA1588" s="4">
        <f>CHOOSE(MATCH(Z1588,{"South";"SouthEast";"SouthWest";"North";"NorthEast";"East";"West";"NorthWest"},0),1,2,3,4,5,6,7,8)</f>
        <v>7</v>
      </c>
      <c r="AB1588" s="2">
        <f t="shared" si="246"/>
        <v>0</v>
      </c>
      <c r="AC1588">
        <v>1015.4</v>
      </c>
      <c r="AD1588" t="s">
        <v>2313</v>
      </c>
      <c r="AE1588" s="2">
        <f t="shared" si="247"/>
        <v>1</v>
      </c>
      <c r="AF1588" t="s">
        <v>2314</v>
      </c>
      <c r="AG1588" s="2">
        <f t="shared" si="248"/>
        <v>11</v>
      </c>
      <c r="AH1588" s="2">
        <f t="shared" si="249"/>
        <v>0</v>
      </c>
      <c r="AI1588" s="3">
        <v>116.9999999937136</v>
      </c>
      <c r="AJ1588" s="2">
        <v>0</v>
      </c>
      <c r="AK1588">
        <v>0</v>
      </c>
      <c r="AL1588">
        <v>0.2</v>
      </c>
      <c r="AM1588">
        <v>0</v>
      </c>
      <c r="AN1588" s="2">
        <f>IF((2*G1588+M1588-O1588+3*V1588+2*AB1588+2*AE1588+2*AH1588+3*AJ1588)&gt;=7,1,0)</f>
        <v>0</v>
      </c>
    </row>
    <row r="1589" spans="1:40" x14ac:dyDescent="0.25">
      <c r="A1589" t="s">
        <v>27</v>
      </c>
      <c r="B1589" s="1">
        <v>41223</v>
      </c>
      <c r="C1589" s="6">
        <f t="shared" si="240"/>
        <v>2012</v>
      </c>
      <c r="D1589">
        <v>66.2</v>
      </c>
      <c r="E1589">
        <v>55.8</v>
      </c>
      <c r="F1589">
        <v>63.3</v>
      </c>
      <c r="G1589" s="2">
        <f t="shared" si="241"/>
        <v>0</v>
      </c>
      <c r="H1589">
        <v>66.2</v>
      </c>
      <c r="I1589">
        <v>55.8</v>
      </c>
      <c r="J1589">
        <v>63.3</v>
      </c>
      <c r="K1589">
        <v>51.9</v>
      </c>
      <c r="L1589">
        <v>66.8</v>
      </c>
      <c r="M1589" s="2">
        <f t="shared" si="242"/>
        <v>0</v>
      </c>
      <c r="N1589">
        <v>0</v>
      </c>
      <c r="O1589" s="2">
        <f t="shared" si="243"/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 s="2">
        <f t="shared" si="244"/>
        <v>0</v>
      </c>
      <c r="W1589">
        <v>24.2</v>
      </c>
      <c r="X1589" s="2">
        <f t="shared" si="245"/>
        <v>1</v>
      </c>
      <c r="Y1589">
        <v>338.3</v>
      </c>
      <c r="Z1589" s="2" t="str">
        <f>CHOOSE(MATCH(Y1589,{0;11;80;111;161;191;241;281;341},1),"North","NorthEast","East","SouthEast","South","SouthWest","West","NorthWest","North")</f>
        <v>NorthWest</v>
      </c>
      <c r="AA1589" s="4">
        <f>CHOOSE(MATCH(Z1589,{"South";"SouthEast";"SouthWest";"North";"NorthEast";"East";"West";"NorthWest"},0),1,2,3,4,5,6,7,8)</f>
        <v>8</v>
      </c>
      <c r="AB1589" s="2">
        <f t="shared" si="246"/>
        <v>1</v>
      </c>
      <c r="AC1589">
        <v>1016.1</v>
      </c>
      <c r="AD1589" t="s">
        <v>2315</v>
      </c>
      <c r="AE1589" s="2">
        <f t="shared" si="247"/>
        <v>1</v>
      </c>
      <c r="AF1589" t="s">
        <v>2316</v>
      </c>
      <c r="AG1589" s="2">
        <f t="shared" si="248"/>
        <v>11</v>
      </c>
      <c r="AH1589" s="2">
        <f t="shared" si="249"/>
        <v>0</v>
      </c>
      <c r="AI1589" s="3">
        <v>116.00000000093129</v>
      </c>
      <c r="AJ1589" s="2">
        <v>0</v>
      </c>
      <c r="AK1589">
        <v>0</v>
      </c>
      <c r="AL1589">
        <v>1</v>
      </c>
      <c r="AM1589">
        <v>0</v>
      </c>
      <c r="AN1589" s="2">
        <f>IF((2*G1589+M1589-O1589+3*V1589+2*AB1589+2*AE1589+2*AH1589+3*AJ1589)&gt;=7,1,0)</f>
        <v>0</v>
      </c>
    </row>
    <row r="1590" spans="1:40" x14ac:dyDescent="0.25">
      <c r="A1590" t="s">
        <v>27</v>
      </c>
      <c r="B1590" s="1">
        <v>41224</v>
      </c>
      <c r="C1590" s="6">
        <f t="shared" si="240"/>
        <v>2012</v>
      </c>
      <c r="D1590">
        <v>66.2</v>
      </c>
      <c r="E1590">
        <v>59.1</v>
      </c>
      <c r="F1590">
        <v>63.9</v>
      </c>
      <c r="G1590" s="2">
        <f t="shared" si="241"/>
        <v>0</v>
      </c>
      <c r="H1590">
        <v>66.2</v>
      </c>
      <c r="I1590">
        <v>59.1</v>
      </c>
      <c r="J1590">
        <v>63.9</v>
      </c>
      <c r="K1590">
        <v>51.8</v>
      </c>
      <c r="L1590">
        <v>64.900000000000006</v>
      </c>
      <c r="M1590" s="2">
        <f t="shared" si="242"/>
        <v>1</v>
      </c>
      <c r="N1590">
        <v>0</v>
      </c>
      <c r="O1590" s="2">
        <f t="shared" si="243"/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 s="2">
        <f t="shared" si="244"/>
        <v>0</v>
      </c>
      <c r="W1590">
        <v>24.2</v>
      </c>
      <c r="X1590" s="2">
        <f t="shared" si="245"/>
        <v>1</v>
      </c>
      <c r="Y1590">
        <v>335.3</v>
      </c>
      <c r="Z1590" s="2" t="str">
        <f>CHOOSE(MATCH(Y1590,{0;11;80;111;161;191;241;281;341},1),"North","NorthEast","East","SouthEast","South","SouthWest","West","NorthWest","North")</f>
        <v>NorthWest</v>
      </c>
      <c r="AA1590" s="4">
        <f>CHOOSE(MATCH(Z1590,{"South";"SouthEast";"SouthWest";"North";"NorthEast";"East";"West";"NorthWest"},0),1,2,3,4,5,6,7,8)</f>
        <v>8</v>
      </c>
      <c r="AB1590" s="2">
        <f t="shared" si="246"/>
        <v>1</v>
      </c>
      <c r="AC1590">
        <v>1020.5</v>
      </c>
      <c r="AD1590" t="s">
        <v>2317</v>
      </c>
      <c r="AE1590" s="2">
        <f t="shared" si="247"/>
        <v>1</v>
      </c>
      <c r="AF1590" t="s">
        <v>2318</v>
      </c>
      <c r="AG1590" s="2">
        <f t="shared" si="248"/>
        <v>11</v>
      </c>
      <c r="AH1590" s="2">
        <f t="shared" si="249"/>
        <v>0</v>
      </c>
      <c r="AI1590" s="3">
        <v>111.00000000558791</v>
      </c>
      <c r="AJ1590" s="2">
        <v>0</v>
      </c>
      <c r="AK1590">
        <v>1</v>
      </c>
      <c r="AL1590">
        <v>0</v>
      </c>
      <c r="AM1590">
        <v>0</v>
      </c>
      <c r="AN1590" s="2">
        <f>IF((2*G1590+M1590-O1590+3*V1590+2*AB1590+2*AE1590+2*AH1590+3*AJ1590)&gt;=7,1,0)</f>
        <v>0</v>
      </c>
    </row>
    <row r="1591" spans="1:40" x14ac:dyDescent="0.25">
      <c r="A1591" t="s">
        <v>27</v>
      </c>
      <c r="B1591" s="1">
        <v>41224</v>
      </c>
      <c r="C1591" s="6">
        <f t="shared" si="240"/>
        <v>2012</v>
      </c>
      <c r="D1591">
        <v>66.2</v>
      </c>
      <c r="E1591">
        <v>59.1</v>
      </c>
      <c r="F1591">
        <v>63.9</v>
      </c>
      <c r="G1591" s="2">
        <f t="shared" si="241"/>
        <v>0</v>
      </c>
      <c r="H1591">
        <v>66.2</v>
      </c>
      <c r="I1591">
        <v>59.1</v>
      </c>
      <c r="J1591">
        <v>63.9</v>
      </c>
      <c r="K1591">
        <v>51.8</v>
      </c>
      <c r="L1591">
        <v>64.900000000000006</v>
      </c>
      <c r="M1591" s="2">
        <f t="shared" si="242"/>
        <v>1</v>
      </c>
      <c r="N1591">
        <v>0</v>
      </c>
      <c r="O1591" s="2">
        <f t="shared" si="243"/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 s="2">
        <f t="shared" si="244"/>
        <v>0</v>
      </c>
      <c r="W1591">
        <v>24.2</v>
      </c>
      <c r="X1591" s="2">
        <f t="shared" si="245"/>
        <v>1</v>
      </c>
      <c r="Y1591">
        <v>335.3</v>
      </c>
      <c r="Z1591" s="2" t="str">
        <f>CHOOSE(MATCH(Y1591,{0;11;80;111;161;191;241;281;341},1),"North","NorthEast","East","SouthEast","South","SouthWest","West","NorthWest","North")</f>
        <v>NorthWest</v>
      </c>
      <c r="AA1591" s="4">
        <f>CHOOSE(MATCH(Z1591,{"South";"SouthEast";"SouthWest";"North";"NorthEast";"East";"West";"NorthWest"},0),1,2,3,4,5,6,7,8)</f>
        <v>8</v>
      </c>
      <c r="AB1591" s="2">
        <f t="shared" si="246"/>
        <v>1</v>
      </c>
      <c r="AC1591">
        <v>1020.5</v>
      </c>
      <c r="AD1591" t="s">
        <v>2210</v>
      </c>
      <c r="AE1591" s="2">
        <f t="shared" si="247"/>
        <v>1</v>
      </c>
      <c r="AF1591" t="s">
        <v>2319</v>
      </c>
      <c r="AG1591" s="2">
        <f t="shared" si="248"/>
        <v>11</v>
      </c>
      <c r="AH1591" s="2">
        <f t="shared" si="249"/>
        <v>0</v>
      </c>
      <c r="AI1591" s="3">
        <v>55.000000001164153</v>
      </c>
      <c r="AJ1591" s="2">
        <v>0</v>
      </c>
      <c r="AK1591">
        <v>0</v>
      </c>
      <c r="AL1591">
        <v>1</v>
      </c>
      <c r="AM1591">
        <v>0</v>
      </c>
      <c r="AN1591" s="2">
        <f>IF((2*G1591+M1591-O1591+3*V1591+2*AB1591+2*AE1591+2*AH1591+3*AJ1591)&gt;=7,1,0)</f>
        <v>0</v>
      </c>
    </row>
    <row r="1592" spans="1:40" x14ac:dyDescent="0.25">
      <c r="A1592" t="s">
        <v>27</v>
      </c>
      <c r="B1592" s="1">
        <v>41225</v>
      </c>
      <c r="C1592" s="6">
        <f t="shared" si="240"/>
        <v>2012</v>
      </c>
      <c r="D1592">
        <v>66.2</v>
      </c>
      <c r="E1592">
        <v>62.6</v>
      </c>
      <c r="F1592">
        <v>64.599999999999994</v>
      </c>
      <c r="G1592" s="2">
        <f t="shared" si="241"/>
        <v>0</v>
      </c>
      <c r="H1592">
        <v>66.2</v>
      </c>
      <c r="I1592">
        <v>62.6</v>
      </c>
      <c r="J1592">
        <v>64.599999999999994</v>
      </c>
      <c r="K1592">
        <v>52.9</v>
      </c>
      <c r="L1592">
        <v>65.900000000000006</v>
      </c>
      <c r="M1592" s="2">
        <f t="shared" si="242"/>
        <v>1</v>
      </c>
      <c r="N1592">
        <v>0</v>
      </c>
      <c r="O1592" s="2">
        <f t="shared" si="243"/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 s="2">
        <f t="shared" si="244"/>
        <v>0</v>
      </c>
      <c r="W1592">
        <v>17.2</v>
      </c>
      <c r="X1592" s="2">
        <f t="shared" si="245"/>
        <v>1</v>
      </c>
      <c r="Y1592">
        <v>324.7</v>
      </c>
      <c r="Z1592" s="2" t="str">
        <f>CHOOSE(MATCH(Y1592,{0;11;80;111;161;191;241;281;341},1),"North","NorthEast","East","SouthEast","South","SouthWest","West","NorthWest","North")</f>
        <v>NorthWest</v>
      </c>
      <c r="AA1592" s="4">
        <f>CHOOSE(MATCH(Z1592,{"South";"SouthEast";"SouthWest";"North";"NorthEast";"East";"West";"NorthWest"},0),1,2,3,4,5,6,7,8)</f>
        <v>8</v>
      </c>
      <c r="AB1592" s="2">
        <f t="shared" si="246"/>
        <v>1</v>
      </c>
      <c r="AC1592">
        <v>1021.5</v>
      </c>
      <c r="AD1592" t="s">
        <v>2320</v>
      </c>
      <c r="AE1592" s="2">
        <f t="shared" si="247"/>
        <v>0</v>
      </c>
      <c r="AF1592" t="s">
        <v>2321</v>
      </c>
      <c r="AG1592" s="2">
        <f t="shared" si="248"/>
        <v>11</v>
      </c>
      <c r="AH1592" s="2">
        <f t="shared" si="249"/>
        <v>0</v>
      </c>
      <c r="AI1592" s="3">
        <v>82.000000005355105</v>
      </c>
      <c r="AJ1592" s="2">
        <v>0</v>
      </c>
      <c r="AK1592">
        <v>0</v>
      </c>
      <c r="AL1592">
        <v>0.2</v>
      </c>
      <c r="AM1592">
        <v>0</v>
      </c>
      <c r="AN1592" s="2">
        <f>IF((2*G1592+M1592-O1592+3*V1592+2*AB1592+2*AE1592+2*AH1592+3*AJ1592)&gt;=7,1,0)</f>
        <v>0</v>
      </c>
    </row>
    <row r="1593" spans="1:40" x14ac:dyDescent="0.25">
      <c r="A1593" t="s">
        <v>27</v>
      </c>
      <c r="B1593" s="1">
        <v>41226</v>
      </c>
      <c r="C1593" s="6">
        <f t="shared" si="240"/>
        <v>2012</v>
      </c>
      <c r="D1593">
        <v>68</v>
      </c>
      <c r="E1593">
        <v>62.6</v>
      </c>
      <c r="F1593">
        <v>65.8</v>
      </c>
      <c r="G1593" s="2">
        <f t="shared" si="241"/>
        <v>0</v>
      </c>
      <c r="H1593">
        <v>68</v>
      </c>
      <c r="I1593">
        <v>62.6</v>
      </c>
      <c r="J1593">
        <v>65.8</v>
      </c>
      <c r="K1593">
        <v>55.9</v>
      </c>
      <c r="L1593">
        <v>70.7</v>
      </c>
      <c r="M1593" s="2">
        <f t="shared" si="242"/>
        <v>0</v>
      </c>
      <c r="N1593">
        <v>0</v>
      </c>
      <c r="O1593" s="2">
        <f t="shared" si="243"/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 s="2">
        <f t="shared" si="244"/>
        <v>0</v>
      </c>
      <c r="W1593">
        <v>12.8</v>
      </c>
      <c r="X1593" s="2">
        <f t="shared" si="245"/>
        <v>0</v>
      </c>
      <c r="Y1593">
        <v>327.60000000000002</v>
      </c>
      <c r="Z1593" s="2" t="str">
        <f>CHOOSE(MATCH(Y1593,{0;11;80;111;161;191;241;281;341},1),"North","NorthEast","East","SouthEast","South","SouthWest","West","NorthWest","North")</f>
        <v>NorthWest</v>
      </c>
      <c r="AA1593" s="4">
        <f>CHOOSE(MATCH(Z1593,{"South";"SouthEast";"SouthWest";"North";"NorthEast";"East";"West";"NorthWest"},0),1,2,3,4,5,6,7,8)</f>
        <v>8</v>
      </c>
      <c r="AB1593" s="2">
        <f t="shared" si="246"/>
        <v>1</v>
      </c>
      <c r="AC1593">
        <v>1019.8</v>
      </c>
      <c r="AD1593" t="s">
        <v>1203</v>
      </c>
      <c r="AE1593" s="2">
        <f t="shared" si="247"/>
        <v>1</v>
      </c>
      <c r="AF1593" t="s">
        <v>2322</v>
      </c>
      <c r="AG1593" s="2">
        <f t="shared" si="248"/>
        <v>11</v>
      </c>
      <c r="AH1593" s="2">
        <f t="shared" si="249"/>
        <v>0</v>
      </c>
      <c r="AI1593" s="3">
        <v>84.999999994179234</v>
      </c>
      <c r="AJ1593" s="2">
        <v>0</v>
      </c>
      <c r="AK1593">
        <v>0</v>
      </c>
      <c r="AL1593">
        <v>0.5</v>
      </c>
      <c r="AM1593">
        <v>0</v>
      </c>
      <c r="AN1593" s="2">
        <f>IF((2*G1593+M1593-O1593+3*V1593+2*AB1593+2*AE1593+2*AH1593+3*AJ1593)&gt;=7,1,0)</f>
        <v>0</v>
      </c>
    </row>
    <row r="1594" spans="1:40" x14ac:dyDescent="0.25">
      <c r="A1594" t="s">
        <v>27</v>
      </c>
      <c r="B1594" s="1">
        <v>41227</v>
      </c>
      <c r="C1594" s="6">
        <f t="shared" si="240"/>
        <v>2012</v>
      </c>
      <c r="D1594">
        <v>68</v>
      </c>
      <c r="E1594">
        <v>62.6</v>
      </c>
      <c r="F1594">
        <v>64.900000000000006</v>
      </c>
      <c r="G1594" s="2">
        <f t="shared" si="241"/>
        <v>0</v>
      </c>
      <c r="H1594">
        <v>68</v>
      </c>
      <c r="I1594">
        <v>62.6</v>
      </c>
      <c r="J1594">
        <v>64.900000000000006</v>
      </c>
      <c r="K1594">
        <v>54.7</v>
      </c>
      <c r="L1594">
        <v>69.7</v>
      </c>
      <c r="M1594" s="2">
        <f t="shared" si="242"/>
        <v>0</v>
      </c>
      <c r="N1594">
        <v>0</v>
      </c>
      <c r="O1594" s="2">
        <f t="shared" si="243"/>
        <v>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 s="2">
        <f t="shared" si="244"/>
        <v>0</v>
      </c>
      <c r="W1594">
        <v>15</v>
      </c>
      <c r="X1594" s="2">
        <f t="shared" si="245"/>
        <v>0</v>
      </c>
      <c r="Y1594">
        <v>326.2</v>
      </c>
      <c r="Z1594" s="2" t="str">
        <f>CHOOSE(MATCH(Y1594,{0;11;80;111;161;191;241;281;341},1),"North","NorthEast","East","SouthEast","South","SouthWest","West","NorthWest","North")</f>
        <v>NorthWest</v>
      </c>
      <c r="AA1594" s="4">
        <f>CHOOSE(MATCH(Z1594,{"South";"SouthEast";"SouthWest";"North";"NorthEast";"East";"West";"NorthWest"},0),1,2,3,4,5,6,7,8)</f>
        <v>8</v>
      </c>
      <c r="AB1594" s="2">
        <f t="shared" si="246"/>
        <v>1</v>
      </c>
      <c r="AC1594">
        <v>1018.5</v>
      </c>
      <c r="AD1594" t="s">
        <v>2078</v>
      </c>
      <c r="AE1594" s="2">
        <f t="shared" si="247"/>
        <v>0</v>
      </c>
      <c r="AF1594" t="s">
        <v>2323</v>
      </c>
      <c r="AG1594" s="2">
        <f t="shared" si="248"/>
        <v>11</v>
      </c>
      <c r="AH1594" s="2">
        <f t="shared" si="249"/>
        <v>0</v>
      </c>
      <c r="AI1594" s="3">
        <v>3350.0000000023279</v>
      </c>
      <c r="AJ1594" s="2">
        <v>1</v>
      </c>
      <c r="AK1594">
        <v>0</v>
      </c>
      <c r="AL1594">
        <v>50</v>
      </c>
      <c r="AM1594">
        <v>0</v>
      </c>
      <c r="AN1594" s="2">
        <f>IF((2*G1594+M1594-O1594+3*V1594+2*AB1594+2*AE1594+2*AH1594+3*AJ1594)&gt;=7,1,0)</f>
        <v>0</v>
      </c>
    </row>
    <row r="1595" spans="1:40" x14ac:dyDescent="0.25">
      <c r="A1595" t="s">
        <v>27</v>
      </c>
      <c r="B1595" s="1">
        <v>41228</v>
      </c>
      <c r="C1595" s="6">
        <f t="shared" si="240"/>
        <v>2012</v>
      </c>
      <c r="D1595">
        <v>68</v>
      </c>
      <c r="E1595">
        <v>58.4</v>
      </c>
      <c r="F1595">
        <v>63</v>
      </c>
      <c r="G1595" s="2">
        <f t="shared" si="241"/>
        <v>0</v>
      </c>
      <c r="H1595">
        <v>68</v>
      </c>
      <c r="I1595">
        <v>58.4</v>
      </c>
      <c r="J1595">
        <v>63</v>
      </c>
      <c r="K1595">
        <v>53.2</v>
      </c>
      <c r="L1595">
        <v>70.7</v>
      </c>
      <c r="M1595" s="2">
        <f t="shared" si="242"/>
        <v>0</v>
      </c>
      <c r="N1595">
        <v>0</v>
      </c>
      <c r="O1595" s="2">
        <f t="shared" si="243"/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 s="2">
        <f t="shared" si="244"/>
        <v>0</v>
      </c>
      <c r="W1595">
        <v>11.4</v>
      </c>
      <c r="X1595" s="2">
        <f t="shared" si="245"/>
        <v>0</v>
      </c>
      <c r="Y1595">
        <v>331.2</v>
      </c>
      <c r="Z1595" s="2" t="str">
        <f>CHOOSE(MATCH(Y1595,{0;11;80;111;161;191;241;281;341},1),"North","NorthEast","East","SouthEast","South","SouthWest","West","NorthWest","North")</f>
        <v>NorthWest</v>
      </c>
      <c r="AA1595" s="4">
        <f>CHOOSE(MATCH(Z1595,{"South";"SouthEast";"SouthWest";"North";"NorthEast";"East";"West";"NorthWest"},0),1,2,3,4,5,6,7,8)</f>
        <v>8</v>
      </c>
      <c r="AB1595" s="2">
        <f t="shared" si="246"/>
        <v>1</v>
      </c>
      <c r="AC1595">
        <v>1018.4</v>
      </c>
      <c r="AD1595" t="s">
        <v>2324</v>
      </c>
      <c r="AE1595" s="2">
        <f t="shared" si="247"/>
        <v>1</v>
      </c>
      <c r="AF1595" t="s">
        <v>2325</v>
      </c>
      <c r="AG1595" s="2">
        <f t="shared" si="248"/>
        <v>11</v>
      </c>
      <c r="AH1595" s="2">
        <f t="shared" si="249"/>
        <v>0</v>
      </c>
      <c r="AI1595" s="3">
        <v>14466.00000000559</v>
      </c>
      <c r="AJ1595" s="2">
        <v>1</v>
      </c>
      <c r="AK1595">
        <v>0</v>
      </c>
      <c r="AL1595">
        <v>1</v>
      </c>
      <c r="AM1595">
        <v>0</v>
      </c>
      <c r="AN1595" s="2">
        <f>IF((2*G1595+M1595-O1595+3*V1595+2*AB1595+2*AE1595+2*AH1595+3*AJ1595)&gt;=7,1,0)</f>
        <v>0</v>
      </c>
    </row>
    <row r="1596" spans="1:40" x14ac:dyDescent="0.25">
      <c r="A1596" t="s">
        <v>27</v>
      </c>
      <c r="B1596" s="1">
        <v>41229</v>
      </c>
      <c r="C1596" s="6">
        <f t="shared" si="240"/>
        <v>2012</v>
      </c>
      <c r="D1596">
        <v>69.8</v>
      </c>
      <c r="E1596">
        <v>57.2</v>
      </c>
      <c r="F1596">
        <v>63.2</v>
      </c>
      <c r="G1596" s="2">
        <f t="shared" si="241"/>
        <v>0</v>
      </c>
      <c r="H1596">
        <v>69.8</v>
      </c>
      <c r="I1596">
        <v>57.2</v>
      </c>
      <c r="J1596">
        <v>63.2</v>
      </c>
      <c r="K1596">
        <v>56.8</v>
      </c>
      <c r="L1596">
        <v>80</v>
      </c>
      <c r="M1596" s="2">
        <f t="shared" si="242"/>
        <v>0</v>
      </c>
      <c r="N1596">
        <v>0</v>
      </c>
      <c r="O1596" s="2">
        <f t="shared" si="243"/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 s="2">
        <f t="shared" si="244"/>
        <v>0</v>
      </c>
      <c r="W1596">
        <v>17.2</v>
      </c>
      <c r="X1596" s="2">
        <f t="shared" si="245"/>
        <v>1</v>
      </c>
      <c r="Y1596">
        <v>117.5</v>
      </c>
      <c r="Z1596" s="2" t="str">
        <f>CHOOSE(MATCH(Y1596,{0;11;80;111;161;191;241;281;341},1),"North","NorthEast","East","SouthEast","South","SouthWest","West","NorthWest","North")</f>
        <v>SouthEast</v>
      </c>
      <c r="AA1596" s="4">
        <f>CHOOSE(MATCH(Z1596,{"South";"SouthEast";"SouthWest";"North";"NorthEast";"East";"West";"NorthWest"},0),1,2,3,4,5,6,7,8)</f>
        <v>2</v>
      </c>
      <c r="AB1596" s="2">
        <f t="shared" si="246"/>
        <v>0</v>
      </c>
      <c r="AC1596">
        <v>1016.1</v>
      </c>
      <c r="AD1596" t="s">
        <v>1792</v>
      </c>
      <c r="AE1596" s="2">
        <f t="shared" si="247"/>
        <v>0</v>
      </c>
      <c r="AF1596" t="s">
        <v>2326</v>
      </c>
      <c r="AG1596" s="2">
        <f t="shared" si="248"/>
        <v>11</v>
      </c>
      <c r="AH1596" s="2">
        <f t="shared" si="249"/>
        <v>0</v>
      </c>
      <c r="AI1596" s="3">
        <v>4639.9999999953434</v>
      </c>
      <c r="AJ1596" s="2">
        <v>1</v>
      </c>
      <c r="AK1596">
        <v>0</v>
      </c>
      <c r="AL1596">
        <v>20</v>
      </c>
      <c r="AM1596">
        <v>0</v>
      </c>
      <c r="AN1596" s="2">
        <f>IF((2*G1596+M1596-O1596+3*V1596+2*AB1596+2*AE1596+2*AH1596+3*AJ1596)&gt;=7,1,0)</f>
        <v>0</v>
      </c>
    </row>
    <row r="1597" spans="1:40" x14ac:dyDescent="0.25">
      <c r="A1597" t="s">
        <v>27</v>
      </c>
      <c r="B1597" s="1">
        <v>41234</v>
      </c>
      <c r="C1597" s="6">
        <f t="shared" si="240"/>
        <v>2012</v>
      </c>
      <c r="D1597">
        <v>69.8</v>
      </c>
      <c r="E1597">
        <v>55.5</v>
      </c>
      <c r="F1597">
        <v>62.2</v>
      </c>
      <c r="G1597" s="2">
        <f t="shared" si="241"/>
        <v>0</v>
      </c>
      <c r="H1597">
        <v>69.8</v>
      </c>
      <c r="I1597">
        <v>55.5</v>
      </c>
      <c r="J1597">
        <v>62.2</v>
      </c>
      <c r="K1597">
        <v>56.9</v>
      </c>
      <c r="L1597">
        <v>83.1</v>
      </c>
      <c r="M1597" s="2">
        <f t="shared" si="242"/>
        <v>0</v>
      </c>
      <c r="N1597">
        <v>0</v>
      </c>
      <c r="O1597" s="2">
        <f t="shared" si="243"/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 s="2">
        <f t="shared" si="244"/>
        <v>0</v>
      </c>
      <c r="W1597">
        <v>10.3</v>
      </c>
      <c r="X1597" s="2">
        <f t="shared" si="245"/>
        <v>0</v>
      </c>
      <c r="Y1597">
        <v>219.2</v>
      </c>
      <c r="Z1597" s="2" t="str">
        <f>CHOOSE(MATCH(Y1597,{0;11;80;111;161;191;241;281;341},1),"North","NorthEast","East","SouthEast","South","SouthWest","West","NorthWest","North")</f>
        <v>SouthWest</v>
      </c>
      <c r="AA1597" s="4">
        <f>CHOOSE(MATCH(Z1597,{"South";"SouthEast";"SouthWest";"North";"NorthEast";"East";"West";"NorthWest"},0),1,2,3,4,5,6,7,8)</f>
        <v>3</v>
      </c>
      <c r="AB1597" s="2">
        <f t="shared" si="246"/>
        <v>0</v>
      </c>
      <c r="AC1597">
        <v>1014.5</v>
      </c>
      <c r="AD1597" t="s">
        <v>2327</v>
      </c>
      <c r="AE1597" s="2">
        <f t="shared" si="247"/>
        <v>1</v>
      </c>
      <c r="AF1597" t="s">
        <v>2328</v>
      </c>
      <c r="AG1597" s="2">
        <f t="shared" si="248"/>
        <v>11</v>
      </c>
      <c r="AH1597" s="2">
        <f t="shared" si="249"/>
        <v>0</v>
      </c>
      <c r="AI1597" s="3">
        <v>133.00000000395809</v>
      </c>
      <c r="AJ1597" s="2">
        <v>0</v>
      </c>
      <c r="AK1597">
        <v>0.1</v>
      </c>
      <c r="AL1597">
        <v>0</v>
      </c>
      <c r="AM1597">
        <v>0</v>
      </c>
      <c r="AN1597" s="2">
        <f>IF((2*G1597+M1597-O1597+3*V1597+2*AB1597+2*AE1597+2*AH1597+3*AJ1597)&gt;=7,1,0)</f>
        <v>0</v>
      </c>
    </row>
    <row r="1598" spans="1:40" x14ac:dyDescent="0.25">
      <c r="A1598" t="s">
        <v>27</v>
      </c>
      <c r="B1598" s="1">
        <v>41238</v>
      </c>
      <c r="C1598" s="6">
        <f t="shared" si="240"/>
        <v>2012</v>
      </c>
      <c r="D1598">
        <v>64.400000000000006</v>
      </c>
      <c r="E1598">
        <v>55.7</v>
      </c>
      <c r="F1598">
        <v>61.1</v>
      </c>
      <c r="G1598" s="2">
        <f t="shared" si="241"/>
        <v>0</v>
      </c>
      <c r="H1598">
        <v>64.400000000000006</v>
      </c>
      <c r="I1598">
        <v>55.7</v>
      </c>
      <c r="J1598">
        <v>61.1</v>
      </c>
      <c r="K1598">
        <v>49.7</v>
      </c>
      <c r="L1598">
        <v>66.3</v>
      </c>
      <c r="M1598" s="2">
        <f t="shared" si="242"/>
        <v>0</v>
      </c>
      <c r="N1598">
        <v>0</v>
      </c>
      <c r="O1598" s="2">
        <f t="shared" si="243"/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 s="2">
        <f t="shared" si="244"/>
        <v>0</v>
      </c>
      <c r="W1598">
        <v>21.9</v>
      </c>
      <c r="X1598" s="2">
        <f t="shared" si="245"/>
        <v>1</v>
      </c>
      <c r="Y1598">
        <v>330.6</v>
      </c>
      <c r="Z1598" s="2" t="str">
        <f>CHOOSE(MATCH(Y1598,{0;11;80;111;161;191;241;281;341},1),"North","NorthEast","East","SouthEast","South","SouthWest","West","NorthWest","North")</f>
        <v>NorthWest</v>
      </c>
      <c r="AA1598" s="4">
        <f>CHOOSE(MATCH(Z1598,{"South";"SouthEast";"SouthWest";"North";"NorthEast";"East";"West";"NorthWest"},0),1,2,3,4,5,6,7,8)</f>
        <v>8</v>
      </c>
      <c r="AB1598" s="2">
        <f t="shared" si="246"/>
        <v>1</v>
      </c>
      <c r="AC1598">
        <v>1019.6</v>
      </c>
      <c r="AD1598" t="s">
        <v>1117</v>
      </c>
      <c r="AE1598" s="2">
        <f t="shared" si="247"/>
        <v>0</v>
      </c>
      <c r="AF1598" t="s">
        <v>2329</v>
      </c>
      <c r="AG1598" s="2">
        <f t="shared" si="248"/>
        <v>11</v>
      </c>
      <c r="AH1598" s="2">
        <f t="shared" si="249"/>
        <v>0</v>
      </c>
      <c r="AI1598" s="3">
        <v>100.0000000011642</v>
      </c>
      <c r="AJ1598" s="2">
        <v>0</v>
      </c>
      <c r="AK1598">
        <v>0</v>
      </c>
      <c r="AL1598">
        <v>3.5</v>
      </c>
      <c r="AM1598">
        <v>0</v>
      </c>
      <c r="AN1598" s="2">
        <f>IF((2*G1598+M1598-O1598+3*V1598+2*AB1598+2*AE1598+2*AH1598+3*AJ1598)&gt;=7,1,0)</f>
        <v>0</v>
      </c>
    </row>
    <row r="1599" spans="1:40" x14ac:dyDescent="0.25">
      <c r="A1599" t="s">
        <v>27</v>
      </c>
      <c r="B1599" s="1">
        <v>41262</v>
      </c>
      <c r="C1599" s="6">
        <f t="shared" si="240"/>
        <v>2012</v>
      </c>
      <c r="D1599">
        <v>59</v>
      </c>
      <c r="E1599">
        <v>48.3</v>
      </c>
      <c r="F1599">
        <v>53</v>
      </c>
      <c r="G1599" s="2">
        <f t="shared" si="241"/>
        <v>0</v>
      </c>
      <c r="H1599">
        <v>59</v>
      </c>
      <c r="I1599">
        <v>45.2</v>
      </c>
      <c r="J1599">
        <v>52.8</v>
      </c>
      <c r="K1599">
        <v>46.6</v>
      </c>
      <c r="L1599">
        <v>79.8</v>
      </c>
      <c r="M1599" s="2">
        <f t="shared" si="242"/>
        <v>0</v>
      </c>
      <c r="N1599">
        <v>0.27900000000000003</v>
      </c>
      <c r="O1599" s="2">
        <f t="shared" si="243"/>
        <v>0</v>
      </c>
      <c r="P1599">
        <v>100</v>
      </c>
      <c r="Q1599">
        <v>12.5</v>
      </c>
      <c r="R1599" t="s">
        <v>182</v>
      </c>
      <c r="S1599">
        <v>0</v>
      </c>
      <c r="T1599">
        <v>0</v>
      </c>
      <c r="U1599">
        <v>0</v>
      </c>
      <c r="V1599" s="2">
        <f t="shared" si="244"/>
        <v>0</v>
      </c>
      <c r="W1599">
        <v>25.3</v>
      </c>
      <c r="X1599" s="2">
        <f t="shared" si="245"/>
        <v>1</v>
      </c>
      <c r="Y1599">
        <v>255.9</v>
      </c>
      <c r="Z1599" s="2" t="str">
        <f>CHOOSE(MATCH(Y1599,{0;11;80;111;161;191;241;281;341},1),"North","NorthEast","East","SouthEast","South","SouthWest","West","NorthWest","North")</f>
        <v>West</v>
      </c>
      <c r="AA1599" s="4">
        <f>CHOOSE(MATCH(Z1599,{"South";"SouthEast";"SouthWest";"North";"NorthEast";"East";"West";"NorthWest"},0),1,2,3,4,5,6,7,8)</f>
        <v>7</v>
      </c>
      <c r="AB1599" s="2">
        <f t="shared" si="246"/>
        <v>0</v>
      </c>
      <c r="AC1599">
        <v>1004.8</v>
      </c>
      <c r="AD1599" t="s">
        <v>2330</v>
      </c>
      <c r="AE1599" s="2">
        <f t="shared" si="247"/>
        <v>1</v>
      </c>
      <c r="AF1599" t="s">
        <v>2331</v>
      </c>
      <c r="AG1599" s="2">
        <f t="shared" si="248"/>
        <v>12</v>
      </c>
      <c r="AH1599" s="2">
        <f t="shared" si="249"/>
        <v>0</v>
      </c>
      <c r="AI1599" s="3">
        <v>120.9999999962747</v>
      </c>
      <c r="AJ1599" s="2">
        <v>0</v>
      </c>
      <c r="AK1599">
        <v>0</v>
      </c>
      <c r="AL1599">
        <v>100</v>
      </c>
      <c r="AM1599">
        <v>0</v>
      </c>
      <c r="AN1599" s="2">
        <f>IF((2*G1599+M1599-O1599+3*V1599+2*AB1599+2*AE1599+2*AH1599+3*AJ1599)&gt;=7,1,0)</f>
        <v>0</v>
      </c>
    </row>
    <row r="1600" spans="1:40" x14ac:dyDescent="0.25">
      <c r="A1600" t="s">
        <v>27</v>
      </c>
      <c r="B1600" s="1">
        <v>41344</v>
      </c>
      <c r="C1600" s="6">
        <f t="shared" si="240"/>
        <v>2013</v>
      </c>
      <c r="D1600">
        <v>77</v>
      </c>
      <c r="E1600">
        <v>59</v>
      </c>
      <c r="F1600">
        <v>67.900000000000006</v>
      </c>
      <c r="G1600" s="2">
        <f t="shared" si="241"/>
        <v>0</v>
      </c>
      <c r="H1600">
        <v>77</v>
      </c>
      <c r="I1600">
        <v>59</v>
      </c>
      <c r="J1600">
        <v>67.900000000000006</v>
      </c>
      <c r="K1600">
        <v>53.3</v>
      </c>
      <c r="L1600">
        <v>62.5</v>
      </c>
      <c r="M1600" s="2">
        <f t="shared" si="242"/>
        <v>1</v>
      </c>
      <c r="N1600">
        <v>0</v>
      </c>
      <c r="O1600" s="2">
        <f t="shared" si="243"/>
        <v>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 s="2">
        <f t="shared" si="244"/>
        <v>0</v>
      </c>
      <c r="W1600">
        <v>25.3</v>
      </c>
      <c r="X1600" s="2">
        <f t="shared" si="245"/>
        <v>1</v>
      </c>
      <c r="Y1600">
        <v>181.3</v>
      </c>
      <c r="Z1600" s="2" t="str">
        <f>CHOOSE(MATCH(Y1600,{0;11;80;111;161;191;241;281;341},1),"North","NorthEast","East","SouthEast","South","SouthWest","West","NorthWest","North")</f>
        <v>South</v>
      </c>
      <c r="AA1600" s="4">
        <f>CHOOSE(MATCH(Z1600,{"South";"SouthEast";"SouthWest";"North";"NorthEast";"East";"West";"NorthWest"},0),1,2,3,4,5,6,7,8)</f>
        <v>1</v>
      </c>
      <c r="AB1600" s="2">
        <f t="shared" si="246"/>
        <v>0</v>
      </c>
      <c r="AC1600">
        <v>1004.1</v>
      </c>
      <c r="AD1600" t="s">
        <v>2031</v>
      </c>
      <c r="AE1600" s="2">
        <f t="shared" si="247"/>
        <v>1</v>
      </c>
      <c r="AF1600" t="s">
        <v>3780</v>
      </c>
      <c r="AG1600" s="2">
        <f t="shared" si="248"/>
        <v>3</v>
      </c>
      <c r="AH1600" s="2">
        <f t="shared" si="249"/>
        <v>0</v>
      </c>
      <c r="AI1600" s="3">
        <v>120.0000000034925</v>
      </c>
      <c r="AJ1600" s="2">
        <v>0</v>
      </c>
      <c r="AK1600">
        <v>0</v>
      </c>
      <c r="AL1600">
        <v>1</v>
      </c>
      <c r="AM1600">
        <v>0</v>
      </c>
      <c r="AN1600" s="2">
        <f>IF((2*G1600+M1600-O1600+3*V1600+2*AB1600+2*AE1600+2*AH1600+3*AJ1600)&gt;=7,1,0)</f>
        <v>0</v>
      </c>
    </row>
    <row r="1601" spans="1:40" x14ac:dyDescent="0.25">
      <c r="A1601" t="s">
        <v>27</v>
      </c>
      <c r="B1601" s="1">
        <v>41369</v>
      </c>
      <c r="C1601" s="6">
        <f t="shared" si="240"/>
        <v>2013</v>
      </c>
      <c r="D1601">
        <v>82.4</v>
      </c>
      <c r="E1601">
        <v>48.2</v>
      </c>
      <c r="F1601">
        <v>65.7</v>
      </c>
      <c r="G1601" s="2">
        <f t="shared" si="241"/>
        <v>0</v>
      </c>
      <c r="H1601">
        <v>80.400000000000006</v>
      </c>
      <c r="I1601">
        <v>44.6</v>
      </c>
      <c r="J1601">
        <v>65.2</v>
      </c>
      <c r="K1601">
        <v>39.700000000000003</v>
      </c>
      <c r="L1601">
        <v>43.5</v>
      </c>
      <c r="M1601" s="2">
        <f t="shared" si="242"/>
        <v>1</v>
      </c>
      <c r="N1601">
        <v>0</v>
      </c>
      <c r="O1601" s="2">
        <f t="shared" si="243"/>
        <v>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36.9</v>
      </c>
      <c r="V1601" s="2">
        <f t="shared" si="244"/>
        <v>1</v>
      </c>
      <c r="W1601">
        <v>30</v>
      </c>
      <c r="X1601" s="2">
        <f t="shared" si="245"/>
        <v>1</v>
      </c>
      <c r="Y1601">
        <v>174.8</v>
      </c>
      <c r="Z1601" s="2" t="str">
        <f>CHOOSE(MATCH(Y1601,{0;11;80;111;161;191;241;281;341},1),"North","NorthEast","East","SouthEast","South","SouthWest","West","NorthWest","North")</f>
        <v>South</v>
      </c>
      <c r="AA1601" s="4">
        <f>CHOOSE(MATCH(Z1601,{"South";"SouthEast";"SouthWest";"North";"NorthEast";"East";"West";"NorthWest"},0),1,2,3,4,5,6,7,8)</f>
        <v>1</v>
      </c>
      <c r="AB1601" s="2">
        <f t="shared" si="246"/>
        <v>0</v>
      </c>
      <c r="AC1601">
        <v>1013</v>
      </c>
      <c r="AD1601" t="s">
        <v>1966</v>
      </c>
      <c r="AE1601" s="2">
        <f t="shared" si="247"/>
        <v>1</v>
      </c>
      <c r="AF1601" t="s">
        <v>3781</v>
      </c>
      <c r="AG1601" s="2">
        <f t="shared" si="248"/>
        <v>4</v>
      </c>
      <c r="AH1601" s="2">
        <f t="shared" si="249"/>
        <v>0</v>
      </c>
      <c r="AI1601" s="3">
        <v>364.99999999534339</v>
      </c>
      <c r="AJ1601" s="2">
        <v>1</v>
      </c>
      <c r="AK1601">
        <v>0</v>
      </c>
      <c r="AL1601">
        <v>0.5</v>
      </c>
      <c r="AM1601">
        <v>0</v>
      </c>
      <c r="AN1601" s="2">
        <f>IF((2*G1601+M1601-O1601+3*V1601+2*AB1601+2*AE1601+2*AH1601+3*AJ1601)&gt;=7,1,0)</f>
        <v>1</v>
      </c>
    </row>
    <row r="1602" spans="1:40" x14ac:dyDescent="0.25">
      <c r="A1602" t="s">
        <v>27</v>
      </c>
      <c r="B1602" s="1">
        <v>41371</v>
      </c>
      <c r="C1602" s="6">
        <f t="shared" si="240"/>
        <v>2013</v>
      </c>
      <c r="D1602">
        <v>78.900000000000006</v>
      </c>
      <c r="E1602">
        <v>62.6</v>
      </c>
      <c r="F1602">
        <v>72.599999999999994</v>
      </c>
      <c r="G1602" s="2">
        <f t="shared" si="241"/>
        <v>1</v>
      </c>
      <c r="H1602">
        <v>78.900000000000006</v>
      </c>
      <c r="I1602">
        <v>62.6</v>
      </c>
      <c r="J1602">
        <v>72.599999999999994</v>
      </c>
      <c r="K1602">
        <v>46.6</v>
      </c>
      <c r="L1602">
        <v>41.5</v>
      </c>
      <c r="M1602" s="2">
        <f t="shared" si="242"/>
        <v>1</v>
      </c>
      <c r="N1602">
        <v>0</v>
      </c>
      <c r="O1602" s="2">
        <f t="shared" si="243"/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43.6</v>
      </c>
      <c r="V1602" s="2">
        <f t="shared" si="244"/>
        <v>1</v>
      </c>
      <c r="W1602">
        <v>32.200000000000003</v>
      </c>
      <c r="X1602" s="2">
        <f t="shared" si="245"/>
        <v>1</v>
      </c>
      <c r="Y1602">
        <v>188.8</v>
      </c>
      <c r="Z1602" s="2" t="str">
        <f>CHOOSE(MATCH(Y1602,{0;11;80;111;161;191;241;281;341},1),"North","NorthEast","East","SouthEast","South","SouthWest","West","NorthWest","North")</f>
        <v>South</v>
      </c>
      <c r="AA1602" s="4">
        <f>CHOOSE(MATCH(Z1602,{"South";"SouthEast";"SouthWest";"North";"NorthEast";"East";"West";"NorthWest"},0),1,2,3,4,5,6,7,8)</f>
        <v>1</v>
      </c>
      <c r="AB1602" s="2">
        <f t="shared" si="246"/>
        <v>0</v>
      </c>
      <c r="AC1602">
        <v>998.9</v>
      </c>
      <c r="AD1602" t="s">
        <v>3782</v>
      </c>
      <c r="AE1602" s="2">
        <f t="shared" si="247"/>
        <v>0</v>
      </c>
      <c r="AF1602" t="s">
        <v>3783</v>
      </c>
      <c r="AG1602" s="2">
        <f t="shared" si="248"/>
        <v>4</v>
      </c>
      <c r="AH1602" s="2">
        <f t="shared" si="249"/>
        <v>0</v>
      </c>
      <c r="AI1602" s="3">
        <v>222.99999999348071</v>
      </c>
      <c r="AJ1602" s="2">
        <v>0</v>
      </c>
      <c r="AK1602">
        <v>1</v>
      </c>
      <c r="AL1602">
        <v>0</v>
      </c>
      <c r="AM1602">
        <v>0</v>
      </c>
      <c r="AN1602" s="2">
        <f>IF((2*G1602+M1602-O1602+3*V1602+2*AB1602+2*AE1602+2*AH1602+3*AJ1602)&gt;=7,1,0)</f>
        <v>0</v>
      </c>
    </row>
    <row r="1603" spans="1:40" x14ac:dyDescent="0.25">
      <c r="A1603" t="s">
        <v>27</v>
      </c>
      <c r="B1603" s="1">
        <v>41392</v>
      </c>
      <c r="C1603" s="6">
        <f t="shared" ref="C1603:C1666" si="250">YEAR(B1603)</f>
        <v>2013</v>
      </c>
      <c r="D1603">
        <v>73.5</v>
      </c>
      <c r="E1603">
        <v>55.4</v>
      </c>
      <c r="F1603">
        <v>65.5</v>
      </c>
      <c r="G1603" s="2">
        <f t="shared" ref="G1603:G1666" si="251">IF(F1603&lt;=70,0,1)</f>
        <v>0</v>
      </c>
      <c r="H1603">
        <v>73.5</v>
      </c>
      <c r="I1603">
        <v>55.4</v>
      </c>
      <c r="J1603">
        <v>65.5</v>
      </c>
      <c r="K1603">
        <v>51.5</v>
      </c>
      <c r="L1603">
        <v>60.9</v>
      </c>
      <c r="M1603" s="2">
        <f t="shared" ref="M1603:M1666" si="252">IF(L1603&lt;=66,1,0)</f>
        <v>1</v>
      </c>
      <c r="N1603">
        <v>0</v>
      </c>
      <c r="O1603" s="2">
        <f t="shared" ref="O1603:O1666" si="253">IF(N1603&lt;=0.01,1,0)</f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 s="2">
        <f t="shared" ref="V1603:V1666" si="254">IF(U1603&lt;=9,0,1)</f>
        <v>0</v>
      </c>
      <c r="W1603">
        <v>11.4</v>
      </c>
      <c r="X1603" s="2">
        <f t="shared" ref="X1603:X1666" si="255">IF(W1603&gt;=16,1,0)</f>
        <v>0</v>
      </c>
      <c r="Y1603">
        <v>140.80000000000001</v>
      </c>
      <c r="Z1603" s="2" t="str">
        <f>CHOOSE(MATCH(Y1603,{0;11;80;111;161;191;241;281;341},1),"North","NorthEast","East","SouthEast","South","SouthWest","West","NorthWest","North")</f>
        <v>SouthEast</v>
      </c>
      <c r="AA1603" s="4">
        <f>CHOOSE(MATCH(Z1603,{"South";"SouthEast";"SouthWest";"North";"NorthEast";"East";"West";"NorthWest"},0),1,2,3,4,5,6,7,8)</f>
        <v>2</v>
      </c>
      <c r="AB1603" s="2">
        <f t="shared" ref="AB1603:AB1666" si="256">IF(OR(AA1603=4,AA1603=5,AA1603=8),1,0)</f>
        <v>0</v>
      </c>
      <c r="AC1603">
        <v>1015.4</v>
      </c>
      <c r="AD1603" t="s">
        <v>3784</v>
      </c>
      <c r="AE1603" s="2">
        <f t="shared" ref="AE1603:AE1666" si="257">IF(TIMEVALUE(AD1603)&lt;=TIME(12,30,0),0,1)</f>
        <v>1</v>
      </c>
      <c r="AF1603" t="s">
        <v>3785</v>
      </c>
      <c r="AG1603" s="2">
        <f t="shared" ref="AG1603:AG1666" si="258">MONTH(AF1603)</f>
        <v>4</v>
      </c>
      <c r="AH1603" s="2">
        <f t="shared" ref="AH1603:AH1666" si="259">IF(OR(AG1603=6,AG1603=7,AG1603=8),1,0)</f>
        <v>0</v>
      </c>
      <c r="AI1603" s="3">
        <v>174.00000000139701</v>
      </c>
      <c r="AJ1603" s="2">
        <v>0</v>
      </c>
      <c r="AK1603">
        <v>0</v>
      </c>
      <c r="AL1603">
        <v>1</v>
      </c>
      <c r="AM1603">
        <v>0</v>
      </c>
      <c r="AN1603" s="2">
        <f>IF((2*G1603+M1603-O1603+3*V1603+2*AB1603+2*AE1603+2*AH1603+3*AJ1603)&gt;=7,1,0)</f>
        <v>0</v>
      </c>
    </row>
    <row r="1604" spans="1:40" x14ac:dyDescent="0.25">
      <c r="A1604" t="s">
        <v>27</v>
      </c>
      <c r="B1604" s="1">
        <v>41395</v>
      </c>
      <c r="C1604" s="6">
        <f t="shared" si="250"/>
        <v>2013</v>
      </c>
      <c r="D1604">
        <v>78.900000000000006</v>
      </c>
      <c r="E1604">
        <v>60.8</v>
      </c>
      <c r="F1604">
        <v>68.900000000000006</v>
      </c>
      <c r="G1604" s="2">
        <f t="shared" si="251"/>
        <v>0</v>
      </c>
      <c r="H1604">
        <v>78.900000000000006</v>
      </c>
      <c r="I1604">
        <v>60.8</v>
      </c>
      <c r="J1604">
        <v>68.900000000000006</v>
      </c>
      <c r="K1604">
        <v>57.9</v>
      </c>
      <c r="L1604">
        <v>68.7</v>
      </c>
      <c r="M1604" s="2">
        <f t="shared" si="252"/>
        <v>0</v>
      </c>
      <c r="N1604">
        <v>0</v>
      </c>
      <c r="O1604" s="2">
        <f t="shared" si="253"/>
        <v>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 s="2">
        <f t="shared" si="254"/>
        <v>0</v>
      </c>
      <c r="W1604">
        <v>16.100000000000001</v>
      </c>
      <c r="X1604" s="2">
        <f t="shared" si="255"/>
        <v>1</v>
      </c>
      <c r="Y1604">
        <v>304.3</v>
      </c>
      <c r="Z1604" s="2" t="str">
        <f>CHOOSE(MATCH(Y1604,{0;11;80;111;161;191;241;281;341},1),"North","NorthEast","East","SouthEast","South","SouthWest","West","NorthWest","North")</f>
        <v>NorthWest</v>
      </c>
      <c r="AA1604" s="4">
        <f>CHOOSE(MATCH(Z1604,{"South";"SouthEast";"SouthWest";"North";"NorthEast";"East";"West";"NorthWest"},0),1,2,3,4,5,6,7,8)</f>
        <v>8</v>
      </c>
      <c r="AB1604" s="2">
        <f t="shared" si="256"/>
        <v>1</v>
      </c>
      <c r="AC1604">
        <v>1015.3</v>
      </c>
      <c r="AD1604" t="s">
        <v>2731</v>
      </c>
      <c r="AE1604" s="2">
        <f t="shared" si="257"/>
        <v>1</v>
      </c>
      <c r="AF1604" t="s">
        <v>3786</v>
      </c>
      <c r="AG1604" s="2">
        <f t="shared" si="258"/>
        <v>5</v>
      </c>
      <c r="AH1604" s="2">
        <f t="shared" si="259"/>
        <v>0</v>
      </c>
      <c r="AI1604" s="3">
        <v>74.999999993015081</v>
      </c>
      <c r="AJ1604" s="2">
        <v>0</v>
      </c>
      <c r="AK1604">
        <v>0.1</v>
      </c>
      <c r="AL1604">
        <v>0</v>
      </c>
      <c r="AM1604">
        <v>0</v>
      </c>
      <c r="AN1604" s="2">
        <f>IF((2*G1604+M1604-O1604+3*V1604+2*AB1604+2*AE1604+2*AH1604+3*AJ1604)&gt;=7,1,0)</f>
        <v>0</v>
      </c>
    </row>
    <row r="1605" spans="1:40" x14ac:dyDescent="0.25">
      <c r="A1605" t="s">
        <v>27</v>
      </c>
      <c r="B1605" s="1">
        <v>41417</v>
      </c>
      <c r="C1605" s="6">
        <f t="shared" si="250"/>
        <v>2013</v>
      </c>
      <c r="D1605">
        <v>86</v>
      </c>
      <c r="E1605">
        <v>69.8</v>
      </c>
      <c r="F1605">
        <v>79</v>
      </c>
      <c r="G1605" s="2">
        <f t="shared" si="251"/>
        <v>1</v>
      </c>
      <c r="H1605">
        <v>83.4</v>
      </c>
      <c r="I1605">
        <v>69.8</v>
      </c>
      <c r="J1605">
        <v>77.7</v>
      </c>
      <c r="K1605">
        <v>51.3</v>
      </c>
      <c r="L1605">
        <v>44.7</v>
      </c>
      <c r="M1605" s="2">
        <f t="shared" si="252"/>
        <v>1</v>
      </c>
      <c r="N1605">
        <v>0</v>
      </c>
      <c r="O1605" s="2">
        <f t="shared" si="253"/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46.1</v>
      </c>
      <c r="V1605" s="2">
        <f t="shared" si="254"/>
        <v>1</v>
      </c>
      <c r="W1605">
        <v>34.4</v>
      </c>
      <c r="X1605" s="2">
        <f t="shared" si="255"/>
        <v>1</v>
      </c>
      <c r="Y1605">
        <v>176</v>
      </c>
      <c r="Z1605" s="2" t="str">
        <f>CHOOSE(MATCH(Y1605,{0;11;80;111;161;191;241;281;341},1),"North","NorthEast","East","SouthEast","South","SouthWest","West","NorthWest","North")</f>
        <v>South</v>
      </c>
      <c r="AA1605" s="4">
        <f>CHOOSE(MATCH(Z1605,{"South";"SouthEast";"SouthWest";"North";"NorthEast";"East";"West";"NorthWest"},0),1,2,3,4,5,6,7,8)</f>
        <v>1</v>
      </c>
      <c r="AB1605" s="2">
        <f t="shared" si="256"/>
        <v>0</v>
      </c>
      <c r="AC1605">
        <v>1007.8</v>
      </c>
      <c r="AD1605" t="s">
        <v>1077</v>
      </c>
      <c r="AE1605" s="2">
        <f t="shared" si="257"/>
        <v>1</v>
      </c>
      <c r="AF1605" t="s">
        <v>3787</v>
      </c>
      <c r="AG1605" s="2">
        <f t="shared" si="258"/>
        <v>5</v>
      </c>
      <c r="AH1605" s="2">
        <f t="shared" si="259"/>
        <v>0</v>
      </c>
      <c r="AI1605" s="3">
        <v>410.00000000582082</v>
      </c>
      <c r="AJ1605" s="2">
        <v>1</v>
      </c>
      <c r="AK1605">
        <v>0</v>
      </c>
      <c r="AL1605">
        <v>2</v>
      </c>
      <c r="AM1605">
        <v>0</v>
      </c>
      <c r="AN1605" s="2">
        <f>IF((2*G1605+M1605-O1605+3*V1605+2*AB1605+2*AE1605+2*AH1605+3*AJ1605)&gt;=7,1,0)</f>
        <v>1</v>
      </c>
    </row>
    <row r="1606" spans="1:40" x14ac:dyDescent="0.25">
      <c r="A1606" t="s">
        <v>27</v>
      </c>
      <c r="B1606" s="1">
        <v>41417</v>
      </c>
      <c r="C1606" s="6">
        <f t="shared" si="250"/>
        <v>2013</v>
      </c>
      <c r="D1606">
        <v>86</v>
      </c>
      <c r="E1606">
        <v>69.8</v>
      </c>
      <c r="F1606">
        <v>79</v>
      </c>
      <c r="G1606" s="2">
        <f t="shared" si="251"/>
        <v>1</v>
      </c>
      <c r="H1606">
        <v>83.4</v>
      </c>
      <c r="I1606">
        <v>69.8</v>
      </c>
      <c r="J1606">
        <v>77.7</v>
      </c>
      <c r="K1606">
        <v>51.3</v>
      </c>
      <c r="L1606">
        <v>44.7</v>
      </c>
      <c r="M1606" s="2">
        <f t="shared" si="252"/>
        <v>1</v>
      </c>
      <c r="N1606">
        <v>0</v>
      </c>
      <c r="O1606" s="2">
        <f t="shared" si="253"/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46.1</v>
      </c>
      <c r="V1606" s="2">
        <f t="shared" si="254"/>
        <v>1</v>
      </c>
      <c r="W1606">
        <v>34.4</v>
      </c>
      <c r="X1606" s="2">
        <f t="shared" si="255"/>
        <v>1</v>
      </c>
      <c r="Y1606">
        <v>176</v>
      </c>
      <c r="Z1606" s="2" t="str">
        <f>CHOOSE(MATCH(Y1606,{0;11;80;111;161;191;241;281;341},1),"North","NorthEast","East","SouthEast","South","SouthWest","West","NorthWest","North")</f>
        <v>South</v>
      </c>
      <c r="AA1606" s="4">
        <f>CHOOSE(MATCH(Z1606,{"South";"SouthEast";"SouthWest";"North";"NorthEast";"East";"West";"NorthWest"},0),1,2,3,4,5,6,7,8)</f>
        <v>1</v>
      </c>
      <c r="AB1606" s="2">
        <f t="shared" si="256"/>
        <v>0</v>
      </c>
      <c r="AC1606">
        <v>1007.8</v>
      </c>
      <c r="AD1606" t="s">
        <v>1772</v>
      </c>
      <c r="AE1606" s="2">
        <f t="shared" si="257"/>
        <v>0</v>
      </c>
      <c r="AF1606" t="s">
        <v>3788</v>
      </c>
      <c r="AG1606" s="2">
        <f t="shared" si="258"/>
        <v>5</v>
      </c>
      <c r="AH1606" s="2">
        <f t="shared" si="259"/>
        <v>0</v>
      </c>
      <c r="AI1606" s="3">
        <v>1204.9999999988361</v>
      </c>
      <c r="AJ1606" s="2">
        <v>1</v>
      </c>
      <c r="AK1606">
        <v>0</v>
      </c>
      <c r="AL1606">
        <v>2</v>
      </c>
      <c r="AM1606">
        <v>0</v>
      </c>
      <c r="AN1606" s="2">
        <f>IF((2*G1606+M1606-O1606+3*V1606+2*AB1606+2*AE1606+2*AH1606+3*AJ1606)&gt;=7,1,0)</f>
        <v>1</v>
      </c>
    </row>
    <row r="1607" spans="1:40" x14ac:dyDescent="0.25">
      <c r="A1607" t="s">
        <v>27</v>
      </c>
      <c r="B1607" s="1">
        <v>41431</v>
      </c>
      <c r="C1607" s="6">
        <f t="shared" si="250"/>
        <v>2013</v>
      </c>
      <c r="D1607">
        <v>78.8</v>
      </c>
      <c r="E1607">
        <v>64.400000000000006</v>
      </c>
      <c r="F1607">
        <v>72.8</v>
      </c>
      <c r="G1607" s="2">
        <f t="shared" si="251"/>
        <v>1</v>
      </c>
      <c r="H1607">
        <v>78.8</v>
      </c>
      <c r="I1607">
        <v>64.400000000000006</v>
      </c>
      <c r="J1607">
        <v>72.8</v>
      </c>
      <c r="K1607">
        <v>60.5</v>
      </c>
      <c r="L1607">
        <v>66.8</v>
      </c>
      <c r="M1607" s="2">
        <f t="shared" si="252"/>
        <v>0</v>
      </c>
      <c r="N1607">
        <v>0</v>
      </c>
      <c r="O1607" s="2">
        <f t="shared" si="253"/>
        <v>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 s="2">
        <f t="shared" si="254"/>
        <v>0</v>
      </c>
      <c r="W1607">
        <v>19.600000000000001</v>
      </c>
      <c r="X1607" s="2">
        <f t="shared" si="255"/>
        <v>1</v>
      </c>
      <c r="Y1607">
        <v>305.10000000000002</v>
      </c>
      <c r="Z1607" s="2" t="str">
        <f>CHOOSE(MATCH(Y1607,{0;11;80;111;161;191;241;281;341},1),"North","NorthEast","East","SouthEast","South","SouthWest","West","NorthWest","North")</f>
        <v>NorthWest</v>
      </c>
      <c r="AA1607" s="4">
        <f>CHOOSE(MATCH(Z1607,{"South";"SouthEast";"SouthWest";"North";"NorthEast";"East";"West";"NorthWest"},0),1,2,3,4,5,6,7,8)</f>
        <v>8</v>
      </c>
      <c r="AB1607" s="2">
        <f t="shared" si="256"/>
        <v>1</v>
      </c>
      <c r="AC1607">
        <v>1015.3</v>
      </c>
      <c r="AD1607" t="s">
        <v>1129</v>
      </c>
      <c r="AE1607" s="2">
        <f t="shared" si="257"/>
        <v>1</v>
      </c>
      <c r="AF1607" t="s">
        <v>3789</v>
      </c>
      <c r="AG1607" s="2">
        <f t="shared" si="258"/>
        <v>6</v>
      </c>
      <c r="AH1607" s="2">
        <f t="shared" si="259"/>
        <v>1</v>
      </c>
      <c r="AI1607" s="3">
        <v>135</v>
      </c>
      <c r="AJ1607" s="2">
        <v>0</v>
      </c>
      <c r="AK1607">
        <v>0</v>
      </c>
      <c r="AL1607">
        <v>1</v>
      </c>
      <c r="AM1607">
        <v>0</v>
      </c>
      <c r="AN1607" s="2">
        <f>IF((2*G1607+M1607-O1607+3*V1607+2*AB1607+2*AE1607+2*AH1607+3*AJ1607)&gt;=7,1,0)</f>
        <v>1</v>
      </c>
    </row>
    <row r="1608" spans="1:40" x14ac:dyDescent="0.25">
      <c r="A1608" t="s">
        <v>27</v>
      </c>
      <c r="B1608" s="1">
        <v>41482</v>
      </c>
      <c r="C1608" s="6">
        <f t="shared" si="250"/>
        <v>2013</v>
      </c>
      <c r="D1608">
        <v>86.1</v>
      </c>
      <c r="E1608">
        <v>78.8</v>
      </c>
      <c r="F1608">
        <v>81.900000000000006</v>
      </c>
      <c r="G1608" s="2">
        <f t="shared" si="251"/>
        <v>1</v>
      </c>
      <c r="H1608">
        <v>89.4</v>
      </c>
      <c r="I1608">
        <v>78.8</v>
      </c>
      <c r="J1608">
        <v>83.3</v>
      </c>
      <c r="K1608">
        <v>64.400000000000006</v>
      </c>
      <c r="L1608">
        <v>55.7</v>
      </c>
      <c r="M1608" s="2">
        <f t="shared" si="252"/>
        <v>1</v>
      </c>
      <c r="N1608">
        <v>0</v>
      </c>
      <c r="O1608" s="2">
        <f t="shared" si="253"/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 s="2">
        <f t="shared" si="254"/>
        <v>0</v>
      </c>
      <c r="W1608">
        <v>19.600000000000001</v>
      </c>
      <c r="X1608" s="2">
        <f t="shared" si="255"/>
        <v>1</v>
      </c>
      <c r="Y1608">
        <v>312.39999999999998</v>
      </c>
      <c r="Z1608" s="2" t="str">
        <f>CHOOSE(MATCH(Y1608,{0;11;80;111;161;191;241;281;341},1),"North","NorthEast","East","SouthEast","South","SouthWest","West","NorthWest","North")</f>
        <v>NorthWest</v>
      </c>
      <c r="AA1608" s="4">
        <f>CHOOSE(MATCH(Z1608,{"South";"SouthEast";"SouthWest";"North";"NorthEast";"East";"West";"NorthWest"},0),1,2,3,4,5,6,7,8)</f>
        <v>8</v>
      </c>
      <c r="AB1608" s="2">
        <f t="shared" si="256"/>
        <v>1</v>
      </c>
      <c r="AC1608">
        <v>1009.2</v>
      </c>
      <c r="AD1608" t="s">
        <v>2334</v>
      </c>
      <c r="AE1608" s="2">
        <f t="shared" si="257"/>
        <v>0</v>
      </c>
      <c r="AF1608" t="s">
        <v>3790</v>
      </c>
      <c r="AG1608" s="2">
        <f t="shared" si="258"/>
        <v>7</v>
      </c>
      <c r="AH1608" s="2">
        <f t="shared" si="259"/>
        <v>1</v>
      </c>
      <c r="AI1608" s="3">
        <v>791.99999999371357</v>
      </c>
      <c r="AJ1608" s="2">
        <v>1</v>
      </c>
      <c r="AK1608">
        <v>0</v>
      </c>
      <c r="AL1608">
        <v>20</v>
      </c>
      <c r="AM1608">
        <v>0</v>
      </c>
      <c r="AN1608" s="2">
        <f>IF((2*G1608+M1608-O1608+3*V1608+2*AB1608+2*AE1608+2*AH1608+3*AJ1608)&gt;=7,1,0)</f>
        <v>1</v>
      </c>
    </row>
    <row r="1609" spans="1:40" x14ac:dyDescent="0.25">
      <c r="A1609" t="s">
        <v>27</v>
      </c>
      <c r="B1609" s="1">
        <v>41489</v>
      </c>
      <c r="C1609" s="6">
        <f t="shared" si="250"/>
        <v>2013</v>
      </c>
      <c r="D1609">
        <v>84.2</v>
      </c>
      <c r="E1609">
        <v>72.599999999999994</v>
      </c>
      <c r="F1609">
        <v>80.099999999999994</v>
      </c>
      <c r="G1609" s="2">
        <f t="shared" si="251"/>
        <v>1</v>
      </c>
      <c r="H1609">
        <v>87.4</v>
      </c>
      <c r="I1609">
        <v>72.599999999999994</v>
      </c>
      <c r="J1609">
        <v>81.7</v>
      </c>
      <c r="K1609">
        <v>66.5</v>
      </c>
      <c r="L1609">
        <v>63.5</v>
      </c>
      <c r="M1609" s="2">
        <f t="shared" si="252"/>
        <v>1</v>
      </c>
      <c r="N1609">
        <v>0</v>
      </c>
      <c r="O1609" s="2">
        <f t="shared" si="253"/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 s="2">
        <f t="shared" si="254"/>
        <v>0</v>
      </c>
      <c r="W1609">
        <v>19.600000000000001</v>
      </c>
      <c r="X1609" s="2">
        <f t="shared" si="255"/>
        <v>1</v>
      </c>
      <c r="Y1609">
        <v>305.7</v>
      </c>
      <c r="Z1609" s="2" t="str">
        <f>CHOOSE(MATCH(Y1609,{0;11;80;111;161;191;241;281;341},1),"North","NorthEast","East","SouthEast","South","SouthWest","West","NorthWest","North")</f>
        <v>NorthWest</v>
      </c>
      <c r="AA1609" s="4">
        <f>CHOOSE(MATCH(Z1609,{"South";"SouthEast";"SouthWest";"North";"NorthEast";"East";"West";"NorthWest"},0),1,2,3,4,5,6,7,8)</f>
        <v>8</v>
      </c>
      <c r="AB1609" s="2">
        <f t="shared" si="256"/>
        <v>1</v>
      </c>
      <c r="AC1609">
        <v>1011.2</v>
      </c>
      <c r="AD1609" t="s">
        <v>1900</v>
      </c>
      <c r="AE1609" s="2">
        <f t="shared" si="257"/>
        <v>1</v>
      </c>
      <c r="AF1609" t="s">
        <v>3791</v>
      </c>
      <c r="AG1609" s="2">
        <f t="shared" si="258"/>
        <v>8</v>
      </c>
      <c r="AH1609" s="2">
        <f t="shared" si="259"/>
        <v>1</v>
      </c>
      <c r="AI1609" s="3">
        <v>979.99999999883585</v>
      </c>
      <c r="AJ1609" s="2">
        <v>1</v>
      </c>
      <c r="AK1609">
        <v>0</v>
      </c>
      <c r="AL1609">
        <v>1</v>
      </c>
      <c r="AM1609">
        <v>0</v>
      </c>
      <c r="AN1609" s="2">
        <f>IF((2*G1609+M1609-O1609+3*V1609+2*AB1609+2*AE1609+2*AH1609+3*AJ1609)&gt;=7,1,0)</f>
        <v>1</v>
      </c>
    </row>
    <row r="1610" spans="1:40" x14ac:dyDescent="0.25">
      <c r="A1610" t="s">
        <v>27</v>
      </c>
      <c r="B1610" s="1">
        <v>41497</v>
      </c>
      <c r="C1610" s="6">
        <f t="shared" si="250"/>
        <v>2013</v>
      </c>
      <c r="D1610">
        <v>84.2</v>
      </c>
      <c r="E1610">
        <v>68</v>
      </c>
      <c r="F1610">
        <v>76.599999999999994</v>
      </c>
      <c r="G1610" s="2">
        <f t="shared" si="251"/>
        <v>1</v>
      </c>
      <c r="H1610">
        <v>87.4</v>
      </c>
      <c r="I1610">
        <v>68</v>
      </c>
      <c r="J1610">
        <v>78</v>
      </c>
      <c r="K1610">
        <v>64.099999999999994</v>
      </c>
      <c r="L1610">
        <v>65.599999999999994</v>
      </c>
      <c r="M1610" s="2">
        <f t="shared" si="252"/>
        <v>1</v>
      </c>
      <c r="N1610">
        <v>0</v>
      </c>
      <c r="O1610" s="2">
        <f t="shared" si="253"/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 s="2">
        <f t="shared" si="254"/>
        <v>0</v>
      </c>
      <c r="W1610">
        <v>21.9</v>
      </c>
      <c r="X1610" s="2">
        <f t="shared" si="255"/>
        <v>1</v>
      </c>
      <c r="Y1610">
        <v>303.5</v>
      </c>
      <c r="Z1610" s="2" t="str">
        <f>CHOOSE(MATCH(Y1610,{0;11;80;111;161;191;241;281;341},1),"North","NorthEast","East","SouthEast","South","SouthWest","West","NorthWest","North")</f>
        <v>NorthWest</v>
      </c>
      <c r="AA1610" s="4">
        <f>CHOOSE(MATCH(Z1610,{"South";"SouthEast";"SouthWest";"North";"NorthEast";"East";"West";"NorthWest"},0),1,2,3,4,5,6,7,8)</f>
        <v>8</v>
      </c>
      <c r="AB1610" s="2">
        <f t="shared" si="256"/>
        <v>1</v>
      </c>
      <c r="AC1610">
        <v>1005.7</v>
      </c>
      <c r="AD1610" t="s">
        <v>1093</v>
      </c>
      <c r="AE1610" s="2">
        <f t="shared" si="257"/>
        <v>1</v>
      </c>
      <c r="AF1610" t="s">
        <v>3792</v>
      </c>
      <c r="AG1610" s="2">
        <f t="shared" si="258"/>
        <v>8</v>
      </c>
      <c r="AH1610" s="2">
        <f t="shared" si="259"/>
        <v>1</v>
      </c>
      <c r="AI1610" s="3">
        <v>60.000000006984919</v>
      </c>
      <c r="AJ1610" s="2">
        <v>0</v>
      </c>
      <c r="AK1610">
        <v>0</v>
      </c>
      <c r="AL1610">
        <v>0.1</v>
      </c>
      <c r="AM1610">
        <v>0</v>
      </c>
      <c r="AN1610" s="2">
        <f>IF((2*G1610+M1610-O1610+3*V1610+2*AB1610+2*AE1610+2*AH1610+3*AJ1610)&gt;=7,1,0)</f>
        <v>1</v>
      </c>
    </row>
    <row r="1611" spans="1:40" x14ac:dyDescent="0.25">
      <c r="A1611" t="s">
        <v>27</v>
      </c>
      <c r="B1611" s="1">
        <v>41501</v>
      </c>
      <c r="C1611" s="6">
        <f t="shared" si="250"/>
        <v>2013</v>
      </c>
      <c r="D1611">
        <v>86</v>
      </c>
      <c r="E1611">
        <v>69.8</v>
      </c>
      <c r="F1611">
        <v>78</v>
      </c>
      <c r="G1611" s="2">
        <f t="shared" si="251"/>
        <v>1</v>
      </c>
      <c r="H1611">
        <v>91.1</v>
      </c>
      <c r="I1611">
        <v>69.8</v>
      </c>
      <c r="J1611">
        <v>79.8</v>
      </c>
      <c r="K1611">
        <v>66.400000000000006</v>
      </c>
      <c r="L1611">
        <v>68.099999999999994</v>
      </c>
      <c r="M1611" s="2">
        <f t="shared" si="252"/>
        <v>0</v>
      </c>
      <c r="N1611">
        <v>0</v>
      </c>
      <c r="O1611" s="2">
        <f t="shared" si="253"/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 s="2">
        <f t="shared" si="254"/>
        <v>0</v>
      </c>
      <c r="W1611">
        <v>18.3</v>
      </c>
      <c r="X1611" s="2">
        <f t="shared" si="255"/>
        <v>1</v>
      </c>
      <c r="Y1611">
        <v>312.3</v>
      </c>
      <c r="Z1611" s="2" t="str">
        <f>CHOOSE(MATCH(Y1611,{0;11;80;111;161;191;241;281;341},1),"North","NorthEast","East","SouthEast","South","SouthWest","West","NorthWest","North")</f>
        <v>NorthWest</v>
      </c>
      <c r="AA1611" s="4">
        <f>CHOOSE(MATCH(Z1611,{"South";"SouthEast";"SouthWest";"North";"NorthEast";"East";"West";"NorthWest"},0),1,2,3,4,5,6,7,8)</f>
        <v>8</v>
      </c>
      <c r="AB1611" s="2">
        <f t="shared" si="256"/>
        <v>1</v>
      </c>
      <c r="AC1611">
        <v>1009.1</v>
      </c>
      <c r="AD1611" t="s">
        <v>1226</v>
      </c>
      <c r="AE1611" s="2">
        <f t="shared" si="257"/>
        <v>1</v>
      </c>
      <c r="AF1611" t="s">
        <v>3793</v>
      </c>
      <c r="AG1611" s="2">
        <f t="shared" si="258"/>
        <v>8</v>
      </c>
      <c r="AH1611" s="2">
        <f t="shared" si="259"/>
        <v>1</v>
      </c>
      <c r="AI1611" s="3">
        <v>220.00000000465661</v>
      </c>
      <c r="AJ1611" s="2">
        <v>0</v>
      </c>
      <c r="AK1611">
        <v>0</v>
      </c>
      <c r="AL1611">
        <v>1</v>
      </c>
      <c r="AM1611">
        <v>0</v>
      </c>
      <c r="AN1611" s="2">
        <f>IF((2*G1611+M1611-O1611+3*V1611+2*AB1611+2*AE1611+2*AH1611+3*AJ1611)&gt;=7,1,0)</f>
        <v>1</v>
      </c>
    </row>
    <row r="1612" spans="1:40" x14ac:dyDescent="0.25">
      <c r="A1612" t="s">
        <v>27</v>
      </c>
      <c r="B1612" s="1">
        <v>41508</v>
      </c>
      <c r="C1612" s="6">
        <f t="shared" si="250"/>
        <v>2013</v>
      </c>
      <c r="D1612">
        <v>80.599999999999994</v>
      </c>
      <c r="E1612">
        <v>69.8</v>
      </c>
      <c r="F1612">
        <v>76.5</v>
      </c>
      <c r="G1612" s="2">
        <f t="shared" si="251"/>
        <v>1</v>
      </c>
      <c r="H1612">
        <v>84.6</v>
      </c>
      <c r="I1612">
        <v>69.8</v>
      </c>
      <c r="J1612">
        <v>77.599999999999994</v>
      </c>
      <c r="K1612">
        <v>66.8</v>
      </c>
      <c r="L1612">
        <v>72.400000000000006</v>
      </c>
      <c r="M1612" s="2">
        <f t="shared" si="252"/>
        <v>0</v>
      </c>
      <c r="N1612">
        <v>0</v>
      </c>
      <c r="O1612" s="2">
        <f t="shared" si="253"/>
        <v>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 s="2">
        <f t="shared" si="254"/>
        <v>0</v>
      </c>
      <c r="W1612">
        <v>23</v>
      </c>
      <c r="X1612" s="2">
        <f t="shared" si="255"/>
        <v>1</v>
      </c>
      <c r="Y1612">
        <v>316.8</v>
      </c>
      <c r="Z1612" s="2" t="str">
        <f>CHOOSE(MATCH(Y1612,{0;11;80;111;161;191;241;281;341},1),"North","NorthEast","East","SouthEast","South","SouthWest","West","NorthWest","North")</f>
        <v>NorthWest</v>
      </c>
      <c r="AA1612" s="4">
        <f>CHOOSE(MATCH(Z1612,{"South";"SouthEast";"SouthWest";"North";"NorthEast";"East";"West";"NorthWest"},0),1,2,3,4,5,6,7,8)</f>
        <v>8</v>
      </c>
      <c r="AB1612" s="2">
        <f t="shared" si="256"/>
        <v>1</v>
      </c>
      <c r="AC1612">
        <v>1009.4</v>
      </c>
      <c r="AD1612" t="s">
        <v>1827</v>
      </c>
      <c r="AE1612" s="2">
        <f t="shared" si="257"/>
        <v>0</v>
      </c>
      <c r="AF1612" t="s">
        <v>3794</v>
      </c>
      <c r="AG1612" s="2">
        <f t="shared" si="258"/>
        <v>8</v>
      </c>
      <c r="AH1612" s="2">
        <f t="shared" si="259"/>
        <v>1</v>
      </c>
      <c r="AI1612" s="3">
        <v>69.999999997671694</v>
      </c>
      <c r="AJ1612" s="2">
        <v>0</v>
      </c>
      <c r="AK1612">
        <v>0</v>
      </c>
      <c r="AL1612">
        <v>0.1</v>
      </c>
      <c r="AM1612">
        <v>0</v>
      </c>
      <c r="AN1612" s="2">
        <f>IF((2*G1612+M1612-O1612+3*V1612+2*AB1612+2*AE1612+2*AH1612+3*AJ1612)&gt;=7,1,0)</f>
        <v>0</v>
      </c>
    </row>
    <row r="1613" spans="1:40" x14ac:dyDescent="0.25">
      <c r="A1613" t="s">
        <v>27</v>
      </c>
      <c r="B1613" s="1">
        <v>41537</v>
      </c>
      <c r="C1613" s="6">
        <f t="shared" si="250"/>
        <v>2013</v>
      </c>
      <c r="D1613">
        <v>82.4</v>
      </c>
      <c r="E1613">
        <v>69.8</v>
      </c>
      <c r="F1613">
        <v>76.3</v>
      </c>
      <c r="G1613" s="2">
        <f t="shared" si="251"/>
        <v>1</v>
      </c>
      <c r="H1613">
        <v>84.7</v>
      </c>
      <c r="I1613">
        <v>69.8</v>
      </c>
      <c r="J1613">
        <v>76.900000000000006</v>
      </c>
      <c r="K1613">
        <v>64.099999999999994</v>
      </c>
      <c r="L1613">
        <v>66.3</v>
      </c>
      <c r="M1613" s="2">
        <f t="shared" si="252"/>
        <v>0</v>
      </c>
      <c r="N1613">
        <v>0</v>
      </c>
      <c r="O1613" s="2">
        <f t="shared" si="253"/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 s="2">
        <f t="shared" si="254"/>
        <v>0</v>
      </c>
      <c r="W1613">
        <v>20.8</v>
      </c>
      <c r="X1613" s="2">
        <f t="shared" si="255"/>
        <v>1</v>
      </c>
      <c r="Y1613">
        <v>303.60000000000002</v>
      </c>
      <c r="Z1613" s="2" t="str">
        <f>CHOOSE(MATCH(Y1613,{0;11;80;111;161;191;241;281;341},1),"North","NorthEast","East","SouthEast","South","SouthWest","West","NorthWest","North")</f>
        <v>NorthWest</v>
      </c>
      <c r="AA1613" s="4">
        <f>CHOOSE(MATCH(Z1613,{"South";"SouthEast";"SouthWest";"North";"NorthEast";"East";"West";"NorthWest"},0),1,2,3,4,5,6,7,8)</f>
        <v>8</v>
      </c>
      <c r="AB1613" s="2">
        <f t="shared" si="256"/>
        <v>1</v>
      </c>
      <c r="AC1613">
        <v>1010.6</v>
      </c>
      <c r="AD1613" t="s">
        <v>1924</v>
      </c>
      <c r="AE1613" s="2">
        <f t="shared" si="257"/>
        <v>0</v>
      </c>
      <c r="AF1613" t="s">
        <v>3795</v>
      </c>
      <c r="AG1613" s="2">
        <f t="shared" si="258"/>
        <v>9</v>
      </c>
      <c r="AH1613" s="2">
        <f t="shared" si="259"/>
        <v>0</v>
      </c>
      <c r="AI1613" s="3">
        <v>249.99999999767169</v>
      </c>
      <c r="AJ1613" s="2">
        <v>0</v>
      </c>
      <c r="AK1613">
        <v>0</v>
      </c>
      <c r="AL1613">
        <v>1</v>
      </c>
      <c r="AM1613">
        <v>0</v>
      </c>
      <c r="AN1613" s="2">
        <f>IF((2*G1613+M1613-O1613+3*V1613+2*AB1613+2*AE1613+2*AH1613+3*AJ1613)&gt;=7,1,0)</f>
        <v>0</v>
      </c>
    </row>
    <row r="1614" spans="1:40" x14ac:dyDescent="0.25">
      <c r="A1614" t="s">
        <v>27</v>
      </c>
      <c r="B1614" s="1">
        <v>41539</v>
      </c>
      <c r="C1614" s="6">
        <f t="shared" si="250"/>
        <v>2013</v>
      </c>
      <c r="D1614">
        <v>77</v>
      </c>
      <c r="E1614">
        <v>68</v>
      </c>
      <c r="F1614">
        <v>73.400000000000006</v>
      </c>
      <c r="G1614" s="2">
        <f t="shared" si="251"/>
        <v>1</v>
      </c>
      <c r="H1614">
        <v>77</v>
      </c>
      <c r="I1614">
        <v>68</v>
      </c>
      <c r="J1614">
        <v>73.400000000000006</v>
      </c>
      <c r="K1614">
        <v>58.8</v>
      </c>
      <c r="L1614">
        <v>61.1</v>
      </c>
      <c r="M1614" s="2">
        <f t="shared" si="252"/>
        <v>1</v>
      </c>
      <c r="N1614">
        <v>0</v>
      </c>
      <c r="O1614" s="2">
        <f t="shared" si="253"/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 s="2">
        <f t="shared" si="254"/>
        <v>0</v>
      </c>
      <c r="W1614">
        <v>17.2</v>
      </c>
      <c r="X1614" s="2">
        <f t="shared" si="255"/>
        <v>1</v>
      </c>
      <c r="Y1614">
        <v>340.5</v>
      </c>
      <c r="Z1614" s="2" t="str">
        <f>CHOOSE(MATCH(Y1614,{0;11;80;111;161;191;241;281;341},1),"North","NorthEast","East","SouthEast","South","SouthWest","West","NorthWest","North")</f>
        <v>NorthWest</v>
      </c>
      <c r="AA1614" s="4">
        <f>CHOOSE(MATCH(Z1614,{"South";"SouthEast";"SouthWest";"North";"NorthEast";"East";"West";"NorthWest"},0),1,2,3,4,5,6,7,8)</f>
        <v>8</v>
      </c>
      <c r="AB1614" s="2">
        <f t="shared" si="256"/>
        <v>1</v>
      </c>
      <c r="AC1614">
        <v>1015</v>
      </c>
      <c r="AD1614" t="s">
        <v>2781</v>
      </c>
      <c r="AE1614" s="2">
        <f t="shared" si="257"/>
        <v>1</v>
      </c>
      <c r="AF1614" t="s">
        <v>3796</v>
      </c>
      <c r="AG1614" s="2">
        <f t="shared" si="258"/>
        <v>9</v>
      </c>
      <c r="AH1614" s="2">
        <f t="shared" si="259"/>
        <v>0</v>
      </c>
      <c r="AI1614" s="3">
        <v>411.99999999138532</v>
      </c>
      <c r="AJ1614" s="2">
        <v>1</v>
      </c>
      <c r="AK1614">
        <v>0</v>
      </c>
      <c r="AL1614">
        <v>1</v>
      </c>
      <c r="AM1614">
        <v>0</v>
      </c>
      <c r="AN1614" s="2">
        <f>IF((2*G1614+M1614-O1614+3*V1614+2*AB1614+2*AE1614+2*AH1614+3*AJ1614)&gt;=7,1,0)</f>
        <v>1</v>
      </c>
    </row>
    <row r="1615" spans="1:40" x14ac:dyDescent="0.25">
      <c r="A1615" t="s">
        <v>27</v>
      </c>
      <c r="B1615" s="1">
        <v>41586</v>
      </c>
      <c r="C1615" s="6">
        <f t="shared" si="250"/>
        <v>2013</v>
      </c>
      <c r="D1615">
        <v>69.8</v>
      </c>
      <c r="E1615">
        <v>61.2</v>
      </c>
      <c r="F1615">
        <v>67.3</v>
      </c>
      <c r="G1615" s="2">
        <f t="shared" si="251"/>
        <v>0</v>
      </c>
      <c r="H1615">
        <v>69.8</v>
      </c>
      <c r="I1615">
        <v>61.2</v>
      </c>
      <c r="J1615">
        <v>67.3</v>
      </c>
      <c r="K1615">
        <v>55.6</v>
      </c>
      <c r="L1615">
        <v>66.599999999999994</v>
      </c>
      <c r="M1615" s="2">
        <f t="shared" si="252"/>
        <v>0</v>
      </c>
      <c r="N1615">
        <v>0</v>
      </c>
      <c r="O1615" s="2">
        <f t="shared" si="253"/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 s="2">
        <f t="shared" si="254"/>
        <v>0</v>
      </c>
      <c r="W1615">
        <v>18.3</v>
      </c>
      <c r="X1615" s="2">
        <f t="shared" si="255"/>
        <v>1</v>
      </c>
      <c r="Y1615">
        <v>334.9</v>
      </c>
      <c r="Z1615" s="2" t="str">
        <f>CHOOSE(MATCH(Y1615,{0;11;80;111;161;191;241;281;341},1),"North","NorthEast","East","SouthEast","South","SouthWest","West","NorthWest","North")</f>
        <v>NorthWest</v>
      </c>
      <c r="AA1615" s="4">
        <f>CHOOSE(MATCH(Z1615,{"South";"SouthEast";"SouthWest";"North";"NorthEast";"East";"West";"NorthWest"},0),1,2,3,4,5,6,7,8)</f>
        <v>8</v>
      </c>
      <c r="AB1615" s="2">
        <f t="shared" si="256"/>
        <v>1</v>
      </c>
      <c r="AC1615">
        <v>1017.5</v>
      </c>
      <c r="AD1615" t="s">
        <v>1753</v>
      </c>
      <c r="AE1615" s="2">
        <f t="shared" si="257"/>
        <v>1</v>
      </c>
      <c r="AF1615" t="s">
        <v>3797</v>
      </c>
      <c r="AG1615" s="2">
        <f t="shared" si="258"/>
        <v>11</v>
      </c>
      <c r="AH1615" s="2">
        <f t="shared" si="259"/>
        <v>0</v>
      </c>
      <c r="AI1615" s="3">
        <v>184.00000000256111</v>
      </c>
      <c r="AJ1615" s="2">
        <v>0</v>
      </c>
      <c r="AK1615">
        <v>0</v>
      </c>
      <c r="AL1615">
        <v>1</v>
      </c>
      <c r="AM1615">
        <v>0</v>
      </c>
      <c r="AN1615" s="2">
        <f>IF((2*G1615+M1615-O1615+3*V1615+2*AB1615+2*AE1615+2*AH1615+3*AJ1615)&gt;=7,1,0)</f>
        <v>0</v>
      </c>
    </row>
    <row r="1616" spans="1:40" x14ac:dyDescent="0.25">
      <c r="A1616" t="s">
        <v>27</v>
      </c>
      <c r="B1616" s="1">
        <v>41586</v>
      </c>
      <c r="C1616" s="6">
        <f t="shared" si="250"/>
        <v>2013</v>
      </c>
      <c r="D1616">
        <v>69.8</v>
      </c>
      <c r="E1616">
        <v>61.2</v>
      </c>
      <c r="F1616">
        <v>67.3</v>
      </c>
      <c r="G1616" s="2">
        <f t="shared" si="251"/>
        <v>0</v>
      </c>
      <c r="H1616">
        <v>69.8</v>
      </c>
      <c r="I1616">
        <v>61.2</v>
      </c>
      <c r="J1616">
        <v>67.3</v>
      </c>
      <c r="K1616">
        <v>55.6</v>
      </c>
      <c r="L1616">
        <v>66.599999999999994</v>
      </c>
      <c r="M1616" s="2">
        <f t="shared" si="252"/>
        <v>0</v>
      </c>
      <c r="N1616">
        <v>0</v>
      </c>
      <c r="O1616" s="2">
        <f t="shared" si="253"/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 s="2">
        <f t="shared" si="254"/>
        <v>0</v>
      </c>
      <c r="W1616">
        <v>18.3</v>
      </c>
      <c r="X1616" s="2">
        <f t="shared" si="255"/>
        <v>1</v>
      </c>
      <c r="Y1616">
        <v>334.9</v>
      </c>
      <c r="Z1616" s="2" t="str">
        <f>CHOOSE(MATCH(Y1616,{0;11;80;111;161;191;241;281;341},1),"North","NorthEast","East","SouthEast","South","SouthWest","West","NorthWest","North")</f>
        <v>NorthWest</v>
      </c>
      <c r="AA1616" s="4">
        <f>CHOOSE(MATCH(Z1616,{"South";"SouthEast";"SouthWest";"North";"NorthEast";"East";"West";"NorthWest"},0),1,2,3,4,5,6,7,8)</f>
        <v>8</v>
      </c>
      <c r="AB1616" s="2">
        <f t="shared" si="256"/>
        <v>1</v>
      </c>
      <c r="AC1616">
        <v>1017.5</v>
      </c>
      <c r="AD1616" t="s">
        <v>1958</v>
      </c>
      <c r="AE1616" s="2">
        <f t="shared" si="257"/>
        <v>0</v>
      </c>
      <c r="AF1616" t="s">
        <v>3798</v>
      </c>
      <c r="AG1616" s="2">
        <f t="shared" si="258"/>
        <v>11</v>
      </c>
      <c r="AH1616" s="2">
        <f t="shared" si="259"/>
        <v>0</v>
      </c>
      <c r="AI1616" s="3">
        <v>349.99999999883579</v>
      </c>
      <c r="AJ1616" s="2">
        <v>0</v>
      </c>
      <c r="AK1616">
        <v>0</v>
      </c>
      <c r="AL1616">
        <v>1</v>
      </c>
      <c r="AM1616">
        <v>0</v>
      </c>
      <c r="AN1616" s="2">
        <f>IF((2*G1616+M1616-O1616+3*V1616+2*AB1616+2*AE1616+2*AH1616+3*AJ1616)&gt;=7,1,0)</f>
        <v>0</v>
      </c>
    </row>
    <row r="1617" spans="1:40" x14ac:dyDescent="0.25">
      <c r="A1617" t="s">
        <v>27</v>
      </c>
      <c r="B1617" s="1">
        <v>41628</v>
      </c>
      <c r="C1617" s="6">
        <f t="shared" si="250"/>
        <v>2013</v>
      </c>
      <c r="D1617">
        <v>59</v>
      </c>
      <c r="E1617">
        <v>44.6</v>
      </c>
      <c r="F1617">
        <v>51.3</v>
      </c>
      <c r="G1617" s="2">
        <f t="shared" si="251"/>
        <v>0</v>
      </c>
      <c r="H1617">
        <v>59</v>
      </c>
      <c r="I1617">
        <v>40.700000000000003</v>
      </c>
      <c r="J1617">
        <v>50.1</v>
      </c>
      <c r="K1617">
        <v>47.2</v>
      </c>
      <c r="L1617">
        <v>86.2</v>
      </c>
      <c r="M1617" s="2">
        <f t="shared" si="252"/>
        <v>0</v>
      </c>
      <c r="N1617">
        <v>0.39400000000000002</v>
      </c>
      <c r="O1617" s="2">
        <f t="shared" si="253"/>
        <v>0</v>
      </c>
      <c r="P1617">
        <v>100</v>
      </c>
      <c r="Q1617">
        <v>4.17</v>
      </c>
      <c r="R1617" t="s">
        <v>182</v>
      </c>
      <c r="S1617">
        <v>0</v>
      </c>
      <c r="T1617">
        <v>0</v>
      </c>
      <c r="U1617">
        <v>0</v>
      </c>
      <c r="V1617" s="2">
        <f t="shared" si="254"/>
        <v>0</v>
      </c>
      <c r="W1617">
        <v>9.1999999999999993</v>
      </c>
      <c r="X1617" s="2">
        <f t="shared" si="255"/>
        <v>0</v>
      </c>
      <c r="Y1617">
        <v>163.1</v>
      </c>
      <c r="Z1617" s="2" t="str">
        <f>CHOOSE(MATCH(Y1617,{0;11;80;111;161;191;241;281;341},1),"North","NorthEast","East","SouthEast","South","SouthWest","West","NorthWest","North")</f>
        <v>South</v>
      </c>
      <c r="AA1617" s="4">
        <f>CHOOSE(MATCH(Z1617,{"South";"SouthEast";"SouthWest";"North";"NorthEast";"East";"West";"NorthWest"},0),1,2,3,4,5,6,7,8)</f>
        <v>1</v>
      </c>
      <c r="AB1617" s="2">
        <f t="shared" si="256"/>
        <v>0</v>
      </c>
      <c r="AC1617">
        <v>1027.0999999999999</v>
      </c>
      <c r="AD1617" t="s">
        <v>3799</v>
      </c>
      <c r="AE1617" s="2">
        <f t="shared" si="257"/>
        <v>1</v>
      </c>
      <c r="AF1617" t="s">
        <v>3800</v>
      </c>
      <c r="AG1617" s="2">
        <f t="shared" si="258"/>
        <v>12</v>
      </c>
      <c r="AH1617" s="2">
        <f t="shared" si="259"/>
        <v>0</v>
      </c>
      <c r="AI1617" s="3">
        <v>606.99999999837019</v>
      </c>
      <c r="AJ1617" s="2">
        <v>1</v>
      </c>
      <c r="AK1617">
        <v>0</v>
      </c>
      <c r="AL1617">
        <v>0.1</v>
      </c>
      <c r="AM1617">
        <v>0</v>
      </c>
      <c r="AN1617" s="2">
        <f>IF((2*G1617+M1617-O1617+3*V1617+2*AB1617+2*AE1617+2*AH1617+3*AJ1617)&gt;=7,1,0)</f>
        <v>0</v>
      </c>
    </row>
    <row r="1618" spans="1:40" x14ac:dyDescent="0.25">
      <c r="A1618" t="s">
        <v>27</v>
      </c>
      <c r="B1618" s="1">
        <v>41295</v>
      </c>
      <c r="C1618" s="6">
        <f t="shared" si="250"/>
        <v>2013</v>
      </c>
      <c r="D1618">
        <v>68</v>
      </c>
      <c r="E1618">
        <v>59</v>
      </c>
      <c r="F1618">
        <v>63.1</v>
      </c>
      <c r="G1618" s="2">
        <f t="shared" si="251"/>
        <v>0</v>
      </c>
      <c r="H1618">
        <v>68</v>
      </c>
      <c r="I1618">
        <v>59</v>
      </c>
      <c r="J1618">
        <v>63.1</v>
      </c>
      <c r="K1618">
        <v>46.4</v>
      </c>
      <c r="L1618">
        <v>55.6</v>
      </c>
      <c r="M1618" s="2">
        <f t="shared" si="252"/>
        <v>1</v>
      </c>
      <c r="N1618">
        <v>0</v>
      </c>
      <c r="O1618" s="2">
        <f t="shared" si="253"/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46.1</v>
      </c>
      <c r="V1618" s="2">
        <f t="shared" si="254"/>
        <v>1</v>
      </c>
      <c r="W1618">
        <v>34.4</v>
      </c>
      <c r="X1618" s="2">
        <f t="shared" si="255"/>
        <v>1</v>
      </c>
      <c r="Y1618">
        <v>176.9</v>
      </c>
      <c r="Z1618" s="2" t="str">
        <f>CHOOSE(MATCH(Y1618,{0;11;80;111;161;191;241;281;341},1),"North","NorthEast","East","SouthEast","South","SouthWest","West","NorthWest","North")</f>
        <v>South</v>
      </c>
      <c r="AA1618" s="4">
        <f>CHOOSE(MATCH(Z1618,{"South";"SouthEast";"SouthWest";"North";"NorthEast";"East";"West";"NorthWest"},0),1,2,3,4,5,6,7,8)</f>
        <v>1</v>
      </c>
      <c r="AB1618" s="2">
        <f t="shared" si="256"/>
        <v>0</v>
      </c>
      <c r="AC1618">
        <v>1010.1</v>
      </c>
      <c r="AD1618" t="s">
        <v>1077</v>
      </c>
      <c r="AE1618" s="2">
        <f t="shared" si="257"/>
        <v>1</v>
      </c>
      <c r="AF1618" t="s">
        <v>3801</v>
      </c>
      <c r="AG1618" s="2">
        <f t="shared" si="258"/>
        <v>1</v>
      </c>
      <c r="AH1618" s="2">
        <f t="shared" si="259"/>
        <v>0</v>
      </c>
      <c r="AI1618" s="3">
        <v>169.99999999883579</v>
      </c>
      <c r="AJ1618" s="2">
        <v>0</v>
      </c>
      <c r="AK1618">
        <v>0</v>
      </c>
      <c r="AL1618">
        <v>6</v>
      </c>
      <c r="AM1618">
        <v>0</v>
      </c>
      <c r="AN1618" s="2">
        <f>IF((2*G1618+M1618-O1618+3*V1618+2*AB1618+2*AE1618+2*AH1618+3*AJ1618)&gt;=7,1,0)</f>
        <v>0</v>
      </c>
    </row>
    <row r="1619" spans="1:40" x14ac:dyDescent="0.25">
      <c r="A1619" t="s">
        <v>27</v>
      </c>
      <c r="B1619" s="1">
        <v>41295</v>
      </c>
      <c r="C1619" s="6">
        <f t="shared" si="250"/>
        <v>2013</v>
      </c>
      <c r="D1619">
        <v>68</v>
      </c>
      <c r="E1619">
        <v>59</v>
      </c>
      <c r="F1619">
        <v>63.1</v>
      </c>
      <c r="G1619" s="2">
        <f t="shared" si="251"/>
        <v>0</v>
      </c>
      <c r="H1619">
        <v>68</v>
      </c>
      <c r="I1619">
        <v>59</v>
      </c>
      <c r="J1619">
        <v>63.1</v>
      </c>
      <c r="K1619">
        <v>46.4</v>
      </c>
      <c r="L1619">
        <v>55.6</v>
      </c>
      <c r="M1619" s="2">
        <f t="shared" si="252"/>
        <v>1</v>
      </c>
      <c r="N1619">
        <v>0</v>
      </c>
      <c r="O1619" s="2">
        <f t="shared" si="253"/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46.1</v>
      </c>
      <c r="V1619" s="2">
        <f t="shared" si="254"/>
        <v>1</v>
      </c>
      <c r="W1619">
        <v>34.4</v>
      </c>
      <c r="X1619" s="2">
        <f t="shared" si="255"/>
        <v>1</v>
      </c>
      <c r="Y1619">
        <v>176.9</v>
      </c>
      <c r="Z1619" s="2" t="str">
        <f>CHOOSE(MATCH(Y1619,{0;11;80;111;161;191;241;281;341},1),"North","NorthEast","East","SouthEast","South","SouthWest","West","NorthWest","North")</f>
        <v>South</v>
      </c>
      <c r="AA1619" s="4">
        <f>CHOOSE(MATCH(Z1619,{"South";"SouthEast";"SouthWest";"North";"NorthEast";"East";"West";"NorthWest"},0),1,2,3,4,5,6,7,8)</f>
        <v>1</v>
      </c>
      <c r="AB1619" s="2">
        <f t="shared" si="256"/>
        <v>0</v>
      </c>
      <c r="AC1619">
        <v>1010.1</v>
      </c>
      <c r="AD1619" t="s">
        <v>1998</v>
      </c>
      <c r="AE1619" s="2">
        <f t="shared" si="257"/>
        <v>1</v>
      </c>
      <c r="AF1619" t="s">
        <v>3802</v>
      </c>
      <c r="AG1619" s="2">
        <f t="shared" si="258"/>
        <v>1</v>
      </c>
      <c r="AH1619" s="2">
        <f t="shared" si="259"/>
        <v>0</v>
      </c>
      <c r="AI1619" s="3">
        <v>135</v>
      </c>
      <c r="AJ1619" s="2">
        <v>0</v>
      </c>
      <c r="AK1619">
        <v>0</v>
      </c>
      <c r="AL1619">
        <v>10</v>
      </c>
      <c r="AM1619">
        <v>0</v>
      </c>
      <c r="AN1619" s="2">
        <f>IF((2*G1619+M1619-O1619+3*V1619+2*AB1619+2*AE1619+2*AH1619+3*AJ1619)&gt;=7,1,0)</f>
        <v>0</v>
      </c>
    </row>
    <row r="1620" spans="1:40" x14ac:dyDescent="0.25">
      <c r="A1620" t="s">
        <v>27</v>
      </c>
      <c r="B1620" s="1">
        <v>41307</v>
      </c>
      <c r="C1620" s="6">
        <f t="shared" si="250"/>
        <v>2013</v>
      </c>
      <c r="D1620">
        <v>66.2</v>
      </c>
      <c r="E1620">
        <v>48.2</v>
      </c>
      <c r="F1620">
        <v>57.7</v>
      </c>
      <c r="G1620" s="2">
        <f t="shared" si="251"/>
        <v>0</v>
      </c>
      <c r="H1620">
        <v>66.2</v>
      </c>
      <c r="I1620">
        <v>44.1</v>
      </c>
      <c r="J1620">
        <v>57.6</v>
      </c>
      <c r="K1620">
        <v>49.3</v>
      </c>
      <c r="L1620">
        <v>73.7</v>
      </c>
      <c r="M1620" s="2">
        <f t="shared" si="252"/>
        <v>0</v>
      </c>
      <c r="N1620">
        <v>0</v>
      </c>
      <c r="O1620" s="2">
        <f t="shared" si="253"/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 s="2">
        <f t="shared" si="254"/>
        <v>0</v>
      </c>
      <c r="W1620">
        <v>24.2</v>
      </c>
      <c r="X1620" s="2">
        <f t="shared" si="255"/>
        <v>1</v>
      </c>
      <c r="Y1620">
        <v>170.4</v>
      </c>
      <c r="Z1620" s="2" t="str">
        <f>CHOOSE(MATCH(Y1620,{0;11;80;111;161;191;241;281;341},1),"North","NorthEast","East","SouthEast","South","SouthWest","West","NorthWest","North")</f>
        <v>South</v>
      </c>
      <c r="AA1620" s="4">
        <f>CHOOSE(MATCH(Z1620,{"South";"SouthEast";"SouthWest";"North";"NorthEast";"East";"West";"NorthWest"},0),1,2,3,4,5,6,7,8)</f>
        <v>1</v>
      </c>
      <c r="AB1620" s="2">
        <f t="shared" si="256"/>
        <v>0</v>
      </c>
      <c r="AC1620">
        <v>1013.3</v>
      </c>
      <c r="AD1620" t="s">
        <v>3326</v>
      </c>
      <c r="AE1620" s="2">
        <f t="shared" si="257"/>
        <v>1</v>
      </c>
      <c r="AF1620" t="s">
        <v>3803</v>
      </c>
      <c r="AG1620" s="2">
        <f t="shared" si="258"/>
        <v>2</v>
      </c>
      <c r="AH1620" s="2">
        <f t="shared" si="259"/>
        <v>0</v>
      </c>
      <c r="AI1620" s="3">
        <v>75.00000000349246</v>
      </c>
      <c r="AJ1620" s="2">
        <v>0</v>
      </c>
      <c r="AK1620">
        <v>0</v>
      </c>
      <c r="AL1620">
        <v>2</v>
      </c>
      <c r="AM1620">
        <v>0</v>
      </c>
      <c r="AN1620" s="2">
        <f>IF((2*G1620+M1620-O1620+3*V1620+2*AB1620+2*AE1620+2*AH1620+3*AJ1620)&gt;=7,1,0)</f>
        <v>0</v>
      </c>
    </row>
    <row r="1621" spans="1:40" x14ac:dyDescent="0.25">
      <c r="A1621" t="s">
        <v>27</v>
      </c>
      <c r="B1621" s="1">
        <v>41311</v>
      </c>
      <c r="C1621" s="6">
        <f t="shared" si="250"/>
        <v>2013</v>
      </c>
      <c r="D1621">
        <v>62.6</v>
      </c>
      <c r="E1621">
        <v>53.6</v>
      </c>
      <c r="F1621">
        <v>58.3</v>
      </c>
      <c r="G1621" s="2">
        <f t="shared" si="251"/>
        <v>0</v>
      </c>
      <c r="H1621">
        <v>62.6</v>
      </c>
      <c r="I1621">
        <v>53.6</v>
      </c>
      <c r="J1621">
        <v>58.3</v>
      </c>
      <c r="K1621">
        <v>53.5</v>
      </c>
      <c r="L1621">
        <v>84.4</v>
      </c>
      <c r="M1621" s="2">
        <f t="shared" si="252"/>
        <v>0</v>
      </c>
      <c r="N1621">
        <v>0.02</v>
      </c>
      <c r="O1621" s="2">
        <f t="shared" si="253"/>
        <v>0</v>
      </c>
      <c r="P1621">
        <v>100</v>
      </c>
      <c r="Q1621">
        <v>4.17</v>
      </c>
      <c r="R1621" t="s">
        <v>182</v>
      </c>
      <c r="S1621">
        <v>0</v>
      </c>
      <c r="T1621">
        <v>0</v>
      </c>
      <c r="U1621">
        <v>0</v>
      </c>
      <c r="V1621" s="2">
        <f t="shared" si="254"/>
        <v>0</v>
      </c>
      <c r="W1621">
        <v>18.3</v>
      </c>
      <c r="X1621" s="2">
        <f t="shared" si="255"/>
        <v>1</v>
      </c>
      <c r="Y1621">
        <v>318.60000000000002</v>
      </c>
      <c r="Z1621" s="2" t="str">
        <f>CHOOSE(MATCH(Y1621,{0;11;80;111;161;191;241;281;341},1),"North","NorthEast","East","SouthEast","South","SouthWest","West","NorthWest","North")</f>
        <v>NorthWest</v>
      </c>
      <c r="AA1621" s="4">
        <f>CHOOSE(MATCH(Z1621,{"South";"SouthEast";"SouthWest";"North";"NorthEast";"East";"West";"NorthWest"},0),1,2,3,4,5,6,7,8)</f>
        <v>8</v>
      </c>
      <c r="AB1621" s="2">
        <f t="shared" si="256"/>
        <v>1</v>
      </c>
      <c r="AC1621">
        <v>1008.2</v>
      </c>
      <c r="AD1621" t="s">
        <v>1191</v>
      </c>
      <c r="AE1621" s="2">
        <f t="shared" si="257"/>
        <v>0</v>
      </c>
      <c r="AF1621" t="s">
        <v>3804</v>
      </c>
      <c r="AG1621" s="2">
        <f t="shared" si="258"/>
        <v>2</v>
      </c>
      <c r="AH1621" s="2">
        <f t="shared" si="259"/>
        <v>0</v>
      </c>
      <c r="AI1621" s="3">
        <v>180</v>
      </c>
      <c r="AJ1621" s="2">
        <v>0</v>
      </c>
      <c r="AK1621">
        <v>0</v>
      </c>
      <c r="AL1621">
        <v>2</v>
      </c>
      <c r="AM1621">
        <v>0</v>
      </c>
      <c r="AN1621" s="2">
        <f>IF((2*G1621+M1621-O1621+3*V1621+2*AB1621+2*AE1621+2*AH1621+3*AJ1621)&gt;=7,1,0)</f>
        <v>0</v>
      </c>
    </row>
    <row r="1622" spans="1:40" x14ac:dyDescent="0.25">
      <c r="A1622" t="s">
        <v>27</v>
      </c>
      <c r="B1622" s="1">
        <v>41326</v>
      </c>
      <c r="C1622" s="6">
        <f t="shared" si="250"/>
        <v>2013</v>
      </c>
      <c r="D1622">
        <v>62.7</v>
      </c>
      <c r="E1622">
        <v>46.4</v>
      </c>
      <c r="F1622">
        <v>55</v>
      </c>
      <c r="G1622" s="2">
        <f t="shared" si="251"/>
        <v>0</v>
      </c>
      <c r="H1622">
        <v>62.7</v>
      </c>
      <c r="I1622">
        <v>41.5</v>
      </c>
      <c r="J1622">
        <v>53.7</v>
      </c>
      <c r="K1622">
        <v>46</v>
      </c>
      <c r="L1622">
        <v>72.7</v>
      </c>
      <c r="M1622" s="2">
        <f t="shared" si="252"/>
        <v>0</v>
      </c>
      <c r="N1622">
        <v>0</v>
      </c>
      <c r="O1622" s="2">
        <f t="shared" si="253"/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34.4</v>
      </c>
      <c r="V1622" s="2">
        <f t="shared" si="254"/>
        <v>1</v>
      </c>
      <c r="W1622">
        <v>25.3</v>
      </c>
      <c r="X1622" s="2">
        <f t="shared" si="255"/>
        <v>1</v>
      </c>
      <c r="Y1622">
        <v>163.9</v>
      </c>
      <c r="Z1622" s="2" t="str">
        <f>CHOOSE(MATCH(Y1622,{0;11;80;111;161;191;241;281;341},1),"North","NorthEast","East","SouthEast","South","SouthWest","West","NorthWest","North")</f>
        <v>South</v>
      </c>
      <c r="AA1622" s="4">
        <f>CHOOSE(MATCH(Z1622,{"South";"SouthEast";"SouthWest";"North";"NorthEast";"East";"West";"NorthWest"},0),1,2,3,4,5,6,7,8)</f>
        <v>1</v>
      </c>
      <c r="AB1622" s="2">
        <f t="shared" si="256"/>
        <v>0</v>
      </c>
      <c r="AC1622">
        <v>1012.5</v>
      </c>
      <c r="AD1622" t="s">
        <v>1171</v>
      </c>
      <c r="AE1622" s="2">
        <f t="shared" si="257"/>
        <v>0</v>
      </c>
      <c r="AF1622" t="s">
        <v>3805</v>
      </c>
      <c r="AG1622" s="2">
        <f t="shared" si="258"/>
        <v>2</v>
      </c>
      <c r="AH1622" s="2">
        <f t="shared" si="259"/>
        <v>0</v>
      </c>
      <c r="AI1622" s="3">
        <v>310.00000000465661</v>
      </c>
      <c r="AJ1622" s="2">
        <v>0</v>
      </c>
      <c r="AK1622">
        <v>0</v>
      </c>
      <c r="AL1622">
        <v>3</v>
      </c>
      <c r="AM1622">
        <v>0</v>
      </c>
      <c r="AN1622" s="2">
        <f>IF((2*G1622+M1622-O1622+3*V1622+2*AB1622+2*AE1622+2*AH1622+3*AJ1622)&gt;=7,1,0)</f>
        <v>0</v>
      </c>
    </row>
    <row r="1623" spans="1:40" x14ac:dyDescent="0.25">
      <c r="A1623" t="s">
        <v>27</v>
      </c>
      <c r="B1623" s="1">
        <v>41334</v>
      </c>
      <c r="C1623" s="6">
        <f t="shared" si="250"/>
        <v>2013</v>
      </c>
      <c r="D1623">
        <v>57.3</v>
      </c>
      <c r="E1623">
        <v>46.3</v>
      </c>
      <c r="F1623">
        <v>53.1</v>
      </c>
      <c r="G1623" s="2">
        <f t="shared" si="251"/>
        <v>0</v>
      </c>
      <c r="H1623">
        <v>57.3</v>
      </c>
      <c r="I1623">
        <v>42.4</v>
      </c>
      <c r="J1623">
        <v>52.8</v>
      </c>
      <c r="K1623">
        <v>43.8</v>
      </c>
      <c r="L1623">
        <v>71</v>
      </c>
      <c r="M1623" s="2">
        <f t="shared" si="252"/>
        <v>0</v>
      </c>
      <c r="N1623">
        <v>0</v>
      </c>
      <c r="O1623" s="2">
        <f t="shared" si="253"/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 s="2">
        <f t="shared" si="254"/>
        <v>0</v>
      </c>
      <c r="W1623">
        <v>17.2</v>
      </c>
      <c r="X1623" s="2">
        <f t="shared" si="255"/>
        <v>1</v>
      </c>
      <c r="Y1623">
        <v>321.39999999999998</v>
      </c>
      <c r="Z1623" s="2" t="str">
        <f>CHOOSE(MATCH(Y1623,{0;11;80;111;161;191;241;281;341},1),"North","NorthEast","East","SouthEast","South","SouthWest","West","NorthWest","North")</f>
        <v>NorthWest</v>
      </c>
      <c r="AA1623" s="4">
        <f>CHOOSE(MATCH(Z1623,{"South";"SouthEast";"SouthWest";"North";"NorthEast";"East";"West";"NorthWest"},0),1,2,3,4,5,6,7,8)</f>
        <v>8</v>
      </c>
      <c r="AB1623" s="2">
        <f t="shared" si="256"/>
        <v>1</v>
      </c>
      <c r="AC1623">
        <v>1018.2</v>
      </c>
      <c r="AD1623" t="s">
        <v>1906</v>
      </c>
      <c r="AE1623" s="2">
        <f t="shared" si="257"/>
        <v>0</v>
      </c>
      <c r="AF1623" t="s">
        <v>3806</v>
      </c>
      <c r="AG1623" s="2">
        <f t="shared" si="258"/>
        <v>3</v>
      </c>
      <c r="AH1623" s="2">
        <f t="shared" si="259"/>
        <v>0</v>
      </c>
      <c r="AI1623" s="3">
        <v>149.99999999650751</v>
      </c>
      <c r="AJ1623" s="2">
        <v>0</v>
      </c>
      <c r="AK1623">
        <v>0</v>
      </c>
      <c r="AL1623">
        <v>1.5</v>
      </c>
      <c r="AM1623">
        <v>0</v>
      </c>
      <c r="AN1623" s="2">
        <f>IF((2*G1623+M1623-O1623+3*V1623+2*AB1623+2*AE1623+2*AH1623+3*AJ1623)&gt;=7,1,0)</f>
        <v>0</v>
      </c>
    </row>
    <row r="1624" spans="1:40" x14ac:dyDescent="0.25">
      <c r="A1624" t="s">
        <v>27</v>
      </c>
      <c r="B1624" s="1">
        <v>41347</v>
      </c>
      <c r="C1624" s="6">
        <f t="shared" si="250"/>
        <v>2013</v>
      </c>
      <c r="D1624">
        <v>71.599999999999994</v>
      </c>
      <c r="E1624">
        <v>59</v>
      </c>
      <c r="F1624">
        <v>65.900000000000006</v>
      </c>
      <c r="G1624" s="2">
        <f t="shared" si="251"/>
        <v>0</v>
      </c>
      <c r="H1624">
        <v>71.599999999999994</v>
      </c>
      <c r="I1624">
        <v>59</v>
      </c>
      <c r="J1624">
        <v>65.900000000000006</v>
      </c>
      <c r="K1624">
        <v>43.9</v>
      </c>
      <c r="L1624">
        <v>47</v>
      </c>
      <c r="M1624" s="2">
        <f t="shared" si="252"/>
        <v>1</v>
      </c>
      <c r="N1624">
        <v>0</v>
      </c>
      <c r="O1624" s="2">
        <f t="shared" si="253"/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45</v>
      </c>
      <c r="V1624" s="2">
        <f t="shared" si="254"/>
        <v>1</v>
      </c>
      <c r="W1624">
        <v>32.200000000000003</v>
      </c>
      <c r="X1624" s="2">
        <f t="shared" si="255"/>
        <v>1</v>
      </c>
      <c r="Y1624">
        <v>174.7</v>
      </c>
      <c r="Z1624" s="2" t="str">
        <f>CHOOSE(MATCH(Y1624,{0;11;80;111;161;191;241;281;341},1),"North","NorthEast","East","SouthEast","South","SouthWest","West","NorthWest","North")</f>
        <v>South</v>
      </c>
      <c r="AA1624" s="4">
        <f>CHOOSE(MATCH(Z1624,{"South";"SouthEast";"SouthWest";"North";"NorthEast";"East";"West";"NorthWest"},0),1,2,3,4,5,6,7,8)</f>
        <v>1</v>
      </c>
      <c r="AB1624" s="2">
        <f t="shared" si="256"/>
        <v>0</v>
      </c>
      <c r="AC1624">
        <v>1001.5</v>
      </c>
      <c r="AD1624" t="s">
        <v>2111</v>
      </c>
      <c r="AE1624" s="2">
        <f t="shared" si="257"/>
        <v>0</v>
      </c>
      <c r="AF1624" t="s">
        <v>3807</v>
      </c>
      <c r="AG1624" s="2">
        <f t="shared" si="258"/>
        <v>3</v>
      </c>
      <c r="AH1624" s="2">
        <f t="shared" si="259"/>
        <v>0</v>
      </c>
      <c r="AI1624" s="3">
        <v>155.00000000232831</v>
      </c>
      <c r="AJ1624" s="2">
        <v>0</v>
      </c>
      <c r="AK1624">
        <v>0</v>
      </c>
      <c r="AL1624">
        <v>0.5</v>
      </c>
      <c r="AM1624">
        <v>0</v>
      </c>
      <c r="AN1624" s="2">
        <f>IF((2*G1624+M1624-O1624+3*V1624+2*AB1624+2*AE1624+2*AH1624+3*AJ1624)&gt;=7,1,0)</f>
        <v>0</v>
      </c>
    </row>
    <row r="1625" spans="1:40" x14ac:dyDescent="0.25">
      <c r="A1625" t="s">
        <v>27</v>
      </c>
      <c r="B1625" s="1">
        <v>41354</v>
      </c>
      <c r="C1625" s="6">
        <f t="shared" si="250"/>
        <v>2013</v>
      </c>
      <c r="D1625">
        <v>73.400000000000006</v>
      </c>
      <c r="E1625">
        <v>61.4</v>
      </c>
      <c r="F1625">
        <v>67.400000000000006</v>
      </c>
      <c r="G1625" s="2">
        <f t="shared" si="251"/>
        <v>0</v>
      </c>
      <c r="H1625">
        <v>73.400000000000006</v>
      </c>
      <c r="I1625">
        <v>61.4</v>
      </c>
      <c r="J1625">
        <v>67.400000000000006</v>
      </c>
      <c r="K1625">
        <v>46.3</v>
      </c>
      <c r="L1625">
        <v>47.5</v>
      </c>
      <c r="M1625" s="2">
        <f t="shared" si="252"/>
        <v>1</v>
      </c>
      <c r="N1625">
        <v>0</v>
      </c>
      <c r="O1625" s="2">
        <f t="shared" si="253"/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45</v>
      </c>
      <c r="V1625" s="2">
        <f t="shared" si="254"/>
        <v>1</v>
      </c>
      <c r="W1625">
        <v>39.1</v>
      </c>
      <c r="X1625" s="2">
        <f t="shared" si="255"/>
        <v>1</v>
      </c>
      <c r="Y1625">
        <v>177.5</v>
      </c>
      <c r="Z1625" s="2" t="str">
        <f>CHOOSE(MATCH(Y1625,{0;11;80;111;161;191;241;281;341},1),"North","NorthEast","East","SouthEast","South","SouthWest","West","NorthWest","North")</f>
        <v>South</v>
      </c>
      <c r="AA1625" s="4">
        <f>CHOOSE(MATCH(Z1625,{"South";"SouthEast";"SouthWest";"North";"NorthEast";"East";"West";"NorthWest"},0),1,2,3,4,5,6,7,8)</f>
        <v>1</v>
      </c>
      <c r="AB1625" s="2">
        <f t="shared" si="256"/>
        <v>0</v>
      </c>
      <c r="AC1625">
        <v>1005</v>
      </c>
      <c r="AD1625" t="s">
        <v>2508</v>
      </c>
      <c r="AE1625" s="2">
        <f t="shared" si="257"/>
        <v>0</v>
      </c>
      <c r="AF1625" t="s">
        <v>3808</v>
      </c>
      <c r="AG1625" s="2">
        <f t="shared" si="258"/>
        <v>3</v>
      </c>
      <c r="AH1625" s="2">
        <f t="shared" si="259"/>
        <v>0</v>
      </c>
      <c r="AI1625" s="3">
        <v>436.00000000675209</v>
      </c>
      <c r="AJ1625" s="2">
        <v>1</v>
      </c>
      <c r="AK1625">
        <v>0</v>
      </c>
      <c r="AL1625">
        <v>15</v>
      </c>
      <c r="AM1625">
        <v>0</v>
      </c>
      <c r="AN1625" s="2">
        <f>IF((2*G1625+M1625-O1625+3*V1625+2*AB1625+2*AE1625+2*AH1625+3*AJ1625)&gt;=7,1,0)</f>
        <v>0</v>
      </c>
    </row>
    <row r="1626" spans="1:40" x14ac:dyDescent="0.25">
      <c r="A1626" t="s">
        <v>27</v>
      </c>
      <c r="B1626" s="1">
        <v>41354</v>
      </c>
      <c r="C1626" s="6">
        <f t="shared" si="250"/>
        <v>2013</v>
      </c>
      <c r="D1626">
        <v>73.400000000000006</v>
      </c>
      <c r="E1626">
        <v>61.4</v>
      </c>
      <c r="F1626">
        <v>67.400000000000006</v>
      </c>
      <c r="G1626" s="2">
        <f t="shared" si="251"/>
        <v>0</v>
      </c>
      <c r="H1626">
        <v>73.400000000000006</v>
      </c>
      <c r="I1626">
        <v>61.4</v>
      </c>
      <c r="J1626">
        <v>67.400000000000006</v>
      </c>
      <c r="K1626">
        <v>46.3</v>
      </c>
      <c r="L1626">
        <v>47.5</v>
      </c>
      <c r="M1626" s="2">
        <f t="shared" si="252"/>
        <v>1</v>
      </c>
      <c r="N1626">
        <v>0</v>
      </c>
      <c r="O1626" s="2">
        <f t="shared" si="253"/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45</v>
      </c>
      <c r="V1626" s="2">
        <f t="shared" si="254"/>
        <v>1</v>
      </c>
      <c r="W1626">
        <v>39.1</v>
      </c>
      <c r="X1626" s="2">
        <f t="shared" si="255"/>
        <v>1</v>
      </c>
      <c r="Y1626">
        <v>177.5</v>
      </c>
      <c r="Z1626" s="2" t="str">
        <f>CHOOSE(MATCH(Y1626,{0;11;80;111;161;191;241;281;341},1),"North","NorthEast","East","SouthEast","South","SouthWest","West","NorthWest","North")</f>
        <v>South</v>
      </c>
      <c r="AA1626" s="4">
        <f>CHOOSE(MATCH(Z1626,{"South";"SouthEast";"SouthWest";"North";"NorthEast";"East";"West";"NorthWest"},0),1,2,3,4,5,6,7,8)</f>
        <v>1</v>
      </c>
      <c r="AB1626" s="2">
        <f t="shared" si="256"/>
        <v>0</v>
      </c>
      <c r="AC1626">
        <v>1005</v>
      </c>
      <c r="AD1626" t="s">
        <v>2459</v>
      </c>
      <c r="AE1626" s="2">
        <f t="shared" si="257"/>
        <v>0</v>
      </c>
      <c r="AF1626" t="s">
        <v>3809</v>
      </c>
      <c r="AG1626" s="2">
        <f t="shared" si="258"/>
        <v>3</v>
      </c>
      <c r="AH1626" s="2">
        <f t="shared" si="259"/>
        <v>0</v>
      </c>
      <c r="AI1626" s="3">
        <v>200.00000000232831</v>
      </c>
      <c r="AJ1626" s="2">
        <v>0</v>
      </c>
      <c r="AK1626">
        <v>0</v>
      </c>
      <c r="AL1626">
        <v>1.5</v>
      </c>
      <c r="AM1626">
        <v>0</v>
      </c>
      <c r="AN1626" s="2">
        <f>IF((2*G1626+M1626-O1626+3*V1626+2*AB1626+2*AE1626+2*AH1626+3*AJ1626)&gt;=7,1,0)</f>
        <v>0</v>
      </c>
    </row>
    <row r="1627" spans="1:40" x14ac:dyDescent="0.25">
      <c r="A1627" t="s">
        <v>27</v>
      </c>
      <c r="B1627" s="1">
        <v>41354</v>
      </c>
      <c r="C1627" s="6">
        <f t="shared" si="250"/>
        <v>2013</v>
      </c>
      <c r="D1627">
        <v>73.400000000000006</v>
      </c>
      <c r="E1627">
        <v>61.4</v>
      </c>
      <c r="F1627">
        <v>67.400000000000006</v>
      </c>
      <c r="G1627" s="2">
        <f t="shared" si="251"/>
        <v>0</v>
      </c>
      <c r="H1627">
        <v>73.400000000000006</v>
      </c>
      <c r="I1627">
        <v>61.4</v>
      </c>
      <c r="J1627">
        <v>67.400000000000006</v>
      </c>
      <c r="K1627">
        <v>46.3</v>
      </c>
      <c r="L1627">
        <v>47.5</v>
      </c>
      <c r="M1627" s="2">
        <f t="shared" si="252"/>
        <v>1</v>
      </c>
      <c r="N1627">
        <v>0</v>
      </c>
      <c r="O1627" s="2">
        <f t="shared" si="253"/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45</v>
      </c>
      <c r="V1627" s="2">
        <f t="shared" si="254"/>
        <v>1</v>
      </c>
      <c r="W1627">
        <v>39.1</v>
      </c>
      <c r="X1627" s="2">
        <f t="shared" si="255"/>
        <v>1</v>
      </c>
      <c r="Y1627">
        <v>177.5</v>
      </c>
      <c r="Z1627" s="2" t="str">
        <f>CHOOSE(MATCH(Y1627,{0;11;80;111;161;191;241;281;341},1),"North","NorthEast","East","SouthEast","South","SouthWest","West","NorthWest","North")</f>
        <v>South</v>
      </c>
      <c r="AA1627" s="4">
        <f>CHOOSE(MATCH(Z1627,{"South";"SouthEast";"SouthWest";"North";"NorthEast";"East";"West";"NorthWest"},0),1,2,3,4,5,6,7,8)</f>
        <v>1</v>
      </c>
      <c r="AB1627" s="2">
        <f t="shared" si="256"/>
        <v>0</v>
      </c>
      <c r="AC1627">
        <v>1005</v>
      </c>
      <c r="AD1627" t="s">
        <v>2343</v>
      </c>
      <c r="AE1627" s="2">
        <f t="shared" si="257"/>
        <v>0</v>
      </c>
      <c r="AF1627" t="s">
        <v>3810</v>
      </c>
      <c r="AG1627" s="2">
        <f t="shared" si="258"/>
        <v>3</v>
      </c>
      <c r="AH1627" s="2">
        <f t="shared" si="259"/>
        <v>0</v>
      </c>
      <c r="AI1627" s="3">
        <v>384.99999999767169</v>
      </c>
      <c r="AJ1627" s="2">
        <v>1</v>
      </c>
      <c r="AK1627">
        <v>0</v>
      </c>
      <c r="AL1627">
        <v>1</v>
      </c>
      <c r="AM1627">
        <v>0</v>
      </c>
      <c r="AN1627" s="2">
        <f>IF((2*G1627+M1627-O1627+3*V1627+2*AB1627+2*AE1627+2*AH1627+3*AJ1627)&gt;=7,1,0)</f>
        <v>0</v>
      </c>
    </row>
    <row r="1628" spans="1:40" x14ac:dyDescent="0.25">
      <c r="A1628" t="s">
        <v>27</v>
      </c>
      <c r="B1628" s="1">
        <v>41354</v>
      </c>
      <c r="C1628" s="6">
        <f t="shared" si="250"/>
        <v>2013</v>
      </c>
      <c r="D1628">
        <v>73.400000000000006</v>
      </c>
      <c r="E1628">
        <v>61.4</v>
      </c>
      <c r="F1628">
        <v>67.400000000000006</v>
      </c>
      <c r="G1628" s="2">
        <f t="shared" si="251"/>
        <v>0</v>
      </c>
      <c r="H1628">
        <v>73.400000000000006</v>
      </c>
      <c r="I1628">
        <v>61.4</v>
      </c>
      <c r="J1628">
        <v>67.400000000000006</v>
      </c>
      <c r="K1628">
        <v>46.3</v>
      </c>
      <c r="L1628">
        <v>47.5</v>
      </c>
      <c r="M1628" s="2">
        <f t="shared" si="252"/>
        <v>1</v>
      </c>
      <c r="N1628">
        <v>0</v>
      </c>
      <c r="O1628" s="2">
        <f t="shared" si="253"/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45</v>
      </c>
      <c r="V1628" s="2">
        <f t="shared" si="254"/>
        <v>1</v>
      </c>
      <c r="W1628">
        <v>39.1</v>
      </c>
      <c r="X1628" s="2">
        <f t="shared" si="255"/>
        <v>1</v>
      </c>
      <c r="Y1628">
        <v>177.5</v>
      </c>
      <c r="Z1628" s="2" t="str">
        <f>CHOOSE(MATCH(Y1628,{0;11;80;111;161;191;241;281;341},1),"North","NorthEast","East","SouthEast","South","SouthWest","West","NorthWest","North")</f>
        <v>South</v>
      </c>
      <c r="AA1628" s="4">
        <f>CHOOSE(MATCH(Z1628,{"South";"SouthEast";"SouthWest";"North";"NorthEast";"East";"West";"NorthWest"},0),1,2,3,4,5,6,7,8)</f>
        <v>1</v>
      </c>
      <c r="AB1628" s="2">
        <f t="shared" si="256"/>
        <v>0</v>
      </c>
      <c r="AC1628">
        <v>1005</v>
      </c>
      <c r="AD1628" t="s">
        <v>3811</v>
      </c>
      <c r="AE1628" s="2">
        <f t="shared" si="257"/>
        <v>0</v>
      </c>
      <c r="AF1628" t="s">
        <v>3812</v>
      </c>
      <c r="AG1628" s="2">
        <f t="shared" si="258"/>
        <v>3</v>
      </c>
      <c r="AH1628" s="2">
        <f t="shared" si="259"/>
        <v>0</v>
      </c>
      <c r="AI1628" s="3">
        <v>1284.9999999976719</v>
      </c>
      <c r="AJ1628" s="2">
        <v>1</v>
      </c>
      <c r="AK1628">
        <v>0</v>
      </c>
      <c r="AL1628">
        <v>40</v>
      </c>
      <c r="AM1628">
        <v>0</v>
      </c>
      <c r="AN1628" s="2">
        <f>IF((2*G1628+M1628-O1628+3*V1628+2*AB1628+2*AE1628+2*AH1628+3*AJ1628)&gt;=7,1,0)</f>
        <v>0</v>
      </c>
    </row>
    <row r="1629" spans="1:40" x14ac:dyDescent="0.25">
      <c r="A1629" t="s">
        <v>27</v>
      </c>
      <c r="B1629" s="1">
        <v>41354</v>
      </c>
      <c r="C1629" s="6">
        <f t="shared" si="250"/>
        <v>2013</v>
      </c>
      <c r="D1629">
        <v>73.400000000000006</v>
      </c>
      <c r="E1629">
        <v>61.4</v>
      </c>
      <c r="F1629">
        <v>67.400000000000006</v>
      </c>
      <c r="G1629" s="2">
        <f t="shared" si="251"/>
        <v>0</v>
      </c>
      <c r="H1629">
        <v>73.400000000000006</v>
      </c>
      <c r="I1629">
        <v>61.4</v>
      </c>
      <c r="J1629">
        <v>67.400000000000006</v>
      </c>
      <c r="K1629">
        <v>46.3</v>
      </c>
      <c r="L1629">
        <v>47.5</v>
      </c>
      <c r="M1629" s="2">
        <f t="shared" si="252"/>
        <v>1</v>
      </c>
      <c r="N1629">
        <v>0</v>
      </c>
      <c r="O1629" s="2">
        <f t="shared" si="253"/>
        <v>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45</v>
      </c>
      <c r="V1629" s="2">
        <f t="shared" si="254"/>
        <v>1</v>
      </c>
      <c r="W1629">
        <v>39.1</v>
      </c>
      <c r="X1629" s="2">
        <f t="shared" si="255"/>
        <v>1</v>
      </c>
      <c r="Y1629">
        <v>177.5</v>
      </c>
      <c r="Z1629" s="2" t="str">
        <f>CHOOSE(MATCH(Y1629,{0;11;80;111;161;191;241;281;341},1),"North","NorthEast","East","SouthEast","South","SouthWest","West","NorthWest","North")</f>
        <v>South</v>
      </c>
      <c r="AA1629" s="4">
        <f>CHOOSE(MATCH(Z1629,{"South";"SouthEast";"SouthWest";"North";"NorthEast";"East";"West";"NorthWest"},0),1,2,3,4,5,6,7,8)</f>
        <v>1</v>
      </c>
      <c r="AB1629" s="2">
        <f t="shared" si="256"/>
        <v>0</v>
      </c>
      <c r="AC1629">
        <v>1005</v>
      </c>
      <c r="AD1629" t="s">
        <v>2343</v>
      </c>
      <c r="AE1629" s="2">
        <f t="shared" si="257"/>
        <v>0</v>
      </c>
      <c r="AF1629" t="s">
        <v>3810</v>
      </c>
      <c r="AG1629" s="2">
        <f t="shared" si="258"/>
        <v>3</v>
      </c>
      <c r="AH1629" s="2">
        <f t="shared" si="259"/>
        <v>0</v>
      </c>
      <c r="AI1629" s="3">
        <v>120.0000000034925</v>
      </c>
      <c r="AJ1629" s="2">
        <v>0</v>
      </c>
      <c r="AK1629">
        <v>0</v>
      </c>
      <c r="AL1629">
        <v>2.5</v>
      </c>
      <c r="AM1629">
        <v>0</v>
      </c>
      <c r="AN1629" s="2">
        <f>IF((2*G1629+M1629-O1629+3*V1629+2*AB1629+2*AE1629+2*AH1629+3*AJ1629)&gt;=7,1,0)</f>
        <v>0</v>
      </c>
    </row>
    <row r="1630" spans="1:40" x14ac:dyDescent="0.25">
      <c r="A1630" t="s">
        <v>27</v>
      </c>
      <c r="B1630" s="1">
        <v>41356</v>
      </c>
      <c r="C1630" s="6">
        <f t="shared" si="250"/>
        <v>2013</v>
      </c>
      <c r="D1630">
        <v>64.400000000000006</v>
      </c>
      <c r="E1630">
        <v>50</v>
      </c>
      <c r="F1630">
        <v>57.5</v>
      </c>
      <c r="G1630" s="2">
        <f t="shared" si="251"/>
        <v>0</v>
      </c>
      <c r="H1630">
        <v>64.400000000000006</v>
      </c>
      <c r="I1630">
        <v>50</v>
      </c>
      <c r="J1630">
        <v>57.5</v>
      </c>
      <c r="K1630">
        <v>42.9</v>
      </c>
      <c r="L1630">
        <v>58.7</v>
      </c>
      <c r="M1630" s="2">
        <f t="shared" si="252"/>
        <v>1</v>
      </c>
      <c r="N1630">
        <v>0</v>
      </c>
      <c r="O1630" s="2">
        <f t="shared" si="253"/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 s="2">
        <f t="shared" si="254"/>
        <v>0</v>
      </c>
      <c r="W1630">
        <v>18.3</v>
      </c>
      <c r="X1630" s="2">
        <f t="shared" si="255"/>
        <v>1</v>
      </c>
      <c r="Y1630">
        <v>290.8</v>
      </c>
      <c r="Z1630" s="2" t="str">
        <f>CHOOSE(MATCH(Y1630,{0;11;80;111;161;191;241;281;341},1),"North","NorthEast","East","SouthEast","South","SouthWest","West","NorthWest","North")</f>
        <v>NorthWest</v>
      </c>
      <c r="AA1630" s="4">
        <f>CHOOSE(MATCH(Z1630,{"South";"SouthEast";"SouthWest";"North";"NorthEast";"East";"West";"NorthWest"},0),1,2,3,4,5,6,7,8)</f>
        <v>8</v>
      </c>
      <c r="AB1630" s="2">
        <f t="shared" si="256"/>
        <v>1</v>
      </c>
      <c r="AC1630">
        <v>1012.6</v>
      </c>
      <c r="AD1630" t="s">
        <v>1264</v>
      </c>
      <c r="AE1630" s="2">
        <f t="shared" si="257"/>
        <v>1</v>
      </c>
      <c r="AF1630" t="s">
        <v>3813</v>
      </c>
      <c r="AG1630" s="2">
        <f t="shared" si="258"/>
        <v>3</v>
      </c>
      <c r="AH1630" s="2">
        <f t="shared" si="259"/>
        <v>0</v>
      </c>
      <c r="AI1630" s="3">
        <v>39.999999994179227</v>
      </c>
      <c r="AJ1630" s="2">
        <v>0</v>
      </c>
      <c r="AK1630">
        <v>1</v>
      </c>
      <c r="AL1630">
        <v>0</v>
      </c>
      <c r="AM1630">
        <v>0</v>
      </c>
      <c r="AN1630" s="2">
        <f>IF((2*G1630+M1630-O1630+3*V1630+2*AB1630+2*AE1630+2*AH1630+3*AJ1630)&gt;=7,1,0)</f>
        <v>0</v>
      </c>
    </row>
    <row r="1631" spans="1:40" x14ac:dyDescent="0.25">
      <c r="A1631" t="s">
        <v>27</v>
      </c>
      <c r="B1631" s="1">
        <v>41358</v>
      </c>
      <c r="C1631" s="6">
        <f t="shared" si="250"/>
        <v>2013</v>
      </c>
      <c r="D1631">
        <v>69.900000000000006</v>
      </c>
      <c r="E1631">
        <v>57.2</v>
      </c>
      <c r="F1631">
        <v>63.9</v>
      </c>
      <c r="G1631" s="2">
        <f t="shared" si="251"/>
        <v>0</v>
      </c>
      <c r="H1631">
        <v>69.900000000000006</v>
      </c>
      <c r="I1631">
        <v>57.2</v>
      </c>
      <c r="J1631">
        <v>63.9</v>
      </c>
      <c r="K1631">
        <v>44.8</v>
      </c>
      <c r="L1631">
        <v>50.4</v>
      </c>
      <c r="M1631" s="2">
        <f t="shared" si="252"/>
        <v>1</v>
      </c>
      <c r="N1631">
        <v>0</v>
      </c>
      <c r="O1631" s="2">
        <f t="shared" si="253"/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47.2</v>
      </c>
      <c r="V1631" s="2">
        <f t="shared" si="254"/>
        <v>1</v>
      </c>
      <c r="W1631">
        <v>35.6</v>
      </c>
      <c r="X1631" s="2">
        <f t="shared" si="255"/>
        <v>1</v>
      </c>
      <c r="Y1631">
        <v>184.9</v>
      </c>
      <c r="Z1631" s="2" t="str">
        <f>CHOOSE(MATCH(Y1631,{0;11;80;111;161;191;241;281;341},1),"North","NorthEast","East","SouthEast","South","SouthWest","West","NorthWest","North")</f>
        <v>South</v>
      </c>
      <c r="AA1631" s="4">
        <f>CHOOSE(MATCH(Z1631,{"South";"SouthEast";"SouthWest";"North";"NorthEast";"East";"West";"NorthWest"},0),1,2,3,4,5,6,7,8)</f>
        <v>1</v>
      </c>
      <c r="AB1631" s="2">
        <f t="shared" si="256"/>
        <v>0</v>
      </c>
      <c r="AC1631">
        <v>1008.7</v>
      </c>
      <c r="AD1631" t="s">
        <v>1161</v>
      </c>
      <c r="AE1631" s="2">
        <f t="shared" si="257"/>
        <v>0</v>
      </c>
      <c r="AF1631" t="s">
        <v>3814</v>
      </c>
      <c r="AG1631" s="2">
        <f t="shared" si="258"/>
        <v>3</v>
      </c>
      <c r="AH1631" s="2">
        <f t="shared" si="259"/>
        <v>0</v>
      </c>
      <c r="AI1631" s="3">
        <v>3420</v>
      </c>
      <c r="AJ1631" s="2">
        <v>1</v>
      </c>
      <c r="AK1631">
        <v>0</v>
      </c>
      <c r="AL1631">
        <v>0.4</v>
      </c>
      <c r="AM1631">
        <v>0</v>
      </c>
      <c r="AN1631" s="2">
        <f>IF((2*G1631+M1631-O1631+3*V1631+2*AB1631+2*AE1631+2*AH1631+3*AJ1631)&gt;=7,1,0)</f>
        <v>0</v>
      </c>
    </row>
    <row r="1632" spans="1:40" x14ac:dyDescent="0.25">
      <c r="A1632" t="s">
        <v>27</v>
      </c>
      <c r="B1632" s="1">
        <v>41358</v>
      </c>
      <c r="C1632" s="6">
        <f t="shared" si="250"/>
        <v>2013</v>
      </c>
      <c r="D1632">
        <v>69.900000000000006</v>
      </c>
      <c r="E1632">
        <v>57.2</v>
      </c>
      <c r="F1632">
        <v>63.9</v>
      </c>
      <c r="G1632" s="2">
        <f t="shared" si="251"/>
        <v>0</v>
      </c>
      <c r="H1632">
        <v>69.900000000000006</v>
      </c>
      <c r="I1632">
        <v>57.2</v>
      </c>
      <c r="J1632">
        <v>63.9</v>
      </c>
      <c r="K1632">
        <v>44.8</v>
      </c>
      <c r="L1632">
        <v>50.4</v>
      </c>
      <c r="M1632" s="2">
        <f t="shared" si="252"/>
        <v>1</v>
      </c>
      <c r="N1632">
        <v>0</v>
      </c>
      <c r="O1632" s="2">
        <f t="shared" si="253"/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47.2</v>
      </c>
      <c r="V1632" s="2">
        <f t="shared" si="254"/>
        <v>1</v>
      </c>
      <c r="W1632">
        <v>35.6</v>
      </c>
      <c r="X1632" s="2">
        <f t="shared" si="255"/>
        <v>1</v>
      </c>
      <c r="Y1632">
        <v>184.9</v>
      </c>
      <c r="Z1632" s="2" t="str">
        <f>CHOOSE(MATCH(Y1632,{0;11;80;111;161;191;241;281;341},1),"North","NorthEast","East","SouthEast","South","SouthWest","West","NorthWest","North")</f>
        <v>South</v>
      </c>
      <c r="AA1632" s="4">
        <f>CHOOSE(MATCH(Z1632,{"South";"SouthEast";"SouthWest";"North";"NorthEast";"East";"West";"NorthWest"},0),1,2,3,4,5,6,7,8)</f>
        <v>1</v>
      </c>
      <c r="AB1632" s="2">
        <f t="shared" si="256"/>
        <v>0</v>
      </c>
      <c r="AC1632">
        <v>1008.7</v>
      </c>
      <c r="AD1632" t="s">
        <v>2085</v>
      </c>
      <c r="AE1632" s="2">
        <f t="shared" si="257"/>
        <v>0</v>
      </c>
      <c r="AF1632" t="s">
        <v>3815</v>
      </c>
      <c r="AG1632" s="2">
        <f t="shared" si="258"/>
        <v>3</v>
      </c>
      <c r="AH1632" s="2">
        <f t="shared" si="259"/>
        <v>0</v>
      </c>
      <c r="AI1632" s="3">
        <v>1535.999999998603</v>
      </c>
      <c r="AJ1632" s="2">
        <v>1</v>
      </c>
      <c r="AK1632">
        <v>0</v>
      </c>
      <c r="AL1632">
        <v>15</v>
      </c>
      <c r="AM1632">
        <v>0</v>
      </c>
      <c r="AN1632" s="2">
        <f>IF((2*G1632+M1632-O1632+3*V1632+2*AB1632+2*AE1632+2*AH1632+3*AJ1632)&gt;=7,1,0)</f>
        <v>0</v>
      </c>
    </row>
    <row r="1633" spans="1:40" x14ac:dyDescent="0.25">
      <c r="A1633" t="s">
        <v>27</v>
      </c>
      <c r="B1633" s="1">
        <v>41358</v>
      </c>
      <c r="C1633" s="6">
        <f t="shared" si="250"/>
        <v>2013</v>
      </c>
      <c r="D1633">
        <v>69.900000000000006</v>
      </c>
      <c r="E1633">
        <v>57.2</v>
      </c>
      <c r="F1633">
        <v>63.9</v>
      </c>
      <c r="G1633" s="2">
        <f t="shared" si="251"/>
        <v>0</v>
      </c>
      <c r="H1633">
        <v>69.900000000000006</v>
      </c>
      <c r="I1633">
        <v>57.2</v>
      </c>
      <c r="J1633">
        <v>63.9</v>
      </c>
      <c r="K1633">
        <v>44.8</v>
      </c>
      <c r="L1633">
        <v>50.4</v>
      </c>
      <c r="M1633" s="2">
        <f t="shared" si="252"/>
        <v>1</v>
      </c>
      <c r="N1633">
        <v>0</v>
      </c>
      <c r="O1633" s="2">
        <f t="shared" si="253"/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47.2</v>
      </c>
      <c r="V1633" s="2">
        <f t="shared" si="254"/>
        <v>1</v>
      </c>
      <c r="W1633">
        <v>35.6</v>
      </c>
      <c r="X1633" s="2">
        <f t="shared" si="255"/>
        <v>1</v>
      </c>
      <c r="Y1633">
        <v>184.9</v>
      </c>
      <c r="Z1633" s="2" t="str">
        <f>CHOOSE(MATCH(Y1633,{0;11;80;111;161;191;241;281;341},1),"North","NorthEast","East","SouthEast","South","SouthWest","West","NorthWest","North")</f>
        <v>South</v>
      </c>
      <c r="AA1633" s="4">
        <f>CHOOSE(MATCH(Z1633,{"South";"SouthEast";"SouthWest";"North";"NorthEast";"East";"West";"NorthWest"},0),1,2,3,4,5,6,7,8)</f>
        <v>1</v>
      </c>
      <c r="AB1633" s="2">
        <f t="shared" si="256"/>
        <v>0</v>
      </c>
      <c r="AC1633">
        <v>1008.7</v>
      </c>
      <c r="AD1633" t="s">
        <v>2150</v>
      </c>
      <c r="AE1633" s="2">
        <f t="shared" si="257"/>
        <v>0</v>
      </c>
      <c r="AF1633" t="s">
        <v>3816</v>
      </c>
      <c r="AG1633" s="2">
        <f t="shared" si="258"/>
        <v>3</v>
      </c>
      <c r="AH1633" s="2">
        <f t="shared" si="259"/>
        <v>0</v>
      </c>
      <c r="AI1633" s="3">
        <v>169.99999999883579</v>
      </c>
      <c r="AJ1633" s="2">
        <v>0</v>
      </c>
      <c r="AK1633">
        <v>0</v>
      </c>
      <c r="AL1633">
        <v>4</v>
      </c>
      <c r="AM1633">
        <v>0</v>
      </c>
      <c r="AN1633" s="2">
        <f>IF((2*G1633+M1633-O1633+3*V1633+2*AB1633+2*AE1633+2*AH1633+3*AJ1633)&gt;=7,1,0)</f>
        <v>0</v>
      </c>
    </row>
    <row r="1634" spans="1:40" x14ac:dyDescent="0.25">
      <c r="A1634" t="s">
        <v>27</v>
      </c>
      <c r="B1634" s="1">
        <v>41358</v>
      </c>
      <c r="C1634" s="6">
        <f t="shared" si="250"/>
        <v>2013</v>
      </c>
      <c r="D1634">
        <v>69.900000000000006</v>
      </c>
      <c r="E1634">
        <v>57.2</v>
      </c>
      <c r="F1634">
        <v>63.9</v>
      </c>
      <c r="G1634" s="2">
        <f t="shared" si="251"/>
        <v>0</v>
      </c>
      <c r="H1634">
        <v>69.900000000000006</v>
      </c>
      <c r="I1634">
        <v>57.2</v>
      </c>
      <c r="J1634">
        <v>63.9</v>
      </c>
      <c r="K1634">
        <v>44.8</v>
      </c>
      <c r="L1634">
        <v>50.4</v>
      </c>
      <c r="M1634" s="2">
        <f t="shared" si="252"/>
        <v>1</v>
      </c>
      <c r="N1634">
        <v>0</v>
      </c>
      <c r="O1634" s="2">
        <f t="shared" si="253"/>
        <v>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47.2</v>
      </c>
      <c r="V1634" s="2">
        <f t="shared" si="254"/>
        <v>1</v>
      </c>
      <c r="W1634">
        <v>35.6</v>
      </c>
      <c r="X1634" s="2">
        <f t="shared" si="255"/>
        <v>1</v>
      </c>
      <c r="Y1634">
        <v>184.9</v>
      </c>
      <c r="Z1634" s="2" t="str">
        <f>CHOOSE(MATCH(Y1634,{0;11;80;111;161;191;241;281;341},1),"North","NorthEast","East","SouthEast","South","SouthWest","West","NorthWest","North")</f>
        <v>South</v>
      </c>
      <c r="AA1634" s="4">
        <f>CHOOSE(MATCH(Z1634,{"South";"SouthEast";"SouthWest";"North";"NorthEast";"East";"West";"NorthWest"},0),1,2,3,4,5,6,7,8)</f>
        <v>1</v>
      </c>
      <c r="AB1634" s="2">
        <f t="shared" si="256"/>
        <v>0</v>
      </c>
      <c r="AC1634">
        <v>1008.7</v>
      </c>
      <c r="AD1634" t="s">
        <v>1988</v>
      </c>
      <c r="AE1634" s="2">
        <f t="shared" si="257"/>
        <v>0</v>
      </c>
      <c r="AF1634" t="s">
        <v>3817</v>
      </c>
      <c r="AG1634" s="2">
        <f t="shared" si="258"/>
        <v>3</v>
      </c>
      <c r="AH1634" s="2">
        <f t="shared" si="259"/>
        <v>0</v>
      </c>
      <c r="AI1634" s="3">
        <v>304.99999999883579</v>
      </c>
      <c r="AJ1634" s="2">
        <v>0</v>
      </c>
      <c r="AK1634">
        <v>0</v>
      </c>
      <c r="AL1634">
        <v>0.5</v>
      </c>
      <c r="AM1634">
        <v>0</v>
      </c>
      <c r="AN1634" s="2">
        <f>IF((2*G1634+M1634-O1634+3*V1634+2*AB1634+2*AE1634+2*AH1634+3*AJ1634)&gt;=7,1,0)</f>
        <v>0</v>
      </c>
    </row>
    <row r="1635" spans="1:40" x14ac:dyDescent="0.25">
      <c r="A1635" t="s">
        <v>27</v>
      </c>
      <c r="B1635" s="1">
        <v>41358</v>
      </c>
      <c r="C1635" s="6">
        <f t="shared" si="250"/>
        <v>2013</v>
      </c>
      <c r="D1635">
        <v>69.900000000000006</v>
      </c>
      <c r="E1635">
        <v>57.2</v>
      </c>
      <c r="F1635">
        <v>63.9</v>
      </c>
      <c r="G1635" s="2">
        <f t="shared" si="251"/>
        <v>0</v>
      </c>
      <c r="H1635">
        <v>69.900000000000006</v>
      </c>
      <c r="I1635">
        <v>57.2</v>
      </c>
      <c r="J1635">
        <v>63.9</v>
      </c>
      <c r="K1635">
        <v>44.8</v>
      </c>
      <c r="L1635">
        <v>50.4</v>
      </c>
      <c r="M1635" s="2">
        <f t="shared" si="252"/>
        <v>1</v>
      </c>
      <c r="N1635">
        <v>0</v>
      </c>
      <c r="O1635" s="2">
        <f t="shared" si="253"/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47.2</v>
      </c>
      <c r="V1635" s="2">
        <f t="shared" si="254"/>
        <v>1</v>
      </c>
      <c r="W1635">
        <v>35.6</v>
      </c>
      <c r="X1635" s="2">
        <f t="shared" si="255"/>
        <v>1</v>
      </c>
      <c r="Y1635">
        <v>184.9</v>
      </c>
      <c r="Z1635" s="2" t="str">
        <f>CHOOSE(MATCH(Y1635,{0;11;80;111;161;191;241;281;341},1),"North","NorthEast","East","SouthEast","South","SouthWest","West","NorthWest","North")</f>
        <v>South</v>
      </c>
      <c r="AA1635" s="4">
        <f>CHOOSE(MATCH(Z1635,{"South";"SouthEast";"SouthWest";"North";"NorthEast";"East";"West";"NorthWest"},0),1,2,3,4,5,6,7,8)</f>
        <v>1</v>
      </c>
      <c r="AB1635" s="2">
        <f t="shared" si="256"/>
        <v>0</v>
      </c>
      <c r="AC1635">
        <v>1008.7</v>
      </c>
      <c r="AD1635" t="s">
        <v>3818</v>
      </c>
      <c r="AE1635" s="2">
        <f t="shared" si="257"/>
        <v>0</v>
      </c>
      <c r="AF1635" t="s">
        <v>3819</v>
      </c>
      <c r="AG1635" s="2">
        <f t="shared" si="258"/>
        <v>3</v>
      </c>
      <c r="AH1635" s="2">
        <f t="shared" si="259"/>
        <v>0</v>
      </c>
      <c r="AI1635" s="3">
        <v>169.99999999883579</v>
      </c>
      <c r="AJ1635" s="2">
        <v>0</v>
      </c>
      <c r="AK1635">
        <v>0</v>
      </c>
      <c r="AL1635">
        <v>0.5</v>
      </c>
      <c r="AM1635">
        <v>0</v>
      </c>
      <c r="AN1635" s="2">
        <f>IF((2*G1635+M1635-O1635+3*V1635+2*AB1635+2*AE1635+2*AH1635+3*AJ1635)&gt;=7,1,0)</f>
        <v>0</v>
      </c>
    </row>
    <row r="1636" spans="1:40" x14ac:dyDescent="0.25">
      <c r="A1636" t="s">
        <v>27</v>
      </c>
      <c r="B1636" s="1">
        <v>41358</v>
      </c>
      <c r="C1636" s="6">
        <f t="shared" si="250"/>
        <v>2013</v>
      </c>
      <c r="D1636">
        <v>69.900000000000006</v>
      </c>
      <c r="E1636">
        <v>57.2</v>
      </c>
      <c r="F1636">
        <v>63.9</v>
      </c>
      <c r="G1636" s="2">
        <f t="shared" si="251"/>
        <v>0</v>
      </c>
      <c r="H1636">
        <v>69.900000000000006</v>
      </c>
      <c r="I1636">
        <v>57.2</v>
      </c>
      <c r="J1636">
        <v>63.9</v>
      </c>
      <c r="K1636">
        <v>44.8</v>
      </c>
      <c r="L1636">
        <v>50.4</v>
      </c>
      <c r="M1636" s="2">
        <f t="shared" si="252"/>
        <v>1</v>
      </c>
      <c r="N1636">
        <v>0</v>
      </c>
      <c r="O1636" s="2">
        <f t="shared" si="253"/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47.2</v>
      </c>
      <c r="V1636" s="2">
        <f t="shared" si="254"/>
        <v>1</v>
      </c>
      <c r="W1636">
        <v>35.6</v>
      </c>
      <c r="X1636" s="2">
        <f t="shared" si="255"/>
        <v>1</v>
      </c>
      <c r="Y1636">
        <v>184.9</v>
      </c>
      <c r="Z1636" s="2" t="str">
        <f>CHOOSE(MATCH(Y1636,{0;11;80;111;161;191;241;281;341},1),"North","NorthEast","East","SouthEast","South","SouthWest","West","NorthWest","North")</f>
        <v>South</v>
      </c>
      <c r="AA1636" s="4">
        <f>CHOOSE(MATCH(Z1636,{"South";"SouthEast";"SouthWest";"North";"NorthEast";"East";"West";"NorthWest"},0),1,2,3,4,5,6,7,8)</f>
        <v>1</v>
      </c>
      <c r="AB1636" s="2">
        <f t="shared" si="256"/>
        <v>0</v>
      </c>
      <c r="AC1636">
        <v>1008.7</v>
      </c>
      <c r="AD1636" t="s">
        <v>1254</v>
      </c>
      <c r="AE1636" s="2">
        <f t="shared" si="257"/>
        <v>1</v>
      </c>
      <c r="AF1636" t="s">
        <v>3820</v>
      </c>
      <c r="AG1636" s="2">
        <f t="shared" si="258"/>
        <v>3</v>
      </c>
      <c r="AH1636" s="2">
        <f t="shared" si="259"/>
        <v>0</v>
      </c>
      <c r="AI1636" s="3">
        <v>1380.000000003492</v>
      </c>
      <c r="AJ1636" s="2">
        <v>1</v>
      </c>
      <c r="AK1636">
        <v>0</v>
      </c>
      <c r="AL1636">
        <v>10</v>
      </c>
      <c r="AM1636">
        <v>0</v>
      </c>
      <c r="AN1636" s="2">
        <f>IF((2*G1636+M1636-O1636+3*V1636+2*AB1636+2*AE1636+2*AH1636+3*AJ1636)&gt;=7,1,0)</f>
        <v>1</v>
      </c>
    </row>
    <row r="1637" spans="1:40" x14ac:dyDescent="0.25">
      <c r="A1637" t="s">
        <v>27</v>
      </c>
      <c r="B1637" s="1">
        <v>41360</v>
      </c>
      <c r="C1637" s="6">
        <f t="shared" si="250"/>
        <v>2013</v>
      </c>
      <c r="D1637">
        <v>68</v>
      </c>
      <c r="E1637">
        <v>53.6</v>
      </c>
      <c r="F1637">
        <v>60.6</v>
      </c>
      <c r="G1637" s="2">
        <f t="shared" si="251"/>
        <v>0</v>
      </c>
      <c r="H1637">
        <v>68</v>
      </c>
      <c r="I1637">
        <v>53.6</v>
      </c>
      <c r="J1637">
        <v>60.6</v>
      </c>
      <c r="K1637">
        <v>50.2</v>
      </c>
      <c r="L1637">
        <v>69.400000000000006</v>
      </c>
      <c r="M1637" s="2">
        <f t="shared" si="252"/>
        <v>0</v>
      </c>
      <c r="N1637">
        <v>0</v>
      </c>
      <c r="O1637" s="2">
        <f t="shared" si="253"/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 s="2">
        <f t="shared" si="254"/>
        <v>0</v>
      </c>
      <c r="W1637">
        <v>11.4</v>
      </c>
      <c r="X1637" s="2">
        <f t="shared" si="255"/>
        <v>0</v>
      </c>
      <c r="Y1637">
        <v>161.69999999999999</v>
      </c>
      <c r="Z1637" s="2" t="str">
        <f>CHOOSE(MATCH(Y1637,{0;11;80;111;161;191;241;281;341},1),"North","NorthEast","East","SouthEast","South","SouthWest","West","NorthWest","North")</f>
        <v>South</v>
      </c>
      <c r="AA1637" s="4">
        <f>CHOOSE(MATCH(Z1637,{"South";"SouthEast";"SouthWest";"North";"NorthEast";"East";"West";"NorthWest"},0),1,2,3,4,5,6,7,8)</f>
        <v>1</v>
      </c>
      <c r="AB1637" s="2">
        <f t="shared" si="256"/>
        <v>0</v>
      </c>
      <c r="AC1637">
        <v>1009.2</v>
      </c>
      <c r="AD1637" t="s">
        <v>1103</v>
      </c>
      <c r="AE1637" s="2">
        <f t="shared" si="257"/>
        <v>1</v>
      </c>
      <c r="AF1637" t="s">
        <v>3821</v>
      </c>
      <c r="AG1637" s="2">
        <f t="shared" si="258"/>
        <v>3</v>
      </c>
      <c r="AH1637" s="2">
        <f t="shared" si="259"/>
        <v>0</v>
      </c>
      <c r="AI1637" s="3">
        <v>304.99999999883579</v>
      </c>
      <c r="AJ1637" s="2">
        <v>0</v>
      </c>
      <c r="AK1637">
        <v>0</v>
      </c>
      <c r="AL1637">
        <v>25</v>
      </c>
      <c r="AM1637">
        <v>0</v>
      </c>
      <c r="AN1637" s="2">
        <f>IF((2*G1637+M1637-O1637+3*V1637+2*AB1637+2*AE1637+2*AH1637+3*AJ1637)&gt;=7,1,0)</f>
        <v>0</v>
      </c>
    </row>
    <row r="1638" spans="1:40" x14ac:dyDescent="0.25">
      <c r="A1638" t="s">
        <v>27</v>
      </c>
      <c r="B1638" s="1">
        <v>41363</v>
      </c>
      <c r="C1638" s="6">
        <f t="shared" si="250"/>
        <v>2013</v>
      </c>
      <c r="D1638">
        <v>75.2</v>
      </c>
      <c r="E1638">
        <v>59.1</v>
      </c>
      <c r="F1638">
        <v>68.400000000000006</v>
      </c>
      <c r="G1638" s="2">
        <f t="shared" si="251"/>
        <v>0</v>
      </c>
      <c r="H1638">
        <v>75.2</v>
      </c>
      <c r="I1638">
        <v>59.1</v>
      </c>
      <c r="J1638">
        <v>68.400000000000006</v>
      </c>
      <c r="K1638">
        <v>46.6</v>
      </c>
      <c r="L1638">
        <v>47.3</v>
      </c>
      <c r="M1638" s="2">
        <f t="shared" si="252"/>
        <v>1</v>
      </c>
      <c r="N1638">
        <v>0</v>
      </c>
      <c r="O1638" s="2">
        <f t="shared" si="253"/>
        <v>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 s="2">
        <f t="shared" si="254"/>
        <v>0</v>
      </c>
      <c r="W1638">
        <v>23</v>
      </c>
      <c r="X1638" s="2">
        <f t="shared" si="255"/>
        <v>1</v>
      </c>
      <c r="Y1638">
        <v>159.30000000000001</v>
      </c>
      <c r="Z1638" s="2" t="str">
        <f>CHOOSE(MATCH(Y1638,{0;11;80;111;161;191;241;281;341},1),"North","NorthEast","East","SouthEast","South","SouthWest","West","NorthWest","North")</f>
        <v>SouthEast</v>
      </c>
      <c r="AA1638" s="4">
        <f>CHOOSE(MATCH(Z1638,{"South";"SouthEast";"SouthWest";"North";"NorthEast";"East";"West";"NorthWest"},0),1,2,3,4,5,6,7,8)</f>
        <v>2</v>
      </c>
      <c r="AB1638" s="2">
        <f t="shared" si="256"/>
        <v>0</v>
      </c>
      <c r="AC1638">
        <v>1011.2</v>
      </c>
      <c r="AD1638" t="s">
        <v>1258</v>
      </c>
      <c r="AE1638" s="2">
        <f t="shared" si="257"/>
        <v>0</v>
      </c>
      <c r="AF1638" t="s">
        <v>3822</v>
      </c>
      <c r="AG1638" s="2">
        <f t="shared" si="258"/>
        <v>3</v>
      </c>
      <c r="AH1638" s="2">
        <f t="shared" si="259"/>
        <v>0</v>
      </c>
      <c r="AI1638" s="3">
        <v>709.99999999883585</v>
      </c>
      <c r="AJ1638" s="2">
        <v>1</v>
      </c>
      <c r="AK1638">
        <v>0</v>
      </c>
      <c r="AL1638">
        <v>20</v>
      </c>
      <c r="AM1638">
        <v>0</v>
      </c>
      <c r="AN1638" s="2">
        <f>IF((2*G1638+M1638-O1638+3*V1638+2*AB1638+2*AE1638+2*AH1638+3*AJ1638)&gt;=7,1,0)</f>
        <v>0</v>
      </c>
    </row>
    <row r="1639" spans="1:40" x14ac:dyDescent="0.25">
      <c r="A1639" t="s">
        <v>27</v>
      </c>
      <c r="B1639" s="1">
        <v>41363</v>
      </c>
      <c r="C1639" s="6">
        <f t="shared" si="250"/>
        <v>2013</v>
      </c>
      <c r="D1639">
        <v>75.2</v>
      </c>
      <c r="E1639">
        <v>59.1</v>
      </c>
      <c r="F1639">
        <v>68.400000000000006</v>
      </c>
      <c r="G1639" s="2">
        <f t="shared" si="251"/>
        <v>0</v>
      </c>
      <c r="H1639">
        <v>75.2</v>
      </c>
      <c r="I1639">
        <v>59.1</v>
      </c>
      <c r="J1639">
        <v>68.400000000000006</v>
      </c>
      <c r="K1639">
        <v>46.6</v>
      </c>
      <c r="L1639">
        <v>47.3</v>
      </c>
      <c r="M1639" s="2">
        <f t="shared" si="252"/>
        <v>1</v>
      </c>
      <c r="N1639">
        <v>0</v>
      </c>
      <c r="O1639" s="2">
        <f t="shared" si="253"/>
        <v>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 s="2">
        <f t="shared" si="254"/>
        <v>0</v>
      </c>
      <c r="W1639">
        <v>23</v>
      </c>
      <c r="X1639" s="2">
        <f t="shared" si="255"/>
        <v>1</v>
      </c>
      <c r="Y1639">
        <v>159.30000000000001</v>
      </c>
      <c r="Z1639" s="2" t="str">
        <f>CHOOSE(MATCH(Y1639,{0;11;80;111;161;191;241;281;341},1),"North","NorthEast","East","SouthEast","South","SouthWest","West","NorthWest","North")</f>
        <v>SouthEast</v>
      </c>
      <c r="AA1639" s="4">
        <f>CHOOSE(MATCH(Z1639,{"South";"SouthEast";"SouthWest";"North";"NorthEast";"East";"West";"NorthWest"},0),1,2,3,4,5,6,7,8)</f>
        <v>2</v>
      </c>
      <c r="AB1639" s="2">
        <f t="shared" si="256"/>
        <v>0</v>
      </c>
      <c r="AC1639">
        <v>1011.2</v>
      </c>
      <c r="AD1639" t="s">
        <v>2031</v>
      </c>
      <c r="AE1639" s="2">
        <f t="shared" si="257"/>
        <v>1</v>
      </c>
      <c r="AF1639" t="s">
        <v>3823</v>
      </c>
      <c r="AG1639" s="2">
        <f t="shared" si="258"/>
        <v>3</v>
      </c>
      <c r="AH1639" s="2">
        <f t="shared" si="259"/>
        <v>0</v>
      </c>
      <c r="AI1639" s="3">
        <v>150.00000000698489</v>
      </c>
      <c r="AJ1639" s="2">
        <v>0</v>
      </c>
      <c r="AK1639">
        <v>0</v>
      </c>
      <c r="AL1639">
        <v>1</v>
      </c>
      <c r="AM1639">
        <v>0</v>
      </c>
      <c r="AN1639" s="2">
        <f>IF((2*G1639+M1639-O1639+3*V1639+2*AB1639+2*AE1639+2*AH1639+3*AJ1639)&gt;=7,1,0)</f>
        <v>0</v>
      </c>
    </row>
    <row r="1640" spans="1:40" x14ac:dyDescent="0.25">
      <c r="A1640" t="s">
        <v>27</v>
      </c>
      <c r="B1640" s="1">
        <v>41366</v>
      </c>
      <c r="C1640" s="6">
        <f t="shared" si="250"/>
        <v>2013</v>
      </c>
      <c r="D1640">
        <v>75.2</v>
      </c>
      <c r="E1640">
        <v>51.8</v>
      </c>
      <c r="F1640">
        <v>65.400000000000006</v>
      </c>
      <c r="G1640" s="2">
        <f t="shared" si="251"/>
        <v>0</v>
      </c>
      <c r="H1640">
        <v>75.2</v>
      </c>
      <c r="I1640">
        <v>51.8</v>
      </c>
      <c r="J1640">
        <v>65.400000000000006</v>
      </c>
      <c r="K1640">
        <v>44.5</v>
      </c>
      <c r="L1640">
        <v>49.4</v>
      </c>
      <c r="M1640" s="2">
        <f t="shared" si="252"/>
        <v>1</v>
      </c>
      <c r="N1640">
        <v>0</v>
      </c>
      <c r="O1640" s="2">
        <f t="shared" si="253"/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43.6</v>
      </c>
      <c r="V1640" s="2">
        <f t="shared" si="254"/>
        <v>1</v>
      </c>
      <c r="W1640">
        <v>32.200000000000003</v>
      </c>
      <c r="X1640" s="2">
        <f t="shared" si="255"/>
        <v>1</v>
      </c>
      <c r="Y1640">
        <v>178.8</v>
      </c>
      <c r="Z1640" s="2" t="str">
        <f>CHOOSE(MATCH(Y1640,{0;11;80;111;161;191;241;281;341},1),"North","NorthEast","East","SouthEast","South","SouthWest","West","NorthWest","North")</f>
        <v>South</v>
      </c>
      <c r="AA1640" s="4">
        <f>CHOOSE(MATCH(Z1640,{"South";"SouthEast";"SouthWest";"North";"NorthEast";"East";"West";"NorthWest"},0),1,2,3,4,5,6,7,8)</f>
        <v>1</v>
      </c>
      <c r="AB1640" s="2">
        <f t="shared" si="256"/>
        <v>0</v>
      </c>
      <c r="AC1640">
        <v>1009.1</v>
      </c>
      <c r="AD1640" t="s">
        <v>1844</v>
      </c>
      <c r="AE1640" s="2">
        <f t="shared" si="257"/>
        <v>1</v>
      </c>
      <c r="AF1640" t="s">
        <v>3824</v>
      </c>
      <c r="AG1640" s="2">
        <f t="shared" si="258"/>
        <v>4</v>
      </c>
      <c r="AH1640" s="2">
        <f t="shared" si="259"/>
        <v>0</v>
      </c>
      <c r="AI1640" s="3">
        <v>454.99999999534339</v>
      </c>
      <c r="AJ1640" s="2">
        <v>1</v>
      </c>
      <c r="AK1640">
        <v>0</v>
      </c>
      <c r="AL1640">
        <v>1</v>
      </c>
      <c r="AM1640">
        <v>0</v>
      </c>
      <c r="AN1640" s="2">
        <f>IF((2*G1640+M1640-O1640+3*V1640+2*AB1640+2*AE1640+2*AH1640+3*AJ1640)&gt;=7,1,0)</f>
        <v>1</v>
      </c>
    </row>
    <row r="1641" spans="1:40" x14ac:dyDescent="0.25">
      <c r="A1641" t="s">
        <v>27</v>
      </c>
      <c r="B1641" s="1">
        <v>41370</v>
      </c>
      <c r="C1641" s="6">
        <f t="shared" si="250"/>
        <v>2013</v>
      </c>
      <c r="D1641">
        <v>86</v>
      </c>
      <c r="E1641">
        <v>71.599999999999994</v>
      </c>
      <c r="F1641">
        <v>77.599999999999994</v>
      </c>
      <c r="G1641" s="2">
        <f t="shared" si="251"/>
        <v>1</v>
      </c>
      <c r="H1641">
        <v>83</v>
      </c>
      <c r="I1641">
        <v>71.599999999999994</v>
      </c>
      <c r="J1641">
        <v>76.8</v>
      </c>
      <c r="K1641">
        <v>38.5</v>
      </c>
      <c r="L1641">
        <v>24.7</v>
      </c>
      <c r="M1641" s="2">
        <f t="shared" si="252"/>
        <v>1</v>
      </c>
      <c r="N1641">
        <v>0</v>
      </c>
      <c r="O1641" s="2">
        <f t="shared" si="253"/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47.2</v>
      </c>
      <c r="V1641" s="2">
        <f t="shared" si="254"/>
        <v>1</v>
      </c>
      <c r="W1641">
        <v>35.6</v>
      </c>
      <c r="X1641" s="2">
        <f t="shared" si="255"/>
        <v>1</v>
      </c>
      <c r="Y1641">
        <v>174.3</v>
      </c>
      <c r="Z1641" s="2" t="str">
        <f>CHOOSE(MATCH(Y1641,{0;11;80;111;161;191;241;281;341},1),"North","NorthEast","East","SouthEast","South","SouthWest","West","NorthWest","North")</f>
        <v>South</v>
      </c>
      <c r="AA1641" s="4">
        <f>CHOOSE(MATCH(Z1641,{"South";"SouthEast";"SouthWest";"North";"NorthEast";"East";"West";"NorthWest"},0),1,2,3,4,5,6,7,8)</f>
        <v>1</v>
      </c>
      <c r="AB1641" s="2">
        <f t="shared" si="256"/>
        <v>0</v>
      </c>
      <c r="AC1641">
        <v>1007.8</v>
      </c>
      <c r="AD1641" t="s">
        <v>1976</v>
      </c>
      <c r="AE1641" s="2">
        <f t="shared" si="257"/>
        <v>0</v>
      </c>
      <c r="AF1641" t="s">
        <v>3825</v>
      </c>
      <c r="AG1641" s="2">
        <f t="shared" si="258"/>
        <v>4</v>
      </c>
      <c r="AH1641" s="2">
        <f t="shared" si="259"/>
        <v>0</v>
      </c>
      <c r="AI1641" s="3">
        <v>1755</v>
      </c>
      <c r="AJ1641" s="2">
        <v>1</v>
      </c>
      <c r="AK1641">
        <v>0</v>
      </c>
      <c r="AL1641">
        <v>5</v>
      </c>
      <c r="AM1641">
        <v>0</v>
      </c>
      <c r="AN1641" s="2">
        <f>IF((2*G1641+M1641-O1641+3*V1641+2*AB1641+2*AE1641+2*AH1641+3*AJ1641)&gt;=7,1,0)</f>
        <v>1</v>
      </c>
    </row>
    <row r="1642" spans="1:40" x14ac:dyDescent="0.25">
      <c r="A1642" t="s">
        <v>27</v>
      </c>
      <c r="B1642" s="1">
        <v>41370</v>
      </c>
      <c r="C1642" s="6">
        <f t="shared" si="250"/>
        <v>2013</v>
      </c>
      <c r="D1642">
        <v>86</v>
      </c>
      <c r="E1642">
        <v>71.599999999999994</v>
      </c>
      <c r="F1642">
        <v>77.599999999999994</v>
      </c>
      <c r="G1642" s="2">
        <f t="shared" si="251"/>
        <v>1</v>
      </c>
      <c r="H1642">
        <v>83</v>
      </c>
      <c r="I1642">
        <v>71.599999999999994</v>
      </c>
      <c r="J1642">
        <v>76.8</v>
      </c>
      <c r="K1642">
        <v>38.5</v>
      </c>
      <c r="L1642">
        <v>24.7</v>
      </c>
      <c r="M1642" s="2">
        <f t="shared" si="252"/>
        <v>1</v>
      </c>
      <c r="N1642">
        <v>0</v>
      </c>
      <c r="O1642" s="2">
        <f t="shared" si="253"/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47.2</v>
      </c>
      <c r="V1642" s="2">
        <f t="shared" si="254"/>
        <v>1</v>
      </c>
      <c r="W1642">
        <v>35.6</v>
      </c>
      <c r="X1642" s="2">
        <f t="shared" si="255"/>
        <v>1</v>
      </c>
      <c r="Y1642">
        <v>174.3</v>
      </c>
      <c r="Z1642" s="2" t="str">
        <f>CHOOSE(MATCH(Y1642,{0;11;80;111;161;191;241;281;341},1),"North","NorthEast","East","SouthEast","South","SouthWest","West","NorthWest","North")</f>
        <v>South</v>
      </c>
      <c r="AA1642" s="4">
        <f>CHOOSE(MATCH(Z1642,{"South";"SouthEast";"SouthWest";"North";"NorthEast";"East";"West";"NorthWest"},0),1,2,3,4,5,6,7,8)</f>
        <v>1</v>
      </c>
      <c r="AB1642" s="2">
        <f t="shared" si="256"/>
        <v>0</v>
      </c>
      <c r="AC1642">
        <v>1007.8</v>
      </c>
      <c r="AD1642" t="s">
        <v>1119</v>
      </c>
      <c r="AE1642" s="2">
        <f t="shared" si="257"/>
        <v>0</v>
      </c>
      <c r="AF1642" t="s">
        <v>3826</v>
      </c>
      <c r="AG1642" s="2">
        <f t="shared" si="258"/>
        <v>4</v>
      </c>
      <c r="AH1642" s="2">
        <f t="shared" si="259"/>
        <v>0</v>
      </c>
      <c r="AI1642" s="3">
        <v>1319.999999996508</v>
      </c>
      <c r="AJ1642" s="2">
        <v>1</v>
      </c>
      <c r="AK1642">
        <v>0</v>
      </c>
      <c r="AL1642">
        <v>10</v>
      </c>
      <c r="AM1642">
        <v>0</v>
      </c>
      <c r="AN1642" s="2">
        <f>IF((2*G1642+M1642-O1642+3*V1642+2*AB1642+2*AE1642+2*AH1642+3*AJ1642)&gt;=7,1,0)</f>
        <v>1</v>
      </c>
    </row>
    <row r="1643" spans="1:40" x14ac:dyDescent="0.25">
      <c r="A1643" t="s">
        <v>27</v>
      </c>
      <c r="B1643" s="1">
        <v>41375</v>
      </c>
      <c r="C1643" s="6">
        <f t="shared" si="250"/>
        <v>2013</v>
      </c>
      <c r="D1643">
        <v>68</v>
      </c>
      <c r="E1643">
        <v>51.8</v>
      </c>
      <c r="F1643">
        <v>60.7</v>
      </c>
      <c r="G1643" s="2">
        <f t="shared" si="251"/>
        <v>0</v>
      </c>
      <c r="H1643">
        <v>68</v>
      </c>
      <c r="I1643">
        <v>51.8</v>
      </c>
      <c r="J1643">
        <v>60.7</v>
      </c>
      <c r="K1643">
        <v>53</v>
      </c>
      <c r="L1643">
        <v>76.599999999999994</v>
      </c>
      <c r="M1643" s="2">
        <f t="shared" si="252"/>
        <v>0</v>
      </c>
      <c r="N1643">
        <v>0</v>
      </c>
      <c r="O1643" s="2">
        <f t="shared" si="253"/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 s="2">
        <f t="shared" si="254"/>
        <v>0</v>
      </c>
      <c r="W1643">
        <v>10.3</v>
      </c>
      <c r="X1643" s="2">
        <f t="shared" si="255"/>
        <v>0</v>
      </c>
      <c r="Y1643">
        <v>147.9</v>
      </c>
      <c r="Z1643" s="2" t="str">
        <f>CHOOSE(MATCH(Y1643,{0;11;80;111;161;191;241;281;341},1),"North","NorthEast","East","SouthEast","South","SouthWest","West","NorthWest","North")</f>
        <v>SouthEast</v>
      </c>
      <c r="AA1643" s="4">
        <f>CHOOSE(MATCH(Z1643,{"South";"SouthEast";"SouthWest";"North";"NorthEast";"East";"West";"NorthWest"},0),1,2,3,4,5,6,7,8)</f>
        <v>2</v>
      </c>
      <c r="AB1643" s="2">
        <f t="shared" si="256"/>
        <v>0</v>
      </c>
      <c r="AC1643">
        <v>1014.1</v>
      </c>
      <c r="AD1643" t="s">
        <v>1897</v>
      </c>
      <c r="AE1643" s="2">
        <f t="shared" si="257"/>
        <v>1</v>
      </c>
      <c r="AF1643" t="s">
        <v>3827</v>
      </c>
      <c r="AG1643" s="2">
        <f t="shared" si="258"/>
        <v>4</v>
      </c>
      <c r="AH1643" s="2">
        <f t="shared" si="259"/>
        <v>0</v>
      </c>
      <c r="AI1643" s="3">
        <v>239.99999999650751</v>
      </c>
      <c r="AJ1643" s="2">
        <v>0</v>
      </c>
      <c r="AK1643">
        <v>4</v>
      </c>
      <c r="AL1643">
        <v>0</v>
      </c>
      <c r="AM1643">
        <v>0</v>
      </c>
      <c r="AN1643" s="2">
        <f>IF((2*G1643+M1643-O1643+3*V1643+2*AB1643+2*AE1643+2*AH1643+3*AJ1643)&gt;=7,1,0)</f>
        <v>0</v>
      </c>
    </row>
    <row r="1644" spans="1:40" x14ac:dyDescent="0.25">
      <c r="A1644" t="s">
        <v>27</v>
      </c>
      <c r="B1644" s="1">
        <v>41375</v>
      </c>
      <c r="C1644" s="6">
        <f t="shared" si="250"/>
        <v>2013</v>
      </c>
      <c r="D1644">
        <v>68</v>
      </c>
      <c r="E1644">
        <v>51.8</v>
      </c>
      <c r="F1644">
        <v>60.7</v>
      </c>
      <c r="G1644" s="2">
        <f t="shared" si="251"/>
        <v>0</v>
      </c>
      <c r="H1644">
        <v>68</v>
      </c>
      <c r="I1644">
        <v>51.8</v>
      </c>
      <c r="J1644">
        <v>60.7</v>
      </c>
      <c r="K1644">
        <v>53</v>
      </c>
      <c r="L1644">
        <v>76.599999999999994</v>
      </c>
      <c r="M1644" s="2">
        <f t="shared" si="252"/>
        <v>0</v>
      </c>
      <c r="N1644">
        <v>0</v>
      </c>
      <c r="O1644" s="2">
        <f t="shared" si="253"/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 s="2">
        <f t="shared" si="254"/>
        <v>0</v>
      </c>
      <c r="W1644">
        <v>10.3</v>
      </c>
      <c r="X1644" s="2">
        <f t="shared" si="255"/>
        <v>0</v>
      </c>
      <c r="Y1644">
        <v>147.9</v>
      </c>
      <c r="Z1644" s="2" t="str">
        <f>CHOOSE(MATCH(Y1644,{0;11;80;111;161;191;241;281;341},1),"North","NorthEast","East","SouthEast","South","SouthWest","West","NorthWest","North")</f>
        <v>SouthEast</v>
      </c>
      <c r="AA1644" s="4">
        <f>CHOOSE(MATCH(Z1644,{"South";"SouthEast";"SouthWest";"North";"NorthEast";"East";"West";"NorthWest"},0),1,2,3,4,5,6,7,8)</f>
        <v>2</v>
      </c>
      <c r="AB1644" s="2">
        <f t="shared" si="256"/>
        <v>0</v>
      </c>
      <c r="AC1644">
        <v>1014.1</v>
      </c>
      <c r="AD1644" t="s">
        <v>1800</v>
      </c>
      <c r="AE1644" s="2">
        <f t="shared" si="257"/>
        <v>1</v>
      </c>
      <c r="AF1644" t="s">
        <v>3828</v>
      </c>
      <c r="AG1644" s="2">
        <f t="shared" si="258"/>
        <v>4</v>
      </c>
      <c r="AH1644" s="2">
        <f t="shared" si="259"/>
        <v>0</v>
      </c>
      <c r="AI1644" s="3">
        <v>305.00000000931323</v>
      </c>
      <c r="AJ1644" s="2">
        <v>0</v>
      </c>
      <c r="AK1644">
        <v>0</v>
      </c>
      <c r="AL1644">
        <v>25</v>
      </c>
      <c r="AM1644">
        <v>0</v>
      </c>
      <c r="AN1644" s="2">
        <f>IF((2*G1644+M1644-O1644+3*V1644+2*AB1644+2*AE1644+2*AH1644+3*AJ1644)&gt;=7,1,0)</f>
        <v>0</v>
      </c>
    </row>
    <row r="1645" spans="1:40" x14ac:dyDescent="0.25">
      <c r="A1645" t="s">
        <v>27</v>
      </c>
      <c r="B1645" s="1">
        <v>41393</v>
      </c>
      <c r="C1645" s="6">
        <f t="shared" si="250"/>
        <v>2013</v>
      </c>
      <c r="D1645">
        <v>77</v>
      </c>
      <c r="E1645">
        <v>53.6</v>
      </c>
      <c r="F1645">
        <v>66.599999999999994</v>
      </c>
      <c r="G1645" s="2">
        <f t="shared" si="251"/>
        <v>0</v>
      </c>
      <c r="H1645">
        <v>77</v>
      </c>
      <c r="I1645">
        <v>53.6</v>
      </c>
      <c r="J1645">
        <v>66.599999999999994</v>
      </c>
      <c r="K1645">
        <v>51.9</v>
      </c>
      <c r="L1645">
        <v>59.5</v>
      </c>
      <c r="M1645" s="2">
        <f t="shared" si="252"/>
        <v>1</v>
      </c>
      <c r="N1645">
        <v>0</v>
      </c>
      <c r="O1645" s="2">
        <f t="shared" si="253"/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 s="2">
        <f t="shared" si="254"/>
        <v>0</v>
      </c>
      <c r="W1645">
        <v>8.1</v>
      </c>
      <c r="X1645" s="2">
        <f t="shared" si="255"/>
        <v>0</v>
      </c>
      <c r="Y1645">
        <v>248.8</v>
      </c>
      <c r="Z1645" s="2" t="str">
        <f>CHOOSE(MATCH(Y1645,{0;11;80;111;161;191;241;281;341},1),"North","NorthEast","East","SouthEast","South","SouthWest","West","NorthWest","North")</f>
        <v>West</v>
      </c>
      <c r="AA1645" s="4">
        <f>CHOOSE(MATCH(Z1645,{"South";"SouthEast";"SouthWest";"North";"NorthEast";"East";"West";"NorthWest"},0),1,2,3,4,5,6,7,8)</f>
        <v>7</v>
      </c>
      <c r="AB1645" s="2">
        <f t="shared" si="256"/>
        <v>0</v>
      </c>
      <c r="AC1645">
        <v>1017.8</v>
      </c>
      <c r="AD1645" t="s">
        <v>1969</v>
      </c>
      <c r="AE1645" s="2">
        <f t="shared" si="257"/>
        <v>1</v>
      </c>
      <c r="AF1645" t="s">
        <v>3829</v>
      </c>
      <c r="AG1645" s="2">
        <f t="shared" si="258"/>
        <v>4</v>
      </c>
      <c r="AH1645" s="2">
        <f t="shared" si="259"/>
        <v>0</v>
      </c>
      <c r="AI1645" s="3">
        <v>170.9999999916181</v>
      </c>
      <c r="AJ1645" s="2">
        <v>0</v>
      </c>
      <c r="AK1645">
        <v>0.5</v>
      </c>
      <c r="AL1645">
        <v>0</v>
      </c>
      <c r="AM1645">
        <v>0</v>
      </c>
      <c r="AN1645" s="2">
        <f>IF((2*G1645+M1645-O1645+3*V1645+2*AB1645+2*AE1645+2*AH1645+3*AJ1645)&gt;=7,1,0)</f>
        <v>0</v>
      </c>
    </row>
    <row r="1646" spans="1:40" x14ac:dyDescent="0.25">
      <c r="A1646" t="s">
        <v>27</v>
      </c>
      <c r="B1646" s="1">
        <v>41400</v>
      </c>
      <c r="C1646" s="6">
        <f t="shared" si="250"/>
        <v>2013</v>
      </c>
      <c r="D1646">
        <v>78.8</v>
      </c>
      <c r="E1646">
        <v>64.400000000000006</v>
      </c>
      <c r="F1646">
        <v>72.3</v>
      </c>
      <c r="G1646" s="2">
        <f t="shared" si="251"/>
        <v>1</v>
      </c>
      <c r="H1646">
        <v>78.8</v>
      </c>
      <c r="I1646">
        <v>64.400000000000006</v>
      </c>
      <c r="J1646">
        <v>72.3</v>
      </c>
      <c r="K1646">
        <v>60.2</v>
      </c>
      <c r="L1646">
        <v>66.7</v>
      </c>
      <c r="M1646" s="2">
        <f t="shared" si="252"/>
        <v>0</v>
      </c>
      <c r="N1646">
        <v>0</v>
      </c>
      <c r="O1646" s="2">
        <f t="shared" si="253"/>
        <v>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 s="2">
        <f t="shared" si="254"/>
        <v>0</v>
      </c>
      <c r="W1646">
        <v>18.3</v>
      </c>
      <c r="X1646" s="2">
        <f t="shared" si="255"/>
        <v>1</v>
      </c>
      <c r="Y1646">
        <v>306.10000000000002</v>
      </c>
      <c r="Z1646" s="2" t="str">
        <f>CHOOSE(MATCH(Y1646,{0;11;80;111;161;191;241;281;341},1),"North","NorthEast","East","SouthEast","South","SouthWest","West","NorthWest","North")</f>
        <v>NorthWest</v>
      </c>
      <c r="AA1646" s="4">
        <f>CHOOSE(MATCH(Z1646,{"South";"SouthEast";"SouthWest";"North";"NorthEast";"East";"West";"NorthWest"},0),1,2,3,4,5,6,7,8)</f>
        <v>8</v>
      </c>
      <c r="AB1646" s="2">
        <f t="shared" si="256"/>
        <v>1</v>
      </c>
      <c r="AC1646">
        <v>1015.4</v>
      </c>
      <c r="AD1646" t="s">
        <v>1201</v>
      </c>
      <c r="AE1646" s="2">
        <f t="shared" si="257"/>
        <v>1</v>
      </c>
      <c r="AF1646" t="s">
        <v>3830</v>
      </c>
      <c r="AG1646" s="2">
        <f t="shared" si="258"/>
        <v>5</v>
      </c>
      <c r="AH1646" s="2">
        <f t="shared" si="259"/>
        <v>0</v>
      </c>
      <c r="AI1646" s="3">
        <v>229.99999999534339</v>
      </c>
      <c r="AJ1646" s="2">
        <v>0</v>
      </c>
      <c r="AK1646">
        <v>0</v>
      </c>
      <c r="AL1646">
        <v>2</v>
      </c>
      <c r="AM1646">
        <v>0</v>
      </c>
      <c r="AN1646" s="2">
        <f>IF((2*G1646+M1646-O1646+3*V1646+2*AB1646+2*AE1646+2*AH1646+3*AJ1646)&gt;=7,1,0)</f>
        <v>0</v>
      </c>
    </row>
    <row r="1647" spans="1:40" x14ac:dyDescent="0.25">
      <c r="A1647" t="s">
        <v>27</v>
      </c>
      <c r="B1647" s="1">
        <v>41411</v>
      </c>
      <c r="C1647" s="6">
        <f t="shared" si="250"/>
        <v>2013</v>
      </c>
      <c r="D1647">
        <v>84.2</v>
      </c>
      <c r="E1647">
        <v>71</v>
      </c>
      <c r="F1647">
        <v>77.8</v>
      </c>
      <c r="G1647" s="2">
        <f t="shared" si="251"/>
        <v>1</v>
      </c>
      <c r="H1647">
        <v>82.2</v>
      </c>
      <c r="I1647">
        <v>71</v>
      </c>
      <c r="J1647">
        <v>77.2</v>
      </c>
      <c r="K1647">
        <v>47.9</v>
      </c>
      <c r="L1647">
        <v>35.6</v>
      </c>
      <c r="M1647" s="2">
        <f t="shared" si="252"/>
        <v>1</v>
      </c>
      <c r="N1647">
        <v>4.0000000000000001E-3</v>
      </c>
      <c r="O1647" s="2">
        <f t="shared" si="253"/>
        <v>1</v>
      </c>
      <c r="P1647">
        <v>100</v>
      </c>
      <c r="Q1647">
        <v>4.17</v>
      </c>
      <c r="R1647" t="s">
        <v>182</v>
      </c>
      <c r="S1647">
        <v>0</v>
      </c>
      <c r="T1647">
        <v>0</v>
      </c>
      <c r="U1647">
        <v>46.1</v>
      </c>
      <c r="V1647" s="2">
        <f t="shared" si="254"/>
        <v>1</v>
      </c>
      <c r="W1647">
        <v>34.4</v>
      </c>
      <c r="X1647" s="2">
        <f t="shared" si="255"/>
        <v>1</v>
      </c>
      <c r="Y1647">
        <v>177.1</v>
      </c>
      <c r="Z1647" s="2" t="str">
        <f>CHOOSE(MATCH(Y1647,{0;11;80;111;161;191;241;281;341},1),"North","NorthEast","East","SouthEast","South","SouthWest","West","NorthWest","North")</f>
        <v>South</v>
      </c>
      <c r="AA1647" s="4">
        <f>CHOOSE(MATCH(Z1647,{"South";"SouthEast";"SouthWest";"North";"NorthEast";"East";"West";"NorthWest"},0),1,2,3,4,5,6,7,8)</f>
        <v>1</v>
      </c>
      <c r="AB1647" s="2">
        <f t="shared" si="256"/>
        <v>0</v>
      </c>
      <c r="AC1647">
        <v>1010.4</v>
      </c>
      <c r="AD1647" t="s">
        <v>3831</v>
      </c>
      <c r="AE1647" s="2">
        <f t="shared" si="257"/>
        <v>1</v>
      </c>
      <c r="AF1647" t="s">
        <v>3832</v>
      </c>
      <c r="AG1647" s="2">
        <f t="shared" si="258"/>
        <v>5</v>
      </c>
      <c r="AH1647" s="2">
        <f t="shared" si="259"/>
        <v>0</v>
      </c>
      <c r="AI1647" s="3">
        <v>123.9999999955762</v>
      </c>
      <c r="AJ1647" s="2">
        <v>0</v>
      </c>
      <c r="AK1647">
        <v>0</v>
      </c>
      <c r="AL1647">
        <v>0.5</v>
      </c>
      <c r="AM1647">
        <v>0</v>
      </c>
      <c r="AN1647" s="2">
        <f>IF((2*G1647+M1647-O1647+3*V1647+2*AB1647+2*AE1647+2*AH1647+3*AJ1647)&gt;=7,1,0)</f>
        <v>1</v>
      </c>
    </row>
    <row r="1648" spans="1:40" x14ac:dyDescent="0.25">
      <c r="A1648" t="s">
        <v>27</v>
      </c>
      <c r="B1648" s="1">
        <v>41427</v>
      </c>
      <c r="C1648" s="6">
        <f t="shared" si="250"/>
        <v>2013</v>
      </c>
      <c r="D1648">
        <v>82.4</v>
      </c>
      <c r="E1648">
        <v>69.8</v>
      </c>
      <c r="F1648">
        <v>75.599999999999994</v>
      </c>
      <c r="G1648" s="2">
        <f t="shared" si="251"/>
        <v>1</v>
      </c>
      <c r="H1648">
        <v>85.4</v>
      </c>
      <c r="I1648">
        <v>69.8</v>
      </c>
      <c r="J1648">
        <v>75.7</v>
      </c>
      <c r="K1648">
        <v>57.6</v>
      </c>
      <c r="L1648">
        <v>55.1</v>
      </c>
      <c r="M1648" s="2">
        <f t="shared" si="252"/>
        <v>1</v>
      </c>
      <c r="N1648">
        <v>0</v>
      </c>
      <c r="O1648" s="2">
        <f t="shared" si="253"/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 s="2">
        <f t="shared" si="254"/>
        <v>0</v>
      </c>
      <c r="W1648">
        <v>27.6</v>
      </c>
      <c r="X1648" s="2">
        <f t="shared" si="255"/>
        <v>1</v>
      </c>
      <c r="Y1648">
        <v>278.3</v>
      </c>
      <c r="Z1648" s="2" t="str">
        <f>CHOOSE(MATCH(Y1648,{0;11;80;111;161;191;241;281;341},1),"North","NorthEast","East","SouthEast","South","SouthWest","West","NorthWest","North")</f>
        <v>West</v>
      </c>
      <c r="AA1648" s="4">
        <f>CHOOSE(MATCH(Z1648,{"South";"SouthEast";"SouthWest";"North";"NorthEast";"East";"West";"NorthWest"},0),1,2,3,4,5,6,7,8)</f>
        <v>7</v>
      </c>
      <c r="AB1648" s="2">
        <f t="shared" si="256"/>
        <v>0</v>
      </c>
      <c r="AC1648">
        <v>1006.9</v>
      </c>
      <c r="AD1648" t="s">
        <v>3833</v>
      </c>
      <c r="AE1648" s="2">
        <f t="shared" si="257"/>
        <v>0</v>
      </c>
      <c r="AF1648" t="s">
        <v>3834</v>
      </c>
      <c r="AG1648" s="2">
        <f t="shared" si="258"/>
        <v>6</v>
      </c>
      <c r="AH1648" s="2">
        <f t="shared" si="259"/>
        <v>1</v>
      </c>
      <c r="AI1648" s="3">
        <v>265.00000000465661</v>
      </c>
      <c r="AJ1648" s="2">
        <v>0</v>
      </c>
      <c r="AK1648">
        <v>0</v>
      </c>
      <c r="AL1648">
        <v>1</v>
      </c>
      <c r="AM1648">
        <v>0</v>
      </c>
      <c r="AN1648" s="2">
        <f>IF((2*G1648+M1648-O1648+3*V1648+2*AB1648+2*AE1648+2*AH1648+3*AJ1648)&gt;=7,1,0)</f>
        <v>0</v>
      </c>
    </row>
    <row r="1649" spans="1:40" x14ac:dyDescent="0.25">
      <c r="A1649" t="s">
        <v>27</v>
      </c>
      <c r="B1649" s="1">
        <v>41439</v>
      </c>
      <c r="C1649" s="6">
        <f t="shared" si="250"/>
        <v>2013</v>
      </c>
      <c r="D1649">
        <v>75.3</v>
      </c>
      <c r="E1649">
        <v>61.8</v>
      </c>
      <c r="F1649">
        <v>69.5</v>
      </c>
      <c r="G1649" s="2">
        <f t="shared" si="251"/>
        <v>0</v>
      </c>
      <c r="H1649">
        <v>75.3</v>
      </c>
      <c r="I1649">
        <v>61.8</v>
      </c>
      <c r="J1649">
        <v>69.5</v>
      </c>
      <c r="K1649">
        <v>61.9</v>
      </c>
      <c r="L1649">
        <v>77.099999999999994</v>
      </c>
      <c r="M1649" s="2">
        <f t="shared" si="252"/>
        <v>0</v>
      </c>
      <c r="N1649">
        <v>0</v>
      </c>
      <c r="O1649" s="2">
        <f t="shared" si="253"/>
        <v>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 s="2">
        <f t="shared" si="254"/>
        <v>0</v>
      </c>
      <c r="W1649">
        <v>18.3</v>
      </c>
      <c r="X1649" s="2">
        <f t="shared" si="255"/>
        <v>1</v>
      </c>
      <c r="Y1649">
        <v>305.8</v>
      </c>
      <c r="Z1649" s="2" t="str">
        <f>CHOOSE(MATCH(Y1649,{0;11;80;111;161;191;241;281;341},1),"North","NorthEast","East","SouthEast","South","SouthWest","West","NorthWest","North")</f>
        <v>NorthWest</v>
      </c>
      <c r="AA1649" s="4">
        <f>CHOOSE(MATCH(Z1649,{"South";"SouthEast";"SouthWest";"North";"NorthEast";"East";"West";"NorthWest"},0),1,2,3,4,5,6,7,8)</f>
        <v>8</v>
      </c>
      <c r="AB1649" s="2">
        <f t="shared" si="256"/>
        <v>1</v>
      </c>
      <c r="AC1649">
        <v>1010.7</v>
      </c>
      <c r="AD1649" t="s">
        <v>1980</v>
      </c>
      <c r="AE1649" s="2">
        <f t="shared" si="257"/>
        <v>1</v>
      </c>
      <c r="AF1649" t="s">
        <v>3835</v>
      </c>
      <c r="AG1649" s="2">
        <f t="shared" si="258"/>
        <v>6</v>
      </c>
      <c r="AH1649" s="2">
        <f t="shared" si="259"/>
        <v>1</v>
      </c>
      <c r="AI1649" s="3">
        <v>885.00000000349246</v>
      </c>
      <c r="AJ1649" s="2">
        <v>1</v>
      </c>
      <c r="AK1649">
        <v>0</v>
      </c>
      <c r="AL1649">
        <v>5</v>
      </c>
      <c r="AM1649">
        <v>0</v>
      </c>
      <c r="AN1649" s="2">
        <f>IF((2*G1649+M1649-O1649+3*V1649+2*AB1649+2*AE1649+2*AH1649+3*AJ1649)&gt;=7,1,0)</f>
        <v>1</v>
      </c>
    </row>
    <row r="1650" spans="1:40" x14ac:dyDescent="0.25">
      <c r="A1650" t="s">
        <v>27</v>
      </c>
      <c r="B1650" s="1">
        <v>41444</v>
      </c>
      <c r="C1650" s="6">
        <f t="shared" si="250"/>
        <v>2013</v>
      </c>
      <c r="D1650">
        <v>82.4</v>
      </c>
      <c r="E1650">
        <v>73.400000000000006</v>
      </c>
      <c r="F1650">
        <v>77.8</v>
      </c>
      <c r="G1650" s="2">
        <f t="shared" si="251"/>
        <v>1</v>
      </c>
      <c r="H1650">
        <v>86.2</v>
      </c>
      <c r="I1650">
        <v>73.400000000000006</v>
      </c>
      <c r="J1650">
        <v>79</v>
      </c>
      <c r="K1650">
        <v>68.400000000000006</v>
      </c>
      <c r="L1650">
        <v>72.900000000000006</v>
      </c>
      <c r="M1650" s="2">
        <f t="shared" si="252"/>
        <v>0</v>
      </c>
      <c r="N1650">
        <v>0</v>
      </c>
      <c r="O1650" s="2">
        <f t="shared" si="253"/>
        <v>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 s="2">
        <f t="shared" si="254"/>
        <v>0</v>
      </c>
      <c r="W1650">
        <v>18.3</v>
      </c>
      <c r="X1650" s="2">
        <f t="shared" si="255"/>
        <v>1</v>
      </c>
      <c r="Y1650">
        <v>306.39999999999998</v>
      </c>
      <c r="Z1650" s="2" t="str">
        <f>CHOOSE(MATCH(Y1650,{0;11;80;111;161;191;241;281;341},1),"North","NorthEast","East","SouthEast","South","SouthWest","West","NorthWest","North")</f>
        <v>NorthWest</v>
      </c>
      <c r="AA1650" s="4">
        <f>CHOOSE(MATCH(Z1650,{"South";"SouthEast";"SouthWest";"North";"NorthEast";"East";"West";"NorthWest"},0),1,2,3,4,5,6,7,8)</f>
        <v>8</v>
      </c>
      <c r="AB1650" s="2">
        <f t="shared" si="256"/>
        <v>1</v>
      </c>
      <c r="AC1650">
        <v>1009.5</v>
      </c>
      <c r="AD1650" t="s">
        <v>3836</v>
      </c>
      <c r="AE1650" s="2">
        <f t="shared" si="257"/>
        <v>1</v>
      </c>
      <c r="AF1650" t="s">
        <v>3837</v>
      </c>
      <c r="AG1650" s="2">
        <f t="shared" si="258"/>
        <v>6</v>
      </c>
      <c r="AH1650" s="2">
        <f t="shared" si="259"/>
        <v>1</v>
      </c>
      <c r="AI1650" s="3">
        <v>150.00000000698489</v>
      </c>
      <c r="AJ1650" s="2">
        <v>0</v>
      </c>
      <c r="AK1650">
        <v>0</v>
      </c>
      <c r="AL1650">
        <v>0.3</v>
      </c>
      <c r="AM1650">
        <v>0</v>
      </c>
      <c r="AN1650" s="2">
        <f>IF((2*G1650+M1650-O1650+3*V1650+2*AB1650+2*AE1650+2*AH1650+3*AJ1650)&gt;=7,1,0)</f>
        <v>1</v>
      </c>
    </row>
    <row r="1651" spans="1:40" x14ac:dyDescent="0.25">
      <c r="A1651" t="s">
        <v>27</v>
      </c>
      <c r="B1651" s="1">
        <v>41447</v>
      </c>
      <c r="C1651" s="6">
        <f t="shared" si="250"/>
        <v>2013</v>
      </c>
      <c r="D1651">
        <v>80.7</v>
      </c>
      <c r="E1651">
        <v>68</v>
      </c>
      <c r="F1651">
        <v>75.7</v>
      </c>
      <c r="G1651" s="2">
        <f t="shared" si="251"/>
        <v>1</v>
      </c>
      <c r="H1651">
        <v>84.7</v>
      </c>
      <c r="I1651">
        <v>68</v>
      </c>
      <c r="J1651">
        <v>76.2</v>
      </c>
      <c r="K1651">
        <v>66.7</v>
      </c>
      <c r="L1651">
        <v>73.900000000000006</v>
      </c>
      <c r="M1651" s="2">
        <f t="shared" si="252"/>
        <v>0</v>
      </c>
      <c r="N1651">
        <v>0</v>
      </c>
      <c r="O1651" s="2">
        <f t="shared" si="253"/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 s="2">
        <f t="shared" si="254"/>
        <v>0</v>
      </c>
      <c r="W1651">
        <v>16.100000000000001</v>
      </c>
      <c r="X1651" s="2">
        <f t="shared" si="255"/>
        <v>1</v>
      </c>
      <c r="Y1651">
        <v>315.89999999999998</v>
      </c>
      <c r="Z1651" s="2" t="str">
        <f>CHOOSE(MATCH(Y1651,{0;11;80;111;161;191;241;281;341},1),"North","NorthEast","East","SouthEast","South","SouthWest","West","NorthWest","North")</f>
        <v>NorthWest</v>
      </c>
      <c r="AA1651" s="4">
        <f>CHOOSE(MATCH(Z1651,{"South";"SouthEast";"SouthWest";"North";"NorthEast";"East";"West";"NorthWest"},0),1,2,3,4,5,6,7,8)</f>
        <v>8</v>
      </c>
      <c r="AB1651" s="2">
        <f t="shared" si="256"/>
        <v>1</v>
      </c>
      <c r="AC1651">
        <v>1010.5</v>
      </c>
      <c r="AD1651" t="s">
        <v>1900</v>
      </c>
      <c r="AE1651" s="2">
        <f t="shared" si="257"/>
        <v>1</v>
      </c>
      <c r="AF1651" t="s">
        <v>3838</v>
      </c>
      <c r="AG1651" s="2">
        <f t="shared" si="258"/>
        <v>6</v>
      </c>
      <c r="AH1651" s="2">
        <f t="shared" si="259"/>
        <v>1</v>
      </c>
      <c r="AI1651" s="3">
        <v>45</v>
      </c>
      <c r="AJ1651" s="2">
        <v>0</v>
      </c>
      <c r="AK1651">
        <v>0</v>
      </c>
      <c r="AL1651">
        <v>0.2</v>
      </c>
      <c r="AM1651">
        <v>0</v>
      </c>
      <c r="AN1651" s="2">
        <f>IF((2*G1651+M1651-O1651+3*V1651+2*AB1651+2*AE1651+2*AH1651+3*AJ1651)&gt;=7,1,0)</f>
        <v>1</v>
      </c>
    </row>
    <row r="1652" spans="1:40" x14ac:dyDescent="0.25">
      <c r="A1652" t="s">
        <v>27</v>
      </c>
      <c r="B1652" s="1">
        <v>41470</v>
      </c>
      <c r="C1652" s="6">
        <f t="shared" si="250"/>
        <v>2013</v>
      </c>
      <c r="D1652">
        <v>86</v>
      </c>
      <c r="E1652">
        <v>75.2</v>
      </c>
      <c r="F1652">
        <v>80.8</v>
      </c>
      <c r="G1652" s="2">
        <f t="shared" si="251"/>
        <v>1</v>
      </c>
      <c r="H1652">
        <v>88.4</v>
      </c>
      <c r="I1652">
        <v>75.2</v>
      </c>
      <c r="J1652">
        <v>81.8</v>
      </c>
      <c r="K1652">
        <v>64.599999999999994</v>
      </c>
      <c r="L1652">
        <v>58.4</v>
      </c>
      <c r="M1652" s="2">
        <f t="shared" si="252"/>
        <v>1</v>
      </c>
      <c r="N1652">
        <v>0</v>
      </c>
      <c r="O1652" s="2">
        <f t="shared" si="253"/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 s="2">
        <f t="shared" si="254"/>
        <v>0</v>
      </c>
      <c r="W1652">
        <v>25.3</v>
      </c>
      <c r="X1652" s="2">
        <f t="shared" si="255"/>
        <v>1</v>
      </c>
      <c r="Y1652">
        <v>305.7</v>
      </c>
      <c r="Z1652" s="2" t="str">
        <f>CHOOSE(MATCH(Y1652,{0;11;80;111;161;191;241;281;341},1),"North","NorthEast","East","SouthEast","South","SouthWest","West","NorthWest","North")</f>
        <v>NorthWest</v>
      </c>
      <c r="AA1652" s="4">
        <f>CHOOSE(MATCH(Z1652,{"South";"SouthEast";"SouthWest";"North";"NorthEast";"East";"West";"NorthWest"},0),1,2,3,4,5,6,7,8)</f>
        <v>8</v>
      </c>
      <c r="AB1652" s="2">
        <f t="shared" si="256"/>
        <v>1</v>
      </c>
      <c r="AC1652">
        <v>1010.2</v>
      </c>
      <c r="AD1652" t="s">
        <v>1161</v>
      </c>
      <c r="AE1652" s="2">
        <f t="shared" si="257"/>
        <v>0</v>
      </c>
      <c r="AF1652" t="s">
        <v>3839</v>
      </c>
      <c r="AG1652" s="2">
        <f t="shared" si="258"/>
        <v>7</v>
      </c>
      <c r="AH1652" s="2">
        <f t="shared" si="259"/>
        <v>1</v>
      </c>
      <c r="AI1652" s="3">
        <v>1935</v>
      </c>
      <c r="AJ1652" s="2">
        <v>1</v>
      </c>
      <c r="AK1652">
        <v>0</v>
      </c>
      <c r="AL1652">
        <v>10</v>
      </c>
      <c r="AM1652">
        <v>0</v>
      </c>
      <c r="AN1652" s="2">
        <f>IF((2*G1652+M1652-O1652+3*V1652+2*AB1652+2*AE1652+2*AH1652+3*AJ1652)&gt;=7,1,0)</f>
        <v>1</v>
      </c>
    </row>
    <row r="1653" spans="1:40" x14ac:dyDescent="0.25">
      <c r="A1653" t="s">
        <v>27</v>
      </c>
      <c r="B1653" s="1">
        <v>41476</v>
      </c>
      <c r="C1653" s="6">
        <f t="shared" si="250"/>
        <v>2013</v>
      </c>
      <c r="D1653">
        <v>86</v>
      </c>
      <c r="E1653">
        <v>68</v>
      </c>
      <c r="F1653">
        <v>79.900000000000006</v>
      </c>
      <c r="G1653" s="2">
        <f t="shared" si="251"/>
        <v>1</v>
      </c>
      <c r="H1653">
        <v>86.7</v>
      </c>
      <c r="I1653">
        <v>68</v>
      </c>
      <c r="J1653">
        <v>80.599999999999994</v>
      </c>
      <c r="K1653">
        <v>62.2</v>
      </c>
      <c r="L1653">
        <v>55.4</v>
      </c>
      <c r="M1653" s="2">
        <f t="shared" si="252"/>
        <v>1</v>
      </c>
      <c r="N1653">
        <v>0</v>
      </c>
      <c r="O1653" s="2">
        <f t="shared" si="253"/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 s="2">
        <f t="shared" si="254"/>
        <v>0</v>
      </c>
      <c r="W1653">
        <v>24.2</v>
      </c>
      <c r="X1653" s="2">
        <f t="shared" si="255"/>
        <v>1</v>
      </c>
      <c r="Y1653">
        <v>305.10000000000002</v>
      </c>
      <c r="Z1653" s="2" t="str">
        <f>CHOOSE(MATCH(Y1653,{0;11;80;111;161;191;241;281;341},1),"North","NorthEast","East","SouthEast","South","SouthWest","West","NorthWest","North")</f>
        <v>NorthWest</v>
      </c>
      <c r="AA1653" s="4">
        <f>CHOOSE(MATCH(Z1653,{"South";"SouthEast";"SouthWest";"North";"NorthEast";"East";"West";"NorthWest"},0),1,2,3,4,5,6,7,8)</f>
        <v>8</v>
      </c>
      <c r="AB1653" s="2">
        <f t="shared" si="256"/>
        <v>1</v>
      </c>
      <c r="AC1653">
        <v>1009</v>
      </c>
      <c r="AD1653" t="s">
        <v>1252</v>
      </c>
      <c r="AE1653" s="2">
        <f t="shared" si="257"/>
        <v>1</v>
      </c>
      <c r="AF1653" t="s">
        <v>3840</v>
      </c>
      <c r="AG1653" s="2">
        <f t="shared" si="258"/>
        <v>7</v>
      </c>
      <c r="AH1653" s="2">
        <f t="shared" si="259"/>
        <v>1</v>
      </c>
      <c r="AI1653" s="3">
        <v>325.00000000116421</v>
      </c>
      <c r="AJ1653" s="2">
        <v>0</v>
      </c>
      <c r="AK1653">
        <v>0</v>
      </c>
      <c r="AL1653">
        <v>15</v>
      </c>
      <c r="AM1653">
        <v>0</v>
      </c>
      <c r="AN1653" s="2">
        <f>IF((2*G1653+M1653-O1653+3*V1653+2*AB1653+2*AE1653+2*AH1653+3*AJ1653)&gt;=7,1,0)</f>
        <v>1</v>
      </c>
    </row>
    <row r="1654" spans="1:40" x14ac:dyDescent="0.25">
      <c r="A1654" t="s">
        <v>27</v>
      </c>
      <c r="B1654" s="1">
        <v>41483</v>
      </c>
      <c r="C1654" s="6">
        <f t="shared" si="250"/>
        <v>2013</v>
      </c>
      <c r="D1654">
        <v>84.2</v>
      </c>
      <c r="E1654">
        <v>77</v>
      </c>
      <c r="F1654">
        <v>80.400000000000006</v>
      </c>
      <c r="G1654" s="2">
        <f t="shared" si="251"/>
        <v>1</v>
      </c>
      <c r="H1654">
        <v>85.7</v>
      </c>
      <c r="I1654">
        <v>77</v>
      </c>
      <c r="J1654">
        <v>81.2</v>
      </c>
      <c r="K1654">
        <v>64.3</v>
      </c>
      <c r="L1654">
        <v>58.5</v>
      </c>
      <c r="M1654" s="2">
        <f t="shared" si="252"/>
        <v>1</v>
      </c>
      <c r="N1654">
        <v>0</v>
      </c>
      <c r="O1654" s="2">
        <f t="shared" si="253"/>
        <v>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 s="2">
        <f t="shared" si="254"/>
        <v>0</v>
      </c>
      <c r="W1654">
        <v>19.600000000000001</v>
      </c>
      <c r="X1654" s="2">
        <f t="shared" si="255"/>
        <v>1</v>
      </c>
      <c r="Y1654">
        <v>316.10000000000002</v>
      </c>
      <c r="Z1654" s="2" t="str">
        <f>CHOOSE(MATCH(Y1654,{0;11;80;111;161;191;241;281;341},1),"North","NorthEast","East","SouthEast","South","SouthWest","West","NorthWest","North")</f>
        <v>NorthWest</v>
      </c>
      <c r="AA1654" s="4">
        <f>CHOOSE(MATCH(Z1654,{"South";"SouthEast";"SouthWest";"North";"NorthEast";"East";"West";"NorthWest"},0),1,2,3,4,5,6,7,8)</f>
        <v>8</v>
      </c>
      <c r="AB1654" s="2">
        <f t="shared" si="256"/>
        <v>1</v>
      </c>
      <c r="AC1654">
        <v>1012.1</v>
      </c>
      <c r="AD1654" t="s">
        <v>1748</v>
      </c>
      <c r="AE1654" s="2">
        <f t="shared" si="257"/>
        <v>1</v>
      </c>
      <c r="AF1654" t="s">
        <v>3841</v>
      </c>
      <c r="AG1654" s="2">
        <f t="shared" si="258"/>
        <v>7</v>
      </c>
      <c r="AH1654" s="2">
        <f t="shared" si="259"/>
        <v>1</v>
      </c>
      <c r="AI1654" s="3">
        <v>135</v>
      </c>
      <c r="AJ1654" s="2">
        <v>0</v>
      </c>
      <c r="AK1654">
        <v>0</v>
      </c>
      <c r="AL1654">
        <v>2</v>
      </c>
      <c r="AM1654">
        <v>0</v>
      </c>
      <c r="AN1654" s="2">
        <f>IF((2*G1654+M1654-O1654+3*V1654+2*AB1654+2*AE1654+2*AH1654+3*AJ1654)&gt;=7,1,0)</f>
        <v>1</v>
      </c>
    </row>
    <row r="1655" spans="1:40" x14ac:dyDescent="0.25">
      <c r="A1655" t="s">
        <v>27</v>
      </c>
      <c r="B1655" s="1">
        <v>41497</v>
      </c>
      <c r="C1655" s="6">
        <f t="shared" si="250"/>
        <v>2013</v>
      </c>
      <c r="D1655">
        <v>84.2</v>
      </c>
      <c r="E1655">
        <v>68</v>
      </c>
      <c r="F1655">
        <v>76.599999999999994</v>
      </c>
      <c r="G1655" s="2">
        <f t="shared" si="251"/>
        <v>1</v>
      </c>
      <c r="H1655">
        <v>87.4</v>
      </c>
      <c r="I1655">
        <v>68</v>
      </c>
      <c r="J1655">
        <v>78</v>
      </c>
      <c r="K1655">
        <v>64.099999999999994</v>
      </c>
      <c r="L1655">
        <v>65.599999999999994</v>
      </c>
      <c r="M1655" s="2">
        <f t="shared" si="252"/>
        <v>1</v>
      </c>
      <c r="N1655">
        <v>0</v>
      </c>
      <c r="O1655" s="2">
        <f t="shared" si="253"/>
        <v>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 s="2">
        <f t="shared" si="254"/>
        <v>0</v>
      </c>
      <c r="W1655">
        <v>21.9</v>
      </c>
      <c r="X1655" s="2">
        <f t="shared" si="255"/>
        <v>1</v>
      </c>
      <c r="Y1655">
        <v>303.5</v>
      </c>
      <c r="Z1655" s="2" t="str">
        <f>CHOOSE(MATCH(Y1655,{0;11;80;111;161;191;241;281;341},1),"North","NorthEast","East","SouthEast","South","SouthWest","West","NorthWest","North")</f>
        <v>NorthWest</v>
      </c>
      <c r="AA1655" s="4">
        <f>CHOOSE(MATCH(Z1655,{"South";"SouthEast";"SouthWest";"North";"NorthEast";"East";"West";"NorthWest"},0),1,2,3,4,5,6,7,8)</f>
        <v>8</v>
      </c>
      <c r="AB1655" s="2">
        <f t="shared" si="256"/>
        <v>1</v>
      </c>
      <c r="AC1655">
        <v>1005.7</v>
      </c>
      <c r="AD1655" t="s">
        <v>1798</v>
      </c>
      <c r="AE1655" s="2">
        <f t="shared" si="257"/>
        <v>0</v>
      </c>
      <c r="AF1655" t="s">
        <v>3842</v>
      </c>
      <c r="AG1655" s="2">
        <f t="shared" si="258"/>
        <v>8</v>
      </c>
      <c r="AH1655" s="2">
        <f t="shared" si="259"/>
        <v>1</v>
      </c>
      <c r="AI1655" s="3">
        <v>1210.0000000046571</v>
      </c>
      <c r="AJ1655" s="2">
        <v>1</v>
      </c>
      <c r="AK1655">
        <v>0</v>
      </c>
      <c r="AL1655">
        <v>6</v>
      </c>
      <c r="AM1655">
        <v>0</v>
      </c>
      <c r="AN1655" s="2">
        <f>IF((2*G1655+M1655-O1655+3*V1655+2*AB1655+2*AE1655+2*AH1655+3*AJ1655)&gt;=7,1,0)</f>
        <v>1</v>
      </c>
    </row>
    <row r="1656" spans="1:40" x14ac:dyDescent="0.25">
      <c r="A1656" t="s">
        <v>27</v>
      </c>
      <c r="B1656" s="1">
        <v>41498</v>
      </c>
      <c r="C1656" s="6">
        <f t="shared" si="250"/>
        <v>2013</v>
      </c>
      <c r="D1656">
        <v>84.2</v>
      </c>
      <c r="E1656">
        <v>75.2</v>
      </c>
      <c r="F1656">
        <v>79.400000000000006</v>
      </c>
      <c r="G1656" s="2">
        <f t="shared" si="251"/>
        <v>1</v>
      </c>
      <c r="H1656">
        <v>86.5</v>
      </c>
      <c r="I1656">
        <v>75.2</v>
      </c>
      <c r="J1656">
        <v>80.599999999999994</v>
      </c>
      <c r="K1656">
        <v>66</v>
      </c>
      <c r="L1656">
        <v>63.8</v>
      </c>
      <c r="M1656" s="2">
        <f t="shared" si="252"/>
        <v>1</v>
      </c>
      <c r="N1656">
        <v>0</v>
      </c>
      <c r="O1656" s="2">
        <f t="shared" si="253"/>
        <v>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 s="2">
        <f t="shared" si="254"/>
        <v>0</v>
      </c>
      <c r="W1656">
        <v>20.8</v>
      </c>
      <c r="X1656" s="2">
        <f t="shared" si="255"/>
        <v>1</v>
      </c>
      <c r="Y1656">
        <v>301.7</v>
      </c>
      <c r="Z1656" s="2" t="str">
        <f>CHOOSE(MATCH(Y1656,{0;11;80;111;161;191;241;281;341},1),"North","NorthEast","East","SouthEast","South","SouthWest","West","NorthWest","North")</f>
        <v>NorthWest</v>
      </c>
      <c r="AA1656" s="4">
        <f>CHOOSE(MATCH(Z1656,{"South";"SouthEast";"SouthWest";"North";"NorthEast";"East";"West";"NorthWest"},0),1,2,3,4,5,6,7,8)</f>
        <v>8</v>
      </c>
      <c r="AB1656" s="2">
        <f t="shared" si="256"/>
        <v>1</v>
      </c>
      <c r="AC1656">
        <v>1010.1</v>
      </c>
      <c r="AD1656" t="s">
        <v>1207</v>
      </c>
      <c r="AE1656" s="2">
        <f t="shared" si="257"/>
        <v>1</v>
      </c>
      <c r="AF1656" t="s">
        <v>3843</v>
      </c>
      <c r="AG1656" s="2">
        <f t="shared" si="258"/>
        <v>8</v>
      </c>
      <c r="AH1656" s="2">
        <f t="shared" si="259"/>
        <v>1</v>
      </c>
      <c r="AI1656" s="3">
        <v>1829.9999999930151</v>
      </c>
      <c r="AJ1656" s="2">
        <v>1</v>
      </c>
      <c r="AK1656">
        <v>0</v>
      </c>
      <c r="AL1656">
        <v>5</v>
      </c>
      <c r="AM1656">
        <v>0</v>
      </c>
      <c r="AN1656" s="2">
        <f>IF((2*G1656+M1656-O1656+3*V1656+2*AB1656+2*AE1656+2*AH1656+3*AJ1656)&gt;=7,1,0)</f>
        <v>1</v>
      </c>
    </row>
    <row r="1657" spans="1:40" x14ac:dyDescent="0.25">
      <c r="A1657" t="s">
        <v>27</v>
      </c>
      <c r="B1657" s="1">
        <v>41527</v>
      </c>
      <c r="C1657" s="6">
        <f t="shared" si="250"/>
        <v>2013</v>
      </c>
      <c r="D1657">
        <v>82.4</v>
      </c>
      <c r="E1657">
        <v>69.8</v>
      </c>
      <c r="F1657">
        <v>75.400000000000006</v>
      </c>
      <c r="G1657" s="2">
        <f t="shared" si="251"/>
        <v>1</v>
      </c>
      <c r="H1657">
        <v>84.7</v>
      </c>
      <c r="I1657">
        <v>69.8</v>
      </c>
      <c r="J1657">
        <v>75.8</v>
      </c>
      <c r="K1657">
        <v>62.9</v>
      </c>
      <c r="L1657">
        <v>65.7</v>
      </c>
      <c r="M1657" s="2">
        <f t="shared" si="252"/>
        <v>1</v>
      </c>
      <c r="N1657">
        <v>0</v>
      </c>
      <c r="O1657" s="2">
        <f t="shared" si="253"/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 s="2">
        <f t="shared" si="254"/>
        <v>0</v>
      </c>
      <c r="W1657">
        <v>11.4</v>
      </c>
      <c r="X1657" s="2">
        <f t="shared" si="255"/>
        <v>0</v>
      </c>
      <c r="Y1657">
        <v>325.2</v>
      </c>
      <c r="Z1657" s="2" t="str">
        <f>CHOOSE(MATCH(Y1657,{0;11;80;111;161;191;241;281;341},1),"North","NorthEast","East","SouthEast","South","SouthWest","West","NorthWest","North")</f>
        <v>NorthWest</v>
      </c>
      <c r="AA1657" s="4">
        <f>CHOOSE(MATCH(Z1657,{"South";"SouthEast";"SouthWest";"North";"NorthEast";"East";"West";"NorthWest"},0),1,2,3,4,5,6,7,8)</f>
        <v>8</v>
      </c>
      <c r="AB1657" s="2">
        <f t="shared" si="256"/>
        <v>1</v>
      </c>
      <c r="AC1657">
        <v>1017.1</v>
      </c>
      <c r="AD1657" t="s">
        <v>1988</v>
      </c>
      <c r="AE1657" s="2">
        <f t="shared" si="257"/>
        <v>0</v>
      </c>
      <c r="AF1657" t="s">
        <v>3844</v>
      </c>
      <c r="AG1657" s="2">
        <f t="shared" si="258"/>
        <v>9</v>
      </c>
      <c r="AH1657" s="2">
        <f t="shared" si="259"/>
        <v>0</v>
      </c>
      <c r="AI1657" s="3">
        <v>905.00000000582077</v>
      </c>
      <c r="AJ1657" s="2">
        <v>1</v>
      </c>
      <c r="AK1657">
        <v>0</v>
      </c>
      <c r="AL1657">
        <v>0.5</v>
      </c>
      <c r="AM1657">
        <v>0</v>
      </c>
      <c r="AN1657" s="2">
        <f>IF((2*G1657+M1657-O1657+3*V1657+2*AB1657+2*AE1657+2*AH1657+3*AJ1657)&gt;=7,1,0)</f>
        <v>1</v>
      </c>
    </row>
    <row r="1658" spans="1:40" x14ac:dyDescent="0.25">
      <c r="A1658" t="s">
        <v>27</v>
      </c>
      <c r="B1658" s="1">
        <v>41549</v>
      </c>
      <c r="C1658" s="6">
        <f t="shared" si="250"/>
        <v>2013</v>
      </c>
      <c r="D1658">
        <v>78.8</v>
      </c>
      <c r="E1658">
        <v>67.7</v>
      </c>
      <c r="F1658">
        <v>74.2</v>
      </c>
      <c r="G1658" s="2">
        <f t="shared" si="251"/>
        <v>1</v>
      </c>
      <c r="H1658">
        <v>78.8</v>
      </c>
      <c r="I1658">
        <v>67.7</v>
      </c>
      <c r="J1658">
        <v>74.2</v>
      </c>
      <c r="K1658">
        <v>63.1</v>
      </c>
      <c r="L1658">
        <v>68.7</v>
      </c>
      <c r="M1658" s="2">
        <f t="shared" si="252"/>
        <v>0</v>
      </c>
      <c r="N1658">
        <v>0.23599999999999999</v>
      </c>
      <c r="O1658" s="2">
        <f t="shared" si="253"/>
        <v>0</v>
      </c>
      <c r="P1658">
        <v>100</v>
      </c>
      <c r="Q1658">
        <v>4.17</v>
      </c>
      <c r="R1658" t="s">
        <v>182</v>
      </c>
      <c r="S1658">
        <v>0</v>
      </c>
      <c r="T1658">
        <v>0</v>
      </c>
      <c r="U1658">
        <v>0</v>
      </c>
      <c r="V1658" s="2">
        <f t="shared" si="254"/>
        <v>0</v>
      </c>
      <c r="W1658">
        <v>19.600000000000001</v>
      </c>
      <c r="X1658" s="2">
        <f t="shared" si="255"/>
        <v>1</v>
      </c>
      <c r="Y1658">
        <v>317.8</v>
      </c>
      <c r="Z1658" s="2" t="str">
        <f>CHOOSE(MATCH(Y1658,{0;11;80;111;161;191;241;281;341},1),"North","NorthEast","East","SouthEast","South","SouthWest","West","NorthWest","North")</f>
        <v>NorthWest</v>
      </c>
      <c r="AA1658" s="4">
        <f>CHOOSE(MATCH(Z1658,{"South";"SouthEast";"SouthWest";"North";"NorthEast";"East";"West";"NorthWest"},0),1,2,3,4,5,6,7,8)</f>
        <v>8</v>
      </c>
      <c r="AB1658" s="2">
        <f t="shared" si="256"/>
        <v>1</v>
      </c>
      <c r="AC1658">
        <v>1006.8</v>
      </c>
      <c r="AD1658" t="s">
        <v>1914</v>
      </c>
      <c r="AE1658" s="2">
        <f t="shared" si="257"/>
        <v>1</v>
      </c>
      <c r="AF1658" t="s">
        <v>3845</v>
      </c>
      <c r="AG1658" s="2">
        <f t="shared" si="258"/>
        <v>10</v>
      </c>
      <c r="AH1658" s="2">
        <f t="shared" si="259"/>
        <v>0</v>
      </c>
      <c r="AI1658" s="3">
        <v>90</v>
      </c>
      <c r="AJ1658" s="2">
        <v>0</v>
      </c>
      <c r="AK1658">
        <v>0</v>
      </c>
      <c r="AL1658">
        <v>0.2</v>
      </c>
      <c r="AM1658">
        <v>0</v>
      </c>
      <c r="AN1658" s="2">
        <f>IF((2*G1658+M1658-O1658+3*V1658+2*AB1658+2*AE1658+2*AH1658+3*AJ1658)&gt;=7,1,0)</f>
        <v>0</v>
      </c>
    </row>
    <row r="1659" spans="1:40" x14ac:dyDescent="0.25">
      <c r="A1659" t="s">
        <v>27</v>
      </c>
      <c r="B1659" s="1">
        <v>41551</v>
      </c>
      <c r="C1659" s="6">
        <f t="shared" si="250"/>
        <v>2013</v>
      </c>
      <c r="D1659">
        <v>68</v>
      </c>
      <c r="E1659">
        <v>61.6</v>
      </c>
      <c r="F1659">
        <v>64.400000000000006</v>
      </c>
      <c r="G1659" s="2">
        <f t="shared" si="251"/>
        <v>0</v>
      </c>
      <c r="H1659">
        <v>68</v>
      </c>
      <c r="I1659">
        <v>61.6</v>
      </c>
      <c r="J1659">
        <v>64.400000000000006</v>
      </c>
      <c r="K1659">
        <v>49.1</v>
      </c>
      <c r="L1659">
        <v>57.6</v>
      </c>
      <c r="M1659" s="2">
        <f t="shared" si="252"/>
        <v>1</v>
      </c>
      <c r="N1659">
        <v>0</v>
      </c>
      <c r="O1659" s="2">
        <f t="shared" si="253"/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 s="2">
        <f t="shared" si="254"/>
        <v>0</v>
      </c>
      <c r="W1659">
        <v>18.3</v>
      </c>
      <c r="X1659" s="2">
        <f t="shared" si="255"/>
        <v>1</v>
      </c>
      <c r="Y1659">
        <v>23.2</v>
      </c>
      <c r="Z1659" s="2" t="str">
        <f>CHOOSE(MATCH(Y1659,{0;11;80;111;161;191;241;281;341},1),"North","NorthEast","East","SouthEast","South","SouthWest","West","NorthWest","North")</f>
        <v>NorthEast</v>
      </c>
      <c r="AA1659" s="4">
        <f>CHOOSE(MATCH(Z1659,{"South";"SouthEast";"SouthWest";"North";"NorthEast";"East";"West";"NorthWest"},0),1,2,3,4,5,6,7,8)</f>
        <v>5</v>
      </c>
      <c r="AB1659" s="2">
        <f t="shared" si="256"/>
        <v>1</v>
      </c>
      <c r="AC1659">
        <v>1022.9</v>
      </c>
      <c r="AD1659" t="s">
        <v>2087</v>
      </c>
      <c r="AE1659" s="2">
        <f t="shared" si="257"/>
        <v>1</v>
      </c>
      <c r="AF1659" t="s">
        <v>3846</v>
      </c>
      <c r="AG1659" s="2">
        <f t="shared" si="258"/>
        <v>10</v>
      </c>
      <c r="AH1659" s="2">
        <f t="shared" si="259"/>
        <v>0</v>
      </c>
      <c r="AI1659" s="3">
        <v>65.000000002328306</v>
      </c>
      <c r="AJ1659" s="2">
        <v>0</v>
      </c>
      <c r="AK1659">
        <v>0</v>
      </c>
      <c r="AL1659">
        <v>0.5</v>
      </c>
      <c r="AM1659">
        <v>0</v>
      </c>
      <c r="AN1659" s="2">
        <f>IF((2*G1659+M1659-O1659+3*V1659+2*AB1659+2*AE1659+2*AH1659+3*AJ1659)&gt;=7,1,0)</f>
        <v>0</v>
      </c>
    </row>
    <row r="1660" spans="1:40" x14ac:dyDescent="0.25">
      <c r="A1660" t="s">
        <v>27</v>
      </c>
      <c r="B1660" s="1">
        <v>41553</v>
      </c>
      <c r="C1660" s="6">
        <f t="shared" si="250"/>
        <v>2013</v>
      </c>
      <c r="D1660">
        <v>68.099999999999994</v>
      </c>
      <c r="E1660">
        <v>59</v>
      </c>
      <c r="F1660">
        <v>64</v>
      </c>
      <c r="G1660" s="2">
        <f t="shared" si="251"/>
        <v>0</v>
      </c>
      <c r="H1660">
        <v>68.099999999999994</v>
      </c>
      <c r="I1660">
        <v>59</v>
      </c>
      <c r="J1660">
        <v>64</v>
      </c>
      <c r="K1660">
        <v>47.5</v>
      </c>
      <c r="L1660">
        <v>55.4</v>
      </c>
      <c r="M1660" s="2">
        <f t="shared" si="252"/>
        <v>1</v>
      </c>
      <c r="N1660">
        <v>0</v>
      </c>
      <c r="O1660" s="2">
        <f t="shared" si="253"/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 s="2">
        <f t="shared" si="254"/>
        <v>0</v>
      </c>
      <c r="W1660">
        <v>13.9</v>
      </c>
      <c r="X1660" s="2">
        <f t="shared" si="255"/>
        <v>0</v>
      </c>
      <c r="Y1660">
        <v>346</v>
      </c>
      <c r="Z1660" s="2" t="str">
        <f>CHOOSE(MATCH(Y1660,{0;11;80;111;161;191;241;281;341},1),"North","NorthEast","East","SouthEast","South","SouthWest","West","NorthWest","North")</f>
        <v>North</v>
      </c>
      <c r="AA1660" s="4">
        <f>CHOOSE(MATCH(Z1660,{"South";"SouthEast";"SouthWest";"North";"NorthEast";"East";"West";"NorthWest"},0),1,2,3,4,5,6,7,8)</f>
        <v>4</v>
      </c>
      <c r="AB1660" s="2">
        <f t="shared" si="256"/>
        <v>1</v>
      </c>
      <c r="AC1660">
        <v>1022.9</v>
      </c>
      <c r="AD1660" t="s">
        <v>1171</v>
      </c>
      <c r="AE1660" s="2">
        <f t="shared" si="257"/>
        <v>0</v>
      </c>
      <c r="AF1660" t="s">
        <v>3847</v>
      </c>
      <c r="AG1660" s="2">
        <f t="shared" si="258"/>
        <v>10</v>
      </c>
      <c r="AH1660" s="2">
        <f t="shared" si="259"/>
        <v>0</v>
      </c>
      <c r="AI1660" s="3">
        <v>700.00000000814907</v>
      </c>
      <c r="AJ1660" s="2">
        <v>1</v>
      </c>
      <c r="AK1660">
        <v>0</v>
      </c>
      <c r="AL1660">
        <v>5</v>
      </c>
      <c r="AM1660">
        <v>0</v>
      </c>
      <c r="AN1660" s="2">
        <f>IF((2*G1660+M1660-O1660+3*V1660+2*AB1660+2*AE1660+2*AH1660+3*AJ1660)&gt;=7,1,0)</f>
        <v>0</v>
      </c>
    </row>
    <row r="1661" spans="1:40" x14ac:dyDescent="0.25">
      <c r="A1661" t="s">
        <v>27</v>
      </c>
      <c r="B1661" s="1">
        <v>41561</v>
      </c>
      <c r="C1661" s="6">
        <f t="shared" si="250"/>
        <v>2013</v>
      </c>
      <c r="D1661">
        <v>77</v>
      </c>
      <c r="E1661">
        <v>66.599999999999994</v>
      </c>
      <c r="F1661">
        <v>73.599999999999994</v>
      </c>
      <c r="G1661" s="2">
        <f t="shared" si="251"/>
        <v>1</v>
      </c>
      <c r="H1661">
        <v>77</v>
      </c>
      <c r="I1661">
        <v>66.599999999999994</v>
      </c>
      <c r="J1661">
        <v>73.599999999999994</v>
      </c>
      <c r="K1661">
        <v>60.7</v>
      </c>
      <c r="L1661">
        <v>64.3</v>
      </c>
      <c r="M1661" s="2">
        <f t="shared" si="252"/>
        <v>1</v>
      </c>
      <c r="N1661">
        <v>0</v>
      </c>
      <c r="O1661" s="2">
        <f t="shared" si="253"/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 s="2">
        <f t="shared" si="254"/>
        <v>0</v>
      </c>
      <c r="W1661">
        <v>20.8</v>
      </c>
      <c r="X1661" s="2">
        <f t="shared" si="255"/>
        <v>1</v>
      </c>
      <c r="Y1661">
        <v>320.3</v>
      </c>
      <c r="Z1661" s="2" t="str">
        <f>CHOOSE(MATCH(Y1661,{0;11;80;111;161;191;241;281;341},1),"North","NorthEast","East","SouthEast","South","SouthWest","West","NorthWest","North")</f>
        <v>NorthWest</v>
      </c>
      <c r="AA1661" s="4">
        <f>CHOOSE(MATCH(Z1661,{"South";"SouthEast";"SouthWest";"North";"NorthEast";"East";"West";"NorthWest"},0),1,2,3,4,5,6,7,8)</f>
        <v>8</v>
      </c>
      <c r="AB1661" s="2">
        <f t="shared" si="256"/>
        <v>1</v>
      </c>
      <c r="AC1661">
        <v>1018.1</v>
      </c>
      <c r="AD1661" t="s">
        <v>1861</v>
      </c>
      <c r="AE1661" s="2">
        <f t="shared" si="257"/>
        <v>0</v>
      </c>
      <c r="AF1661" t="s">
        <v>3848</v>
      </c>
      <c r="AG1661" s="2">
        <f t="shared" si="258"/>
        <v>10</v>
      </c>
      <c r="AH1661" s="2">
        <f t="shared" si="259"/>
        <v>0</v>
      </c>
      <c r="AI1661" s="3">
        <v>155.00000000232831</v>
      </c>
      <c r="AJ1661" s="2">
        <v>0</v>
      </c>
      <c r="AK1661">
        <v>0</v>
      </c>
      <c r="AL1661">
        <v>0.2</v>
      </c>
      <c r="AM1661">
        <v>0</v>
      </c>
      <c r="AN1661" s="2">
        <f>IF((2*G1661+M1661-O1661+3*V1661+2*AB1661+2*AE1661+2*AH1661+3*AJ1661)&gt;=7,1,0)</f>
        <v>0</v>
      </c>
    </row>
    <row r="1662" spans="1:40" x14ac:dyDescent="0.25">
      <c r="A1662" t="s">
        <v>27</v>
      </c>
      <c r="B1662" s="1">
        <v>41566</v>
      </c>
      <c r="C1662" s="6">
        <f t="shared" si="250"/>
        <v>2013</v>
      </c>
      <c r="D1662">
        <v>75.2</v>
      </c>
      <c r="E1662">
        <v>59</v>
      </c>
      <c r="F1662">
        <v>66.7</v>
      </c>
      <c r="G1662" s="2">
        <f t="shared" si="251"/>
        <v>0</v>
      </c>
      <c r="H1662">
        <v>75.2</v>
      </c>
      <c r="I1662">
        <v>59</v>
      </c>
      <c r="J1662">
        <v>66.7</v>
      </c>
      <c r="K1662">
        <v>55</v>
      </c>
      <c r="L1662">
        <v>66.5</v>
      </c>
      <c r="M1662" s="2">
        <f t="shared" si="252"/>
        <v>0</v>
      </c>
      <c r="N1662">
        <v>0</v>
      </c>
      <c r="O1662" s="2">
        <f t="shared" si="253"/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 s="2">
        <f t="shared" si="254"/>
        <v>0</v>
      </c>
      <c r="W1662">
        <v>11.4</v>
      </c>
      <c r="X1662" s="2">
        <f t="shared" si="255"/>
        <v>0</v>
      </c>
      <c r="Y1662">
        <v>113.7</v>
      </c>
      <c r="Z1662" s="2" t="str">
        <f>CHOOSE(MATCH(Y1662,{0;11;80;111;161;191;241;281;341},1),"North","NorthEast","East","SouthEast","South","SouthWest","West","NorthWest","North")</f>
        <v>SouthEast</v>
      </c>
      <c r="AA1662" s="4">
        <f>CHOOSE(MATCH(Z1662,{"South";"SouthEast";"SouthWest";"North";"NorthEast";"East";"West";"NorthWest"},0),1,2,3,4,5,6,7,8)</f>
        <v>2</v>
      </c>
      <c r="AB1662" s="2">
        <f t="shared" si="256"/>
        <v>0</v>
      </c>
      <c r="AC1662">
        <v>1020.5</v>
      </c>
      <c r="AD1662" t="s">
        <v>3405</v>
      </c>
      <c r="AE1662" s="2">
        <f t="shared" si="257"/>
        <v>1</v>
      </c>
      <c r="AF1662" t="s">
        <v>3849</v>
      </c>
      <c r="AG1662" s="2">
        <f t="shared" si="258"/>
        <v>10</v>
      </c>
      <c r="AH1662" s="2">
        <f t="shared" si="259"/>
        <v>0</v>
      </c>
      <c r="AI1662" s="3">
        <v>124.9999999988358</v>
      </c>
      <c r="AJ1662" s="2">
        <v>0</v>
      </c>
      <c r="AK1662">
        <v>2</v>
      </c>
      <c r="AL1662">
        <v>0</v>
      </c>
      <c r="AM1662">
        <v>0</v>
      </c>
      <c r="AN1662" s="2">
        <f>IF((2*G1662+M1662-O1662+3*V1662+2*AB1662+2*AE1662+2*AH1662+3*AJ1662)&gt;=7,1,0)</f>
        <v>0</v>
      </c>
    </row>
    <row r="1663" spans="1:40" x14ac:dyDescent="0.25">
      <c r="A1663" t="s">
        <v>27</v>
      </c>
      <c r="B1663" s="1">
        <v>41581</v>
      </c>
      <c r="C1663" s="6">
        <f t="shared" si="250"/>
        <v>2013</v>
      </c>
      <c r="D1663">
        <v>71.599999999999994</v>
      </c>
      <c r="E1663">
        <v>57.2</v>
      </c>
      <c r="F1663">
        <v>63.7</v>
      </c>
      <c r="G1663" s="2">
        <f t="shared" si="251"/>
        <v>0</v>
      </c>
      <c r="H1663">
        <v>71.599999999999994</v>
      </c>
      <c r="I1663">
        <v>57.2</v>
      </c>
      <c r="J1663">
        <v>63.7</v>
      </c>
      <c r="K1663">
        <v>55.8</v>
      </c>
      <c r="L1663">
        <v>75.8</v>
      </c>
      <c r="M1663" s="2">
        <f t="shared" si="252"/>
        <v>0</v>
      </c>
      <c r="N1663">
        <v>0</v>
      </c>
      <c r="O1663" s="2">
        <f t="shared" si="253"/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 s="2">
        <f t="shared" si="254"/>
        <v>0</v>
      </c>
      <c r="W1663">
        <v>9.1999999999999993</v>
      </c>
      <c r="X1663" s="2">
        <f t="shared" si="255"/>
        <v>0</v>
      </c>
      <c r="Y1663">
        <v>166.8</v>
      </c>
      <c r="Z1663" s="2" t="str">
        <f>CHOOSE(MATCH(Y1663,{0;11;80;111;161;191;241;281;341},1),"North","NorthEast","East","SouthEast","South","SouthWest","West","NorthWest","North")</f>
        <v>South</v>
      </c>
      <c r="AA1663" s="4">
        <f>CHOOSE(MATCH(Z1663,{"South";"SouthEast";"SouthWest";"North";"NorthEast";"East";"West";"NorthWest"},0),1,2,3,4,5,6,7,8)</f>
        <v>1</v>
      </c>
      <c r="AB1663" s="2">
        <f t="shared" si="256"/>
        <v>0</v>
      </c>
      <c r="AC1663">
        <v>1018.6</v>
      </c>
      <c r="AD1663" t="s">
        <v>1201</v>
      </c>
      <c r="AE1663" s="2">
        <f t="shared" si="257"/>
        <v>1</v>
      </c>
      <c r="AF1663" t="s">
        <v>3850</v>
      </c>
      <c r="AG1663" s="2">
        <f t="shared" si="258"/>
        <v>11</v>
      </c>
      <c r="AH1663" s="2">
        <f t="shared" si="259"/>
        <v>0</v>
      </c>
      <c r="AI1663" s="3">
        <v>111.9999999983702</v>
      </c>
      <c r="AJ1663" s="2">
        <v>0</v>
      </c>
      <c r="AK1663">
        <v>0</v>
      </c>
      <c r="AL1663">
        <v>0.2</v>
      </c>
      <c r="AM1663">
        <v>0</v>
      </c>
      <c r="AN1663" s="2">
        <f>IF((2*G1663+M1663-O1663+3*V1663+2*AB1663+2*AE1663+2*AH1663+3*AJ1663)&gt;=7,1,0)</f>
        <v>0</v>
      </c>
    </row>
    <row r="1664" spans="1:40" x14ac:dyDescent="0.25">
      <c r="A1664" t="s">
        <v>27</v>
      </c>
      <c r="B1664" s="1">
        <v>41582</v>
      </c>
      <c r="C1664" s="6">
        <f t="shared" si="250"/>
        <v>2013</v>
      </c>
      <c r="D1664">
        <v>75.2</v>
      </c>
      <c r="E1664">
        <v>60.8</v>
      </c>
      <c r="F1664">
        <v>66.099999999999994</v>
      </c>
      <c r="G1664" s="2">
        <f t="shared" si="251"/>
        <v>0</v>
      </c>
      <c r="H1664">
        <v>75.2</v>
      </c>
      <c r="I1664">
        <v>60.8</v>
      </c>
      <c r="J1664">
        <v>66.099999999999994</v>
      </c>
      <c r="K1664">
        <v>55.7</v>
      </c>
      <c r="L1664">
        <v>70</v>
      </c>
      <c r="M1664" s="2">
        <f t="shared" si="252"/>
        <v>0</v>
      </c>
      <c r="N1664">
        <v>0</v>
      </c>
      <c r="O1664" s="2">
        <f t="shared" si="253"/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 s="2">
        <f t="shared" si="254"/>
        <v>0</v>
      </c>
      <c r="W1664">
        <v>13.9</v>
      </c>
      <c r="X1664" s="2">
        <f t="shared" si="255"/>
        <v>0</v>
      </c>
      <c r="Y1664">
        <v>161.1</v>
      </c>
      <c r="Z1664" s="2" t="str">
        <f>CHOOSE(MATCH(Y1664,{0;11;80;111;161;191;241;281;341},1),"North","NorthEast","East","SouthEast","South","SouthWest","West","NorthWest","North")</f>
        <v>South</v>
      </c>
      <c r="AA1664" s="4">
        <f>CHOOSE(MATCH(Z1664,{"South";"SouthEast";"SouthWest";"North";"NorthEast";"East";"West";"NorthWest"},0),1,2,3,4,5,6,7,8)</f>
        <v>1</v>
      </c>
      <c r="AB1664" s="2">
        <f t="shared" si="256"/>
        <v>0</v>
      </c>
      <c r="AC1664">
        <v>1017</v>
      </c>
      <c r="AD1664" t="s">
        <v>1203</v>
      </c>
      <c r="AE1664" s="2">
        <f t="shared" si="257"/>
        <v>1</v>
      </c>
      <c r="AF1664" t="s">
        <v>3851</v>
      </c>
      <c r="AG1664" s="2">
        <f t="shared" si="258"/>
        <v>11</v>
      </c>
      <c r="AH1664" s="2">
        <f t="shared" si="259"/>
        <v>0</v>
      </c>
      <c r="AI1664" s="3">
        <v>245.00000000232831</v>
      </c>
      <c r="AJ1664" s="2">
        <v>0</v>
      </c>
      <c r="AK1664">
        <v>0</v>
      </c>
      <c r="AL1664">
        <v>15</v>
      </c>
      <c r="AM1664">
        <v>0</v>
      </c>
      <c r="AN1664" s="2">
        <f>IF((2*G1664+M1664-O1664+3*V1664+2*AB1664+2*AE1664+2*AH1664+3*AJ1664)&gt;=7,1,0)</f>
        <v>0</v>
      </c>
    </row>
    <row r="1665" spans="1:40" x14ac:dyDescent="0.25">
      <c r="A1665" t="s">
        <v>27</v>
      </c>
      <c r="B1665" s="1">
        <v>41588</v>
      </c>
      <c r="C1665" s="6">
        <f t="shared" si="250"/>
        <v>2013</v>
      </c>
      <c r="D1665">
        <v>71.599999999999994</v>
      </c>
      <c r="E1665">
        <v>53.9</v>
      </c>
      <c r="F1665">
        <v>63.5</v>
      </c>
      <c r="G1665" s="2">
        <f t="shared" si="251"/>
        <v>0</v>
      </c>
      <c r="H1665">
        <v>71.599999999999994</v>
      </c>
      <c r="I1665">
        <v>53.9</v>
      </c>
      <c r="J1665">
        <v>63.5</v>
      </c>
      <c r="K1665">
        <v>58</v>
      </c>
      <c r="L1665">
        <v>82.8</v>
      </c>
      <c r="M1665" s="2">
        <f t="shared" si="252"/>
        <v>0</v>
      </c>
      <c r="N1665">
        <v>0</v>
      </c>
      <c r="O1665" s="2">
        <f t="shared" si="253"/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 s="2">
        <f t="shared" si="254"/>
        <v>0</v>
      </c>
      <c r="W1665">
        <v>9.1999999999999993</v>
      </c>
      <c r="X1665" s="2">
        <f t="shared" si="255"/>
        <v>0</v>
      </c>
      <c r="Y1665">
        <v>161.80000000000001</v>
      </c>
      <c r="Z1665" s="2" t="str">
        <f>CHOOSE(MATCH(Y1665,{0;11;80;111;161;191;241;281;341},1),"North","NorthEast","East","SouthEast","South","SouthWest","West","NorthWest","North")</f>
        <v>South</v>
      </c>
      <c r="AA1665" s="4">
        <f>CHOOSE(MATCH(Z1665,{"South";"SouthEast";"SouthWest";"North";"NorthEast";"East";"West";"NorthWest"},0),1,2,3,4,5,6,7,8)</f>
        <v>1</v>
      </c>
      <c r="AB1665" s="2">
        <f t="shared" si="256"/>
        <v>0</v>
      </c>
      <c r="AC1665">
        <v>1015.1</v>
      </c>
      <c r="AD1665" t="s">
        <v>1763</v>
      </c>
      <c r="AE1665" s="2">
        <f t="shared" si="257"/>
        <v>0</v>
      </c>
      <c r="AF1665" t="s">
        <v>3852</v>
      </c>
      <c r="AG1665" s="2">
        <f t="shared" si="258"/>
        <v>11</v>
      </c>
      <c r="AH1665" s="2">
        <f t="shared" si="259"/>
        <v>0</v>
      </c>
      <c r="AI1665" s="3">
        <v>455.00000000582082</v>
      </c>
      <c r="AJ1665" s="2">
        <v>1</v>
      </c>
      <c r="AK1665">
        <v>0</v>
      </c>
      <c r="AL1665">
        <v>2</v>
      </c>
      <c r="AM1665">
        <v>0</v>
      </c>
      <c r="AN1665" s="2">
        <f>IF((2*G1665+M1665-O1665+3*V1665+2*AB1665+2*AE1665+2*AH1665+3*AJ1665)&gt;=7,1,0)</f>
        <v>0</v>
      </c>
    </row>
    <row r="1666" spans="1:40" x14ac:dyDescent="0.25">
      <c r="A1666" t="s">
        <v>27</v>
      </c>
      <c r="B1666" s="1">
        <v>41590</v>
      </c>
      <c r="C1666" s="6">
        <f t="shared" si="250"/>
        <v>2013</v>
      </c>
      <c r="D1666">
        <v>77</v>
      </c>
      <c r="E1666">
        <v>64.400000000000006</v>
      </c>
      <c r="F1666">
        <v>69.900000000000006</v>
      </c>
      <c r="G1666" s="2">
        <f t="shared" si="251"/>
        <v>0</v>
      </c>
      <c r="H1666">
        <v>77</v>
      </c>
      <c r="I1666">
        <v>64.400000000000006</v>
      </c>
      <c r="J1666">
        <v>69.900000000000006</v>
      </c>
      <c r="K1666">
        <v>58.6</v>
      </c>
      <c r="L1666">
        <v>68.5</v>
      </c>
      <c r="M1666" s="2">
        <f t="shared" si="252"/>
        <v>0</v>
      </c>
      <c r="N1666">
        <v>0</v>
      </c>
      <c r="O1666" s="2">
        <f t="shared" si="253"/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 s="2">
        <f t="shared" si="254"/>
        <v>0</v>
      </c>
      <c r="W1666">
        <v>18.3</v>
      </c>
      <c r="X1666" s="2">
        <f t="shared" si="255"/>
        <v>1</v>
      </c>
      <c r="Y1666">
        <v>173.9</v>
      </c>
      <c r="Z1666" s="2" t="str">
        <f>CHOOSE(MATCH(Y1666,{0;11;80;111;161;191;241;281;341},1),"North","NorthEast","East","SouthEast","South","SouthWest","West","NorthWest","North")</f>
        <v>South</v>
      </c>
      <c r="AA1666" s="4">
        <f>CHOOSE(MATCH(Z1666,{"South";"SouthEast";"SouthWest";"North";"NorthEast";"East";"West";"NorthWest"},0),1,2,3,4,5,6,7,8)</f>
        <v>1</v>
      </c>
      <c r="AB1666" s="2">
        <f t="shared" si="256"/>
        <v>0</v>
      </c>
      <c r="AC1666">
        <v>1015.6</v>
      </c>
      <c r="AD1666" t="s">
        <v>1868</v>
      </c>
      <c r="AE1666" s="2">
        <f t="shared" si="257"/>
        <v>1</v>
      </c>
      <c r="AF1666" t="s">
        <v>3853</v>
      </c>
      <c r="AG1666" s="2">
        <f t="shared" si="258"/>
        <v>11</v>
      </c>
      <c r="AH1666" s="2">
        <f t="shared" si="259"/>
        <v>0</v>
      </c>
      <c r="AI1666" s="3">
        <v>180</v>
      </c>
      <c r="AJ1666" s="2">
        <v>0</v>
      </c>
      <c r="AK1666">
        <v>0</v>
      </c>
      <c r="AL1666">
        <v>2</v>
      </c>
      <c r="AM1666">
        <v>0</v>
      </c>
      <c r="AN1666" s="2">
        <f>IF((2*G1666+M1666-O1666+3*V1666+2*AB1666+2*AE1666+2*AH1666+3*AJ1666)&gt;=7,1,0)</f>
        <v>0</v>
      </c>
    </row>
    <row r="1667" spans="1:40" x14ac:dyDescent="0.25">
      <c r="A1667" t="s">
        <v>27</v>
      </c>
      <c r="B1667" s="1">
        <v>41596</v>
      </c>
      <c r="C1667" s="6">
        <f t="shared" ref="C1667:C1730" si="260">YEAR(B1667)</f>
        <v>2013</v>
      </c>
      <c r="D1667">
        <v>64.400000000000006</v>
      </c>
      <c r="E1667">
        <v>55.4</v>
      </c>
      <c r="F1667">
        <v>61.9</v>
      </c>
      <c r="G1667" s="2">
        <f t="shared" ref="G1667:G1730" si="261">IF(F1667&lt;=70,0,1)</f>
        <v>0</v>
      </c>
      <c r="H1667">
        <v>64.400000000000006</v>
      </c>
      <c r="I1667">
        <v>55.4</v>
      </c>
      <c r="J1667">
        <v>61.9</v>
      </c>
      <c r="K1667">
        <v>51.3</v>
      </c>
      <c r="L1667">
        <v>68.3</v>
      </c>
      <c r="M1667" s="2">
        <f t="shared" ref="M1667:M1730" si="262">IF(L1667&lt;=66,1,0)</f>
        <v>0</v>
      </c>
      <c r="N1667">
        <v>0</v>
      </c>
      <c r="O1667" s="2">
        <f t="shared" ref="O1667:O1730" si="263">IF(N1667&lt;=0.01,1,0)</f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 s="2">
        <f t="shared" ref="V1667:V1730" si="264">IF(U1667&lt;=9,0,1)</f>
        <v>0</v>
      </c>
      <c r="W1667">
        <v>17.2</v>
      </c>
      <c r="X1667" s="2">
        <f t="shared" ref="X1667:X1730" si="265">IF(W1667&gt;=16,1,0)</f>
        <v>1</v>
      </c>
      <c r="Y1667">
        <v>339.5</v>
      </c>
      <c r="Z1667" s="2" t="str">
        <f>CHOOSE(MATCH(Y1667,{0;11;80;111;161;191;241;281;341},1),"North","NorthEast","East","SouthEast","South","SouthWest","West","NorthWest","North")</f>
        <v>NorthWest</v>
      </c>
      <c r="AA1667" s="4">
        <f>CHOOSE(MATCH(Z1667,{"South";"SouthEast";"SouthWest";"North";"NorthEast";"East";"West";"NorthWest"},0),1,2,3,4,5,6,7,8)</f>
        <v>8</v>
      </c>
      <c r="AB1667" s="2">
        <f t="shared" ref="AB1667:AB1730" si="266">IF(OR(AA1667=4,AA1667=5,AA1667=8),1,0)</f>
        <v>1</v>
      </c>
      <c r="AC1667">
        <v>1018.4</v>
      </c>
      <c r="AD1667" t="s">
        <v>1759</v>
      </c>
      <c r="AE1667" s="2">
        <f t="shared" ref="AE1667:AE1730" si="267">IF(TIMEVALUE(AD1667)&lt;=TIME(12,30,0),0,1)</f>
        <v>1</v>
      </c>
      <c r="AF1667" t="s">
        <v>3854</v>
      </c>
      <c r="AG1667" s="2">
        <f t="shared" ref="AG1667:AG1730" si="268">MONTH(AF1667)</f>
        <v>11</v>
      </c>
      <c r="AH1667" s="2">
        <f t="shared" ref="AH1667:AH1730" si="269">IF(OR(AG1667=6,AG1667=7,AG1667=8),1,0)</f>
        <v>0</v>
      </c>
      <c r="AI1667" s="3">
        <v>155.00000000232831</v>
      </c>
      <c r="AJ1667" s="2">
        <v>0</v>
      </c>
      <c r="AK1667">
        <v>0</v>
      </c>
      <c r="AL1667">
        <v>5</v>
      </c>
      <c r="AM1667">
        <v>0</v>
      </c>
      <c r="AN1667" s="2">
        <f>IF((2*G1667+M1667-O1667+3*V1667+2*AB1667+2*AE1667+2*AH1667+3*AJ1667)&gt;=7,1,0)</f>
        <v>0</v>
      </c>
    </row>
    <row r="1668" spans="1:40" x14ac:dyDescent="0.25">
      <c r="A1668" t="s">
        <v>27</v>
      </c>
      <c r="B1668" s="1">
        <v>41606</v>
      </c>
      <c r="C1668" s="6">
        <f t="shared" si="260"/>
        <v>2013</v>
      </c>
      <c r="D1668">
        <v>60.8</v>
      </c>
      <c r="E1668">
        <v>55.4</v>
      </c>
      <c r="F1668">
        <v>57.9</v>
      </c>
      <c r="G1668" s="2">
        <f t="shared" si="261"/>
        <v>0</v>
      </c>
      <c r="H1668">
        <v>60.8</v>
      </c>
      <c r="I1668">
        <v>55.4</v>
      </c>
      <c r="J1668">
        <v>57.9</v>
      </c>
      <c r="K1668">
        <v>47</v>
      </c>
      <c r="L1668">
        <v>67.2</v>
      </c>
      <c r="M1668" s="2">
        <f t="shared" si="262"/>
        <v>0</v>
      </c>
      <c r="N1668">
        <v>0.02</v>
      </c>
      <c r="O1668" s="2">
        <f t="shared" si="263"/>
        <v>0</v>
      </c>
      <c r="P1668">
        <v>100</v>
      </c>
      <c r="Q1668">
        <v>4.17</v>
      </c>
      <c r="R1668" t="s">
        <v>182</v>
      </c>
      <c r="S1668">
        <v>0</v>
      </c>
      <c r="T1668">
        <v>0</v>
      </c>
      <c r="U1668">
        <v>0</v>
      </c>
      <c r="V1668" s="2">
        <f t="shared" si="264"/>
        <v>0</v>
      </c>
      <c r="W1668">
        <v>16.100000000000001</v>
      </c>
      <c r="X1668" s="2">
        <f t="shared" si="265"/>
        <v>1</v>
      </c>
      <c r="Y1668">
        <v>323.2</v>
      </c>
      <c r="Z1668" s="2" t="str">
        <f>CHOOSE(MATCH(Y1668,{0;11;80;111;161;191;241;281;341},1),"North","NorthEast","East","SouthEast","South","SouthWest","West","NorthWest","North")</f>
        <v>NorthWest</v>
      </c>
      <c r="AA1668" s="4">
        <f>CHOOSE(MATCH(Z1668,{"South";"SouthEast";"SouthWest";"North";"NorthEast";"East";"West";"NorthWest"},0),1,2,3,4,5,6,7,8)</f>
        <v>8</v>
      </c>
      <c r="AB1668" s="2">
        <f t="shared" si="266"/>
        <v>1</v>
      </c>
      <c r="AC1668">
        <v>1022.8</v>
      </c>
      <c r="AD1668" t="s">
        <v>1800</v>
      </c>
      <c r="AE1668" s="2">
        <f t="shared" si="267"/>
        <v>1</v>
      </c>
      <c r="AF1668" t="s">
        <v>3855</v>
      </c>
      <c r="AG1668" s="2">
        <f t="shared" si="268"/>
        <v>11</v>
      </c>
      <c r="AH1668" s="2">
        <f t="shared" si="269"/>
        <v>0</v>
      </c>
      <c r="AI1668" s="3">
        <v>280.00000000116421</v>
      </c>
      <c r="AJ1668" s="2">
        <v>0</v>
      </c>
      <c r="AK1668">
        <v>0</v>
      </c>
      <c r="AL1668">
        <v>15</v>
      </c>
      <c r="AM1668">
        <v>0</v>
      </c>
      <c r="AN1668" s="2">
        <f>IF((2*G1668+M1668-O1668+3*V1668+2*AB1668+2*AE1668+2*AH1668+3*AJ1668)&gt;=7,1,0)</f>
        <v>0</v>
      </c>
    </row>
    <row r="1669" spans="1:40" x14ac:dyDescent="0.25">
      <c r="A1669" t="s">
        <v>27</v>
      </c>
      <c r="B1669" s="1">
        <v>41614</v>
      </c>
      <c r="C1669" s="6">
        <f t="shared" si="260"/>
        <v>2013</v>
      </c>
      <c r="D1669">
        <v>62.6</v>
      </c>
      <c r="E1669">
        <v>51.8</v>
      </c>
      <c r="F1669">
        <v>56.3</v>
      </c>
      <c r="G1669" s="2">
        <f t="shared" si="261"/>
        <v>0</v>
      </c>
      <c r="H1669">
        <v>62.6</v>
      </c>
      <c r="I1669">
        <v>51.8</v>
      </c>
      <c r="J1669">
        <v>56.3</v>
      </c>
      <c r="K1669">
        <v>46.3</v>
      </c>
      <c r="L1669">
        <v>69.400000000000006</v>
      </c>
      <c r="M1669" s="2">
        <f t="shared" si="262"/>
        <v>0</v>
      </c>
      <c r="N1669">
        <v>0</v>
      </c>
      <c r="O1669" s="2">
        <f t="shared" si="263"/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 s="2">
        <f t="shared" si="264"/>
        <v>0</v>
      </c>
      <c r="W1669">
        <v>11.4</v>
      </c>
      <c r="X1669" s="2">
        <f t="shared" si="265"/>
        <v>0</v>
      </c>
      <c r="Y1669">
        <v>199</v>
      </c>
      <c r="Z1669" s="2" t="str">
        <f>CHOOSE(MATCH(Y1669,{0;11;80;111;161;191;241;281;341},1),"North","NorthEast","East","SouthEast","South","SouthWest","West","NorthWest","North")</f>
        <v>SouthWest</v>
      </c>
      <c r="AA1669" s="4">
        <f>CHOOSE(MATCH(Z1669,{"South";"SouthEast";"SouthWest";"North";"NorthEast";"East";"West";"NorthWest"},0),1,2,3,4,5,6,7,8)</f>
        <v>3</v>
      </c>
      <c r="AB1669" s="2">
        <f t="shared" si="266"/>
        <v>0</v>
      </c>
      <c r="AC1669">
        <v>1016</v>
      </c>
      <c r="AD1669" t="s">
        <v>1075</v>
      </c>
      <c r="AE1669" s="2">
        <f t="shared" si="267"/>
        <v>1</v>
      </c>
      <c r="AF1669" t="s">
        <v>3856</v>
      </c>
      <c r="AG1669" s="2">
        <f t="shared" si="268"/>
        <v>12</v>
      </c>
      <c r="AH1669" s="2">
        <f t="shared" si="269"/>
        <v>0</v>
      </c>
      <c r="AI1669" s="3">
        <v>115.0000000081491</v>
      </c>
      <c r="AJ1669" s="2">
        <v>0</v>
      </c>
      <c r="AK1669">
        <v>0</v>
      </c>
      <c r="AL1669">
        <v>1</v>
      </c>
      <c r="AM1669">
        <v>0</v>
      </c>
      <c r="AN1669" s="2">
        <f>IF((2*G1669+M1669-O1669+3*V1669+2*AB1669+2*AE1669+2*AH1669+3*AJ1669)&gt;=7,1,0)</f>
        <v>0</v>
      </c>
    </row>
    <row r="1670" spans="1:40" x14ac:dyDescent="0.25">
      <c r="A1670" t="s">
        <v>27</v>
      </c>
      <c r="B1670" s="1">
        <v>41327</v>
      </c>
      <c r="C1670" s="6">
        <f t="shared" si="260"/>
        <v>2013</v>
      </c>
      <c r="D1670">
        <v>71.599999999999994</v>
      </c>
      <c r="E1670">
        <v>55.4</v>
      </c>
      <c r="F1670">
        <v>64</v>
      </c>
      <c r="G1670" s="2">
        <f t="shared" si="261"/>
        <v>0</v>
      </c>
      <c r="H1670">
        <v>71.599999999999994</v>
      </c>
      <c r="I1670">
        <v>55.4</v>
      </c>
      <c r="J1670">
        <v>64</v>
      </c>
      <c r="K1670">
        <v>50.8</v>
      </c>
      <c r="L1670">
        <v>64.099999999999994</v>
      </c>
      <c r="M1670" s="2">
        <f t="shared" si="262"/>
        <v>1</v>
      </c>
      <c r="N1670">
        <v>0</v>
      </c>
      <c r="O1670" s="2">
        <f t="shared" si="263"/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 s="2">
        <f t="shared" si="264"/>
        <v>0</v>
      </c>
      <c r="W1670">
        <v>26.4</v>
      </c>
      <c r="X1670" s="2">
        <f t="shared" si="265"/>
        <v>1</v>
      </c>
      <c r="Y1670">
        <v>180</v>
      </c>
      <c r="Z1670" s="2" t="str">
        <f>CHOOSE(MATCH(Y1670,{0;11;80;111;161;191;241;281;341},1),"North","NorthEast","East","SouthEast","South","SouthWest","West","NorthWest","North")</f>
        <v>South</v>
      </c>
      <c r="AA1670" s="4">
        <f>CHOOSE(MATCH(Z1670,{"South";"SouthEast";"SouthWest";"North";"NorthEast";"East";"West";"NorthWest"},0),1,2,3,4,5,6,7,8)</f>
        <v>1</v>
      </c>
      <c r="AB1670" s="2">
        <f t="shared" si="266"/>
        <v>0</v>
      </c>
      <c r="AC1670">
        <v>1001.7</v>
      </c>
      <c r="AD1670" t="s">
        <v>1210</v>
      </c>
      <c r="AE1670" s="2">
        <f t="shared" si="267"/>
        <v>0</v>
      </c>
      <c r="AF1670" t="s">
        <v>3857</v>
      </c>
      <c r="AG1670" s="2">
        <f t="shared" si="268"/>
        <v>2</v>
      </c>
      <c r="AH1670" s="2">
        <f t="shared" si="269"/>
        <v>0</v>
      </c>
      <c r="AI1670" s="3">
        <v>390.00000000349252</v>
      </c>
      <c r="AJ1670" s="2">
        <v>1</v>
      </c>
      <c r="AK1670">
        <v>1.2</v>
      </c>
      <c r="AL1670">
        <v>0</v>
      </c>
      <c r="AM1670">
        <v>0</v>
      </c>
      <c r="AN1670" s="2">
        <f>IF((2*G1670+M1670-O1670+3*V1670+2*AB1670+2*AE1670+2*AH1670+3*AJ1670)&gt;=7,1,0)</f>
        <v>0</v>
      </c>
    </row>
    <row r="1671" spans="1:40" x14ac:dyDescent="0.25">
      <c r="A1671" t="s">
        <v>27</v>
      </c>
      <c r="B1671" s="1">
        <v>41330</v>
      </c>
      <c r="C1671" s="6">
        <f t="shared" si="260"/>
        <v>2013</v>
      </c>
      <c r="D1671">
        <v>71.599999999999994</v>
      </c>
      <c r="E1671">
        <v>55.4</v>
      </c>
      <c r="F1671">
        <v>63.3</v>
      </c>
      <c r="G1671" s="2">
        <f t="shared" si="261"/>
        <v>0</v>
      </c>
      <c r="H1671">
        <v>71.599999999999994</v>
      </c>
      <c r="I1671">
        <v>55.4</v>
      </c>
      <c r="J1671">
        <v>63.3</v>
      </c>
      <c r="K1671">
        <v>48.8</v>
      </c>
      <c r="L1671">
        <v>60</v>
      </c>
      <c r="M1671" s="2">
        <f t="shared" si="262"/>
        <v>1</v>
      </c>
      <c r="N1671">
        <v>0</v>
      </c>
      <c r="O1671" s="2">
        <f t="shared" si="263"/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32.200000000000003</v>
      </c>
      <c r="V1671" s="2">
        <f t="shared" si="264"/>
        <v>1</v>
      </c>
      <c r="W1671">
        <v>28.9</v>
      </c>
      <c r="X1671" s="2">
        <f t="shared" si="265"/>
        <v>1</v>
      </c>
      <c r="Y1671">
        <v>180.6</v>
      </c>
      <c r="Z1671" s="2" t="str">
        <f>CHOOSE(MATCH(Y1671,{0;11;80;111;161;191;241;281;341},1),"North","NorthEast","East","SouthEast","South","SouthWest","West","NorthWest","North")</f>
        <v>South</v>
      </c>
      <c r="AA1671" s="4">
        <f>CHOOSE(MATCH(Z1671,{"South";"SouthEast";"SouthWest";"North";"NorthEast";"East";"West";"NorthWest"},0),1,2,3,4,5,6,7,8)</f>
        <v>1</v>
      </c>
      <c r="AB1671" s="2">
        <f t="shared" si="266"/>
        <v>0</v>
      </c>
      <c r="AC1671">
        <v>1016.7</v>
      </c>
      <c r="AD1671" t="s">
        <v>3088</v>
      </c>
      <c r="AE1671" s="2">
        <f t="shared" si="267"/>
        <v>1</v>
      </c>
      <c r="AF1671" t="s">
        <v>3858</v>
      </c>
      <c r="AG1671" s="2">
        <f t="shared" si="268"/>
        <v>2</v>
      </c>
      <c r="AH1671" s="2">
        <f t="shared" si="269"/>
        <v>0</v>
      </c>
      <c r="AI1671" s="3">
        <v>158.00000000162979</v>
      </c>
      <c r="AJ1671" s="2">
        <v>0</v>
      </c>
      <c r="AK1671">
        <v>0</v>
      </c>
      <c r="AL1671">
        <v>1.3</v>
      </c>
      <c r="AM1671">
        <v>0</v>
      </c>
      <c r="AN1671" s="2">
        <f>IF((2*G1671+M1671-O1671+3*V1671+2*AB1671+2*AE1671+2*AH1671+3*AJ1671)&gt;=7,1,0)</f>
        <v>0</v>
      </c>
    </row>
    <row r="1672" spans="1:40" x14ac:dyDescent="0.25">
      <c r="A1672" t="s">
        <v>27</v>
      </c>
      <c r="B1672" s="1">
        <v>41346</v>
      </c>
      <c r="C1672" s="6">
        <f t="shared" si="260"/>
        <v>2013</v>
      </c>
      <c r="D1672">
        <v>66.2</v>
      </c>
      <c r="E1672">
        <v>48.6</v>
      </c>
      <c r="F1672">
        <v>60.1</v>
      </c>
      <c r="G1672" s="2">
        <f t="shared" si="261"/>
        <v>0</v>
      </c>
      <c r="H1672">
        <v>66.2</v>
      </c>
      <c r="I1672">
        <v>48</v>
      </c>
      <c r="J1672">
        <v>60.1</v>
      </c>
      <c r="K1672">
        <v>49.6</v>
      </c>
      <c r="L1672">
        <v>68.900000000000006</v>
      </c>
      <c r="M1672" s="2">
        <f t="shared" si="262"/>
        <v>0</v>
      </c>
      <c r="N1672">
        <v>0</v>
      </c>
      <c r="O1672" s="2">
        <f t="shared" si="263"/>
        <v>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 s="2">
        <f t="shared" si="264"/>
        <v>0</v>
      </c>
      <c r="W1672">
        <v>18.3</v>
      </c>
      <c r="X1672" s="2">
        <f t="shared" si="265"/>
        <v>1</v>
      </c>
      <c r="Y1672">
        <v>164.5</v>
      </c>
      <c r="Z1672" s="2" t="str">
        <f>CHOOSE(MATCH(Y1672,{0;11;80;111;161;191;241;281;341},1),"North","NorthEast","East","SouthEast","South","SouthWest","West","NorthWest","North")</f>
        <v>South</v>
      </c>
      <c r="AA1672" s="4">
        <f>CHOOSE(MATCH(Z1672,{"South";"SouthEast";"SouthWest";"North";"NorthEast";"East";"West";"NorthWest"},0),1,2,3,4,5,6,7,8)</f>
        <v>1</v>
      </c>
      <c r="AB1672" s="2">
        <f t="shared" si="266"/>
        <v>0</v>
      </c>
      <c r="AC1672">
        <v>1009.3</v>
      </c>
      <c r="AD1672" t="s">
        <v>1103</v>
      </c>
      <c r="AE1672" s="2">
        <f t="shared" si="267"/>
        <v>1</v>
      </c>
      <c r="AF1672" t="s">
        <v>3859</v>
      </c>
      <c r="AG1672" s="2">
        <f t="shared" si="268"/>
        <v>3</v>
      </c>
      <c r="AH1672" s="2">
        <f t="shared" si="269"/>
        <v>0</v>
      </c>
      <c r="AI1672" s="3">
        <v>59.99999999650754</v>
      </c>
      <c r="AJ1672" s="2">
        <v>0</v>
      </c>
      <c r="AK1672">
        <v>0</v>
      </c>
      <c r="AL1672">
        <v>3</v>
      </c>
      <c r="AM1672">
        <v>0</v>
      </c>
      <c r="AN1672" s="2">
        <f>IF((2*G1672+M1672-O1672+3*V1672+2*AB1672+2*AE1672+2*AH1672+3*AJ1672)&gt;=7,1,0)</f>
        <v>0</v>
      </c>
    </row>
    <row r="1673" spans="1:40" x14ac:dyDescent="0.25">
      <c r="A1673" t="s">
        <v>27</v>
      </c>
      <c r="B1673" s="1">
        <v>41346</v>
      </c>
      <c r="C1673" s="6">
        <f t="shared" si="260"/>
        <v>2013</v>
      </c>
      <c r="D1673">
        <v>66.2</v>
      </c>
      <c r="E1673">
        <v>48.6</v>
      </c>
      <c r="F1673">
        <v>60.1</v>
      </c>
      <c r="G1673" s="2">
        <f t="shared" si="261"/>
        <v>0</v>
      </c>
      <c r="H1673">
        <v>66.2</v>
      </c>
      <c r="I1673">
        <v>48</v>
      </c>
      <c r="J1673">
        <v>60.1</v>
      </c>
      <c r="K1673">
        <v>49.6</v>
      </c>
      <c r="L1673">
        <v>68.900000000000006</v>
      </c>
      <c r="M1673" s="2">
        <f t="shared" si="262"/>
        <v>0</v>
      </c>
      <c r="N1673">
        <v>0</v>
      </c>
      <c r="O1673" s="2">
        <f t="shared" si="263"/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 s="2">
        <f t="shared" si="264"/>
        <v>0</v>
      </c>
      <c r="W1673">
        <v>18.3</v>
      </c>
      <c r="X1673" s="2">
        <f t="shared" si="265"/>
        <v>1</v>
      </c>
      <c r="Y1673">
        <v>164.5</v>
      </c>
      <c r="Z1673" s="2" t="str">
        <f>CHOOSE(MATCH(Y1673,{0;11;80;111;161;191;241;281;341},1),"North","NorthEast","East","SouthEast","South","SouthWest","West","NorthWest","North")</f>
        <v>South</v>
      </c>
      <c r="AA1673" s="4">
        <f>CHOOSE(MATCH(Z1673,{"South";"SouthEast";"SouthWest";"North";"NorthEast";"East";"West";"NorthWest"},0),1,2,3,4,5,6,7,8)</f>
        <v>1</v>
      </c>
      <c r="AB1673" s="2">
        <f t="shared" si="266"/>
        <v>0</v>
      </c>
      <c r="AC1673">
        <v>1009.3</v>
      </c>
      <c r="AD1673" t="s">
        <v>1203</v>
      </c>
      <c r="AE1673" s="2">
        <f t="shared" si="267"/>
        <v>1</v>
      </c>
      <c r="AF1673" t="s">
        <v>3860</v>
      </c>
      <c r="AG1673" s="2">
        <f t="shared" si="268"/>
        <v>3</v>
      </c>
      <c r="AH1673" s="2">
        <f t="shared" si="269"/>
        <v>0</v>
      </c>
      <c r="AI1673" s="3">
        <v>249.99999999767169</v>
      </c>
      <c r="AJ1673" s="2">
        <v>0</v>
      </c>
      <c r="AK1673">
        <v>0</v>
      </c>
      <c r="AL1673">
        <v>10</v>
      </c>
      <c r="AM1673">
        <v>0</v>
      </c>
      <c r="AN1673" s="2">
        <f>IF((2*G1673+M1673-O1673+3*V1673+2*AB1673+2*AE1673+2*AH1673+3*AJ1673)&gt;=7,1,0)</f>
        <v>0</v>
      </c>
    </row>
    <row r="1674" spans="1:40" x14ac:dyDescent="0.25">
      <c r="A1674" t="s">
        <v>27</v>
      </c>
      <c r="B1674" s="1">
        <v>41353</v>
      </c>
      <c r="C1674" s="6">
        <f t="shared" si="260"/>
        <v>2013</v>
      </c>
      <c r="D1674">
        <v>73.400000000000006</v>
      </c>
      <c r="E1674">
        <v>59</v>
      </c>
      <c r="F1674">
        <v>65.5</v>
      </c>
      <c r="G1674" s="2">
        <f t="shared" si="261"/>
        <v>0</v>
      </c>
      <c r="H1674">
        <v>73.400000000000006</v>
      </c>
      <c r="I1674">
        <v>59</v>
      </c>
      <c r="J1674">
        <v>65.5</v>
      </c>
      <c r="K1674">
        <v>43.9</v>
      </c>
      <c r="L1674">
        <v>46</v>
      </c>
      <c r="M1674" s="2">
        <f t="shared" si="262"/>
        <v>1</v>
      </c>
      <c r="N1674">
        <v>0</v>
      </c>
      <c r="O1674" s="2">
        <f t="shared" si="263"/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 s="2">
        <f t="shared" si="264"/>
        <v>0</v>
      </c>
      <c r="W1674">
        <v>33.299999999999997</v>
      </c>
      <c r="X1674" s="2">
        <f t="shared" si="265"/>
        <v>1</v>
      </c>
      <c r="Y1674">
        <v>173.1</v>
      </c>
      <c r="Z1674" s="2" t="str">
        <f>CHOOSE(MATCH(Y1674,{0;11;80;111;161;191;241;281;341},1),"North","NorthEast","East","SouthEast","South","SouthWest","West","NorthWest","North")</f>
        <v>South</v>
      </c>
      <c r="AA1674" s="4">
        <f>CHOOSE(MATCH(Z1674,{"South";"SouthEast";"SouthWest";"North";"NorthEast";"East";"West";"NorthWest"},0),1,2,3,4,5,6,7,8)</f>
        <v>1</v>
      </c>
      <c r="AB1674" s="2">
        <f t="shared" si="266"/>
        <v>0</v>
      </c>
      <c r="AC1674">
        <v>1010.8</v>
      </c>
      <c r="AD1674" t="s">
        <v>3861</v>
      </c>
      <c r="AE1674" s="2">
        <f t="shared" si="267"/>
        <v>0</v>
      </c>
      <c r="AF1674" t="s">
        <v>3862</v>
      </c>
      <c r="AG1674" s="2">
        <f t="shared" si="268"/>
        <v>3</v>
      </c>
      <c r="AH1674" s="2">
        <f t="shared" si="269"/>
        <v>0</v>
      </c>
      <c r="AI1674" s="3">
        <v>120.0000000034925</v>
      </c>
      <c r="AJ1674" s="2">
        <v>0</v>
      </c>
      <c r="AK1674">
        <v>0</v>
      </c>
      <c r="AL1674">
        <v>0.3</v>
      </c>
      <c r="AM1674">
        <v>0</v>
      </c>
      <c r="AN1674" s="2">
        <f>IF((2*G1674+M1674-O1674+3*V1674+2*AB1674+2*AE1674+2*AH1674+3*AJ1674)&gt;=7,1,0)</f>
        <v>0</v>
      </c>
    </row>
    <row r="1675" spans="1:40" x14ac:dyDescent="0.25">
      <c r="A1675" t="s">
        <v>27</v>
      </c>
      <c r="B1675" s="1">
        <v>41354</v>
      </c>
      <c r="C1675" s="6">
        <f t="shared" si="260"/>
        <v>2013</v>
      </c>
      <c r="D1675">
        <v>73.400000000000006</v>
      </c>
      <c r="E1675">
        <v>61.4</v>
      </c>
      <c r="F1675">
        <v>67.400000000000006</v>
      </c>
      <c r="G1675" s="2">
        <f t="shared" si="261"/>
        <v>0</v>
      </c>
      <c r="H1675">
        <v>73.400000000000006</v>
      </c>
      <c r="I1675">
        <v>61.4</v>
      </c>
      <c r="J1675">
        <v>67.400000000000006</v>
      </c>
      <c r="K1675">
        <v>46.3</v>
      </c>
      <c r="L1675">
        <v>47.5</v>
      </c>
      <c r="M1675" s="2">
        <f t="shared" si="262"/>
        <v>1</v>
      </c>
      <c r="N1675">
        <v>0</v>
      </c>
      <c r="O1675" s="2">
        <f t="shared" si="263"/>
        <v>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45</v>
      </c>
      <c r="V1675" s="2">
        <f t="shared" si="264"/>
        <v>1</v>
      </c>
      <c r="W1675">
        <v>39.1</v>
      </c>
      <c r="X1675" s="2">
        <f t="shared" si="265"/>
        <v>1</v>
      </c>
      <c r="Y1675">
        <v>177.5</v>
      </c>
      <c r="Z1675" s="2" t="str">
        <f>CHOOSE(MATCH(Y1675,{0;11;80;111;161;191;241;281;341},1),"North","NorthEast","East","SouthEast","South","SouthWest","West","NorthWest","North")</f>
        <v>South</v>
      </c>
      <c r="AA1675" s="4">
        <f>CHOOSE(MATCH(Z1675,{"South";"SouthEast";"SouthWest";"North";"NorthEast";"East";"West";"NorthWest"},0),1,2,3,4,5,6,7,8)</f>
        <v>1</v>
      </c>
      <c r="AB1675" s="2">
        <f t="shared" si="266"/>
        <v>0</v>
      </c>
      <c r="AC1675">
        <v>1005</v>
      </c>
      <c r="AD1675" t="s">
        <v>3863</v>
      </c>
      <c r="AE1675" s="2">
        <f t="shared" si="267"/>
        <v>1</v>
      </c>
      <c r="AF1675" t="s">
        <v>3864</v>
      </c>
      <c r="AG1675" s="2">
        <f t="shared" si="268"/>
        <v>3</v>
      </c>
      <c r="AH1675" s="2">
        <f t="shared" si="269"/>
        <v>0</v>
      </c>
      <c r="AI1675" s="3">
        <v>142.00000000186259</v>
      </c>
      <c r="AJ1675" s="2">
        <v>0</v>
      </c>
      <c r="AK1675">
        <v>0</v>
      </c>
      <c r="AL1675">
        <v>2.5</v>
      </c>
      <c r="AM1675">
        <v>0</v>
      </c>
      <c r="AN1675" s="2">
        <f>IF((2*G1675+M1675-O1675+3*V1675+2*AB1675+2*AE1675+2*AH1675+3*AJ1675)&gt;=7,1,0)</f>
        <v>0</v>
      </c>
    </row>
    <row r="1676" spans="1:40" x14ac:dyDescent="0.25">
      <c r="A1676" t="s">
        <v>27</v>
      </c>
      <c r="B1676" s="1">
        <v>41354</v>
      </c>
      <c r="C1676" s="6">
        <f t="shared" si="260"/>
        <v>2013</v>
      </c>
      <c r="D1676">
        <v>73.400000000000006</v>
      </c>
      <c r="E1676">
        <v>61.4</v>
      </c>
      <c r="F1676">
        <v>67.400000000000006</v>
      </c>
      <c r="G1676" s="2">
        <f t="shared" si="261"/>
        <v>0</v>
      </c>
      <c r="H1676">
        <v>73.400000000000006</v>
      </c>
      <c r="I1676">
        <v>61.4</v>
      </c>
      <c r="J1676">
        <v>67.400000000000006</v>
      </c>
      <c r="K1676">
        <v>46.3</v>
      </c>
      <c r="L1676">
        <v>47.5</v>
      </c>
      <c r="M1676" s="2">
        <f t="shared" si="262"/>
        <v>1</v>
      </c>
      <c r="N1676">
        <v>0</v>
      </c>
      <c r="O1676" s="2">
        <f t="shared" si="263"/>
        <v>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45</v>
      </c>
      <c r="V1676" s="2">
        <f t="shared" si="264"/>
        <v>1</v>
      </c>
      <c r="W1676">
        <v>39.1</v>
      </c>
      <c r="X1676" s="2">
        <f t="shared" si="265"/>
        <v>1</v>
      </c>
      <c r="Y1676">
        <v>177.5</v>
      </c>
      <c r="Z1676" s="2" t="str">
        <f>CHOOSE(MATCH(Y1676,{0;11;80;111;161;191;241;281;341},1),"North","NorthEast","East","SouthEast","South","SouthWest","West","NorthWest","North")</f>
        <v>South</v>
      </c>
      <c r="AA1676" s="4">
        <f>CHOOSE(MATCH(Z1676,{"South";"SouthEast";"SouthWest";"North";"NorthEast";"East";"West";"NorthWest"},0),1,2,3,4,5,6,7,8)</f>
        <v>1</v>
      </c>
      <c r="AB1676" s="2">
        <f t="shared" si="266"/>
        <v>0</v>
      </c>
      <c r="AC1676">
        <v>1005</v>
      </c>
      <c r="AD1676" t="s">
        <v>1218</v>
      </c>
      <c r="AE1676" s="2">
        <f t="shared" si="267"/>
        <v>0</v>
      </c>
      <c r="AF1676" t="s">
        <v>3865</v>
      </c>
      <c r="AG1676" s="2">
        <f t="shared" si="268"/>
        <v>3</v>
      </c>
      <c r="AH1676" s="2">
        <f t="shared" si="269"/>
        <v>0</v>
      </c>
      <c r="AI1676" s="3">
        <v>120.0000000034925</v>
      </c>
      <c r="AJ1676" s="2">
        <v>0</v>
      </c>
      <c r="AK1676">
        <v>0</v>
      </c>
      <c r="AL1676">
        <v>0.2</v>
      </c>
      <c r="AM1676">
        <v>0</v>
      </c>
      <c r="AN1676" s="2">
        <f>IF((2*G1676+M1676-O1676+3*V1676+2*AB1676+2*AE1676+2*AH1676+3*AJ1676)&gt;=7,1,0)</f>
        <v>0</v>
      </c>
    </row>
    <row r="1677" spans="1:40" x14ac:dyDescent="0.25">
      <c r="A1677" t="s">
        <v>27</v>
      </c>
      <c r="B1677" s="1">
        <v>41357</v>
      </c>
      <c r="C1677" s="6">
        <f t="shared" si="260"/>
        <v>2013</v>
      </c>
      <c r="D1677">
        <v>71.599999999999994</v>
      </c>
      <c r="E1677">
        <v>46.4</v>
      </c>
      <c r="F1677">
        <v>58.7</v>
      </c>
      <c r="G1677" s="2">
        <f t="shared" si="261"/>
        <v>0</v>
      </c>
      <c r="H1677">
        <v>71.599999999999994</v>
      </c>
      <c r="I1677">
        <v>41.5</v>
      </c>
      <c r="J1677">
        <v>57.7</v>
      </c>
      <c r="K1677">
        <v>44</v>
      </c>
      <c r="L1677">
        <v>59.5</v>
      </c>
      <c r="M1677" s="2">
        <f t="shared" si="262"/>
        <v>1</v>
      </c>
      <c r="N1677">
        <v>0</v>
      </c>
      <c r="O1677" s="2">
        <f t="shared" si="263"/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31.1</v>
      </c>
      <c r="V1677" s="2">
        <f t="shared" si="264"/>
        <v>1</v>
      </c>
      <c r="W1677">
        <v>26.4</v>
      </c>
      <c r="X1677" s="2">
        <f t="shared" si="265"/>
        <v>1</v>
      </c>
      <c r="Y1677">
        <v>161.6</v>
      </c>
      <c r="Z1677" s="2" t="str">
        <f>CHOOSE(MATCH(Y1677,{0;11;80;111;161;191;241;281;341},1),"North","NorthEast","East","SouthEast","South","SouthWest","West","NorthWest","North")</f>
        <v>South</v>
      </c>
      <c r="AA1677" s="4">
        <f>CHOOSE(MATCH(Z1677,{"South";"SouthEast";"SouthWest";"North";"NorthEast";"East";"West";"NorthWest"},0),1,2,3,4,5,6,7,8)</f>
        <v>1</v>
      </c>
      <c r="AB1677" s="2">
        <f t="shared" si="266"/>
        <v>0</v>
      </c>
      <c r="AC1677">
        <v>1014.5</v>
      </c>
      <c r="AD1677" t="s">
        <v>1205</v>
      </c>
      <c r="AE1677" s="2">
        <f t="shared" si="267"/>
        <v>1</v>
      </c>
      <c r="AF1677" t="s">
        <v>3866</v>
      </c>
      <c r="AG1677" s="2">
        <f t="shared" si="268"/>
        <v>3</v>
      </c>
      <c r="AH1677" s="2">
        <f t="shared" si="269"/>
        <v>0</v>
      </c>
      <c r="AI1677" s="3">
        <v>180</v>
      </c>
      <c r="AJ1677" s="2">
        <v>0</v>
      </c>
      <c r="AK1677">
        <v>0</v>
      </c>
      <c r="AL1677">
        <v>1</v>
      </c>
      <c r="AM1677">
        <v>0</v>
      </c>
      <c r="AN1677" s="2">
        <f>IF((2*G1677+M1677-O1677+3*V1677+2*AB1677+2*AE1677+2*AH1677+3*AJ1677)&gt;=7,1,0)</f>
        <v>0</v>
      </c>
    </row>
    <row r="1678" spans="1:40" x14ac:dyDescent="0.25">
      <c r="A1678" t="s">
        <v>27</v>
      </c>
      <c r="B1678" s="1">
        <v>41358</v>
      </c>
      <c r="C1678" s="6">
        <f t="shared" si="260"/>
        <v>2013</v>
      </c>
      <c r="D1678">
        <v>69.900000000000006</v>
      </c>
      <c r="E1678">
        <v>57.2</v>
      </c>
      <c r="F1678">
        <v>63.9</v>
      </c>
      <c r="G1678" s="2">
        <f t="shared" si="261"/>
        <v>0</v>
      </c>
      <c r="H1678">
        <v>69.900000000000006</v>
      </c>
      <c r="I1678">
        <v>57.2</v>
      </c>
      <c r="J1678">
        <v>63.9</v>
      </c>
      <c r="K1678">
        <v>44.8</v>
      </c>
      <c r="L1678">
        <v>50.4</v>
      </c>
      <c r="M1678" s="2">
        <f t="shared" si="262"/>
        <v>1</v>
      </c>
      <c r="N1678">
        <v>0</v>
      </c>
      <c r="O1678" s="2">
        <f t="shared" si="263"/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47.2</v>
      </c>
      <c r="V1678" s="2">
        <f t="shared" si="264"/>
        <v>1</v>
      </c>
      <c r="W1678">
        <v>35.6</v>
      </c>
      <c r="X1678" s="2">
        <f t="shared" si="265"/>
        <v>1</v>
      </c>
      <c r="Y1678">
        <v>184.9</v>
      </c>
      <c r="Z1678" s="2" t="str">
        <f>CHOOSE(MATCH(Y1678,{0;11;80;111;161;191;241;281;341},1),"North","NorthEast","East","SouthEast","South","SouthWest","West","NorthWest","North")</f>
        <v>South</v>
      </c>
      <c r="AA1678" s="4">
        <f>CHOOSE(MATCH(Z1678,{"South";"SouthEast";"SouthWest";"North";"NorthEast";"East";"West";"NorthWest"},0),1,2,3,4,5,6,7,8)</f>
        <v>1</v>
      </c>
      <c r="AB1678" s="2">
        <f t="shared" si="266"/>
        <v>0</v>
      </c>
      <c r="AC1678">
        <v>1008.7</v>
      </c>
      <c r="AD1678" t="s">
        <v>3867</v>
      </c>
      <c r="AE1678" s="2">
        <f t="shared" si="267"/>
        <v>0</v>
      </c>
      <c r="AF1678" t="s">
        <v>3868</v>
      </c>
      <c r="AG1678" s="2">
        <f t="shared" si="268"/>
        <v>3</v>
      </c>
      <c r="AH1678" s="2">
        <f t="shared" si="269"/>
        <v>0</v>
      </c>
      <c r="AI1678" s="3">
        <v>135.99999999278231</v>
      </c>
      <c r="AJ1678" s="2">
        <v>0</v>
      </c>
      <c r="AK1678">
        <v>2</v>
      </c>
      <c r="AL1678">
        <v>0</v>
      </c>
      <c r="AM1678">
        <v>0</v>
      </c>
      <c r="AN1678" s="2">
        <f>IF((2*G1678+M1678-O1678+3*V1678+2*AB1678+2*AE1678+2*AH1678+3*AJ1678)&gt;=7,1,0)</f>
        <v>0</v>
      </c>
    </row>
    <row r="1679" spans="1:40" x14ac:dyDescent="0.25">
      <c r="A1679" t="s">
        <v>27</v>
      </c>
      <c r="B1679" s="1">
        <v>41358</v>
      </c>
      <c r="C1679" s="6">
        <f t="shared" si="260"/>
        <v>2013</v>
      </c>
      <c r="D1679">
        <v>69.900000000000006</v>
      </c>
      <c r="E1679">
        <v>57.2</v>
      </c>
      <c r="F1679">
        <v>63.9</v>
      </c>
      <c r="G1679" s="2">
        <f t="shared" si="261"/>
        <v>0</v>
      </c>
      <c r="H1679">
        <v>69.900000000000006</v>
      </c>
      <c r="I1679">
        <v>57.2</v>
      </c>
      <c r="J1679">
        <v>63.9</v>
      </c>
      <c r="K1679">
        <v>44.8</v>
      </c>
      <c r="L1679">
        <v>50.4</v>
      </c>
      <c r="M1679" s="2">
        <f t="shared" si="262"/>
        <v>1</v>
      </c>
      <c r="N1679">
        <v>0</v>
      </c>
      <c r="O1679" s="2">
        <f t="shared" si="263"/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47.2</v>
      </c>
      <c r="V1679" s="2">
        <f t="shared" si="264"/>
        <v>1</v>
      </c>
      <c r="W1679">
        <v>35.6</v>
      </c>
      <c r="X1679" s="2">
        <f t="shared" si="265"/>
        <v>1</v>
      </c>
      <c r="Y1679">
        <v>184.9</v>
      </c>
      <c r="Z1679" s="2" t="str">
        <f>CHOOSE(MATCH(Y1679,{0;11;80;111;161;191;241;281;341},1),"North","NorthEast","East","SouthEast","South","SouthWest","West","NorthWest","North")</f>
        <v>South</v>
      </c>
      <c r="AA1679" s="4">
        <f>CHOOSE(MATCH(Z1679,{"South";"SouthEast";"SouthWest";"North";"NorthEast";"East";"West";"NorthWest"},0),1,2,3,4,5,6,7,8)</f>
        <v>1</v>
      </c>
      <c r="AB1679" s="2">
        <f t="shared" si="266"/>
        <v>0</v>
      </c>
      <c r="AC1679">
        <v>1008.7</v>
      </c>
      <c r="AD1679" t="s">
        <v>2669</v>
      </c>
      <c r="AE1679" s="2">
        <f t="shared" si="267"/>
        <v>1</v>
      </c>
      <c r="AF1679" t="s">
        <v>3869</v>
      </c>
      <c r="AG1679" s="2">
        <f t="shared" si="268"/>
        <v>3</v>
      </c>
      <c r="AH1679" s="2">
        <f t="shared" si="269"/>
        <v>0</v>
      </c>
      <c r="AI1679" s="3">
        <v>454.99999999534339</v>
      </c>
      <c r="AJ1679" s="2">
        <v>1</v>
      </c>
      <c r="AK1679">
        <v>0</v>
      </c>
      <c r="AL1679">
        <v>1.5</v>
      </c>
      <c r="AM1679">
        <v>0</v>
      </c>
      <c r="AN1679" s="2">
        <f>IF((2*G1679+M1679-O1679+3*V1679+2*AB1679+2*AE1679+2*AH1679+3*AJ1679)&gt;=7,1,0)</f>
        <v>1</v>
      </c>
    </row>
    <row r="1680" spans="1:40" x14ac:dyDescent="0.25">
      <c r="A1680" t="s">
        <v>27</v>
      </c>
      <c r="B1680" s="1">
        <v>41358</v>
      </c>
      <c r="C1680" s="6">
        <f t="shared" si="260"/>
        <v>2013</v>
      </c>
      <c r="D1680">
        <v>69.900000000000006</v>
      </c>
      <c r="E1680">
        <v>57.2</v>
      </c>
      <c r="F1680">
        <v>63.9</v>
      </c>
      <c r="G1680" s="2">
        <f t="shared" si="261"/>
        <v>0</v>
      </c>
      <c r="H1680">
        <v>69.900000000000006</v>
      </c>
      <c r="I1680">
        <v>57.2</v>
      </c>
      <c r="J1680">
        <v>63.9</v>
      </c>
      <c r="K1680">
        <v>44.8</v>
      </c>
      <c r="L1680">
        <v>50.4</v>
      </c>
      <c r="M1680" s="2">
        <f t="shared" si="262"/>
        <v>1</v>
      </c>
      <c r="N1680">
        <v>0</v>
      </c>
      <c r="O1680" s="2">
        <f t="shared" si="263"/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47.2</v>
      </c>
      <c r="V1680" s="2">
        <f t="shared" si="264"/>
        <v>1</v>
      </c>
      <c r="W1680">
        <v>35.6</v>
      </c>
      <c r="X1680" s="2">
        <f t="shared" si="265"/>
        <v>1</v>
      </c>
      <c r="Y1680">
        <v>184.9</v>
      </c>
      <c r="Z1680" s="2" t="str">
        <f>CHOOSE(MATCH(Y1680,{0;11;80;111;161;191;241;281;341},1),"North","NorthEast","East","SouthEast","South","SouthWest","West","NorthWest","North")</f>
        <v>South</v>
      </c>
      <c r="AA1680" s="4">
        <f>CHOOSE(MATCH(Z1680,{"South";"SouthEast";"SouthWest";"North";"NorthEast";"East";"West";"NorthWest"},0),1,2,3,4,5,6,7,8)</f>
        <v>1</v>
      </c>
      <c r="AB1680" s="2">
        <f t="shared" si="266"/>
        <v>0</v>
      </c>
      <c r="AC1680">
        <v>1008.7</v>
      </c>
      <c r="AD1680" t="s">
        <v>1938</v>
      </c>
      <c r="AE1680" s="2">
        <f t="shared" si="267"/>
        <v>0</v>
      </c>
      <c r="AF1680" t="s">
        <v>3870</v>
      </c>
      <c r="AG1680" s="2">
        <f t="shared" si="268"/>
        <v>3</v>
      </c>
      <c r="AH1680" s="2">
        <f t="shared" si="269"/>
        <v>0</v>
      </c>
      <c r="AI1680" s="3">
        <v>310.00000000465661</v>
      </c>
      <c r="AJ1680" s="2">
        <v>0</v>
      </c>
      <c r="AK1680">
        <v>0</v>
      </c>
      <c r="AL1680">
        <v>1</v>
      </c>
      <c r="AM1680">
        <v>0</v>
      </c>
      <c r="AN1680" s="2">
        <f>IF((2*G1680+M1680-O1680+3*V1680+2*AB1680+2*AE1680+2*AH1680+3*AJ1680)&gt;=7,1,0)</f>
        <v>0</v>
      </c>
    </row>
    <row r="1681" spans="1:40" x14ac:dyDescent="0.25">
      <c r="A1681" t="s">
        <v>27</v>
      </c>
      <c r="B1681" s="1">
        <v>41360</v>
      </c>
      <c r="C1681" s="6">
        <f t="shared" si="260"/>
        <v>2013</v>
      </c>
      <c r="D1681">
        <v>68</v>
      </c>
      <c r="E1681">
        <v>53.6</v>
      </c>
      <c r="F1681">
        <v>60.6</v>
      </c>
      <c r="G1681" s="2">
        <f t="shared" si="261"/>
        <v>0</v>
      </c>
      <c r="H1681">
        <v>68</v>
      </c>
      <c r="I1681">
        <v>53.6</v>
      </c>
      <c r="J1681">
        <v>60.6</v>
      </c>
      <c r="K1681">
        <v>50.2</v>
      </c>
      <c r="L1681">
        <v>69.400000000000006</v>
      </c>
      <c r="M1681" s="2">
        <f t="shared" si="262"/>
        <v>0</v>
      </c>
      <c r="N1681">
        <v>0</v>
      </c>
      <c r="O1681" s="2">
        <f t="shared" si="263"/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 s="2">
        <f t="shared" si="264"/>
        <v>0</v>
      </c>
      <c r="W1681">
        <v>11.4</v>
      </c>
      <c r="X1681" s="2">
        <f t="shared" si="265"/>
        <v>0</v>
      </c>
      <c r="Y1681">
        <v>161.69999999999999</v>
      </c>
      <c r="Z1681" s="2" t="str">
        <f>CHOOSE(MATCH(Y1681,{0;11;80;111;161;191;241;281;341},1),"North","NorthEast","East","SouthEast","South","SouthWest","West","NorthWest","North")</f>
        <v>South</v>
      </c>
      <c r="AA1681" s="4">
        <f>CHOOSE(MATCH(Z1681,{"South";"SouthEast";"SouthWest";"North";"NorthEast";"East";"West";"NorthWest"},0),1,2,3,4,5,6,7,8)</f>
        <v>1</v>
      </c>
      <c r="AB1681" s="2">
        <f t="shared" si="266"/>
        <v>0</v>
      </c>
      <c r="AC1681">
        <v>1009.2</v>
      </c>
      <c r="AD1681" t="s">
        <v>1165</v>
      </c>
      <c r="AE1681" s="2">
        <f t="shared" si="267"/>
        <v>0</v>
      </c>
      <c r="AF1681" t="s">
        <v>3871</v>
      </c>
      <c r="AG1681" s="2">
        <f t="shared" si="268"/>
        <v>3</v>
      </c>
      <c r="AH1681" s="2">
        <f t="shared" si="269"/>
        <v>0</v>
      </c>
      <c r="AI1681" s="3">
        <v>139.99999999534339</v>
      </c>
      <c r="AJ1681" s="2">
        <v>0</v>
      </c>
      <c r="AK1681">
        <v>0</v>
      </c>
      <c r="AL1681">
        <v>3</v>
      </c>
      <c r="AM1681">
        <v>0</v>
      </c>
      <c r="AN1681" s="2">
        <f>IF((2*G1681+M1681-O1681+3*V1681+2*AB1681+2*AE1681+2*AH1681+3*AJ1681)&gt;=7,1,0)</f>
        <v>0</v>
      </c>
    </row>
    <row r="1682" spans="1:40" x14ac:dyDescent="0.25">
      <c r="A1682" t="s">
        <v>27</v>
      </c>
      <c r="B1682" s="1">
        <v>41362</v>
      </c>
      <c r="C1682" s="6">
        <f t="shared" si="260"/>
        <v>2013</v>
      </c>
      <c r="D1682">
        <v>77</v>
      </c>
      <c r="E1682">
        <v>50.8</v>
      </c>
      <c r="F1682">
        <v>62.3</v>
      </c>
      <c r="G1682" s="2">
        <f t="shared" si="261"/>
        <v>0</v>
      </c>
      <c r="H1682">
        <v>77</v>
      </c>
      <c r="I1682">
        <v>50.8</v>
      </c>
      <c r="J1682">
        <v>62.3</v>
      </c>
      <c r="K1682">
        <v>50</v>
      </c>
      <c r="L1682">
        <v>66</v>
      </c>
      <c r="M1682" s="2">
        <f t="shared" si="262"/>
        <v>1</v>
      </c>
      <c r="N1682">
        <v>0</v>
      </c>
      <c r="O1682" s="2">
        <f t="shared" si="263"/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 s="2">
        <f t="shared" si="264"/>
        <v>0</v>
      </c>
      <c r="W1682">
        <v>16.100000000000001</v>
      </c>
      <c r="X1682" s="2">
        <f t="shared" si="265"/>
        <v>1</v>
      </c>
      <c r="Y1682">
        <v>148.6</v>
      </c>
      <c r="Z1682" s="2" t="str">
        <f>CHOOSE(MATCH(Y1682,{0;11;80;111;161;191;241;281;341},1),"North","NorthEast","East","SouthEast","South","SouthWest","West","NorthWest","North")</f>
        <v>SouthEast</v>
      </c>
      <c r="AA1682" s="4">
        <f>CHOOSE(MATCH(Z1682,{"South";"SouthEast";"SouthWest";"North";"NorthEast";"East";"West";"NorthWest"},0),1,2,3,4,5,6,7,8)</f>
        <v>2</v>
      </c>
      <c r="AB1682" s="2">
        <f t="shared" si="266"/>
        <v>0</v>
      </c>
      <c r="AC1682">
        <v>1015.2</v>
      </c>
      <c r="AD1682" t="s">
        <v>1809</v>
      </c>
      <c r="AE1682" s="2">
        <f t="shared" si="267"/>
        <v>0</v>
      </c>
      <c r="AF1682" t="s">
        <v>3872</v>
      </c>
      <c r="AG1682" s="2">
        <f t="shared" si="268"/>
        <v>3</v>
      </c>
      <c r="AH1682" s="2">
        <f t="shared" si="269"/>
        <v>0</v>
      </c>
      <c r="AI1682" s="3">
        <v>126.0000000020955</v>
      </c>
      <c r="AJ1682" s="2">
        <v>0</v>
      </c>
      <c r="AK1682">
        <v>0</v>
      </c>
      <c r="AL1682">
        <v>1</v>
      </c>
      <c r="AM1682">
        <v>0</v>
      </c>
      <c r="AN1682" s="2">
        <f>IF((2*G1682+M1682-O1682+3*V1682+2*AB1682+2*AE1682+2*AH1682+3*AJ1682)&gt;=7,1,0)</f>
        <v>0</v>
      </c>
    </row>
    <row r="1683" spans="1:40" x14ac:dyDescent="0.25">
      <c r="A1683" t="s">
        <v>27</v>
      </c>
      <c r="B1683" s="1">
        <v>41367</v>
      </c>
      <c r="C1683" s="6">
        <f t="shared" si="260"/>
        <v>2013</v>
      </c>
      <c r="D1683">
        <v>75.2</v>
      </c>
      <c r="E1683">
        <v>57.2</v>
      </c>
      <c r="F1683">
        <v>65.5</v>
      </c>
      <c r="G1683" s="2">
        <f t="shared" si="261"/>
        <v>0</v>
      </c>
      <c r="H1683">
        <v>75.2</v>
      </c>
      <c r="I1683">
        <v>57.2</v>
      </c>
      <c r="J1683">
        <v>65.5</v>
      </c>
      <c r="K1683">
        <v>52.9</v>
      </c>
      <c r="L1683">
        <v>65.400000000000006</v>
      </c>
      <c r="M1683" s="2">
        <f t="shared" si="262"/>
        <v>1</v>
      </c>
      <c r="N1683">
        <v>0.20100000000000001</v>
      </c>
      <c r="O1683" s="2">
        <f t="shared" si="263"/>
        <v>0</v>
      </c>
      <c r="P1683">
        <v>100</v>
      </c>
      <c r="Q1683">
        <v>4.17</v>
      </c>
      <c r="R1683" t="s">
        <v>182</v>
      </c>
      <c r="S1683">
        <v>0</v>
      </c>
      <c r="T1683">
        <v>0</v>
      </c>
      <c r="U1683">
        <v>41.4</v>
      </c>
      <c r="V1683" s="2">
        <f t="shared" si="264"/>
        <v>1</v>
      </c>
      <c r="W1683">
        <v>30</v>
      </c>
      <c r="X1683" s="2">
        <f t="shared" si="265"/>
        <v>1</v>
      </c>
      <c r="Y1683">
        <v>218.8</v>
      </c>
      <c r="Z1683" s="2" t="str">
        <f>CHOOSE(MATCH(Y1683,{0;11;80;111;161;191;241;281;341},1),"North","NorthEast","East","SouthEast","South","SouthWest","West","NorthWest","North")</f>
        <v>SouthWest</v>
      </c>
      <c r="AA1683" s="4">
        <f>CHOOSE(MATCH(Z1683,{"South";"SouthEast";"SouthWest";"North";"NorthEast";"East";"West";"NorthWest"},0),1,2,3,4,5,6,7,8)</f>
        <v>3</v>
      </c>
      <c r="AB1683" s="2">
        <f t="shared" si="266"/>
        <v>0</v>
      </c>
      <c r="AC1683">
        <v>1002.7</v>
      </c>
      <c r="AD1683" t="s">
        <v>3873</v>
      </c>
      <c r="AE1683" s="2">
        <f t="shared" si="267"/>
        <v>0</v>
      </c>
      <c r="AF1683" t="s">
        <v>3874</v>
      </c>
      <c r="AG1683" s="2">
        <f t="shared" si="268"/>
        <v>4</v>
      </c>
      <c r="AH1683" s="2">
        <f t="shared" si="269"/>
        <v>0</v>
      </c>
      <c r="AI1683" s="3">
        <v>419.00000000372529</v>
      </c>
      <c r="AJ1683" s="2">
        <v>1</v>
      </c>
      <c r="AK1683">
        <v>0</v>
      </c>
      <c r="AL1683">
        <v>2.5</v>
      </c>
      <c r="AM1683">
        <v>0</v>
      </c>
      <c r="AN1683" s="2">
        <f>IF((2*G1683+M1683-O1683+3*V1683+2*AB1683+2*AE1683+2*AH1683+3*AJ1683)&gt;=7,1,0)</f>
        <v>1</v>
      </c>
    </row>
    <row r="1684" spans="1:40" x14ac:dyDescent="0.25">
      <c r="A1684" t="s">
        <v>27</v>
      </c>
      <c r="B1684" s="1">
        <v>41370</v>
      </c>
      <c r="C1684" s="6">
        <f t="shared" si="260"/>
        <v>2013</v>
      </c>
      <c r="D1684">
        <v>86</v>
      </c>
      <c r="E1684">
        <v>71.599999999999994</v>
      </c>
      <c r="F1684">
        <v>77.599999999999994</v>
      </c>
      <c r="G1684" s="2">
        <f t="shared" si="261"/>
        <v>1</v>
      </c>
      <c r="H1684">
        <v>83</v>
      </c>
      <c r="I1684">
        <v>71.599999999999994</v>
      </c>
      <c r="J1684">
        <v>76.8</v>
      </c>
      <c r="K1684">
        <v>38.5</v>
      </c>
      <c r="L1684">
        <v>24.7</v>
      </c>
      <c r="M1684" s="2">
        <f t="shared" si="262"/>
        <v>1</v>
      </c>
      <c r="N1684">
        <v>0</v>
      </c>
      <c r="O1684" s="2">
        <f t="shared" si="263"/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47.2</v>
      </c>
      <c r="V1684" s="2">
        <f t="shared" si="264"/>
        <v>1</v>
      </c>
      <c r="W1684">
        <v>35.6</v>
      </c>
      <c r="X1684" s="2">
        <f t="shared" si="265"/>
        <v>1</v>
      </c>
      <c r="Y1684">
        <v>174.3</v>
      </c>
      <c r="Z1684" s="2" t="str">
        <f>CHOOSE(MATCH(Y1684,{0;11;80;111;161;191;241;281;341},1),"North","NorthEast","East","SouthEast","South","SouthWest","West","NorthWest","North")</f>
        <v>South</v>
      </c>
      <c r="AA1684" s="4">
        <f>CHOOSE(MATCH(Z1684,{"South";"SouthEast";"SouthWest";"North";"NorthEast";"East";"West";"NorthWest"},0),1,2,3,4,5,6,7,8)</f>
        <v>1</v>
      </c>
      <c r="AB1684" s="2">
        <f t="shared" si="266"/>
        <v>0</v>
      </c>
      <c r="AC1684">
        <v>1007.8</v>
      </c>
      <c r="AD1684" t="s">
        <v>2210</v>
      </c>
      <c r="AE1684" s="2">
        <f t="shared" si="267"/>
        <v>1</v>
      </c>
      <c r="AF1684" t="s">
        <v>3875</v>
      </c>
      <c r="AG1684" s="2">
        <f t="shared" si="268"/>
        <v>4</v>
      </c>
      <c r="AH1684" s="2">
        <f t="shared" si="269"/>
        <v>0</v>
      </c>
      <c r="AI1684" s="3">
        <v>550.00000000116415</v>
      </c>
      <c r="AJ1684" s="2">
        <v>1</v>
      </c>
      <c r="AK1684">
        <v>0</v>
      </c>
      <c r="AL1684">
        <v>10</v>
      </c>
      <c r="AM1684">
        <v>0</v>
      </c>
      <c r="AN1684" s="2">
        <f>IF((2*G1684+M1684-O1684+3*V1684+2*AB1684+2*AE1684+2*AH1684+3*AJ1684)&gt;=7,1,0)</f>
        <v>1</v>
      </c>
    </row>
    <row r="1685" spans="1:40" x14ac:dyDescent="0.25">
      <c r="A1685" t="s">
        <v>27</v>
      </c>
      <c r="B1685" s="1">
        <v>41371</v>
      </c>
      <c r="C1685" s="6">
        <f t="shared" si="260"/>
        <v>2013</v>
      </c>
      <c r="D1685">
        <v>78.900000000000006</v>
      </c>
      <c r="E1685">
        <v>62.6</v>
      </c>
      <c r="F1685">
        <v>72.599999999999994</v>
      </c>
      <c r="G1685" s="2">
        <f t="shared" si="261"/>
        <v>1</v>
      </c>
      <c r="H1685">
        <v>78.900000000000006</v>
      </c>
      <c r="I1685">
        <v>62.6</v>
      </c>
      <c r="J1685">
        <v>72.599999999999994</v>
      </c>
      <c r="K1685">
        <v>46.6</v>
      </c>
      <c r="L1685">
        <v>41.5</v>
      </c>
      <c r="M1685" s="2">
        <f t="shared" si="262"/>
        <v>1</v>
      </c>
      <c r="N1685">
        <v>0</v>
      </c>
      <c r="O1685" s="2">
        <f t="shared" si="263"/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43.6</v>
      </c>
      <c r="V1685" s="2">
        <f t="shared" si="264"/>
        <v>1</v>
      </c>
      <c r="W1685">
        <v>32.200000000000003</v>
      </c>
      <c r="X1685" s="2">
        <f t="shared" si="265"/>
        <v>1</v>
      </c>
      <c r="Y1685">
        <v>188.8</v>
      </c>
      <c r="Z1685" s="2" t="str">
        <f>CHOOSE(MATCH(Y1685,{0;11;80;111;161;191;241;281;341},1),"North","NorthEast","East","SouthEast","South","SouthWest","West","NorthWest","North")</f>
        <v>South</v>
      </c>
      <c r="AA1685" s="4">
        <f>CHOOSE(MATCH(Z1685,{"South";"SouthEast";"SouthWest";"North";"NorthEast";"East";"West";"NorthWest"},0),1,2,3,4,5,6,7,8)</f>
        <v>1</v>
      </c>
      <c r="AB1685" s="2">
        <f t="shared" si="266"/>
        <v>0</v>
      </c>
      <c r="AC1685">
        <v>998.9</v>
      </c>
      <c r="AD1685" t="s">
        <v>3876</v>
      </c>
      <c r="AE1685" s="2">
        <f t="shared" si="267"/>
        <v>0</v>
      </c>
      <c r="AF1685" t="s">
        <v>3877</v>
      </c>
      <c r="AG1685" s="2">
        <f t="shared" si="268"/>
        <v>4</v>
      </c>
      <c r="AH1685" s="2">
        <f t="shared" si="269"/>
        <v>0</v>
      </c>
      <c r="AI1685" s="3">
        <v>696.00000000558794</v>
      </c>
      <c r="AJ1685" s="2">
        <v>1</v>
      </c>
      <c r="AK1685">
        <v>3</v>
      </c>
      <c r="AL1685">
        <v>0</v>
      </c>
      <c r="AM1685">
        <v>0</v>
      </c>
      <c r="AN1685" s="2">
        <f>IF((2*G1685+M1685-O1685+3*V1685+2*AB1685+2*AE1685+2*AH1685+3*AJ1685)&gt;=7,1,0)</f>
        <v>1</v>
      </c>
    </row>
    <row r="1686" spans="1:40" x14ac:dyDescent="0.25">
      <c r="A1686" t="s">
        <v>27</v>
      </c>
      <c r="B1686" s="1">
        <v>41376</v>
      </c>
      <c r="C1686" s="6">
        <f t="shared" si="260"/>
        <v>2013</v>
      </c>
      <c r="D1686">
        <v>68.099999999999994</v>
      </c>
      <c r="E1686">
        <v>51.8</v>
      </c>
      <c r="F1686">
        <v>60</v>
      </c>
      <c r="G1686" s="2">
        <f t="shared" si="261"/>
        <v>0</v>
      </c>
      <c r="H1686">
        <v>68.099999999999994</v>
      </c>
      <c r="I1686">
        <v>51.8</v>
      </c>
      <c r="J1686">
        <v>60</v>
      </c>
      <c r="K1686">
        <v>51.7</v>
      </c>
      <c r="L1686">
        <v>75.099999999999994</v>
      </c>
      <c r="M1686" s="2">
        <f t="shared" si="262"/>
        <v>0</v>
      </c>
      <c r="N1686">
        <v>0</v>
      </c>
      <c r="O1686" s="2">
        <f t="shared" si="263"/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 s="2">
        <f t="shared" si="264"/>
        <v>0</v>
      </c>
      <c r="W1686">
        <v>8.1</v>
      </c>
      <c r="X1686" s="2">
        <f t="shared" si="265"/>
        <v>0</v>
      </c>
      <c r="Y1686">
        <v>173.1</v>
      </c>
      <c r="Z1686" s="2" t="str">
        <f>CHOOSE(MATCH(Y1686,{0;11;80;111;161;191;241;281;341},1),"North","NorthEast","East","SouthEast","South","SouthWest","West","NorthWest","North")</f>
        <v>South</v>
      </c>
      <c r="AA1686" s="4">
        <f>CHOOSE(MATCH(Z1686,{"South";"SouthEast";"SouthWest";"North";"NorthEast";"East";"West";"NorthWest"},0),1,2,3,4,5,6,7,8)</f>
        <v>1</v>
      </c>
      <c r="AB1686" s="2">
        <f t="shared" si="266"/>
        <v>0</v>
      </c>
      <c r="AC1686">
        <v>1016.7</v>
      </c>
      <c r="AD1686" t="s">
        <v>3878</v>
      </c>
      <c r="AE1686" s="2">
        <f t="shared" si="267"/>
        <v>0</v>
      </c>
      <c r="AF1686" t="s">
        <v>3879</v>
      </c>
      <c r="AG1686" s="2">
        <f t="shared" si="268"/>
        <v>4</v>
      </c>
      <c r="AH1686" s="2">
        <f t="shared" si="269"/>
        <v>0</v>
      </c>
      <c r="AI1686" s="3">
        <v>60.000000006984919</v>
      </c>
      <c r="AJ1686" s="2">
        <v>0</v>
      </c>
      <c r="AK1686">
        <v>0</v>
      </c>
      <c r="AL1686">
        <v>0.2</v>
      </c>
      <c r="AM1686">
        <v>0</v>
      </c>
      <c r="AN1686" s="2">
        <f>IF((2*G1686+M1686-O1686+3*V1686+2*AB1686+2*AE1686+2*AH1686+3*AJ1686)&gt;=7,1,0)</f>
        <v>0</v>
      </c>
    </row>
    <row r="1687" spans="1:40" x14ac:dyDescent="0.25">
      <c r="A1687" t="s">
        <v>27</v>
      </c>
      <c r="B1687" s="1">
        <v>41386</v>
      </c>
      <c r="C1687" s="6">
        <f t="shared" si="260"/>
        <v>2013</v>
      </c>
      <c r="D1687">
        <v>66.2</v>
      </c>
      <c r="E1687">
        <v>57.2</v>
      </c>
      <c r="F1687">
        <v>62.2</v>
      </c>
      <c r="G1687" s="2">
        <f t="shared" si="261"/>
        <v>0</v>
      </c>
      <c r="H1687">
        <v>66.2</v>
      </c>
      <c r="I1687">
        <v>57.2</v>
      </c>
      <c r="J1687">
        <v>62.2</v>
      </c>
      <c r="K1687">
        <v>52.6</v>
      </c>
      <c r="L1687">
        <v>71</v>
      </c>
      <c r="M1687" s="2">
        <f t="shared" si="262"/>
        <v>0</v>
      </c>
      <c r="N1687">
        <v>1.2E-2</v>
      </c>
      <c r="O1687" s="2">
        <f t="shared" si="263"/>
        <v>0</v>
      </c>
      <c r="P1687">
        <v>100</v>
      </c>
      <c r="Q1687">
        <v>4.17</v>
      </c>
      <c r="R1687" t="s">
        <v>182</v>
      </c>
      <c r="S1687">
        <v>0</v>
      </c>
      <c r="T1687">
        <v>0</v>
      </c>
      <c r="U1687">
        <v>0</v>
      </c>
      <c r="V1687" s="2">
        <f t="shared" si="264"/>
        <v>0</v>
      </c>
      <c r="W1687">
        <v>18.3</v>
      </c>
      <c r="X1687" s="2">
        <f t="shared" si="265"/>
        <v>1</v>
      </c>
      <c r="Y1687">
        <v>313.89999999999998</v>
      </c>
      <c r="Z1687" s="2" t="str">
        <f>CHOOSE(MATCH(Y1687,{0;11;80;111;161;191;241;281;341},1),"North","NorthEast","East","SouthEast","South","SouthWest","West","NorthWest","North")</f>
        <v>NorthWest</v>
      </c>
      <c r="AA1687" s="4">
        <f>CHOOSE(MATCH(Z1687,{"South";"SouthEast";"SouthWest";"North";"NorthEast";"East";"West";"NorthWest"},0),1,2,3,4,5,6,7,8)</f>
        <v>8</v>
      </c>
      <c r="AB1687" s="2">
        <f t="shared" si="266"/>
        <v>1</v>
      </c>
      <c r="AC1687">
        <v>1015.2</v>
      </c>
      <c r="AD1687" t="s">
        <v>3880</v>
      </c>
      <c r="AE1687" s="2">
        <f t="shared" si="267"/>
        <v>0</v>
      </c>
      <c r="AF1687" t="s">
        <v>3881</v>
      </c>
      <c r="AG1687" s="2">
        <f t="shared" si="268"/>
        <v>4</v>
      </c>
      <c r="AH1687" s="2">
        <f t="shared" si="269"/>
        <v>0</v>
      </c>
      <c r="AI1687" s="3">
        <v>91.000000003259629</v>
      </c>
      <c r="AJ1687" s="2">
        <v>0</v>
      </c>
      <c r="AK1687">
        <v>0</v>
      </c>
      <c r="AL1687">
        <v>1</v>
      </c>
      <c r="AM1687">
        <v>0</v>
      </c>
      <c r="AN1687" s="2">
        <f>IF((2*G1687+M1687-O1687+3*V1687+2*AB1687+2*AE1687+2*AH1687+3*AJ1687)&gt;=7,1,0)</f>
        <v>0</v>
      </c>
    </row>
    <row r="1688" spans="1:40" x14ac:dyDescent="0.25">
      <c r="A1688" t="s">
        <v>27</v>
      </c>
      <c r="B1688" s="1">
        <v>41394</v>
      </c>
      <c r="C1688" s="6">
        <f t="shared" si="260"/>
        <v>2013</v>
      </c>
      <c r="D1688">
        <v>75.3</v>
      </c>
      <c r="E1688">
        <v>55.4</v>
      </c>
      <c r="F1688">
        <v>66.099999999999994</v>
      </c>
      <c r="G1688" s="2">
        <f t="shared" si="261"/>
        <v>0</v>
      </c>
      <c r="H1688">
        <v>75.3</v>
      </c>
      <c r="I1688">
        <v>55.4</v>
      </c>
      <c r="J1688">
        <v>66.099999999999994</v>
      </c>
      <c r="K1688">
        <v>52.6</v>
      </c>
      <c r="L1688">
        <v>62.3</v>
      </c>
      <c r="M1688" s="2">
        <f t="shared" si="262"/>
        <v>1</v>
      </c>
      <c r="N1688">
        <v>0</v>
      </c>
      <c r="O1688" s="2">
        <f t="shared" si="263"/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 s="2">
        <f t="shared" si="264"/>
        <v>0</v>
      </c>
      <c r="W1688">
        <v>9.1999999999999993</v>
      </c>
      <c r="X1688" s="2">
        <f t="shared" si="265"/>
        <v>0</v>
      </c>
      <c r="Y1688">
        <v>223.3</v>
      </c>
      <c r="Z1688" s="2" t="str">
        <f>CHOOSE(MATCH(Y1688,{0;11;80;111;161;191;241;281;341},1),"North","NorthEast","East","SouthEast","South","SouthWest","West","NorthWest","North")</f>
        <v>SouthWest</v>
      </c>
      <c r="AA1688" s="4">
        <f>CHOOSE(MATCH(Z1688,{"South";"SouthEast";"SouthWest";"North";"NorthEast";"East";"West";"NorthWest"},0),1,2,3,4,5,6,7,8)</f>
        <v>3</v>
      </c>
      <c r="AB1688" s="2">
        <f t="shared" si="266"/>
        <v>0</v>
      </c>
      <c r="AC1688">
        <v>1017.6</v>
      </c>
      <c r="AD1688" t="s">
        <v>1103</v>
      </c>
      <c r="AE1688" s="2">
        <f t="shared" si="267"/>
        <v>1</v>
      </c>
      <c r="AF1688" t="s">
        <v>3882</v>
      </c>
      <c r="AG1688" s="2">
        <f t="shared" si="268"/>
        <v>4</v>
      </c>
      <c r="AH1688" s="2">
        <f t="shared" si="269"/>
        <v>0</v>
      </c>
      <c r="AI1688" s="3">
        <v>349.99999999883579</v>
      </c>
      <c r="AJ1688" s="2">
        <v>0</v>
      </c>
      <c r="AK1688">
        <v>0</v>
      </c>
      <c r="AL1688">
        <v>2</v>
      </c>
      <c r="AM1688">
        <v>0</v>
      </c>
      <c r="AN1688" s="2">
        <f>IF((2*G1688+M1688-O1688+3*V1688+2*AB1688+2*AE1688+2*AH1688+3*AJ1688)&gt;=7,1,0)</f>
        <v>0</v>
      </c>
    </row>
    <row r="1689" spans="1:40" x14ac:dyDescent="0.25">
      <c r="A1689" t="s">
        <v>27</v>
      </c>
      <c r="B1689" s="1">
        <v>41423</v>
      </c>
      <c r="C1689" s="6">
        <f t="shared" si="260"/>
        <v>2013</v>
      </c>
      <c r="D1689">
        <v>87.8</v>
      </c>
      <c r="E1689">
        <v>68</v>
      </c>
      <c r="F1689">
        <v>78.2</v>
      </c>
      <c r="G1689" s="2">
        <f t="shared" si="261"/>
        <v>1</v>
      </c>
      <c r="H1689">
        <v>88.5</v>
      </c>
      <c r="I1689">
        <v>68</v>
      </c>
      <c r="J1689">
        <v>78.099999999999994</v>
      </c>
      <c r="K1689">
        <v>61.4</v>
      </c>
      <c r="L1689">
        <v>59.2</v>
      </c>
      <c r="M1689" s="2">
        <f t="shared" si="262"/>
        <v>1</v>
      </c>
      <c r="N1689">
        <v>0</v>
      </c>
      <c r="O1689" s="2">
        <f t="shared" si="263"/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43.6</v>
      </c>
      <c r="V1689" s="2">
        <f t="shared" si="264"/>
        <v>1</v>
      </c>
      <c r="W1689">
        <v>32.200000000000003</v>
      </c>
      <c r="X1689" s="2">
        <f t="shared" si="265"/>
        <v>1</v>
      </c>
      <c r="Y1689">
        <v>181.1</v>
      </c>
      <c r="Z1689" s="2" t="str">
        <f>CHOOSE(MATCH(Y1689,{0;11;80;111;161;191;241;281;341},1),"North","NorthEast","East","SouthEast","South","SouthWest","West","NorthWest","North")</f>
        <v>South</v>
      </c>
      <c r="AA1689" s="4">
        <f>CHOOSE(MATCH(Z1689,{"South";"SouthEast";"SouthWest";"North";"NorthEast";"East";"West";"NorthWest"},0),1,2,3,4,5,6,7,8)</f>
        <v>1</v>
      </c>
      <c r="AB1689" s="2">
        <f t="shared" si="266"/>
        <v>0</v>
      </c>
      <c r="AC1689">
        <v>1004</v>
      </c>
      <c r="AD1689" t="s">
        <v>3188</v>
      </c>
      <c r="AE1689" s="2">
        <f t="shared" si="267"/>
        <v>0</v>
      </c>
      <c r="AF1689" t="s">
        <v>3883</v>
      </c>
      <c r="AG1689" s="2">
        <f t="shared" si="268"/>
        <v>5</v>
      </c>
      <c r="AH1689" s="2">
        <f t="shared" si="269"/>
        <v>0</v>
      </c>
      <c r="AI1689" s="3">
        <v>1136.000000004424</v>
      </c>
      <c r="AJ1689" s="2">
        <v>1</v>
      </c>
      <c r="AK1689">
        <v>0</v>
      </c>
      <c r="AL1689">
        <v>5</v>
      </c>
      <c r="AM1689">
        <v>0</v>
      </c>
      <c r="AN1689" s="2">
        <f>IF((2*G1689+M1689-O1689+3*V1689+2*AB1689+2*AE1689+2*AH1689+3*AJ1689)&gt;=7,1,0)</f>
        <v>1</v>
      </c>
    </row>
    <row r="1690" spans="1:40" x14ac:dyDescent="0.25">
      <c r="A1690" t="s">
        <v>27</v>
      </c>
      <c r="B1690" s="1">
        <v>41460</v>
      </c>
      <c r="C1690" s="6">
        <f t="shared" si="260"/>
        <v>2013</v>
      </c>
      <c r="D1690">
        <v>82.5</v>
      </c>
      <c r="E1690">
        <v>66.599999999999994</v>
      </c>
      <c r="F1690">
        <v>77.5</v>
      </c>
      <c r="G1690" s="2">
        <f t="shared" si="261"/>
        <v>1</v>
      </c>
      <c r="H1690">
        <v>87.2</v>
      </c>
      <c r="I1690">
        <v>66.599999999999994</v>
      </c>
      <c r="J1690">
        <v>78.900000000000006</v>
      </c>
      <c r="K1690">
        <v>67.2</v>
      </c>
      <c r="L1690">
        <v>71</v>
      </c>
      <c r="M1690" s="2">
        <f t="shared" si="262"/>
        <v>0</v>
      </c>
      <c r="N1690">
        <v>0</v>
      </c>
      <c r="O1690" s="2">
        <f t="shared" si="263"/>
        <v>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 s="2">
        <f t="shared" si="264"/>
        <v>0</v>
      </c>
      <c r="W1690">
        <v>19.7</v>
      </c>
      <c r="X1690" s="2">
        <f t="shared" si="265"/>
        <v>1</v>
      </c>
      <c r="Y1690">
        <v>304</v>
      </c>
      <c r="Z1690" s="2" t="str">
        <f>CHOOSE(MATCH(Y1690,{0;11;80;111;161;191;241;281;341},1),"North","NorthEast","East","SouthEast","South","SouthWest","West","NorthWest","North")</f>
        <v>NorthWest</v>
      </c>
      <c r="AA1690" s="4">
        <f>CHOOSE(MATCH(Z1690,{"South";"SouthEast";"SouthWest";"North";"NorthEast";"East";"West";"NorthWest"},0),1,2,3,4,5,6,7,8)</f>
        <v>8</v>
      </c>
      <c r="AB1690" s="2">
        <f t="shared" si="266"/>
        <v>1</v>
      </c>
      <c r="AC1690">
        <v>1010.9</v>
      </c>
      <c r="AD1690" t="s">
        <v>2210</v>
      </c>
      <c r="AE1690" s="2">
        <f t="shared" si="267"/>
        <v>1</v>
      </c>
      <c r="AF1690" t="s">
        <v>3884</v>
      </c>
      <c r="AG1690" s="2">
        <f t="shared" si="268"/>
        <v>7</v>
      </c>
      <c r="AH1690" s="2">
        <f t="shared" si="269"/>
        <v>1</v>
      </c>
      <c r="AI1690" s="3">
        <v>339.99999999767169</v>
      </c>
      <c r="AJ1690" s="2">
        <v>0</v>
      </c>
      <c r="AK1690">
        <v>2</v>
      </c>
      <c r="AL1690">
        <v>0</v>
      </c>
      <c r="AM1690">
        <v>0</v>
      </c>
      <c r="AN1690" s="2">
        <f>IF((2*G1690+M1690-O1690+3*V1690+2*AB1690+2*AE1690+2*AH1690+3*AJ1690)&gt;=7,1,0)</f>
        <v>1</v>
      </c>
    </row>
    <row r="1691" spans="1:40" x14ac:dyDescent="0.25">
      <c r="A1691" t="s">
        <v>27</v>
      </c>
      <c r="B1691" s="1">
        <v>41464</v>
      </c>
      <c r="C1691" s="6">
        <f t="shared" si="260"/>
        <v>2013</v>
      </c>
      <c r="D1691">
        <v>82.4</v>
      </c>
      <c r="E1691">
        <v>71.599999999999994</v>
      </c>
      <c r="F1691">
        <v>78.099999999999994</v>
      </c>
      <c r="G1691" s="2">
        <f t="shared" si="261"/>
        <v>1</v>
      </c>
      <c r="H1691">
        <v>86.2</v>
      </c>
      <c r="I1691">
        <v>71.599999999999994</v>
      </c>
      <c r="J1691">
        <v>79.599999999999994</v>
      </c>
      <c r="K1691">
        <v>66.5</v>
      </c>
      <c r="L1691">
        <v>68.099999999999994</v>
      </c>
      <c r="M1691" s="2">
        <f t="shared" si="262"/>
        <v>0</v>
      </c>
      <c r="N1691">
        <v>0</v>
      </c>
      <c r="O1691" s="2">
        <f t="shared" si="263"/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 s="2">
        <f t="shared" si="264"/>
        <v>0</v>
      </c>
      <c r="W1691">
        <v>25.3</v>
      </c>
      <c r="X1691" s="2">
        <f t="shared" si="265"/>
        <v>1</v>
      </c>
      <c r="Y1691">
        <v>311.5</v>
      </c>
      <c r="Z1691" s="2" t="str">
        <f>CHOOSE(MATCH(Y1691,{0;11;80;111;161;191;241;281;341},1),"North","NorthEast","East","SouthEast","South","SouthWest","West","NorthWest","North")</f>
        <v>NorthWest</v>
      </c>
      <c r="AA1691" s="4">
        <f>CHOOSE(MATCH(Z1691,{"South";"SouthEast";"SouthWest";"North";"NorthEast";"East";"West";"NorthWest"},0),1,2,3,4,5,6,7,8)</f>
        <v>8</v>
      </c>
      <c r="AB1691" s="2">
        <f t="shared" si="266"/>
        <v>1</v>
      </c>
      <c r="AC1691">
        <v>1011.4</v>
      </c>
      <c r="AD1691" t="s">
        <v>1962</v>
      </c>
      <c r="AE1691" s="2">
        <f t="shared" si="267"/>
        <v>1</v>
      </c>
      <c r="AF1691" t="s">
        <v>3885</v>
      </c>
      <c r="AG1691" s="2">
        <f t="shared" si="268"/>
        <v>7</v>
      </c>
      <c r="AH1691" s="2">
        <f t="shared" si="269"/>
        <v>1</v>
      </c>
      <c r="AI1691" s="3">
        <v>579.99999999417923</v>
      </c>
      <c r="AJ1691" s="2">
        <v>1</v>
      </c>
      <c r="AK1691">
        <v>0</v>
      </c>
      <c r="AL1691">
        <v>5</v>
      </c>
      <c r="AM1691">
        <v>0</v>
      </c>
      <c r="AN1691" s="2">
        <f>IF((2*G1691+M1691-O1691+3*V1691+2*AB1691+2*AE1691+2*AH1691+3*AJ1691)&gt;=7,1,0)</f>
        <v>1</v>
      </c>
    </row>
    <row r="1692" spans="1:40" x14ac:dyDescent="0.25">
      <c r="A1692" t="s">
        <v>27</v>
      </c>
      <c r="B1692" s="1">
        <v>41467</v>
      </c>
      <c r="C1692" s="6">
        <f t="shared" si="260"/>
        <v>2013</v>
      </c>
      <c r="D1692">
        <v>84.3</v>
      </c>
      <c r="E1692">
        <v>69.8</v>
      </c>
      <c r="F1692">
        <v>78.3</v>
      </c>
      <c r="G1692" s="2">
        <f t="shared" si="261"/>
        <v>1</v>
      </c>
      <c r="H1692">
        <v>89.6</v>
      </c>
      <c r="I1692">
        <v>69.8</v>
      </c>
      <c r="J1692">
        <v>80</v>
      </c>
      <c r="K1692">
        <v>67</v>
      </c>
      <c r="L1692">
        <v>68.599999999999994</v>
      </c>
      <c r="M1692" s="2">
        <f t="shared" si="262"/>
        <v>0</v>
      </c>
      <c r="N1692">
        <v>0</v>
      </c>
      <c r="O1692" s="2">
        <f t="shared" si="263"/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 s="2">
        <f t="shared" si="264"/>
        <v>0</v>
      </c>
      <c r="W1692">
        <v>16.100000000000001</v>
      </c>
      <c r="X1692" s="2">
        <f t="shared" si="265"/>
        <v>1</v>
      </c>
      <c r="Y1692">
        <v>304.10000000000002</v>
      </c>
      <c r="Z1692" s="2" t="str">
        <f>CHOOSE(MATCH(Y1692,{0;11;80;111;161;191;241;281;341},1),"North","NorthEast","East","SouthEast","South","SouthWest","West","NorthWest","North")</f>
        <v>NorthWest</v>
      </c>
      <c r="AA1692" s="4">
        <f>CHOOSE(MATCH(Z1692,{"South";"SouthEast";"SouthWest";"North";"NorthEast";"East";"West";"NorthWest"},0),1,2,3,4,5,6,7,8)</f>
        <v>8</v>
      </c>
      <c r="AB1692" s="2">
        <f t="shared" si="266"/>
        <v>1</v>
      </c>
      <c r="AC1692">
        <v>1010</v>
      </c>
      <c r="AD1692" t="s">
        <v>1201</v>
      </c>
      <c r="AE1692" s="2">
        <f t="shared" si="267"/>
        <v>1</v>
      </c>
      <c r="AF1692" t="s">
        <v>3886</v>
      </c>
      <c r="AG1692" s="2">
        <f t="shared" si="268"/>
        <v>7</v>
      </c>
      <c r="AH1692" s="2">
        <f t="shared" si="269"/>
        <v>1</v>
      </c>
      <c r="AI1692" s="3">
        <v>529.99999999883585</v>
      </c>
      <c r="AJ1692" s="2">
        <v>1</v>
      </c>
      <c r="AK1692">
        <v>0</v>
      </c>
      <c r="AL1692">
        <v>0.5</v>
      </c>
      <c r="AM1692">
        <v>0</v>
      </c>
      <c r="AN1692" s="2">
        <f>IF((2*G1692+M1692-O1692+3*V1692+2*AB1692+2*AE1692+2*AH1692+3*AJ1692)&gt;=7,1,0)</f>
        <v>1</v>
      </c>
    </row>
    <row r="1693" spans="1:40" x14ac:dyDescent="0.25">
      <c r="A1693" t="s">
        <v>27</v>
      </c>
      <c r="B1693" s="1">
        <v>41479</v>
      </c>
      <c r="C1693" s="6">
        <f t="shared" si="260"/>
        <v>2013</v>
      </c>
      <c r="D1693">
        <v>84.2</v>
      </c>
      <c r="E1693">
        <v>66.099999999999994</v>
      </c>
      <c r="F1693">
        <v>78.900000000000006</v>
      </c>
      <c r="G1693" s="2">
        <f t="shared" si="261"/>
        <v>1</v>
      </c>
      <c r="H1693">
        <v>85.7</v>
      </c>
      <c r="I1693">
        <v>66.099999999999994</v>
      </c>
      <c r="J1693">
        <v>79.5</v>
      </c>
      <c r="K1693">
        <v>60.6</v>
      </c>
      <c r="L1693">
        <v>53.7</v>
      </c>
      <c r="M1693" s="2">
        <f t="shared" si="262"/>
        <v>1</v>
      </c>
      <c r="N1693">
        <v>0</v>
      </c>
      <c r="O1693" s="2">
        <f t="shared" si="263"/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 s="2">
        <f t="shared" si="264"/>
        <v>0</v>
      </c>
      <c r="W1693">
        <v>21.9</v>
      </c>
      <c r="X1693" s="2">
        <f t="shared" si="265"/>
        <v>1</v>
      </c>
      <c r="Y1693">
        <v>305.89999999999998</v>
      </c>
      <c r="Z1693" s="2" t="str">
        <f>CHOOSE(MATCH(Y1693,{0;11;80;111;161;191;241;281;341},1),"North","NorthEast","East","SouthEast","South","SouthWest","West","NorthWest","North")</f>
        <v>NorthWest</v>
      </c>
      <c r="AA1693" s="4">
        <f>CHOOSE(MATCH(Z1693,{"South";"SouthEast";"SouthWest";"North";"NorthEast";"East";"West";"NorthWest"},0),1,2,3,4,5,6,7,8)</f>
        <v>8</v>
      </c>
      <c r="AB1693" s="2">
        <f t="shared" si="266"/>
        <v>1</v>
      </c>
      <c r="AC1693">
        <v>1010.6</v>
      </c>
      <c r="AD1693" t="s">
        <v>3887</v>
      </c>
      <c r="AE1693" s="2">
        <f t="shared" si="267"/>
        <v>1</v>
      </c>
      <c r="AF1693" t="s">
        <v>3888</v>
      </c>
      <c r="AG1693" s="2">
        <f t="shared" si="268"/>
        <v>7</v>
      </c>
      <c r="AH1693" s="2">
        <f t="shared" si="269"/>
        <v>1</v>
      </c>
      <c r="AI1693" s="3">
        <v>244.9999999918509</v>
      </c>
      <c r="AJ1693" s="2">
        <v>0</v>
      </c>
      <c r="AK1693">
        <v>0</v>
      </c>
      <c r="AL1693">
        <v>2</v>
      </c>
      <c r="AM1693">
        <v>0</v>
      </c>
      <c r="AN1693" s="2">
        <f>IF((2*G1693+M1693-O1693+3*V1693+2*AB1693+2*AE1693+2*AH1693+3*AJ1693)&gt;=7,1,0)</f>
        <v>1</v>
      </c>
    </row>
    <row r="1694" spans="1:40" x14ac:dyDescent="0.25">
      <c r="A1694" t="s">
        <v>27</v>
      </c>
      <c r="B1694" s="1">
        <v>41480</v>
      </c>
      <c r="C1694" s="6">
        <f t="shared" si="260"/>
        <v>2013</v>
      </c>
      <c r="D1694">
        <v>87.8</v>
      </c>
      <c r="E1694">
        <v>71.599999999999994</v>
      </c>
      <c r="F1694">
        <v>81.400000000000006</v>
      </c>
      <c r="G1694" s="2">
        <f t="shared" si="261"/>
        <v>1</v>
      </c>
      <c r="H1694">
        <v>89.4</v>
      </c>
      <c r="I1694">
        <v>71.599999999999994</v>
      </c>
      <c r="J1694">
        <v>81.900000000000006</v>
      </c>
      <c r="K1694">
        <v>62</v>
      </c>
      <c r="L1694">
        <v>52.7</v>
      </c>
      <c r="M1694" s="2">
        <f t="shared" si="262"/>
        <v>1</v>
      </c>
      <c r="N1694">
        <v>0</v>
      </c>
      <c r="O1694" s="2">
        <f t="shared" si="263"/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 s="2">
        <f t="shared" si="264"/>
        <v>0</v>
      </c>
      <c r="W1694">
        <v>19.600000000000001</v>
      </c>
      <c r="X1694" s="2">
        <f t="shared" si="265"/>
        <v>1</v>
      </c>
      <c r="Y1694">
        <v>306.8</v>
      </c>
      <c r="Z1694" s="2" t="str">
        <f>CHOOSE(MATCH(Y1694,{0;11;80;111;161;191;241;281;341},1),"North","NorthEast","East","SouthEast","South","SouthWest","West","NorthWest","North")</f>
        <v>NorthWest</v>
      </c>
      <c r="AA1694" s="4">
        <f>CHOOSE(MATCH(Z1694,{"South";"SouthEast";"SouthWest";"North";"NorthEast";"East";"West";"NorthWest"},0),1,2,3,4,5,6,7,8)</f>
        <v>8</v>
      </c>
      <c r="AB1694" s="2">
        <f t="shared" si="266"/>
        <v>1</v>
      </c>
      <c r="AC1694">
        <v>1011.2</v>
      </c>
      <c r="AD1694" t="s">
        <v>1205</v>
      </c>
      <c r="AE1694" s="2">
        <f t="shared" si="267"/>
        <v>1</v>
      </c>
      <c r="AF1694" t="s">
        <v>3889</v>
      </c>
      <c r="AG1694" s="2">
        <f t="shared" si="268"/>
        <v>7</v>
      </c>
      <c r="AH1694" s="2">
        <f t="shared" si="269"/>
        <v>1</v>
      </c>
      <c r="AI1694" s="3">
        <v>390.00000000349252</v>
      </c>
      <c r="AJ1694" s="2">
        <v>1</v>
      </c>
      <c r="AK1694">
        <v>0</v>
      </c>
      <c r="AL1694">
        <v>1</v>
      </c>
      <c r="AM1694">
        <v>0</v>
      </c>
      <c r="AN1694" s="2">
        <f>IF((2*G1694+M1694-O1694+3*V1694+2*AB1694+2*AE1694+2*AH1694+3*AJ1694)&gt;=7,1,0)</f>
        <v>1</v>
      </c>
    </row>
    <row r="1695" spans="1:40" x14ac:dyDescent="0.25">
      <c r="A1695" t="s">
        <v>27</v>
      </c>
      <c r="B1695" s="1">
        <v>41493</v>
      </c>
      <c r="C1695" s="6">
        <f t="shared" si="260"/>
        <v>2013</v>
      </c>
      <c r="D1695">
        <v>82.4</v>
      </c>
      <c r="E1695">
        <v>68</v>
      </c>
      <c r="F1695">
        <v>76.8</v>
      </c>
      <c r="G1695" s="2">
        <f t="shared" si="261"/>
        <v>1</v>
      </c>
      <c r="H1695">
        <v>85.4</v>
      </c>
      <c r="I1695">
        <v>68</v>
      </c>
      <c r="J1695">
        <v>77.599999999999994</v>
      </c>
      <c r="K1695">
        <v>64.900000000000006</v>
      </c>
      <c r="L1695">
        <v>67.2</v>
      </c>
      <c r="M1695" s="2">
        <f t="shared" si="262"/>
        <v>0</v>
      </c>
      <c r="N1695">
        <v>0</v>
      </c>
      <c r="O1695" s="2">
        <f t="shared" si="263"/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 s="2">
        <f t="shared" si="264"/>
        <v>0</v>
      </c>
      <c r="W1695">
        <v>23</v>
      </c>
      <c r="X1695" s="2">
        <f t="shared" si="265"/>
        <v>1</v>
      </c>
      <c r="Y1695">
        <v>307.89999999999998</v>
      </c>
      <c r="Z1695" s="2" t="str">
        <f>CHOOSE(MATCH(Y1695,{0;11;80;111;161;191;241;281;341},1),"North","NorthEast","East","SouthEast","South","SouthWest","West","NorthWest","North")</f>
        <v>NorthWest</v>
      </c>
      <c r="AA1695" s="4">
        <f>CHOOSE(MATCH(Z1695,{"South";"SouthEast";"SouthWest";"North";"NorthEast";"East";"West";"NorthWest"},0),1,2,3,4,5,6,7,8)</f>
        <v>8</v>
      </c>
      <c r="AB1695" s="2">
        <f t="shared" si="266"/>
        <v>1</v>
      </c>
      <c r="AC1695">
        <v>1009.7</v>
      </c>
      <c r="AD1695" t="s">
        <v>1759</v>
      </c>
      <c r="AE1695" s="2">
        <f t="shared" si="267"/>
        <v>1</v>
      </c>
      <c r="AF1695" t="s">
        <v>3890</v>
      </c>
      <c r="AG1695" s="2">
        <f t="shared" si="268"/>
        <v>8</v>
      </c>
      <c r="AH1695" s="2">
        <f t="shared" si="269"/>
        <v>1</v>
      </c>
      <c r="AI1695" s="3">
        <v>609.99999999767169</v>
      </c>
      <c r="AJ1695" s="2">
        <v>1</v>
      </c>
      <c r="AK1695">
        <v>7</v>
      </c>
      <c r="AL1695">
        <v>0</v>
      </c>
      <c r="AM1695">
        <v>0</v>
      </c>
      <c r="AN1695" s="2">
        <f>IF((2*G1695+M1695-O1695+3*V1695+2*AB1695+2*AE1695+2*AH1695+3*AJ1695)&gt;=7,1,0)</f>
        <v>1</v>
      </c>
    </row>
    <row r="1696" spans="1:40" x14ac:dyDescent="0.25">
      <c r="A1696" t="s">
        <v>27</v>
      </c>
      <c r="B1696" s="1">
        <v>41498</v>
      </c>
      <c r="C1696" s="6">
        <f t="shared" si="260"/>
        <v>2013</v>
      </c>
      <c r="D1696">
        <v>84.2</v>
      </c>
      <c r="E1696">
        <v>75.2</v>
      </c>
      <c r="F1696">
        <v>79.400000000000006</v>
      </c>
      <c r="G1696" s="2">
        <f t="shared" si="261"/>
        <v>1</v>
      </c>
      <c r="H1696">
        <v>86.5</v>
      </c>
      <c r="I1696">
        <v>75.2</v>
      </c>
      <c r="J1696">
        <v>80.599999999999994</v>
      </c>
      <c r="K1696">
        <v>66</v>
      </c>
      <c r="L1696">
        <v>63.8</v>
      </c>
      <c r="M1696" s="2">
        <f t="shared" si="262"/>
        <v>1</v>
      </c>
      <c r="N1696">
        <v>0</v>
      </c>
      <c r="O1696" s="2">
        <f t="shared" si="263"/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 s="2">
        <f t="shared" si="264"/>
        <v>0</v>
      </c>
      <c r="W1696">
        <v>20.8</v>
      </c>
      <c r="X1696" s="2">
        <f t="shared" si="265"/>
        <v>1</v>
      </c>
      <c r="Y1696">
        <v>301.7</v>
      </c>
      <c r="Z1696" s="2" t="str">
        <f>CHOOSE(MATCH(Y1696,{0;11;80;111;161;191;241;281;341},1),"North","NorthEast","East","SouthEast","South","SouthWest","West","NorthWest","North")</f>
        <v>NorthWest</v>
      </c>
      <c r="AA1696" s="4">
        <f>CHOOSE(MATCH(Z1696,{"South";"SouthEast";"SouthWest";"North";"NorthEast";"East";"West";"NorthWest"},0),1,2,3,4,5,6,7,8)</f>
        <v>8</v>
      </c>
      <c r="AB1696" s="2">
        <f t="shared" si="266"/>
        <v>1</v>
      </c>
      <c r="AC1696">
        <v>1010.1</v>
      </c>
      <c r="AD1696" t="s">
        <v>1155</v>
      </c>
      <c r="AE1696" s="2">
        <f t="shared" si="267"/>
        <v>1</v>
      </c>
      <c r="AF1696" t="s">
        <v>3891</v>
      </c>
      <c r="AG1696" s="2">
        <f t="shared" si="268"/>
        <v>8</v>
      </c>
      <c r="AH1696" s="2">
        <f t="shared" si="269"/>
        <v>1</v>
      </c>
      <c r="AI1696" s="3">
        <v>225</v>
      </c>
      <c r="AJ1696" s="2">
        <v>0</v>
      </c>
      <c r="AK1696">
        <v>0</v>
      </c>
      <c r="AL1696">
        <v>2</v>
      </c>
      <c r="AM1696">
        <v>0</v>
      </c>
      <c r="AN1696" s="2">
        <f>IF((2*G1696+M1696-O1696+3*V1696+2*AB1696+2*AE1696+2*AH1696+3*AJ1696)&gt;=7,1,0)</f>
        <v>1</v>
      </c>
    </row>
    <row r="1697" spans="1:40" x14ac:dyDescent="0.25">
      <c r="A1697" t="s">
        <v>27</v>
      </c>
      <c r="B1697" s="1">
        <v>41505</v>
      </c>
      <c r="C1697" s="6">
        <f t="shared" si="260"/>
        <v>2013</v>
      </c>
      <c r="D1697">
        <v>82.4</v>
      </c>
      <c r="E1697">
        <v>77</v>
      </c>
      <c r="F1697">
        <v>79.900000000000006</v>
      </c>
      <c r="G1697" s="2">
        <f t="shared" si="261"/>
        <v>1</v>
      </c>
      <c r="H1697">
        <v>86.2</v>
      </c>
      <c r="I1697">
        <v>77</v>
      </c>
      <c r="J1697">
        <v>81.400000000000006</v>
      </c>
      <c r="K1697">
        <v>66.099999999999994</v>
      </c>
      <c r="L1697">
        <v>63.1</v>
      </c>
      <c r="M1697" s="2">
        <f t="shared" si="262"/>
        <v>1</v>
      </c>
      <c r="N1697">
        <v>0</v>
      </c>
      <c r="O1697" s="2">
        <f t="shared" si="263"/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 s="2">
        <f t="shared" si="264"/>
        <v>0</v>
      </c>
      <c r="W1697">
        <v>20.8</v>
      </c>
      <c r="X1697" s="2">
        <f t="shared" si="265"/>
        <v>1</v>
      </c>
      <c r="Y1697">
        <v>305.89999999999998</v>
      </c>
      <c r="Z1697" s="2" t="str">
        <f>CHOOSE(MATCH(Y1697,{0;11;80;111;161;191;241;281;341},1),"North","NorthEast","East","SouthEast","South","SouthWest","West","NorthWest","North")</f>
        <v>NorthWest</v>
      </c>
      <c r="AA1697" s="4">
        <f>CHOOSE(MATCH(Z1697,{"South";"SouthEast";"SouthWest";"North";"NorthEast";"East";"West";"NorthWest"},0),1,2,3,4,5,6,7,8)</f>
        <v>8</v>
      </c>
      <c r="AB1697" s="2">
        <f t="shared" si="266"/>
        <v>1</v>
      </c>
      <c r="AC1697">
        <v>1010.8</v>
      </c>
      <c r="AD1697" t="s">
        <v>2193</v>
      </c>
      <c r="AE1697" s="2">
        <f t="shared" si="267"/>
        <v>1</v>
      </c>
      <c r="AF1697" t="s">
        <v>3892</v>
      </c>
      <c r="AG1697" s="2">
        <f t="shared" si="268"/>
        <v>8</v>
      </c>
      <c r="AH1697" s="2">
        <f t="shared" si="269"/>
        <v>1</v>
      </c>
      <c r="AI1697" s="3">
        <v>255.00000000349249</v>
      </c>
      <c r="AJ1697" s="2">
        <v>0</v>
      </c>
      <c r="AK1697">
        <v>1.5</v>
      </c>
      <c r="AL1697">
        <v>0</v>
      </c>
      <c r="AM1697">
        <v>0</v>
      </c>
      <c r="AN1697" s="2">
        <f>IF((2*G1697+M1697-O1697+3*V1697+2*AB1697+2*AE1697+2*AH1697+3*AJ1697)&gt;=7,1,0)</f>
        <v>1</v>
      </c>
    </row>
    <row r="1698" spans="1:40" x14ac:dyDescent="0.25">
      <c r="A1698" t="s">
        <v>27</v>
      </c>
      <c r="B1698" s="1">
        <v>41516</v>
      </c>
      <c r="C1698" s="6">
        <f t="shared" si="260"/>
        <v>2013</v>
      </c>
      <c r="D1698">
        <v>86</v>
      </c>
      <c r="E1698">
        <v>71.599999999999994</v>
      </c>
      <c r="F1698">
        <v>79.2</v>
      </c>
      <c r="G1698" s="2">
        <f t="shared" si="261"/>
        <v>1</v>
      </c>
      <c r="H1698">
        <v>94.2</v>
      </c>
      <c r="I1698">
        <v>71.599999999999994</v>
      </c>
      <c r="J1698">
        <v>82.1</v>
      </c>
      <c r="K1698">
        <v>68.8</v>
      </c>
      <c r="L1698">
        <v>71</v>
      </c>
      <c r="M1698" s="2">
        <f t="shared" si="262"/>
        <v>0</v>
      </c>
      <c r="N1698">
        <v>0</v>
      </c>
      <c r="O1698" s="2">
        <f t="shared" si="263"/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 s="2">
        <f t="shared" si="264"/>
        <v>0</v>
      </c>
      <c r="W1698">
        <v>17.2</v>
      </c>
      <c r="X1698" s="2">
        <f t="shared" si="265"/>
        <v>1</v>
      </c>
      <c r="Y1698">
        <v>300.8</v>
      </c>
      <c r="Z1698" s="2" t="str">
        <f>CHOOSE(MATCH(Y1698,{0;11;80;111;161;191;241;281;341},1),"North","NorthEast","East","SouthEast","South","SouthWest","West","NorthWest","North")</f>
        <v>NorthWest</v>
      </c>
      <c r="AA1698" s="4">
        <f>CHOOSE(MATCH(Z1698,{"South";"SouthEast";"SouthWest";"North";"NorthEast";"East";"West";"NorthWest"},0),1,2,3,4,5,6,7,8)</f>
        <v>8</v>
      </c>
      <c r="AB1698" s="2">
        <f t="shared" si="266"/>
        <v>1</v>
      </c>
      <c r="AC1698">
        <v>1010.4</v>
      </c>
      <c r="AD1698" t="s">
        <v>3893</v>
      </c>
      <c r="AE1698" s="2">
        <f t="shared" si="267"/>
        <v>1</v>
      </c>
      <c r="AF1698" t="s">
        <v>3894</v>
      </c>
      <c r="AG1698" s="2">
        <f t="shared" si="268"/>
        <v>8</v>
      </c>
      <c r="AH1698" s="2">
        <f t="shared" si="269"/>
        <v>1</v>
      </c>
      <c r="AI1698" s="3">
        <v>90</v>
      </c>
      <c r="AJ1698" s="2">
        <v>0</v>
      </c>
      <c r="AK1698">
        <v>0</v>
      </c>
      <c r="AL1698">
        <v>2</v>
      </c>
      <c r="AM1698">
        <v>0</v>
      </c>
      <c r="AN1698" s="2">
        <f>IF((2*G1698+M1698-O1698+3*V1698+2*AB1698+2*AE1698+2*AH1698+3*AJ1698)&gt;=7,1,0)</f>
        <v>1</v>
      </c>
    </row>
    <row r="1699" spans="1:40" x14ac:dyDescent="0.25">
      <c r="A1699" t="s">
        <v>27</v>
      </c>
      <c r="B1699" s="1">
        <v>41518</v>
      </c>
      <c r="C1699" s="6">
        <f t="shared" si="260"/>
        <v>2013</v>
      </c>
      <c r="D1699">
        <v>82.4</v>
      </c>
      <c r="E1699">
        <v>75.2</v>
      </c>
      <c r="F1699">
        <v>78.5</v>
      </c>
      <c r="G1699" s="2">
        <f t="shared" si="261"/>
        <v>1</v>
      </c>
      <c r="H1699">
        <v>83.4</v>
      </c>
      <c r="I1699">
        <v>75.2</v>
      </c>
      <c r="J1699">
        <v>78.900000000000006</v>
      </c>
      <c r="K1699">
        <v>63.2</v>
      </c>
      <c r="L1699">
        <v>59.9</v>
      </c>
      <c r="M1699" s="2">
        <f t="shared" si="262"/>
        <v>1</v>
      </c>
      <c r="N1699">
        <v>0</v>
      </c>
      <c r="O1699" s="2">
        <f t="shared" si="263"/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 s="2">
        <f t="shared" si="264"/>
        <v>0</v>
      </c>
      <c r="W1699">
        <v>20.8</v>
      </c>
      <c r="X1699" s="2">
        <f t="shared" si="265"/>
        <v>1</v>
      </c>
      <c r="Y1699">
        <v>317.60000000000002</v>
      </c>
      <c r="Z1699" s="2" t="str">
        <f>CHOOSE(MATCH(Y1699,{0;11;80;111;161;191;241;281;341},1),"North","NorthEast","East","SouthEast","South","SouthWest","West","NorthWest","North")</f>
        <v>NorthWest</v>
      </c>
      <c r="AA1699" s="4">
        <f>CHOOSE(MATCH(Z1699,{"South";"SouthEast";"SouthWest";"North";"NorthEast";"East";"West";"NorthWest"},0),1,2,3,4,5,6,7,8)</f>
        <v>8</v>
      </c>
      <c r="AB1699" s="2">
        <f t="shared" si="266"/>
        <v>1</v>
      </c>
      <c r="AC1699">
        <v>1014.2</v>
      </c>
      <c r="AD1699" t="s">
        <v>3895</v>
      </c>
      <c r="AE1699" s="2">
        <f t="shared" si="267"/>
        <v>0</v>
      </c>
      <c r="AF1699" t="s">
        <v>3896</v>
      </c>
      <c r="AG1699" s="2">
        <f t="shared" si="268"/>
        <v>9</v>
      </c>
      <c r="AH1699" s="2">
        <f t="shared" si="269"/>
        <v>0</v>
      </c>
      <c r="AI1699" s="3">
        <v>270.99999999278231</v>
      </c>
      <c r="AJ1699" s="2">
        <v>0</v>
      </c>
      <c r="AK1699">
        <v>0</v>
      </c>
      <c r="AL1699">
        <v>1</v>
      </c>
      <c r="AM1699">
        <v>0</v>
      </c>
      <c r="AN1699" s="2">
        <f>IF((2*G1699+M1699-O1699+3*V1699+2*AB1699+2*AE1699+2*AH1699+3*AJ1699)&gt;=7,1,0)</f>
        <v>0</v>
      </c>
    </row>
    <row r="1700" spans="1:40" x14ac:dyDescent="0.25">
      <c r="A1700" t="s">
        <v>27</v>
      </c>
      <c r="B1700" s="1">
        <v>41529</v>
      </c>
      <c r="C1700" s="6">
        <f t="shared" si="260"/>
        <v>2013</v>
      </c>
      <c r="D1700">
        <v>87.8</v>
      </c>
      <c r="E1700">
        <v>73.400000000000006</v>
      </c>
      <c r="F1700">
        <v>80.400000000000006</v>
      </c>
      <c r="G1700" s="2">
        <f t="shared" si="261"/>
        <v>1</v>
      </c>
      <c r="H1700">
        <v>95.9</v>
      </c>
      <c r="I1700">
        <v>73.400000000000006</v>
      </c>
      <c r="J1700">
        <v>83.2</v>
      </c>
      <c r="K1700">
        <v>64.3</v>
      </c>
      <c r="L1700">
        <v>59</v>
      </c>
      <c r="M1700" s="2">
        <f t="shared" si="262"/>
        <v>1</v>
      </c>
      <c r="N1700">
        <v>0</v>
      </c>
      <c r="O1700" s="2">
        <f t="shared" si="263"/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 s="2">
        <f t="shared" si="264"/>
        <v>0</v>
      </c>
      <c r="W1700">
        <v>11.4</v>
      </c>
      <c r="X1700" s="2">
        <f t="shared" si="265"/>
        <v>0</v>
      </c>
      <c r="Y1700">
        <v>196.2</v>
      </c>
      <c r="Z1700" s="2" t="str">
        <f>CHOOSE(MATCH(Y1700,{0;11;80;111;161;191;241;281;341},1),"North","NorthEast","East","SouthEast","South","SouthWest","West","NorthWest","North")</f>
        <v>SouthWest</v>
      </c>
      <c r="AA1700" s="4">
        <f>CHOOSE(MATCH(Z1700,{"South";"SouthEast";"SouthWest";"North";"NorthEast";"East";"West";"NorthWest"},0),1,2,3,4,5,6,7,8)</f>
        <v>3</v>
      </c>
      <c r="AB1700" s="2">
        <f t="shared" si="266"/>
        <v>0</v>
      </c>
      <c r="AC1700">
        <v>1013.7</v>
      </c>
      <c r="AD1700" t="s">
        <v>1073</v>
      </c>
      <c r="AE1700" s="2">
        <f t="shared" si="267"/>
        <v>1</v>
      </c>
      <c r="AF1700" t="s">
        <v>3897</v>
      </c>
      <c r="AG1700" s="2">
        <f t="shared" si="268"/>
        <v>9</v>
      </c>
      <c r="AH1700" s="2">
        <f t="shared" si="269"/>
        <v>0</v>
      </c>
      <c r="AI1700" s="3">
        <v>65.000000002328306</v>
      </c>
      <c r="AJ1700" s="2">
        <v>0</v>
      </c>
      <c r="AK1700">
        <v>0</v>
      </c>
      <c r="AL1700">
        <v>0.5</v>
      </c>
      <c r="AM1700">
        <v>0</v>
      </c>
      <c r="AN1700" s="2">
        <f>IF((2*G1700+M1700-O1700+3*V1700+2*AB1700+2*AE1700+2*AH1700+3*AJ1700)&gt;=7,1,0)</f>
        <v>0</v>
      </c>
    </row>
    <row r="1701" spans="1:40" x14ac:dyDescent="0.25">
      <c r="A1701" t="s">
        <v>27</v>
      </c>
      <c r="B1701" s="1">
        <v>41530</v>
      </c>
      <c r="C1701" s="6">
        <f t="shared" si="260"/>
        <v>2013</v>
      </c>
      <c r="D1701">
        <v>86</v>
      </c>
      <c r="E1701">
        <v>73.400000000000006</v>
      </c>
      <c r="F1701">
        <v>79.8</v>
      </c>
      <c r="G1701" s="2">
        <f t="shared" si="261"/>
        <v>1</v>
      </c>
      <c r="H1701">
        <v>93.5</v>
      </c>
      <c r="I1701">
        <v>73.400000000000006</v>
      </c>
      <c r="J1701">
        <v>82.2</v>
      </c>
      <c r="K1701">
        <v>63.5</v>
      </c>
      <c r="L1701">
        <v>58.4</v>
      </c>
      <c r="M1701" s="2">
        <f t="shared" si="262"/>
        <v>1</v>
      </c>
      <c r="N1701">
        <v>0</v>
      </c>
      <c r="O1701" s="2">
        <f t="shared" si="263"/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 s="2">
        <f t="shared" si="264"/>
        <v>0</v>
      </c>
      <c r="W1701">
        <v>16.100000000000001</v>
      </c>
      <c r="X1701" s="2">
        <f t="shared" si="265"/>
        <v>1</v>
      </c>
      <c r="Y1701">
        <v>260.60000000000002</v>
      </c>
      <c r="Z1701" s="2" t="str">
        <f>CHOOSE(MATCH(Y1701,{0;11;80;111;161;191;241;281;341},1),"North","NorthEast","East","SouthEast","South","SouthWest","West","NorthWest","North")</f>
        <v>West</v>
      </c>
      <c r="AA1701" s="4">
        <f>CHOOSE(MATCH(Z1701,{"South";"SouthEast";"SouthWest";"North";"NorthEast";"East";"West";"NorthWest"},0),1,2,3,4,5,6,7,8)</f>
        <v>7</v>
      </c>
      <c r="AB1701" s="2">
        <f t="shared" si="266"/>
        <v>0</v>
      </c>
      <c r="AC1701">
        <v>1014</v>
      </c>
      <c r="AD1701" t="s">
        <v>3379</v>
      </c>
      <c r="AE1701" s="2">
        <f t="shared" si="267"/>
        <v>1</v>
      </c>
      <c r="AF1701" t="s">
        <v>3898</v>
      </c>
      <c r="AG1701" s="2">
        <f t="shared" si="268"/>
        <v>9</v>
      </c>
      <c r="AH1701" s="2">
        <f t="shared" si="269"/>
        <v>0</v>
      </c>
      <c r="AI1701" s="3">
        <v>186.0000000090804</v>
      </c>
      <c r="AJ1701" s="2">
        <v>0</v>
      </c>
      <c r="AK1701">
        <v>0</v>
      </c>
      <c r="AL1701">
        <v>2</v>
      </c>
      <c r="AM1701">
        <v>0</v>
      </c>
      <c r="AN1701" s="2">
        <f>IF((2*G1701+M1701-O1701+3*V1701+2*AB1701+2*AE1701+2*AH1701+3*AJ1701)&gt;=7,1,0)</f>
        <v>0</v>
      </c>
    </row>
    <row r="1702" spans="1:40" x14ac:dyDescent="0.25">
      <c r="A1702" t="s">
        <v>27</v>
      </c>
      <c r="B1702" s="1">
        <v>41533</v>
      </c>
      <c r="C1702" s="6">
        <f t="shared" si="260"/>
        <v>2013</v>
      </c>
      <c r="D1702">
        <v>87.8</v>
      </c>
      <c r="E1702">
        <v>64.400000000000006</v>
      </c>
      <c r="F1702">
        <v>75.7</v>
      </c>
      <c r="G1702" s="2">
        <f t="shared" si="261"/>
        <v>1</v>
      </c>
      <c r="H1702">
        <v>89.4</v>
      </c>
      <c r="I1702">
        <v>64.400000000000006</v>
      </c>
      <c r="J1702">
        <v>76.900000000000006</v>
      </c>
      <c r="K1702">
        <v>62.5</v>
      </c>
      <c r="L1702">
        <v>64.5</v>
      </c>
      <c r="M1702" s="2">
        <f t="shared" si="262"/>
        <v>1</v>
      </c>
      <c r="N1702">
        <v>0</v>
      </c>
      <c r="O1702" s="2">
        <f t="shared" si="263"/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 s="2">
        <f t="shared" si="264"/>
        <v>0</v>
      </c>
      <c r="W1702">
        <v>19.600000000000001</v>
      </c>
      <c r="X1702" s="2">
        <f t="shared" si="265"/>
        <v>1</v>
      </c>
      <c r="Y1702">
        <v>278.5</v>
      </c>
      <c r="Z1702" s="2" t="str">
        <f>CHOOSE(MATCH(Y1702,{0;11;80;111;161;191;241;281;341},1),"North","NorthEast","East","SouthEast","South","SouthWest","West","NorthWest","North")</f>
        <v>West</v>
      </c>
      <c r="AA1702" s="4">
        <f>CHOOSE(MATCH(Z1702,{"South";"SouthEast";"SouthWest";"North";"NorthEast";"East";"West";"NorthWest"},0),1,2,3,4,5,6,7,8)</f>
        <v>7</v>
      </c>
      <c r="AB1702" s="2">
        <f t="shared" si="266"/>
        <v>0</v>
      </c>
      <c r="AC1702">
        <v>1010</v>
      </c>
      <c r="AD1702" t="s">
        <v>3899</v>
      </c>
      <c r="AE1702" s="2">
        <f t="shared" si="267"/>
        <v>0</v>
      </c>
      <c r="AF1702" t="s">
        <v>3900</v>
      </c>
      <c r="AG1702" s="2">
        <f t="shared" si="268"/>
        <v>9</v>
      </c>
      <c r="AH1702" s="2">
        <f t="shared" si="269"/>
        <v>0</v>
      </c>
      <c r="AI1702" s="3">
        <v>516.99999999837019</v>
      </c>
      <c r="AJ1702" s="2">
        <v>1</v>
      </c>
      <c r="AK1702">
        <v>0</v>
      </c>
      <c r="AL1702">
        <v>10</v>
      </c>
      <c r="AM1702">
        <v>0</v>
      </c>
      <c r="AN1702" s="2">
        <f>IF((2*G1702+M1702-O1702+3*V1702+2*AB1702+2*AE1702+2*AH1702+3*AJ1702)&gt;=7,1,0)</f>
        <v>0</v>
      </c>
    </row>
    <row r="1703" spans="1:40" x14ac:dyDescent="0.25">
      <c r="A1703" t="s">
        <v>27</v>
      </c>
      <c r="B1703" s="1">
        <v>41538</v>
      </c>
      <c r="C1703" s="6">
        <f t="shared" si="260"/>
        <v>2013</v>
      </c>
      <c r="D1703">
        <v>80.599999999999994</v>
      </c>
      <c r="E1703">
        <v>68</v>
      </c>
      <c r="F1703">
        <v>74.599999999999994</v>
      </c>
      <c r="G1703" s="2">
        <f t="shared" si="261"/>
        <v>1</v>
      </c>
      <c r="H1703">
        <v>83.9</v>
      </c>
      <c r="I1703">
        <v>68</v>
      </c>
      <c r="J1703">
        <v>74.8</v>
      </c>
      <c r="K1703">
        <v>65.400000000000006</v>
      </c>
      <c r="L1703">
        <v>73.3</v>
      </c>
      <c r="M1703" s="2">
        <f t="shared" si="262"/>
        <v>0</v>
      </c>
      <c r="N1703">
        <v>0</v>
      </c>
      <c r="O1703" s="2">
        <f t="shared" si="263"/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 s="2">
        <f t="shared" si="264"/>
        <v>0</v>
      </c>
      <c r="W1703">
        <v>8.1</v>
      </c>
      <c r="X1703" s="2">
        <f t="shared" si="265"/>
        <v>0</v>
      </c>
      <c r="Y1703">
        <v>47.4</v>
      </c>
      <c r="Z1703" s="2" t="str">
        <f>CHOOSE(MATCH(Y1703,{0;11;80;111;161;191;241;281;341},1),"North","NorthEast","East","SouthEast","South","SouthWest","West","NorthWest","North")</f>
        <v>NorthEast</v>
      </c>
      <c r="AA1703" s="4">
        <f>CHOOSE(MATCH(Z1703,{"South";"SouthEast";"SouthWest";"North";"NorthEast";"East";"West";"NorthWest"},0),1,2,3,4,5,6,7,8)</f>
        <v>5</v>
      </c>
      <c r="AB1703" s="2">
        <f t="shared" si="266"/>
        <v>1</v>
      </c>
      <c r="AC1703">
        <v>1014.4</v>
      </c>
      <c r="AD1703" t="s">
        <v>1119</v>
      </c>
      <c r="AE1703" s="2">
        <f t="shared" si="267"/>
        <v>0</v>
      </c>
      <c r="AF1703" t="s">
        <v>3901</v>
      </c>
      <c r="AG1703" s="2">
        <f t="shared" si="268"/>
        <v>9</v>
      </c>
      <c r="AH1703" s="2">
        <f t="shared" si="269"/>
        <v>0</v>
      </c>
      <c r="AI1703" s="3">
        <v>519.99999999767169</v>
      </c>
      <c r="AJ1703" s="2">
        <v>1</v>
      </c>
      <c r="AK1703">
        <v>0</v>
      </c>
      <c r="AL1703">
        <v>1</v>
      </c>
      <c r="AM1703">
        <v>0</v>
      </c>
      <c r="AN1703" s="2">
        <f>IF((2*G1703+M1703-O1703+3*V1703+2*AB1703+2*AE1703+2*AH1703+3*AJ1703)&gt;=7,1,0)</f>
        <v>0</v>
      </c>
    </row>
    <row r="1704" spans="1:40" x14ac:dyDescent="0.25">
      <c r="A1704" t="s">
        <v>27</v>
      </c>
      <c r="B1704" s="1">
        <v>41542</v>
      </c>
      <c r="C1704" s="6">
        <f t="shared" si="260"/>
        <v>2013</v>
      </c>
      <c r="D1704">
        <v>78.8</v>
      </c>
      <c r="E1704">
        <v>64.400000000000006</v>
      </c>
      <c r="F1704">
        <v>71.599999999999994</v>
      </c>
      <c r="G1704" s="2">
        <f t="shared" si="261"/>
        <v>1</v>
      </c>
      <c r="H1704">
        <v>78.8</v>
      </c>
      <c r="I1704">
        <v>64.400000000000006</v>
      </c>
      <c r="J1704">
        <v>71.599999999999994</v>
      </c>
      <c r="K1704">
        <v>61.3</v>
      </c>
      <c r="L1704">
        <v>70.599999999999994</v>
      </c>
      <c r="M1704" s="2">
        <f t="shared" si="262"/>
        <v>0</v>
      </c>
      <c r="N1704">
        <v>0</v>
      </c>
      <c r="O1704" s="2">
        <f t="shared" si="263"/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 s="2">
        <f t="shared" si="264"/>
        <v>0</v>
      </c>
      <c r="W1704">
        <v>16.100000000000001</v>
      </c>
      <c r="X1704" s="2">
        <f t="shared" si="265"/>
        <v>1</v>
      </c>
      <c r="Y1704">
        <v>328.9</v>
      </c>
      <c r="Z1704" s="2" t="str">
        <f>CHOOSE(MATCH(Y1704,{0;11;80;111;161;191;241;281;341},1),"North","NorthEast","East","SouthEast","South","SouthWest","West","NorthWest","North")</f>
        <v>NorthWest</v>
      </c>
      <c r="AA1704" s="4">
        <f>CHOOSE(MATCH(Z1704,{"South";"SouthEast";"SouthWest";"North";"NorthEast";"East";"West";"NorthWest"},0),1,2,3,4,5,6,7,8)</f>
        <v>8</v>
      </c>
      <c r="AB1704" s="2">
        <f t="shared" si="266"/>
        <v>1</v>
      </c>
      <c r="AC1704">
        <v>1015.6</v>
      </c>
      <c r="AD1704" t="s">
        <v>1093</v>
      </c>
      <c r="AE1704" s="2">
        <f t="shared" si="267"/>
        <v>1</v>
      </c>
      <c r="AF1704" t="s">
        <v>3902</v>
      </c>
      <c r="AG1704" s="2">
        <f t="shared" si="268"/>
        <v>9</v>
      </c>
      <c r="AH1704" s="2">
        <f t="shared" si="269"/>
        <v>0</v>
      </c>
      <c r="AI1704" s="3">
        <v>255.00000000349249</v>
      </c>
      <c r="AJ1704" s="2">
        <v>0</v>
      </c>
      <c r="AK1704">
        <v>0</v>
      </c>
      <c r="AL1704">
        <v>2</v>
      </c>
      <c r="AM1704">
        <v>0</v>
      </c>
      <c r="AN1704" s="2">
        <f>IF((2*G1704+M1704-O1704+3*V1704+2*AB1704+2*AE1704+2*AH1704+3*AJ1704)&gt;=7,1,0)</f>
        <v>0</v>
      </c>
    </row>
    <row r="1705" spans="1:40" x14ac:dyDescent="0.25">
      <c r="A1705" t="s">
        <v>27</v>
      </c>
      <c r="B1705" s="1">
        <v>41546</v>
      </c>
      <c r="C1705" s="6">
        <f t="shared" si="260"/>
        <v>2013</v>
      </c>
      <c r="D1705">
        <v>78.8</v>
      </c>
      <c r="E1705">
        <v>66.2</v>
      </c>
      <c r="F1705">
        <v>72.8</v>
      </c>
      <c r="G1705" s="2">
        <f t="shared" si="261"/>
        <v>1</v>
      </c>
      <c r="H1705">
        <v>78.8</v>
      </c>
      <c r="I1705">
        <v>66.2</v>
      </c>
      <c r="J1705">
        <v>72.8</v>
      </c>
      <c r="K1705">
        <v>65.8</v>
      </c>
      <c r="L1705">
        <v>79.5</v>
      </c>
      <c r="M1705" s="2">
        <f t="shared" si="262"/>
        <v>0</v>
      </c>
      <c r="N1705">
        <v>0</v>
      </c>
      <c r="O1705" s="2">
        <f t="shared" si="263"/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 s="2">
        <f t="shared" si="264"/>
        <v>0</v>
      </c>
      <c r="W1705">
        <v>9.1999999999999993</v>
      </c>
      <c r="X1705" s="2">
        <f t="shared" si="265"/>
        <v>0</v>
      </c>
      <c r="Y1705">
        <v>11.9</v>
      </c>
      <c r="Z1705" s="2" t="str">
        <f>CHOOSE(MATCH(Y1705,{0;11;80;111;161;191;241;281;341},1),"North","NorthEast","East","SouthEast","South","SouthWest","West","NorthWest","North")</f>
        <v>NorthEast</v>
      </c>
      <c r="AA1705" s="4">
        <f>CHOOSE(MATCH(Z1705,{"South";"SouthEast";"SouthWest";"North";"NorthEast";"East";"West";"NorthWest"},0),1,2,3,4,5,6,7,8)</f>
        <v>5</v>
      </c>
      <c r="AB1705" s="2">
        <f t="shared" si="266"/>
        <v>1</v>
      </c>
      <c r="AC1705">
        <v>1012.9</v>
      </c>
      <c r="AD1705" t="s">
        <v>1215</v>
      </c>
      <c r="AE1705" s="2">
        <f t="shared" si="267"/>
        <v>1</v>
      </c>
      <c r="AF1705" t="s">
        <v>3903</v>
      </c>
      <c r="AG1705" s="2">
        <f t="shared" si="268"/>
        <v>9</v>
      </c>
      <c r="AH1705" s="2">
        <f t="shared" si="269"/>
        <v>0</v>
      </c>
      <c r="AI1705" s="3">
        <v>1019.999999993015</v>
      </c>
      <c r="AJ1705" s="2">
        <v>1</v>
      </c>
      <c r="AK1705">
        <v>0</v>
      </c>
      <c r="AL1705">
        <v>15</v>
      </c>
      <c r="AM1705">
        <v>0</v>
      </c>
      <c r="AN1705" s="2">
        <f>IF((2*G1705+M1705-O1705+3*V1705+2*AB1705+2*AE1705+2*AH1705+3*AJ1705)&gt;=7,1,0)</f>
        <v>1</v>
      </c>
    </row>
    <row r="1706" spans="1:40" x14ac:dyDescent="0.25">
      <c r="A1706" t="s">
        <v>27</v>
      </c>
      <c r="B1706" s="1">
        <v>41546</v>
      </c>
      <c r="C1706" s="6">
        <f t="shared" si="260"/>
        <v>2013</v>
      </c>
      <c r="D1706">
        <v>78.8</v>
      </c>
      <c r="E1706">
        <v>66.2</v>
      </c>
      <c r="F1706">
        <v>72.8</v>
      </c>
      <c r="G1706" s="2">
        <f t="shared" si="261"/>
        <v>1</v>
      </c>
      <c r="H1706">
        <v>78.8</v>
      </c>
      <c r="I1706">
        <v>66.2</v>
      </c>
      <c r="J1706">
        <v>72.8</v>
      </c>
      <c r="K1706">
        <v>65.8</v>
      </c>
      <c r="L1706">
        <v>79.5</v>
      </c>
      <c r="M1706" s="2">
        <f t="shared" si="262"/>
        <v>0</v>
      </c>
      <c r="N1706">
        <v>0</v>
      </c>
      <c r="O1706" s="2">
        <f t="shared" si="263"/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 s="2">
        <f t="shared" si="264"/>
        <v>0</v>
      </c>
      <c r="W1706">
        <v>9.1999999999999993</v>
      </c>
      <c r="X1706" s="2">
        <f t="shared" si="265"/>
        <v>0</v>
      </c>
      <c r="Y1706">
        <v>11.9</v>
      </c>
      <c r="Z1706" s="2" t="str">
        <f>CHOOSE(MATCH(Y1706,{0;11;80;111;161;191;241;281;341},1),"North","NorthEast","East","SouthEast","South","SouthWest","West","NorthWest","North")</f>
        <v>NorthEast</v>
      </c>
      <c r="AA1706" s="4">
        <f>CHOOSE(MATCH(Z1706,{"South";"SouthEast";"SouthWest";"North";"NorthEast";"East";"West";"NorthWest"},0),1,2,3,4,5,6,7,8)</f>
        <v>5</v>
      </c>
      <c r="AB1706" s="2">
        <f t="shared" si="266"/>
        <v>1</v>
      </c>
      <c r="AC1706">
        <v>1012.9</v>
      </c>
      <c r="AD1706" t="s">
        <v>1101</v>
      </c>
      <c r="AE1706" s="2">
        <f t="shared" si="267"/>
        <v>1</v>
      </c>
      <c r="AF1706" t="s">
        <v>3904</v>
      </c>
      <c r="AG1706" s="2">
        <f t="shared" si="268"/>
        <v>9</v>
      </c>
      <c r="AH1706" s="2">
        <f t="shared" si="269"/>
        <v>0</v>
      </c>
      <c r="AI1706" s="3">
        <v>415.00000000116421</v>
      </c>
      <c r="AJ1706" s="2">
        <v>1</v>
      </c>
      <c r="AK1706">
        <v>0</v>
      </c>
      <c r="AL1706">
        <v>5</v>
      </c>
      <c r="AM1706">
        <v>0</v>
      </c>
      <c r="AN1706" s="2">
        <f>IF((2*G1706+M1706-O1706+3*V1706+2*AB1706+2*AE1706+2*AH1706+3*AJ1706)&gt;=7,1,0)</f>
        <v>1</v>
      </c>
    </row>
    <row r="1707" spans="1:40" x14ac:dyDescent="0.25">
      <c r="A1707" t="s">
        <v>27</v>
      </c>
      <c r="B1707" s="1">
        <v>41553</v>
      </c>
      <c r="C1707" s="6">
        <f t="shared" si="260"/>
        <v>2013</v>
      </c>
      <c r="D1707">
        <v>68.099999999999994</v>
      </c>
      <c r="E1707">
        <v>59</v>
      </c>
      <c r="F1707">
        <v>64</v>
      </c>
      <c r="G1707" s="2">
        <f t="shared" si="261"/>
        <v>0</v>
      </c>
      <c r="H1707">
        <v>68.099999999999994</v>
      </c>
      <c r="I1707">
        <v>59</v>
      </c>
      <c r="J1707">
        <v>64</v>
      </c>
      <c r="K1707">
        <v>47.5</v>
      </c>
      <c r="L1707">
        <v>55.4</v>
      </c>
      <c r="M1707" s="2">
        <f t="shared" si="262"/>
        <v>1</v>
      </c>
      <c r="N1707">
        <v>0</v>
      </c>
      <c r="O1707" s="2">
        <f t="shared" si="263"/>
        <v>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 s="2">
        <f t="shared" si="264"/>
        <v>0</v>
      </c>
      <c r="W1707">
        <v>13.9</v>
      </c>
      <c r="X1707" s="2">
        <f t="shared" si="265"/>
        <v>0</v>
      </c>
      <c r="Y1707">
        <v>346</v>
      </c>
      <c r="Z1707" s="2" t="str">
        <f>CHOOSE(MATCH(Y1707,{0;11;80;111;161;191;241;281;341},1),"North","NorthEast","East","SouthEast","South","SouthWest","West","NorthWest","North")</f>
        <v>North</v>
      </c>
      <c r="AA1707" s="4">
        <f>CHOOSE(MATCH(Z1707,{"South";"SouthEast";"SouthWest";"North";"NorthEast";"East";"West";"NorthWest"},0),1,2,3,4,5,6,7,8)</f>
        <v>4</v>
      </c>
      <c r="AB1707" s="2">
        <f t="shared" si="266"/>
        <v>1</v>
      </c>
      <c r="AC1707">
        <v>1022.9</v>
      </c>
      <c r="AD1707" t="s">
        <v>1191</v>
      </c>
      <c r="AE1707" s="2">
        <f t="shared" si="267"/>
        <v>0</v>
      </c>
      <c r="AF1707" t="s">
        <v>3905</v>
      </c>
      <c r="AG1707" s="2">
        <f t="shared" si="268"/>
        <v>10</v>
      </c>
      <c r="AH1707" s="2">
        <f t="shared" si="269"/>
        <v>0</v>
      </c>
      <c r="AI1707" s="3">
        <v>450</v>
      </c>
      <c r="AJ1707" s="2">
        <v>1</v>
      </c>
      <c r="AK1707">
        <v>0</v>
      </c>
      <c r="AL1707">
        <v>2</v>
      </c>
      <c r="AM1707">
        <v>0</v>
      </c>
      <c r="AN1707" s="2">
        <f>IF((2*G1707+M1707-O1707+3*V1707+2*AB1707+2*AE1707+2*AH1707+3*AJ1707)&gt;=7,1,0)</f>
        <v>0</v>
      </c>
    </row>
    <row r="1708" spans="1:40" x14ac:dyDescent="0.25">
      <c r="A1708" t="s">
        <v>27</v>
      </c>
      <c r="B1708" s="1">
        <v>41559</v>
      </c>
      <c r="C1708" s="6">
        <f t="shared" si="260"/>
        <v>2013</v>
      </c>
      <c r="D1708">
        <v>82.4</v>
      </c>
      <c r="E1708">
        <v>66.3</v>
      </c>
      <c r="F1708">
        <v>75.400000000000006</v>
      </c>
      <c r="G1708" s="2">
        <f t="shared" si="261"/>
        <v>1</v>
      </c>
      <c r="H1708">
        <v>83.9</v>
      </c>
      <c r="I1708">
        <v>66.3</v>
      </c>
      <c r="J1708">
        <v>75.7</v>
      </c>
      <c r="K1708">
        <v>59.1</v>
      </c>
      <c r="L1708">
        <v>57.4</v>
      </c>
      <c r="M1708" s="2">
        <f t="shared" si="262"/>
        <v>1</v>
      </c>
      <c r="N1708">
        <v>0</v>
      </c>
      <c r="O1708" s="2">
        <f t="shared" si="263"/>
        <v>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 s="2">
        <f t="shared" si="264"/>
        <v>0</v>
      </c>
      <c r="W1708">
        <v>18.3</v>
      </c>
      <c r="X1708" s="2">
        <f t="shared" si="265"/>
        <v>1</v>
      </c>
      <c r="Y1708">
        <v>281.39999999999998</v>
      </c>
      <c r="Z1708" s="2" t="str">
        <f>CHOOSE(MATCH(Y1708,{0;11;80;111;161;191;241;281;341},1),"North","NorthEast","East","SouthEast","South","SouthWest","West","NorthWest","North")</f>
        <v>NorthWest</v>
      </c>
      <c r="AA1708" s="4">
        <f>CHOOSE(MATCH(Z1708,{"South";"SouthEast";"SouthWest";"North";"NorthEast";"East";"West";"NorthWest"},0),1,2,3,4,5,6,7,8)</f>
        <v>8</v>
      </c>
      <c r="AB1708" s="2">
        <f t="shared" si="266"/>
        <v>1</v>
      </c>
      <c r="AC1708">
        <v>1021.1</v>
      </c>
      <c r="AD1708" t="s">
        <v>2397</v>
      </c>
      <c r="AE1708" s="2">
        <f t="shared" si="267"/>
        <v>1</v>
      </c>
      <c r="AF1708" t="s">
        <v>3906</v>
      </c>
      <c r="AG1708" s="2">
        <f t="shared" si="268"/>
        <v>10</v>
      </c>
      <c r="AH1708" s="2">
        <f t="shared" si="269"/>
        <v>0</v>
      </c>
      <c r="AI1708" s="3">
        <v>1174.9999999953429</v>
      </c>
      <c r="AJ1708" s="2">
        <v>1</v>
      </c>
      <c r="AK1708">
        <v>0</v>
      </c>
      <c r="AL1708">
        <v>30</v>
      </c>
      <c r="AM1708">
        <v>0</v>
      </c>
      <c r="AN1708" s="2">
        <f>IF((2*G1708+M1708-O1708+3*V1708+2*AB1708+2*AE1708+2*AH1708+3*AJ1708)&gt;=7,1,0)</f>
        <v>1</v>
      </c>
    </row>
    <row r="1709" spans="1:40" x14ac:dyDescent="0.25">
      <c r="A1709" t="s">
        <v>27</v>
      </c>
      <c r="B1709" s="1">
        <v>41570</v>
      </c>
      <c r="C1709" s="6">
        <f t="shared" si="260"/>
        <v>2013</v>
      </c>
      <c r="D1709">
        <v>73.400000000000006</v>
      </c>
      <c r="E1709">
        <v>57.2</v>
      </c>
      <c r="F1709">
        <v>65.7</v>
      </c>
      <c r="G1709" s="2">
        <f t="shared" si="261"/>
        <v>0</v>
      </c>
      <c r="H1709">
        <v>73.400000000000006</v>
      </c>
      <c r="I1709">
        <v>57.2</v>
      </c>
      <c r="J1709">
        <v>65.7</v>
      </c>
      <c r="K1709">
        <v>57.3</v>
      </c>
      <c r="L1709">
        <v>75.5</v>
      </c>
      <c r="M1709" s="2">
        <f t="shared" si="262"/>
        <v>0</v>
      </c>
      <c r="N1709">
        <v>0</v>
      </c>
      <c r="O1709" s="2">
        <f t="shared" si="263"/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 s="2">
        <f t="shared" si="264"/>
        <v>0</v>
      </c>
      <c r="W1709">
        <v>15</v>
      </c>
      <c r="X1709" s="2">
        <f t="shared" si="265"/>
        <v>0</v>
      </c>
      <c r="Y1709">
        <v>303.5</v>
      </c>
      <c r="Z1709" s="2" t="str">
        <f>CHOOSE(MATCH(Y1709,{0;11;80;111;161;191;241;281;341},1),"North","NorthEast","East","SouthEast","South","SouthWest","West","NorthWest","North")</f>
        <v>NorthWest</v>
      </c>
      <c r="AA1709" s="4">
        <f>CHOOSE(MATCH(Z1709,{"South";"SouthEast";"SouthWest";"North";"NorthEast";"East";"West";"NorthWest"},0),1,2,3,4,5,6,7,8)</f>
        <v>8</v>
      </c>
      <c r="AB1709" s="2">
        <f t="shared" si="266"/>
        <v>1</v>
      </c>
      <c r="AC1709">
        <v>1019.6</v>
      </c>
      <c r="AD1709" t="s">
        <v>1215</v>
      </c>
      <c r="AE1709" s="2">
        <f t="shared" si="267"/>
        <v>1</v>
      </c>
      <c r="AF1709" t="s">
        <v>3907</v>
      </c>
      <c r="AG1709" s="2">
        <f t="shared" si="268"/>
        <v>10</v>
      </c>
      <c r="AH1709" s="2">
        <f t="shared" si="269"/>
        <v>0</v>
      </c>
      <c r="AI1709" s="3">
        <v>239.99999999650751</v>
      </c>
      <c r="AJ1709" s="2">
        <v>0</v>
      </c>
      <c r="AK1709">
        <v>0</v>
      </c>
      <c r="AL1709">
        <v>10</v>
      </c>
      <c r="AM1709">
        <v>0</v>
      </c>
      <c r="AN1709" s="2">
        <f>IF((2*G1709+M1709-O1709+3*V1709+2*AB1709+2*AE1709+2*AH1709+3*AJ1709)&gt;=7,1,0)</f>
        <v>0</v>
      </c>
    </row>
    <row r="1710" spans="1:40" x14ac:dyDescent="0.25">
      <c r="A1710" t="s">
        <v>27</v>
      </c>
      <c r="B1710" s="1">
        <v>41589</v>
      </c>
      <c r="C1710" s="6">
        <f t="shared" si="260"/>
        <v>2013</v>
      </c>
      <c r="D1710">
        <v>77</v>
      </c>
      <c r="E1710">
        <v>59</v>
      </c>
      <c r="F1710">
        <v>67.599999999999994</v>
      </c>
      <c r="G1710" s="2">
        <f t="shared" si="261"/>
        <v>0</v>
      </c>
      <c r="H1710">
        <v>77</v>
      </c>
      <c r="I1710">
        <v>59</v>
      </c>
      <c r="J1710">
        <v>67.599999999999994</v>
      </c>
      <c r="K1710">
        <v>57.3</v>
      </c>
      <c r="L1710">
        <v>70.900000000000006</v>
      </c>
      <c r="M1710" s="2">
        <f t="shared" si="262"/>
        <v>0</v>
      </c>
      <c r="N1710">
        <v>0</v>
      </c>
      <c r="O1710" s="2">
        <f t="shared" si="263"/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 s="2">
        <f t="shared" si="264"/>
        <v>0</v>
      </c>
      <c r="W1710">
        <v>20.8</v>
      </c>
      <c r="X1710" s="2">
        <f t="shared" si="265"/>
        <v>1</v>
      </c>
      <c r="Y1710">
        <v>172.7</v>
      </c>
      <c r="Z1710" s="2" t="str">
        <f>CHOOSE(MATCH(Y1710,{0;11;80;111;161;191;241;281;341},1),"North","NorthEast","East","SouthEast","South","SouthWest","West","NorthWest","North")</f>
        <v>South</v>
      </c>
      <c r="AA1710" s="4">
        <f>CHOOSE(MATCH(Z1710,{"South";"SouthEast";"SouthWest";"North";"NorthEast";"East";"West";"NorthWest"},0),1,2,3,4,5,6,7,8)</f>
        <v>1</v>
      </c>
      <c r="AB1710" s="2">
        <f t="shared" si="266"/>
        <v>0</v>
      </c>
      <c r="AC1710">
        <v>1013.1</v>
      </c>
      <c r="AD1710" t="s">
        <v>1079</v>
      </c>
      <c r="AE1710" s="2">
        <f t="shared" si="267"/>
        <v>1</v>
      </c>
      <c r="AF1710" t="s">
        <v>3908</v>
      </c>
      <c r="AG1710" s="2">
        <f t="shared" si="268"/>
        <v>11</v>
      </c>
      <c r="AH1710" s="2">
        <f t="shared" si="269"/>
        <v>0</v>
      </c>
      <c r="AI1710" s="3">
        <v>285.00000000698492</v>
      </c>
      <c r="AJ1710" s="2">
        <v>0</v>
      </c>
      <c r="AK1710">
        <v>0</v>
      </c>
      <c r="AL1710">
        <v>4</v>
      </c>
      <c r="AM1710">
        <v>0</v>
      </c>
      <c r="AN1710" s="2">
        <f>IF((2*G1710+M1710-O1710+3*V1710+2*AB1710+2*AE1710+2*AH1710+3*AJ1710)&gt;=7,1,0)</f>
        <v>0</v>
      </c>
    </row>
    <row r="1711" spans="1:40" x14ac:dyDescent="0.25">
      <c r="A1711" t="s">
        <v>27</v>
      </c>
      <c r="B1711" s="1">
        <v>41620</v>
      </c>
      <c r="C1711" s="6">
        <f t="shared" si="260"/>
        <v>2013</v>
      </c>
      <c r="D1711">
        <v>50</v>
      </c>
      <c r="E1711">
        <v>44.3</v>
      </c>
      <c r="F1711">
        <v>48.3</v>
      </c>
      <c r="G1711" s="2">
        <f t="shared" si="261"/>
        <v>0</v>
      </c>
      <c r="H1711">
        <v>50</v>
      </c>
      <c r="I1711">
        <v>37.1</v>
      </c>
      <c r="J1711">
        <v>43.6</v>
      </c>
      <c r="K1711">
        <v>35.299999999999997</v>
      </c>
      <c r="L1711">
        <v>61.2</v>
      </c>
      <c r="M1711" s="2">
        <f t="shared" si="262"/>
        <v>1</v>
      </c>
      <c r="N1711">
        <v>3.9E-2</v>
      </c>
      <c r="O1711" s="2">
        <f t="shared" si="263"/>
        <v>0</v>
      </c>
      <c r="P1711">
        <v>100</v>
      </c>
      <c r="Q1711">
        <v>4.17</v>
      </c>
      <c r="R1711" t="s">
        <v>182</v>
      </c>
      <c r="S1711">
        <v>0</v>
      </c>
      <c r="T1711">
        <v>0</v>
      </c>
      <c r="U1711">
        <v>34.4</v>
      </c>
      <c r="V1711" s="2">
        <f t="shared" si="264"/>
        <v>1</v>
      </c>
      <c r="W1711">
        <v>32.200000000000003</v>
      </c>
      <c r="X1711" s="2">
        <f t="shared" si="265"/>
        <v>1</v>
      </c>
      <c r="Y1711">
        <v>351.5</v>
      </c>
      <c r="Z1711" s="2" t="str">
        <f>CHOOSE(MATCH(Y1711,{0;11;80;111;161;191;241;281;341},1),"North","NorthEast","East","SouthEast","South","SouthWest","West","NorthWest","North")</f>
        <v>North</v>
      </c>
      <c r="AA1711" s="4">
        <f>CHOOSE(MATCH(Z1711,{"South";"SouthEast";"SouthWest";"North";"NorthEast";"East";"West";"NorthWest"},0),1,2,3,4,5,6,7,8)</f>
        <v>4</v>
      </c>
      <c r="AB1711" s="2">
        <f t="shared" si="266"/>
        <v>1</v>
      </c>
      <c r="AC1711">
        <v>1024</v>
      </c>
      <c r="AD1711" t="s">
        <v>2172</v>
      </c>
      <c r="AE1711" s="2">
        <f t="shared" si="267"/>
        <v>1</v>
      </c>
      <c r="AF1711" t="s">
        <v>3909</v>
      </c>
      <c r="AG1711" s="2">
        <f t="shared" si="268"/>
        <v>12</v>
      </c>
      <c r="AH1711" s="2">
        <f t="shared" si="269"/>
        <v>0</v>
      </c>
      <c r="AI1711" s="3">
        <v>55.000000001164153</v>
      </c>
      <c r="AJ1711" s="2">
        <v>0</v>
      </c>
      <c r="AK1711">
        <v>1</v>
      </c>
      <c r="AL1711">
        <v>0</v>
      </c>
      <c r="AM1711">
        <v>0</v>
      </c>
      <c r="AN1711" s="2">
        <f>IF((2*G1711+M1711-O1711+3*V1711+2*AB1711+2*AE1711+2*AH1711+3*AJ1711)&gt;=7,1,0)</f>
        <v>1</v>
      </c>
    </row>
    <row r="1712" spans="1:40" x14ac:dyDescent="0.25">
      <c r="A1712" t="s">
        <v>27</v>
      </c>
      <c r="B1712" s="1">
        <v>41899</v>
      </c>
      <c r="C1712" s="6">
        <f t="shared" si="260"/>
        <v>2014</v>
      </c>
      <c r="D1712">
        <v>82.4</v>
      </c>
      <c r="E1712">
        <v>69.8</v>
      </c>
      <c r="F1712">
        <v>76.3</v>
      </c>
      <c r="G1712" s="2">
        <f t="shared" si="261"/>
        <v>1</v>
      </c>
      <c r="H1712">
        <v>85.4</v>
      </c>
      <c r="I1712">
        <v>69.8</v>
      </c>
      <c r="J1712">
        <v>77</v>
      </c>
      <c r="K1712">
        <v>66.3</v>
      </c>
      <c r="L1712">
        <v>71.7</v>
      </c>
      <c r="M1712" s="2">
        <f t="shared" si="262"/>
        <v>0</v>
      </c>
      <c r="N1712">
        <v>0</v>
      </c>
      <c r="O1712" s="2">
        <f t="shared" si="263"/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23</v>
      </c>
      <c r="V1712" s="2">
        <f t="shared" si="264"/>
        <v>1</v>
      </c>
      <c r="W1712">
        <v>11.4</v>
      </c>
      <c r="X1712" s="2">
        <f t="shared" si="265"/>
        <v>0</v>
      </c>
      <c r="Y1712">
        <v>327.10000000000002</v>
      </c>
      <c r="Z1712" s="2" t="str">
        <f>CHOOSE(MATCH(Y1712,{0;11;80;111;161;191;241;281;341},1),"North","NorthEast","East","SouthEast","South","SouthWest","West","NorthWest","North")</f>
        <v>NorthWest</v>
      </c>
      <c r="AA1712" s="4">
        <f>CHOOSE(MATCH(Z1712,{"South";"SouthEast";"SouthWest";"North";"NorthEast";"East";"West";"NorthWest"},0),1,2,3,4,5,6,7,8)</f>
        <v>8</v>
      </c>
      <c r="AB1712" s="2">
        <f t="shared" si="266"/>
        <v>1</v>
      </c>
      <c r="AC1712">
        <v>1011</v>
      </c>
      <c r="AD1712" t="s">
        <v>2208</v>
      </c>
      <c r="AE1712" s="2">
        <f t="shared" si="267"/>
        <v>1</v>
      </c>
      <c r="AF1712" t="s">
        <v>2344</v>
      </c>
      <c r="AG1712" s="2">
        <f t="shared" si="268"/>
        <v>9</v>
      </c>
      <c r="AH1712" s="2">
        <f t="shared" si="269"/>
        <v>0</v>
      </c>
      <c r="AI1712" s="3">
        <v>1176.999999991385</v>
      </c>
      <c r="AJ1712" s="2">
        <v>1</v>
      </c>
      <c r="AK1712">
        <v>0</v>
      </c>
      <c r="AL1712">
        <v>15</v>
      </c>
      <c r="AM1712">
        <v>0</v>
      </c>
      <c r="AN1712" s="2">
        <f>IF((2*G1712+M1712-O1712+3*V1712+2*AB1712+2*AE1712+2*AH1712+3*AJ1712)&gt;=7,1,0)</f>
        <v>1</v>
      </c>
    </row>
    <row r="1713" spans="1:40" x14ac:dyDescent="0.25">
      <c r="A1713" t="s">
        <v>27</v>
      </c>
      <c r="B1713" s="1">
        <v>41899</v>
      </c>
      <c r="C1713" s="6">
        <f t="shared" si="260"/>
        <v>2014</v>
      </c>
      <c r="D1713">
        <v>82.4</v>
      </c>
      <c r="E1713">
        <v>69.8</v>
      </c>
      <c r="F1713">
        <v>76.3</v>
      </c>
      <c r="G1713" s="2">
        <f t="shared" si="261"/>
        <v>1</v>
      </c>
      <c r="H1713">
        <v>85.4</v>
      </c>
      <c r="I1713">
        <v>69.8</v>
      </c>
      <c r="J1713">
        <v>77</v>
      </c>
      <c r="K1713">
        <v>66.3</v>
      </c>
      <c r="L1713">
        <v>71.7</v>
      </c>
      <c r="M1713" s="2">
        <f t="shared" si="262"/>
        <v>0</v>
      </c>
      <c r="N1713">
        <v>0</v>
      </c>
      <c r="O1713" s="2">
        <f t="shared" si="263"/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23</v>
      </c>
      <c r="V1713" s="2">
        <f t="shared" si="264"/>
        <v>1</v>
      </c>
      <c r="W1713">
        <v>11.4</v>
      </c>
      <c r="X1713" s="2">
        <f t="shared" si="265"/>
        <v>0</v>
      </c>
      <c r="Y1713">
        <v>327.10000000000002</v>
      </c>
      <c r="Z1713" s="2" t="str">
        <f>CHOOSE(MATCH(Y1713,{0;11;80;111;161;191;241;281;341},1),"North","NorthEast","East","SouthEast","South","SouthWest","West","NorthWest","North")</f>
        <v>NorthWest</v>
      </c>
      <c r="AA1713" s="4">
        <f>CHOOSE(MATCH(Z1713,{"South";"SouthEast";"SouthWest";"North";"NorthEast";"East";"West";"NorthWest"},0),1,2,3,4,5,6,7,8)</f>
        <v>8</v>
      </c>
      <c r="AB1713" s="2">
        <f t="shared" si="266"/>
        <v>1</v>
      </c>
      <c r="AC1713">
        <v>1011</v>
      </c>
      <c r="AD1713" t="s">
        <v>1107</v>
      </c>
      <c r="AE1713" s="2">
        <f t="shared" si="267"/>
        <v>1</v>
      </c>
      <c r="AF1713" t="s">
        <v>2345</v>
      </c>
      <c r="AG1713" s="2">
        <f t="shared" si="268"/>
        <v>9</v>
      </c>
      <c r="AH1713" s="2">
        <f t="shared" si="269"/>
        <v>0</v>
      </c>
      <c r="AI1713" s="3">
        <v>1129.9999999953429</v>
      </c>
      <c r="AJ1713" s="2">
        <v>1</v>
      </c>
      <c r="AK1713">
        <v>20</v>
      </c>
      <c r="AL1713">
        <v>0</v>
      </c>
      <c r="AM1713">
        <v>0</v>
      </c>
      <c r="AN1713" s="2">
        <f>IF((2*G1713+M1713-O1713+3*V1713+2*AB1713+2*AE1713+2*AH1713+3*AJ1713)&gt;=7,1,0)</f>
        <v>1</v>
      </c>
    </row>
    <row r="1714" spans="1:40" x14ac:dyDescent="0.25">
      <c r="A1714" t="s">
        <v>27</v>
      </c>
      <c r="B1714" s="1">
        <v>41900</v>
      </c>
      <c r="C1714" s="6">
        <f t="shared" si="260"/>
        <v>2014</v>
      </c>
      <c r="D1714">
        <v>78.8</v>
      </c>
      <c r="E1714">
        <v>70.099999999999994</v>
      </c>
      <c r="F1714">
        <v>75.599999999999994</v>
      </c>
      <c r="G1714" s="2">
        <f t="shared" si="261"/>
        <v>1</v>
      </c>
      <c r="H1714">
        <v>78.8</v>
      </c>
      <c r="I1714">
        <v>70.099999999999994</v>
      </c>
      <c r="J1714">
        <v>75.599999999999994</v>
      </c>
      <c r="K1714">
        <v>64.5</v>
      </c>
      <c r="L1714">
        <v>68.8</v>
      </c>
      <c r="M1714" s="2">
        <f t="shared" si="262"/>
        <v>0</v>
      </c>
      <c r="N1714">
        <v>0.11700000000000001</v>
      </c>
      <c r="O1714" s="2">
        <f t="shared" si="263"/>
        <v>0</v>
      </c>
      <c r="P1714">
        <v>100</v>
      </c>
      <c r="Q1714">
        <v>4.17</v>
      </c>
      <c r="R1714" t="s">
        <v>182</v>
      </c>
      <c r="S1714">
        <v>0</v>
      </c>
      <c r="T1714">
        <v>0</v>
      </c>
      <c r="U1714">
        <v>25.9</v>
      </c>
      <c r="V1714" s="2">
        <f t="shared" si="264"/>
        <v>1</v>
      </c>
      <c r="W1714">
        <v>15</v>
      </c>
      <c r="X1714" s="2">
        <f t="shared" si="265"/>
        <v>0</v>
      </c>
      <c r="Y1714">
        <v>334.4</v>
      </c>
      <c r="Z1714" s="2" t="str">
        <f>CHOOSE(MATCH(Y1714,{0;11;80;111;161;191;241;281;341},1),"North","NorthEast","East","SouthEast","South","SouthWest","West","NorthWest","North")</f>
        <v>NorthWest</v>
      </c>
      <c r="AA1714" s="4">
        <f>CHOOSE(MATCH(Z1714,{"South";"SouthEast";"SouthWest";"North";"NorthEast";"East";"West";"NorthWest"},0),1,2,3,4,5,6,7,8)</f>
        <v>8</v>
      </c>
      <c r="AB1714" s="2">
        <f t="shared" si="266"/>
        <v>1</v>
      </c>
      <c r="AC1714">
        <v>1014.4</v>
      </c>
      <c r="AD1714" t="s">
        <v>2346</v>
      </c>
      <c r="AE1714" s="2">
        <f t="shared" si="267"/>
        <v>1</v>
      </c>
      <c r="AF1714" t="s">
        <v>2347</v>
      </c>
      <c r="AG1714" s="2">
        <f t="shared" si="268"/>
        <v>9</v>
      </c>
      <c r="AH1714" s="2">
        <f t="shared" si="269"/>
        <v>0</v>
      </c>
      <c r="AI1714" s="3">
        <v>37.999999998137348</v>
      </c>
      <c r="AJ1714" s="2">
        <v>0</v>
      </c>
      <c r="AK1714">
        <v>0</v>
      </c>
      <c r="AL1714">
        <v>0.5</v>
      </c>
      <c r="AM1714">
        <v>0</v>
      </c>
      <c r="AN1714" s="2">
        <f>IF((2*G1714+M1714-O1714+3*V1714+2*AB1714+2*AE1714+2*AH1714+3*AJ1714)&gt;=7,1,0)</f>
        <v>1</v>
      </c>
    </row>
    <row r="1715" spans="1:40" x14ac:dyDescent="0.25">
      <c r="A1715" t="s">
        <v>27</v>
      </c>
      <c r="B1715" s="1">
        <v>41900</v>
      </c>
      <c r="C1715" s="6">
        <f t="shared" si="260"/>
        <v>2014</v>
      </c>
      <c r="D1715">
        <v>78.8</v>
      </c>
      <c r="E1715">
        <v>70.099999999999994</v>
      </c>
      <c r="F1715">
        <v>75.599999999999994</v>
      </c>
      <c r="G1715" s="2">
        <f t="shared" si="261"/>
        <v>1</v>
      </c>
      <c r="H1715">
        <v>78.8</v>
      </c>
      <c r="I1715">
        <v>70.099999999999994</v>
      </c>
      <c r="J1715">
        <v>75.599999999999994</v>
      </c>
      <c r="K1715">
        <v>64.5</v>
      </c>
      <c r="L1715">
        <v>68.8</v>
      </c>
      <c r="M1715" s="2">
        <f t="shared" si="262"/>
        <v>0</v>
      </c>
      <c r="N1715">
        <v>0.11700000000000001</v>
      </c>
      <c r="O1715" s="2">
        <f t="shared" si="263"/>
        <v>0</v>
      </c>
      <c r="P1715">
        <v>100</v>
      </c>
      <c r="Q1715">
        <v>4.17</v>
      </c>
      <c r="R1715" t="s">
        <v>182</v>
      </c>
      <c r="S1715">
        <v>0</v>
      </c>
      <c r="T1715">
        <v>0</v>
      </c>
      <c r="U1715">
        <v>25.9</v>
      </c>
      <c r="V1715" s="2">
        <f t="shared" si="264"/>
        <v>1</v>
      </c>
      <c r="W1715">
        <v>15</v>
      </c>
      <c r="X1715" s="2">
        <f t="shared" si="265"/>
        <v>0</v>
      </c>
      <c r="Y1715">
        <v>334.4</v>
      </c>
      <c r="Z1715" s="2" t="str">
        <f>CHOOSE(MATCH(Y1715,{0;11;80;111;161;191;241;281;341},1),"North","NorthEast","East","SouthEast","South","SouthWest","West","NorthWest","North")</f>
        <v>NorthWest</v>
      </c>
      <c r="AA1715" s="4">
        <f>CHOOSE(MATCH(Z1715,{"South";"SouthEast";"SouthWest";"North";"NorthEast";"East";"West";"NorthWest"},0),1,2,3,4,5,6,7,8)</f>
        <v>8</v>
      </c>
      <c r="AB1715" s="2">
        <f t="shared" si="266"/>
        <v>1</v>
      </c>
      <c r="AC1715">
        <v>1014.4</v>
      </c>
      <c r="AD1715" t="s">
        <v>1759</v>
      </c>
      <c r="AE1715" s="2">
        <f t="shared" si="267"/>
        <v>1</v>
      </c>
      <c r="AF1715" t="s">
        <v>2348</v>
      </c>
      <c r="AG1715" s="2">
        <f t="shared" si="268"/>
        <v>9</v>
      </c>
      <c r="AH1715" s="2">
        <f t="shared" si="269"/>
        <v>0</v>
      </c>
      <c r="AI1715" s="3">
        <v>950.00000000582077</v>
      </c>
      <c r="AJ1715" s="2">
        <v>1</v>
      </c>
      <c r="AK1715">
        <v>0</v>
      </c>
      <c r="AL1715">
        <v>20</v>
      </c>
      <c r="AM1715">
        <v>0</v>
      </c>
      <c r="AN1715" s="2">
        <f>IF((2*G1715+M1715-O1715+3*V1715+2*AB1715+2*AE1715+2*AH1715+3*AJ1715)&gt;=7,1,0)</f>
        <v>1</v>
      </c>
    </row>
    <row r="1716" spans="1:40" x14ac:dyDescent="0.25">
      <c r="A1716" t="s">
        <v>27</v>
      </c>
      <c r="B1716" s="1">
        <v>41901</v>
      </c>
      <c r="C1716" s="6">
        <f t="shared" si="260"/>
        <v>2014</v>
      </c>
      <c r="D1716">
        <v>78.8</v>
      </c>
      <c r="E1716">
        <v>72.099999999999994</v>
      </c>
      <c r="F1716">
        <v>75.7</v>
      </c>
      <c r="G1716" s="2">
        <f t="shared" si="261"/>
        <v>1</v>
      </c>
      <c r="H1716">
        <v>78.8</v>
      </c>
      <c r="I1716">
        <v>72.099999999999994</v>
      </c>
      <c r="J1716">
        <v>75.7</v>
      </c>
      <c r="K1716">
        <v>61.8</v>
      </c>
      <c r="L1716">
        <v>62.1</v>
      </c>
      <c r="M1716" s="2">
        <f t="shared" si="262"/>
        <v>1</v>
      </c>
      <c r="N1716">
        <v>0</v>
      </c>
      <c r="O1716" s="2">
        <f t="shared" si="263"/>
        <v>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33.1</v>
      </c>
      <c r="V1716" s="2">
        <f t="shared" si="264"/>
        <v>1</v>
      </c>
      <c r="W1716">
        <v>21.9</v>
      </c>
      <c r="X1716" s="2">
        <f t="shared" si="265"/>
        <v>1</v>
      </c>
      <c r="Y1716">
        <v>332.2</v>
      </c>
      <c r="Z1716" s="2" t="str">
        <f>CHOOSE(MATCH(Y1716,{0;11;80;111;161;191;241;281;341},1),"North","NorthEast","East","SouthEast","South","SouthWest","West","NorthWest","North")</f>
        <v>NorthWest</v>
      </c>
      <c r="AA1716" s="4">
        <f>CHOOSE(MATCH(Z1716,{"South";"SouthEast";"SouthWest";"North";"NorthEast";"East";"West";"NorthWest"},0),1,2,3,4,5,6,7,8)</f>
        <v>8</v>
      </c>
      <c r="AB1716" s="2">
        <f t="shared" si="266"/>
        <v>1</v>
      </c>
      <c r="AC1716">
        <v>1018.5</v>
      </c>
      <c r="AD1716" t="s">
        <v>2002</v>
      </c>
      <c r="AE1716" s="2">
        <f t="shared" si="267"/>
        <v>1</v>
      </c>
      <c r="AF1716" t="s">
        <v>2349</v>
      </c>
      <c r="AG1716" s="2">
        <f t="shared" si="268"/>
        <v>9</v>
      </c>
      <c r="AH1716" s="2">
        <f t="shared" si="269"/>
        <v>0</v>
      </c>
      <c r="AI1716" s="3">
        <v>535.00000000465661</v>
      </c>
      <c r="AJ1716" s="2">
        <v>1</v>
      </c>
      <c r="AK1716">
        <v>0</v>
      </c>
      <c r="AL1716">
        <v>1</v>
      </c>
      <c r="AM1716">
        <v>0</v>
      </c>
      <c r="AN1716" s="2">
        <f>IF((2*G1716+M1716-O1716+3*V1716+2*AB1716+2*AE1716+2*AH1716+3*AJ1716)&gt;=7,1,0)</f>
        <v>1</v>
      </c>
    </row>
    <row r="1717" spans="1:40" x14ac:dyDescent="0.25">
      <c r="A1717" t="s">
        <v>27</v>
      </c>
      <c r="B1717" s="1">
        <v>41901</v>
      </c>
      <c r="C1717" s="6">
        <f t="shared" si="260"/>
        <v>2014</v>
      </c>
      <c r="D1717">
        <v>78.8</v>
      </c>
      <c r="E1717">
        <v>72.099999999999994</v>
      </c>
      <c r="F1717">
        <v>75.7</v>
      </c>
      <c r="G1717" s="2">
        <f t="shared" si="261"/>
        <v>1</v>
      </c>
      <c r="H1717">
        <v>78.8</v>
      </c>
      <c r="I1717">
        <v>72.099999999999994</v>
      </c>
      <c r="J1717">
        <v>75.7</v>
      </c>
      <c r="K1717">
        <v>61.8</v>
      </c>
      <c r="L1717">
        <v>62.1</v>
      </c>
      <c r="M1717" s="2">
        <f t="shared" si="262"/>
        <v>1</v>
      </c>
      <c r="N1717">
        <v>0</v>
      </c>
      <c r="O1717" s="2">
        <f t="shared" si="263"/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33.1</v>
      </c>
      <c r="V1717" s="2">
        <f t="shared" si="264"/>
        <v>1</v>
      </c>
      <c r="W1717">
        <v>21.9</v>
      </c>
      <c r="X1717" s="2">
        <f t="shared" si="265"/>
        <v>1</v>
      </c>
      <c r="Y1717">
        <v>332.2</v>
      </c>
      <c r="Z1717" s="2" t="str">
        <f>CHOOSE(MATCH(Y1717,{0;11;80;111;161;191;241;281;341},1),"North","NorthEast","East","SouthEast","South","SouthWest","West","NorthWest","North")</f>
        <v>NorthWest</v>
      </c>
      <c r="AA1717" s="4">
        <f>CHOOSE(MATCH(Z1717,{"South";"SouthEast";"SouthWest";"North";"NorthEast";"East";"West";"NorthWest"},0),1,2,3,4,5,6,7,8)</f>
        <v>8</v>
      </c>
      <c r="AB1717" s="2">
        <f t="shared" si="266"/>
        <v>1</v>
      </c>
      <c r="AC1717">
        <v>1018.5</v>
      </c>
      <c r="AD1717" t="s">
        <v>2350</v>
      </c>
      <c r="AE1717" s="2">
        <f t="shared" si="267"/>
        <v>1</v>
      </c>
      <c r="AF1717" t="s">
        <v>2351</v>
      </c>
      <c r="AG1717" s="2">
        <f t="shared" si="268"/>
        <v>9</v>
      </c>
      <c r="AH1717" s="2">
        <f t="shared" si="269"/>
        <v>0</v>
      </c>
      <c r="AI1717" s="3">
        <v>238.00000000046569</v>
      </c>
      <c r="AJ1717" s="2">
        <v>0</v>
      </c>
      <c r="AK1717">
        <v>0</v>
      </c>
      <c r="AL1717">
        <v>20</v>
      </c>
      <c r="AM1717">
        <v>0</v>
      </c>
      <c r="AN1717" s="2">
        <f>IF((2*G1717+M1717-O1717+3*V1717+2*AB1717+2*AE1717+2*AH1717+3*AJ1717)&gt;=7,1,0)</f>
        <v>1</v>
      </c>
    </row>
    <row r="1718" spans="1:40" x14ac:dyDescent="0.25">
      <c r="A1718" t="s">
        <v>27</v>
      </c>
      <c r="B1718" s="1">
        <v>41904</v>
      </c>
      <c r="C1718" s="6">
        <f t="shared" si="260"/>
        <v>2014</v>
      </c>
      <c r="D1718">
        <v>90.1</v>
      </c>
      <c r="E1718">
        <v>68</v>
      </c>
      <c r="F1718">
        <v>78.400000000000006</v>
      </c>
      <c r="G1718" s="2">
        <f t="shared" si="261"/>
        <v>1</v>
      </c>
      <c r="H1718">
        <v>92</v>
      </c>
      <c r="I1718">
        <v>68</v>
      </c>
      <c r="J1718">
        <v>79.8</v>
      </c>
      <c r="K1718">
        <v>66.099999999999994</v>
      </c>
      <c r="L1718">
        <v>68</v>
      </c>
      <c r="M1718" s="2">
        <f t="shared" si="262"/>
        <v>0</v>
      </c>
      <c r="N1718">
        <v>0</v>
      </c>
      <c r="O1718" s="2">
        <f t="shared" si="263"/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23.7</v>
      </c>
      <c r="V1718" s="2">
        <f t="shared" si="264"/>
        <v>1</v>
      </c>
      <c r="W1718">
        <v>8.5</v>
      </c>
      <c r="X1718" s="2">
        <f t="shared" si="265"/>
        <v>0</v>
      </c>
      <c r="Y1718">
        <v>186.9</v>
      </c>
      <c r="Z1718" s="2" t="str">
        <f>CHOOSE(MATCH(Y1718,{0;11;80;111;161;191;241;281;341},1),"North","NorthEast","East","SouthEast","South","SouthWest","West","NorthWest","North")</f>
        <v>South</v>
      </c>
      <c r="AA1718" s="4">
        <f>CHOOSE(MATCH(Z1718,{"South";"SouthEast";"SouthWest";"North";"NorthEast";"East";"West";"NorthWest"},0),1,2,3,4,5,6,7,8)</f>
        <v>1</v>
      </c>
      <c r="AB1718" s="2">
        <f t="shared" si="266"/>
        <v>0</v>
      </c>
      <c r="AC1718">
        <v>1011.5</v>
      </c>
      <c r="AD1718" t="s">
        <v>1069</v>
      </c>
      <c r="AE1718" s="2">
        <f t="shared" si="267"/>
        <v>1</v>
      </c>
      <c r="AF1718" t="s">
        <v>2352</v>
      </c>
      <c r="AG1718" s="2">
        <f t="shared" si="268"/>
        <v>9</v>
      </c>
      <c r="AH1718" s="2">
        <f t="shared" si="269"/>
        <v>0</v>
      </c>
      <c r="AI1718" s="3">
        <v>24.99999999767169</v>
      </c>
      <c r="AJ1718" s="2">
        <v>0</v>
      </c>
      <c r="AK1718">
        <v>0</v>
      </c>
      <c r="AL1718">
        <v>0.2</v>
      </c>
      <c r="AM1718">
        <v>0</v>
      </c>
      <c r="AN1718" s="2">
        <f>IF((2*G1718+M1718-O1718+3*V1718+2*AB1718+2*AE1718+2*AH1718+3*AJ1718)&gt;=7,1,0)</f>
        <v>0</v>
      </c>
    </row>
    <row r="1719" spans="1:40" x14ac:dyDescent="0.25">
      <c r="A1719" t="s">
        <v>27</v>
      </c>
      <c r="B1719" s="1">
        <v>41904</v>
      </c>
      <c r="C1719" s="6">
        <f t="shared" si="260"/>
        <v>2014</v>
      </c>
      <c r="D1719">
        <v>90.1</v>
      </c>
      <c r="E1719">
        <v>68</v>
      </c>
      <c r="F1719">
        <v>78.400000000000006</v>
      </c>
      <c r="G1719" s="2">
        <f t="shared" si="261"/>
        <v>1</v>
      </c>
      <c r="H1719">
        <v>92</v>
      </c>
      <c r="I1719">
        <v>68</v>
      </c>
      <c r="J1719">
        <v>79.8</v>
      </c>
      <c r="K1719">
        <v>66.099999999999994</v>
      </c>
      <c r="L1719">
        <v>68</v>
      </c>
      <c r="M1719" s="2">
        <f t="shared" si="262"/>
        <v>0</v>
      </c>
      <c r="N1719">
        <v>0</v>
      </c>
      <c r="O1719" s="2">
        <f t="shared" si="263"/>
        <v>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23.7</v>
      </c>
      <c r="V1719" s="2">
        <f t="shared" si="264"/>
        <v>1</v>
      </c>
      <c r="W1719">
        <v>8.5</v>
      </c>
      <c r="X1719" s="2">
        <f t="shared" si="265"/>
        <v>0</v>
      </c>
      <c r="Y1719">
        <v>186.9</v>
      </c>
      <c r="Z1719" s="2" t="str">
        <f>CHOOSE(MATCH(Y1719,{0;11;80;111;161;191;241;281;341},1),"North","NorthEast","East","SouthEast","South","SouthWest","West","NorthWest","North")</f>
        <v>South</v>
      </c>
      <c r="AA1719" s="4">
        <f>CHOOSE(MATCH(Z1719,{"South";"SouthEast";"SouthWest";"North";"NorthEast";"East";"West";"NorthWest"},0),1,2,3,4,5,6,7,8)</f>
        <v>1</v>
      </c>
      <c r="AB1719" s="2">
        <f t="shared" si="266"/>
        <v>0</v>
      </c>
      <c r="AC1719">
        <v>1011.5</v>
      </c>
      <c r="AD1719" t="s">
        <v>1763</v>
      </c>
      <c r="AE1719" s="2">
        <f t="shared" si="267"/>
        <v>0</v>
      </c>
      <c r="AF1719" t="s">
        <v>2353</v>
      </c>
      <c r="AG1719" s="2">
        <f t="shared" si="268"/>
        <v>9</v>
      </c>
      <c r="AH1719" s="2">
        <f t="shared" si="269"/>
        <v>0</v>
      </c>
      <c r="AI1719" s="3">
        <v>1175.000000005821</v>
      </c>
      <c r="AJ1719" s="2">
        <v>1</v>
      </c>
      <c r="AK1719">
        <v>0</v>
      </c>
      <c r="AL1719">
        <v>10</v>
      </c>
      <c r="AM1719">
        <v>0</v>
      </c>
      <c r="AN1719" s="2">
        <f>IF((2*G1719+M1719-O1719+3*V1719+2*AB1719+2*AE1719+2*AH1719+3*AJ1719)&gt;=7,1,0)</f>
        <v>1</v>
      </c>
    </row>
    <row r="1720" spans="1:40" x14ac:dyDescent="0.25">
      <c r="A1720" t="s">
        <v>27</v>
      </c>
      <c r="B1720" s="1">
        <v>41905</v>
      </c>
      <c r="C1720" s="6">
        <f t="shared" si="260"/>
        <v>2014</v>
      </c>
      <c r="D1720">
        <v>91.4</v>
      </c>
      <c r="E1720">
        <v>77</v>
      </c>
      <c r="F1720">
        <v>84.1</v>
      </c>
      <c r="G1720" s="2">
        <f t="shared" si="261"/>
        <v>1</v>
      </c>
      <c r="H1720">
        <v>94.2</v>
      </c>
      <c r="I1720">
        <v>77</v>
      </c>
      <c r="J1720">
        <v>84.9</v>
      </c>
      <c r="K1720">
        <v>61.1</v>
      </c>
      <c r="L1720">
        <v>46.9</v>
      </c>
      <c r="M1720" s="2">
        <f t="shared" si="262"/>
        <v>1</v>
      </c>
      <c r="N1720">
        <v>0</v>
      </c>
      <c r="O1720" s="2">
        <f t="shared" si="263"/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30</v>
      </c>
      <c r="V1720" s="2">
        <f t="shared" si="264"/>
        <v>1</v>
      </c>
      <c r="W1720">
        <v>15</v>
      </c>
      <c r="X1720" s="2">
        <f t="shared" si="265"/>
        <v>0</v>
      </c>
      <c r="Y1720">
        <v>179.7</v>
      </c>
      <c r="Z1720" s="2" t="str">
        <f>CHOOSE(MATCH(Y1720,{0;11;80;111;161;191;241;281;341},1),"North","NorthEast","East","SouthEast","South","SouthWest","West","NorthWest","North")</f>
        <v>South</v>
      </c>
      <c r="AA1720" s="4">
        <f>CHOOSE(MATCH(Z1720,{"South";"SouthEast";"SouthWest";"North";"NorthEast";"East";"West";"NorthWest"},0),1,2,3,4,5,6,7,8)</f>
        <v>1</v>
      </c>
      <c r="AB1720" s="2">
        <f t="shared" si="266"/>
        <v>0</v>
      </c>
      <c r="AC1720">
        <v>1009.9</v>
      </c>
      <c r="AD1720" t="s">
        <v>1900</v>
      </c>
      <c r="AE1720" s="2">
        <f t="shared" si="267"/>
        <v>1</v>
      </c>
      <c r="AF1720" t="s">
        <v>2354</v>
      </c>
      <c r="AG1720" s="2">
        <f t="shared" si="268"/>
        <v>9</v>
      </c>
      <c r="AH1720" s="2">
        <f t="shared" si="269"/>
        <v>0</v>
      </c>
      <c r="AI1720" s="3">
        <v>1609.9999999988361</v>
      </c>
      <c r="AJ1720" s="2">
        <v>1</v>
      </c>
      <c r="AK1720">
        <v>150</v>
      </c>
      <c r="AL1720">
        <v>0</v>
      </c>
      <c r="AM1720">
        <v>0</v>
      </c>
      <c r="AN1720" s="2">
        <f>IF((2*G1720+M1720-O1720+3*V1720+2*AB1720+2*AE1720+2*AH1720+3*AJ1720)&gt;=7,1,0)</f>
        <v>1</v>
      </c>
    </row>
    <row r="1721" spans="1:40" x14ac:dyDescent="0.25">
      <c r="A1721" t="s">
        <v>27</v>
      </c>
      <c r="B1721" s="1">
        <v>41906</v>
      </c>
      <c r="C1721" s="6">
        <f t="shared" si="260"/>
        <v>2014</v>
      </c>
      <c r="D1721">
        <v>80.599999999999994</v>
      </c>
      <c r="E1721">
        <v>71.599999999999994</v>
      </c>
      <c r="F1721">
        <v>77.3</v>
      </c>
      <c r="G1721" s="2">
        <f t="shared" si="261"/>
        <v>1</v>
      </c>
      <c r="H1721">
        <v>82.3</v>
      </c>
      <c r="I1721">
        <v>71.599999999999994</v>
      </c>
      <c r="J1721">
        <v>77.400000000000006</v>
      </c>
      <c r="K1721">
        <v>66.8</v>
      </c>
      <c r="L1721">
        <v>70.8</v>
      </c>
      <c r="M1721" s="2">
        <f t="shared" si="262"/>
        <v>0</v>
      </c>
      <c r="N1721">
        <v>0</v>
      </c>
      <c r="O1721" s="2">
        <f t="shared" si="263"/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24.2</v>
      </c>
      <c r="V1721" s="2">
        <f t="shared" si="264"/>
        <v>1</v>
      </c>
      <c r="W1721">
        <v>12.8</v>
      </c>
      <c r="X1721" s="2">
        <f t="shared" si="265"/>
        <v>0</v>
      </c>
      <c r="Y1721">
        <v>37.5</v>
      </c>
      <c r="Z1721" s="2" t="str">
        <f>CHOOSE(MATCH(Y1721,{0;11;80;111;161;191;241;281;341},1),"North","NorthEast","East","SouthEast","South","SouthWest","West","NorthWest","North")</f>
        <v>NorthEast</v>
      </c>
      <c r="AA1721" s="4">
        <f>CHOOSE(MATCH(Z1721,{"South";"SouthEast";"SouthWest";"North";"NorthEast";"East";"West";"NorthWest"},0),1,2,3,4,5,6,7,8)</f>
        <v>5</v>
      </c>
      <c r="AB1721" s="2">
        <f t="shared" si="266"/>
        <v>1</v>
      </c>
      <c r="AC1721">
        <v>1014.8</v>
      </c>
      <c r="AD1721" t="s">
        <v>2118</v>
      </c>
      <c r="AE1721" s="2">
        <f t="shared" si="267"/>
        <v>1</v>
      </c>
      <c r="AF1721" t="s">
        <v>2355</v>
      </c>
      <c r="AG1721" s="2">
        <f t="shared" si="268"/>
        <v>9</v>
      </c>
      <c r="AH1721" s="2">
        <f t="shared" si="269"/>
        <v>0</v>
      </c>
      <c r="AI1721" s="3">
        <v>126.0000000020955</v>
      </c>
      <c r="AJ1721" s="2">
        <v>0</v>
      </c>
      <c r="AK1721">
        <v>0</v>
      </c>
      <c r="AL1721">
        <v>2</v>
      </c>
      <c r="AM1721">
        <v>0</v>
      </c>
      <c r="AN1721" s="2">
        <f>IF((2*G1721+M1721-O1721+3*V1721+2*AB1721+2*AE1721+2*AH1721+3*AJ1721)&gt;=7,1,0)</f>
        <v>1</v>
      </c>
    </row>
    <row r="1722" spans="1:40" x14ac:dyDescent="0.25">
      <c r="A1722" t="s">
        <v>27</v>
      </c>
      <c r="B1722" s="1">
        <v>41908</v>
      </c>
      <c r="C1722" s="6">
        <f t="shared" si="260"/>
        <v>2014</v>
      </c>
      <c r="D1722">
        <v>87.8</v>
      </c>
      <c r="E1722">
        <v>67.400000000000006</v>
      </c>
      <c r="F1722">
        <v>76.599999999999994</v>
      </c>
      <c r="G1722" s="2">
        <f t="shared" si="261"/>
        <v>1</v>
      </c>
      <c r="H1722">
        <v>88.4</v>
      </c>
      <c r="I1722">
        <v>67.400000000000006</v>
      </c>
      <c r="J1722">
        <v>77.400000000000006</v>
      </c>
      <c r="K1722">
        <v>63.4</v>
      </c>
      <c r="L1722">
        <v>64.900000000000006</v>
      </c>
      <c r="M1722" s="2">
        <f t="shared" si="262"/>
        <v>1</v>
      </c>
      <c r="N1722">
        <v>0</v>
      </c>
      <c r="O1722" s="2">
        <f t="shared" si="263"/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24.4</v>
      </c>
      <c r="V1722" s="2">
        <f t="shared" si="264"/>
        <v>1</v>
      </c>
      <c r="W1722">
        <v>16.100000000000001</v>
      </c>
      <c r="X1722" s="2">
        <f t="shared" si="265"/>
        <v>1</v>
      </c>
      <c r="Y1722">
        <v>189.1</v>
      </c>
      <c r="Z1722" s="2" t="str">
        <f>CHOOSE(MATCH(Y1722,{0;11;80;111;161;191;241;281;341},1),"North","NorthEast","East","SouthEast","South","SouthWest","West","NorthWest","North")</f>
        <v>South</v>
      </c>
      <c r="AA1722" s="4">
        <f>CHOOSE(MATCH(Z1722,{"South";"SouthEast";"SouthWest";"North";"NorthEast";"East";"West";"NorthWest"},0),1,2,3,4,5,6,7,8)</f>
        <v>1</v>
      </c>
      <c r="AB1722" s="2">
        <f t="shared" si="266"/>
        <v>0</v>
      </c>
      <c r="AC1722">
        <v>1012.4</v>
      </c>
      <c r="AD1722" t="s">
        <v>2179</v>
      </c>
      <c r="AE1722" s="2">
        <f t="shared" si="267"/>
        <v>0</v>
      </c>
      <c r="AF1722" t="s">
        <v>2356</v>
      </c>
      <c r="AG1722" s="2">
        <f t="shared" si="268"/>
        <v>9</v>
      </c>
      <c r="AH1722" s="2">
        <f t="shared" si="269"/>
        <v>0</v>
      </c>
      <c r="AI1722" s="3">
        <v>959.99999999650754</v>
      </c>
      <c r="AJ1722" s="2">
        <v>1</v>
      </c>
      <c r="AK1722">
        <v>0</v>
      </c>
      <c r="AL1722">
        <v>4</v>
      </c>
      <c r="AM1722">
        <v>0</v>
      </c>
      <c r="AN1722" s="2">
        <f>IF((2*G1722+M1722-O1722+3*V1722+2*AB1722+2*AE1722+2*AH1722+3*AJ1722)&gt;=7,1,0)</f>
        <v>1</v>
      </c>
    </row>
    <row r="1723" spans="1:40" x14ac:dyDescent="0.25">
      <c r="A1723" t="s">
        <v>27</v>
      </c>
      <c r="B1723" s="1">
        <v>41908</v>
      </c>
      <c r="C1723" s="6">
        <f t="shared" si="260"/>
        <v>2014</v>
      </c>
      <c r="D1723">
        <v>87.8</v>
      </c>
      <c r="E1723">
        <v>67.400000000000006</v>
      </c>
      <c r="F1723">
        <v>76.599999999999994</v>
      </c>
      <c r="G1723" s="2">
        <f t="shared" si="261"/>
        <v>1</v>
      </c>
      <c r="H1723">
        <v>88.4</v>
      </c>
      <c r="I1723">
        <v>67.400000000000006</v>
      </c>
      <c r="J1723">
        <v>77.400000000000006</v>
      </c>
      <c r="K1723">
        <v>63.4</v>
      </c>
      <c r="L1723">
        <v>64.900000000000006</v>
      </c>
      <c r="M1723" s="2">
        <f t="shared" si="262"/>
        <v>1</v>
      </c>
      <c r="N1723">
        <v>0</v>
      </c>
      <c r="O1723" s="2">
        <f t="shared" si="263"/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24.4</v>
      </c>
      <c r="V1723" s="2">
        <f t="shared" si="264"/>
        <v>1</v>
      </c>
      <c r="W1723">
        <v>16.100000000000001</v>
      </c>
      <c r="X1723" s="2">
        <f t="shared" si="265"/>
        <v>1</v>
      </c>
      <c r="Y1723">
        <v>189.1</v>
      </c>
      <c r="Z1723" s="2" t="str">
        <f>CHOOSE(MATCH(Y1723,{0;11;80;111;161;191;241;281;341},1),"North","NorthEast","East","SouthEast","South","SouthWest","West","NorthWest","North")</f>
        <v>South</v>
      </c>
      <c r="AA1723" s="4">
        <f>CHOOSE(MATCH(Z1723,{"South";"SouthEast";"SouthWest";"North";"NorthEast";"East";"West";"NorthWest"},0),1,2,3,4,5,6,7,8)</f>
        <v>1</v>
      </c>
      <c r="AB1723" s="2">
        <f t="shared" si="266"/>
        <v>0</v>
      </c>
      <c r="AC1723">
        <v>1012.4</v>
      </c>
      <c r="AD1723" t="s">
        <v>2357</v>
      </c>
      <c r="AE1723" s="2">
        <f t="shared" si="267"/>
        <v>0</v>
      </c>
      <c r="AF1723" t="s">
        <v>2358</v>
      </c>
      <c r="AG1723" s="2">
        <f t="shared" si="268"/>
        <v>9</v>
      </c>
      <c r="AH1723" s="2">
        <f t="shared" si="269"/>
        <v>0</v>
      </c>
      <c r="AI1723" s="3">
        <v>1603.000000007451</v>
      </c>
      <c r="AJ1723" s="2">
        <v>1</v>
      </c>
      <c r="AK1723">
        <v>0</v>
      </c>
      <c r="AL1723">
        <v>5</v>
      </c>
      <c r="AM1723">
        <v>0</v>
      </c>
      <c r="AN1723" s="2">
        <f>IF((2*G1723+M1723-O1723+3*V1723+2*AB1723+2*AE1723+2*AH1723+3*AJ1723)&gt;=7,1,0)</f>
        <v>1</v>
      </c>
    </row>
    <row r="1724" spans="1:40" x14ac:dyDescent="0.25">
      <c r="A1724" t="s">
        <v>27</v>
      </c>
      <c r="B1724" s="1">
        <v>41909</v>
      </c>
      <c r="C1724" s="6">
        <f t="shared" si="260"/>
        <v>2014</v>
      </c>
      <c r="D1724">
        <v>77</v>
      </c>
      <c r="E1724">
        <v>62.6</v>
      </c>
      <c r="F1724">
        <v>70.400000000000006</v>
      </c>
      <c r="G1724" s="2">
        <f t="shared" si="261"/>
        <v>1</v>
      </c>
      <c r="H1724">
        <v>77</v>
      </c>
      <c r="I1724">
        <v>62.6</v>
      </c>
      <c r="J1724">
        <v>70.400000000000006</v>
      </c>
      <c r="K1724">
        <v>59.4</v>
      </c>
      <c r="L1724">
        <v>69.400000000000006</v>
      </c>
      <c r="M1724" s="2">
        <f t="shared" si="262"/>
        <v>0</v>
      </c>
      <c r="N1724">
        <v>0.59199999999999997</v>
      </c>
      <c r="O1724" s="2">
        <f t="shared" si="263"/>
        <v>0</v>
      </c>
      <c r="P1724">
        <v>100</v>
      </c>
      <c r="Q1724">
        <v>12.5</v>
      </c>
      <c r="R1724" t="s">
        <v>182</v>
      </c>
      <c r="S1724">
        <v>0</v>
      </c>
      <c r="T1724">
        <v>0</v>
      </c>
      <c r="U1724">
        <v>39.1</v>
      </c>
      <c r="V1724" s="2">
        <f t="shared" si="264"/>
        <v>1</v>
      </c>
      <c r="W1724">
        <v>26.4</v>
      </c>
      <c r="X1724" s="2">
        <f t="shared" si="265"/>
        <v>1</v>
      </c>
      <c r="Y1724">
        <v>317.5</v>
      </c>
      <c r="Z1724" s="2" t="str">
        <f>CHOOSE(MATCH(Y1724,{0;11;80;111;161;191;241;281;341},1),"North","NorthEast","East","SouthEast","South","SouthWest","West","NorthWest","North")</f>
        <v>NorthWest</v>
      </c>
      <c r="AA1724" s="4">
        <f>CHOOSE(MATCH(Z1724,{"South";"SouthEast";"SouthWest";"North";"NorthEast";"East";"West";"NorthWest"},0),1,2,3,4,5,6,7,8)</f>
        <v>8</v>
      </c>
      <c r="AB1724" s="2">
        <f t="shared" si="266"/>
        <v>1</v>
      </c>
      <c r="AC1724">
        <v>1011</v>
      </c>
      <c r="AD1724" t="s">
        <v>2359</v>
      </c>
      <c r="AE1724" s="2">
        <f t="shared" si="267"/>
        <v>1</v>
      </c>
      <c r="AF1724" t="s">
        <v>2360</v>
      </c>
      <c r="AG1724" s="2">
        <f t="shared" si="268"/>
        <v>9</v>
      </c>
      <c r="AH1724" s="2">
        <f t="shared" si="269"/>
        <v>0</v>
      </c>
      <c r="AI1724" s="3">
        <v>1176.0000000090799</v>
      </c>
      <c r="AJ1724" s="2">
        <v>1</v>
      </c>
      <c r="AK1724">
        <v>0</v>
      </c>
      <c r="AL1724">
        <v>40</v>
      </c>
      <c r="AM1724">
        <v>0</v>
      </c>
      <c r="AN1724" s="2">
        <f>IF((2*G1724+M1724-O1724+3*V1724+2*AB1724+2*AE1724+2*AH1724+3*AJ1724)&gt;=7,1,0)</f>
        <v>1</v>
      </c>
    </row>
    <row r="1725" spans="1:40" x14ac:dyDescent="0.25">
      <c r="A1725" t="s">
        <v>27</v>
      </c>
      <c r="B1725" s="1">
        <v>41911</v>
      </c>
      <c r="C1725" s="6">
        <f t="shared" si="260"/>
        <v>2014</v>
      </c>
      <c r="D1725">
        <v>73.400000000000006</v>
      </c>
      <c r="E1725">
        <v>63.6</v>
      </c>
      <c r="F1725">
        <v>69.8</v>
      </c>
      <c r="G1725" s="2">
        <f t="shared" si="261"/>
        <v>0</v>
      </c>
      <c r="H1725">
        <v>73.400000000000006</v>
      </c>
      <c r="I1725">
        <v>63.6</v>
      </c>
      <c r="J1725">
        <v>69.8</v>
      </c>
      <c r="K1725">
        <v>56.7</v>
      </c>
      <c r="L1725">
        <v>63.4</v>
      </c>
      <c r="M1725" s="2">
        <f t="shared" si="262"/>
        <v>1</v>
      </c>
      <c r="N1725">
        <v>6.0000000000000001E-3</v>
      </c>
      <c r="O1725" s="2">
        <f t="shared" si="263"/>
        <v>1</v>
      </c>
      <c r="P1725">
        <v>100</v>
      </c>
      <c r="Q1725">
        <v>4.17</v>
      </c>
      <c r="R1725" t="s">
        <v>182</v>
      </c>
      <c r="S1725">
        <v>0</v>
      </c>
      <c r="T1725">
        <v>0</v>
      </c>
      <c r="U1725">
        <v>40.700000000000003</v>
      </c>
      <c r="V1725" s="2">
        <f t="shared" si="264"/>
        <v>1</v>
      </c>
      <c r="W1725">
        <v>25.3</v>
      </c>
      <c r="X1725" s="2">
        <f t="shared" si="265"/>
        <v>1</v>
      </c>
      <c r="Y1725">
        <v>351.7</v>
      </c>
      <c r="Z1725" s="2" t="str">
        <f>CHOOSE(MATCH(Y1725,{0;11;80;111;161;191;241;281;341},1),"North","NorthEast","East","SouthEast","South","SouthWest","West","NorthWest","North")</f>
        <v>North</v>
      </c>
      <c r="AA1725" s="4">
        <f>CHOOSE(MATCH(Z1725,{"South";"SouthEast";"SouthWest";"North";"NorthEast";"East";"West";"NorthWest"},0),1,2,3,4,5,6,7,8)</f>
        <v>4</v>
      </c>
      <c r="AB1725" s="2">
        <f t="shared" si="266"/>
        <v>1</v>
      </c>
      <c r="AC1725">
        <v>1021</v>
      </c>
      <c r="AD1725" t="s">
        <v>1861</v>
      </c>
      <c r="AE1725" s="2">
        <f t="shared" si="267"/>
        <v>0</v>
      </c>
      <c r="AF1725" t="s">
        <v>2361</v>
      </c>
      <c r="AG1725" s="2">
        <f t="shared" si="268"/>
        <v>9</v>
      </c>
      <c r="AH1725" s="2">
        <f t="shared" si="269"/>
        <v>0</v>
      </c>
      <c r="AI1725" s="3">
        <v>6480</v>
      </c>
      <c r="AJ1725" s="2">
        <v>1</v>
      </c>
      <c r="AK1725">
        <v>200</v>
      </c>
      <c r="AL1725">
        <v>0</v>
      </c>
      <c r="AM1725">
        <v>0</v>
      </c>
      <c r="AN1725" s="2">
        <f>IF((2*G1725+M1725-O1725+3*V1725+2*AB1725+2*AE1725+2*AH1725+3*AJ1725)&gt;=7,1,0)</f>
        <v>1</v>
      </c>
    </row>
    <row r="1726" spans="1:40" x14ac:dyDescent="0.25">
      <c r="A1726" t="s">
        <v>27</v>
      </c>
      <c r="B1726" s="1">
        <v>41912</v>
      </c>
      <c r="C1726" s="6">
        <f t="shared" si="260"/>
        <v>2014</v>
      </c>
      <c r="D1726">
        <v>75.2</v>
      </c>
      <c r="E1726">
        <v>69.7</v>
      </c>
      <c r="F1726">
        <v>71.2</v>
      </c>
      <c r="G1726" s="2">
        <f t="shared" si="261"/>
        <v>1</v>
      </c>
      <c r="H1726">
        <v>75.2</v>
      </c>
      <c r="I1726">
        <v>69.7</v>
      </c>
      <c r="J1726">
        <v>71.2</v>
      </c>
      <c r="K1726">
        <v>57.3</v>
      </c>
      <c r="L1726">
        <v>61.8</v>
      </c>
      <c r="M1726" s="2">
        <f t="shared" si="262"/>
        <v>1</v>
      </c>
      <c r="N1726">
        <v>0</v>
      </c>
      <c r="O1726" s="2">
        <f t="shared" si="263"/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41.4</v>
      </c>
      <c r="V1726" s="2">
        <f t="shared" si="264"/>
        <v>1</v>
      </c>
      <c r="W1726">
        <v>21.9</v>
      </c>
      <c r="X1726" s="2">
        <f t="shared" si="265"/>
        <v>1</v>
      </c>
      <c r="Y1726">
        <v>346.7</v>
      </c>
      <c r="Z1726" s="2" t="str">
        <f>CHOOSE(MATCH(Y1726,{0;11;80;111;161;191;241;281;341},1),"North","NorthEast","East","SouthEast","South","SouthWest","West","NorthWest","North")</f>
        <v>North</v>
      </c>
      <c r="AA1726" s="4">
        <f>CHOOSE(MATCH(Z1726,{"South";"SouthEast";"SouthWest";"North";"NorthEast";"East";"West";"NorthWest"},0),1,2,3,4,5,6,7,8)</f>
        <v>4</v>
      </c>
      <c r="AB1726" s="2">
        <f t="shared" si="266"/>
        <v>1</v>
      </c>
      <c r="AC1726">
        <v>1020.7</v>
      </c>
      <c r="AD1726" t="s">
        <v>2362</v>
      </c>
      <c r="AE1726" s="2">
        <f t="shared" si="267"/>
        <v>1</v>
      </c>
      <c r="AF1726" t="s">
        <v>2363</v>
      </c>
      <c r="AG1726" s="2">
        <f t="shared" si="268"/>
        <v>9</v>
      </c>
      <c r="AH1726" s="2">
        <f t="shared" si="269"/>
        <v>0</v>
      </c>
      <c r="AI1726" s="3">
        <v>268.99999999674043</v>
      </c>
      <c r="AJ1726" s="2">
        <v>0</v>
      </c>
      <c r="AK1726">
        <v>0</v>
      </c>
      <c r="AL1726">
        <v>0.5</v>
      </c>
      <c r="AM1726">
        <v>0</v>
      </c>
      <c r="AN1726" s="2">
        <f>IF((2*G1726+M1726-O1726+3*V1726+2*AB1726+2*AE1726+2*AH1726+3*AJ1726)&gt;=7,1,0)</f>
        <v>1</v>
      </c>
    </row>
    <row r="1727" spans="1:40" x14ac:dyDescent="0.25">
      <c r="A1727" t="s">
        <v>27</v>
      </c>
      <c r="B1727" s="1">
        <v>41913</v>
      </c>
      <c r="C1727" s="6">
        <f t="shared" si="260"/>
        <v>2014</v>
      </c>
      <c r="D1727">
        <v>75.2</v>
      </c>
      <c r="E1727">
        <v>61.4</v>
      </c>
      <c r="F1727">
        <v>71.099999999999994</v>
      </c>
      <c r="G1727" s="2">
        <f t="shared" si="261"/>
        <v>1</v>
      </c>
      <c r="H1727">
        <v>75.2</v>
      </c>
      <c r="I1727">
        <v>61.4</v>
      </c>
      <c r="J1727">
        <v>71.099999999999994</v>
      </c>
      <c r="K1727">
        <v>56.3</v>
      </c>
      <c r="L1727">
        <v>59.9</v>
      </c>
      <c r="M1727" s="2">
        <f t="shared" si="262"/>
        <v>1</v>
      </c>
      <c r="N1727">
        <v>0</v>
      </c>
      <c r="O1727" s="2">
        <f t="shared" si="263"/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27.3</v>
      </c>
      <c r="V1727" s="2">
        <f t="shared" si="264"/>
        <v>1</v>
      </c>
      <c r="W1727">
        <v>15</v>
      </c>
      <c r="X1727" s="2">
        <f t="shared" si="265"/>
        <v>0</v>
      </c>
      <c r="Y1727">
        <v>319.39999999999998</v>
      </c>
      <c r="Z1727" s="2" t="str">
        <f>CHOOSE(MATCH(Y1727,{0;11;80;111;161;191;241;281;341},1),"North","NorthEast","East","SouthEast","South","SouthWest","West","NorthWest","North")</f>
        <v>NorthWest</v>
      </c>
      <c r="AA1727" s="4">
        <f>CHOOSE(MATCH(Z1727,{"South";"SouthEast";"SouthWest";"North";"NorthEast";"East";"West";"NorthWest"},0),1,2,3,4,5,6,7,8)</f>
        <v>8</v>
      </c>
      <c r="AB1727" s="2">
        <f t="shared" si="266"/>
        <v>1</v>
      </c>
      <c r="AC1727">
        <v>1019.4</v>
      </c>
      <c r="AD1727" t="s">
        <v>1191</v>
      </c>
      <c r="AE1727" s="2">
        <f t="shared" si="267"/>
        <v>0</v>
      </c>
      <c r="AF1727" t="s">
        <v>2364</v>
      </c>
      <c r="AG1727" s="2">
        <f t="shared" si="268"/>
        <v>10</v>
      </c>
      <c r="AH1727" s="2">
        <f t="shared" si="269"/>
        <v>0</v>
      </c>
      <c r="AI1727" s="3">
        <v>120.0000000034925</v>
      </c>
      <c r="AJ1727" s="2">
        <v>0</v>
      </c>
      <c r="AK1727">
        <v>0</v>
      </c>
      <c r="AL1727">
        <v>1</v>
      </c>
      <c r="AM1727">
        <v>0</v>
      </c>
      <c r="AN1727" s="2">
        <f>IF((2*G1727+M1727-O1727+3*V1727+2*AB1727+2*AE1727+2*AH1727+3*AJ1727)&gt;=7,1,0)</f>
        <v>1</v>
      </c>
    </row>
    <row r="1728" spans="1:40" x14ac:dyDescent="0.25">
      <c r="A1728" t="s">
        <v>27</v>
      </c>
      <c r="B1728" s="1">
        <v>41915</v>
      </c>
      <c r="C1728" s="6">
        <f t="shared" si="260"/>
        <v>2014</v>
      </c>
      <c r="D1728">
        <v>75.2</v>
      </c>
      <c r="E1728">
        <v>66.2</v>
      </c>
      <c r="F1728">
        <v>70.599999999999994</v>
      </c>
      <c r="G1728" s="2">
        <f t="shared" si="261"/>
        <v>1</v>
      </c>
      <c r="H1728">
        <v>75.2</v>
      </c>
      <c r="I1728">
        <v>66.2</v>
      </c>
      <c r="J1728">
        <v>70.599999999999994</v>
      </c>
      <c r="K1728">
        <v>59</v>
      </c>
      <c r="L1728">
        <v>67.099999999999994</v>
      </c>
      <c r="M1728" s="2">
        <f t="shared" si="262"/>
        <v>0</v>
      </c>
      <c r="N1728">
        <v>0</v>
      </c>
      <c r="O1728" s="2">
        <f t="shared" si="263"/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26.6</v>
      </c>
      <c r="V1728" s="2">
        <f t="shared" si="264"/>
        <v>1</v>
      </c>
      <c r="W1728">
        <v>16.100000000000001</v>
      </c>
      <c r="X1728" s="2">
        <f t="shared" si="265"/>
        <v>1</v>
      </c>
      <c r="Y1728">
        <v>317.2</v>
      </c>
      <c r="Z1728" s="2" t="str">
        <f>CHOOSE(MATCH(Y1728,{0;11;80;111;161;191;241;281;341},1),"North","NorthEast","East","SouthEast","South","SouthWest","West","NorthWest","North")</f>
        <v>NorthWest</v>
      </c>
      <c r="AA1728" s="4">
        <f>CHOOSE(MATCH(Z1728,{"South";"SouthEast";"SouthWest";"North";"NorthEast";"East";"West";"NorthWest"},0),1,2,3,4,5,6,7,8)</f>
        <v>8</v>
      </c>
      <c r="AB1728" s="2">
        <f t="shared" si="266"/>
        <v>1</v>
      </c>
      <c r="AC1728">
        <v>1017.3</v>
      </c>
      <c r="AD1728" t="s">
        <v>2365</v>
      </c>
      <c r="AE1728" s="2">
        <f t="shared" si="267"/>
        <v>0</v>
      </c>
      <c r="AF1728" t="s">
        <v>2366</v>
      </c>
      <c r="AG1728" s="2">
        <f t="shared" si="268"/>
        <v>10</v>
      </c>
      <c r="AH1728" s="2">
        <f t="shared" si="269"/>
        <v>0</v>
      </c>
      <c r="AI1728" s="3">
        <v>180</v>
      </c>
      <c r="AJ1728" s="2">
        <v>0</v>
      </c>
      <c r="AK1728">
        <v>0</v>
      </c>
      <c r="AL1728">
        <v>0.1</v>
      </c>
      <c r="AM1728">
        <v>0</v>
      </c>
      <c r="AN1728" s="2">
        <f>IF((2*G1728+M1728-O1728+3*V1728+2*AB1728+2*AE1728+2*AH1728+3*AJ1728)&gt;=7,1,0)</f>
        <v>0</v>
      </c>
    </row>
    <row r="1729" spans="1:40" x14ac:dyDescent="0.25">
      <c r="A1729" t="s">
        <v>27</v>
      </c>
      <c r="B1729" s="1">
        <v>41916</v>
      </c>
      <c r="C1729" s="6">
        <f t="shared" si="260"/>
        <v>2014</v>
      </c>
      <c r="D1729">
        <v>73.400000000000006</v>
      </c>
      <c r="E1729">
        <v>62.9</v>
      </c>
      <c r="F1729">
        <v>69.599999999999994</v>
      </c>
      <c r="G1729" s="2">
        <f t="shared" si="261"/>
        <v>0</v>
      </c>
      <c r="H1729">
        <v>73.400000000000006</v>
      </c>
      <c r="I1729">
        <v>62.9</v>
      </c>
      <c r="J1729">
        <v>69.599999999999994</v>
      </c>
      <c r="K1729">
        <v>56.4</v>
      </c>
      <c r="L1729">
        <v>63.3</v>
      </c>
      <c r="M1729" s="2">
        <f t="shared" si="262"/>
        <v>1</v>
      </c>
      <c r="N1729">
        <v>0</v>
      </c>
      <c r="O1729" s="2">
        <f t="shared" si="263"/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27.5</v>
      </c>
      <c r="V1729" s="2">
        <f t="shared" si="264"/>
        <v>1</v>
      </c>
      <c r="W1729">
        <v>18.3</v>
      </c>
      <c r="X1729" s="2">
        <f t="shared" si="265"/>
        <v>1</v>
      </c>
      <c r="Y1729">
        <v>324.3</v>
      </c>
      <c r="Z1729" s="2" t="str">
        <f>CHOOSE(MATCH(Y1729,{0;11;80;111;161;191;241;281;341},1),"North","NorthEast","East","SouthEast","South","SouthWest","West","NorthWest","North")</f>
        <v>NorthWest</v>
      </c>
      <c r="AA1729" s="4">
        <f>CHOOSE(MATCH(Z1729,{"South";"SouthEast";"SouthWest";"North";"NorthEast";"East";"West";"NorthWest"},0),1,2,3,4,5,6,7,8)</f>
        <v>8</v>
      </c>
      <c r="AB1729" s="2">
        <f t="shared" si="266"/>
        <v>1</v>
      </c>
      <c r="AC1729">
        <v>1016.7</v>
      </c>
      <c r="AD1729" t="s">
        <v>1205</v>
      </c>
      <c r="AE1729" s="2">
        <f t="shared" si="267"/>
        <v>1</v>
      </c>
      <c r="AF1729" t="s">
        <v>2367</v>
      </c>
      <c r="AG1729" s="2">
        <f t="shared" si="268"/>
        <v>10</v>
      </c>
      <c r="AH1729" s="2">
        <f t="shared" si="269"/>
        <v>0</v>
      </c>
      <c r="AI1729" s="3">
        <v>1050.0000000069849</v>
      </c>
      <c r="AJ1729" s="2">
        <v>1</v>
      </c>
      <c r="AK1729">
        <v>0</v>
      </c>
      <c r="AL1729">
        <v>4</v>
      </c>
      <c r="AM1729">
        <v>0</v>
      </c>
      <c r="AN1729" s="2">
        <f>IF((2*G1729+M1729-O1729+3*V1729+2*AB1729+2*AE1729+2*AH1729+3*AJ1729)&gt;=7,1,0)</f>
        <v>1</v>
      </c>
    </row>
    <row r="1730" spans="1:40" x14ac:dyDescent="0.25">
      <c r="A1730" t="s">
        <v>27</v>
      </c>
      <c r="B1730" s="1">
        <v>41916</v>
      </c>
      <c r="C1730" s="6">
        <f t="shared" si="260"/>
        <v>2014</v>
      </c>
      <c r="D1730">
        <v>73.400000000000006</v>
      </c>
      <c r="E1730">
        <v>62.9</v>
      </c>
      <c r="F1730">
        <v>69.599999999999994</v>
      </c>
      <c r="G1730" s="2">
        <f t="shared" si="261"/>
        <v>0</v>
      </c>
      <c r="H1730">
        <v>73.400000000000006</v>
      </c>
      <c r="I1730">
        <v>62.9</v>
      </c>
      <c r="J1730">
        <v>69.599999999999994</v>
      </c>
      <c r="K1730">
        <v>56.4</v>
      </c>
      <c r="L1730">
        <v>63.3</v>
      </c>
      <c r="M1730" s="2">
        <f t="shared" si="262"/>
        <v>1</v>
      </c>
      <c r="N1730">
        <v>0</v>
      </c>
      <c r="O1730" s="2">
        <f t="shared" si="263"/>
        <v>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27.5</v>
      </c>
      <c r="V1730" s="2">
        <f t="shared" si="264"/>
        <v>1</v>
      </c>
      <c r="W1730">
        <v>18.3</v>
      </c>
      <c r="X1730" s="2">
        <f t="shared" si="265"/>
        <v>1</v>
      </c>
      <c r="Y1730">
        <v>324.3</v>
      </c>
      <c r="Z1730" s="2" t="str">
        <f>CHOOSE(MATCH(Y1730,{0;11;80;111;161;191;241;281;341},1),"North","NorthEast","East","SouthEast","South","SouthWest","West","NorthWest","North")</f>
        <v>NorthWest</v>
      </c>
      <c r="AA1730" s="4">
        <f>CHOOSE(MATCH(Z1730,{"South";"SouthEast";"SouthWest";"North";"NorthEast";"East";"West";"NorthWest"},0),1,2,3,4,5,6,7,8)</f>
        <v>8</v>
      </c>
      <c r="AB1730" s="2">
        <f t="shared" si="266"/>
        <v>1</v>
      </c>
      <c r="AC1730">
        <v>1016.7</v>
      </c>
      <c r="AD1730" t="s">
        <v>1133</v>
      </c>
      <c r="AE1730" s="2">
        <f t="shared" si="267"/>
        <v>1</v>
      </c>
      <c r="AF1730" t="s">
        <v>2368</v>
      </c>
      <c r="AG1730" s="2">
        <f t="shared" si="268"/>
        <v>10</v>
      </c>
      <c r="AH1730" s="2">
        <f t="shared" si="269"/>
        <v>0</v>
      </c>
      <c r="AI1730" s="3">
        <v>1.9999999960418791</v>
      </c>
      <c r="AJ1730" s="2">
        <v>0</v>
      </c>
      <c r="AK1730">
        <v>0</v>
      </c>
      <c r="AL1730">
        <v>0.1</v>
      </c>
      <c r="AM1730">
        <v>0</v>
      </c>
      <c r="AN1730" s="2">
        <f>IF((2*G1730+M1730-O1730+3*V1730+2*AB1730+2*AE1730+2*AH1730+3*AJ1730)&gt;=7,1,0)</f>
        <v>1</v>
      </c>
    </row>
    <row r="1731" spans="1:40" x14ac:dyDescent="0.25">
      <c r="A1731" t="s">
        <v>27</v>
      </c>
      <c r="B1731" s="1">
        <v>41916</v>
      </c>
      <c r="C1731" s="6">
        <f t="shared" ref="C1731:C1794" si="270">YEAR(B1731)</f>
        <v>2014</v>
      </c>
      <c r="D1731">
        <v>73.400000000000006</v>
      </c>
      <c r="E1731">
        <v>62.9</v>
      </c>
      <c r="F1731">
        <v>69.599999999999994</v>
      </c>
      <c r="G1731" s="2">
        <f t="shared" ref="G1731:G1794" si="271">IF(F1731&lt;=70,0,1)</f>
        <v>0</v>
      </c>
      <c r="H1731">
        <v>73.400000000000006</v>
      </c>
      <c r="I1731">
        <v>62.9</v>
      </c>
      <c r="J1731">
        <v>69.599999999999994</v>
      </c>
      <c r="K1731">
        <v>56.4</v>
      </c>
      <c r="L1731">
        <v>63.3</v>
      </c>
      <c r="M1731" s="2">
        <f t="shared" ref="M1731:M1794" si="272">IF(L1731&lt;=66,1,0)</f>
        <v>1</v>
      </c>
      <c r="N1731">
        <v>0</v>
      </c>
      <c r="O1731" s="2">
        <f t="shared" ref="O1731:O1794" si="273">IF(N1731&lt;=0.01,1,0)</f>
        <v>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27.5</v>
      </c>
      <c r="V1731" s="2">
        <f t="shared" ref="V1731:V1794" si="274">IF(U1731&lt;=9,0,1)</f>
        <v>1</v>
      </c>
      <c r="W1731">
        <v>18.3</v>
      </c>
      <c r="X1731" s="2">
        <f t="shared" ref="X1731:X1794" si="275">IF(W1731&gt;=16,1,0)</f>
        <v>1</v>
      </c>
      <c r="Y1731">
        <v>324.3</v>
      </c>
      <c r="Z1731" s="2" t="str">
        <f>CHOOSE(MATCH(Y1731,{0;11;80;111;161;191;241;281;341},1),"North","NorthEast","East","SouthEast","South","SouthWest","West","NorthWest","North")</f>
        <v>NorthWest</v>
      </c>
      <c r="AA1731" s="4">
        <f>CHOOSE(MATCH(Z1731,{"South";"SouthEast";"SouthWest";"North";"NorthEast";"East";"West";"NorthWest"},0),1,2,3,4,5,6,7,8)</f>
        <v>8</v>
      </c>
      <c r="AB1731" s="2">
        <f t="shared" ref="AB1731:AB1794" si="276">IF(OR(AA1731=4,AA1731=5,AA1731=8),1,0)</f>
        <v>1</v>
      </c>
      <c r="AC1731">
        <v>1016.7</v>
      </c>
      <c r="AD1731" t="s">
        <v>1881</v>
      </c>
      <c r="AE1731" s="2">
        <f t="shared" ref="AE1731:AE1794" si="277">IF(TIMEVALUE(AD1731)&lt;=TIME(12,30,0),0,1)</f>
        <v>1</v>
      </c>
      <c r="AF1731" t="s">
        <v>2369</v>
      </c>
      <c r="AG1731" s="2">
        <f t="shared" ref="AG1731:AG1794" si="278">MONTH(AF1731)</f>
        <v>10</v>
      </c>
      <c r="AH1731" s="2">
        <f t="shared" ref="AH1731:AH1794" si="279">IF(OR(AG1731=6,AG1731=7,AG1731=8),1,0)</f>
        <v>0</v>
      </c>
      <c r="AI1731" s="3">
        <v>101.999999997206</v>
      </c>
      <c r="AJ1731" s="2">
        <v>0</v>
      </c>
      <c r="AK1731">
        <v>0</v>
      </c>
      <c r="AL1731">
        <v>0.5</v>
      </c>
      <c r="AM1731">
        <v>0</v>
      </c>
      <c r="AN1731" s="2">
        <f>IF((2*G1731+M1731-O1731+3*V1731+2*AB1731+2*AE1731+2*AH1731+3*AJ1731)&gt;=7,1,0)</f>
        <v>1</v>
      </c>
    </row>
    <row r="1732" spans="1:40" x14ac:dyDescent="0.25">
      <c r="A1732" t="s">
        <v>27</v>
      </c>
      <c r="B1732" s="1">
        <v>41916</v>
      </c>
      <c r="C1732" s="6">
        <f t="shared" si="270"/>
        <v>2014</v>
      </c>
      <c r="D1732">
        <v>73.400000000000006</v>
      </c>
      <c r="E1732">
        <v>62.9</v>
      </c>
      <c r="F1732">
        <v>69.599999999999994</v>
      </c>
      <c r="G1732" s="2">
        <f t="shared" si="271"/>
        <v>0</v>
      </c>
      <c r="H1732">
        <v>73.400000000000006</v>
      </c>
      <c r="I1732">
        <v>62.9</v>
      </c>
      <c r="J1732">
        <v>69.599999999999994</v>
      </c>
      <c r="K1732">
        <v>56.4</v>
      </c>
      <c r="L1732">
        <v>63.3</v>
      </c>
      <c r="M1732" s="2">
        <f t="shared" si="272"/>
        <v>1</v>
      </c>
      <c r="N1732">
        <v>0</v>
      </c>
      <c r="O1732" s="2">
        <f t="shared" si="273"/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27.5</v>
      </c>
      <c r="V1732" s="2">
        <f t="shared" si="274"/>
        <v>1</v>
      </c>
      <c r="W1732">
        <v>18.3</v>
      </c>
      <c r="X1732" s="2">
        <f t="shared" si="275"/>
        <v>1</v>
      </c>
      <c r="Y1732">
        <v>324.3</v>
      </c>
      <c r="Z1732" s="2" t="str">
        <f>CHOOSE(MATCH(Y1732,{0;11;80;111;161;191;241;281;341},1),"North","NorthEast","East","SouthEast","South","SouthWest","West","NorthWest","North")</f>
        <v>NorthWest</v>
      </c>
      <c r="AA1732" s="4">
        <f>CHOOSE(MATCH(Z1732,{"South";"SouthEast";"SouthWest";"North";"NorthEast";"East";"West";"NorthWest"},0),1,2,3,4,5,6,7,8)</f>
        <v>8</v>
      </c>
      <c r="AB1732" s="2">
        <f t="shared" si="276"/>
        <v>1</v>
      </c>
      <c r="AC1732">
        <v>1016.7</v>
      </c>
      <c r="AD1732" t="s">
        <v>1264</v>
      </c>
      <c r="AE1732" s="2">
        <f t="shared" si="277"/>
        <v>1</v>
      </c>
      <c r="AF1732" t="s">
        <v>2370</v>
      </c>
      <c r="AG1732" s="2">
        <f t="shared" si="278"/>
        <v>10</v>
      </c>
      <c r="AH1732" s="2">
        <f t="shared" si="279"/>
        <v>0</v>
      </c>
      <c r="AI1732" s="3">
        <v>59.99999999650754</v>
      </c>
      <c r="AJ1732" s="2">
        <v>0</v>
      </c>
      <c r="AK1732">
        <v>0</v>
      </c>
      <c r="AL1732">
        <v>0.5</v>
      </c>
      <c r="AM1732">
        <v>0</v>
      </c>
      <c r="AN1732" s="2">
        <f>IF((2*G1732+M1732-O1732+3*V1732+2*AB1732+2*AE1732+2*AH1732+3*AJ1732)&gt;=7,1,0)</f>
        <v>1</v>
      </c>
    </row>
    <row r="1733" spans="1:40" x14ac:dyDescent="0.25">
      <c r="A1733" t="s">
        <v>27</v>
      </c>
      <c r="B1733" s="1">
        <v>41917</v>
      </c>
      <c r="C1733" s="6">
        <f t="shared" si="270"/>
        <v>2014</v>
      </c>
      <c r="D1733">
        <v>75.2</v>
      </c>
      <c r="E1733">
        <v>62.6</v>
      </c>
      <c r="F1733">
        <v>68.7</v>
      </c>
      <c r="G1733" s="2">
        <f t="shared" si="271"/>
        <v>0</v>
      </c>
      <c r="H1733">
        <v>75.2</v>
      </c>
      <c r="I1733">
        <v>62.6</v>
      </c>
      <c r="J1733">
        <v>68.7</v>
      </c>
      <c r="K1733">
        <v>56.2</v>
      </c>
      <c r="L1733">
        <v>64.900000000000006</v>
      </c>
      <c r="M1733" s="2">
        <f t="shared" si="272"/>
        <v>1</v>
      </c>
      <c r="N1733">
        <v>0</v>
      </c>
      <c r="O1733" s="2">
        <f t="shared" si="273"/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16.100000000000001</v>
      </c>
      <c r="V1733" s="2">
        <f t="shared" si="274"/>
        <v>1</v>
      </c>
      <c r="W1733">
        <v>9.1</v>
      </c>
      <c r="X1733" s="2">
        <f t="shared" si="275"/>
        <v>0</v>
      </c>
      <c r="Y1733">
        <v>143</v>
      </c>
      <c r="Z1733" s="2" t="str">
        <f>CHOOSE(MATCH(Y1733,{0;11;80;111;161;191;241;281;341},1),"North","NorthEast","East","SouthEast","South","SouthWest","West","NorthWest","North")</f>
        <v>SouthEast</v>
      </c>
      <c r="AA1733" s="4">
        <f>CHOOSE(MATCH(Z1733,{"South";"SouthEast";"SouthWest";"North";"NorthEast";"East";"West";"NorthWest"},0),1,2,3,4,5,6,7,8)</f>
        <v>2</v>
      </c>
      <c r="AB1733" s="2">
        <f t="shared" si="276"/>
        <v>0</v>
      </c>
      <c r="AC1733">
        <v>1017.8</v>
      </c>
      <c r="AD1733" t="s">
        <v>1123</v>
      </c>
      <c r="AE1733" s="2">
        <f t="shared" si="277"/>
        <v>1</v>
      </c>
      <c r="AF1733" t="s">
        <v>2371</v>
      </c>
      <c r="AG1733" s="2">
        <f t="shared" si="278"/>
        <v>10</v>
      </c>
      <c r="AH1733" s="2">
        <f t="shared" si="279"/>
        <v>0</v>
      </c>
      <c r="AI1733" s="3">
        <v>263.00000000861468</v>
      </c>
      <c r="AJ1733" s="2">
        <v>0</v>
      </c>
      <c r="AK1733">
        <v>0</v>
      </c>
      <c r="AL1733">
        <v>2</v>
      </c>
      <c r="AM1733">
        <v>0</v>
      </c>
      <c r="AN1733" s="2">
        <f>IF((2*G1733+M1733-O1733+3*V1733+2*AB1733+2*AE1733+2*AH1733+3*AJ1733)&gt;=7,1,0)</f>
        <v>0</v>
      </c>
    </row>
    <row r="1734" spans="1:40" x14ac:dyDescent="0.25">
      <c r="A1734" t="s">
        <v>27</v>
      </c>
      <c r="B1734" s="1">
        <v>41918</v>
      </c>
      <c r="C1734" s="6">
        <f t="shared" si="270"/>
        <v>2014</v>
      </c>
      <c r="D1734">
        <v>77</v>
      </c>
      <c r="E1734">
        <v>62.6</v>
      </c>
      <c r="F1734">
        <v>70.099999999999994</v>
      </c>
      <c r="G1734" s="2">
        <f t="shared" si="271"/>
        <v>1</v>
      </c>
      <c r="H1734">
        <v>77</v>
      </c>
      <c r="I1734">
        <v>62.6</v>
      </c>
      <c r="J1734">
        <v>70.099999999999994</v>
      </c>
      <c r="K1734">
        <v>62.2</v>
      </c>
      <c r="L1734">
        <v>76.599999999999994</v>
      </c>
      <c r="M1734" s="2">
        <f t="shared" si="272"/>
        <v>0</v>
      </c>
      <c r="N1734">
        <v>0</v>
      </c>
      <c r="O1734" s="2">
        <f t="shared" si="273"/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21.9</v>
      </c>
      <c r="V1734" s="2">
        <f t="shared" si="274"/>
        <v>1</v>
      </c>
      <c r="W1734">
        <v>15</v>
      </c>
      <c r="X1734" s="2">
        <f t="shared" si="275"/>
        <v>0</v>
      </c>
      <c r="Y1734">
        <v>109.2</v>
      </c>
      <c r="Z1734" s="2" t="str">
        <f>CHOOSE(MATCH(Y1734,{0;11;80;111;161;191;241;281;341},1),"North","NorthEast","East","SouthEast","South","SouthWest","West","NorthWest","North")</f>
        <v>East</v>
      </c>
      <c r="AA1734" s="4">
        <f>CHOOSE(MATCH(Z1734,{"South";"SouthEast";"SouthWest";"North";"NorthEast";"East";"West";"NorthWest"},0),1,2,3,4,5,6,7,8)</f>
        <v>6</v>
      </c>
      <c r="AB1734" s="2">
        <f t="shared" si="276"/>
        <v>0</v>
      </c>
      <c r="AC1734">
        <v>1018.9</v>
      </c>
      <c r="AD1734" t="s">
        <v>2372</v>
      </c>
      <c r="AE1734" s="2">
        <f t="shared" si="277"/>
        <v>0</v>
      </c>
      <c r="AF1734" t="s">
        <v>2373</v>
      </c>
      <c r="AG1734" s="2">
        <f t="shared" si="278"/>
        <v>10</v>
      </c>
      <c r="AH1734" s="2">
        <f t="shared" si="279"/>
        <v>0</v>
      </c>
      <c r="AI1734" s="3">
        <v>675.99999999278225</v>
      </c>
      <c r="AJ1734" s="2">
        <v>1</v>
      </c>
      <c r="AK1734">
        <v>0</v>
      </c>
      <c r="AL1734">
        <v>2</v>
      </c>
      <c r="AM1734">
        <v>0</v>
      </c>
      <c r="AN1734" s="2">
        <f>IF((2*G1734+M1734-O1734+3*V1734+2*AB1734+2*AE1734+2*AH1734+3*AJ1734)&gt;=7,1,0)</f>
        <v>1</v>
      </c>
    </row>
    <row r="1735" spans="1:40" x14ac:dyDescent="0.25">
      <c r="A1735" t="s">
        <v>27</v>
      </c>
      <c r="B1735" s="1">
        <v>41918</v>
      </c>
      <c r="C1735" s="6">
        <f t="shared" si="270"/>
        <v>2014</v>
      </c>
      <c r="D1735">
        <v>77</v>
      </c>
      <c r="E1735">
        <v>62.6</v>
      </c>
      <c r="F1735">
        <v>70.099999999999994</v>
      </c>
      <c r="G1735" s="2">
        <f t="shared" si="271"/>
        <v>1</v>
      </c>
      <c r="H1735">
        <v>77</v>
      </c>
      <c r="I1735">
        <v>62.6</v>
      </c>
      <c r="J1735">
        <v>70.099999999999994</v>
      </c>
      <c r="K1735">
        <v>62.2</v>
      </c>
      <c r="L1735">
        <v>76.599999999999994</v>
      </c>
      <c r="M1735" s="2">
        <f t="shared" si="272"/>
        <v>0</v>
      </c>
      <c r="N1735">
        <v>0</v>
      </c>
      <c r="O1735" s="2">
        <f t="shared" si="273"/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21.9</v>
      </c>
      <c r="V1735" s="2">
        <f t="shared" si="274"/>
        <v>1</v>
      </c>
      <c r="W1735">
        <v>15</v>
      </c>
      <c r="X1735" s="2">
        <f t="shared" si="275"/>
        <v>0</v>
      </c>
      <c r="Y1735">
        <v>109.2</v>
      </c>
      <c r="Z1735" s="2" t="str">
        <f>CHOOSE(MATCH(Y1735,{0;11;80;111;161;191;241;281;341},1),"North","NorthEast","East","SouthEast","South","SouthWest","West","NorthWest","North")</f>
        <v>East</v>
      </c>
      <c r="AA1735" s="4">
        <f>CHOOSE(MATCH(Z1735,{"South";"SouthEast";"SouthWest";"North";"NorthEast";"East";"West";"NorthWest"},0),1,2,3,4,5,6,7,8)</f>
        <v>6</v>
      </c>
      <c r="AB1735" s="2">
        <f t="shared" si="276"/>
        <v>0</v>
      </c>
      <c r="AC1735">
        <v>1018.9</v>
      </c>
      <c r="AD1735" t="s">
        <v>2018</v>
      </c>
      <c r="AE1735" s="2">
        <f t="shared" si="277"/>
        <v>1</v>
      </c>
      <c r="AF1735" t="s">
        <v>2374</v>
      </c>
      <c r="AG1735" s="2">
        <f t="shared" si="278"/>
        <v>10</v>
      </c>
      <c r="AH1735" s="2">
        <f t="shared" si="279"/>
        <v>0</v>
      </c>
      <c r="AI1735" s="3">
        <v>1471.0000000067521</v>
      </c>
      <c r="AJ1735" s="2">
        <v>1</v>
      </c>
      <c r="AK1735">
        <v>0</v>
      </c>
      <c r="AL1735">
        <v>3</v>
      </c>
      <c r="AM1735">
        <v>0</v>
      </c>
      <c r="AN1735" s="2">
        <f>IF((2*G1735+M1735-O1735+3*V1735+2*AB1735+2*AE1735+2*AH1735+3*AJ1735)&gt;=7,1,0)</f>
        <v>1</v>
      </c>
    </row>
    <row r="1736" spans="1:40" x14ac:dyDescent="0.25">
      <c r="A1736" t="s">
        <v>27</v>
      </c>
      <c r="B1736" s="1">
        <v>41918</v>
      </c>
      <c r="C1736" s="6">
        <f t="shared" si="270"/>
        <v>2014</v>
      </c>
      <c r="D1736">
        <v>77</v>
      </c>
      <c r="E1736">
        <v>62.6</v>
      </c>
      <c r="F1736">
        <v>70.099999999999994</v>
      </c>
      <c r="G1736" s="2">
        <f t="shared" si="271"/>
        <v>1</v>
      </c>
      <c r="H1736">
        <v>77</v>
      </c>
      <c r="I1736">
        <v>62.6</v>
      </c>
      <c r="J1736">
        <v>70.099999999999994</v>
      </c>
      <c r="K1736">
        <v>62.2</v>
      </c>
      <c r="L1736">
        <v>76.599999999999994</v>
      </c>
      <c r="M1736" s="2">
        <f t="shared" si="272"/>
        <v>0</v>
      </c>
      <c r="N1736">
        <v>0</v>
      </c>
      <c r="O1736" s="2">
        <f t="shared" si="273"/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21.9</v>
      </c>
      <c r="V1736" s="2">
        <f t="shared" si="274"/>
        <v>1</v>
      </c>
      <c r="W1736">
        <v>15</v>
      </c>
      <c r="X1736" s="2">
        <f t="shared" si="275"/>
        <v>0</v>
      </c>
      <c r="Y1736">
        <v>109.2</v>
      </c>
      <c r="Z1736" s="2" t="str">
        <f>CHOOSE(MATCH(Y1736,{0;11;80;111;161;191;241;281;341},1),"North","NorthEast","East","SouthEast","South","SouthWest","West","NorthWest","North")</f>
        <v>East</v>
      </c>
      <c r="AA1736" s="4">
        <f>CHOOSE(MATCH(Z1736,{"South";"SouthEast";"SouthWest";"North";"NorthEast";"East";"West";"NorthWest"},0),1,2,3,4,5,6,7,8)</f>
        <v>6</v>
      </c>
      <c r="AB1736" s="2">
        <f t="shared" si="276"/>
        <v>0</v>
      </c>
      <c r="AC1736">
        <v>1018.9</v>
      </c>
      <c r="AD1736" t="s">
        <v>2375</v>
      </c>
      <c r="AE1736" s="2">
        <f t="shared" si="277"/>
        <v>1</v>
      </c>
      <c r="AF1736" t="s">
        <v>2376</v>
      </c>
      <c r="AG1736" s="2">
        <f t="shared" si="278"/>
        <v>10</v>
      </c>
      <c r="AH1736" s="2">
        <f t="shared" si="279"/>
        <v>0</v>
      </c>
      <c r="AI1736" s="3">
        <v>555.99999999976717</v>
      </c>
      <c r="AJ1736" s="2">
        <v>1</v>
      </c>
      <c r="AK1736">
        <v>0</v>
      </c>
      <c r="AL1736">
        <v>1</v>
      </c>
      <c r="AM1736">
        <v>0</v>
      </c>
      <c r="AN1736" s="2">
        <f>IF((2*G1736+M1736-O1736+3*V1736+2*AB1736+2*AE1736+2*AH1736+3*AJ1736)&gt;=7,1,0)</f>
        <v>1</v>
      </c>
    </row>
    <row r="1737" spans="1:40" x14ac:dyDescent="0.25">
      <c r="A1737" t="s">
        <v>27</v>
      </c>
      <c r="B1737" s="1">
        <v>41921</v>
      </c>
      <c r="C1737" s="6">
        <f t="shared" si="270"/>
        <v>2014</v>
      </c>
      <c r="D1737">
        <v>75.2</v>
      </c>
      <c r="E1737">
        <v>63.8</v>
      </c>
      <c r="F1737">
        <v>71.400000000000006</v>
      </c>
      <c r="G1737" s="2">
        <f t="shared" si="271"/>
        <v>1</v>
      </c>
      <c r="H1737">
        <v>75.2</v>
      </c>
      <c r="I1737">
        <v>63.8</v>
      </c>
      <c r="J1737">
        <v>71.400000000000006</v>
      </c>
      <c r="K1737">
        <v>62.7</v>
      </c>
      <c r="L1737">
        <v>74.5</v>
      </c>
      <c r="M1737" s="2">
        <f t="shared" si="272"/>
        <v>0</v>
      </c>
      <c r="N1737">
        <v>0</v>
      </c>
      <c r="O1737" s="2">
        <f t="shared" si="273"/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41.4</v>
      </c>
      <c r="V1737" s="2">
        <f t="shared" si="274"/>
        <v>1</v>
      </c>
      <c r="W1737">
        <v>15</v>
      </c>
      <c r="X1737" s="2">
        <f t="shared" si="275"/>
        <v>0</v>
      </c>
      <c r="Y1737">
        <v>327.7</v>
      </c>
      <c r="Z1737" s="2" t="str">
        <f>CHOOSE(MATCH(Y1737,{0;11;80;111;161;191;241;281;341},1),"North","NorthEast","East","SouthEast","South","SouthWest","West","NorthWest","North")</f>
        <v>NorthWest</v>
      </c>
      <c r="AA1737" s="4">
        <f>CHOOSE(MATCH(Z1737,{"South";"SouthEast";"SouthWest";"North";"NorthEast";"East";"West";"NorthWest"},0),1,2,3,4,5,6,7,8)</f>
        <v>8</v>
      </c>
      <c r="AB1737" s="2">
        <f t="shared" si="276"/>
        <v>1</v>
      </c>
      <c r="AC1737">
        <v>1016.3</v>
      </c>
      <c r="AD1737" t="s">
        <v>1759</v>
      </c>
      <c r="AE1737" s="2">
        <f t="shared" si="277"/>
        <v>1</v>
      </c>
      <c r="AF1737" t="s">
        <v>2377</v>
      </c>
      <c r="AG1737" s="2">
        <f t="shared" si="278"/>
        <v>10</v>
      </c>
      <c r="AH1737" s="2">
        <f t="shared" si="279"/>
        <v>0</v>
      </c>
      <c r="AI1737" s="3">
        <v>960.00000000698492</v>
      </c>
      <c r="AJ1737" s="2">
        <v>1</v>
      </c>
      <c r="AK1737">
        <v>0</v>
      </c>
      <c r="AL1737">
        <v>10</v>
      </c>
      <c r="AM1737">
        <v>0</v>
      </c>
      <c r="AN1737" s="2">
        <f>IF((2*G1737+M1737-O1737+3*V1737+2*AB1737+2*AE1737+2*AH1737+3*AJ1737)&gt;=7,1,0)</f>
        <v>1</v>
      </c>
    </row>
    <row r="1738" spans="1:40" x14ac:dyDescent="0.25">
      <c r="A1738" t="s">
        <v>27</v>
      </c>
      <c r="B1738" s="1">
        <v>41922</v>
      </c>
      <c r="C1738" s="6">
        <f t="shared" si="270"/>
        <v>2014</v>
      </c>
      <c r="D1738">
        <v>73.400000000000006</v>
      </c>
      <c r="E1738">
        <v>69.8</v>
      </c>
      <c r="F1738">
        <v>71.3</v>
      </c>
      <c r="G1738" s="2">
        <f t="shared" si="271"/>
        <v>1</v>
      </c>
      <c r="H1738">
        <v>73.400000000000006</v>
      </c>
      <c r="I1738">
        <v>69.8</v>
      </c>
      <c r="J1738">
        <v>71.3</v>
      </c>
      <c r="K1738">
        <v>60.7</v>
      </c>
      <c r="L1738">
        <v>69.2</v>
      </c>
      <c r="M1738" s="2">
        <f t="shared" si="272"/>
        <v>0</v>
      </c>
      <c r="N1738">
        <v>0</v>
      </c>
      <c r="O1738" s="2">
        <f t="shared" si="273"/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28</v>
      </c>
      <c r="V1738" s="2">
        <f t="shared" si="274"/>
        <v>1</v>
      </c>
      <c r="W1738">
        <v>17.2</v>
      </c>
      <c r="X1738" s="2">
        <f t="shared" si="275"/>
        <v>1</v>
      </c>
      <c r="Y1738">
        <v>334.8</v>
      </c>
      <c r="Z1738" s="2" t="str">
        <f>CHOOSE(MATCH(Y1738,{0;11;80;111;161;191;241;281;341},1),"North","NorthEast","East","SouthEast","South","SouthWest","West","NorthWest","North")</f>
        <v>NorthWest</v>
      </c>
      <c r="AA1738" s="4">
        <f>CHOOSE(MATCH(Z1738,{"South";"SouthEast";"SouthWest";"North";"NorthEast";"East";"West";"NorthWest"},0),1,2,3,4,5,6,7,8)</f>
        <v>8</v>
      </c>
      <c r="AB1738" s="2">
        <f t="shared" si="276"/>
        <v>1</v>
      </c>
      <c r="AC1738">
        <v>1016.5</v>
      </c>
      <c r="AD1738" t="s">
        <v>1171</v>
      </c>
      <c r="AE1738" s="2">
        <f t="shared" si="277"/>
        <v>0</v>
      </c>
      <c r="AF1738" t="s">
        <v>2378</v>
      </c>
      <c r="AG1738" s="2">
        <f t="shared" si="278"/>
        <v>10</v>
      </c>
      <c r="AH1738" s="2">
        <f t="shared" si="279"/>
        <v>0</v>
      </c>
      <c r="AI1738" s="3">
        <v>115.0000000081491</v>
      </c>
      <c r="AJ1738" s="2">
        <v>0</v>
      </c>
      <c r="AK1738">
        <v>0</v>
      </c>
      <c r="AL1738">
        <v>0.5</v>
      </c>
      <c r="AM1738">
        <v>0</v>
      </c>
      <c r="AN1738" s="2">
        <f>IF((2*G1738+M1738-O1738+3*V1738+2*AB1738+2*AE1738+2*AH1738+3*AJ1738)&gt;=7,1,0)</f>
        <v>0</v>
      </c>
    </row>
    <row r="1739" spans="1:40" x14ac:dyDescent="0.25">
      <c r="A1739" t="s">
        <v>27</v>
      </c>
      <c r="B1739" s="1">
        <v>41922</v>
      </c>
      <c r="C1739" s="6">
        <f t="shared" si="270"/>
        <v>2014</v>
      </c>
      <c r="D1739">
        <v>73.400000000000006</v>
      </c>
      <c r="E1739">
        <v>69.8</v>
      </c>
      <c r="F1739">
        <v>71.3</v>
      </c>
      <c r="G1739" s="2">
        <f t="shared" si="271"/>
        <v>1</v>
      </c>
      <c r="H1739">
        <v>73.400000000000006</v>
      </c>
      <c r="I1739">
        <v>69.8</v>
      </c>
      <c r="J1739">
        <v>71.3</v>
      </c>
      <c r="K1739">
        <v>60.7</v>
      </c>
      <c r="L1739">
        <v>69.2</v>
      </c>
      <c r="M1739" s="2">
        <f t="shared" si="272"/>
        <v>0</v>
      </c>
      <c r="N1739">
        <v>0</v>
      </c>
      <c r="O1739" s="2">
        <f t="shared" si="273"/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28</v>
      </c>
      <c r="V1739" s="2">
        <f t="shared" si="274"/>
        <v>1</v>
      </c>
      <c r="W1739">
        <v>17.2</v>
      </c>
      <c r="X1739" s="2">
        <f t="shared" si="275"/>
        <v>1</v>
      </c>
      <c r="Y1739">
        <v>334.8</v>
      </c>
      <c r="Z1739" s="2" t="str">
        <f>CHOOSE(MATCH(Y1739,{0;11;80;111;161;191;241;281;341},1),"North","NorthEast","East","SouthEast","South","SouthWest","West","NorthWest","North")</f>
        <v>NorthWest</v>
      </c>
      <c r="AA1739" s="4">
        <f>CHOOSE(MATCH(Z1739,{"South";"SouthEast";"SouthWest";"North";"NorthEast";"East";"West";"NorthWest"},0),1,2,3,4,5,6,7,8)</f>
        <v>8</v>
      </c>
      <c r="AB1739" s="2">
        <f t="shared" si="276"/>
        <v>1</v>
      </c>
      <c r="AC1739">
        <v>1016.5</v>
      </c>
      <c r="AD1739" t="s">
        <v>2379</v>
      </c>
      <c r="AE1739" s="2">
        <f t="shared" si="277"/>
        <v>1</v>
      </c>
      <c r="AF1739" t="s">
        <v>2380</v>
      </c>
      <c r="AG1739" s="2">
        <f t="shared" si="278"/>
        <v>10</v>
      </c>
      <c r="AH1739" s="2">
        <f t="shared" si="279"/>
        <v>0</v>
      </c>
      <c r="AI1739" s="3">
        <v>114.99999999767169</v>
      </c>
      <c r="AJ1739" s="2">
        <v>0</v>
      </c>
      <c r="AK1739">
        <v>0</v>
      </c>
      <c r="AL1739">
        <v>0.5</v>
      </c>
      <c r="AM1739">
        <v>0</v>
      </c>
      <c r="AN1739" s="2">
        <f>IF((2*G1739+M1739-O1739+3*V1739+2*AB1739+2*AE1739+2*AH1739+3*AJ1739)&gt;=7,1,0)</f>
        <v>1</v>
      </c>
    </row>
    <row r="1740" spans="1:40" x14ac:dyDescent="0.25">
      <c r="A1740" t="s">
        <v>27</v>
      </c>
      <c r="B1740" s="1">
        <v>41926</v>
      </c>
      <c r="C1740" s="6">
        <f t="shared" si="270"/>
        <v>2014</v>
      </c>
      <c r="D1740">
        <v>75.2</v>
      </c>
      <c r="E1740">
        <v>60.8</v>
      </c>
      <c r="F1740">
        <v>68.3</v>
      </c>
      <c r="G1740" s="2">
        <f t="shared" si="271"/>
        <v>0</v>
      </c>
      <c r="H1740">
        <v>75.2</v>
      </c>
      <c r="I1740">
        <v>60.8</v>
      </c>
      <c r="J1740">
        <v>68.3</v>
      </c>
      <c r="K1740">
        <v>59.8</v>
      </c>
      <c r="L1740">
        <v>74.900000000000006</v>
      </c>
      <c r="M1740" s="2">
        <f t="shared" si="272"/>
        <v>0</v>
      </c>
      <c r="N1740">
        <v>0</v>
      </c>
      <c r="O1740" s="2">
        <f t="shared" si="273"/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21.3</v>
      </c>
      <c r="V1740" s="2">
        <f t="shared" si="274"/>
        <v>1</v>
      </c>
      <c r="W1740">
        <v>9.1999999999999993</v>
      </c>
      <c r="X1740" s="2">
        <f t="shared" si="275"/>
        <v>0</v>
      </c>
      <c r="Y1740">
        <v>295.60000000000002</v>
      </c>
      <c r="Z1740" s="2" t="str">
        <f>CHOOSE(MATCH(Y1740,{0;11;80;111;161;191;241;281;341},1),"North","NorthEast","East","SouthEast","South","SouthWest","West","NorthWest","North")</f>
        <v>NorthWest</v>
      </c>
      <c r="AA1740" s="4">
        <f>CHOOSE(MATCH(Z1740,{"South";"SouthEast";"SouthWest";"North";"NorthEast";"East";"West";"NorthWest"},0),1,2,3,4,5,6,7,8)</f>
        <v>8</v>
      </c>
      <c r="AB1740" s="2">
        <f t="shared" si="276"/>
        <v>1</v>
      </c>
      <c r="AC1740">
        <v>1014.8</v>
      </c>
      <c r="AD1740" t="s">
        <v>2381</v>
      </c>
      <c r="AE1740" s="2">
        <f t="shared" si="277"/>
        <v>1</v>
      </c>
      <c r="AF1740" t="s">
        <v>2382</v>
      </c>
      <c r="AG1740" s="2">
        <f t="shared" si="278"/>
        <v>10</v>
      </c>
      <c r="AH1740" s="2">
        <f t="shared" si="279"/>
        <v>0</v>
      </c>
      <c r="AI1740" s="3">
        <v>76.000000006752089</v>
      </c>
      <c r="AJ1740" s="2">
        <v>0</v>
      </c>
      <c r="AK1740">
        <v>0</v>
      </c>
      <c r="AL1740">
        <v>1</v>
      </c>
      <c r="AM1740">
        <v>0</v>
      </c>
      <c r="AN1740" s="2">
        <f>IF((2*G1740+M1740-O1740+3*V1740+2*AB1740+2*AE1740+2*AH1740+3*AJ1740)&gt;=7,1,0)</f>
        <v>0</v>
      </c>
    </row>
    <row r="1741" spans="1:40" x14ac:dyDescent="0.25">
      <c r="A1741" t="s">
        <v>27</v>
      </c>
      <c r="B1741" s="1">
        <v>41929</v>
      </c>
      <c r="C1741" s="6">
        <f t="shared" si="270"/>
        <v>2014</v>
      </c>
      <c r="D1741">
        <v>87.5</v>
      </c>
      <c r="E1741">
        <v>68.099999999999994</v>
      </c>
      <c r="F1741">
        <v>77.900000000000006</v>
      </c>
      <c r="G1741" s="2">
        <f t="shared" si="271"/>
        <v>1</v>
      </c>
      <c r="H1741">
        <v>84.1</v>
      </c>
      <c r="I1741">
        <v>68.099999999999994</v>
      </c>
      <c r="J1741">
        <v>76.900000000000006</v>
      </c>
      <c r="K1741">
        <v>43.9</v>
      </c>
      <c r="L1741">
        <v>31.9</v>
      </c>
      <c r="M1741" s="2">
        <f t="shared" si="272"/>
        <v>1</v>
      </c>
      <c r="N1741">
        <v>0</v>
      </c>
      <c r="O1741" s="2">
        <f t="shared" si="273"/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31.8</v>
      </c>
      <c r="V1741" s="2">
        <f t="shared" si="274"/>
        <v>1</v>
      </c>
      <c r="W1741">
        <v>12.3</v>
      </c>
      <c r="X1741" s="2">
        <f t="shared" si="275"/>
        <v>0</v>
      </c>
      <c r="Y1741">
        <v>293.89999999999998</v>
      </c>
      <c r="Z1741" s="2" t="str">
        <f>CHOOSE(MATCH(Y1741,{0;11;80;111;161;191;241;281;341},1),"North","NorthEast","East","SouthEast","South","SouthWest","West","NorthWest","North")</f>
        <v>NorthWest</v>
      </c>
      <c r="AA1741" s="4">
        <f>CHOOSE(MATCH(Z1741,{"South";"SouthEast";"SouthWest";"North";"NorthEast";"East";"West";"NorthWest"},0),1,2,3,4,5,6,7,8)</f>
        <v>8</v>
      </c>
      <c r="AB1741" s="2">
        <f t="shared" si="276"/>
        <v>1</v>
      </c>
      <c r="AC1741">
        <v>1019</v>
      </c>
      <c r="AD1741" t="s">
        <v>1976</v>
      </c>
      <c r="AE1741" s="2">
        <f t="shared" si="277"/>
        <v>0</v>
      </c>
      <c r="AF1741" t="s">
        <v>2383</v>
      </c>
      <c r="AG1741" s="2">
        <f t="shared" si="278"/>
        <v>10</v>
      </c>
      <c r="AH1741" s="2">
        <f t="shared" si="279"/>
        <v>0</v>
      </c>
      <c r="AI1741" s="3">
        <v>1564.9999999988361</v>
      </c>
      <c r="AJ1741" s="2">
        <v>1</v>
      </c>
      <c r="AK1741">
        <v>0</v>
      </c>
      <c r="AL1741">
        <v>2</v>
      </c>
      <c r="AM1741">
        <v>0</v>
      </c>
      <c r="AN1741" s="2">
        <f>IF((2*G1741+M1741-O1741+3*V1741+2*AB1741+2*AE1741+2*AH1741+3*AJ1741)&gt;=7,1,0)</f>
        <v>1</v>
      </c>
    </row>
    <row r="1742" spans="1:40" x14ac:dyDescent="0.25">
      <c r="A1742" t="s">
        <v>27</v>
      </c>
      <c r="B1742" s="1">
        <v>41929</v>
      </c>
      <c r="C1742" s="6">
        <f t="shared" si="270"/>
        <v>2014</v>
      </c>
      <c r="D1742">
        <v>87.5</v>
      </c>
      <c r="E1742">
        <v>68.099999999999994</v>
      </c>
      <c r="F1742">
        <v>77.900000000000006</v>
      </c>
      <c r="G1742" s="2">
        <f t="shared" si="271"/>
        <v>1</v>
      </c>
      <c r="H1742">
        <v>84.1</v>
      </c>
      <c r="I1742">
        <v>68.099999999999994</v>
      </c>
      <c r="J1742">
        <v>76.900000000000006</v>
      </c>
      <c r="K1742">
        <v>43.9</v>
      </c>
      <c r="L1742">
        <v>31.9</v>
      </c>
      <c r="M1742" s="2">
        <f t="shared" si="272"/>
        <v>1</v>
      </c>
      <c r="N1742">
        <v>0</v>
      </c>
      <c r="O1742" s="2">
        <f t="shared" si="273"/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31.8</v>
      </c>
      <c r="V1742" s="2">
        <f t="shared" si="274"/>
        <v>1</v>
      </c>
      <c r="W1742">
        <v>12.3</v>
      </c>
      <c r="X1742" s="2">
        <f t="shared" si="275"/>
        <v>0</v>
      </c>
      <c r="Y1742">
        <v>293.89999999999998</v>
      </c>
      <c r="Z1742" s="2" t="str">
        <f>CHOOSE(MATCH(Y1742,{0;11;80;111;161;191;241;281;341},1),"North","NorthEast","East","SouthEast","South","SouthWest","West","NorthWest","North")</f>
        <v>NorthWest</v>
      </c>
      <c r="AA1742" s="4">
        <f>CHOOSE(MATCH(Z1742,{"South";"SouthEast";"SouthWest";"North";"NorthEast";"East";"West";"NorthWest"},0),1,2,3,4,5,6,7,8)</f>
        <v>8</v>
      </c>
      <c r="AB1742" s="2">
        <f t="shared" si="276"/>
        <v>1</v>
      </c>
      <c r="AC1742">
        <v>1019</v>
      </c>
      <c r="AD1742" t="s">
        <v>2384</v>
      </c>
      <c r="AE1742" s="2">
        <f t="shared" si="277"/>
        <v>0</v>
      </c>
      <c r="AF1742" t="s">
        <v>2385</v>
      </c>
      <c r="AG1742" s="2">
        <f t="shared" si="278"/>
        <v>10</v>
      </c>
      <c r="AH1742" s="2">
        <f t="shared" si="279"/>
        <v>0</v>
      </c>
      <c r="AI1742" s="3">
        <v>1860.9999999997669</v>
      </c>
      <c r="AJ1742" s="2">
        <v>1</v>
      </c>
      <c r="AK1742">
        <v>40</v>
      </c>
      <c r="AL1742">
        <v>0</v>
      </c>
      <c r="AM1742">
        <v>0</v>
      </c>
      <c r="AN1742" s="2">
        <f>IF((2*G1742+M1742-O1742+3*V1742+2*AB1742+2*AE1742+2*AH1742+3*AJ1742)&gt;=7,1,0)</f>
        <v>1</v>
      </c>
    </row>
    <row r="1743" spans="1:40" x14ac:dyDescent="0.25">
      <c r="A1743" t="s">
        <v>27</v>
      </c>
      <c r="B1743" s="1">
        <v>41929</v>
      </c>
      <c r="C1743" s="6">
        <f t="shared" si="270"/>
        <v>2014</v>
      </c>
      <c r="D1743">
        <v>87.5</v>
      </c>
      <c r="E1743">
        <v>68.099999999999994</v>
      </c>
      <c r="F1743">
        <v>77.900000000000006</v>
      </c>
      <c r="G1743" s="2">
        <f t="shared" si="271"/>
        <v>1</v>
      </c>
      <c r="H1743">
        <v>84.1</v>
      </c>
      <c r="I1743">
        <v>68.099999999999994</v>
      </c>
      <c r="J1743">
        <v>76.900000000000006</v>
      </c>
      <c r="K1743">
        <v>43.9</v>
      </c>
      <c r="L1743">
        <v>31.9</v>
      </c>
      <c r="M1743" s="2">
        <f t="shared" si="272"/>
        <v>1</v>
      </c>
      <c r="N1743">
        <v>0</v>
      </c>
      <c r="O1743" s="2">
        <f t="shared" si="273"/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31.8</v>
      </c>
      <c r="V1743" s="2">
        <f t="shared" si="274"/>
        <v>1</v>
      </c>
      <c r="W1743">
        <v>12.3</v>
      </c>
      <c r="X1743" s="2">
        <f t="shared" si="275"/>
        <v>0</v>
      </c>
      <c r="Y1743">
        <v>293.89999999999998</v>
      </c>
      <c r="Z1743" s="2" t="str">
        <f>CHOOSE(MATCH(Y1743,{0;11;80;111;161;191;241;281;341},1),"North","NorthEast","East","SouthEast","South","SouthWest","West","NorthWest","North")</f>
        <v>NorthWest</v>
      </c>
      <c r="AA1743" s="4">
        <f>CHOOSE(MATCH(Z1743,{"South";"SouthEast";"SouthWest";"North";"NorthEast";"East";"West";"NorthWest"},0),1,2,3,4,5,6,7,8)</f>
        <v>8</v>
      </c>
      <c r="AB1743" s="2">
        <f t="shared" si="276"/>
        <v>1</v>
      </c>
      <c r="AC1743">
        <v>1019</v>
      </c>
      <c r="AD1743" t="s">
        <v>2386</v>
      </c>
      <c r="AE1743" s="2">
        <f t="shared" si="277"/>
        <v>1</v>
      </c>
      <c r="AF1743" t="s">
        <v>2387</v>
      </c>
      <c r="AG1743" s="2">
        <f t="shared" si="278"/>
        <v>10</v>
      </c>
      <c r="AH1743" s="2">
        <f t="shared" si="279"/>
        <v>0</v>
      </c>
      <c r="AI1743" s="3">
        <v>2765.0000000023279</v>
      </c>
      <c r="AJ1743" s="2">
        <v>1</v>
      </c>
      <c r="AK1743">
        <v>0</v>
      </c>
      <c r="AL1743">
        <v>25</v>
      </c>
      <c r="AM1743">
        <v>0</v>
      </c>
      <c r="AN1743" s="2">
        <f>IF((2*G1743+M1743-O1743+3*V1743+2*AB1743+2*AE1743+2*AH1743+3*AJ1743)&gt;=7,1,0)</f>
        <v>1</v>
      </c>
    </row>
    <row r="1744" spans="1:40" x14ac:dyDescent="0.25">
      <c r="A1744" t="s">
        <v>27</v>
      </c>
      <c r="B1744" s="1">
        <v>41929</v>
      </c>
      <c r="C1744" s="6">
        <f t="shared" si="270"/>
        <v>2014</v>
      </c>
      <c r="D1744">
        <v>87.5</v>
      </c>
      <c r="E1744">
        <v>68.099999999999994</v>
      </c>
      <c r="F1744">
        <v>77.900000000000006</v>
      </c>
      <c r="G1744" s="2">
        <f t="shared" si="271"/>
        <v>1</v>
      </c>
      <c r="H1744">
        <v>84.1</v>
      </c>
      <c r="I1744">
        <v>68.099999999999994</v>
      </c>
      <c r="J1744">
        <v>76.900000000000006</v>
      </c>
      <c r="K1744">
        <v>43.9</v>
      </c>
      <c r="L1744">
        <v>31.9</v>
      </c>
      <c r="M1744" s="2">
        <f t="shared" si="272"/>
        <v>1</v>
      </c>
      <c r="N1744">
        <v>0</v>
      </c>
      <c r="O1744" s="2">
        <f t="shared" si="273"/>
        <v>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31.8</v>
      </c>
      <c r="V1744" s="2">
        <f t="shared" si="274"/>
        <v>1</v>
      </c>
      <c r="W1744">
        <v>12.3</v>
      </c>
      <c r="X1744" s="2">
        <f t="shared" si="275"/>
        <v>0</v>
      </c>
      <c r="Y1744">
        <v>293.89999999999998</v>
      </c>
      <c r="Z1744" s="2" t="str">
        <f>CHOOSE(MATCH(Y1744,{0;11;80;111;161;191;241;281;341},1),"North","NorthEast","East","SouthEast","South","SouthWest","West","NorthWest","North")</f>
        <v>NorthWest</v>
      </c>
      <c r="AA1744" s="4">
        <f>CHOOSE(MATCH(Z1744,{"South";"SouthEast";"SouthWest";"North";"NorthEast";"East";"West";"NorthWest"},0),1,2,3,4,5,6,7,8)</f>
        <v>8</v>
      </c>
      <c r="AB1744" s="2">
        <f t="shared" si="276"/>
        <v>1</v>
      </c>
      <c r="AC1744">
        <v>1019</v>
      </c>
      <c r="AD1744" t="s">
        <v>2388</v>
      </c>
      <c r="AE1744" s="2">
        <f t="shared" si="277"/>
        <v>0</v>
      </c>
      <c r="AF1744" t="s">
        <v>2389</v>
      </c>
      <c r="AG1744" s="2">
        <f t="shared" si="278"/>
        <v>10</v>
      </c>
      <c r="AH1744" s="2">
        <f t="shared" si="279"/>
        <v>0</v>
      </c>
      <c r="AI1744" s="3">
        <v>169.99999999883579</v>
      </c>
      <c r="AJ1744" s="2">
        <v>0</v>
      </c>
      <c r="AK1744">
        <v>0</v>
      </c>
      <c r="AL1744">
        <v>0.8</v>
      </c>
      <c r="AM1744">
        <v>0</v>
      </c>
      <c r="AN1744" s="2">
        <f>IF((2*G1744+M1744-O1744+3*V1744+2*AB1744+2*AE1744+2*AH1744+3*AJ1744)&gt;=7,1,0)</f>
        <v>1</v>
      </c>
    </row>
    <row r="1745" spans="1:40" x14ac:dyDescent="0.25">
      <c r="A1745" t="s">
        <v>27</v>
      </c>
      <c r="B1745" s="1">
        <v>41930</v>
      </c>
      <c r="C1745" s="6">
        <f t="shared" si="270"/>
        <v>2014</v>
      </c>
      <c r="D1745">
        <v>78.7</v>
      </c>
      <c r="E1745">
        <v>67.7</v>
      </c>
      <c r="F1745">
        <v>73.599999999999994</v>
      </c>
      <c r="G1745" s="2">
        <f t="shared" si="271"/>
        <v>1</v>
      </c>
      <c r="H1745">
        <v>78.7</v>
      </c>
      <c r="I1745">
        <v>67.7</v>
      </c>
      <c r="J1745">
        <v>73.599999999999994</v>
      </c>
      <c r="K1745">
        <v>53.9</v>
      </c>
      <c r="L1745">
        <v>52.1</v>
      </c>
      <c r="M1745" s="2">
        <f t="shared" si="272"/>
        <v>1</v>
      </c>
      <c r="N1745">
        <v>0</v>
      </c>
      <c r="O1745" s="2">
        <f t="shared" si="273"/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27.7</v>
      </c>
      <c r="V1745" s="2">
        <f t="shared" si="274"/>
        <v>1</v>
      </c>
      <c r="W1745">
        <v>15.2</v>
      </c>
      <c r="X1745" s="2">
        <f t="shared" si="275"/>
        <v>0</v>
      </c>
      <c r="Y1745">
        <v>332.4</v>
      </c>
      <c r="Z1745" s="2" t="str">
        <f>CHOOSE(MATCH(Y1745,{0;11;80;111;161;191;241;281;341},1),"North","NorthEast","East","SouthEast","South","SouthWest","West","NorthWest","North")</f>
        <v>NorthWest</v>
      </c>
      <c r="AA1745" s="4">
        <f>CHOOSE(MATCH(Z1745,{"South";"SouthEast";"SouthWest";"North";"NorthEast";"East";"West";"NorthWest"},0),1,2,3,4,5,6,7,8)</f>
        <v>8</v>
      </c>
      <c r="AB1745" s="2">
        <f t="shared" si="276"/>
        <v>1</v>
      </c>
      <c r="AC1745">
        <v>1016.8</v>
      </c>
      <c r="AD1745" t="s">
        <v>1781</v>
      </c>
      <c r="AE1745" s="2">
        <f t="shared" si="277"/>
        <v>1</v>
      </c>
      <c r="AF1745" t="s">
        <v>2390</v>
      </c>
      <c r="AG1745" s="2">
        <f t="shared" si="278"/>
        <v>10</v>
      </c>
      <c r="AH1745" s="2">
        <f t="shared" si="279"/>
        <v>0</v>
      </c>
      <c r="AI1745" s="3">
        <v>14.99999999650754</v>
      </c>
      <c r="AJ1745" s="2">
        <v>0</v>
      </c>
      <c r="AK1745">
        <v>0</v>
      </c>
      <c r="AL1745">
        <v>1</v>
      </c>
      <c r="AM1745">
        <v>0</v>
      </c>
      <c r="AN1745" s="2">
        <f>IF((2*G1745+M1745-O1745+3*V1745+2*AB1745+2*AE1745+2*AH1745+3*AJ1745)&gt;=7,1,0)</f>
        <v>1</v>
      </c>
    </row>
    <row r="1746" spans="1:40" x14ac:dyDescent="0.25">
      <c r="A1746" t="s">
        <v>27</v>
      </c>
      <c r="B1746" s="1">
        <v>41931</v>
      </c>
      <c r="C1746" s="6">
        <f t="shared" si="270"/>
        <v>2014</v>
      </c>
      <c r="D1746">
        <v>68.599999999999994</v>
      </c>
      <c r="E1746">
        <v>61.1</v>
      </c>
      <c r="F1746">
        <v>65.400000000000006</v>
      </c>
      <c r="G1746" s="2">
        <f t="shared" si="271"/>
        <v>0</v>
      </c>
      <c r="H1746">
        <v>68.599999999999994</v>
      </c>
      <c r="I1746">
        <v>61.1</v>
      </c>
      <c r="J1746">
        <v>65.400000000000006</v>
      </c>
      <c r="K1746">
        <v>53.3</v>
      </c>
      <c r="L1746">
        <v>65.5</v>
      </c>
      <c r="M1746" s="2">
        <f t="shared" si="272"/>
        <v>1</v>
      </c>
      <c r="N1746">
        <v>0</v>
      </c>
      <c r="O1746" s="2">
        <f t="shared" si="273"/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50.8</v>
      </c>
      <c r="V1746" s="2">
        <f t="shared" si="274"/>
        <v>1</v>
      </c>
      <c r="W1746">
        <v>30</v>
      </c>
      <c r="X1746" s="2">
        <f t="shared" si="275"/>
        <v>1</v>
      </c>
      <c r="Y1746">
        <v>7.8</v>
      </c>
      <c r="Z1746" s="2" t="str">
        <f>CHOOSE(MATCH(Y1746,{0;11;80;111;161;191;241;281;341},1),"North","NorthEast","East","SouthEast","South","SouthWest","West","NorthWest","North")</f>
        <v>North</v>
      </c>
      <c r="AA1746" s="4">
        <f>CHOOSE(MATCH(Z1746,{"South";"SouthEast";"SouthWest";"North";"NorthEast";"East";"West";"NorthWest"},0),1,2,3,4,5,6,7,8)</f>
        <v>4</v>
      </c>
      <c r="AB1746" s="2">
        <f t="shared" si="276"/>
        <v>1</v>
      </c>
      <c r="AC1746">
        <v>1019.9</v>
      </c>
      <c r="AD1746" t="s">
        <v>1745</v>
      </c>
      <c r="AE1746" s="2">
        <f t="shared" si="277"/>
        <v>1</v>
      </c>
      <c r="AF1746" t="s">
        <v>2391</v>
      </c>
      <c r="AG1746" s="2">
        <f t="shared" si="278"/>
        <v>10</v>
      </c>
      <c r="AH1746" s="2">
        <f t="shared" si="279"/>
        <v>0</v>
      </c>
      <c r="AI1746" s="3">
        <v>365.99999999860302</v>
      </c>
      <c r="AJ1746" s="2">
        <v>1</v>
      </c>
      <c r="AK1746">
        <v>0</v>
      </c>
      <c r="AL1746">
        <v>10</v>
      </c>
      <c r="AM1746">
        <v>0</v>
      </c>
      <c r="AN1746" s="2">
        <f>IF((2*G1746+M1746-O1746+3*V1746+2*AB1746+2*AE1746+2*AH1746+3*AJ1746)&gt;=7,1,0)</f>
        <v>1</v>
      </c>
    </row>
    <row r="1747" spans="1:40" x14ac:dyDescent="0.25">
      <c r="A1747" t="s">
        <v>27</v>
      </c>
      <c r="B1747" s="1">
        <v>41931</v>
      </c>
      <c r="C1747" s="6">
        <f t="shared" si="270"/>
        <v>2014</v>
      </c>
      <c r="D1747">
        <v>68.599999999999994</v>
      </c>
      <c r="E1747">
        <v>61.1</v>
      </c>
      <c r="F1747">
        <v>65.400000000000006</v>
      </c>
      <c r="G1747" s="2">
        <f t="shared" si="271"/>
        <v>0</v>
      </c>
      <c r="H1747">
        <v>68.599999999999994</v>
      </c>
      <c r="I1747">
        <v>61.1</v>
      </c>
      <c r="J1747">
        <v>65.400000000000006</v>
      </c>
      <c r="K1747">
        <v>53.3</v>
      </c>
      <c r="L1747">
        <v>65.5</v>
      </c>
      <c r="M1747" s="2">
        <f t="shared" si="272"/>
        <v>1</v>
      </c>
      <c r="N1747">
        <v>0</v>
      </c>
      <c r="O1747" s="2">
        <f t="shared" si="273"/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50.8</v>
      </c>
      <c r="V1747" s="2">
        <f t="shared" si="274"/>
        <v>1</v>
      </c>
      <c r="W1747">
        <v>30</v>
      </c>
      <c r="X1747" s="2">
        <f t="shared" si="275"/>
        <v>1</v>
      </c>
      <c r="Y1747">
        <v>7.8</v>
      </c>
      <c r="Z1747" s="2" t="str">
        <f>CHOOSE(MATCH(Y1747,{0;11;80;111;161;191;241;281;341},1),"North","NorthEast","East","SouthEast","South","SouthWest","West","NorthWest","North")</f>
        <v>North</v>
      </c>
      <c r="AA1747" s="4">
        <f>CHOOSE(MATCH(Z1747,{"South";"SouthEast";"SouthWest";"North";"NorthEast";"East";"West";"NorthWest"},0),1,2,3,4,5,6,7,8)</f>
        <v>4</v>
      </c>
      <c r="AB1747" s="2">
        <f t="shared" si="276"/>
        <v>1</v>
      </c>
      <c r="AC1747">
        <v>1019.9</v>
      </c>
      <c r="AD1747" t="s">
        <v>2392</v>
      </c>
      <c r="AE1747" s="2">
        <f t="shared" si="277"/>
        <v>0</v>
      </c>
      <c r="AF1747" t="s">
        <v>2393</v>
      </c>
      <c r="AG1747" s="2">
        <f t="shared" si="278"/>
        <v>10</v>
      </c>
      <c r="AH1747" s="2">
        <f t="shared" si="279"/>
        <v>0</v>
      </c>
      <c r="AI1747" s="3">
        <v>669.99999999417923</v>
      </c>
      <c r="AJ1747" s="2">
        <v>1</v>
      </c>
      <c r="AK1747">
        <v>0</v>
      </c>
      <c r="AL1747">
        <v>10</v>
      </c>
      <c r="AM1747">
        <v>0</v>
      </c>
      <c r="AN1747" s="2">
        <f>IF((2*G1747+M1747-O1747+3*V1747+2*AB1747+2*AE1747+2*AH1747+3*AJ1747)&gt;=7,1,0)</f>
        <v>1</v>
      </c>
    </row>
    <row r="1748" spans="1:40" x14ac:dyDescent="0.25">
      <c r="A1748" t="s">
        <v>27</v>
      </c>
      <c r="B1748" s="1">
        <v>41932</v>
      </c>
      <c r="C1748" s="6">
        <f t="shared" si="270"/>
        <v>2014</v>
      </c>
      <c r="D1748">
        <v>69.8</v>
      </c>
      <c r="E1748">
        <v>59.6</v>
      </c>
      <c r="F1748">
        <v>65.099999999999994</v>
      </c>
      <c r="G1748" s="2">
        <f t="shared" si="271"/>
        <v>0</v>
      </c>
      <c r="H1748">
        <v>69.8</v>
      </c>
      <c r="I1748">
        <v>59.6</v>
      </c>
      <c r="J1748">
        <v>65.099999999999994</v>
      </c>
      <c r="K1748">
        <v>51.6</v>
      </c>
      <c r="L1748">
        <v>61.9</v>
      </c>
      <c r="M1748" s="2">
        <f t="shared" si="272"/>
        <v>1</v>
      </c>
      <c r="N1748">
        <v>0</v>
      </c>
      <c r="O1748" s="2">
        <f t="shared" si="273"/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33.799999999999997</v>
      </c>
      <c r="V1748" s="2">
        <f t="shared" si="274"/>
        <v>1</v>
      </c>
      <c r="W1748">
        <v>19.600000000000001</v>
      </c>
      <c r="X1748" s="2">
        <f t="shared" si="275"/>
        <v>1</v>
      </c>
      <c r="Y1748">
        <v>330.8</v>
      </c>
      <c r="Z1748" s="2" t="str">
        <f>CHOOSE(MATCH(Y1748,{0;11;80;111;161;191;241;281;341},1),"North","NorthEast","East","SouthEast","South","SouthWest","West","NorthWest","North")</f>
        <v>NorthWest</v>
      </c>
      <c r="AA1748" s="4">
        <f>CHOOSE(MATCH(Z1748,{"South";"SouthEast";"SouthWest";"North";"NorthEast";"East";"West";"NorthWest"},0),1,2,3,4,5,6,7,8)</f>
        <v>8</v>
      </c>
      <c r="AB1748" s="2">
        <f t="shared" si="276"/>
        <v>1</v>
      </c>
      <c r="AC1748">
        <v>1019.5</v>
      </c>
      <c r="AD1748" t="s">
        <v>2394</v>
      </c>
      <c r="AE1748" s="2">
        <f t="shared" si="277"/>
        <v>0</v>
      </c>
      <c r="AF1748" t="s">
        <v>2395</v>
      </c>
      <c r="AG1748" s="2">
        <f t="shared" si="278"/>
        <v>10</v>
      </c>
      <c r="AH1748" s="2">
        <f t="shared" si="279"/>
        <v>0</v>
      </c>
      <c r="AI1748" s="3">
        <v>1995.9999999997669</v>
      </c>
      <c r="AJ1748" s="2">
        <v>1</v>
      </c>
      <c r="AK1748">
        <v>0</v>
      </c>
      <c r="AL1748">
        <v>35</v>
      </c>
      <c r="AM1748">
        <v>0</v>
      </c>
      <c r="AN1748" s="2">
        <f>IF((2*G1748+M1748-O1748+3*V1748+2*AB1748+2*AE1748+2*AH1748+3*AJ1748)&gt;=7,1,0)</f>
        <v>1</v>
      </c>
    </row>
    <row r="1749" spans="1:40" x14ac:dyDescent="0.25">
      <c r="A1749" t="s">
        <v>27</v>
      </c>
      <c r="B1749" s="1">
        <v>41934</v>
      </c>
      <c r="C1749" s="6">
        <f t="shared" si="270"/>
        <v>2014</v>
      </c>
      <c r="D1749">
        <v>78.7</v>
      </c>
      <c r="E1749">
        <v>60.8</v>
      </c>
      <c r="F1749">
        <v>69.5</v>
      </c>
      <c r="G1749" s="2">
        <f t="shared" si="271"/>
        <v>0</v>
      </c>
      <c r="H1749">
        <v>78.7</v>
      </c>
      <c r="I1749">
        <v>60.8</v>
      </c>
      <c r="J1749">
        <v>69.5</v>
      </c>
      <c r="K1749">
        <v>57.4</v>
      </c>
      <c r="L1749">
        <v>66.2</v>
      </c>
      <c r="M1749" s="2">
        <f t="shared" si="272"/>
        <v>0</v>
      </c>
      <c r="N1749">
        <v>0</v>
      </c>
      <c r="O1749" s="2">
        <f t="shared" si="273"/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31.1</v>
      </c>
      <c r="V1749" s="2">
        <f t="shared" si="274"/>
        <v>1</v>
      </c>
      <c r="W1749">
        <v>23</v>
      </c>
      <c r="X1749" s="2">
        <f t="shared" si="275"/>
        <v>1</v>
      </c>
      <c r="Y1749">
        <v>178.8</v>
      </c>
      <c r="Z1749" s="2" t="str">
        <f>CHOOSE(MATCH(Y1749,{0;11;80;111;161;191;241;281;341},1),"North","NorthEast","East","SouthEast","South","SouthWest","West","NorthWest","North")</f>
        <v>South</v>
      </c>
      <c r="AA1749" s="4">
        <f>CHOOSE(MATCH(Z1749,{"South";"SouthEast";"SouthWest";"North";"NorthEast";"East";"West";"NorthWest"},0),1,2,3,4,5,6,7,8)</f>
        <v>1</v>
      </c>
      <c r="AB1749" s="2">
        <f t="shared" si="276"/>
        <v>0</v>
      </c>
      <c r="AC1749">
        <v>1010.8</v>
      </c>
      <c r="AD1749" t="s">
        <v>1107</v>
      </c>
      <c r="AE1749" s="2">
        <f t="shared" si="277"/>
        <v>1</v>
      </c>
      <c r="AF1749" t="s">
        <v>2396</v>
      </c>
      <c r="AG1749" s="2">
        <f t="shared" si="278"/>
        <v>10</v>
      </c>
      <c r="AH1749" s="2">
        <f t="shared" si="279"/>
        <v>0</v>
      </c>
      <c r="AI1749" s="3">
        <v>239.99999999650751</v>
      </c>
      <c r="AJ1749" s="2">
        <v>0</v>
      </c>
      <c r="AK1749">
        <v>0</v>
      </c>
      <c r="AL1749">
        <v>10</v>
      </c>
      <c r="AM1749">
        <v>0</v>
      </c>
      <c r="AN1749" s="2">
        <f>IF((2*G1749+M1749-O1749+3*V1749+2*AB1749+2*AE1749+2*AH1749+3*AJ1749)&gt;=7,1,0)</f>
        <v>0</v>
      </c>
    </row>
    <row r="1750" spans="1:40" x14ac:dyDescent="0.25">
      <c r="A1750" t="s">
        <v>27</v>
      </c>
      <c r="B1750" s="1">
        <v>41944</v>
      </c>
      <c r="C1750" s="6">
        <f t="shared" si="270"/>
        <v>2014</v>
      </c>
      <c r="D1750">
        <v>64.400000000000006</v>
      </c>
      <c r="E1750">
        <v>60.8</v>
      </c>
      <c r="F1750">
        <v>62</v>
      </c>
      <c r="G1750" s="2">
        <f t="shared" si="271"/>
        <v>0</v>
      </c>
      <c r="H1750">
        <v>64.400000000000006</v>
      </c>
      <c r="I1750">
        <v>60.8</v>
      </c>
      <c r="J1750">
        <v>62</v>
      </c>
      <c r="K1750">
        <v>52.8</v>
      </c>
      <c r="L1750">
        <v>71.900000000000006</v>
      </c>
      <c r="M1750" s="2">
        <f t="shared" si="272"/>
        <v>0</v>
      </c>
      <c r="N1750">
        <v>7.9000000000000001E-2</v>
      </c>
      <c r="O1750" s="2">
        <f t="shared" si="273"/>
        <v>0</v>
      </c>
      <c r="P1750">
        <v>100</v>
      </c>
      <c r="Q1750">
        <v>8.33</v>
      </c>
      <c r="R1750" t="s">
        <v>182</v>
      </c>
      <c r="S1750">
        <v>0</v>
      </c>
      <c r="T1750">
        <v>0</v>
      </c>
      <c r="U1750">
        <v>26.6</v>
      </c>
      <c r="V1750" s="2">
        <f t="shared" si="274"/>
        <v>1</v>
      </c>
      <c r="W1750">
        <v>18.3</v>
      </c>
      <c r="X1750" s="2">
        <f t="shared" si="275"/>
        <v>1</v>
      </c>
      <c r="Y1750">
        <v>10.8</v>
      </c>
      <c r="Z1750" s="2" t="str">
        <f>CHOOSE(MATCH(Y1750,{0;11;80;111;161;191;241;281;341},1),"North","NorthEast","East","SouthEast","South","SouthWest","West","NorthWest","North")</f>
        <v>North</v>
      </c>
      <c r="AA1750" s="4">
        <f>CHOOSE(MATCH(Z1750,{"South";"SouthEast";"SouthWest";"North";"NorthEast";"East";"West";"NorthWest"},0),1,2,3,4,5,6,7,8)</f>
        <v>4</v>
      </c>
      <c r="AB1750" s="2">
        <f t="shared" si="276"/>
        <v>1</v>
      </c>
      <c r="AC1750">
        <v>1016.4</v>
      </c>
      <c r="AD1750" t="s">
        <v>2397</v>
      </c>
      <c r="AE1750" s="2">
        <f t="shared" si="277"/>
        <v>1</v>
      </c>
      <c r="AF1750" t="s">
        <v>2398</v>
      </c>
      <c r="AG1750" s="2">
        <f t="shared" si="278"/>
        <v>11</v>
      </c>
      <c r="AH1750" s="2">
        <f t="shared" si="279"/>
        <v>0</v>
      </c>
      <c r="AI1750" s="3">
        <v>64.999999991850927</v>
      </c>
      <c r="AJ1750" s="2">
        <v>0</v>
      </c>
      <c r="AK1750">
        <v>0</v>
      </c>
      <c r="AL1750">
        <v>0.5</v>
      </c>
      <c r="AM1750">
        <v>0</v>
      </c>
      <c r="AN1750" s="2">
        <f>IF((2*G1750+M1750-O1750+3*V1750+2*AB1750+2*AE1750+2*AH1750+3*AJ1750)&gt;=7,1,0)</f>
        <v>1</v>
      </c>
    </row>
    <row r="1751" spans="1:40" x14ac:dyDescent="0.25">
      <c r="A1751" t="s">
        <v>27</v>
      </c>
      <c r="B1751" s="1">
        <v>41947</v>
      </c>
      <c r="C1751" s="6">
        <f t="shared" si="270"/>
        <v>2014</v>
      </c>
      <c r="D1751">
        <v>68</v>
      </c>
      <c r="E1751">
        <v>55.4</v>
      </c>
      <c r="F1751">
        <v>61.6</v>
      </c>
      <c r="G1751" s="2">
        <f t="shared" si="271"/>
        <v>0</v>
      </c>
      <c r="H1751">
        <v>68</v>
      </c>
      <c r="I1751">
        <v>55.4</v>
      </c>
      <c r="J1751">
        <v>61.6</v>
      </c>
      <c r="K1751">
        <v>52.8</v>
      </c>
      <c r="L1751">
        <v>73.099999999999994</v>
      </c>
      <c r="M1751" s="2">
        <f t="shared" si="272"/>
        <v>0</v>
      </c>
      <c r="N1751">
        <v>0</v>
      </c>
      <c r="O1751" s="2">
        <f t="shared" si="273"/>
        <v>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23.3</v>
      </c>
      <c r="V1751" s="2">
        <f t="shared" si="274"/>
        <v>1</v>
      </c>
      <c r="W1751">
        <v>15</v>
      </c>
      <c r="X1751" s="2">
        <f t="shared" si="275"/>
        <v>0</v>
      </c>
      <c r="Y1751">
        <v>333.2</v>
      </c>
      <c r="Z1751" s="2" t="str">
        <f>CHOOSE(MATCH(Y1751,{0;11;80;111;161;191;241;281;341},1),"North","NorthEast","East","SouthEast","South","SouthWest","West","NorthWest","North")</f>
        <v>NorthWest</v>
      </c>
      <c r="AA1751" s="4">
        <f>CHOOSE(MATCH(Z1751,{"South";"SouthEast";"SouthWest";"North";"NorthEast";"East";"West";"NorthWest"},0),1,2,3,4,5,6,7,8)</f>
        <v>8</v>
      </c>
      <c r="AB1751" s="2">
        <f t="shared" si="276"/>
        <v>1</v>
      </c>
      <c r="AC1751">
        <v>1020.5</v>
      </c>
      <c r="AD1751" t="s">
        <v>2078</v>
      </c>
      <c r="AE1751" s="2">
        <f t="shared" si="277"/>
        <v>0</v>
      </c>
      <c r="AF1751" t="s">
        <v>2399</v>
      </c>
      <c r="AG1751" s="2">
        <f t="shared" si="278"/>
        <v>11</v>
      </c>
      <c r="AH1751" s="2">
        <f t="shared" si="279"/>
        <v>0</v>
      </c>
      <c r="AI1751" s="3">
        <v>110.00000000232831</v>
      </c>
      <c r="AJ1751" s="2">
        <v>0</v>
      </c>
      <c r="AK1751">
        <v>0</v>
      </c>
      <c r="AL1751">
        <v>0.02</v>
      </c>
      <c r="AM1751">
        <v>0</v>
      </c>
      <c r="AN1751" s="2">
        <f>IF((2*G1751+M1751-O1751+3*V1751+2*AB1751+2*AE1751+2*AH1751+3*AJ1751)&gt;=7,1,0)</f>
        <v>0</v>
      </c>
    </row>
    <row r="1752" spans="1:40" x14ac:dyDescent="0.25">
      <c r="A1752" t="s">
        <v>27</v>
      </c>
      <c r="B1752" s="1">
        <v>41949</v>
      </c>
      <c r="C1752" s="6">
        <f t="shared" si="270"/>
        <v>2014</v>
      </c>
      <c r="D1752">
        <v>77</v>
      </c>
      <c r="E1752">
        <v>62.6</v>
      </c>
      <c r="F1752">
        <v>68.099999999999994</v>
      </c>
      <c r="G1752" s="2">
        <f t="shared" si="271"/>
        <v>0</v>
      </c>
      <c r="H1752">
        <v>77</v>
      </c>
      <c r="I1752">
        <v>62.6</v>
      </c>
      <c r="J1752">
        <v>68.099999999999994</v>
      </c>
      <c r="K1752">
        <v>58.3</v>
      </c>
      <c r="L1752">
        <v>71.8</v>
      </c>
      <c r="M1752" s="2">
        <f t="shared" si="272"/>
        <v>0</v>
      </c>
      <c r="N1752">
        <v>0</v>
      </c>
      <c r="O1752" s="2">
        <f t="shared" si="273"/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27.7</v>
      </c>
      <c r="V1752" s="2">
        <f t="shared" si="274"/>
        <v>1</v>
      </c>
      <c r="W1752">
        <v>17.2</v>
      </c>
      <c r="X1752" s="2">
        <f t="shared" si="275"/>
        <v>1</v>
      </c>
      <c r="Y1752">
        <v>167.7</v>
      </c>
      <c r="Z1752" s="2" t="str">
        <f>CHOOSE(MATCH(Y1752,{0;11;80;111;161;191;241;281;341},1),"North","NorthEast","East","SouthEast","South","SouthWest","West","NorthWest","North")</f>
        <v>South</v>
      </c>
      <c r="AA1752" s="4">
        <f>CHOOSE(MATCH(Z1752,{"South";"SouthEast";"SouthWest";"North";"NorthEast";"East";"West";"NorthWest"},0),1,2,3,4,5,6,7,8)</f>
        <v>1</v>
      </c>
      <c r="AB1752" s="2">
        <f t="shared" si="276"/>
        <v>0</v>
      </c>
      <c r="AC1752">
        <v>1022.2</v>
      </c>
      <c r="AD1752" t="s">
        <v>2400</v>
      </c>
      <c r="AE1752" s="2">
        <f t="shared" si="277"/>
        <v>1</v>
      </c>
      <c r="AF1752" t="s">
        <v>2401</v>
      </c>
      <c r="AG1752" s="2">
        <f t="shared" si="278"/>
        <v>11</v>
      </c>
      <c r="AH1752" s="2">
        <f t="shared" si="279"/>
        <v>0</v>
      </c>
      <c r="AI1752" s="3">
        <v>55.999999993946403</v>
      </c>
      <c r="AJ1752" s="2">
        <v>0</v>
      </c>
      <c r="AK1752">
        <v>0</v>
      </c>
      <c r="AL1752">
        <v>1</v>
      </c>
      <c r="AM1752">
        <v>0</v>
      </c>
      <c r="AN1752" s="2">
        <f>IF((2*G1752+M1752-O1752+3*V1752+2*AB1752+2*AE1752+2*AH1752+3*AJ1752)&gt;=7,1,0)</f>
        <v>0</v>
      </c>
    </row>
    <row r="1753" spans="1:40" x14ac:dyDescent="0.25">
      <c r="A1753" t="s">
        <v>27</v>
      </c>
      <c r="B1753" s="1">
        <v>41959</v>
      </c>
      <c r="C1753" s="6">
        <f t="shared" si="270"/>
        <v>2014</v>
      </c>
      <c r="D1753">
        <v>68</v>
      </c>
      <c r="E1753">
        <v>57.2</v>
      </c>
      <c r="F1753">
        <v>63.3</v>
      </c>
      <c r="G1753" s="2">
        <f t="shared" si="271"/>
        <v>0</v>
      </c>
      <c r="H1753">
        <v>68</v>
      </c>
      <c r="I1753">
        <v>57.2</v>
      </c>
      <c r="J1753">
        <v>63.3</v>
      </c>
      <c r="K1753">
        <v>55.8</v>
      </c>
      <c r="L1753">
        <v>77</v>
      </c>
      <c r="M1753" s="2">
        <f t="shared" si="272"/>
        <v>0</v>
      </c>
      <c r="N1753">
        <v>5.0000000000000001E-3</v>
      </c>
      <c r="O1753" s="2">
        <f t="shared" si="273"/>
        <v>1</v>
      </c>
      <c r="P1753">
        <v>100</v>
      </c>
      <c r="Q1753">
        <v>4.17</v>
      </c>
      <c r="R1753" t="s">
        <v>182</v>
      </c>
      <c r="S1753">
        <v>0</v>
      </c>
      <c r="T1753">
        <v>0</v>
      </c>
      <c r="U1753">
        <v>20.100000000000001</v>
      </c>
      <c r="V1753" s="2">
        <f t="shared" si="274"/>
        <v>1</v>
      </c>
      <c r="W1753">
        <v>16.100000000000001</v>
      </c>
      <c r="X1753" s="2">
        <f t="shared" si="275"/>
        <v>1</v>
      </c>
      <c r="Y1753">
        <v>304.60000000000002</v>
      </c>
      <c r="Z1753" s="2" t="str">
        <f>CHOOSE(MATCH(Y1753,{0;11;80;111;161;191;241;281;341},1),"North","NorthEast","East","SouthEast","South","SouthWest","West","NorthWest","North")</f>
        <v>NorthWest</v>
      </c>
      <c r="AA1753" s="4">
        <f>CHOOSE(MATCH(Z1753,{"South";"SouthEast";"SouthWest";"North";"NorthEast";"East";"West";"NorthWest"},0),1,2,3,4,5,6,7,8)</f>
        <v>8</v>
      </c>
      <c r="AB1753" s="2">
        <f t="shared" si="276"/>
        <v>1</v>
      </c>
      <c r="AC1753">
        <v>1015.1</v>
      </c>
      <c r="AD1753" t="s">
        <v>1249</v>
      </c>
      <c r="AE1753" s="2">
        <f t="shared" si="277"/>
        <v>1</v>
      </c>
      <c r="AF1753" t="s">
        <v>2402</v>
      </c>
      <c r="AG1753" s="2">
        <f t="shared" si="278"/>
        <v>11</v>
      </c>
      <c r="AH1753" s="2">
        <f t="shared" si="279"/>
        <v>0</v>
      </c>
      <c r="AI1753" s="3">
        <v>155.00000000232831</v>
      </c>
      <c r="AJ1753" s="2">
        <v>0</v>
      </c>
      <c r="AK1753">
        <v>0</v>
      </c>
      <c r="AL1753">
        <v>0.5</v>
      </c>
      <c r="AM1753">
        <v>0</v>
      </c>
      <c r="AN1753" s="2">
        <f>IF((2*G1753+M1753-O1753+3*V1753+2*AB1753+2*AE1753+2*AH1753+3*AJ1753)&gt;=7,1,0)</f>
        <v>0</v>
      </c>
    </row>
    <row r="1754" spans="1:40" x14ac:dyDescent="0.25">
      <c r="A1754" t="s">
        <v>27</v>
      </c>
      <c r="B1754" s="1">
        <v>41962</v>
      </c>
      <c r="C1754" s="6">
        <f t="shared" si="270"/>
        <v>2014</v>
      </c>
      <c r="D1754">
        <v>77</v>
      </c>
      <c r="E1754">
        <v>63.9</v>
      </c>
      <c r="F1754">
        <v>68.599999999999994</v>
      </c>
      <c r="G1754" s="2">
        <f t="shared" si="271"/>
        <v>0</v>
      </c>
      <c r="H1754">
        <v>77</v>
      </c>
      <c r="I1754">
        <v>63.9</v>
      </c>
      <c r="J1754">
        <v>68.599999999999994</v>
      </c>
      <c r="K1754">
        <v>57.9</v>
      </c>
      <c r="L1754">
        <v>69.3</v>
      </c>
      <c r="M1754" s="2">
        <f t="shared" si="272"/>
        <v>0</v>
      </c>
      <c r="N1754">
        <v>0</v>
      </c>
      <c r="O1754" s="2">
        <f t="shared" si="273"/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23</v>
      </c>
      <c r="V1754" s="2">
        <f t="shared" si="274"/>
        <v>1</v>
      </c>
      <c r="W1754">
        <v>20.8</v>
      </c>
      <c r="X1754" s="2">
        <f t="shared" si="275"/>
        <v>1</v>
      </c>
      <c r="Y1754">
        <v>179.7</v>
      </c>
      <c r="Z1754" s="2" t="str">
        <f>CHOOSE(MATCH(Y1754,{0;11;80;111;161;191;241;281;341},1),"North","NorthEast","East","SouthEast","South","SouthWest","West","NorthWest","North")</f>
        <v>South</v>
      </c>
      <c r="AA1754" s="4">
        <f>CHOOSE(MATCH(Z1754,{"South";"SouthEast";"SouthWest";"North";"NorthEast";"East";"West";"NorthWest"},0),1,2,3,4,5,6,7,8)</f>
        <v>1</v>
      </c>
      <c r="AB1754" s="2">
        <f t="shared" si="276"/>
        <v>0</v>
      </c>
      <c r="AC1754">
        <v>1018.8</v>
      </c>
      <c r="AD1754" t="s">
        <v>2403</v>
      </c>
      <c r="AE1754" s="2">
        <f t="shared" si="277"/>
        <v>0</v>
      </c>
      <c r="AF1754" t="s">
        <v>2404</v>
      </c>
      <c r="AG1754" s="2">
        <f t="shared" si="278"/>
        <v>11</v>
      </c>
      <c r="AH1754" s="2">
        <f t="shared" si="279"/>
        <v>0</v>
      </c>
      <c r="AI1754" s="3">
        <v>130.99999999743889</v>
      </c>
      <c r="AJ1754" s="2">
        <v>0</v>
      </c>
      <c r="AK1754">
        <v>0</v>
      </c>
      <c r="AL1754">
        <v>7</v>
      </c>
      <c r="AM1754">
        <v>0</v>
      </c>
      <c r="AN1754" s="2">
        <f>IF((2*G1754+M1754-O1754+3*V1754+2*AB1754+2*AE1754+2*AH1754+3*AJ1754)&gt;=7,1,0)</f>
        <v>0</v>
      </c>
    </row>
    <row r="1755" spans="1:40" x14ac:dyDescent="0.25">
      <c r="A1755" t="s">
        <v>27</v>
      </c>
      <c r="B1755" s="1">
        <v>41968</v>
      </c>
      <c r="C1755" s="6">
        <f t="shared" si="270"/>
        <v>2014</v>
      </c>
      <c r="D1755">
        <v>59</v>
      </c>
      <c r="E1755">
        <v>53.6</v>
      </c>
      <c r="F1755">
        <v>57</v>
      </c>
      <c r="G1755" s="2">
        <f t="shared" si="271"/>
        <v>0</v>
      </c>
      <c r="H1755">
        <v>59</v>
      </c>
      <c r="I1755">
        <v>53.6</v>
      </c>
      <c r="J1755">
        <v>57</v>
      </c>
      <c r="K1755">
        <v>43.3</v>
      </c>
      <c r="L1755">
        <v>60.6</v>
      </c>
      <c r="M1755" s="2">
        <f t="shared" si="272"/>
        <v>1</v>
      </c>
      <c r="N1755">
        <v>2.4E-2</v>
      </c>
      <c r="O1755" s="2">
        <f t="shared" si="273"/>
        <v>0</v>
      </c>
      <c r="P1755">
        <v>100</v>
      </c>
      <c r="Q1755">
        <v>8.33</v>
      </c>
      <c r="R1755" t="s">
        <v>182</v>
      </c>
      <c r="S1755">
        <v>0</v>
      </c>
      <c r="T1755">
        <v>0</v>
      </c>
      <c r="U1755">
        <v>36.9</v>
      </c>
      <c r="V1755" s="2">
        <f t="shared" si="274"/>
        <v>1</v>
      </c>
      <c r="W1755">
        <v>24.2</v>
      </c>
      <c r="X1755" s="2">
        <f t="shared" si="275"/>
        <v>1</v>
      </c>
      <c r="Y1755">
        <v>348.4</v>
      </c>
      <c r="Z1755" s="2" t="str">
        <f>CHOOSE(MATCH(Y1755,{0;11;80;111;161;191;241;281;341},1),"North","NorthEast","East","SouthEast","South","SouthWest","West","NorthWest","North")</f>
        <v>North</v>
      </c>
      <c r="AA1755" s="4">
        <f>CHOOSE(MATCH(Z1755,{"South";"SouthEast";"SouthWest";"North";"NorthEast";"East";"West";"NorthWest"},0),1,2,3,4,5,6,7,8)</f>
        <v>4</v>
      </c>
      <c r="AB1755" s="2">
        <f t="shared" si="276"/>
        <v>1</v>
      </c>
      <c r="AC1755">
        <v>1018.8</v>
      </c>
      <c r="AD1755" t="s">
        <v>1953</v>
      </c>
      <c r="AE1755" s="2">
        <f t="shared" si="277"/>
        <v>1</v>
      </c>
      <c r="AF1755" t="s">
        <v>2405</v>
      </c>
      <c r="AG1755" s="2">
        <f t="shared" si="278"/>
        <v>11</v>
      </c>
      <c r="AH1755" s="2">
        <f t="shared" si="279"/>
        <v>0</v>
      </c>
      <c r="AI1755" s="3">
        <v>86.999999990221113</v>
      </c>
      <c r="AJ1755" s="2">
        <v>0</v>
      </c>
      <c r="AK1755">
        <v>0</v>
      </c>
      <c r="AL1755">
        <v>0.1</v>
      </c>
      <c r="AM1755">
        <v>0</v>
      </c>
      <c r="AN1755" s="2">
        <f>IF((2*G1755+M1755-O1755+3*V1755+2*AB1755+2*AE1755+2*AH1755+3*AJ1755)&gt;=7,1,0)</f>
        <v>1</v>
      </c>
    </row>
    <row r="1756" spans="1:40" x14ac:dyDescent="0.25">
      <c r="A1756" t="s">
        <v>27</v>
      </c>
      <c r="B1756" s="1">
        <v>41975</v>
      </c>
      <c r="C1756" s="6">
        <f t="shared" si="270"/>
        <v>2014</v>
      </c>
      <c r="D1756">
        <v>71.599999999999994</v>
      </c>
      <c r="E1756">
        <v>66.2</v>
      </c>
      <c r="F1756">
        <v>69</v>
      </c>
      <c r="G1756" s="2">
        <f t="shared" si="271"/>
        <v>0</v>
      </c>
      <c r="H1756">
        <v>71.599999999999994</v>
      </c>
      <c r="I1756">
        <v>66.2</v>
      </c>
      <c r="J1756">
        <v>69</v>
      </c>
      <c r="K1756">
        <v>52.8</v>
      </c>
      <c r="L1756">
        <v>57</v>
      </c>
      <c r="M1756" s="2">
        <f t="shared" si="272"/>
        <v>1</v>
      </c>
      <c r="N1756">
        <v>8.0000000000000002E-3</v>
      </c>
      <c r="O1756" s="2">
        <f t="shared" si="273"/>
        <v>1</v>
      </c>
      <c r="P1756">
        <v>100</v>
      </c>
      <c r="Q1756">
        <v>4.17</v>
      </c>
      <c r="R1756" t="s">
        <v>182</v>
      </c>
      <c r="S1756">
        <v>0</v>
      </c>
      <c r="T1756">
        <v>0</v>
      </c>
      <c r="U1756">
        <v>40.299999999999997</v>
      </c>
      <c r="V1756" s="2">
        <f t="shared" si="274"/>
        <v>1</v>
      </c>
      <c r="W1756">
        <v>25.3</v>
      </c>
      <c r="X1756" s="2">
        <f t="shared" si="275"/>
        <v>1</v>
      </c>
      <c r="Y1756">
        <v>176.5</v>
      </c>
      <c r="Z1756" s="2" t="str">
        <f>CHOOSE(MATCH(Y1756,{0;11;80;111;161;191;241;281;341},1),"North","NorthEast","East","SouthEast","South","SouthWest","West","NorthWest","North")</f>
        <v>South</v>
      </c>
      <c r="AA1756" s="4">
        <f>CHOOSE(MATCH(Z1756,{"South";"SouthEast";"SouthWest";"North";"NorthEast";"East";"West";"NorthWest"},0),1,2,3,4,5,6,7,8)</f>
        <v>1</v>
      </c>
      <c r="AB1756" s="2">
        <f t="shared" si="276"/>
        <v>0</v>
      </c>
      <c r="AC1756">
        <v>1014.1</v>
      </c>
      <c r="AD1756" t="s">
        <v>1270</v>
      </c>
      <c r="AE1756" s="2">
        <f t="shared" si="277"/>
        <v>1</v>
      </c>
      <c r="AF1756" t="s">
        <v>2406</v>
      </c>
      <c r="AG1756" s="2">
        <f t="shared" si="278"/>
        <v>12</v>
      </c>
      <c r="AH1756" s="2">
        <f t="shared" si="279"/>
        <v>0</v>
      </c>
      <c r="AI1756" s="3">
        <v>140.00000000582079</v>
      </c>
      <c r="AJ1756" s="2">
        <v>0</v>
      </c>
      <c r="AK1756">
        <v>0</v>
      </c>
      <c r="AL1756">
        <v>0.5</v>
      </c>
      <c r="AM1756">
        <v>0</v>
      </c>
      <c r="AN1756" s="2">
        <f>IF((2*G1756+M1756-O1756+3*V1756+2*AB1756+2*AE1756+2*AH1756+3*AJ1756)&gt;=7,1,0)</f>
        <v>0</v>
      </c>
    </row>
    <row r="1757" spans="1:40" x14ac:dyDescent="0.25">
      <c r="A1757" t="s">
        <v>27</v>
      </c>
      <c r="B1757" s="1">
        <v>41976</v>
      </c>
      <c r="C1757" s="6">
        <f t="shared" si="270"/>
        <v>2014</v>
      </c>
      <c r="D1757">
        <v>71.599999999999994</v>
      </c>
      <c r="E1757">
        <v>66.2</v>
      </c>
      <c r="F1757">
        <v>69.900000000000006</v>
      </c>
      <c r="G1757" s="2">
        <f t="shared" si="271"/>
        <v>0</v>
      </c>
      <c r="H1757">
        <v>71.599999999999994</v>
      </c>
      <c r="I1757">
        <v>66.2</v>
      </c>
      <c r="J1757">
        <v>69.900000000000006</v>
      </c>
      <c r="K1757">
        <v>56.3</v>
      </c>
      <c r="L1757">
        <v>63</v>
      </c>
      <c r="M1757" s="2">
        <f t="shared" si="272"/>
        <v>1</v>
      </c>
      <c r="N1757">
        <v>0</v>
      </c>
      <c r="O1757" s="2">
        <f t="shared" si="273"/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40.299999999999997</v>
      </c>
      <c r="V1757" s="2">
        <f t="shared" si="274"/>
        <v>1</v>
      </c>
      <c r="W1757">
        <v>19.7</v>
      </c>
      <c r="X1757" s="2">
        <f t="shared" si="275"/>
        <v>1</v>
      </c>
      <c r="Y1757">
        <v>174</v>
      </c>
      <c r="Z1757" s="2" t="str">
        <f>CHOOSE(MATCH(Y1757,{0;11;80;111;161;191;241;281;341},1),"North","NorthEast","East","SouthEast","South","SouthWest","West","NorthWest","North")</f>
        <v>South</v>
      </c>
      <c r="AA1757" s="4">
        <f>CHOOSE(MATCH(Z1757,{"South";"SouthEast";"SouthWest";"North";"NorthEast";"East";"West";"NorthWest"},0),1,2,3,4,5,6,7,8)</f>
        <v>1</v>
      </c>
      <c r="AB1757" s="2">
        <f t="shared" si="276"/>
        <v>0</v>
      </c>
      <c r="AC1757">
        <v>1013.8</v>
      </c>
      <c r="AD1757" t="s">
        <v>1779</v>
      </c>
      <c r="AE1757" s="2">
        <f t="shared" si="277"/>
        <v>1</v>
      </c>
      <c r="AF1757" t="s">
        <v>2407</v>
      </c>
      <c r="AG1757" s="2">
        <f t="shared" si="278"/>
        <v>12</v>
      </c>
      <c r="AH1757" s="2">
        <f t="shared" si="279"/>
        <v>0</v>
      </c>
      <c r="AI1757" s="3">
        <v>374.99999999650748</v>
      </c>
      <c r="AJ1757" s="2">
        <v>1</v>
      </c>
      <c r="AK1757">
        <v>0</v>
      </c>
      <c r="AL1757">
        <v>1</v>
      </c>
      <c r="AM1757">
        <v>0</v>
      </c>
      <c r="AN1757" s="2">
        <f>IF((2*G1757+M1757-O1757+3*V1757+2*AB1757+2*AE1757+2*AH1757+3*AJ1757)&gt;=7,1,0)</f>
        <v>1</v>
      </c>
    </row>
    <row r="1758" spans="1:40" x14ac:dyDescent="0.25">
      <c r="A1758" t="s">
        <v>27</v>
      </c>
      <c r="B1758" s="1">
        <v>42021</v>
      </c>
      <c r="C1758" s="6">
        <f t="shared" si="270"/>
        <v>2015</v>
      </c>
      <c r="D1758">
        <v>59</v>
      </c>
      <c r="E1758">
        <v>45.6</v>
      </c>
      <c r="F1758">
        <v>53.1</v>
      </c>
      <c r="G1758" s="2">
        <f t="shared" si="271"/>
        <v>0</v>
      </c>
      <c r="H1758">
        <v>59</v>
      </c>
      <c r="I1758">
        <v>43.2</v>
      </c>
      <c r="J1758">
        <v>52.3</v>
      </c>
      <c r="K1758">
        <v>45.9</v>
      </c>
      <c r="L1758">
        <v>76.8</v>
      </c>
      <c r="M1758" s="2">
        <f t="shared" si="272"/>
        <v>0</v>
      </c>
      <c r="N1758">
        <v>0</v>
      </c>
      <c r="O1758" s="2">
        <f t="shared" si="273"/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13.6</v>
      </c>
      <c r="V1758" s="2">
        <f t="shared" si="274"/>
        <v>1</v>
      </c>
      <c r="W1758">
        <v>13.9</v>
      </c>
      <c r="X1758" s="2">
        <f t="shared" si="275"/>
        <v>0</v>
      </c>
      <c r="Y1758">
        <v>290.3</v>
      </c>
      <c r="Z1758" s="2" t="str">
        <f>CHOOSE(MATCH(Y1758,{0;11;80;111;161;191;241;281;341},1),"North","NorthEast","East","SouthEast","South","SouthWest","West","NorthWest","North")</f>
        <v>NorthWest</v>
      </c>
      <c r="AA1758" s="4">
        <f>CHOOSE(MATCH(Z1758,{"South";"SouthEast";"SouthWest";"North";"NorthEast";"East";"West";"NorthWest"},0),1,2,3,4,5,6,7,8)</f>
        <v>8</v>
      </c>
      <c r="AB1758" s="2">
        <f t="shared" si="276"/>
        <v>1</v>
      </c>
      <c r="AC1758">
        <v>1024.9000000000001</v>
      </c>
      <c r="AD1758" t="s">
        <v>1897</v>
      </c>
      <c r="AE1758" s="2">
        <f t="shared" si="277"/>
        <v>1</v>
      </c>
      <c r="AF1758" t="s">
        <v>2408</v>
      </c>
      <c r="AG1758" s="2">
        <f t="shared" si="278"/>
        <v>1</v>
      </c>
      <c r="AH1758" s="2">
        <f t="shared" si="279"/>
        <v>0</v>
      </c>
      <c r="AI1758" s="3">
        <v>235.00000000116421</v>
      </c>
      <c r="AJ1758" s="2">
        <v>0</v>
      </c>
      <c r="AK1758">
        <v>0</v>
      </c>
      <c r="AL1758">
        <v>2</v>
      </c>
      <c r="AM1758">
        <v>0</v>
      </c>
      <c r="AN1758" s="2">
        <f>IF((2*G1758+M1758-O1758+3*V1758+2*AB1758+2*AE1758+2*AH1758+3*AJ1758)&gt;=7,1,0)</f>
        <v>0</v>
      </c>
    </row>
    <row r="1759" spans="1:40" x14ac:dyDescent="0.25">
      <c r="A1759" t="s">
        <v>27</v>
      </c>
      <c r="B1759" s="1">
        <v>42024</v>
      </c>
      <c r="C1759" s="6">
        <f t="shared" si="270"/>
        <v>2015</v>
      </c>
      <c r="D1759">
        <v>66.2</v>
      </c>
      <c r="E1759">
        <v>57.1</v>
      </c>
      <c r="F1759">
        <v>60.6</v>
      </c>
      <c r="G1759" s="2">
        <f t="shared" si="271"/>
        <v>0</v>
      </c>
      <c r="H1759">
        <v>66.2</v>
      </c>
      <c r="I1759">
        <v>57.1</v>
      </c>
      <c r="J1759">
        <v>60.6</v>
      </c>
      <c r="K1759">
        <v>49.4</v>
      </c>
      <c r="L1759">
        <v>67</v>
      </c>
      <c r="M1759" s="2">
        <f t="shared" si="272"/>
        <v>0</v>
      </c>
      <c r="N1759">
        <v>0</v>
      </c>
      <c r="O1759" s="2">
        <f t="shared" si="273"/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45.8</v>
      </c>
      <c r="V1759" s="2">
        <f t="shared" si="274"/>
        <v>1</v>
      </c>
      <c r="W1759">
        <v>34.299999999999997</v>
      </c>
      <c r="X1759" s="2">
        <f t="shared" si="275"/>
        <v>1</v>
      </c>
      <c r="Y1759">
        <v>173.1</v>
      </c>
      <c r="Z1759" s="2" t="str">
        <f>CHOOSE(MATCH(Y1759,{0;11;80;111;161;191;241;281;341},1),"North","NorthEast","East","SouthEast","South","SouthWest","West","NorthWest","North")</f>
        <v>South</v>
      </c>
      <c r="AA1759" s="4">
        <f>CHOOSE(MATCH(Z1759,{"South";"SouthEast";"SouthWest";"North";"NorthEast";"East";"West";"NorthWest"},0),1,2,3,4,5,6,7,8)</f>
        <v>1</v>
      </c>
      <c r="AB1759" s="2">
        <f t="shared" si="276"/>
        <v>0</v>
      </c>
      <c r="AC1759">
        <v>1016.3</v>
      </c>
      <c r="AD1759" t="s">
        <v>1085</v>
      </c>
      <c r="AE1759" s="2">
        <f t="shared" si="277"/>
        <v>1</v>
      </c>
      <c r="AF1759" t="s">
        <v>2409</v>
      </c>
      <c r="AG1759" s="2">
        <f t="shared" si="278"/>
        <v>1</v>
      </c>
      <c r="AH1759" s="2">
        <f t="shared" si="279"/>
        <v>0</v>
      </c>
      <c r="AI1759" s="3">
        <v>148.00000000046569</v>
      </c>
      <c r="AJ1759" s="2">
        <v>0</v>
      </c>
      <c r="AK1759">
        <v>0</v>
      </c>
      <c r="AL1759">
        <v>1</v>
      </c>
      <c r="AM1759">
        <v>0</v>
      </c>
      <c r="AN1759" s="2">
        <f>IF((2*G1759+M1759-O1759+3*V1759+2*AB1759+2*AE1759+2*AH1759+3*AJ1759)&gt;=7,1,0)</f>
        <v>0</v>
      </c>
    </row>
    <row r="1760" spans="1:40" x14ac:dyDescent="0.25">
      <c r="A1760" t="s">
        <v>27</v>
      </c>
      <c r="B1760" s="1">
        <v>42024</v>
      </c>
      <c r="C1760" s="6">
        <f t="shared" si="270"/>
        <v>2015</v>
      </c>
      <c r="D1760">
        <v>66.2</v>
      </c>
      <c r="E1760">
        <v>57.1</v>
      </c>
      <c r="F1760">
        <v>60.6</v>
      </c>
      <c r="G1760" s="2">
        <f t="shared" si="271"/>
        <v>0</v>
      </c>
      <c r="H1760">
        <v>66.2</v>
      </c>
      <c r="I1760">
        <v>57.1</v>
      </c>
      <c r="J1760">
        <v>60.6</v>
      </c>
      <c r="K1760">
        <v>49.4</v>
      </c>
      <c r="L1760">
        <v>67</v>
      </c>
      <c r="M1760" s="2">
        <f t="shared" si="272"/>
        <v>0</v>
      </c>
      <c r="N1760">
        <v>0</v>
      </c>
      <c r="O1760" s="2">
        <f t="shared" si="273"/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45.8</v>
      </c>
      <c r="V1760" s="2">
        <f t="shared" si="274"/>
        <v>1</v>
      </c>
      <c r="W1760">
        <v>34.299999999999997</v>
      </c>
      <c r="X1760" s="2">
        <f t="shared" si="275"/>
        <v>1</v>
      </c>
      <c r="Y1760">
        <v>173.1</v>
      </c>
      <c r="Z1760" s="2" t="str">
        <f>CHOOSE(MATCH(Y1760,{0;11;80;111;161;191;241;281;341},1),"North","NorthEast","East","SouthEast","South","SouthWest","West","NorthWest","North")</f>
        <v>South</v>
      </c>
      <c r="AA1760" s="4">
        <f>CHOOSE(MATCH(Z1760,{"South";"SouthEast";"SouthWest";"North";"NorthEast";"East";"West";"NorthWest"},0),1,2,3,4,5,6,7,8)</f>
        <v>1</v>
      </c>
      <c r="AB1760" s="2">
        <f t="shared" si="276"/>
        <v>0</v>
      </c>
      <c r="AC1760">
        <v>1016.3</v>
      </c>
      <c r="AD1760" t="s">
        <v>2210</v>
      </c>
      <c r="AE1760" s="2">
        <f t="shared" si="277"/>
        <v>1</v>
      </c>
      <c r="AF1760" t="s">
        <v>2410</v>
      </c>
      <c r="AG1760" s="2">
        <f t="shared" si="278"/>
        <v>1</v>
      </c>
      <c r="AH1760" s="2">
        <f t="shared" si="279"/>
        <v>0</v>
      </c>
      <c r="AI1760" s="3">
        <v>110.00000000232831</v>
      </c>
      <c r="AJ1760" s="2">
        <v>0</v>
      </c>
      <c r="AK1760">
        <v>0</v>
      </c>
      <c r="AL1760">
        <v>2</v>
      </c>
      <c r="AM1760">
        <v>0</v>
      </c>
      <c r="AN1760" s="2">
        <f>IF((2*G1760+M1760-O1760+3*V1760+2*AB1760+2*AE1760+2*AH1760+3*AJ1760)&gt;=7,1,0)</f>
        <v>0</v>
      </c>
    </row>
    <row r="1761" spans="1:40" x14ac:dyDescent="0.25">
      <c r="A1761" t="s">
        <v>27</v>
      </c>
      <c r="B1761" s="1">
        <v>42027</v>
      </c>
      <c r="C1761" s="6">
        <f t="shared" si="270"/>
        <v>2015</v>
      </c>
      <c r="D1761">
        <v>68</v>
      </c>
      <c r="E1761">
        <v>55.4</v>
      </c>
      <c r="F1761">
        <v>63</v>
      </c>
      <c r="G1761" s="2">
        <f t="shared" si="271"/>
        <v>0</v>
      </c>
      <c r="H1761">
        <v>68</v>
      </c>
      <c r="I1761">
        <v>55.4</v>
      </c>
      <c r="J1761">
        <v>63</v>
      </c>
      <c r="K1761">
        <v>48.5</v>
      </c>
      <c r="L1761">
        <v>59.8</v>
      </c>
      <c r="M1761" s="2">
        <f t="shared" si="272"/>
        <v>1</v>
      </c>
      <c r="N1761">
        <v>0</v>
      </c>
      <c r="O1761" s="2">
        <f t="shared" si="273"/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51.9</v>
      </c>
      <c r="V1761" s="2">
        <f t="shared" si="274"/>
        <v>1</v>
      </c>
      <c r="W1761">
        <v>25.3</v>
      </c>
      <c r="X1761" s="2">
        <f t="shared" si="275"/>
        <v>1</v>
      </c>
      <c r="Y1761">
        <v>181.2</v>
      </c>
      <c r="Z1761" s="2" t="str">
        <f>CHOOSE(MATCH(Y1761,{0;11;80;111;161;191;241;281;341},1),"North","NorthEast","East","SouthEast","South","SouthWest","West","NorthWest","North")</f>
        <v>South</v>
      </c>
      <c r="AA1761" s="4">
        <f>CHOOSE(MATCH(Z1761,{"South";"SouthEast";"SouthWest";"North";"NorthEast";"East";"West";"NorthWest"},0),1,2,3,4,5,6,7,8)</f>
        <v>1</v>
      </c>
      <c r="AB1761" s="2">
        <f t="shared" si="276"/>
        <v>0</v>
      </c>
      <c r="AC1761">
        <v>1010.3</v>
      </c>
      <c r="AD1761" t="s">
        <v>2411</v>
      </c>
      <c r="AE1761" s="2">
        <f t="shared" si="277"/>
        <v>1</v>
      </c>
      <c r="AF1761" t="s">
        <v>2412</v>
      </c>
      <c r="AG1761" s="2">
        <f t="shared" si="278"/>
        <v>1</v>
      </c>
      <c r="AH1761" s="2">
        <f t="shared" si="279"/>
        <v>0</v>
      </c>
      <c r="AI1761" s="3">
        <v>121.0000000067521</v>
      </c>
      <c r="AJ1761" s="2">
        <v>0</v>
      </c>
      <c r="AK1761">
        <v>0</v>
      </c>
      <c r="AL1761">
        <v>1</v>
      </c>
      <c r="AM1761">
        <v>0</v>
      </c>
      <c r="AN1761" s="2">
        <f>IF((2*G1761+M1761-O1761+3*V1761+2*AB1761+2*AE1761+2*AH1761+3*AJ1761)&gt;=7,1,0)</f>
        <v>0</v>
      </c>
    </row>
    <row r="1762" spans="1:40" x14ac:dyDescent="0.25">
      <c r="A1762" t="s">
        <v>27</v>
      </c>
      <c r="B1762" s="1">
        <v>42040</v>
      </c>
      <c r="C1762" s="6">
        <f t="shared" si="270"/>
        <v>2015</v>
      </c>
      <c r="D1762">
        <v>66.2</v>
      </c>
      <c r="E1762">
        <v>57.2</v>
      </c>
      <c r="F1762">
        <v>61.1</v>
      </c>
      <c r="G1762" s="2">
        <f t="shared" si="271"/>
        <v>0</v>
      </c>
      <c r="H1762">
        <v>66.2</v>
      </c>
      <c r="I1762">
        <v>57.2</v>
      </c>
      <c r="J1762">
        <v>61.1</v>
      </c>
      <c r="K1762">
        <v>45</v>
      </c>
      <c r="L1762">
        <v>56.3</v>
      </c>
      <c r="M1762" s="2">
        <f t="shared" si="272"/>
        <v>1</v>
      </c>
      <c r="N1762">
        <v>0</v>
      </c>
      <c r="O1762" s="2">
        <f t="shared" si="273"/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43.8</v>
      </c>
      <c r="V1762" s="2">
        <f t="shared" si="274"/>
        <v>1</v>
      </c>
      <c r="W1762">
        <v>31.1</v>
      </c>
      <c r="X1762" s="2">
        <f t="shared" si="275"/>
        <v>1</v>
      </c>
      <c r="Y1762">
        <v>180.2</v>
      </c>
      <c r="Z1762" s="2" t="str">
        <f>CHOOSE(MATCH(Y1762,{0;11;80;111;161;191;241;281;341},1),"North","NorthEast","East","SouthEast","South","SouthWest","West","NorthWest","North")</f>
        <v>South</v>
      </c>
      <c r="AA1762" s="4">
        <f>CHOOSE(MATCH(Z1762,{"South";"SouthEast";"SouthWest";"North";"NorthEast";"East";"West";"NorthWest"},0),1,2,3,4,5,6,7,8)</f>
        <v>1</v>
      </c>
      <c r="AB1762" s="2">
        <f t="shared" si="276"/>
        <v>0</v>
      </c>
      <c r="AC1762">
        <v>1013.3</v>
      </c>
      <c r="AD1762" t="s">
        <v>2413</v>
      </c>
      <c r="AE1762" s="2">
        <f t="shared" si="277"/>
        <v>0</v>
      </c>
      <c r="AF1762" t="s">
        <v>2414</v>
      </c>
      <c r="AG1762" s="2">
        <f t="shared" si="278"/>
        <v>2</v>
      </c>
      <c r="AH1762" s="2">
        <f t="shared" si="279"/>
        <v>0</v>
      </c>
      <c r="AI1762" s="3">
        <v>1590.9999999997669</v>
      </c>
      <c r="AJ1762" s="2">
        <v>1</v>
      </c>
      <c r="AK1762">
        <v>0</v>
      </c>
      <c r="AL1762">
        <v>0.5</v>
      </c>
      <c r="AM1762">
        <v>0</v>
      </c>
      <c r="AN1762" s="2">
        <f>IF((2*G1762+M1762-O1762+3*V1762+2*AB1762+2*AE1762+2*AH1762+3*AJ1762)&gt;=7,1,0)</f>
        <v>0</v>
      </c>
    </row>
    <row r="1763" spans="1:40" x14ac:dyDescent="0.25">
      <c r="A1763" t="s">
        <v>27</v>
      </c>
      <c r="B1763" s="1">
        <v>42053</v>
      </c>
      <c r="C1763" s="6">
        <f t="shared" si="270"/>
        <v>2015</v>
      </c>
      <c r="D1763">
        <v>48.2</v>
      </c>
      <c r="E1763">
        <v>39.200000000000003</v>
      </c>
      <c r="F1763">
        <v>43.5</v>
      </c>
      <c r="G1763" s="2">
        <f t="shared" si="271"/>
        <v>0</v>
      </c>
      <c r="H1763">
        <v>40.700000000000003</v>
      </c>
      <c r="I1763">
        <v>28.7</v>
      </c>
      <c r="J1763">
        <v>34.1</v>
      </c>
      <c r="K1763">
        <v>30.9</v>
      </c>
      <c r="L1763">
        <v>61.7</v>
      </c>
      <c r="M1763" s="2">
        <f t="shared" si="272"/>
        <v>1</v>
      </c>
      <c r="N1763">
        <v>3.9E-2</v>
      </c>
      <c r="O1763" s="2">
        <f t="shared" si="273"/>
        <v>0</v>
      </c>
      <c r="P1763">
        <v>100</v>
      </c>
      <c r="Q1763">
        <v>4.17</v>
      </c>
      <c r="R1763" t="s">
        <v>182</v>
      </c>
      <c r="S1763">
        <v>0</v>
      </c>
      <c r="T1763">
        <v>0</v>
      </c>
      <c r="U1763">
        <v>39.1</v>
      </c>
      <c r="V1763" s="2">
        <f t="shared" si="274"/>
        <v>1</v>
      </c>
      <c r="W1763">
        <v>27.7</v>
      </c>
      <c r="X1763" s="2">
        <f t="shared" si="275"/>
        <v>1</v>
      </c>
      <c r="Y1763">
        <v>349.5</v>
      </c>
      <c r="Z1763" s="2" t="str">
        <f>CHOOSE(MATCH(Y1763,{0;11;80;111;161;191;241;281;341},1),"North","NorthEast","East","SouthEast","South","SouthWest","West","NorthWest","North")</f>
        <v>North</v>
      </c>
      <c r="AA1763" s="4">
        <f>CHOOSE(MATCH(Z1763,{"South";"SouthEast";"SouthWest";"North";"NorthEast";"East";"West";"NorthWest"},0),1,2,3,4,5,6,7,8)</f>
        <v>4</v>
      </c>
      <c r="AB1763" s="2">
        <f t="shared" si="276"/>
        <v>1</v>
      </c>
      <c r="AC1763">
        <v>1025.7</v>
      </c>
      <c r="AD1763" t="s">
        <v>1885</v>
      </c>
      <c r="AE1763" s="2">
        <f t="shared" si="277"/>
        <v>1</v>
      </c>
      <c r="AF1763" t="s">
        <v>2415</v>
      </c>
      <c r="AG1763" s="2">
        <f t="shared" si="278"/>
        <v>2</v>
      </c>
      <c r="AH1763" s="2">
        <f t="shared" si="279"/>
        <v>0</v>
      </c>
      <c r="AI1763" s="3">
        <v>139.99999999534339</v>
      </c>
      <c r="AJ1763" s="2">
        <v>0</v>
      </c>
      <c r="AK1763">
        <v>0</v>
      </c>
      <c r="AL1763">
        <v>1</v>
      </c>
      <c r="AM1763">
        <v>0</v>
      </c>
      <c r="AN1763" s="2">
        <f>IF((2*G1763+M1763-O1763+3*V1763+2*AB1763+2*AE1763+2*AH1763+3*AJ1763)&gt;=7,1,0)</f>
        <v>1</v>
      </c>
    </row>
    <row r="1764" spans="1:40" x14ac:dyDescent="0.25">
      <c r="A1764" t="s">
        <v>27</v>
      </c>
      <c r="B1764" s="1">
        <v>42061</v>
      </c>
      <c r="C1764" s="6">
        <f t="shared" si="270"/>
        <v>2015</v>
      </c>
      <c r="D1764">
        <v>66.2</v>
      </c>
      <c r="E1764">
        <v>51.8</v>
      </c>
      <c r="F1764">
        <v>59.2</v>
      </c>
      <c r="G1764" s="2">
        <f t="shared" si="271"/>
        <v>0</v>
      </c>
      <c r="H1764">
        <v>66.2</v>
      </c>
      <c r="I1764">
        <v>51.8</v>
      </c>
      <c r="J1764">
        <v>59.2</v>
      </c>
      <c r="K1764">
        <v>47.2</v>
      </c>
      <c r="L1764">
        <v>65.5</v>
      </c>
      <c r="M1764" s="2">
        <f t="shared" si="272"/>
        <v>1</v>
      </c>
      <c r="N1764">
        <v>0</v>
      </c>
      <c r="O1764" s="2">
        <f t="shared" si="273"/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29.3</v>
      </c>
      <c r="V1764" s="2">
        <f t="shared" si="274"/>
        <v>1</v>
      </c>
      <c r="W1764">
        <v>21.9</v>
      </c>
      <c r="X1764" s="2">
        <f t="shared" si="275"/>
        <v>1</v>
      </c>
      <c r="Y1764">
        <v>168.3</v>
      </c>
      <c r="Z1764" s="2" t="str">
        <f>CHOOSE(MATCH(Y1764,{0;11;80;111;161;191;241;281;341},1),"North","NorthEast","East","SouthEast","South","SouthWest","West","NorthWest","North")</f>
        <v>South</v>
      </c>
      <c r="AA1764" s="4">
        <f>CHOOSE(MATCH(Z1764,{"South";"SouthEast";"SouthWest";"North";"NorthEast";"East";"West";"NorthWest"},0),1,2,3,4,5,6,7,8)</f>
        <v>1</v>
      </c>
      <c r="AB1764" s="2">
        <f t="shared" si="276"/>
        <v>0</v>
      </c>
      <c r="AC1764">
        <v>1016.3</v>
      </c>
      <c r="AD1764" t="s">
        <v>2416</v>
      </c>
      <c r="AE1764" s="2">
        <f t="shared" si="277"/>
        <v>1</v>
      </c>
      <c r="AF1764" t="s">
        <v>2417</v>
      </c>
      <c r="AG1764" s="2">
        <f t="shared" si="278"/>
        <v>2</v>
      </c>
      <c r="AH1764" s="2">
        <f t="shared" si="279"/>
        <v>0</v>
      </c>
      <c r="AI1764" s="3">
        <v>210.00000000349249</v>
      </c>
      <c r="AJ1764" s="2">
        <v>0</v>
      </c>
      <c r="AK1764">
        <v>1</v>
      </c>
      <c r="AL1764">
        <v>0</v>
      </c>
      <c r="AM1764">
        <v>0</v>
      </c>
      <c r="AN1764" s="2">
        <f>IF((2*G1764+M1764-O1764+3*V1764+2*AB1764+2*AE1764+2*AH1764+3*AJ1764)&gt;=7,1,0)</f>
        <v>0</v>
      </c>
    </row>
    <row r="1765" spans="1:40" x14ac:dyDescent="0.25">
      <c r="A1765" t="s">
        <v>27</v>
      </c>
      <c r="B1765" s="1">
        <v>42082</v>
      </c>
      <c r="C1765" s="6">
        <f t="shared" si="270"/>
        <v>2015</v>
      </c>
      <c r="D1765">
        <v>55.4</v>
      </c>
      <c r="E1765">
        <v>44.6</v>
      </c>
      <c r="F1765">
        <v>52.3</v>
      </c>
      <c r="G1765" s="2">
        <f t="shared" si="271"/>
        <v>0</v>
      </c>
      <c r="H1765">
        <v>55.4</v>
      </c>
      <c r="I1765">
        <v>40.200000000000003</v>
      </c>
      <c r="J1765">
        <v>51.6</v>
      </c>
      <c r="K1765">
        <v>39.700000000000003</v>
      </c>
      <c r="L1765">
        <v>62.6</v>
      </c>
      <c r="M1765" s="2">
        <f t="shared" si="272"/>
        <v>1</v>
      </c>
      <c r="N1765">
        <v>0</v>
      </c>
      <c r="O1765" s="2">
        <f t="shared" si="273"/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28</v>
      </c>
      <c r="V1765" s="2">
        <f t="shared" si="274"/>
        <v>1</v>
      </c>
      <c r="W1765">
        <v>17.2</v>
      </c>
      <c r="X1765" s="2">
        <f t="shared" si="275"/>
        <v>1</v>
      </c>
      <c r="Y1765">
        <v>343.2</v>
      </c>
      <c r="Z1765" s="2" t="str">
        <f>CHOOSE(MATCH(Y1765,{0;11;80;111;161;191;241;281;341},1),"North","NorthEast","East","SouthEast","South","SouthWest","West","NorthWest","North")</f>
        <v>North</v>
      </c>
      <c r="AA1765" s="4">
        <f>CHOOSE(MATCH(Z1765,{"South";"SouthEast";"SouthWest";"North";"NorthEast";"East";"West";"NorthWest"},0),1,2,3,4,5,6,7,8)</f>
        <v>4</v>
      </c>
      <c r="AB1765" s="2">
        <f t="shared" si="276"/>
        <v>1</v>
      </c>
      <c r="AC1765">
        <v>1019.8</v>
      </c>
      <c r="AD1765" t="s">
        <v>2418</v>
      </c>
      <c r="AE1765" s="2">
        <f t="shared" si="277"/>
        <v>0</v>
      </c>
      <c r="AF1765" t="s">
        <v>2419</v>
      </c>
      <c r="AG1765" s="2">
        <f t="shared" si="278"/>
        <v>3</v>
      </c>
      <c r="AH1765" s="2">
        <f t="shared" si="279"/>
        <v>0</v>
      </c>
      <c r="AI1765" s="3">
        <v>55.999999993946403</v>
      </c>
      <c r="AJ1765" s="2">
        <v>0</v>
      </c>
      <c r="AK1765">
        <v>0</v>
      </c>
      <c r="AL1765">
        <v>0.5</v>
      </c>
      <c r="AM1765">
        <v>0</v>
      </c>
      <c r="AN1765" s="2">
        <f>IF((2*G1765+M1765-O1765+3*V1765+2*AB1765+2*AE1765+2*AH1765+3*AJ1765)&gt;=7,1,0)</f>
        <v>0</v>
      </c>
    </row>
    <row r="1766" spans="1:40" x14ac:dyDescent="0.25">
      <c r="A1766" t="s">
        <v>27</v>
      </c>
      <c r="B1766" s="1">
        <v>42104</v>
      </c>
      <c r="C1766" s="6">
        <f t="shared" si="270"/>
        <v>2015</v>
      </c>
      <c r="D1766">
        <v>55.4</v>
      </c>
      <c r="E1766">
        <v>50</v>
      </c>
      <c r="F1766">
        <v>53.8</v>
      </c>
      <c r="G1766" s="2">
        <f t="shared" si="271"/>
        <v>0</v>
      </c>
      <c r="H1766">
        <v>55.4</v>
      </c>
      <c r="I1766">
        <v>50</v>
      </c>
      <c r="J1766">
        <v>53.8</v>
      </c>
      <c r="K1766">
        <v>36.700000000000003</v>
      </c>
      <c r="L1766">
        <v>53</v>
      </c>
      <c r="M1766" s="2">
        <f t="shared" si="272"/>
        <v>1</v>
      </c>
      <c r="N1766">
        <v>0.159</v>
      </c>
      <c r="O1766" s="2">
        <f t="shared" si="273"/>
        <v>0</v>
      </c>
      <c r="P1766">
        <v>100</v>
      </c>
      <c r="Q1766">
        <v>4.17</v>
      </c>
      <c r="R1766" t="s">
        <v>182</v>
      </c>
      <c r="S1766">
        <v>0</v>
      </c>
      <c r="T1766">
        <v>0</v>
      </c>
      <c r="U1766">
        <v>61.3</v>
      </c>
      <c r="V1766" s="2">
        <f t="shared" si="274"/>
        <v>1</v>
      </c>
      <c r="W1766">
        <v>41.4</v>
      </c>
      <c r="X1766" s="2">
        <f t="shared" si="275"/>
        <v>1</v>
      </c>
      <c r="Y1766">
        <v>338.1</v>
      </c>
      <c r="Z1766" s="2" t="str">
        <f>CHOOSE(MATCH(Y1766,{0;11;80;111;161;191;241;281;341},1),"North","NorthEast","East","SouthEast","South","SouthWest","West","NorthWest","North")</f>
        <v>NorthWest</v>
      </c>
      <c r="AA1766" s="4">
        <f>CHOOSE(MATCH(Z1766,{"South";"SouthEast";"SouthWest";"North";"NorthEast";"East";"West";"NorthWest"},0),1,2,3,4,5,6,7,8)</f>
        <v>8</v>
      </c>
      <c r="AB1766" s="2">
        <f t="shared" si="276"/>
        <v>1</v>
      </c>
      <c r="AC1766">
        <v>1018.7</v>
      </c>
      <c r="AD1766" t="s">
        <v>2420</v>
      </c>
      <c r="AE1766" s="2">
        <f t="shared" si="277"/>
        <v>0</v>
      </c>
      <c r="AF1766" t="s">
        <v>2421</v>
      </c>
      <c r="AG1766" s="2">
        <f t="shared" si="278"/>
        <v>4</v>
      </c>
      <c r="AH1766" s="2">
        <f t="shared" si="279"/>
        <v>0</v>
      </c>
      <c r="AI1766" s="3">
        <v>640.00000000116415</v>
      </c>
      <c r="AJ1766" s="2">
        <v>1</v>
      </c>
      <c r="AK1766">
        <v>0</v>
      </c>
      <c r="AL1766">
        <v>15</v>
      </c>
      <c r="AM1766">
        <v>0</v>
      </c>
      <c r="AN1766" s="2">
        <f>IF((2*G1766+M1766-O1766+3*V1766+2*AB1766+2*AE1766+2*AH1766+3*AJ1766)&gt;=7,1,0)</f>
        <v>1</v>
      </c>
    </row>
    <row r="1767" spans="1:40" x14ac:dyDescent="0.25">
      <c r="A1767" t="s">
        <v>27</v>
      </c>
      <c r="B1767" s="1">
        <v>42107</v>
      </c>
      <c r="C1767" s="6">
        <f t="shared" si="270"/>
        <v>2015</v>
      </c>
      <c r="D1767">
        <v>64.400000000000006</v>
      </c>
      <c r="E1767">
        <v>46.8</v>
      </c>
      <c r="F1767">
        <v>57.1</v>
      </c>
      <c r="G1767" s="2">
        <f t="shared" si="271"/>
        <v>0</v>
      </c>
      <c r="H1767">
        <v>64.400000000000006</v>
      </c>
      <c r="I1767">
        <v>44.3</v>
      </c>
      <c r="J1767">
        <v>56.6</v>
      </c>
      <c r="K1767">
        <v>50.7</v>
      </c>
      <c r="L1767">
        <v>79.5</v>
      </c>
      <c r="M1767" s="2">
        <f t="shared" si="272"/>
        <v>0</v>
      </c>
      <c r="N1767">
        <v>0</v>
      </c>
      <c r="O1767" s="2">
        <f t="shared" si="273"/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20.8</v>
      </c>
      <c r="V1767" s="2">
        <f t="shared" si="274"/>
        <v>1</v>
      </c>
      <c r="W1767">
        <v>11.4</v>
      </c>
      <c r="X1767" s="2">
        <f t="shared" si="275"/>
        <v>0</v>
      </c>
      <c r="Y1767">
        <v>272.89999999999998</v>
      </c>
      <c r="Z1767" s="2" t="str">
        <f>CHOOSE(MATCH(Y1767,{0;11;80;111;161;191;241;281;341},1),"North","NorthEast","East","SouthEast","South","SouthWest","West","NorthWest","North")</f>
        <v>West</v>
      </c>
      <c r="AA1767" s="4">
        <f>CHOOSE(MATCH(Z1767,{"South";"SouthEast";"SouthWest";"North";"NorthEast";"East";"West";"NorthWest"},0),1,2,3,4,5,6,7,8)</f>
        <v>7</v>
      </c>
      <c r="AB1767" s="2">
        <f t="shared" si="276"/>
        <v>0</v>
      </c>
      <c r="AC1767">
        <v>1023.1</v>
      </c>
      <c r="AD1767" t="s">
        <v>2422</v>
      </c>
      <c r="AE1767" s="2">
        <f t="shared" si="277"/>
        <v>1</v>
      </c>
      <c r="AF1767" t="s">
        <v>2423</v>
      </c>
      <c r="AG1767" s="2">
        <f t="shared" si="278"/>
        <v>4</v>
      </c>
      <c r="AH1767" s="2">
        <f t="shared" si="279"/>
        <v>0</v>
      </c>
      <c r="AI1767" s="3">
        <v>148.00000000046569</v>
      </c>
      <c r="AJ1767" s="2">
        <v>0</v>
      </c>
      <c r="AK1767">
        <v>0</v>
      </c>
      <c r="AL1767">
        <v>3</v>
      </c>
      <c r="AM1767">
        <v>0</v>
      </c>
      <c r="AN1767" s="2">
        <f>IF((2*G1767+M1767-O1767+3*V1767+2*AB1767+2*AE1767+2*AH1767+3*AJ1767)&gt;=7,1,0)</f>
        <v>0</v>
      </c>
    </row>
    <row r="1768" spans="1:40" x14ac:dyDescent="0.25">
      <c r="A1768" t="s">
        <v>27</v>
      </c>
      <c r="B1768" s="1">
        <v>42107</v>
      </c>
      <c r="C1768" s="6">
        <f t="shared" si="270"/>
        <v>2015</v>
      </c>
      <c r="D1768">
        <v>64.400000000000006</v>
      </c>
      <c r="E1768">
        <v>46.8</v>
      </c>
      <c r="F1768">
        <v>57.1</v>
      </c>
      <c r="G1768" s="2">
        <f t="shared" si="271"/>
        <v>0</v>
      </c>
      <c r="H1768">
        <v>64.400000000000006</v>
      </c>
      <c r="I1768">
        <v>44.3</v>
      </c>
      <c r="J1768">
        <v>56.6</v>
      </c>
      <c r="K1768">
        <v>50.7</v>
      </c>
      <c r="L1768">
        <v>79.5</v>
      </c>
      <c r="M1768" s="2">
        <f t="shared" si="272"/>
        <v>0</v>
      </c>
      <c r="N1768">
        <v>0</v>
      </c>
      <c r="O1768" s="2">
        <f t="shared" si="273"/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20.8</v>
      </c>
      <c r="V1768" s="2">
        <f t="shared" si="274"/>
        <v>1</v>
      </c>
      <c r="W1768">
        <v>11.4</v>
      </c>
      <c r="X1768" s="2">
        <f t="shared" si="275"/>
        <v>0</v>
      </c>
      <c r="Y1768">
        <v>272.89999999999998</v>
      </c>
      <c r="Z1768" s="2" t="str">
        <f>CHOOSE(MATCH(Y1768,{0;11;80;111;161;191;241;281;341},1),"North","NorthEast","East","SouthEast","South","SouthWest","West","NorthWest","North")</f>
        <v>West</v>
      </c>
      <c r="AA1768" s="4">
        <f>CHOOSE(MATCH(Z1768,{"South";"SouthEast";"SouthWest";"North";"NorthEast";"East";"West";"NorthWest"},0),1,2,3,4,5,6,7,8)</f>
        <v>7</v>
      </c>
      <c r="AB1768" s="2">
        <f t="shared" si="276"/>
        <v>0</v>
      </c>
      <c r="AC1768">
        <v>1023.1</v>
      </c>
      <c r="AD1768" t="s">
        <v>1119</v>
      </c>
      <c r="AE1768" s="2">
        <f t="shared" si="277"/>
        <v>0</v>
      </c>
      <c r="AF1768" t="s">
        <v>2424</v>
      </c>
      <c r="AG1768" s="2">
        <f t="shared" si="278"/>
        <v>4</v>
      </c>
      <c r="AH1768" s="2">
        <f t="shared" si="279"/>
        <v>0</v>
      </c>
      <c r="AI1768" s="3">
        <v>1949.999999996508</v>
      </c>
      <c r="AJ1768" s="2">
        <v>1</v>
      </c>
      <c r="AK1768">
        <v>0</v>
      </c>
      <c r="AL1768">
        <v>30</v>
      </c>
      <c r="AM1768">
        <v>0</v>
      </c>
      <c r="AN1768" s="2">
        <f>IF((2*G1768+M1768-O1768+3*V1768+2*AB1768+2*AE1768+2*AH1768+3*AJ1768)&gt;=7,1,0)</f>
        <v>0</v>
      </c>
    </row>
    <row r="1769" spans="1:40" x14ac:dyDescent="0.25">
      <c r="A1769" t="s">
        <v>27</v>
      </c>
      <c r="B1769" s="1">
        <v>42109</v>
      </c>
      <c r="C1769" s="6">
        <f t="shared" si="270"/>
        <v>2015</v>
      </c>
      <c r="D1769">
        <v>66.2</v>
      </c>
      <c r="E1769">
        <v>48.2</v>
      </c>
      <c r="F1769">
        <v>59</v>
      </c>
      <c r="G1769" s="2">
        <f t="shared" si="271"/>
        <v>0</v>
      </c>
      <c r="H1769">
        <v>66.2</v>
      </c>
      <c r="I1769">
        <v>44.1</v>
      </c>
      <c r="J1769">
        <v>58.5</v>
      </c>
      <c r="K1769">
        <v>51.1</v>
      </c>
      <c r="L1769">
        <v>76.2</v>
      </c>
      <c r="M1769" s="2">
        <f t="shared" si="272"/>
        <v>0</v>
      </c>
      <c r="N1769">
        <v>0</v>
      </c>
      <c r="O1769" s="2">
        <f t="shared" si="273"/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26.4</v>
      </c>
      <c r="V1769" s="2">
        <f t="shared" si="274"/>
        <v>1</v>
      </c>
      <c r="W1769">
        <v>11.4</v>
      </c>
      <c r="X1769" s="2">
        <f t="shared" si="275"/>
        <v>0</v>
      </c>
      <c r="Y1769">
        <v>269.2</v>
      </c>
      <c r="Z1769" s="2" t="str">
        <f>CHOOSE(MATCH(Y1769,{0;11;80;111;161;191;241;281;341},1),"North","NorthEast","East","SouthEast","South","SouthWest","West","NorthWest","North")</f>
        <v>West</v>
      </c>
      <c r="AA1769" s="4">
        <f>CHOOSE(MATCH(Z1769,{"South";"SouthEast";"SouthWest";"North";"NorthEast";"East";"West";"NorthWest"},0),1,2,3,4,5,6,7,8)</f>
        <v>7</v>
      </c>
      <c r="AB1769" s="2">
        <f t="shared" si="276"/>
        <v>0</v>
      </c>
      <c r="AC1769">
        <v>1018.7</v>
      </c>
      <c r="AD1769" t="s">
        <v>1138</v>
      </c>
      <c r="AE1769" s="2">
        <f t="shared" si="277"/>
        <v>1</v>
      </c>
      <c r="AF1769" t="s">
        <v>2425</v>
      </c>
      <c r="AG1769" s="2">
        <f t="shared" si="278"/>
        <v>4</v>
      </c>
      <c r="AH1769" s="2">
        <f t="shared" si="279"/>
        <v>0</v>
      </c>
      <c r="AI1769" s="3">
        <v>240.9999999997672</v>
      </c>
      <c r="AJ1769" s="2">
        <v>0</v>
      </c>
      <c r="AK1769">
        <v>0</v>
      </c>
      <c r="AL1769">
        <v>1</v>
      </c>
      <c r="AM1769">
        <v>0</v>
      </c>
      <c r="AN1769" s="2">
        <f>IF((2*G1769+M1769-O1769+3*V1769+2*AB1769+2*AE1769+2*AH1769+3*AJ1769)&gt;=7,1,0)</f>
        <v>0</v>
      </c>
    </row>
    <row r="1770" spans="1:40" x14ac:dyDescent="0.25">
      <c r="A1770" t="s">
        <v>27</v>
      </c>
      <c r="B1770" s="1">
        <v>42109</v>
      </c>
      <c r="C1770" s="6">
        <f t="shared" si="270"/>
        <v>2015</v>
      </c>
      <c r="D1770">
        <v>66.2</v>
      </c>
      <c r="E1770">
        <v>48.2</v>
      </c>
      <c r="F1770">
        <v>59</v>
      </c>
      <c r="G1770" s="2">
        <f t="shared" si="271"/>
        <v>0</v>
      </c>
      <c r="H1770">
        <v>66.2</v>
      </c>
      <c r="I1770">
        <v>44.1</v>
      </c>
      <c r="J1770">
        <v>58.5</v>
      </c>
      <c r="K1770">
        <v>51.1</v>
      </c>
      <c r="L1770">
        <v>76.2</v>
      </c>
      <c r="M1770" s="2">
        <f t="shared" si="272"/>
        <v>0</v>
      </c>
      <c r="N1770">
        <v>0</v>
      </c>
      <c r="O1770" s="2">
        <f t="shared" si="273"/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26.4</v>
      </c>
      <c r="V1770" s="2">
        <f t="shared" si="274"/>
        <v>1</v>
      </c>
      <c r="W1770">
        <v>11.4</v>
      </c>
      <c r="X1770" s="2">
        <f t="shared" si="275"/>
        <v>0</v>
      </c>
      <c r="Y1770">
        <v>269.2</v>
      </c>
      <c r="Z1770" s="2" t="str">
        <f>CHOOSE(MATCH(Y1770,{0;11;80;111;161;191;241;281;341},1),"North","NorthEast","East","SouthEast","South","SouthWest","West","NorthWest","North")</f>
        <v>West</v>
      </c>
      <c r="AA1770" s="4">
        <f>CHOOSE(MATCH(Z1770,{"South";"SouthEast";"SouthWest";"North";"NorthEast";"East";"West";"NorthWest"},0),1,2,3,4,5,6,7,8)</f>
        <v>7</v>
      </c>
      <c r="AB1770" s="2">
        <f t="shared" si="276"/>
        <v>0</v>
      </c>
      <c r="AC1770">
        <v>1018.7</v>
      </c>
      <c r="AD1770" t="s">
        <v>1207</v>
      </c>
      <c r="AE1770" s="2">
        <f t="shared" si="277"/>
        <v>1</v>
      </c>
      <c r="AF1770" t="s">
        <v>2426</v>
      </c>
      <c r="AG1770" s="2">
        <f t="shared" si="278"/>
        <v>4</v>
      </c>
      <c r="AH1770" s="2">
        <f t="shared" si="279"/>
        <v>0</v>
      </c>
      <c r="AI1770" s="3">
        <v>169.99999999883579</v>
      </c>
      <c r="AJ1770" s="2">
        <v>0</v>
      </c>
      <c r="AK1770">
        <v>0</v>
      </c>
      <c r="AL1770">
        <v>0.5</v>
      </c>
      <c r="AM1770">
        <v>0</v>
      </c>
      <c r="AN1770" s="2">
        <f>IF((2*G1770+M1770-O1770+3*V1770+2*AB1770+2*AE1770+2*AH1770+3*AJ1770)&gt;=7,1,0)</f>
        <v>0</v>
      </c>
    </row>
    <row r="1771" spans="1:40" x14ac:dyDescent="0.25">
      <c r="A1771" t="s">
        <v>27</v>
      </c>
      <c r="B1771" s="1">
        <v>42109</v>
      </c>
      <c r="C1771" s="6">
        <f t="shared" si="270"/>
        <v>2015</v>
      </c>
      <c r="D1771">
        <v>66.2</v>
      </c>
      <c r="E1771">
        <v>48.2</v>
      </c>
      <c r="F1771">
        <v>59</v>
      </c>
      <c r="G1771" s="2">
        <f t="shared" si="271"/>
        <v>0</v>
      </c>
      <c r="H1771">
        <v>66.2</v>
      </c>
      <c r="I1771">
        <v>44.1</v>
      </c>
      <c r="J1771">
        <v>58.5</v>
      </c>
      <c r="K1771">
        <v>51.1</v>
      </c>
      <c r="L1771">
        <v>76.2</v>
      </c>
      <c r="M1771" s="2">
        <f t="shared" si="272"/>
        <v>0</v>
      </c>
      <c r="N1771">
        <v>0</v>
      </c>
      <c r="O1771" s="2">
        <f t="shared" si="273"/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26.4</v>
      </c>
      <c r="V1771" s="2">
        <f t="shared" si="274"/>
        <v>1</v>
      </c>
      <c r="W1771">
        <v>11.4</v>
      </c>
      <c r="X1771" s="2">
        <f t="shared" si="275"/>
        <v>0</v>
      </c>
      <c r="Y1771">
        <v>269.2</v>
      </c>
      <c r="Z1771" s="2" t="str">
        <f>CHOOSE(MATCH(Y1771,{0;11;80;111;161;191;241;281;341},1),"North","NorthEast","East","SouthEast","South","SouthWest","West","NorthWest","North")</f>
        <v>West</v>
      </c>
      <c r="AA1771" s="4">
        <f>CHOOSE(MATCH(Z1771,{"South";"SouthEast";"SouthWest";"North";"NorthEast";"East";"West";"NorthWest"},0),1,2,3,4,5,6,7,8)</f>
        <v>7</v>
      </c>
      <c r="AB1771" s="2">
        <f t="shared" si="276"/>
        <v>0</v>
      </c>
      <c r="AC1771">
        <v>1018.7</v>
      </c>
      <c r="AD1771" t="s">
        <v>1748</v>
      </c>
      <c r="AE1771" s="2">
        <f t="shared" si="277"/>
        <v>1</v>
      </c>
      <c r="AF1771" t="s">
        <v>2427</v>
      </c>
      <c r="AG1771" s="2">
        <f t="shared" si="278"/>
        <v>4</v>
      </c>
      <c r="AH1771" s="2">
        <f t="shared" si="279"/>
        <v>0</v>
      </c>
      <c r="AI1771" s="3">
        <v>1769.999999996508</v>
      </c>
      <c r="AJ1771" s="2">
        <v>1</v>
      </c>
      <c r="AK1771">
        <v>0</v>
      </c>
      <c r="AL1771">
        <v>10</v>
      </c>
      <c r="AM1771">
        <v>0</v>
      </c>
      <c r="AN1771" s="2">
        <f>IF((2*G1771+M1771-O1771+3*V1771+2*AB1771+2*AE1771+2*AH1771+3*AJ1771)&gt;=7,1,0)</f>
        <v>1</v>
      </c>
    </row>
    <row r="1772" spans="1:40" x14ac:dyDescent="0.25">
      <c r="A1772" t="s">
        <v>27</v>
      </c>
      <c r="B1772" s="1">
        <v>42110</v>
      </c>
      <c r="C1772" s="6">
        <f t="shared" si="270"/>
        <v>2015</v>
      </c>
      <c r="D1772">
        <v>68</v>
      </c>
      <c r="E1772">
        <v>51.8</v>
      </c>
      <c r="F1772">
        <v>60.1</v>
      </c>
      <c r="G1772" s="2">
        <f t="shared" si="271"/>
        <v>0</v>
      </c>
      <c r="H1772">
        <v>68</v>
      </c>
      <c r="I1772">
        <v>51.8</v>
      </c>
      <c r="J1772">
        <v>60.1</v>
      </c>
      <c r="K1772">
        <v>53.5</v>
      </c>
      <c r="L1772">
        <v>80</v>
      </c>
      <c r="M1772" s="2">
        <f t="shared" si="272"/>
        <v>0</v>
      </c>
      <c r="N1772">
        <v>0</v>
      </c>
      <c r="O1772" s="2">
        <f t="shared" si="273"/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15.2</v>
      </c>
      <c r="V1772" s="2">
        <f t="shared" si="274"/>
        <v>1</v>
      </c>
      <c r="W1772">
        <v>6.9</v>
      </c>
      <c r="X1772" s="2">
        <f t="shared" si="275"/>
        <v>0</v>
      </c>
      <c r="Y1772">
        <v>116.2</v>
      </c>
      <c r="Z1772" s="2" t="str">
        <f>CHOOSE(MATCH(Y1772,{0;11;80;111;161;191;241;281;341},1),"North","NorthEast","East","SouthEast","South","SouthWest","West","NorthWest","North")</f>
        <v>SouthEast</v>
      </c>
      <c r="AA1772" s="4">
        <f>CHOOSE(MATCH(Z1772,{"South";"SouthEast";"SouthWest";"North";"NorthEast";"East";"West";"NorthWest"},0),1,2,3,4,5,6,7,8)</f>
        <v>2</v>
      </c>
      <c r="AB1772" s="2">
        <f t="shared" si="276"/>
        <v>0</v>
      </c>
      <c r="AC1772">
        <v>1022</v>
      </c>
      <c r="AD1772" t="s">
        <v>1254</v>
      </c>
      <c r="AE1772" s="2">
        <f t="shared" si="277"/>
        <v>1</v>
      </c>
      <c r="AF1772" t="s">
        <v>2428</v>
      </c>
      <c r="AG1772" s="2">
        <f t="shared" si="278"/>
        <v>4</v>
      </c>
      <c r="AH1772" s="2">
        <f t="shared" si="279"/>
        <v>0</v>
      </c>
      <c r="AI1772" s="3">
        <v>229.99999999534339</v>
      </c>
      <c r="AJ1772" s="2">
        <v>0</v>
      </c>
      <c r="AK1772">
        <v>0</v>
      </c>
      <c r="AL1772">
        <v>1</v>
      </c>
      <c r="AM1772">
        <v>0</v>
      </c>
      <c r="AN1772" s="2">
        <f>IF((2*G1772+M1772-O1772+3*V1772+2*AB1772+2*AE1772+2*AH1772+3*AJ1772)&gt;=7,1,0)</f>
        <v>0</v>
      </c>
    </row>
    <row r="1773" spans="1:40" x14ac:dyDescent="0.25">
      <c r="A1773" t="s">
        <v>27</v>
      </c>
      <c r="B1773" s="1">
        <v>42110</v>
      </c>
      <c r="C1773" s="6">
        <f t="shared" si="270"/>
        <v>2015</v>
      </c>
      <c r="D1773">
        <v>68</v>
      </c>
      <c r="E1773">
        <v>51.8</v>
      </c>
      <c r="F1773">
        <v>60.1</v>
      </c>
      <c r="G1773" s="2">
        <f t="shared" si="271"/>
        <v>0</v>
      </c>
      <c r="H1773">
        <v>68</v>
      </c>
      <c r="I1773">
        <v>51.8</v>
      </c>
      <c r="J1773">
        <v>60.1</v>
      </c>
      <c r="K1773">
        <v>53.5</v>
      </c>
      <c r="L1773">
        <v>80</v>
      </c>
      <c r="M1773" s="2">
        <f t="shared" si="272"/>
        <v>0</v>
      </c>
      <c r="N1773">
        <v>0</v>
      </c>
      <c r="O1773" s="2">
        <f t="shared" si="273"/>
        <v>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15.2</v>
      </c>
      <c r="V1773" s="2">
        <f t="shared" si="274"/>
        <v>1</v>
      </c>
      <c r="W1773">
        <v>6.9</v>
      </c>
      <c r="X1773" s="2">
        <f t="shared" si="275"/>
        <v>0</v>
      </c>
      <c r="Y1773">
        <v>116.2</v>
      </c>
      <c r="Z1773" s="2" t="str">
        <f>CHOOSE(MATCH(Y1773,{0;11;80;111;161;191;241;281;341},1),"North","NorthEast","East","SouthEast","South","SouthWest","West","NorthWest","North")</f>
        <v>SouthEast</v>
      </c>
      <c r="AA1773" s="4">
        <f>CHOOSE(MATCH(Z1773,{"South";"SouthEast";"SouthWest";"North";"NorthEast";"East";"West";"NorthWest"},0),1,2,3,4,5,6,7,8)</f>
        <v>2</v>
      </c>
      <c r="AB1773" s="2">
        <f t="shared" si="276"/>
        <v>0</v>
      </c>
      <c r="AC1773">
        <v>1022</v>
      </c>
      <c r="AD1773" t="s">
        <v>2429</v>
      </c>
      <c r="AE1773" s="2">
        <f t="shared" si="277"/>
        <v>0</v>
      </c>
      <c r="AF1773" t="s">
        <v>2430</v>
      </c>
      <c r="AG1773" s="2">
        <f t="shared" si="278"/>
        <v>4</v>
      </c>
      <c r="AH1773" s="2">
        <f t="shared" si="279"/>
        <v>0</v>
      </c>
      <c r="AI1773" s="3">
        <v>82.999999998137355</v>
      </c>
      <c r="AJ1773" s="2">
        <v>0</v>
      </c>
      <c r="AK1773">
        <v>0</v>
      </c>
      <c r="AL1773">
        <v>1.5</v>
      </c>
      <c r="AM1773">
        <v>0</v>
      </c>
      <c r="AN1773" s="2">
        <f>IF((2*G1773+M1773-O1773+3*V1773+2*AB1773+2*AE1773+2*AH1773+3*AJ1773)&gt;=7,1,0)</f>
        <v>0</v>
      </c>
    </row>
    <row r="1774" spans="1:40" x14ac:dyDescent="0.25">
      <c r="A1774" t="s">
        <v>27</v>
      </c>
      <c r="B1774" s="1">
        <v>42111</v>
      </c>
      <c r="C1774" s="6">
        <f t="shared" si="270"/>
        <v>2015</v>
      </c>
      <c r="D1774">
        <v>69.8</v>
      </c>
      <c r="E1774">
        <v>53.6</v>
      </c>
      <c r="F1774">
        <v>61.9</v>
      </c>
      <c r="G1774" s="2">
        <f t="shared" si="271"/>
        <v>0</v>
      </c>
      <c r="H1774">
        <v>69.8</v>
      </c>
      <c r="I1774">
        <v>53.6</v>
      </c>
      <c r="J1774">
        <v>61.9</v>
      </c>
      <c r="K1774">
        <v>50.5</v>
      </c>
      <c r="L1774">
        <v>67.5</v>
      </c>
      <c r="M1774" s="2">
        <f t="shared" si="272"/>
        <v>0</v>
      </c>
      <c r="N1774">
        <v>0</v>
      </c>
      <c r="O1774" s="2">
        <f t="shared" si="273"/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25.3</v>
      </c>
      <c r="V1774" s="2">
        <f t="shared" si="274"/>
        <v>1</v>
      </c>
      <c r="W1774">
        <v>12.8</v>
      </c>
      <c r="X1774" s="2">
        <f t="shared" si="275"/>
        <v>0</v>
      </c>
      <c r="Y1774">
        <v>142.19999999999999</v>
      </c>
      <c r="Z1774" s="2" t="str">
        <f>CHOOSE(MATCH(Y1774,{0;11;80;111;161;191;241;281;341},1),"North","NorthEast","East","SouthEast","South","SouthWest","West","NorthWest","North")</f>
        <v>SouthEast</v>
      </c>
      <c r="AA1774" s="4">
        <f>CHOOSE(MATCH(Z1774,{"South";"SouthEast";"SouthWest";"North";"NorthEast";"East";"West";"NorthWest"},0),1,2,3,4,5,6,7,8)</f>
        <v>2</v>
      </c>
      <c r="AB1774" s="2">
        <f t="shared" si="276"/>
        <v>0</v>
      </c>
      <c r="AC1774">
        <v>1022.5</v>
      </c>
      <c r="AD1774" t="s">
        <v>1226</v>
      </c>
      <c r="AE1774" s="2">
        <f t="shared" si="277"/>
        <v>1</v>
      </c>
      <c r="AF1774" t="s">
        <v>2431</v>
      </c>
      <c r="AG1774" s="2">
        <f t="shared" si="278"/>
        <v>4</v>
      </c>
      <c r="AH1774" s="2">
        <f t="shared" si="279"/>
        <v>0</v>
      </c>
      <c r="AI1774" s="3">
        <v>835.00000000814907</v>
      </c>
      <c r="AJ1774" s="2">
        <v>1</v>
      </c>
      <c r="AK1774">
        <v>0</v>
      </c>
      <c r="AL1774">
        <v>2</v>
      </c>
      <c r="AM1774">
        <v>0</v>
      </c>
      <c r="AN1774" s="2">
        <f>IF((2*G1774+M1774-O1774+3*V1774+2*AB1774+2*AE1774+2*AH1774+3*AJ1774)&gt;=7,1,0)</f>
        <v>1</v>
      </c>
    </row>
    <row r="1775" spans="1:40" x14ac:dyDescent="0.25">
      <c r="A1775" t="s">
        <v>27</v>
      </c>
      <c r="B1775" s="1">
        <v>42112</v>
      </c>
      <c r="C1775" s="6">
        <f t="shared" si="270"/>
        <v>2015</v>
      </c>
      <c r="D1775">
        <v>78.8</v>
      </c>
      <c r="E1775">
        <v>57.2</v>
      </c>
      <c r="F1775">
        <v>67.3</v>
      </c>
      <c r="G1775" s="2">
        <f t="shared" si="271"/>
        <v>0</v>
      </c>
      <c r="H1775">
        <v>78.8</v>
      </c>
      <c r="I1775">
        <v>57.2</v>
      </c>
      <c r="J1775">
        <v>67.3</v>
      </c>
      <c r="K1775">
        <v>46.5</v>
      </c>
      <c r="L1775">
        <v>51</v>
      </c>
      <c r="M1775" s="2">
        <f t="shared" si="272"/>
        <v>1</v>
      </c>
      <c r="N1775">
        <v>0</v>
      </c>
      <c r="O1775" s="2">
        <f t="shared" si="273"/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26.4</v>
      </c>
      <c r="V1775" s="2">
        <f t="shared" si="274"/>
        <v>1</v>
      </c>
      <c r="W1775">
        <v>19.7</v>
      </c>
      <c r="X1775" s="2">
        <f t="shared" si="275"/>
        <v>1</v>
      </c>
      <c r="Y1775">
        <v>162.19999999999999</v>
      </c>
      <c r="Z1775" s="2" t="str">
        <f>CHOOSE(MATCH(Y1775,{0;11;80;111;161;191;241;281;341},1),"North","NorthEast","East","SouthEast","South","SouthWest","West","NorthWest","North")</f>
        <v>South</v>
      </c>
      <c r="AA1775" s="4">
        <f>CHOOSE(MATCH(Z1775,{"South";"SouthEast";"SouthWest";"North";"NorthEast";"East";"West";"NorthWest"},0),1,2,3,4,5,6,7,8)</f>
        <v>1</v>
      </c>
      <c r="AB1775" s="2">
        <f t="shared" si="276"/>
        <v>0</v>
      </c>
      <c r="AC1775">
        <v>1018.8</v>
      </c>
      <c r="AD1775" t="s">
        <v>1772</v>
      </c>
      <c r="AE1775" s="2">
        <f t="shared" si="277"/>
        <v>0</v>
      </c>
      <c r="AF1775" t="s">
        <v>2432</v>
      </c>
      <c r="AG1775" s="2">
        <f t="shared" si="278"/>
        <v>4</v>
      </c>
      <c r="AH1775" s="2">
        <f t="shared" si="279"/>
        <v>0</v>
      </c>
      <c r="AI1775" s="3">
        <v>1534.9999999953429</v>
      </c>
      <c r="AJ1775" s="2">
        <v>1</v>
      </c>
      <c r="AK1775">
        <v>0</v>
      </c>
      <c r="AL1775">
        <v>1</v>
      </c>
      <c r="AM1775">
        <v>0</v>
      </c>
      <c r="AN1775" s="2">
        <f>IF((2*G1775+M1775-O1775+3*V1775+2*AB1775+2*AE1775+2*AH1775+3*AJ1775)&gt;=7,1,0)</f>
        <v>0</v>
      </c>
    </row>
    <row r="1776" spans="1:40" x14ac:dyDescent="0.25">
      <c r="A1776" t="s">
        <v>27</v>
      </c>
      <c r="B1776" s="1">
        <v>42115</v>
      </c>
      <c r="C1776" s="6">
        <f t="shared" si="270"/>
        <v>2015</v>
      </c>
      <c r="D1776">
        <v>66.2</v>
      </c>
      <c r="E1776">
        <v>55.4</v>
      </c>
      <c r="F1776">
        <v>61</v>
      </c>
      <c r="G1776" s="2">
        <f t="shared" si="271"/>
        <v>0</v>
      </c>
      <c r="H1776">
        <v>66.2</v>
      </c>
      <c r="I1776">
        <v>55.4</v>
      </c>
      <c r="J1776">
        <v>61</v>
      </c>
      <c r="K1776">
        <v>51.8</v>
      </c>
      <c r="L1776">
        <v>72.400000000000006</v>
      </c>
      <c r="M1776" s="2">
        <f t="shared" si="272"/>
        <v>0</v>
      </c>
      <c r="N1776">
        <v>0</v>
      </c>
      <c r="O1776" s="2">
        <f t="shared" si="273"/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25.3</v>
      </c>
      <c r="V1776" s="2">
        <f t="shared" si="274"/>
        <v>1</v>
      </c>
      <c r="W1776">
        <v>19.600000000000001</v>
      </c>
      <c r="X1776" s="2">
        <f t="shared" si="275"/>
        <v>1</v>
      </c>
      <c r="Y1776">
        <v>317.2</v>
      </c>
      <c r="Z1776" s="2" t="str">
        <f>CHOOSE(MATCH(Y1776,{0;11;80;111;161;191;241;281;341},1),"North","NorthEast","East","SouthEast","South","SouthWest","West","NorthWest","North")</f>
        <v>NorthWest</v>
      </c>
      <c r="AA1776" s="4">
        <f>CHOOSE(MATCH(Z1776,{"South";"SouthEast";"SouthWest";"North";"NorthEast";"East";"West";"NorthWest"},0),1,2,3,4,5,6,7,8)</f>
        <v>8</v>
      </c>
      <c r="AB1776" s="2">
        <f t="shared" si="276"/>
        <v>1</v>
      </c>
      <c r="AC1776">
        <v>1013.4</v>
      </c>
      <c r="AD1776" t="s">
        <v>2043</v>
      </c>
      <c r="AE1776" s="2">
        <f t="shared" si="277"/>
        <v>1</v>
      </c>
      <c r="AF1776" t="s">
        <v>2433</v>
      </c>
      <c r="AG1776" s="2">
        <f t="shared" si="278"/>
        <v>4</v>
      </c>
      <c r="AH1776" s="2">
        <f t="shared" si="279"/>
        <v>0</v>
      </c>
      <c r="AI1776" s="3">
        <v>120.9999999962747</v>
      </c>
      <c r="AJ1776" s="2">
        <v>0</v>
      </c>
      <c r="AK1776">
        <v>0</v>
      </c>
      <c r="AL1776">
        <v>0.1</v>
      </c>
      <c r="AM1776">
        <v>0.1</v>
      </c>
      <c r="AN1776" s="2">
        <f>IF((2*G1776+M1776-O1776+3*V1776+2*AB1776+2*AE1776+2*AH1776+3*AJ1776)&gt;=7,1,0)</f>
        <v>0</v>
      </c>
    </row>
    <row r="1777" spans="1:40" x14ac:dyDescent="0.25">
      <c r="A1777" t="s">
        <v>27</v>
      </c>
      <c r="B1777" s="1">
        <v>42118</v>
      </c>
      <c r="C1777" s="6">
        <f t="shared" si="270"/>
        <v>2015</v>
      </c>
      <c r="D1777">
        <v>66.2</v>
      </c>
      <c r="E1777">
        <v>44.3</v>
      </c>
      <c r="F1777">
        <v>57.1</v>
      </c>
      <c r="G1777" s="2">
        <f t="shared" si="271"/>
        <v>0</v>
      </c>
      <c r="H1777">
        <v>66.2</v>
      </c>
      <c r="I1777">
        <v>41.9</v>
      </c>
      <c r="J1777">
        <v>56.5</v>
      </c>
      <c r="K1777">
        <v>44.7</v>
      </c>
      <c r="L1777">
        <v>64.099999999999994</v>
      </c>
      <c r="M1777" s="2">
        <f t="shared" si="272"/>
        <v>1</v>
      </c>
      <c r="N1777">
        <v>0</v>
      </c>
      <c r="O1777" s="2">
        <f t="shared" si="273"/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19</v>
      </c>
      <c r="V1777" s="2">
        <f t="shared" si="274"/>
        <v>1</v>
      </c>
      <c r="W1777">
        <v>11.4</v>
      </c>
      <c r="X1777" s="2">
        <f t="shared" si="275"/>
        <v>0</v>
      </c>
      <c r="Y1777">
        <v>108</v>
      </c>
      <c r="Z1777" s="2" t="str">
        <f>CHOOSE(MATCH(Y1777,{0;11;80;111;161;191;241;281;341},1),"North","NorthEast","East","SouthEast","South","SouthWest","West","NorthWest","North")</f>
        <v>East</v>
      </c>
      <c r="AA1777" s="4">
        <f>CHOOSE(MATCH(Z1777,{"South";"SouthEast";"SouthWest";"North";"NorthEast";"East";"West";"NorthWest"},0),1,2,3,4,5,6,7,8)</f>
        <v>6</v>
      </c>
      <c r="AB1777" s="2">
        <f t="shared" si="276"/>
        <v>0</v>
      </c>
      <c r="AC1777">
        <v>1022.2</v>
      </c>
      <c r="AD1777" t="s">
        <v>2434</v>
      </c>
      <c r="AE1777" s="2">
        <f t="shared" si="277"/>
        <v>1</v>
      </c>
      <c r="AF1777" t="s">
        <v>2435</v>
      </c>
      <c r="AG1777" s="2">
        <f t="shared" si="278"/>
        <v>4</v>
      </c>
      <c r="AH1777" s="2">
        <f t="shared" si="279"/>
        <v>0</v>
      </c>
      <c r="AI1777" s="3">
        <v>95.999999998603016</v>
      </c>
      <c r="AJ1777" s="2">
        <v>0</v>
      </c>
      <c r="AK1777">
        <v>0</v>
      </c>
      <c r="AL1777">
        <v>0.5</v>
      </c>
      <c r="AM1777">
        <v>0</v>
      </c>
      <c r="AN1777" s="2">
        <f>IF((2*G1777+M1777-O1777+3*V1777+2*AB1777+2*AE1777+2*AH1777+3*AJ1777)&gt;=7,1,0)</f>
        <v>0</v>
      </c>
    </row>
    <row r="1778" spans="1:40" x14ac:dyDescent="0.25">
      <c r="A1778" t="s">
        <v>27</v>
      </c>
      <c r="B1778" s="1">
        <v>42118</v>
      </c>
      <c r="C1778" s="6">
        <f t="shared" si="270"/>
        <v>2015</v>
      </c>
      <c r="D1778">
        <v>66.2</v>
      </c>
      <c r="E1778">
        <v>44.3</v>
      </c>
      <c r="F1778">
        <v>57.1</v>
      </c>
      <c r="G1778" s="2">
        <f t="shared" si="271"/>
        <v>0</v>
      </c>
      <c r="H1778">
        <v>66.2</v>
      </c>
      <c r="I1778">
        <v>41.9</v>
      </c>
      <c r="J1778">
        <v>56.5</v>
      </c>
      <c r="K1778">
        <v>44.7</v>
      </c>
      <c r="L1778">
        <v>64.099999999999994</v>
      </c>
      <c r="M1778" s="2">
        <f t="shared" si="272"/>
        <v>1</v>
      </c>
      <c r="N1778">
        <v>0</v>
      </c>
      <c r="O1778" s="2">
        <f t="shared" si="273"/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19</v>
      </c>
      <c r="V1778" s="2">
        <f t="shared" si="274"/>
        <v>1</v>
      </c>
      <c r="W1778">
        <v>11.4</v>
      </c>
      <c r="X1778" s="2">
        <f t="shared" si="275"/>
        <v>0</v>
      </c>
      <c r="Y1778">
        <v>108</v>
      </c>
      <c r="Z1778" s="2" t="str">
        <f>CHOOSE(MATCH(Y1778,{0;11;80;111;161;191;241;281;341},1),"North","NorthEast","East","SouthEast","South","SouthWest","West","NorthWest","North")</f>
        <v>East</v>
      </c>
      <c r="AA1778" s="4">
        <f>CHOOSE(MATCH(Z1778,{"South";"SouthEast";"SouthWest";"North";"NorthEast";"East";"West";"NorthWest"},0),1,2,3,4,5,6,7,8)</f>
        <v>6</v>
      </c>
      <c r="AB1778" s="2">
        <f t="shared" si="276"/>
        <v>0</v>
      </c>
      <c r="AC1778">
        <v>1022.2</v>
      </c>
      <c r="AD1778" t="s">
        <v>1091</v>
      </c>
      <c r="AE1778" s="2">
        <f t="shared" si="277"/>
        <v>1</v>
      </c>
      <c r="AF1778" t="s">
        <v>2436</v>
      </c>
      <c r="AG1778" s="2">
        <f t="shared" si="278"/>
        <v>4</v>
      </c>
      <c r="AH1778" s="2">
        <f t="shared" si="279"/>
        <v>0</v>
      </c>
      <c r="AI1778" s="3">
        <v>94.999999995343387</v>
      </c>
      <c r="AJ1778" s="2">
        <v>0</v>
      </c>
      <c r="AK1778">
        <v>0</v>
      </c>
      <c r="AL1778">
        <v>0.5</v>
      </c>
      <c r="AM1778">
        <v>0</v>
      </c>
      <c r="AN1778" s="2">
        <f>IF((2*G1778+M1778-O1778+3*V1778+2*AB1778+2*AE1778+2*AH1778+3*AJ1778)&gt;=7,1,0)</f>
        <v>0</v>
      </c>
    </row>
    <row r="1779" spans="1:40" x14ac:dyDescent="0.25">
      <c r="A1779" t="s">
        <v>27</v>
      </c>
      <c r="B1779" s="1">
        <v>42120</v>
      </c>
      <c r="C1779" s="6">
        <f t="shared" si="270"/>
        <v>2015</v>
      </c>
      <c r="D1779">
        <v>71.599999999999994</v>
      </c>
      <c r="E1779">
        <v>57.2</v>
      </c>
      <c r="F1779">
        <v>64.900000000000006</v>
      </c>
      <c r="G1779" s="2">
        <f t="shared" si="271"/>
        <v>0</v>
      </c>
      <c r="H1779">
        <v>71.599999999999994</v>
      </c>
      <c r="I1779">
        <v>57.2</v>
      </c>
      <c r="J1779">
        <v>64.900000000000006</v>
      </c>
      <c r="K1779">
        <v>52.2</v>
      </c>
      <c r="L1779">
        <v>64.400000000000006</v>
      </c>
      <c r="M1779" s="2">
        <f t="shared" si="272"/>
        <v>1</v>
      </c>
      <c r="N1779">
        <v>0</v>
      </c>
      <c r="O1779" s="2">
        <f t="shared" si="273"/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34.4</v>
      </c>
      <c r="V1779" s="2">
        <f t="shared" si="274"/>
        <v>1</v>
      </c>
      <c r="W1779">
        <v>18.3</v>
      </c>
      <c r="X1779" s="2">
        <f t="shared" si="275"/>
        <v>1</v>
      </c>
      <c r="Y1779">
        <v>69</v>
      </c>
      <c r="Z1779" s="2" t="str">
        <f>CHOOSE(MATCH(Y1779,{0;11;80;111;161;191;241;281;341},1),"North","NorthEast","East","SouthEast","South","SouthWest","West","NorthWest","North")</f>
        <v>NorthEast</v>
      </c>
      <c r="AA1779" s="4">
        <f>CHOOSE(MATCH(Z1779,{"South";"SouthEast";"SouthWest";"North";"NorthEast";"East";"West";"NorthWest"},0),1,2,3,4,5,6,7,8)</f>
        <v>5</v>
      </c>
      <c r="AB1779" s="2">
        <f t="shared" si="276"/>
        <v>1</v>
      </c>
      <c r="AC1779">
        <v>1012.7</v>
      </c>
      <c r="AD1779" t="s">
        <v>1966</v>
      </c>
      <c r="AE1779" s="2">
        <f t="shared" si="277"/>
        <v>1</v>
      </c>
      <c r="AF1779" t="s">
        <v>2437</v>
      </c>
      <c r="AG1779" s="2">
        <f t="shared" si="278"/>
        <v>4</v>
      </c>
      <c r="AH1779" s="2">
        <f t="shared" si="279"/>
        <v>0</v>
      </c>
      <c r="AI1779" s="3">
        <v>175.00000000465661</v>
      </c>
      <c r="AJ1779" s="2">
        <v>0</v>
      </c>
      <c r="AK1779">
        <v>0</v>
      </c>
      <c r="AL1779">
        <v>0.1</v>
      </c>
      <c r="AM1779">
        <v>0</v>
      </c>
      <c r="AN1779" s="2">
        <f>IF((2*G1779+M1779-O1779+3*V1779+2*AB1779+2*AE1779+2*AH1779+3*AJ1779)&gt;=7,1,0)</f>
        <v>1</v>
      </c>
    </row>
    <row r="1780" spans="1:40" x14ac:dyDescent="0.25">
      <c r="A1780" t="s">
        <v>27</v>
      </c>
      <c r="B1780" s="1">
        <v>42121</v>
      </c>
      <c r="C1780" s="6">
        <f t="shared" si="270"/>
        <v>2015</v>
      </c>
      <c r="D1780">
        <v>68.099999999999994</v>
      </c>
      <c r="E1780">
        <v>53</v>
      </c>
      <c r="F1780">
        <v>61.5</v>
      </c>
      <c r="G1780" s="2">
        <f t="shared" si="271"/>
        <v>0</v>
      </c>
      <c r="H1780">
        <v>68.099999999999994</v>
      </c>
      <c r="I1780">
        <v>53</v>
      </c>
      <c r="J1780">
        <v>61.5</v>
      </c>
      <c r="K1780">
        <v>55.4</v>
      </c>
      <c r="L1780">
        <v>80.8</v>
      </c>
      <c r="M1780" s="2">
        <f t="shared" si="272"/>
        <v>0</v>
      </c>
      <c r="N1780">
        <v>0</v>
      </c>
      <c r="O1780" s="2">
        <f t="shared" si="273"/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30.9</v>
      </c>
      <c r="V1780" s="2">
        <f t="shared" si="274"/>
        <v>1</v>
      </c>
      <c r="W1780">
        <v>8.1</v>
      </c>
      <c r="X1780" s="2">
        <f t="shared" si="275"/>
        <v>0</v>
      </c>
      <c r="Y1780">
        <v>21.5</v>
      </c>
      <c r="Z1780" s="2" t="str">
        <f>CHOOSE(MATCH(Y1780,{0;11;80;111;161;191;241;281;341},1),"North","NorthEast","East","SouthEast","South","SouthWest","West","NorthWest","North")</f>
        <v>NorthEast</v>
      </c>
      <c r="AA1780" s="4">
        <f>CHOOSE(MATCH(Z1780,{"South";"SouthEast";"SouthWest";"North";"NorthEast";"East";"West";"NorthWest"},0),1,2,3,4,5,6,7,8)</f>
        <v>5</v>
      </c>
      <c r="AB1780" s="2">
        <f t="shared" si="276"/>
        <v>1</v>
      </c>
      <c r="AC1780">
        <v>1014.6</v>
      </c>
      <c r="AD1780" t="s">
        <v>1085</v>
      </c>
      <c r="AE1780" s="2">
        <f t="shared" si="277"/>
        <v>1</v>
      </c>
      <c r="AF1780" t="s">
        <v>2438</v>
      </c>
      <c r="AG1780" s="2">
        <f t="shared" si="278"/>
        <v>4</v>
      </c>
      <c r="AH1780" s="2">
        <f t="shared" si="279"/>
        <v>0</v>
      </c>
      <c r="AI1780" s="3">
        <v>110.00000000232831</v>
      </c>
      <c r="AJ1780" s="2">
        <v>0</v>
      </c>
      <c r="AK1780">
        <v>0</v>
      </c>
      <c r="AL1780">
        <v>0.1</v>
      </c>
      <c r="AM1780">
        <v>0</v>
      </c>
      <c r="AN1780" s="2">
        <f>IF((2*G1780+M1780-O1780+3*V1780+2*AB1780+2*AE1780+2*AH1780+3*AJ1780)&gt;=7,1,0)</f>
        <v>0</v>
      </c>
    </row>
    <row r="1781" spans="1:40" x14ac:dyDescent="0.25">
      <c r="A1781" t="s">
        <v>27</v>
      </c>
      <c r="B1781" s="1">
        <v>42122</v>
      </c>
      <c r="C1781" s="6">
        <f t="shared" si="270"/>
        <v>2015</v>
      </c>
      <c r="D1781">
        <v>80.599999999999994</v>
      </c>
      <c r="E1781">
        <v>57.2</v>
      </c>
      <c r="F1781">
        <v>70.400000000000006</v>
      </c>
      <c r="G1781" s="2">
        <f t="shared" si="271"/>
        <v>1</v>
      </c>
      <c r="H1781">
        <v>79.3</v>
      </c>
      <c r="I1781">
        <v>57.2</v>
      </c>
      <c r="J1781">
        <v>70.099999999999994</v>
      </c>
      <c r="K1781">
        <v>39.9</v>
      </c>
      <c r="L1781">
        <v>35.9</v>
      </c>
      <c r="M1781" s="2">
        <f t="shared" si="272"/>
        <v>1</v>
      </c>
      <c r="N1781">
        <v>0</v>
      </c>
      <c r="O1781" s="2">
        <f t="shared" si="273"/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36.9</v>
      </c>
      <c r="V1781" s="2">
        <f t="shared" si="274"/>
        <v>1</v>
      </c>
      <c r="W1781">
        <v>36.9</v>
      </c>
      <c r="X1781" s="2">
        <f t="shared" si="275"/>
        <v>1</v>
      </c>
      <c r="Y1781">
        <v>164.5</v>
      </c>
      <c r="Z1781" s="2" t="str">
        <f>CHOOSE(MATCH(Y1781,{0;11;80;111;161;191;241;281;341},1),"North","NorthEast","East","SouthEast","South","SouthWest","West","NorthWest","North")</f>
        <v>South</v>
      </c>
      <c r="AA1781" s="4">
        <f>CHOOSE(MATCH(Z1781,{"South";"SouthEast";"SouthWest";"North";"NorthEast";"East";"West";"NorthWest"},0),1,2,3,4,5,6,7,8)</f>
        <v>1</v>
      </c>
      <c r="AB1781" s="2">
        <f t="shared" si="276"/>
        <v>0</v>
      </c>
      <c r="AC1781">
        <v>1010.9</v>
      </c>
      <c r="AD1781" t="s">
        <v>1838</v>
      </c>
      <c r="AE1781" s="2">
        <f t="shared" si="277"/>
        <v>1</v>
      </c>
      <c r="AF1781" t="s">
        <v>2439</v>
      </c>
      <c r="AG1781" s="2">
        <f t="shared" si="278"/>
        <v>4</v>
      </c>
      <c r="AH1781" s="2">
        <f t="shared" si="279"/>
        <v>0</v>
      </c>
      <c r="AI1781" s="3">
        <v>67.000000008847564</v>
      </c>
      <c r="AJ1781" s="2">
        <v>0</v>
      </c>
      <c r="AK1781">
        <v>0</v>
      </c>
      <c r="AL1781">
        <v>0.1</v>
      </c>
      <c r="AM1781">
        <v>0</v>
      </c>
      <c r="AN1781" s="2">
        <f>IF((2*G1781+M1781-O1781+3*V1781+2*AB1781+2*AE1781+2*AH1781+3*AJ1781)&gt;=7,1,0)</f>
        <v>1</v>
      </c>
    </row>
    <row r="1782" spans="1:40" x14ac:dyDescent="0.25">
      <c r="A1782" t="s">
        <v>27</v>
      </c>
      <c r="B1782" s="1">
        <v>42122</v>
      </c>
      <c r="C1782" s="6">
        <f t="shared" si="270"/>
        <v>2015</v>
      </c>
      <c r="D1782">
        <v>80.599999999999994</v>
      </c>
      <c r="E1782">
        <v>57.2</v>
      </c>
      <c r="F1782">
        <v>70.400000000000006</v>
      </c>
      <c r="G1782" s="2">
        <f t="shared" si="271"/>
        <v>1</v>
      </c>
      <c r="H1782">
        <v>79.3</v>
      </c>
      <c r="I1782">
        <v>57.2</v>
      </c>
      <c r="J1782">
        <v>70.099999999999994</v>
      </c>
      <c r="K1782">
        <v>39.9</v>
      </c>
      <c r="L1782">
        <v>35.9</v>
      </c>
      <c r="M1782" s="2">
        <f t="shared" si="272"/>
        <v>1</v>
      </c>
      <c r="N1782">
        <v>0</v>
      </c>
      <c r="O1782" s="2">
        <f t="shared" si="273"/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36.9</v>
      </c>
      <c r="V1782" s="2">
        <f t="shared" si="274"/>
        <v>1</v>
      </c>
      <c r="W1782">
        <v>36.9</v>
      </c>
      <c r="X1782" s="2">
        <f t="shared" si="275"/>
        <v>1</v>
      </c>
      <c r="Y1782">
        <v>164.5</v>
      </c>
      <c r="Z1782" s="2" t="str">
        <f>CHOOSE(MATCH(Y1782,{0;11;80;111;161;191;241;281;341},1),"North","NorthEast","East","SouthEast","South","SouthWest","West","NorthWest","North")</f>
        <v>South</v>
      </c>
      <c r="AA1782" s="4">
        <f>CHOOSE(MATCH(Z1782,{"South";"SouthEast";"SouthWest";"North";"NorthEast";"East";"West";"NorthWest"},0),1,2,3,4,5,6,7,8)</f>
        <v>1</v>
      </c>
      <c r="AB1782" s="2">
        <f t="shared" si="276"/>
        <v>0</v>
      </c>
      <c r="AC1782">
        <v>1010.9</v>
      </c>
      <c r="AD1782" t="s">
        <v>2343</v>
      </c>
      <c r="AE1782" s="2">
        <f t="shared" si="277"/>
        <v>0</v>
      </c>
      <c r="AF1782" t="s">
        <v>2440</v>
      </c>
      <c r="AG1782" s="2">
        <f t="shared" si="278"/>
        <v>4</v>
      </c>
      <c r="AH1782" s="2">
        <f t="shared" si="279"/>
        <v>0</v>
      </c>
      <c r="AI1782" s="3">
        <v>3720.000000003492</v>
      </c>
      <c r="AJ1782" s="2">
        <v>1</v>
      </c>
      <c r="AK1782">
        <v>0</v>
      </c>
      <c r="AL1782">
        <v>140</v>
      </c>
      <c r="AM1782">
        <v>0</v>
      </c>
      <c r="AN1782" s="2">
        <f>IF((2*G1782+M1782-O1782+3*V1782+2*AB1782+2*AE1782+2*AH1782+3*AJ1782)&gt;=7,1,0)</f>
        <v>1</v>
      </c>
    </row>
    <row r="1783" spans="1:40" x14ac:dyDescent="0.25">
      <c r="A1783" t="s">
        <v>27</v>
      </c>
      <c r="B1783" s="1">
        <v>42125</v>
      </c>
      <c r="C1783" s="6">
        <f t="shared" si="270"/>
        <v>2015</v>
      </c>
      <c r="D1783">
        <v>68</v>
      </c>
      <c r="E1783">
        <v>57.2</v>
      </c>
      <c r="F1783">
        <v>63.6</v>
      </c>
      <c r="G1783" s="2">
        <f t="shared" si="271"/>
        <v>0</v>
      </c>
      <c r="H1783">
        <v>68</v>
      </c>
      <c r="I1783">
        <v>57.2</v>
      </c>
      <c r="J1783">
        <v>63.6</v>
      </c>
      <c r="K1783">
        <v>56</v>
      </c>
      <c r="L1783">
        <v>76.7</v>
      </c>
      <c r="M1783" s="2">
        <f t="shared" si="272"/>
        <v>0</v>
      </c>
      <c r="N1783">
        <v>0</v>
      </c>
      <c r="O1783" s="2">
        <f t="shared" si="273"/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20.8</v>
      </c>
      <c r="V1783" s="2">
        <f t="shared" si="274"/>
        <v>1</v>
      </c>
      <c r="W1783">
        <v>18.3</v>
      </c>
      <c r="X1783" s="2">
        <f t="shared" si="275"/>
        <v>1</v>
      </c>
      <c r="Y1783">
        <v>299.7</v>
      </c>
      <c r="Z1783" s="2" t="str">
        <f>CHOOSE(MATCH(Y1783,{0;11;80;111;161;191;241;281;341},1),"North","NorthEast","East","SouthEast","South","SouthWest","West","NorthWest","North")</f>
        <v>NorthWest</v>
      </c>
      <c r="AA1783" s="4">
        <f>CHOOSE(MATCH(Z1783,{"South";"SouthEast";"SouthWest";"North";"NorthEast";"East";"West";"NorthWest"},0),1,2,3,4,5,6,7,8)</f>
        <v>8</v>
      </c>
      <c r="AB1783" s="2">
        <f t="shared" si="276"/>
        <v>1</v>
      </c>
      <c r="AC1783">
        <v>1016</v>
      </c>
      <c r="AD1783" t="s">
        <v>2441</v>
      </c>
      <c r="AE1783" s="2">
        <f t="shared" si="277"/>
        <v>1</v>
      </c>
      <c r="AF1783" t="s">
        <v>2442</v>
      </c>
      <c r="AG1783" s="2">
        <f t="shared" si="278"/>
        <v>5</v>
      </c>
      <c r="AH1783" s="2">
        <f t="shared" si="279"/>
        <v>0</v>
      </c>
      <c r="AI1783" s="3">
        <v>1826.0000000009311</v>
      </c>
      <c r="AJ1783" s="2">
        <v>1</v>
      </c>
      <c r="AK1783">
        <v>8</v>
      </c>
      <c r="AL1783">
        <v>0</v>
      </c>
      <c r="AM1783">
        <v>0</v>
      </c>
      <c r="AN1783" s="2">
        <f>IF((2*G1783+M1783-O1783+3*V1783+2*AB1783+2*AE1783+2*AH1783+3*AJ1783)&gt;=7,1,0)</f>
        <v>1</v>
      </c>
    </row>
    <row r="1784" spans="1:40" x14ac:dyDescent="0.25">
      <c r="A1784" t="s">
        <v>27</v>
      </c>
      <c r="B1784" s="1">
        <v>42136</v>
      </c>
      <c r="C1784" s="6">
        <f t="shared" si="270"/>
        <v>2015</v>
      </c>
      <c r="D1784">
        <v>69.8</v>
      </c>
      <c r="E1784">
        <v>60.8</v>
      </c>
      <c r="F1784">
        <v>64.900000000000006</v>
      </c>
      <c r="G1784" s="2">
        <f t="shared" si="271"/>
        <v>0</v>
      </c>
      <c r="H1784">
        <v>69.8</v>
      </c>
      <c r="I1784">
        <v>60.8</v>
      </c>
      <c r="J1784">
        <v>64.900000000000006</v>
      </c>
      <c r="K1784">
        <v>55.9</v>
      </c>
      <c r="L1784">
        <v>73</v>
      </c>
      <c r="M1784" s="2">
        <f t="shared" si="272"/>
        <v>0</v>
      </c>
      <c r="N1784">
        <v>0.01</v>
      </c>
      <c r="O1784" s="2">
        <f t="shared" si="273"/>
        <v>1</v>
      </c>
      <c r="P1784">
        <v>100</v>
      </c>
      <c r="Q1784">
        <v>4.17</v>
      </c>
      <c r="R1784" t="s">
        <v>182</v>
      </c>
      <c r="S1784">
        <v>0</v>
      </c>
      <c r="T1784">
        <v>0</v>
      </c>
      <c r="U1784">
        <v>21.9</v>
      </c>
      <c r="V1784" s="2">
        <f t="shared" si="274"/>
        <v>1</v>
      </c>
      <c r="W1784">
        <v>17.2</v>
      </c>
      <c r="X1784" s="2">
        <f t="shared" si="275"/>
        <v>1</v>
      </c>
      <c r="Y1784">
        <v>316.60000000000002</v>
      </c>
      <c r="Z1784" s="2" t="str">
        <f>CHOOSE(MATCH(Y1784,{0;11;80;111;161;191;241;281;341},1),"North","NorthEast","East","SouthEast","South","SouthWest","West","NorthWest","North")</f>
        <v>NorthWest</v>
      </c>
      <c r="AA1784" s="4">
        <f>CHOOSE(MATCH(Z1784,{"South";"SouthEast";"SouthWest";"North";"NorthEast";"East";"West";"NorthWest"},0),1,2,3,4,5,6,7,8)</f>
        <v>8</v>
      </c>
      <c r="AB1784" s="2">
        <f t="shared" si="276"/>
        <v>1</v>
      </c>
      <c r="AC1784">
        <v>1012.9</v>
      </c>
      <c r="AD1784" t="s">
        <v>2443</v>
      </c>
      <c r="AE1784" s="2">
        <f t="shared" si="277"/>
        <v>1</v>
      </c>
      <c r="AF1784" t="s">
        <v>2444</v>
      </c>
      <c r="AG1784" s="2">
        <f t="shared" si="278"/>
        <v>5</v>
      </c>
      <c r="AH1784" s="2">
        <f t="shared" si="279"/>
        <v>0</v>
      </c>
      <c r="AI1784" s="3">
        <v>1535.999999998603</v>
      </c>
      <c r="AJ1784" s="2">
        <v>1</v>
      </c>
      <c r="AK1784">
        <v>0</v>
      </c>
      <c r="AL1784">
        <v>0.01</v>
      </c>
      <c r="AM1784">
        <v>0</v>
      </c>
      <c r="AN1784" s="2">
        <f>IF((2*G1784+M1784-O1784+3*V1784+2*AB1784+2*AE1784+2*AH1784+3*AJ1784)&gt;=7,1,0)</f>
        <v>1</v>
      </c>
    </row>
    <row r="1785" spans="1:40" x14ac:dyDescent="0.25">
      <c r="A1785" t="s">
        <v>27</v>
      </c>
      <c r="B1785" s="1">
        <v>42140</v>
      </c>
      <c r="C1785" s="6">
        <f t="shared" si="270"/>
        <v>2015</v>
      </c>
      <c r="D1785">
        <v>77</v>
      </c>
      <c r="E1785">
        <v>59.3</v>
      </c>
      <c r="F1785">
        <v>68.7</v>
      </c>
      <c r="G1785" s="2">
        <f t="shared" si="271"/>
        <v>0</v>
      </c>
      <c r="H1785">
        <v>77</v>
      </c>
      <c r="I1785">
        <v>59.3</v>
      </c>
      <c r="J1785">
        <v>68.7</v>
      </c>
      <c r="K1785">
        <v>60.3</v>
      </c>
      <c r="L1785">
        <v>75.7</v>
      </c>
      <c r="M1785" s="2">
        <f t="shared" si="272"/>
        <v>0</v>
      </c>
      <c r="N1785">
        <v>0</v>
      </c>
      <c r="O1785" s="2">
        <f t="shared" si="273"/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15.7</v>
      </c>
      <c r="V1785" s="2">
        <f t="shared" si="274"/>
        <v>1</v>
      </c>
      <c r="W1785">
        <v>10.3</v>
      </c>
      <c r="X1785" s="2">
        <f t="shared" si="275"/>
        <v>0</v>
      </c>
      <c r="Y1785">
        <v>111.5</v>
      </c>
      <c r="Z1785" s="2" t="str">
        <f>CHOOSE(MATCH(Y1785,{0;11;80;111;161;191;241;281;341},1),"North","NorthEast","East","SouthEast","South","SouthWest","West","NorthWest","North")</f>
        <v>SouthEast</v>
      </c>
      <c r="AA1785" s="4">
        <f>CHOOSE(MATCH(Z1785,{"South";"SouthEast";"SouthWest";"North";"NorthEast";"East";"West";"NorthWest"},0),1,2,3,4,5,6,7,8)</f>
        <v>2</v>
      </c>
      <c r="AB1785" s="2">
        <f t="shared" si="276"/>
        <v>0</v>
      </c>
      <c r="AC1785">
        <v>1019.4</v>
      </c>
      <c r="AD1785" t="s">
        <v>2359</v>
      </c>
      <c r="AE1785" s="2">
        <f t="shared" si="277"/>
        <v>1</v>
      </c>
      <c r="AF1785" t="s">
        <v>2445</v>
      </c>
      <c r="AG1785" s="2">
        <f t="shared" si="278"/>
        <v>5</v>
      </c>
      <c r="AH1785" s="2">
        <f t="shared" si="279"/>
        <v>0</v>
      </c>
      <c r="AI1785" s="3">
        <v>91.000000003259629</v>
      </c>
      <c r="AJ1785" s="2">
        <v>0</v>
      </c>
      <c r="AK1785">
        <v>0</v>
      </c>
      <c r="AL1785">
        <v>1</v>
      </c>
      <c r="AM1785">
        <v>0</v>
      </c>
      <c r="AN1785" s="2">
        <f>IF((2*G1785+M1785-O1785+3*V1785+2*AB1785+2*AE1785+2*AH1785+3*AJ1785)&gt;=7,1,0)</f>
        <v>0</v>
      </c>
    </row>
    <row r="1786" spans="1:40" x14ac:dyDescent="0.25">
      <c r="A1786" t="s">
        <v>27</v>
      </c>
      <c r="B1786" s="1">
        <v>42151</v>
      </c>
      <c r="C1786" s="6">
        <f t="shared" si="270"/>
        <v>2015</v>
      </c>
      <c r="D1786">
        <v>75.2</v>
      </c>
      <c r="E1786">
        <v>68</v>
      </c>
      <c r="F1786">
        <v>70.7</v>
      </c>
      <c r="G1786" s="2">
        <f t="shared" si="271"/>
        <v>1</v>
      </c>
      <c r="H1786">
        <v>75.2</v>
      </c>
      <c r="I1786">
        <v>68</v>
      </c>
      <c r="J1786">
        <v>70.7</v>
      </c>
      <c r="K1786">
        <v>62.4</v>
      </c>
      <c r="L1786">
        <v>75.5</v>
      </c>
      <c r="M1786" s="2">
        <f t="shared" si="272"/>
        <v>0</v>
      </c>
      <c r="N1786">
        <v>0</v>
      </c>
      <c r="O1786" s="2">
        <f t="shared" si="273"/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28.9</v>
      </c>
      <c r="V1786" s="2">
        <f t="shared" si="274"/>
        <v>1</v>
      </c>
      <c r="W1786">
        <v>20.8</v>
      </c>
      <c r="X1786" s="2">
        <f t="shared" si="275"/>
        <v>1</v>
      </c>
      <c r="Y1786">
        <v>331.2</v>
      </c>
      <c r="Z1786" s="2" t="str">
        <f>CHOOSE(MATCH(Y1786,{0;11;80;111;161;191;241;281;341},1),"North","NorthEast","East","SouthEast","South","SouthWest","West","NorthWest","North")</f>
        <v>NorthWest</v>
      </c>
      <c r="AA1786" s="4">
        <f>CHOOSE(MATCH(Z1786,{"South";"SouthEast";"SouthWest";"North";"NorthEast";"East";"West";"NorthWest"},0),1,2,3,4,5,6,7,8)</f>
        <v>8</v>
      </c>
      <c r="AB1786" s="2">
        <f t="shared" si="276"/>
        <v>1</v>
      </c>
      <c r="AC1786">
        <v>1005.1</v>
      </c>
      <c r="AD1786" t="s">
        <v>2300</v>
      </c>
      <c r="AE1786" s="2">
        <f t="shared" si="277"/>
        <v>0</v>
      </c>
      <c r="AF1786" t="s">
        <v>2446</v>
      </c>
      <c r="AG1786" s="2">
        <f t="shared" si="278"/>
        <v>5</v>
      </c>
      <c r="AH1786" s="2">
        <f t="shared" si="279"/>
        <v>0</v>
      </c>
      <c r="AI1786" s="3">
        <v>101.0000000044238</v>
      </c>
      <c r="AJ1786" s="2">
        <v>0</v>
      </c>
      <c r="AK1786">
        <v>0</v>
      </c>
      <c r="AL1786">
        <v>0.5</v>
      </c>
      <c r="AM1786">
        <v>0</v>
      </c>
      <c r="AN1786" s="2">
        <f>IF((2*G1786+M1786-O1786+3*V1786+2*AB1786+2*AE1786+2*AH1786+3*AJ1786)&gt;=7,1,0)</f>
        <v>0</v>
      </c>
    </row>
    <row r="1787" spans="1:40" x14ac:dyDescent="0.25">
      <c r="A1787" t="s">
        <v>27</v>
      </c>
      <c r="B1787" s="1">
        <v>42180</v>
      </c>
      <c r="C1787" s="6">
        <f t="shared" si="270"/>
        <v>2015</v>
      </c>
      <c r="D1787">
        <v>80.599999999999994</v>
      </c>
      <c r="E1787">
        <v>66.2</v>
      </c>
      <c r="F1787">
        <v>74.099999999999994</v>
      </c>
      <c r="G1787" s="2">
        <f t="shared" si="271"/>
        <v>1</v>
      </c>
      <c r="H1787">
        <v>82.8</v>
      </c>
      <c r="I1787">
        <v>66.2</v>
      </c>
      <c r="J1787">
        <v>74.3</v>
      </c>
      <c r="K1787">
        <v>64.8</v>
      </c>
      <c r="L1787">
        <v>73.400000000000006</v>
      </c>
      <c r="M1787" s="2">
        <f t="shared" si="272"/>
        <v>0</v>
      </c>
      <c r="N1787">
        <v>0</v>
      </c>
      <c r="O1787" s="2">
        <f t="shared" si="273"/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25.9</v>
      </c>
      <c r="V1787" s="2">
        <f t="shared" si="274"/>
        <v>1</v>
      </c>
      <c r="W1787">
        <v>18.3</v>
      </c>
      <c r="X1787" s="2">
        <f t="shared" si="275"/>
        <v>1</v>
      </c>
      <c r="Y1787">
        <v>323.60000000000002</v>
      </c>
      <c r="Z1787" s="2" t="str">
        <f>CHOOSE(MATCH(Y1787,{0;11;80;111;161;191;241;281;341},1),"North","NorthEast","East","SouthEast","South","SouthWest","West","NorthWest","North")</f>
        <v>NorthWest</v>
      </c>
      <c r="AA1787" s="4">
        <f>CHOOSE(MATCH(Z1787,{"South";"SouthEast";"SouthWest";"North";"NorthEast";"East";"West";"NorthWest"},0),1,2,3,4,5,6,7,8)</f>
        <v>8</v>
      </c>
      <c r="AB1787" s="2">
        <f t="shared" si="276"/>
        <v>1</v>
      </c>
      <c r="AC1787">
        <v>1013.4</v>
      </c>
      <c r="AD1787" t="s">
        <v>1779</v>
      </c>
      <c r="AE1787" s="2">
        <f t="shared" si="277"/>
        <v>1</v>
      </c>
      <c r="AF1787" t="s">
        <v>2447</v>
      </c>
      <c r="AG1787" s="2">
        <f t="shared" si="278"/>
        <v>6</v>
      </c>
      <c r="AH1787" s="2">
        <f t="shared" si="279"/>
        <v>1</v>
      </c>
      <c r="AI1787" s="3">
        <v>133.00000000395809</v>
      </c>
      <c r="AJ1787" s="2">
        <v>0</v>
      </c>
      <c r="AK1787">
        <v>0</v>
      </c>
      <c r="AL1787">
        <v>0.05</v>
      </c>
      <c r="AM1787">
        <v>0</v>
      </c>
      <c r="AN1787" s="2">
        <f>IF((2*G1787+M1787-O1787+3*V1787+2*AB1787+2*AE1787+2*AH1787+3*AJ1787)&gt;=7,1,0)</f>
        <v>1</v>
      </c>
    </row>
    <row r="1788" spans="1:40" x14ac:dyDescent="0.25">
      <c r="A1788" t="s">
        <v>27</v>
      </c>
      <c r="B1788" s="1">
        <v>42181</v>
      </c>
      <c r="C1788" s="6">
        <f t="shared" si="270"/>
        <v>2015</v>
      </c>
      <c r="D1788">
        <v>78.8</v>
      </c>
      <c r="E1788">
        <v>64.400000000000006</v>
      </c>
      <c r="F1788">
        <v>73.3</v>
      </c>
      <c r="G1788" s="2">
        <f t="shared" si="271"/>
        <v>1</v>
      </c>
      <c r="H1788">
        <v>78.8</v>
      </c>
      <c r="I1788">
        <v>64.400000000000006</v>
      </c>
      <c r="J1788">
        <v>73.3</v>
      </c>
      <c r="K1788">
        <v>65.3</v>
      </c>
      <c r="L1788">
        <v>76.7</v>
      </c>
      <c r="M1788" s="2">
        <f t="shared" si="272"/>
        <v>0</v>
      </c>
      <c r="N1788">
        <v>0</v>
      </c>
      <c r="O1788" s="2">
        <f t="shared" si="273"/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16.600000000000001</v>
      </c>
      <c r="V1788" s="2">
        <f t="shared" si="274"/>
        <v>1</v>
      </c>
      <c r="W1788">
        <v>11.3</v>
      </c>
      <c r="X1788" s="2">
        <f t="shared" si="275"/>
        <v>0</v>
      </c>
      <c r="Y1788">
        <v>56.5</v>
      </c>
      <c r="Z1788" s="2" t="str">
        <f>CHOOSE(MATCH(Y1788,{0;11;80;111;161;191;241;281;341},1),"North","NorthEast","East","SouthEast","South","SouthWest","West","NorthWest","North")</f>
        <v>NorthEast</v>
      </c>
      <c r="AA1788" s="4">
        <f>CHOOSE(MATCH(Z1788,{"South";"SouthEast";"SouthWest";"North";"NorthEast";"East";"West";"NorthWest"},0),1,2,3,4,5,6,7,8)</f>
        <v>5</v>
      </c>
      <c r="AB1788" s="2">
        <f t="shared" si="276"/>
        <v>1</v>
      </c>
      <c r="AC1788">
        <v>1010</v>
      </c>
      <c r="AD1788" t="s">
        <v>2448</v>
      </c>
      <c r="AE1788" s="2">
        <f t="shared" si="277"/>
        <v>0</v>
      </c>
      <c r="AF1788" t="s">
        <v>2449</v>
      </c>
      <c r="AG1788" s="2">
        <f t="shared" si="278"/>
        <v>6</v>
      </c>
      <c r="AH1788" s="2">
        <f t="shared" si="279"/>
        <v>1</v>
      </c>
      <c r="AI1788" s="3">
        <v>71.000000000931323</v>
      </c>
      <c r="AJ1788" s="2">
        <v>0</v>
      </c>
      <c r="AK1788">
        <v>0</v>
      </c>
      <c r="AL1788">
        <v>0.1</v>
      </c>
      <c r="AM1788">
        <v>0</v>
      </c>
      <c r="AN1788" s="2">
        <f>IF((2*G1788+M1788-O1788+3*V1788+2*AB1788+2*AE1788+2*AH1788+3*AJ1788)&gt;=7,1,0)</f>
        <v>1</v>
      </c>
    </row>
    <row r="1789" spans="1:40" x14ac:dyDescent="0.25">
      <c r="A1789" t="s">
        <v>27</v>
      </c>
      <c r="B1789" s="1">
        <v>42188</v>
      </c>
      <c r="C1789" s="6">
        <f t="shared" si="270"/>
        <v>2015</v>
      </c>
      <c r="D1789">
        <v>82.4</v>
      </c>
      <c r="E1789">
        <v>68</v>
      </c>
      <c r="F1789">
        <v>76.7</v>
      </c>
      <c r="G1789" s="2">
        <f t="shared" si="271"/>
        <v>1</v>
      </c>
      <c r="H1789">
        <v>82.9</v>
      </c>
      <c r="I1789">
        <v>68</v>
      </c>
      <c r="J1789">
        <v>77.2</v>
      </c>
      <c r="K1789">
        <v>63.5</v>
      </c>
      <c r="L1789">
        <v>64.2</v>
      </c>
      <c r="M1789" s="2">
        <f t="shared" si="272"/>
        <v>1</v>
      </c>
      <c r="N1789">
        <v>0</v>
      </c>
      <c r="O1789" s="2">
        <f t="shared" si="273"/>
        <v>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33.6</v>
      </c>
      <c r="V1789" s="2">
        <f t="shared" si="274"/>
        <v>1</v>
      </c>
      <c r="W1789">
        <v>19.7</v>
      </c>
      <c r="X1789" s="2">
        <f t="shared" si="275"/>
        <v>1</v>
      </c>
      <c r="Y1789">
        <v>305.60000000000002</v>
      </c>
      <c r="Z1789" s="2" t="str">
        <f>CHOOSE(MATCH(Y1789,{0;11;80;111;161;191;241;281;341},1),"North","NorthEast","East","SouthEast","South","SouthWest","West","NorthWest","North")</f>
        <v>NorthWest</v>
      </c>
      <c r="AA1789" s="4">
        <f>CHOOSE(MATCH(Z1789,{"South";"SouthEast";"SouthWest";"North";"NorthEast";"East";"West";"NorthWest"},0),1,2,3,4,5,6,7,8)</f>
        <v>8</v>
      </c>
      <c r="AB1789" s="2">
        <f t="shared" si="276"/>
        <v>1</v>
      </c>
      <c r="AC1789">
        <v>1016.3</v>
      </c>
      <c r="AD1789" t="s">
        <v>1224</v>
      </c>
      <c r="AE1789" s="2">
        <f t="shared" si="277"/>
        <v>1</v>
      </c>
      <c r="AF1789" t="s">
        <v>2450</v>
      </c>
      <c r="AG1789" s="2">
        <f t="shared" si="278"/>
        <v>7</v>
      </c>
      <c r="AH1789" s="2">
        <f t="shared" si="279"/>
        <v>1</v>
      </c>
      <c r="AI1789" s="3">
        <v>1059.9999999976719</v>
      </c>
      <c r="AJ1789" s="2">
        <v>1</v>
      </c>
      <c r="AK1789">
        <v>0</v>
      </c>
      <c r="AL1789">
        <v>20</v>
      </c>
      <c r="AM1789">
        <v>0</v>
      </c>
      <c r="AN1789" s="2">
        <f>IF((2*G1789+M1789-O1789+3*V1789+2*AB1789+2*AE1789+2*AH1789+3*AJ1789)&gt;=7,1,0)</f>
        <v>1</v>
      </c>
    </row>
    <row r="1790" spans="1:40" x14ac:dyDescent="0.25">
      <c r="A1790" t="s">
        <v>27</v>
      </c>
      <c r="B1790" s="1">
        <v>42190</v>
      </c>
      <c r="C1790" s="6">
        <f t="shared" si="270"/>
        <v>2015</v>
      </c>
      <c r="D1790">
        <v>78.8</v>
      </c>
      <c r="E1790">
        <v>71.599999999999994</v>
      </c>
      <c r="F1790">
        <v>75.599999999999994</v>
      </c>
      <c r="G1790" s="2">
        <f t="shared" si="271"/>
        <v>1</v>
      </c>
      <c r="H1790">
        <v>78.8</v>
      </c>
      <c r="I1790">
        <v>71.599999999999994</v>
      </c>
      <c r="J1790">
        <v>75.599999999999994</v>
      </c>
      <c r="K1790">
        <v>62.5</v>
      </c>
      <c r="L1790">
        <v>64</v>
      </c>
      <c r="M1790" s="2">
        <f t="shared" si="272"/>
        <v>1</v>
      </c>
      <c r="N1790">
        <v>0</v>
      </c>
      <c r="O1790" s="2">
        <f t="shared" si="273"/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33.6</v>
      </c>
      <c r="V1790" s="2">
        <f t="shared" si="274"/>
        <v>1</v>
      </c>
      <c r="W1790">
        <v>19.7</v>
      </c>
      <c r="X1790" s="2">
        <f t="shared" si="275"/>
        <v>1</v>
      </c>
      <c r="Y1790">
        <v>309.39999999999998</v>
      </c>
      <c r="Z1790" s="2" t="str">
        <f>CHOOSE(MATCH(Y1790,{0;11;80;111;161;191;241;281;341},1),"North","NorthEast","East","SouthEast","South","SouthWest","West","NorthWest","North")</f>
        <v>NorthWest</v>
      </c>
      <c r="AA1790" s="4">
        <f>CHOOSE(MATCH(Z1790,{"South";"SouthEast";"SouthWest";"North";"NorthEast";"East";"West";"NorthWest"},0),1,2,3,4,5,6,7,8)</f>
        <v>8</v>
      </c>
      <c r="AB1790" s="2">
        <f t="shared" si="276"/>
        <v>1</v>
      </c>
      <c r="AC1790">
        <v>1016.2</v>
      </c>
      <c r="AD1790" t="s">
        <v>1077</v>
      </c>
      <c r="AE1790" s="2">
        <f t="shared" si="277"/>
        <v>1</v>
      </c>
      <c r="AF1790" t="s">
        <v>2451</v>
      </c>
      <c r="AG1790" s="2">
        <f t="shared" si="278"/>
        <v>7</v>
      </c>
      <c r="AH1790" s="2">
        <f t="shared" si="279"/>
        <v>1</v>
      </c>
      <c r="AI1790" s="3">
        <v>525.00000000349246</v>
      </c>
      <c r="AJ1790" s="2">
        <v>1</v>
      </c>
      <c r="AK1790">
        <v>0</v>
      </c>
      <c r="AL1790">
        <v>5</v>
      </c>
      <c r="AM1790">
        <v>0</v>
      </c>
      <c r="AN1790" s="2">
        <f>IF((2*G1790+M1790-O1790+3*V1790+2*AB1790+2*AE1790+2*AH1790+3*AJ1790)&gt;=7,1,0)</f>
        <v>1</v>
      </c>
    </row>
    <row r="1791" spans="1:40" x14ac:dyDescent="0.25">
      <c r="A1791" t="s">
        <v>27</v>
      </c>
      <c r="B1791" s="1">
        <v>42195</v>
      </c>
      <c r="C1791" s="6">
        <f t="shared" si="270"/>
        <v>2015</v>
      </c>
      <c r="D1791">
        <v>82.4</v>
      </c>
      <c r="E1791">
        <v>68</v>
      </c>
      <c r="F1791">
        <v>77</v>
      </c>
      <c r="G1791" s="2">
        <f t="shared" si="271"/>
        <v>1</v>
      </c>
      <c r="H1791">
        <v>89.5</v>
      </c>
      <c r="I1791">
        <v>68</v>
      </c>
      <c r="J1791">
        <v>79</v>
      </c>
      <c r="K1791">
        <v>70.099999999999994</v>
      </c>
      <c r="L1791">
        <v>80</v>
      </c>
      <c r="M1791" s="2">
        <f t="shared" si="272"/>
        <v>0</v>
      </c>
      <c r="N1791">
        <v>0</v>
      </c>
      <c r="O1791" s="2">
        <f t="shared" si="273"/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21.5</v>
      </c>
      <c r="V1791" s="2">
        <f t="shared" si="274"/>
        <v>1</v>
      </c>
      <c r="W1791">
        <v>8.1</v>
      </c>
      <c r="X1791" s="2">
        <f t="shared" si="275"/>
        <v>0</v>
      </c>
      <c r="Y1791">
        <v>349.8</v>
      </c>
      <c r="Z1791" s="2" t="str">
        <f>CHOOSE(MATCH(Y1791,{0;11;80;111;161;191;241;281;341},1),"North","NorthEast","East","SouthEast","South","SouthWest","West","NorthWest","North")</f>
        <v>North</v>
      </c>
      <c r="AA1791" s="4">
        <f>CHOOSE(MATCH(Z1791,{"South";"SouthEast";"SouthWest";"North";"NorthEast";"East";"West";"NorthWest"},0),1,2,3,4,5,6,7,8)</f>
        <v>4</v>
      </c>
      <c r="AB1791" s="2">
        <f t="shared" si="276"/>
        <v>1</v>
      </c>
      <c r="AC1791">
        <v>1011</v>
      </c>
      <c r="AD1791" t="s">
        <v>1138</v>
      </c>
      <c r="AE1791" s="2">
        <f t="shared" si="277"/>
        <v>1</v>
      </c>
      <c r="AF1791" t="s">
        <v>2452</v>
      </c>
      <c r="AG1791" s="2">
        <f t="shared" si="278"/>
        <v>7</v>
      </c>
      <c r="AH1791" s="2">
        <f t="shared" si="279"/>
        <v>1</v>
      </c>
      <c r="AI1791" s="3">
        <v>366.0000000090804</v>
      </c>
      <c r="AJ1791" s="2">
        <v>1</v>
      </c>
      <c r="AK1791">
        <v>0</v>
      </c>
      <c r="AL1791">
        <v>1.5</v>
      </c>
      <c r="AM1791">
        <v>0</v>
      </c>
      <c r="AN1791" s="2">
        <f>IF((2*G1791+M1791-O1791+3*V1791+2*AB1791+2*AE1791+2*AH1791+3*AJ1791)&gt;=7,1,0)</f>
        <v>1</v>
      </c>
    </row>
    <row r="1792" spans="1:40" x14ac:dyDescent="0.25">
      <c r="A1792" t="s">
        <v>27</v>
      </c>
      <c r="B1792" s="1">
        <v>42202</v>
      </c>
      <c r="C1792" s="6">
        <f t="shared" si="270"/>
        <v>2015</v>
      </c>
      <c r="D1792">
        <v>82.4</v>
      </c>
      <c r="E1792">
        <v>72.400000000000006</v>
      </c>
      <c r="F1792">
        <v>78.599999999999994</v>
      </c>
      <c r="G1792" s="2">
        <f t="shared" si="271"/>
        <v>1</v>
      </c>
      <c r="H1792">
        <v>86.2</v>
      </c>
      <c r="I1792">
        <v>72.400000000000006</v>
      </c>
      <c r="J1792">
        <v>79.900000000000006</v>
      </c>
      <c r="K1792">
        <v>67</v>
      </c>
      <c r="L1792">
        <v>68</v>
      </c>
      <c r="M1792" s="2">
        <f t="shared" si="272"/>
        <v>0</v>
      </c>
      <c r="N1792">
        <v>0</v>
      </c>
      <c r="O1792" s="2">
        <f t="shared" si="273"/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24.4</v>
      </c>
      <c r="V1792" s="2">
        <f t="shared" si="274"/>
        <v>1</v>
      </c>
      <c r="W1792">
        <v>20.8</v>
      </c>
      <c r="X1792" s="2">
        <f t="shared" si="275"/>
        <v>1</v>
      </c>
      <c r="Y1792">
        <v>311.3</v>
      </c>
      <c r="Z1792" s="2" t="str">
        <f>CHOOSE(MATCH(Y1792,{0;11;80;111;161;191;241;281;341},1),"North","NorthEast","East","SouthEast","South","SouthWest","West","NorthWest","North")</f>
        <v>NorthWest</v>
      </c>
      <c r="AA1792" s="4">
        <f>CHOOSE(MATCH(Z1792,{"South";"SouthEast";"SouthWest";"North";"NorthEast";"East";"West";"NorthWest"},0),1,2,3,4,5,6,7,8)</f>
        <v>8</v>
      </c>
      <c r="AB1792" s="2">
        <f t="shared" si="276"/>
        <v>1</v>
      </c>
      <c r="AC1792">
        <v>1012.2</v>
      </c>
      <c r="AD1792" t="s">
        <v>2453</v>
      </c>
      <c r="AE1792" s="2">
        <f t="shared" si="277"/>
        <v>0</v>
      </c>
      <c r="AF1792" t="s">
        <v>2454</v>
      </c>
      <c r="AG1792" s="2">
        <f t="shared" si="278"/>
        <v>7</v>
      </c>
      <c r="AH1792" s="2">
        <f t="shared" si="279"/>
        <v>1</v>
      </c>
      <c r="AI1792" s="3">
        <v>20674.999999991851</v>
      </c>
      <c r="AJ1792" s="2">
        <v>1</v>
      </c>
      <c r="AK1792">
        <v>0</v>
      </c>
      <c r="AL1792">
        <v>10000</v>
      </c>
      <c r="AM1792">
        <v>0</v>
      </c>
      <c r="AN1792" s="2">
        <f>IF((2*G1792+M1792-O1792+3*V1792+2*AB1792+2*AE1792+2*AH1792+3*AJ1792)&gt;=7,1,0)</f>
        <v>1</v>
      </c>
    </row>
    <row r="1793" spans="1:40" x14ac:dyDescent="0.25">
      <c r="A1793" t="s">
        <v>27</v>
      </c>
      <c r="B1793" s="1">
        <v>42202</v>
      </c>
      <c r="C1793" s="6">
        <f t="shared" si="270"/>
        <v>2015</v>
      </c>
      <c r="D1793">
        <v>82.4</v>
      </c>
      <c r="E1793">
        <v>72.400000000000006</v>
      </c>
      <c r="F1793">
        <v>78.599999999999994</v>
      </c>
      <c r="G1793" s="2">
        <f t="shared" si="271"/>
        <v>1</v>
      </c>
      <c r="H1793">
        <v>86.2</v>
      </c>
      <c r="I1793">
        <v>72.400000000000006</v>
      </c>
      <c r="J1793">
        <v>79.900000000000006</v>
      </c>
      <c r="K1793">
        <v>67</v>
      </c>
      <c r="L1793">
        <v>68</v>
      </c>
      <c r="M1793" s="2">
        <f t="shared" si="272"/>
        <v>0</v>
      </c>
      <c r="N1793">
        <v>0</v>
      </c>
      <c r="O1793" s="2">
        <f t="shared" si="273"/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24.4</v>
      </c>
      <c r="V1793" s="2">
        <f t="shared" si="274"/>
        <v>1</v>
      </c>
      <c r="W1793">
        <v>20.8</v>
      </c>
      <c r="X1793" s="2">
        <f t="shared" si="275"/>
        <v>1</v>
      </c>
      <c r="Y1793">
        <v>311.3</v>
      </c>
      <c r="Z1793" s="2" t="str">
        <f>CHOOSE(MATCH(Y1793,{0;11;80;111;161;191;241;281;341},1),"North","NorthEast","East","SouthEast","South","SouthWest","West","NorthWest","North")</f>
        <v>NorthWest</v>
      </c>
      <c r="AA1793" s="4">
        <f>CHOOSE(MATCH(Z1793,{"South";"SouthEast";"SouthWest";"North";"NorthEast";"East";"West";"NorthWest"},0),1,2,3,4,5,6,7,8)</f>
        <v>8</v>
      </c>
      <c r="AB1793" s="2">
        <f t="shared" si="276"/>
        <v>1</v>
      </c>
      <c r="AC1793">
        <v>1012.2</v>
      </c>
      <c r="AD1793" t="s">
        <v>2083</v>
      </c>
      <c r="AE1793" s="2">
        <f t="shared" si="277"/>
        <v>0</v>
      </c>
      <c r="AF1793" t="s">
        <v>2455</v>
      </c>
      <c r="AG1793" s="2">
        <f t="shared" si="278"/>
        <v>7</v>
      </c>
      <c r="AH1793" s="2">
        <f t="shared" si="279"/>
        <v>1</v>
      </c>
      <c r="AI1793" s="3">
        <v>1296.000000002095</v>
      </c>
      <c r="AJ1793" s="2">
        <v>1</v>
      </c>
      <c r="AK1793">
        <v>0</v>
      </c>
      <c r="AL1793">
        <v>20</v>
      </c>
      <c r="AM1793">
        <v>0</v>
      </c>
      <c r="AN1793" s="2">
        <f>IF((2*G1793+M1793-O1793+3*V1793+2*AB1793+2*AE1793+2*AH1793+3*AJ1793)&gt;=7,1,0)</f>
        <v>1</v>
      </c>
    </row>
    <row r="1794" spans="1:40" x14ac:dyDescent="0.25">
      <c r="A1794" t="s">
        <v>27</v>
      </c>
      <c r="B1794" s="1">
        <v>42203</v>
      </c>
      <c r="C1794" s="6">
        <f t="shared" si="270"/>
        <v>2015</v>
      </c>
      <c r="D1794">
        <v>80.599999999999994</v>
      </c>
      <c r="E1794">
        <v>75.2</v>
      </c>
      <c r="F1794">
        <v>77</v>
      </c>
      <c r="G1794" s="2">
        <f t="shared" si="271"/>
        <v>1</v>
      </c>
      <c r="H1794">
        <v>82.3</v>
      </c>
      <c r="I1794">
        <v>75.2</v>
      </c>
      <c r="J1794">
        <v>77.099999999999994</v>
      </c>
      <c r="K1794">
        <v>65</v>
      </c>
      <c r="L1794">
        <v>66.7</v>
      </c>
      <c r="M1794" s="2">
        <f t="shared" si="272"/>
        <v>0</v>
      </c>
      <c r="N1794">
        <v>0</v>
      </c>
      <c r="O1794" s="2">
        <f t="shared" si="273"/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24.4</v>
      </c>
      <c r="V1794" s="2">
        <f t="shared" si="274"/>
        <v>1</v>
      </c>
      <c r="W1794">
        <v>20.7</v>
      </c>
      <c r="X1794" s="2">
        <f t="shared" si="275"/>
        <v>1</v>
      </c>
      <c r="Y1794">
        <v>317.8</v>
      </c>
      <c r="Z1794" s="2" t="str">
        <f>CHOOSE(MATCH(Y1794,{0;11;80;111;161;191;241;281;341},1),"North","NorthEast","East","SouthEast","South","SouthWest","West","NorthWest","North")</f>
        <v>NorthWest</v>
      </c>
      <c r="AA1794" s="4">
        <f>CHOOSE(MATCH(Z1794,{"South";"SouthEast";"SouthWest";"North";"NorthEast";"East";"West";"NorthWest"},0),1,2,3,4,5,6,7,8)</f>
        <v>8</v>
      </c>
      <c r="AB1794" s="2">
        <f t="shared" si="276"/>
        <v>1</v>
      </c>
      <c r="AC1794">
        <v>1011.4</v>
      </c>
      <c r="AD1794" t="s">
        <v>1935</v>
      </c>
      <c r="AE1794" s="2">
        <f t="shared" si="277"/>
        <v>1</v>
      </c>
      <c r="AF1794" t="s">
        <v>2456</v>
      </c>
      <c r="AG1794" s="2">
        <f t="shared" si="278"/>
        <v>7</v>
      </c>
      <c r="AH1794" s="2">
        <f t="shared" si="279"/>
        <v>1</v>
      </c>
      <c r="AI1794" s="3">
        <v>110.00000000232831</v>
      </c>
      <c r="AJ1794" s="2">
        <v>0</v>
      </c>
      <c r="AK1794">
        <v>0</v>
      </c>
      <c r="AL1794">
        <v>2</v>
      </c>
      <c r="AM1794">
        <v>0</v>
      </c>
      <c r="AN1794" s="2">
        <f>IF((2*G1794+M1794-O1794+3*V1794+2*AB1794+2*AE1794+2*AH1794+3*AJ1794)&gt;=7,1,0)</f>
        <v>1</v>
      </c>
    </row>
    <row r="1795" spans="1:40" x14ac:dyDescent="0.25">
      <c r="A1795" t="s">
        <v>27</v>
      </c>
      <c r="B1795" s="1">
        <v>42204</v>
      </c>
      <c r="C1795" s="6">
        <f t="shared" ref="C1795:C1858" si="280">YEAR(B1795)</f>
        <v>2015</v>
      </c>
      <c r="D1795">
        <v>82.4</v>
      </c>
      <c r="E1795">
        <v>73.400000000000006</v>
      </c>
      <c r="F1795">
        <v>78.400000000000006</v>
      </c>
      <c r="G1795" s="2">
        <f t="shared" ref="G1795:G1858" si="281">IF(F1795&lt;=70,0,1)</f>
        <v>1</v>
      </c>
      <c r="H1795">
        <v>84.7</v>
      </c>
      <c r="I1795">
        <v>73.400000000000006</v>
      </c>
      <c r="J1795">
        <v>79.3</v>
      </c>
      <c r="K1795">
        <v>64.400000000000006</v>
      </c>
      <c r="L1795">
        <v>62.2</v>
      </c>
      <c r="M1795" s="2">
        <f t="shared" ref="M1795:M1858" si="282">IF(L1795&lt;=66,1,0)</f>
        <v>1</v>
      </c>
      <c r="N1795">
        <v>0</v>
      </c>
      <c r="O1795" s="2">
        <f t="shared" ref="O1795:O1858" si="283">IF(N1795&lt;=0.01,1,0)</f>
        <v>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21.5</v>
      </c>
      <c r="V1795" s="2">
        <f t="shared" ref="V1795:V1858" si="284">IF(U1795&lt;=9,0,1)</f>
        <v>1</v>
      </c>
      <c r="W1795">
        <v>20.8</v>
      </c>
      <c r="X1795" s="2">
        <f t="shared" ref="X1795:X1858" si="285">IF(W1795&gt;=16,1,0)</f>
        <v>1</v>
      </c>
      <c r="Y1795">
        <v>313.39999999999998</v>
      </c>
      <c r="Z1795" s="2" t="str">
        <f>CHOOSE(MATCH(Y1795,{0;11;80;111;161;191;241;281;341},1),"North","NorthEast","East","SouthEast","South","SouthWest","West","NorthWest","North")</f>
        <v>NorthWest</v>
      </c>
      <c r="AA1795" s="4">
        <f>CHOOSE(MATCH(Z1795,{"South";"SouthEast";"SouthWest";"North";"NorthEast";"East";"West";"NorthWest"},0),1,2,3,4,5,6,7,8)</f>
        <v>8</v>
      </c>
      <c r="AB1795" s="2">
        <f t="shared" ref="AB1795:AB1858" si="286">IF(OR(AA1795=4,AA1795=5,AA1795=8),1,0)</f>
        <v>1</v>
      </c>
      <c r="AC1795">
        <v>1009.4</v>
      </c>
      <c r="AD1795" t="s">
        <v>2457</v>
      </c>
      <c r="AE1795" s="2">
        <f t="shared" ref="AE1795:AE1858" si="287">IF(TIMEVALUE(AD1795)&lt;=TIME(12,30,0),0,1)</f>
        <v>1</v>
      </c>
      <c r="AF1795" t="s">
        <v>2458</v>
      </c>
      <c r="AG1795" s="2">
        <f t="shared" ref="AG1795:AG1858" si="288">MONTH(AF1795)</f>
        <v>7</v>
      </c>
      <c r="AH1795" s="2">
        <f t="shared" ref="AH1795:AH1858" si="289">IF(OR(AG1795=6,AG1795=7,AG1795=8),1,0)</f>
        <v>1</v>
      </c>
      <c r="AI1795" s="3">
        <v>1452.000000007683</v>
      </c>
      <c r="AJ1795" s="2">
        <v>1</v>
      </c>
      <c r="AK1795">
        <v>0</v>
      </c>
      <c r="AL1795">
        <v>1.5</v>
      </c>
      <c r="AM1795">
        <v>0</v>
      </c>
      <c r="AN1795" s="2">
        <f>IF((2*G1795+M1795-O1795+3*V1795+2*AB1795+2*AE1795+2*AH1795+3*AJ1795)&gt;=7,1,0)</f>
        <v>1</v>
      </c>
    </row>
    <row r="1796" spans="1:40" x14ac:dyDescent="0.25">
      <c r="A1796" t="s">
        <v>27</v>
      </c>
      <c r="B1796" s="1">
        <v>42209</v>
      </c>
      <c r="C1796" s="6">
        <f t="shared" si="280"/>
        <v>2015</v>
      </c>
      <c r="D1796">
        <v>84.2</v>
      </c>
      <c r="E1796">
        <v>68</v>
      </c>
      <c r="F1796">
        <v>76.900000000000006</v>
      </c>
      <c r="G1796" s="2">
        <f t="shared" si="281"/>
        <v>1</v>
      </c>
      <c r="H1796">
        <v>89.6</v>
      </c>
      <c r="I1796">
        <v>68</v>
      </c>
      <c r="J1796">
        <v>78.400000000000006</v>
      </c>
      <c r="K1796">
        <v>67.900000000000006</v>
      </c>
      <c r="L1796">
        <v>74.3</v>
      </c>
      <c r="M1796" s="2">
        <f t="shared" si="282"/>
        <v>0</v>
      </c>
      <c r="N1796">
        <v>0</v>
      </c>
      <c r="O1796" s="2">
        <f t="shared" si="283"/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17.2</v>
      </c>
      <c r="V1796" s="2">
        <f t="shared" si="284"/>
        <v>1</v>
      </c>
      <c r="W1796">
        <v>6.9</v>
      </c>
      <c r="X1796" s="2">
        <f t="shared" si="285"/>
        <v>0</v>
      </c>
      <c r="Y1796">
        <v>350.1</v>
      </c>
      <c r="Z1796" s="2" t="str">
        <f>CHOOSE(MATCH(Y1796,{0;11;80;111;161;191;241;281;341},1),"North","NorthEast","East","SouthEast","South","SouthWest","West","NorthWest","North")</f>
        <v>North</v>
      </c>
      <c r="AA1796" s="4">
        <f>CHOOSE(MATCH(Z1796,{"South";"SouthEast";"SouthWest";"North";"NorthEast";"East";"West";"NorthWest"},0),1,2,3,4,5,6,7,8)</f>
        <v>4</v>
      </c>
      <c r="AB1796" s="2">
        <f t="shared" si="286"/>
        <v>1</v>
      </c>
      <c r="AC1796">
        <v>1008.7</v>
      </c>
      <c r="AD1796" t="s">
        <v>2459</v>
      </c>
      <c r="AE1796" s="2">
        <f t="shared" si="287"/>
        <v>0</v>
      </c>
      <c r="AF1796" t="s">
        <v>2460</v>
      </c>
      <c r="AG1796" s="2">
        <f t="shared" si="288"/>
        <v>7</v>
      </c>
      <c r="AH1796" s="2">
        <f t="shared" si="289"/>
        <v>1</v>
      </c>
      <c r="AI1796" s="3">
        <v>90</v>
      </c>
      <c r="AJ1796" s="2">
        <v>0</v>
      </c>
      <c r="AK1796">
        <v>0</v>
      </c>
      <c r="AL1796">
        <v>0.2</v>
      </c>
      <c r="AM1796">
        <v>0</v>
      </c>
      <c r="AN1796" s="2">
        <f>IF((2*G1796+M1796-O1796+3*V1796+2*AB1796+2*AE1796+2*AH1796+3*AJ1796)&gt;=7,1,0)</f>
        <v>1</v>
      </c>
    </row>
    <row r="1797" spans="1:40" x14ac:dyDescent="0.25">
      <c r="A1797" t="s">
        <v>27</v>
      </c>
      <c r="B1797" s="1">
        <v>42214</v>
      </c>
      <c r="C1797" s="6">
        <f t="shared" si="280"/>
        <v>2015</v>
      </c>
      <c r="D1797">
        <v>87.8</v>
      </c>
      <c r="E1797">
        <v>70.400000000000006</v>
      </c>
      <c r="F1797">
        <v>81.099999999999994</v>
      </c>
      <c r="G1797" s="2">
        <f t="shared" si="281"/>
        <v>1</v>
      </c>
      <c r="H1797">
        <v>100</v>
      </c>
      <c r="I1797">
        <v>70.400000000000006</v>
      </c>
      <c r="J1797">
        <v>84.7</v>
      </c>
      <c r="K1797">
        <v>70</v>
      </c>
      <c r="L1797">
        <v>70.599999999999994</v>
      </c>
      <c r="M1797" s="2">
        <f t="shared" si="282"/>
        <v>0</v>
      </c>
      <c r="N1797">
        <v>0</v>
      </c>
      <c r="O1797" s="2">
        <f t="shared" si="283"/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17.399999999999999</v>
      </c>
      <c r="V1797" s="2">
        <f t="shared" si="284"/>
        <v>1</v>
      </c>
      <c r="W1797">
        <v>5.8</v>
      </c>
      <c r="X1797" s="2">
        <f t="shared" si="285"/>
        <v>0</v>
      </c>
      <c r="Y1797">
        <v>343.3</v>
      </c>
      <c r="Z1797" s="2" t="str">
        <f>CHOOSE(MATCH(Y1797,{0;11;80;111;161;191;241;281;341},1),"North","NorthEast","East","SouthEast","South","SouthWest","West","NorthWest","North")</f>
        <v>North</v>
      </c>
      <c r="AA1797" s="4">
        <f>CHOOSE(MATCH(Z1797,{"South";"SouthEast";"SouthWest";"North";"NorthEast";"East";"West";"NorthWest"},0),1,2,3,4,5,6,7,8)</f>
        <v>4</v>
      </c>
      <c r="AB1797" s="2">
        <f t="shared" si="286"/>
        <v>1</v>
      </c>
      <c r="AC1797">
        <v>1006.8</v>
      </c>
      <c r="AD1797" t="s">
        <v>1101</v>
      </c>
      <c r="AE1797" s="2">
        <f t="shared" si="287"/>
        <v>1</v>
      </c>
      <c r="AF1797" t="s">
        <v>2461</v>
      </c>
      <c r="AG1797" s="2">
        <f t="shared" si="288"/>
        <v>7</v>
      </c>
      <c r="AH1797" s="2">
        <f t="shared" si="289"/>
        <v>1</v>
      </c>
      <c r="AI1797" s="3">
        <v>505.00000000116421</v>
      </c>
      <c r="AJ1797" s="2">
        <v>1</v>
      </c>
      <c r="AK1797">
        <v>0</v>
      </c>
      <c r="AL1797">
        <v>0.5</v>
      </c>
      <c r="AM1797">
        <v>0</v>
      </c>
      <c r="AN1797" s="2">
        <f>IF((2*G1797+M1797-O1797+3*V1797+2*AB1797+2*AE1797+2*AH1797+3*AJ1797)&gt;=7,1,0)</f>
        <v>1</v>
      </c>
    </row>
    <row r="1798" spans="1:40" x14ac:dyDescent="0.25">
      <c r="A1798" t="s">
        <v>27</v>
      </c>
      <c r="B1798" s="1">
        <v>42219</v>
      </c>
      <c r="C1798" s="6">
        <f t="shared" si="280"/>
        <v>2015</v>
      </c>
      <c r="D1798">
        <v>84.2</v>
      </c>
      <c r="E1798">
        <v>78.8</v>
      </c>
      <c r="F1798">
        <v>80.8</v>
      </c>
      <c r="G1798" s="2">
        <f t="shared" si="281"/>
        <v>1</v>
      </c>
      <c r="H1798">
        <v>89.6</v>
      </c>
      <c r="I1798">
        <v>78.8</v>
      </c>
      <c r="J1798">
        <v>83.4</v>
      </c>
      <c r="K1798">
        <v>71.099999999999994</v>
      </c>
      <c r="L1798">
        <v>72.5</v>
      </c>
      <c r="M1798" s="2">
        <f t="shared" si="282"/>
        <v>0</v>
      </c>
      <c r="N1798">
        <v>0</v>
      </c>
      <c r="O1798" s="2">
        <f t="shared" si="283"/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26.4</v>
      </c>
      <c r="V1798" s="2">
        <f t="shared" si="284"/>
        <v>1</v>
      </c>
      <c r="W1798">
        <v>13.9</v>
      </c>
      <c r="X1798" s="2">
        <f t="shared" si="285"/>
        <v>0</v>
      </c>
      <c r="Y1798">
        <v>319.60000000000002</v>
      </c>
      <c r="Z1798" s="2" t="str">
        <f>CHOOSE(MATCH(Y1798,{0;11;80;111;161;191;241;281;341},1),"North","NorthEast","East","SouthEast","South","SouthWest","West","NorthWest","North")</f>
        <v>NorthWest</v>
      </c>
      <c r="AA1798" s="4">
        <f>CHOOSE(MATCH(Z1798,{"South";"SouthEast";"SouthWest";"North";"NorthEast";"East";"West";"NorthWest"},0),1,2,3,4,5,6,7,8)</f>
        <v>8</v>
      </c>
      <c r="AB1798" s="2">
        <f t="shared" si="286"/>
        <v>1</v>
      </c>
      <c r="AC1798">
        <v>1011.8</v>
      </c>
      <c r="AD1798" t="s">
        <v>2462</v>
      </c>
      <c r="AE1798" s="2">
        <f t="shared" si="287"/>
        <v>0</v>
      </c>
      <c r="AF1798" t="s">
        <v>2463</v>
      </c>
      <c r="AG1798" s="2">
        <f t="shared" si="288"/>
        <v>8</v>
      </c>
      <c r="AH1798" s="2">
        <f t="shared" si="289"/>
        <v>1</v>
      </c>
      <c r="AI1798" s="3">
        <v>496.00000000325957</v>
      </c>
      <c r="AJ1798" s="2">
        <v>1</v>
      </c>
      <c r="AK1798">
        <v>0</v>
      </c>
      <c r="AL1798">
        <v>12</v>
      </c>
      <c r="AM1798">
        <v>0</v>
      </c>
      <c r="AN1798" s="2">
        <f>IF((2*G1798+M1798-O1798+3*V1798+2*AB1798+2*AE1798+2*AH1798+3*AJ1798)&gt;=7,1,0)</f>
        <v>1</v>
      </c>
    </row>
    <row r="1799" spans="1:40" x14ac:dyDescent="0.25">
      <c r="A1799" t="s">
        <v>27</v>
      </c>
      <c r="B1799" s="1">
        <v>42221</v>
      </c>
      <c r="C1799" s="6">
        <f t="shared" si="280"/>
        <v>2015</v>
      </c>
      <c r="D1799">
        <v>86</v>
      </c>
      <c r="E1799">
        <v>71.599999999999994</v>
      </c>
      <c r="F1799">
        <v>79.8</v>
      </c>
      <c r="G1799" s="2">
        <f t="shared" si="281"/>
        <v>1</v>
      </c>
      <c r="H1799">
        <v>97.2</v>
      </c>
      <c r="I1799">
        <v>71.599999999999994</v>
      </c>
      <c r="J1799">
        <v>83.1</v>
      </c>
      <c r="K1799">
        <v>70.900000000000006</v>
      </c>
      <c r="L1799">
        <v>74.8</v>
      </c>
      <c r="M1799" s="2">
        <f t="shared" si="282"/>
        <v>0</v>
      </c>
      <c r="N1799">
        <v>0</v>
      </c>
      <c r="O1799" s="2">
        <f t="shared" si="283"/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17.7</v>
      </c>
      <c r="V1799" s="2">
        <f t="shared" si="284"/>
        <v>1</v>
      </c>
      <c r="W1799">
        <v>10.3</v>
      </c>
      <c r="X1799" s="2">
        <f t="shared" si="285"/>
        <v>0</v>
      </c>
      <c r="Y1799">
        <v>339.7</v>
      </c>
      <c r="Z1799" s="2" t="str">
        <f>CHOOSE(MATCH(Y1799,{0;11;80;111;161;191;241;281;341},1),"North","NorthEast","East","SouthEast","South","SouthWest","West","NorthWest","North")</f>
        <v>NorthWest</v>
      </c>
      <c r="AA1799" s="4">
        <f>CHOOSE(MATCH(Z1799,{"South";"SouthEast";"SouthWest";"North";"NorthEast";"East";"West";"NorthWest"},0),1,2,3,4,5,6,7,8)</f>
        <v>8</v>
      </c>
      <c r="AB1799" s="2">
        <f t="shared" si="286"/>
        <v>1</v>
      </c>
      <c r="AC1799">
        <v>1008.5</v>
      </c>
      <c r="AD1799" t="s">
        <v>2441</v>
      </c>
      <c r="AE1799" s="2">
        <f t="shared" si="287"/>
        <v>1</v>
      </c>
      <c r="AF1799" t="s">
        <v>2464</v>
      </c>
      <c r="AG1799" s="2">
        <f t="shared" si="288"/>
        <v>8</v>
      </c>
      <c r="AH1799" s="2">
        <f t="shared" si="289"/>
        <v>1</v>
      </c>
      <c r="AI1799" s="3">
        <v>26.000000000931319</v>
      </c>
      <c r="AJ1799" s="2">
        <v>0</v>
      </c>
      <c r="AK1799">
        <v>0</v>
      </c>
      <c r="AL1799">
        <v>0.01</v>
      </c>
      <c r="AM1799">
        <v>0</v>
      </c>
      <c r="AN1799" s="2">
        <f>IF((2*G1799+M1799-O1799+3*V1799+2*AB1799+2*AE1799+2*AH1799+3*AJ1799)&gt;=7,1,0)</f>
        <v>1</v>
      </c>
    </row>
    <row r="1800" spans="1:40" x14ac:dyDescent="0.25">
      <c r="A1800" t="s">
        <v>27</v>
      </c>
      <c r="B1800" s="1">
        <v>42221</v>
      </c>
      <c r="C1800" s="6">
        <f t="shared" si="280"/>
        <v>2015</v>
      </c>
      <c r="D1800">
        <v>86</v>
      </c>
      <c r="E1800">
        <v>71.599999999999994</v>
      </c>
      <c r="F1800">
        <v>79.8</v>
      </c>
      <c r="G1800" s="2">
        <f t="shared" si="281"/>
        <v>1</v>
      </c>
      <c r="H1800">
        <v>97.2</v>
      </c>
      <c r="I1800">
        <v>71.599999999999994</v>
      </c>
      <c r="J1800">
        <v>83.1</v>
      </c>
      <c r="K1800">
        <v>70.900000000000006</v>
      </c>
      <c r="L1800">
        <v>74.8</v>
      </c>
      <c r="M1800" s="2">
        <f t="shared" si="282"/>
        <v>0</v>
      </c>
      <c r="N1800">
        <v>0</v>
      </c>
      <c r="O1800" s="2">
        <f t="shared" si="283"/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17.7</v>
      </c>
      <c r="V1800" s="2">
        <f t="shared" si="284"/>
        <v>1</v>
      </c>
      <c r="W1800">
        <v>10.3</v>
      </c>
      <c r="X1800" s="2">
        <f t="shared" si="285"/>
        <v>0</v>
      </c>
      <c r="Y1800">
        <v>339.7</v>
      </c>
      <c r="Z1800" s="2" t="str">
        <f>CHOOSE(MATCH(Y1800,{0;11;80;111;161;191;241;281;341},1),"North","NorthEast","East","SouthEast","South","SouthWest","West","NorthWest","North")</f>
        <v>NorthWest</v>
      </c>
      <c r="AA1800" s="4">
        <f>CHOOSE(MATCH(Z1800,{"South";"SouthEast";"SouthWest";"North";"NorthEast";"East";"West";"NorthWest"},0),1,2,3,4,5,6,7,8)</f>
        <v>8</v>
      </c>
      <c r="AB1800" s="2">
        <f t="shared" si="286"/>
        <v>1</v>
      </c>
      <c r="AC1800">
        <v>1008.5</v>
      </c>
      <c r="AD1800" t="s">
        <v>1763</v>
      </c>
      <c r="AE1800" s="2">
        <f t="shared" si="287"/>
        <v>0</v>
      </c>
      <c r="AF1800" t="s">
        <v>2465</v>
      </c>
      <c r="AG1800" s="2">
        <f t="shared" si="288"/>
        <v>8</v>
      </c>
      <c r="AH1800" s="2">
        <f t="shared" si="289"/>
        <v>1</v>
      </c>
      <c r="AI1800" s="3">
        <v>85.000000004656613</v>
      </c>
      <c r="AJ1800" s="2">
        <v>0</v>
      </c>
      <c r="AK1800">
        <v>0</v>
      </c>
      <c r="AL1800">
        <v>0.1</v>
      </c>
      <c r="AM1800">
        <v>0</v>
      </c>
      <c r="AN1800" s="2">
        <f>IF((2*G1800+M1800-O1800+3*V1800+2*AB1800+2*AE1800+2*AH1800+3*AJ1800)&gt;=7,1,0)</f>
        <v>1</v>
      </c>
    </row>
    <row r="1801" spans="1:40" x14ac:dyDescent="0.25">
      <c r="A1801" t="s">
        <v>27</v>
      </c>
      <c r="B1801" s="1">
        <v>42224</v>
      </c>
      <c r="C1801" s="6">
        <f t="shared" si="280"/>
        <v>2015</v>
      </c>
      <c r="D1801">
        <v>84.2</v>
      </c>
      <c r="E1801">
        <v>73.400000000000006</v>
      </c>
      <c r="F1801">
        <v>79</v>
      </c>
      <c r="G1801" s="2">
        <f t="shared" si="281"/>
        <v>1</v>
      </c>
      <c r="H1801">
        <v>91</v>
      </c>
      <c r="I1801">
        <v>73.400000000000006</v>
      </c>
      <c r="J1801">
        <v>81.400000000000006</v>
      </c>
      <c r="K1801">
        <v>71.5</v>
      </c>
      <c r="L1801">
        <v>78</v>
      </c>
      <c r="M1801" s="2">
        <f t="shared" si="282"/>
        <v>0</v>
      </c>
      <c r="N1801">
        <v>0</v>
      </c>
      <c r="O1801" s="2">
        <f t="shared" si="283"/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17</v>
      </c>
      <c r="V1801" s="2">
        <f t="shared" si="284"/>
        <v>1</v>
      </c>
      <c r="W1801">
        <v>11.4</v>
      </c>
      <c r="X1801" s="2">
        <f t="shared" si="285"/>
        <v>0</v>
      </c>
      <c r="Y1801">
        <v>328.7</v>
      </c>
      <c r="Z1801" s="2" t="str">
        <f>CHOOSE(MATCH(Y1801,{0;11;80;111;161;191;241;281;341},1),"North","NorthEast","East","SouthEast","South","SouthWest","West","NorthWest","North")</f>
        <v>NorthWest</v>
      </c>
      <c r="AA1801" s="4">
        <f>CHOOSE(MATCH(Z1801,{"South";"SouthEast";"SouthWest";"North";"NorthEast";"East";"West";"NorthWest"},0),1,2,3,4,5,6,7,8)</f>
        <v>8</v>
      </c>
      <c r="AB1801" s="2">
        <f t="shared" si="286"/>
        <v>1</v>
      </c>
      <c r="AC1801">
        <v>1011.3</v>
      </c>
      <c r="AD1801" t="s">
        <v>1814</v>
      </c>
      <c r="AE1801" s="2">
        <f t="shared" si="287"/>
        <v>1</v>
      </c>
      <c r="AF1801" t="s">
        <v>2466</v>
      </c>
      <c r="AG1801" s="2">
        <f t="shared" si="288"/>
        <v>8</v>
      </c>
      <c r="AH1801" s="2">
        <f t="shared" si="289"/>
        <v>1</v>
      </c>
      <c r="AI1801" s="3">
        <v>195.00000000698489</v>
      </c>
      <c r="AJ1801" s="2">
        <v>0</v>
      </c>
      <c r="AK1801">
        <v>0</v>
      </c>
      <c r="AL1801">
        <v>0.1</v>
      </c>
      <c r="AM1801">
        <v>0</v>
      </c>
      <c r="AN1801" s="2">
        <f>IF((2*G1801+M1801-O1801+3*V1801+2*AB1801+2*AE1801+2*AH1801+3*AJ1801)&gt;=7,1,0)</f>
        <v>1</v>
      </c>
    </row>
    <row r="1802" spans="1:40" x14ac:dyDescent="0.25">
      <c r="A1802" t="s">
        <v>27</v>
      </c>
      <c r="B1802" s="1">
        <v>42225</v>
      </c>
      <c r="C1802" s="6">
        <f t="shared" si="280"/>
        <v>2015</v>
      </c>
      <c r="D1802">
        <v>84.2</v>
      </c>
      <c r="E1802">
        <v>71.599999999999994</v>
      </c>
      <c r="F1802">
        <v>79.099999999999994</v>
      </c>
      <c r="G1802" s="2">
        <f t="shared" si="281"/>
        <v>1</v>
      </c>
      <c r="H1802">
        <v>89.6</v>
      </c>
      <c r="I1802">
        <v>71.599999999999994</v>
      </c>
      <c r="J1802">
        <v>81.5</v>
      </c>
      <c r="K1802">
        <v>70.599999999999994</v>
      </c>
      <c r="L1802">
        <v>75.599999999999994</v>
      </c>
      <c r="M1802" s="2">
        <f t="shared" si="282"/>
        <v>0</v>
      </c>
      <c r="N1802">
        <v>0</v>
      </c>
      <c r="O1802" s="2">
        <f t="shared" si="283"/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20.100000000000001</v>
      </c>
      <c r="V1802" s="2">
        <f t="shared" si="284"/>
        <v>1</v>
      </c>
      <c r="W1802">
        <v>15</v>
      </c>
      <c r="X1802" s="2">
        <f t="shared" si="285"/>
        <v>0</v>
      </c>
      <c r="Y1802">
        <v>324.8</v>
      </c>
      <c r="Z1802" s="2" t="str">
        <f>CHOOSE(MATCH(Y1802,{0;11;80;111;161;191;241;281;341},1),"North","NorthEast","East","SouthEast","South","SouthWest","West","NorthWest","North")</f>
        <v>NorthWest</v>
      </c>
      <c r="AA1802" s="4">
        <f>CHOOSE(MATCH(Z1802,{"South";"SouthEast";"SouthWest";"North";"NorthEast";"East";"West";"NorthWest"},0),1,2,3,4,5,6,7,8)</f>
        <v>8</v>
      </c>
      <c r="AB1802" s="2">
        <f t="shared" si="286"/>
        <v>1</v>
      </c>
      <c r="AC1802">
        <v>1012.3</v>
      </c>
      <c r="AD1802" t="s">
        <v>1093</v>
      </c>
      <c r="AE1802" s="2">
        <f t="shared" si="287"/>
        <v>1</v>
      </c>
      <c r="AF1802" t="s">
        <v>2467</v>
      </c>
      <c r="AG1802" s="2">
        <f t="shared" si="288"/>
        <v>8</v>
      </c>
      <c r="AH1802" s="2">
        <f t="shared" si="289"/>
        <v>1</v>
      </c>
      <c r="AI1802" s="3">
        <v>310.00000000465661</v>
      </c>
      <c r="AJ1802" s="2">
        <v>0</v>
      </c>
      <c r="AK1802">
        <v>0</v>
      </c>
      <c r="AL1802">
        <v>3</v>
      </c>
      <c r="AM1802">
        <v>0</v>
      </c>
      <c r="AN1802" s="2">
        <f>IF((2*G1802+M1802-O1802+3*V1802+2*AB1802+2*AE1802+2*AH1802+3*AJ1802)&gt;=7,1,0)</f>
        <v>1</v>
      </c>
    </row>
    <row r="1803" spans="1:40" x14ac:dyDescent="0.25">
      <c r="A1803" t="s">
        <v>27</v>
      </c>
      <c r="B1803" s="1">
        <v>42226</v>
      </c>
      <c r="C1803" s="6">
        <f t="shared" si="280"/>
        <v>2015</v>
      </c>
      <c r="D1803">
        <v>86</v>
      </c>
      <c r="E1803">
        <v>73.400000000000006</v>
      </c>
      <c r="F1803">
        <v>80.2</v>
      </c>
      <c r="G1803" s="2">
        <f t="shared" si="281"/>
        <v>1</v>
      </c>
      <c r="H1803">
        <v>90.6</v>
      </c>
      <c r="I1803">
        <v>73.400000000000006</v>
      </c>
      <c r="J1803">
        <v>82.2</v>
      </c>
      <c r="K1803">
        <v>68.599999999999994</v>
      </c>
      <c r="L1803">
        <v>68.2</v>
      </c>
      <c r="M1803" s="2">
        <f t="shared" si="282"/>
        <v>0</v>
      </c>
      <c r="N1803">
        <v>0</v>
      </c>
      <c r="O1803" s="2">
        <f t="shared" si="283"/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19</v>
      </c>
      <c r="V1803" s="2">
        <f t="shared" si="284"/>
        <v>1</v>
      </c>
      <c r="W1803">
        <v>11.4</v>
      </c>
      <c r="X1803" s="2">
        <f t="shared" si="285"/>
        <v>0</v>
      </c>
      <c r="Y1803">
        <v>320.89999999999998</v>
      </c>
      <c r="Z1803" s="2" t="str">
        <f>CHOOSE(MATCH(Y1803,{0;11;80;111;161;191;241;281;341},1),"North","NorthEast","East","SouthEast","South","SouthWest","West","NorthWest","North")</f>
        <v>NorthWest</v>
      </c>
      <c r="AA1803" s="4">
        <f>CHOOSE(MATCH(Z1803,{"South";"SouthEast";"SouthWest";"North";"NorthEast";"East";"West";"NorthWest"},0),1,2,3,4,5,6,7,8)</f>
        <v>8</v>
      </c>
      <c r="AB1803" s="2">
        <f t="shared" si="286"/>
        <v>1</v>
      </c>
      <c r="AC1803">
        <v>1011.6</v>
      </c>
      <c r="AD1803" t="s">
        <v>1270</v>
      </c>
      <c r="AE1803" s="2">
        <f t="shared" si="287"/>
        <v>1</v>
      </c>
      <c r="AF1803" t="s">
        <v>2468</v>
      </c>
      <c r="AG1803" s="2">
        <f t="shared" si="288"/>
        <v>8</v>
      </c>
      <c r="AH1803" s="2">
        <f t="shared" si="289"/>
        <v>1</v>
      </c>
      <c r="AI1803" s="3">
        <v>1194.9999999976719</v>
      </c>
      <c r="AJ1803" s="2">
        <v>1</v>
      </c>
      <c r="AK1803">
        <v>0</v>
      </c>
      <c r="AL1803">
        <v>0.01</v>
      </c>
      <c r="AM1803">
        <v>0</v>
      </c>
      <c r="AN1803" s="2">
        <f>IF((2*G1803+M1803-O1803+3*V1803+2*AB1803+2*AE1803+2*AH1803+3*AJ1803)&gt;=7,1,0)</f>
        <v>1</v>
      </c>
    </row>
    <row r="1804" spans="1:40" x14ac:dyDescent="0.25">
      <c r="A1804" t="s">
        <v>27</v>
      </c>
      <c r="B1804" s="1">
        <v>42229</v>
      </c>
      <c r="C1804" s="6">
        <f t="shared" si="280"/>
        <v>2015</v>
      </c>
      <c r="D1804">
        <v>87.8</v>
      </c>
      <c r="E1804">
        <v>71.599999999999994</v>
      </c>
      <c r="F1804">
        <v>80.3</v>
      </c>
      <c r="G1804" s="2">
        <f t="shared" si="281"/>
        <v>1</v>
      </c>
      <c r="H1804">
        <v>101.9</v>
      </c>
      <c r="I1804">
        <v>71.599999999999994</v>
      </c>
      <c r="J1804">
        <v>83.8</v>
      </c>
      <c r="K1804">
        <v>69.2</v>
      </c>
      <c r="L1804">
        <v>69.7</v>
      </c>
      <c r="M1804" s="2">
        <f t="shared" si="282"/>
        <v>0</v>
      </c>
      <c r="N1804">
        <v>0</v>
      </c>
      <c r="O1804" s="2">
        <f t="shared" si="283"/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23</v>
      </c>
      <c r="V1804" s="2">
        <f t="shared" si="284"/>
        <v>1</v>
      </c>
      <c r="W1804">
        <v>10.3</v>
      </c>
      <c r="X1804" s="2">
        <f t="shared" si="285"/>
        <v>0</v>
      </c>
      <c r="Y1804">
        <v>56.8</v>
      </c>
      <c r="Z1804" s="2" t="str">
        <f>CHOOSE(MATCH(Y1804,{0;11;80;111;161;191;241;281;341},1),"North","NorthEast","East","SouthEast","South","SouthWest","West","NorthWest","North")</f>
        <v>NorthEast</v>
      </c>
      <c r="AA1804" s="4">
        <f>CHOOSE(MATCH(Z1804,{"South";"SouthEast";"SouthWest";"North";"NorthEast";"East";"West";"NorthWest"},0),1,2,3,4,5,6,7,8)</f>
        <v>5</v>
      </c>
      <c r="AB1804" s="2">
        <f t="shared" si="286"/>
        <v>1</v>
      </c>
      <c r="AC1804">
        <v>1009.9</v>
      </c>
      <c r="AD1804" t="s">
        <v>1254</v>
      </c>
      <c r="AE1804" s="2">
        <f t="shared" si="287"/>
        <v>1</v>
      </c>
      <c r="AF1804" t="s">
        <v>2469</v>
      </c>
      <c r="AG1804" s="2">
        <f t="shared" si="288"/>
        <v>8</v>
      </c>
      <c r="AH1804" s="2">
        <f t="shared" si="289"/>
        <v>1</v>
      </c>
      <c r="AI1804" s="3">
        <v>720</v>
      </c>
      <c r="AJ1804" s="2">
        <v>1</v>
      </c>
      <c r="AK1804">
        <v>0</v>
      </c>
      <c r="AL1804">
        <v>2</v>
      </c>
      <c r="AM1804">
        <v>0</v>
      </c>
      <c r="AN1804" s="2">
        <f>IF((2*G1804+M1804-O1804+3*V1804+2*AB1804+2*AE1804+2*AH1804+3*AJ1804)&gt;=7,1,0)</f>
        <v>1</v>
      </c>
    </row>
    <row r="1805" spans="1:40" x14ac:dyDescent="0.25">
      <c r="A1805" t="s">
        <v>27</v>
      </c>
      <c r="B1805" s="1">
        <v>42240</v>
      </c>
      <c r="C1805" s="6">
        <f t="shared" si="280"/>
        <v>2015</v>
      </c>
      <c r="D1805">
        <v>84.2</v>
      </c>
      <c r="E1805">
        <v>77</v>
      </c>
      <c r="F1805">
        <v>79.400000000000006</v>
      </c>
      <c r="G1805" s="2">
        <f t="shared" si="281"/>
        <v>1</v>
      </c>
      <c r="H1805">
        <v>85.7</v>
      </c>
      <c r="I1805">
        <v>77</v>
      </c>
      <c r="J1805">
        <v>80</v>
      </c>
      <c r="K1805">
        <v>65.400000000000006</v>
      </c>
      <c r="L1805">
        <v>62.9</v>
      </c>
      <c r="M1805" s="2">
        <f t="shared" si="282"/>
        <v>1</v>
      </c>
      <c r="N1805">
        <v>0</v>
      </c>
      <c r="O1805" s="2">
        <f t="shared" si="283"/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36.9</v>
      </c>
      <c r="V1805" s="2">
        <f t="shared" si="284"/>
        <v>1</v>
      </c>
      <c r="W1805">
        <v>19.7</v>
      </c>
      <c r="X1805" s="2">
        <f t="shared" si="285"/>
        <v>1</v>
      </c>
      <c r="Y1805">
        <v>325.60000000000002</v>
      </c>
      <c r="Z1805" s="2" t="str">
        <f>CHOOSE(MATCH(Y1805,{0;11;80;111;161;191;241;281;341},1),"North","NorthEast","East","SouthEast","South","SouthWest","West","NorthWest","North")</f>
        <v>NorthWest</v>
      </c>
      <c r="AA1805" s="4">
        <f>CHOOSE(MATCH(Z1805,{"South";"SouthEast";"SouthWest";"North";"NorthEast";"East";"West";"NorthWest"},0),1,2,3,4,5,6,7,8)</f>
        <v>8</v>
      </c>
      <c r="AB1805" s="2">
        <f t="shared" si="286"/>
        <v>1</v>
      </c>
      <c r="AC1805">
        <v>1012.2</v>
      </c>
      <c r="AD1805" t="s">
        <v>1071</v>
      </c>
      <c r="AE1805" s="2">
        <f t="shared" si="287"/>
        <v>0</v>
      </c>
      <c r="AF1805" t="s">
        <v>2470</v>
      </c>
      <c r="AG1805" s="2">
        <f t="shared" si="288"/>
        <v>8</v>
      </c>
      <c r="AH1805" s="2">
        <f t="shared" si="289"/>
        <v>1</v>
      </c>
      <c r="AI1805" s="3">
        <v>169.99999999883579</v>
      </c>
      <c r="AJ1805" s="2">
        <v>0</v>
      </c>
      <c r="AK1805">
        <v>0</v>
      </c>
      <c r="AL1805">
        <v>0.1</v>
      </c>
      <c r="AM1805">
        <v>0</v>
      </c>
      <c r="AN1805" s="2">
        <f>IF((2*G1805+M1805-O1805+3*V1805+2*AB1805+2*AE1805+2*AH1805+3*AJ1805)&gt;=7,1,0)</f>
        <v>1</v>
      </c>
    </row>
    <row r="1806" spans="1:40" x14ac:dyDescent="0.25">
      <c r="A1806" t="s">
        <v>27</v>
      </c>
      <c r="B1806" s="1">
        <v>42240</v>
      </c>
      <c r="C1806" s="6">
        <f t="shared" si="280"/>
        <v>2015</v>
      </c>
      <c r="D1806">
        <v>84.2</v>
      </c>
      <c r="E1806">
        <v>77</v>
      </c>
      <c r="F1806">
        <v>79.400000000000006</v>
      </c>
      <c r="G1806" s="2">
        <f t="shared" si="281"/>
        <v>1</v>
      </c>
      <c r="H1806">
        <v>85.7</v>
      </c>
      <c r="I1806">
        <v>77</v>
      </c>
      <c r="J1806">
        <v>80</v>
      </c>
      <c r="K1806">
        <v>65.400000000000006</v>
      </c>
      <c r="L1806">
        <v>62.9</v>
      </c>
      <c r="M1806" s="2">
        <f t="shared" si="282"/>
        <v>1</v>
      </c>
      <c r="N1806">
        <v>0</v>
      </c>
      <c r="O1806" s="2">
        <f t="shared" si="283"/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36.9</v>
      </c>
      <c r="V1806" s="2">
        <f t="shared" si="284"/>
        <v>1</v>
      </c>
      <c r="W1806">
        <v>19.7</v>
      </c>
      <c r="X1806" s="2">
        <f t="shared" si="285"/>
        <v>1</v>
      </c>
      <c r="Y1806">
        <v>325.60000000000002</v>
      </c>
      <c r="Z1806" s="2" t="str">
        <f>CHOOSE(MATCH(Y1806,{0;11;80;111;161;191;241;281;341},1),"North","NorthEast","East","SouthEast","South","SouthWest","West","NorthWest","North")</f>
        <v>NorthWest</v>
      </c>
      <c r="AA1806" s="4">
        <f>CHOOSE(MATCH(Z1806,{"South";"SouthEast";"SouthWest";"North";"NorthEast";"East";"West";"NorthWest"},0),1,2,3,4,5,6,7,8)</f>
        <v>8</v>
      </c>
      <c r="AB1806" s="2">
        <f t="shared" si="286"/>
        <v>1</v>
      </c>
      <c r="AC1806">
        <v>1012.2</v>
      </c>
      <c r="AD1806" t="s">
        <v>2471</v>
      </c>
      <c r="AE1806" s="2">
        <f t="shared" si="287"/>
        <v>1</v>
      </c>
      <c r="AF1806" t="s">
        <v>2472</v>
      </c>
      <c r="AG1806" s="2">
        <f t="shared" si="288"/>
        <v>8</v>
      </c>
      <c r="AH1806" s="2">
        <f t="shared" si="289"/>
        <v>1</v>
      </c>
      <c r="AI1806" s="3">
        <v>1020.9999999962751</v>
      </c>
      <c r="AJ1806" s="2">
        <v>1</v>
      </c>
      <c r="AK1806">
        <v>0</v>
      </c>
      <c r="AL1806">
        <v>5</v>
      </c>
      <c r="AM1806">
        <v>0</v>
      </c>
      <c r="AN1806" s="2">
        <f>IF((2*G1806+M1806-O1806+3*V1806+2*AB1806+2*AE1806+2*AH1806+3*AJ1806)&gt;=7,1,0)</f>
        <v>1</v>
      </c>
    </row>
    <row r="1807" spans="1:40" x14ac:dyDescent="0.25">
      <c r="A1807" t="s">
        <v>27</v>
      </c>
      <c r="B1807" s="1">
        <v>42246</v>
      </c>
      <c r="C1807" s="6">
        <f t="shared" si="280"/>
        <v>2015</v>
      </c>
      <c r="D1807">
        <v>82.4</v>
      </c>
      <c r="E1807">
        <v>69.8</v>
      </c>
      <c r="F1807">
        <v>78.3</v>
      </c>
      <c r="G1807" s="2">
        <f t="shared" si="281"/>
        <v>1</v>
      </c>
      <c r="H1807">
        <v>86.2</v>
      </c>
      <c r="I1807">
        <v>69.8</v>
      </c>
      <c r="J1807">
        <v>79.7</v>
      </c>
      <c r="K1807">
        <v>65.2</v>
      </c>
      <c r="L1807">
        <v>64.400000000000006</v>
      </c>
      <c r="M1807" s="2">
        <f t="shared" si="282"/>
        <v>1</v>
      </c>
      <c r="N1807">
        <v>0</v>
      </c>
      <c r="O1807" s="2">
        <f t="shared" si="283"/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23</v>
      </c>
      <c r="V1807" s="2">
        <f t="shared" si="284"/>
        <v>1</v>
      </c>
      <c r="W1807">
        <v>19.7</v>
      </c>
      <c r="X1807" s="2">
        <f t="shared" si="285"/>
        <v>1</v>
      </c>
      <c r="Y1807">
        <v>302.3</v>
      </c>
      <c r="Z1807" s="2" t="str">
        <f>CHOOSE(MATCH(Y1807,{0;11;80;111;161;191;241;281;341},1),"North","NorthEast","East","SouthEast","South","SouthWest","West","NorthWest","North")</f>
        <v>NorthWest</v>
      </c>
      <c r="AA1807" s="4">
        <f>CHOOSE(MATCH(Z1807,{"South";"SouthEast";"SouthWest";"North";"NorthEast";"East";"West";"NorthWest"},0),1,2,3,4,5,6,7,8)</f>
        <v>8</v>
      </c>
      <c r="AB1807" s="2">
        <f t="shared" si="286"/>
        <v>1</v>
      </c>
      <c r="AC1807">
        <v>1014.7</v>
      </c>
      <c r="AD1807" t="s">
        <v>2359</v>
      </c>
      <c r="AE1807" s="2">
        <f t="shared" si="287"/>
        <v>1</v>
      </c>
      <c r="AF1807" t="s">
        <v>2473</v>
      </c>
      <c r="AG1807" s="2">
        <f t="shared" si="288"/>
        <v>8</v>
      </c>
      <c r="AH1807" s="2">
        <f t="shared" si="289"/>
        <v>1</v>
      </c>
      <c r="AI1807" s="3">
        <v>326.00000000442378</v>
      </c>
      <c r="AJ1807" s="2">
        <v>0</v>
      </c>
      <c r="AK1807">
        <v>0</v>
      </c>
      <c r="AL1807">
        <v>3</v>
      </c>
      <c r="AM1807">
        <v>0</v>
      </c>
      <c r="AN1807" s="2">
        <f>IF((2*G1807+M1807-O1807+3*V1807+2*AB1807+2*AE1807+2*AH1807+3*AJ1807)&gt;=7,1,0)</f>
        <v>1</v>
      </c>
    </row>
    <row r="1808" spans="1:40" x14ac:dyDescent="0.25">
      <c r="A1808" t="s">
        <v>27</v>
      </c>
      <c r="B1808" s="1">
        <v>42248</v>
      </c>
      <c r="C1808" s="6">
        <f t="shared" si="280"/>
        <v>2015</v>
      </c>
      <c r="D1808">
        <v>84.2</v>
      </c>
      <c r="E1808">
        <v>68</v>
      </c>
      <c r="F1808">
        <v>76.8</v>
      </c>
      <c r="G1808" s="2">
        <f t="shared" si="281"/>
        <v>1</v>
      </c>
      <c r="H1808">
        <v>89.6</v>
      </c>
      <c r="I1808">
        <v>68</v>
      </c>
      <c r="J1808">
        <v>78.599999999999994</v>
      </c>
      <c r="K1808">
        <v>67.099999999999994</v>
      </c>
      <c r="L1808">
        <v>72.5</v>
      </c>
      <c r="M1808" s="2">
        <f t="shared" si="282"/>
        <v>0</v>
      </c>
      <c r="N1808">
        <v>0</v>
      </c>
      <c r="O1808" s="2">
        <f t="shared" si="283"/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18.3</v>
      </c>
      <c r="V1808" s="2">
        <f t="shared" si="284"/>
        <v>1</v>
      </c>
      <c r="W1808">
        <v>9.1999999999999993</v>
      </c>
      <c r="X1808" s="2">
        <f t="shared" si="285"/>
        <v>0</v>
      </c>
      <c r="Y1808">
        <v>67.900000000000006</v>
      </c>
      <c r="Z1808" s="2" t="str">
        <f>CHOOSE(MATCH(Y1808,{0;11;80;111;161;191;241;281;341},1),"North","NorthEast","East","SouthEast","South","SouthWest","West","NorthWest","North")</f>
        <v>NorthEast</v>
      </c>
      <c r="AA1808" s="4">
        <f>CHOOSE(MATCH(Z1808,{"South";"SouthEast";"SouthWest";"North";"NorthEast";"East";"West";"NorthWest"},0),1,2,3,4,5,6,7,8)</f>
        <v>5</v>
      </c>
      <c r="AB1808" s="2">
        <f t="shared" si="286"/>
        <v>1</v>
      </c>
      <c r="AC1808">
        <v>1012.4</v>
      </c>
      <c r="AD1808" t="s">
        <v>2474</v>
      </c>
      <c r="AE1808" s="2">
        <f t="shared" si="287"/>
        <v>0</v>
      </c>
      <c r="AF1808" t="s">
        <v>2475</v>
      </c>
      <c r="AG1808" s="2">
        <f t="shared" si="288"/>
        <v>9</v>
      </c>
      <c r="AH1808" s="2">
        <f t="shared" si="289"/>
        <v>0</v>
      </c>
      <c r="AI1808" s="3">
        <v>1393.0000000039579</v>
      </c>
      <c r="AJ1808" s="2">
        <v>1</v>
      </c>
      <c r="AK1808">
        <v>0</v>
      </c>
      <c r="AL1808">
        <v>100</v>
      </c>
      <c r="AM1808">
        <v>0</v>
      </c>
      <c r="AN1808" s="2">
        <f>IF((2*G1808+M1808-O1808+3*V1808+2*AB1808+2*AE1808+2*AH1808+3*AJ1808)&gt;=7,1,0)</f>
        <v>1</v>
      </c>
    </row>
    <row r="1809" spans="1:40" x14ac:dyDescent="0.25">
      <c r="A1809" t="s">
        <v>27</v>
      </c>
      <c r="B1809" s="1">
        <v>42249</v>
      </c>
      <c r="C1809" s="6">
        <f t="shared" si="280"/>
        <v>2015</v>
      </c>
      <c r="D1809">
        <v>86</v>
      </c>
      <c r="E1809">
        <v>69.8</v>
      </c>
      <c r="F1809">
        <v>77.599999999999994</v>
      </c>
      <c r="G1809" s="2">
        <f t="shared" si="281"/>
        <v>1</v>
      </c>
      <c r="H1809">
        <v>94.1</v>
      </c>
      <c r="I1809">
        <v>69.8</v>
      </c>
      <c r="J1809">
        <v>79.400000000000006</v>
      </c>
      <c r="K1809">
        <v>68</v>
      </c>
      <c r="L1809">
        <v>73.400000000000006</v>
      </c>
      <c r="M1809" s="2">
        <f t="shared" si="282"/>
        <v>0</v>
      </c>
      <c r="N1809">
        <v>0</v>
      </c>
      <c r="O1809" s="2">
        <f t="shared" si="283"/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28.9</v>
      </c>
      <c r="V1809" s="2">
        <f t="shared" si="284"/>
        <v>1</v>
      </c>
      <c r="W1809">
        <v>9.1999999999999993</v>
      </c>
      <c r="X1809" s="2">
        <f t="shared" si="285"/>
        <v>0</v>
      </c>
      <c r="Y1809">
        <v>131.19999999999999</v>
      </c>
      <c r="Z1809" s="2" t="str">
        <f>CHOOSE(MATCH(Y1809,{0;11;80;111;161;191;241;281;341},1),"North","NorthEast","East","SouthEast","South","SouthWest","West","NorthWest","North")</f>
        <v>SouthEast</v>
      </c>
      <c r="AA1809" s="4">
        <f>CHOOSE(MATCH(Z1809,{"South";"SouthEast";"SouthWest";"North";"NorthEast";"East";"West";"NorthWest"},0),1,2,3,4,5,6,7,8)</f>
        <v>2</v>
      </c>
      <c r="AB1809" s="2">
        <f t="shared" si="286"/>
        <v>0</v>
      </c>
      <c r="AC1809">
        <v>1011.6</v>
      </c>
      <c r="AD1809" t="s">
        <v>2441</v>
      </c>
      <c r="AE1809" s="2">
        <f t="shared" si="287"/>
        <v>1</v>
      </c>
      <c r="AF1809" t="s">
        <v>2476</v>
      </c>
      <c r="AG1809" s="2">
        <f t="shared" si="288"/>
        <v>9</v>
      </c>
      <c r="AH1809" s="2">
        <f t="shared" si="289"/>
        <v>0</v>
      </c>
      <c r="AI1809" s="3">
        <v>1856.000000004424</v>
      </c>
      <c r="AJ1809" s="2">
        <v>1</v>
      </c>
      <c r="AK1809">
        <v>30</v>
      </c>
      <c r="AL1809">
        <v>0</v>
      </c>
      <c r="AM1809">
        <v>0</v>
      </c>
      <c r="AN1809" s="2">
        <f>IF((2*G1809+M1809-O1809+3*V1809+2*AB1809+2*AE1809+2*AH1809+3*AJ1809)&gt;=7,1,0)</f>
        <v>1</v>
      </c>
    </row>
    <row r="1810" spans="1:40" x14ac:dyDescent="0.25">
      <c r="A1810" t="s">
        <v>27</v>
      </c>
      <c r="B1810" s="1">
        <v>42250</v>
      </c>
      <c r="C1810" s="6">
        <f t="shared" si="280"/>
        <v>2015</v>
      </c>
      <c r="D1810">
        <v>84.2</v>
      </c>
      <c r="E1810">
        <v>73.400000000000006</v>
      </c>
      <c r="F1810">
        <v>78.900000000000006</v>
      </c>
      <c r="G1810" s="2">
        <f t="shared" si="281"/>
        <v>1</v>
      </c>
      <c r="H1810">
        <v>92.4</v>
      </c>
      <c r="I1810">
        <v>73.400000000000006</v>
      </c>
      <c r="J1810">
        <v>81.099999999999994</v>
      </c>
      <c r="K1810">
        <v>69.900000000000006</v>
      </c>
      <c r="L1810">
        <v>74.599999999999994</v>
      </c>
      <c r="M1810" s="2">
        <f t="shared" si="282"/>
        <v>0</v>
      </c>
      <c r="N1810">
        <v>0</v>
      </c>
      <c r="O1810" s="2">
        <f t="shared" si="283"/>
        <v>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22.8</v>
      </c>
      <c r="V1810" s="2">
        <f t="shared" si="284"/>
        <v>1</v>
      </c>
      <c r="W1810">
        <v>20.8</v>
      </c>
      <c r="X1810" s="2">
        <f t="shared" si="285"/>
        <v>1</v>
      </c>
      <c r="Y1810">
        <v>295.39999999999998</v>
      </c>
      <c r="Z1810" s="2" t="str">
        <f>CHOOSE(MATCH(Y1810,{0;11;80;111;161;191;241;281;341},1),"North","NorthEast","East","SouthEast","South","SouthWest","West","NorthWest","North")</f>
        <v>NorthWest</v>
      </c>
      <c r="AA1810" s="4">
        <f>CHOOSE(MATCH(Z1810,{"South";"SouthEast";"SouthWest";"North";"NorthEast";"East";"West";"NorthWest"},0),1,2,3,4,5,6,7,8)</f>
        <v>8</v>
      </c>
      <c r="AB1810" s="2">
        <f t="shared" si="286"/>
        <v>1</v>
      </c>
      <c r="AC1810">
        <v>1011.2</v>
      </c>
      <c r="AD1810" t="s">
        <v>2477</v>
      </c>
      <c r="AE1810" s="2">
        <f t="shared" si="287"/>
        <v>0</v>
      </c>
      <c r="AF1810" t="s">
        <v>2478</v>
      </c>
      <c r="AG1810" s="2">
        <f t="shared" si="288"/>
        <v>9</v>
      </c>
      <c r="AH1810" s="2">
        <f t="shared" si="289"/>
        <v>0</v>
      </c>
      <c r="AI1810" s="3">
        <v>2115.9999999927818</v>
      </c>
      <c r="AJ1810" s="2">
        <v>1</v>
      </c>
      <c r="AK1810">
        <v>0</v>
      </c>
      <c r="AL1810">
        <v>4</v>
      </c>
      <c r="AM1810">
        <v>0</v>
      </c>
      <c r="AN1810" s="2">
        <f>IF((2*G1810+M1810-O1810+3*V1810+2*AB1810+2*AE1810+2*AH1810+3*AJ1810)&gt;=7,1,0)</f>
        <v>1</v>
      </c>
    </row>
    <row r="1811" spans="1:40" x14ac:dyDescent="0.25">
      <c r="A1811" t="s">
        <v>27</v>
      </c>
      <c r="B1811" s="1">
        <v>42250</v>
      </c>
      <c r="C1811" s="6">
        <f t="shared" si="280"/>
        <v>2015</v>
      </c>
      <c r="D1811">
        <v>84.2</v>
      </c>
      <c r="E1811">
        <v>73.400000000000006</v>
      </c>
      <c r="F1811">
        <v>78.900000000000006</v>
      </c>
      <c r="G1811" s="2">
        <f t="shared" si="281"/>
        <v>1</v>
      </c>
      <c r="H1811">
        <v>92.4</v>
      </c>
      <c r="I1811">
        <v>73.400000000000006</v>
      </c>
      <c r="J1811">
        <v>81.099999999999994</v>
      </c>
      <c r="K1811">
        <v>69.900000000000006</v>
      </c>
      <c r="L1811">
        <v>74.599999999999994</v>
      </c>
      <c r="M1811" s="2">
        <f t="shared" si="282"/>
        <v>0</v>
      </c>
      <c r="N1811">
        <v>0</v>
      </c>
      <c r="O1811" s="2">
        <f t="shared" si="283"/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22.8</v>
      </c>
      <c r="V1811" s="2">
        <f t="shared" si="284"/>
        <v>1</v>
      </c>
      <c r="W1811">
        <v>20.8</v>
      </c>
      <c r="X1811" s="2">
        <f t="shared" si="285"/>
        <v>1</v>
      </c>
      <c r="Y1811">
        <v>295.39999999999998</v>
      </c>
      <c r="Z1811" s="2" t="str">
        <f>CHOOSE(MATCH(Y1811,{0;11;80;111;161;191;241;281;341},1),"North","NorthEast","East","SouthEast","South","SouthWest","West","NorthWest","North")</f>
        <v>NorthWest</v>
      </c>
      <c r="AA1811" s="4">
        <f>CHOOSE(MATCH(Z1811,{"South";"SouthEast";"SouthWest";"North";"NorthEast";"East";"West";"NorthWest"},0),1,2,3,4,5,6,7,8)</f>
        <v>8</v>
      </c>
      <c r="AB1811" s="2">
        <f t="shared" si="286"/>
        <v>1</v>
      </c>
      <c r="AC1811">
        <v>1011.2</v>
      </c>
      <c r="AD1811" t="s">
        <v>2085</v>
      </c>
      <c r="AE1811" s="2">
        <f t="shared" si="287"/>
        <v>0</v>
      </c>
      <c r="AF1811" t="s">
        <v>2479</v>
      </c>
      <c r="AG1811" s="2">
        <f t="shared" si="288"/>
        <v>9</v>
      </c>
      <c r="AH1811" s="2">
        <f t="shared" si="289"/>
        <v>0</v>
      </c>
      <c r="AI1811" s="3">
        <v>300.99999999627471</v>
      </c>
      <c r="AJ1811" s="2">
        <v>0</v>
      </c>
      <c r="AK1811">
        <v>0</v>
      </c>
      <c r="AL1811">
        <v>0.03</v>
      </c>
      <c r="AM1811">
        <v>0</v>
      </c>
      <c r="AN1811" s="2">
        <f>IF((2*G1811+M1811-O1811+3*V1811+2*AB1811+2*AE1811+2*AH1811+3*AJ1811)&gt;=7,1,0)</f>
        <v>0</v>
      </c>
    </row>
    <row r="1812" spans="1:40" x14ac:dyDescent="0.25">
      <c r="A1812" t="s">
        <v>27</v>
      </c>
      <c r="B1812" s="1">
        <v>42250</v>
      </c>
      <c r="C1812" s="6">
        <f t="shared" si="280"/>
        <v>2015</v>
      </c>
      <c r="D1812">
        <v>84.2</v>
      </c>
      <c r="E1812">
        <v>73.400000000000006</v>
      </c>
      <c r="F1812">
        <v>78.900000000000006</v>
      </c>
      <c r="G1812" s="2">
        <f t="shared" si="281"/>
        <v>1</v>
      </c>
      <c r="H1812">
        <v>92.4</v>
      </c>
      <c r="I1812">
        <v>73.400000000000006</v>
      </c>
      <c r="J1812">
        <v>81.099999999999994</v>
      </c>
      <c r="K1812">
        <v>69.900000000000006</v>
      </c>
      <c r="L1812">
        <v>74.599999999999994</v>
      </c>
      <c r="M1812" s="2">
        <f t="shared" si="282"/>
        <v>0</v>
      </c>
      <c r="N1812">
        <v>0</v>
      </c>
      <c r="O1812" s="2">
        <f t="shared" si="283"/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22.8</v>
      </c>
      <c r="V1812" s="2">
        <f t="shared" si="284"/>
        <v>1</v>
      </c>
      <c r="W1812">
        <v>20.8</v>
      </c>
      <c r="X1812" s="2">
        <f t="shared" si="285"/>
        <v>1</v>
      </c>
      <c r="Y1812">
        <v>295.39999999999998</v>
      </c>
      <c r="Z1812" s="2" t="str">
        <f>CHOOSE(MATCH(Y1812,{0;11;80;111;161;191;241;281;341},1),"North","NorthEast","East","SouthEast","South","SouthWest","West","NorthWest","North")</f>
        <v>NorthWest</v>
      </c>
      <c r="AA1812" s="4">
        <f>CHOOSE(MATCH(Z1812,{"South";"SouthEast";"SouthWest";"North";"NorthEast";"East";"West";"NorthWest"},0),1,2,3,4,5,6,7,8)</f>
        <v>8</v>
      </c>
      <c r="AB1812" s="2">
        <f t="shared" si="286"/>
        <v>1</v>
      </c>
      <c r="AC1812">
        <v>1011.2</v>
      </c>
      <c r="AD1812" t="s">
        <v>2188</v>
      </c>
      <c r="AE1812" s="2">
        <f t="shared" si="287"/>
        <v>1</v>
      </c>
      <c r="AF1812" t="s">
        <v>2480</v>
      </c>
      <c r="AG1812" s="2">
        <f t="shared" si="288"/>
        <v>9</v>
      </c>
      <c r="AH1812" s="2">
        <f t="shared" si="289"/>
        <v>0</v>
      </c>
      <c r="AI1812" s="3">
        <v>3210.9999999997672</v>
      </c>
      <c r="AJ1812" s="2">
        <v>1</v>
      </c>
      <c r="AK1812">
        <v>0</v>
      </c>
      <c r="AL1812">
        <v>20</v>
      </c>
      <c r="AM1812">
        <v>0</v>
      </c>
      <c r="AN1812" s="2">
        <f>IF((2*G1812+M1812-O1812+3*V1812+2*AB1812+2*AE1812+2*AH1812+3*AJ1812)&gt;=7,1,0)</f>
        <v>1</v>
      </c>
    </row>
    <row r="1813" spans="1:40" x14ac:dyDescent="0.25">
      <c r="A1813" t="s">
        <v>27</v>
      </c>
      <c r="B1813" s="1">
        <v>42250</v>
      </c>
      <c r="C1813" s="6">
        <f t="shared" si="280"/>
        <v>2015</v>
      </c>
      <c r="D1813">
        <v>84.2</v>
      </c>
      <c r="E1813">
        <v>73.400000000000006</v>
      </c>
      <c r="F1813">
        <v>78.900000000000006</v>
      </c>
      <c r="G1813" s="2">
        <f t="shared" si="281"/>
        <v>1</v>
      </c>
      <c r="H1813">
        <v>92.4</v>
      </c>
      <c r="I1813">
        <v>73.400000000000006</v>
      </c>
      <c r="J1813">
        <v>81.099999999999994</v>
      </c>
      <c r="K1813">
        <v>69.900000000000006</v>
      </c>
      <c r="L1813">
        <v>74.599999999999994</v>
      </c>
      <c r="M1813" s="2">
        <f t="shared" si="282"/>
        <v>0</v>
      </c>
      <c r="N1813">
        <v>0</v>
      </c>
      <c r="O1813" s="2">
        <f t="shared" si="283"/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22.8</v>
      </c>
      <c r="V1813" s="2">
        <f t="shared" si="284"/>
        <v>1</v>
      </c>
      <c r="W1813">
        <v>20.8</v>
      </c>
      <c r="X1813" s="2">
        <f t="shared" si="285"/>
        <v>1</v>
      </c>
      <c r="Y1813">
        <v>295.39999999999998</v>
      </c>
      <c r="Z1813" s="2" t="str">
        <f>CHOOSE(MATCH(Y1813,{0;11;80;111;161;191;241;281;341},1),"North","NorthEast","East","SouthEast","South","SouthWest","West","NorthWest","North")</f>
        <v>NorthWest</v>
      </c>
      <c r="AA1813" s="4">
        <f>CHOOSE(MATCH(Z1813,{"South";"SouthEast";"SouthWest";"North";"NorthEast";"East";"West";"NorthWest"},0),1,2,3,4,5,6,7,8)</f>
        <v>8</v>
      </c>
      <c r="AB1813" s="2">
        <f t="shared" si="286"/>
        <v>1</v>
      </c>
      <c r="AC1813">
        <v>1011.2</v>
      </c>
      <c r="AD1813" t="s">
        <v>2481</v>
      </c>
      <c r="AE1813" s="2">
        <f t="shared" si="287"/>
        <v>0</v>
      </c>
      <c r="AF1813" t="s">
        <v>2482</v>
      </c>
      <c r="AG1813" s="2">
        <f t="shared" si="288"/>
        <v>9</v>
      </c>
      <c r="AH1813" s="2">
        <f t="shared" si="289"/>
        <v>0</v>
      </c>
      <c r="AI1813" s="3">
        <v>680.99999999860302</v>
      </c>
      <c r="AJ1813" s="2">
        <v>1</v>
      </c>
      <c r="AK1813">
        <v>0</v>
      </c>
      <c r="AL1813">
        <v>10</v>
      </c>
      <c r="AM1813">
        <v>0</v>
      </c>
      <c r="AN1813" s="2">
        <f>IF((2*G1813+M1813-O1813+3*V1813+2*AB1813+2*AE1813+2*AH1813+3*AJ1813)&gt;=7,1,0)</f>
        <v>1</v>
      </c>
    </row>
    <row r="1814" spans="1:40" x14ac:dyDescent="0.25">
      <c r="A1814" t="s">
        <v>27</v>
      </c>
      <c r="B1814" s="1">
        <v>42250</v>
      </c>
      <c r="C1814" s="6">
        <f t="shared" si="280"/>
        <v>2015</v>
      </c>
      <c r="D1814">
        <v>84.2</v>
      </c>
      <c r="E1814">
        <v>73.400000000000006</v>
      </c>
      <c r="F1814">
        <v>78.900000000000006</v>
      </c>
      <c r="G1814" s="2">
        <f t="shared" si="281"/>
        <v>1</v>
      </c>
      <c r="H1814">
        <v>92.4</v>
      </c>
      <c r="I1814">
        <v>73.400000000000006</v>
      </c>
      <c r="J1814">
        <v>81.099999999999994</v>
      </c>
      <c r="K1814">
        <v>69.900000000000006</v>
      </c>
      <c r="L1814">
        <v>74.599999999999994</v>
      </c>
      <c r="M1814" s="2">
        <f t="shared" si="282"/>
        <v>0</v>
      </c>
      <c r="N1814">
        <v>0</v>
      </c>
      <c r="O1814" s="2">
        <f t="shared" si="283"/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22.8</v>
      </c>
      <c r="V1814" s="2">
        <f t="shared" si="284"/>
        <v>1</v>
      </c>
      <c r="W1814">
        <v>20.8</v>
      </c>
      <c r="X1814" s="2">
        <f t="shared" si="285"/>
        <v>1</v>
      </c>
      <c r="Y1814">
        <v>295.39999999999998</v>
      </c>
      <c r="Z1814" s="2" t="str">
        <f>CHOOSE(MATCH(Y1814,{0;11;80;111;161;191;241;281;341},1),"North","NorthEast","East","SouthEast","South","SouthWest","West","NorthWest","North")</f>
        <v>NorthWest</v>
      </c>
      <c r="AA1814" s="4">
        <f>CHOOSE(MATCH(Z1814,{"South";"SouthEast";"SouthWest";"North";"NorthEast";"East";"West";"NorthWest"},0),1,2,3,4,5,6,7,8)</f>
        <v>8</v>
      </c>
      <c r="AB1814" s="2">
        <f t="shared" si="286"/>
        <v>1</v>
      </c>
      <c r="AC1814">
        <v>1011.2</v>
      </c>
      <c r="AD1814" t="s">
        <v>2483</v>
      </c>
      <c r="AE1814" s="2">
        <f t="shared" si="287"/>
        <v>0</v>
      </c>
      <c r="AF1814" t="s">
        <v>2484</v>
      </c>
      <c r="AG1814" s="2">
        <f t="shared" si="288"/>
        <v>9</v>
      </c>
      <c r="AH1814" s="2">
        <f t="shared" si="289"/>
        <v>0</v>
      </c>
      <c r="AI1814" s="3">
        <v>600.99999999976717</v>
      </c>
      <c r="AJ1814" s="2">
        <v>1</v>
      </c>
      <c r="AK1814">
        <v>0</v>
      </c>
      <c r="AL1814">
        <v>3</v>
      </c>
      <c r="AM1814">
        <v>0</v>
      </c>
      <c r="AN1814" s="2">
        <f>IF((2*G1814+M1814-O1814+3*V1814+2*AB1814+2*AE1814+2*AH1814+3*AJ1814)&gt;=7,1,0)</f>
        <v>1</v>
      </c>
    </row>
    <row r="1815" spans="1:40" x14ac:dyDescent="0.25">
      <c r="A1815" t="s">
        <v>27</v>
      </c>
      <c r="B1815" s="1">
        <v>42251</v>
      </c>
      <c r="C1815" s="6">
        <f t="shared" si="280"/>
        <v>2015</v>
      </c>
      <c r="D1815">
        <v>86</v>
      </c>
      <c r="E1815">
        <v>71.599999999999994</v>
      </c>
      <c r="F1815">
        <v>78.8</v>
      </c>
      <c r="G1815" s="2">
        <f t="shared" si="281"/>
        <v>1</v>
      </c>
      <c r="H1815">
        <v>95.2</v>
      </c>
      <c r="I1815">
        <v>71.599999999999994</v>
      </c>
      <c r="J1815">
        <v>81.5</v>
      </c>
      <c r="K1815">
        <v>68.099999999999994</v>
      </c>
      <c r="L1815">
        <v>70.099999999999994</v>
      </c>
      <c r="M1815" s="2">
        <f t="shared" si="282"/>
        <v>0</v>
      </c>
      <c r="N1815">
        <v>0</v>
      </c>
      <c r="O1815" s="2">
        <f t="shared" si="283"/>
        <v>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25.3</v>
      </c>
      <c r="V1815" s="2">
        <f t="shared" si="284"/>
        <v>1</v>
      </c>
      <c r="W1815">
        <v>13.8</v>
      </c>
      <c r="X1815" s="2">
        <f t="shared" si="285"/>
        <v>0</v>
      </c>
      <c r="Y1815">
        <v>298.2</v>
      </c>
      <c r="Z1815" s="2" t="str">
        <f>CHOOSE(MATCH(Y1815,{0;11;80;111;161;191;241;281;341},1),"North","NorthEast","East","SouthEast","South","SouthWest","West","NorthWest","North")</f>
        <v>NorthWest</v>
      </c>
      <c r="AA1815" s="4">
        <f>CHOOSE(MATCH(Z1815,{"South";"SouthEast";"SouthWest";"North";"NorthEast";"East";"West";"NorthWest"},0),1,2,3,4,5,6,7,8)</f>
        <v>8</v>
      </c>
      <c r="AB1815" s="2">
        <f t="shared" si="286"/>
        <v>1</v>
      </c>
      <c r="AC1815">
        <v>1011.6</v>
      </c>
      <c r="AD1815" t="s">
        <v>1814</v>
      </c>
      <c r="AE1815" s="2">
        <f t="shared" si="287"/>
        <v>1</v>
      </c>
      <c r="AF1815" t="s">
        <v>2485</v>
      </c>
      <c r="AG1815" s="2">
        <f t="shared" si="288"/>
        <v>9</v>
      </c>
      <c r="AH1815" s="2">
        <f t="shared" si="289"/>
        <v>0</v>
      </c>
      <c r="AI1815" s="3">
        <v>5890.0000000046566</v>
      </c>
      <c r="AJ1815" s="2">
        <v>1</v>
      </c>
      <c r="AK1815">
        <v>0</v>
      </c>
      <c r="AL1815">
        <v>1000</v>
      </c>
      <c r="AM1815">
        <v>0</v>
      </c>
      <c r="AN1815" s="2">
        <f>IF((2*G1815+M1815-O1815+3*V1815+2*AB1815+2*AE1815+2*AH1815+3*AJ1815)&gt;=7,1,0)</f>
        <v>1</v>
      </c>
    </row>
    <row r="1816" spans="1:40" x14ac:dyDescent="0.25">
      <c r="A1816" t="s">
        <v>27</v>
      </c>
      <c r="B1816" s="1">
        <v>42253</v>
      </c>
      <c r="C1816" s="6">
        <f t="shared" si="280"/>
        <v>2015</v>
      </c>
      <c r="D1816">
        <v>93.2</v>
      </c>
      <c r="E1816">
        <v>71.599999999999994</v>
      </c>
      <c r="F1816">
        <v>82.1</v>
      </c>
      <c r="G1816" s="2">
        <f t="shared" si="281"/>
        <v>1</v>
      </c>
      <c r="H1816">
        <v>97.8</v>
      </c>
      <c r="I1816">
        <v>71.599999999999994</v>
      </c>
      <c r="J1816">
        <v>84.3</v>
      </c>
      <c r="K1816">
        <v>60.6</v>
      </c>
      <c r="L1816">
        <v>49.6</v>
      </c>
      <c r="M1816" s="2">
        <f t="shared" si="282"/>
        <v>1</v>
      </c>
      <c r="N1816">
        <v>0</v>
      </c>
      <c r="O1816" s="2">
        <f t="shared" si="283"/>
        <v>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21.7</v>
      </c>
      <c r="V1816" s="2">
        <f t="shared" si="284"/>
        <v>1</v>
      </c>
      <c r="W1816">
        <v>12.8</v>
      </c>
      <c r="X1816" s="2">
        <f t="shared" si="285"/>
        <v>0</v>
      </c>
      <c r="Y1816">
        <v>173.4</v>
      </c>
      <c r="Z1816" s="2" t="str">
        <f>CHOOSE(MATCH(Y1816,{0;11;80;111;161;191;241;281;341},1),"North","NorthEast","East","SouthEast","South","SouthWest","West","NorthWest","North")</f>
        <v>South</v>
      </c>
      <c r="AA1816" s="4">
        <f>CHOOSE(MATCH(Z1816,{"South";"SouthEast";"SouthWest";"North";"NorthEast";"East";"West";"NorthWest"},0),1,2,3,4,5,6,7,8)</f>
        <v>1</v>
      </c>
      <c r="AB1816" s="2">
        <f t="shared" si="286"/>
        <v>0</v>
      </c>
      <c r="AC1816">
        <v>1012.9</v>
      </c>
      <c r="AD1816" t="s">
        <v>2486</v>
      </c>
      <c r="AE1816" s="2">
        <f t="shared" si="287"/>
        <v>1</v>
      </c>
      <c r="AF1816" t="s">
        <v>2487</v>
      </c>
      <c r="AG1816" s="2">
        <f t="shared" si="288"/>
        <v>9</v>
      </c>
      <c r="AH1816" s="2">
        <f t="shared" si="289"/>
        <v>0</v>
      </c>
      <c r="AI1816" s="3">
        <v>1226.000000004424</v>
      </c>
      <c r="AJ1816" s="2">
        <v>1</v>
      </c>
      <c r="AK1816">
        <v>0</v>
      </c>
      <c r="AL1816">
        <v>1</v>
      </c>
      <c r="AM1816">
        <v>0</v>
      </c>
      <c r="AN1816" s="2">
        <f>IF((2*G1816+M1816-O1816+3*V1816+2*AB1816+2*AE1816+2*AH1816+3*AJ1816)&gt;=7,1,0)</f>
        <v>1</v>
      </c>
    </row>
    <row r="1817" spans="1:40" x14ac:dyDescent="0.25">
      <c r="A1817" t="s">
        <v>27</v>
      </c>
      <c r="B1817" s="1">
        <v>42256</v>
      </c>
      <c r="C1817" s="6">
        <f t="shared" si="280"/>
        <v>2015</v>
      </c>
      <c r="D1817">
        <v>84.2</v>
      </c>
      <c r="E1817">
        <v>73.400000000000006</v>
      </c>
      <c r="F1817">
        <v>79.2</v>
      </c>
      <c r="G1817" s="2">
        <f t="shared" si="281"/>
        <v>1</v>
      </c>
      <c r="H1817">
        <v>89.6</v>
      </c>
      <c r="I1817">
        <v>73.400000000000006</v>
      </c>
      <c r="J1817">
        <v>80.8</v>
      </c>
      <c r="K1817">
        <v>70.400000000000006</v>
      </c>
      <c r="L1817">
        <v>74.900000000000006</v>
      </c>
      <c r="M1817" s="2">
        <f t="shared" si="282"/>
        <v>0</v>
      </c>
      <c r="N1817">
        <v>0</v>
      </c>
      <c r="O1817" s="2">
        <f t="shared" si="283"/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20.6</v>
      </c>
      <c r="V1817" s="2">
        <f t="shared" si="284"/>
        <v>1</v>
      </c>
      <c r="W1817">
        <v>10.3</v>
      </c>
      <c r="X1817" s="2">
        <f t="shared" si="285"/>
        <v>0</v>
      </c>
      <c r="Y1817">
        <v>328.9</v>
      </c>
      <c r="Z1817" s="2" t="str">
        <f>CHOOSE(MATCH(Y1817,{0;11;80;111;161;191;241;281;341},1),"North","NorthEast","East","SouthEast","South","SouthWest","West","NorthWest","North")</f>
        <v>NorthWest</v>
      </c>
      <c r="AA1817" s="4">
        <f>CHOOSE(MATCH(Z1817,{"South";"SouthEast";"SouthWest";"North";"NorthEast";"East";"West";"NorthWest"},0),1,2,3,4,5,6,7,8)</f>
        <v>8</v>
      </c>
      <c r="AB1817" s="2">
        <f t="shared" si="286"/>
        <v>1</v>
      </c>
      <c r="AC1817">
        <v>1012.9</v>
      </c>
      <c r="AD1817" t="s">
        <v>2488</v>
      </c>
      <c r="AE1817" s="2">
        <f t="shared" si="287"/>
        <v>1</v>
      </c>
      <c r="AF1817" t="s">
        <v>2489</v>
      </c>
      <c r="AG1817" s="2">
        <f t="shared" si="288"/>
        <v>9</v>
      </c>
      <c r="AH1817" s="2">
        <f t="shared" si="289"/>
        <v>0</v>
      </c>
      <c r="AI1817" s="3">
        <v>2141.0000000009309</v>
      </c>
      <c r="AJ1817" s="2">
        <v>1</v>
      </c>
      <c r="AK1817">
        <v>0</v>
      </c>
      <c r="AL1817">
        <v>110</v>
      </c>
      <c r="AM1817">
        <v>0</v>
      </c>
      <c r="AN1817" s="2">
        <f>IF((2*G1817+M1817-O1817+3*V1817+2*AB1817+2*AE1817+2*AH1817+3*AJ1817)&gt;=7,1,0)</f>
        <v>1</v>
      </c>
    </row>
    <row r="1818" spans="1:40" x14ac:dyDescent="0.25">
      <c r="A1818" t="s">
        <v>27</v>
      </c>
      <c r="B1818" s="1">
        <v>42257</v>
      </c>
      <c r="C1818" s="6">
        <f t="shared" si="280"/>
        <v>2015</v>
      </c>
      <c r="D1818">
        <v>86</v>
      </c>
      <c r="E1818">
        <v>69.8</v>
      </c>
      <c r="F1818">
        <v>78</v>
      </c>
      <c r="G1818" s="2">
        <f t="shared" si="281"/>
        <v>1</v>
      </c>
      <c r="H1818">
        <v>91</v>
      </c>
      <c r="I1818">
        <v>69.8</v>
      </c>
      <c r="J1818">
        <v>80.3</v>
      </c>
      <c r="K1818">
        <v>68.3</v>
      </c>
      <c r="L1818">
        <v>72.599999999999994</v>
      </c>
      <c r="M1818" s="2">
        <f t="shared" si="282"/>
        <v>0</v>
      </c>
      <c r="N1818">
        <v>0</v>
      </c>
      <c r="O1818" s="2">
        <f t="shared" si="283"/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19.7</v>
      </c>
      <c r="V1818" s="2">
        <f t="shared" si="284"/>
        <v>1</v>
      </c>
      <c r="W1818">
        <v>11.4</v>
      </c>
      <c r="X1818" s="2">
        <f t="shared" si="285"/>
        <v>0</v>
      </c>
      <c r="Y1818">
        <v>105.6</v>
      </c>
      <c r="Z1818" s="2" t="str">
        <f>CHOOSE(MATCH(Y1818,{0;11;80;111;161;191;241;281;341},1),"North","NorthEast","East","SouthEast","South","SouthWest","West","NorthWest","North")</f>
        <v>East</v>
      </c>
      <c r="AA1818" s="4">
        <f>CHOOSE(MATCH(Z1818,{"South";"SouthEast";"SouthWest";"North";"NorthEast";"East";"West";"NorthWest"},0),1,2,3,4,5,6,7,8)</f>
        <v>6</v>
      </c>
      <c r="AB1818" s="2">
        <f t="shared" si="286"/>
        <v>0</v>
      </c>
      <c r="AC1818">
        <v>1012.8</v>
      </c>
      <c r="AD1818" t="s">
        <v>1998</v>
      </c>
      <c r="AE1818" s="2">
        <f t="shared" si="287"/>
        <v>1</v>
      </c>
      <c r="AF1818" t="s">
        <v>2490</v>
      </c>
      <c r="AG1818" s="2">
        <f t="shared" si="288"/>
        <v>9</v>
      </c>
      <c r="AH1818" s="2">
        <f t="shared" si="289"/>
        <v>0</v>
      </c>
      <c r="AI1818" s="3">
        <v>405</v>
      </c>
      <c r="AJ1818" s="2">
        <v>1</v>
      </c>
      <c r="AK1818">
        <v>0</v>
      </c>
      <c r="AL1818">
        <v>0.1</v>
      </c>
      <c r="AM1818">
        <v>0</v>
      </c>
      <c r="AN1818" s="2">
        <f>IF((2*G1818+M1818-O1818+3*V1818+2*AB1818+2*AE1818+2*AH1818+3*AJ1818)&gt;=7,1,0)</f>
        <v>1</v>
      </c>
    </row>
    <row r="1819" spans="1:40" x14ac:dyDescent="0.25">
      <c r="A1819" t="s">
        <v>27</v>
      </c>
      <c r="B1819" s="1">
        <v>42259</v>
      </c>
      <c r="C1819" s="6">
        <f t="shared" si="280"/>
        <v>2015</v>
      </c>
      <c r="D1819">
        <v>82.5</v>
      </c>
      <c r="E1819">
        <v>71.599999999999994</v>
      </c>
      <c r="F1819">
        <v>78</v>
      </c>
      <c r="G1819" s="2">
        <f t="shared" si="281"/>
        <v>1</v>
      </c>
      <c r="H1819">
        <v>85.5</v>
      </c>
      <c r="I1819">
        <v>71.599999999999994</v>
      </c>
      <c r="J1819">
        <v>78.8</v>
      </c>
      <c r="K1819">
        <v>66</v>
      </c>
      <c r="L1819">
        <v>67</v>
      </c>
      <c r="M1819" s="2">
        <f t="shared" si="282"/>
        <v>0</v>
      </c>
      <c r="N1819">
        <v>0</v>
      </c>
      <c r="O1819" s="2">
        <f t="shared" si="283"/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25.9</v>
      </c>
      <c r="V1819" s="2">
        <f t="shared" si="284"/>
        <v>1</v>
      </c>
      <c r="W1819">
        <v>19.7</v>
      </c>
      <c r="X1819" s="2">
        <f t="shared" si="285"/>
        <v>1</v>
      </c>
      <c r="Y1819">
        <v>301.39999999999998</v>
      </c>
      <c r="Z1819" s="2" t="str">
        <f>CHOOSE(MATCH(Y1819,{0;11;80;111;161;191;241;281;341},1),"North","NorthEast","East","SouthEast","South","SouthWest","West","NorthWest","North")</f>
        <v>NorthWest</v>
      </c>
      <c r="AA1819" s="4">
        <f>CHOOSE(MATCH(Z1819,{"South";"SouthEast";"SouthWest";"North";"NorthEast";"East";"West";"NorthWest"},0),1,2,3,4,5,6,7,8)</f>
        <v>8</v>
      </c>
      <c r="AB1819" s="2">
        <f t="shared" si="286"/>
        <v>1</v>
      </c>
      <c r="AC1819">
        <v>1015</v>
      </c>
      <c r="AD1819" t="s">
        <v>1991</v>
      </c>
      <c r="AE1819" s="2">
        <f t="shared" si="287"/>
        <v>0</v>
      </c>
      <c r="AF1819" t="s">
        <v>2491</v>
      </c>
      <c r="AG1819" s="2">
        <f t="shared" si="288"/>
        <v>9</v>
      </c>
      <c r="AH1819" s="2">
        <f t="shared" si="289"/>
        <v>0</v>
      </c>
      <c r="AI1819" s="3">
        <v>1988.000000005122</v>
      </c>
      <c r="AJ1819" s="2">
        <v>1</v>
      </c>
      <c r="AK1819">
        <v>0</v>
      </c>
      <c r="AL1819">
        <v>3</v>
      </c>
      <c r="AM1819">
        <v>0</v>
      </c>
      <c r="AN1819" s="2">
        <f>IF((2*G1819+M1819-O1819+3*V1819+2*AB1819+2*AE1819+2*AH1819+3*AJ1819)&gt;=7,1,0)</f>
        <v>1</v>
      </c>
    </row>
    <row r="1820" spans="1:40" x14ac:dyDescent="0.25">
      <c r="A1820" t="s">
        <v>27</v>
      </c>
      <c r="B1820" s="1">
        <v>42259</v>
      </c>
      <c r="C1820" s="6">
        <f t="shared" si="280"/>
        <v>2015</v>
      </c>
      <c r="D1820">
        <v>82.5</v>
      </c>
      <c r="E1820">
        <v>71.599999999999994</v>
      </c>
      <c r="F1820">
        <v>78</v>
      </c>
      <c r="G1820" s="2">
        <f t="shared" si="281"/>
        <v>1</v>
      </c>
      <c r="H1820">
        <v>85.5</v>
      </c>
      <c r="I1820">
        <v>71.599999999999994</v>
      </c>
      <c r="J1820">
        <v>78.8</v>
      </c>
      <c r="K1820">
        <v>66</v>
      </c>
      <c r="L1820">
        <v>67</v>
      </c>
      <c r="M1820" s="2">
        <f t="shared" si="282"/>
        <v>0</v>
      </c>
      <c r="N1820">
        <v>0</v>
      </c>
      <c r="O1820" s="2">
        <f t="shared" si="283"/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25.9</v>
      </c>
      <c r="V1820" s="2">
        <f t="shared" si="284"/>
        <v>1</v>
      </c>
      <c r="W1820">
        <v>19.7</v>
      </c>
      <c r="X1820" s="2">
        <f t="shared" si="285"/>
        <v>1</v>
      </c>
      <c r="Y1820">
        <v>301.39999999999998</v>
      </c>
      <c r="Z1820" s="2" t="str">
        <f>CHOOSE(MATCH(Y1820,{0;11;80;111;161;191;241;281;341},1),"North","NorthEast","East","SouthEast","South","SouthWest","West","NorthWest","North")</f>
        <v>NorthWest</v>
      </c>
      <c r="AA1820" s="4">
        <f>CHOOSE(MATCH(Z1820,{"South";"SouthEast";"SouthWest";"North";"NorthEast";"East";"West";"NorthWest"},0),1,2,3,4,5,6,7,8)</f>
        <v>8</v>
      </c>
      <c r="AB1820" s="2">
        <f t="shared" si="286"/>
        <v>1</v>
      </c>
      <c r="AC1820">
        <v>1015</v>
      </c>
      <c r="AD1820" t="s">
        <v>2492</v>
      </c>
      <c r="AE1820" s="2">
        <f t="shared" si="287"/>
        <v>1</v>
      </c>
      <c r="AF1820" t="s">
        <v>2493</v>
      </c>
      <c r="AG1820" s="2">
        <f t="shared" si="288"/>
        <v>9</v>
      </c>
      <c r="AH1820" s="2">
        <f t="shared" si="289"/>
        <v>0</v>
      </c>
      <c r="AI1820" s="3">
        <v>551.99999999720603</v>
      </c>
      <c r="AJ1820" s="2">
        <v>1</v>
      </c>
      <c r="AK1820">
        <v>10</v>
      </c>
      <c r="AL1820">
        <v>0</v>
      </c>
      <c r="AM1820">
        <v>0</v>
      </c>
      <c r="AN1820" s="2">
        <f>IF((2*G1820+M1820-O1820+3*V1820+2*AB1820+2*AE1820+2*AH1820+3*AJ1820)&gt;=7,1,0)</f>
        <v>1</v>
      </c>
    </row>
    <row r="1821" spans="1:40" x14ac:dyDescent="0.25">
      <c r="A1821" t="s">
        <v>27</v>
      </c>
      <c r="B1821" s="1">
        <v>42265</v>
      </c>
      <c r="C1821" s="6">
        <f t="shared" si="280"/>
        <v>2015</v>
      </c>
      <c r="D1821">
        <v>82.4</v>
      </c>
      <c r="E1821">
        <v>73.400000000000006</v>
      </c>
      <c r="F1821">
        <v>77.2</v>
      </c>
      <c r="G1821" s="2">
        <f t="shared" si="281"/>
        <v>1</v>
      </c>
      <c r="H1821">
        <v>86.2</v>
      </c>
      <c r="I1821">
        <v>73.400000000000006</v>
      </c>
      <c r="J1821">
        <v>77.900000000000006</v>
      </c>
      <c r="K1821">
        <v>67.5</v>
      </c>
      <c r="L1821">
        <v>72.3</v>
      </c>
      <c r="M1821" s="2">
        <f t="shared" si="282"/>
        <v>0</v>
      </c>
      <c r="N1821">
        <v>0</v>
      </c>
      <c r="O1821" s="2">
        <f t="shared" si="283"/>
        <v>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22.6</v>
      </c>
      <c r="V1821" s="2">
        <f t="shared" si="284"/>
        <v>1</v>
      </c>
      <c r="W1821">
        <v>17.2</v>
      </c>
      <c r="X1821" s="2">
        <f t="shared" si="285"/>
        <v>1</v>
      </c>
      <c r="Y1821">
        <v>317.2</v>
      </c>
      <c r="Z1821" s="2" t="str">
        <f>CHOOSE(MATCH(Y1821,{0;11;80;111;161;191;241;281;341},1),"North","NorthEast","East","SouthEast","South","SouthWest","West","NorthWest","North")</f>
        <v>NorthWest</v>
      </c>
      <c r="AA1821" s="4">
        <f>CHOOSE(MATCH(Z1821,{"South";"SouthEast";"SouthWest";"North";"NorthEast";"East";"West";"NorthWest"},0),1,2,3,4,5,6,7,8)</f>
        <v>8</v>
      </c>
      <c r="AB1821" s="2">
        <f t="shared" si="286"/>
        <v>1</v>
      </c>
      <c r="AC1821">
        <v>1012</v>
      </c>
      <c r="AD1821" t="s">
        <v>2076</v>
      </c>
      <c r="AE1821" s="2">
        <f t="shared" si="287"/>
        <v>1</v>
      </c>
      <c r="AF1821" t="s">
        <v>2494</v>
      </c>
      <c r="AG1821" s="2">
        <f t="shared" si="288"/>
        <v>9</v>
      </c>
      <c r="AH1821" s="2">
        <f t="shared" si="289"/>
        <v>0</v>
      </c>
      <c r="AI1821" s="3">
        <v>2766.0000000055879</v>
      </c>
      <c r="AJ1821" s="2">
        <v>1</v>
      </c>
      <c r="AK1821">
        <v>0</v>
      </c>
      <c r="AL1821">
        <v>25</v>
      </c>
      <c r="AM1821">
        <v>0</v>
      </c>
      <c r="AN1821" s="2">
        <f>IF((2*G1821+M1821-O1821+3*V1821+2*AB1821+2*AE1821+2*AH1821+3*AJ1821)&gt;=7,1,0)</f>
        <v>1</v>
      </c>
    </row>
    <row r="1822" spans="1:40" x14ac:dyDescent="0.25">
      <c r="A1822" t="s">
        <v>27</v>
      </c>
      <c r="B1822" s="1">
        <v>42280</v>
      </c>
      <c r="C1822" s="6">
        <f t="shared" si="280"/>
        <v>2015</v>
      </c>
      <c r="D1822">
        <v>75.2</v>
      </c>
      <c r="E1822">
        <v>68</v>
      </c>
      <c r="F1822">
        <v>71.7</v>
      </c>
      <c r="G1822" s="2">
        <f t="shared" si="281"/>
        <v>1</v>
      </c>
      <c r="H1822">
        <v>75.2</v>
      </c>
      <c r="I1822">
        <v>68</v>
      </c>
      <c r="J1822">
        <v>71.7</v>
      </c>
      <c r="K1822">
        <v>60.5</v>
      </c>
      <c r="L1822">
        <v>68</v>
      </c>
      <c r="M1822" s="2">
        <f t="shared" si="282"/>
        <v>0</v>
      </c>
      <c r="N1822">
        <v>0</v>
      </c>
      <c r="O1822" s="2">
        <f t="shared" si="283"/>
        <v>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18.3</v>
      </c>
      <c r="V1822" s="2">
        <f t="shared" si="284"/>
        <v>1</v>
      </c>
      <c r="W1822">
        <v>12.7</v>
      </c>
      <c r="X1822" s="2">
        <f t="shared" si="285"/>
        <v>0</v>
      </c>
      <c r="Y1822">
        <v>324.89999999999998</v>
      </c>
      <c r="Z1822" s="2" t="str">
        <f>CHOOSE(MATCH(Y1822,{0;11;80;111;161;191;241;281;341},1),"North","NorthEast","East","SouthEast","South","SouthWest","West","NorthWest","North")</f>
        <v>NorthWest</v>
      </c>
      <c r="AA1822" s="4">
        <f>CHOOSE(MATCH(Z1822,{"South";"SouthEast";"SouthWest";"North";"NorthEast";"East";"West";"NorthWest"},0),1,2,3,4,5,6,7,8)</f>
        <v>8</v>
      </c>
      <c r="AB1822" s="2">
        <f t="shared" si="286"/>
        <v>1</v>
      </c>
      <c r="AC1822">
        <v>1022.6</v>
      </c>
      <c r="AD1822" t="s">
        <v>2357</v>
      </c>
      <c r="AE1822" s="2">
        <f t="shared" si="287"/>
        <v>0</v>
      </c>
      <c r="AF1822" t="s">
        <v>2495</v>
      </c>
      <c r="AG1822" s="2">
        <f t="shared" si="288"/>
        <v>10</v>
      </c>
      <c r="AH1822" s="2">
        <f t="shared" si="289"/>
        <v>0</v>
      </c>
      <c r="AI1822" s="3">
        <v>223.00000000395809</v>
      </c>
      <c r="AJ1822" s="2">
        <v>0</v>
      </c>
      <c r="AK1822">
        <v>0</v>
      </c>
      <c r="AL1822">
        <v>8</v>
      </c>
      <c r="AM1822">
        <v>0</v>
      </c>
      <c r="AN1822" s="2">
        <f>IF((2*G1822+M1822-O1822+3*V1822+2*AB1822+2*AE1822+2*AH1822+3*AJ1822)&gt;=7,1,0)</f>
        <v>0</v>
      </c>
    </row>
    <row r="1823" spans="1:40" x14ac:dyDescent="0.25">
      <c r="A1823" t="s">
        <v>27</v>
      </c>
      <c r="B1823" s="1">
        <v>42281</v>
      </c>
      <c r="C1823" s="6">
        <f t="shared" si="280"/>
        <v>2015</v>
      </c>
      <c r="D1823">
        <v>75.2</v>
      </c>
      <c r="E1823">
        <v>69.8</v>
      </c>
      <c r="F1823">
        <v>72</v>
      </c>
      <c r="G1823" s="2">
        <f t="shared" si="281"/>
        <v>1</v>
      </c>
      <c r="H1823">
        <v>75.2</v>
      </c>
      <c r="I1823">
        <v>69.8</v>
      </c>
      <c r="J1823">
        <v>72</v>
      </c>
      <c r="K1823">
        <v>59.8</v>
      </c>
      <c r="L1823">
        <v>65.900000000000006</v>
      </c>
      <c r="M1823" s="2">
        <f t="shared" si="282"/>
        <v>1</v>
      </c>
      <c r="N1823">
        <v>0</v>
      </c>
      <c r="O1823" s="2">
        <f t="shared" si="283"/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24.6</v>
      </c>
      <c r="V1823" s="2">
        <f t="shared" si="284"/>
        <v>1</v>
      </c>
      <c r="W1823">
        <v>16.100000000000001</v>
      </c>
      <c r="X1823" s="2">
        <f t="shared" si="285"/>
        <v>1</v>
      </c>
      <c r="Y1823">
        <v>312.89999999999998</v>
      </c>
      <c r="Z1823" s="2" t="str">
        <f>CHOOSE(MATCH(Y1823,{0;11;80;111;161;191;241;281;341},1),"North","NorthEast","East","SouthEast","South","SouthWest","West","NorthWest","North")</f>
        <v>NorthWest</v>
      </c>
      <c r="AA1823" s="4">
        <f>CHOOSE(MATCH(Z1823,{"South";"SouthEast";"SouthWest";"North";"NorthEast";"East";"West";"NorthWest"},0),1,2,3,4,5,6,7,8)</f>
        <v>8</v>
      </c>
      <c r="AB1823" s="2">
        <f t="shared" si="286"/>
        <v>1</v>
      </c>
      <c r="AC1823">
        <v>1021.6</v>
      </c>
      <c r="AD1823" t="s">
        <v>1980</v>
      </c>
      <c r="AE1823" s="2">
        <f t="shared" si="287"/>
        <v>1</v>
      </c>
      <c r="AF1823" t="s">
        <v>2496</v>
      </c>
      <c r="AG1823" s="2">
        <f t="shared" si="288"/>
        <v>10</v>
      </c>
      <c r="AH1823" s="2">
        <f t="shared" si="289"/>
        <v>0</v>
      </c>
      <c r="AI1823" s="3">
        <v>1455.0000000069849</v>
      </c>
      <c r="AJ1823" s="2">
        <v>1</v>
      </c>
      <c r="AK1823">
        <v>0</v>
      </c>
      <c r="AL1823">
        <v>3</v>
      </c>
      <c r="AM1823">
        <v>0</v>
      </c>
      <c r="AN1823" s="2">
        <f>IF((2*G1823+M1823-O1823+3*V1823+2*AB1823+2*AE1823+2*AH1823+3*AJ1823)&gt;=7,1,0)</f>
        <v>1</v>
      </c>
    </row>
    <row r="1824" spans="1:40" x14ac:dyDescent="0.25">
      <c r="A1824" t="s">
        <v>27</v>
      </c>
      <c r="B1824" s="1">
        <v>42283</v>
      </c>
      <c r="C1824" s="6">
        <f t="shared" si="280"/>
        <v>2015</v>
      </c>
      <c r="D1824">
        <v>78.8</v>
      </c>
      <c r="E1824">
        <v>64.400000000000006</v>
      </c>
      <c r="F1824">
        <v>71.8</v>
      </c>
      <c r="G1824" s="2">
        <f t="shared" si="281"/>
        <v>1</v>
      </c>
      <c r="H1824">
        <v>78.8</v>
      </c>
      <c r="I1824">
        <v>64.400000000000006</v>
      </c>
      <c r="J1824">
        <v>71.8</v>
      </c>
      <c r="K1824">
        <v>64.7</v>
      </c>
      <c r="L1824">
        <v>78.7</v>
      </c>
      <c r="M1824" s="2">
        <f t="shared" si="282"/>
        <v>0</v>
      </c>
      <c r="N1824">
        <v>0</v>
      </c>
      <c r="O1824" s="2">
        <f t="shared" si="283"/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21.7</v>
      </c>
      <c r="V1824" s="2">
        <f t="shared" si="284"/>
        <v>1</v>
      </c>
      <c r="W1824">
        <v>19.7</v>
      </c>
      <c r="X1824" s="2">
        <f t="shared" si="285"/>
        <v>1</v>
      </c>
      <c r="Y1824">
        <v>296.5</v>
      </c>
      <c r="Z1824" s="2" t="str">
        <f>CHOOSE(MATCH(Y1824,{0;11;80;111;161;191;241;281;341},1),"North","NorthEast","East","SouthEast","South","SouthWest","West","NorthWest","North")</f>
        <v>NorthWest</v>
      </c>
      <c r="AA1824" s="4">
        <f>CHOOSE(MATCH(Z1824,{"South";"SouthEast";"SouthWest";"North";"NorthEast";"East";"West";"NorthWest"},0),1,2,3,4,5,6,7,8)</f>
        <v>8</v>
      </c>
      <c r="AB1824" s="2">
        <f t="shared" si="286"/>
        <v>1</v>
      </c>
      <c r="AC1824">
        <v>1010.5</v>
      </c>
      <c r="AD1824" t="s">
        <v>2497</v>
      </c>
      <c r="AE1824" s="2">
        <f t="shared" si="287"/>
        <v>1</v>
      </c>
      <c r="AF1824" t="s">
        <v>2498</v>
      </c>
      <c r="AG1824" s="2">
        <f t="shared" si="288"/>
        <v>10</v>
      </c>
      <c r="AH1824" s="2">
        <f t="shared" si="289"/>
        <v>0</v>
      </c>
      <c r="AI1824" s="3">
        <v>672.99999999348074</v>
      </c>
      <c r="AJ1824" s="2">
        <v>1</v>
      </c>
      <c r="AK1824">
        <v>0</v>
      </c>
      <c r="AL1824">
        <v>5</v>
      </c>
      <c r="AM1824">
        <v>0</v>
      </c>
      <c r="AN1824" s="2">
        <f>IF((2*G1824+M1824-O1824+3*V1824+2*AB1824+2*AE1824+2*AH1824+3*AJ1824)&gt;=7,1,0)</f>
        <v>1</v>
      </c>
    </row>
    <row r="1825" spans="1:40" x14ac:dyDescent="0.25">
      <c r="A1825" t="s">
        <v>27</v>
      </c>
      <c r="B1825" s="1">
        <v>42288</v>
      </c>
      <c r="C1825" s="6">
        <f t="shared" si="280"/>
        <v>2015</v>
      </c>
      <c r="D1825">
        <v>82.4</v>
      </c>
      <c r="E1825">
        <v>69.8</v>
      </c>
      <c r="F1825">
        <v>77.400000000000006</v>
      </c>
      <c r="G1825" s="2">
        <f t="shared" si="281"/>
        <v>1</v>
      </c>
      <c r="H1825">
        <v>84</v>
      </c>
      <c r="I1825">
        <v>69.8</v>
      </c>
      <c r="J1825">
        <v>77.900000000000006</v>
      </c>
      <c r="K1825">
        <v>60.4</v>
      </c>
      <c r="L1825">
        <v>57</v>
      </c>
      <c r="M1825" s="2">
        <f t="shared" si="282"/>
        <v>1</v>
      </c>
      <c r="N1825">
        <v>0</v>
      </c>
      <c r="O1825" s="2">
        <f t="shared" si="283"/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43.8</v>
      </c>
      <c r="V1825" s="2">
        <f t="shared" si="284"/>
        <v>1</v>
      </c>
      <c r="W1825">
        <v>31</v>
      </c>
      <c r="X1825" s="2">
        <f t="shared" si="285"/>
        <v>1</v>
      </c>
      <c r="Y1825">
        <v>180.4</v>
      </c>
      <c r="Z1825" s="2" t="str">
        <f>CHOOSE(MATCH(Y1825,{0;11;80;111;161;191;241;281;341},1),"North","NorthEast","East","SouthEast","South","SouthWest","West","NorthWest","North")</f>
        <v>South</v>
      </c>
      <c r="AA1825" s="4">
        <f>CHOOSE(MATCH(Z1825,{"South";"SouthEast";"SouthWest";"North";"NorthEast";"East";"West";"NorthWest"},0),1,2,3,4,5,6,7,8)</f>
        <v>1</v>
      </c>
      <c r="AB1825" s="2">
        <f t="shared" si="286"/>
        <v>0</v>
      </c>
      <c r="AC1825">
        <v>1010.9</v>
      </c>
      <c r="AD1825" t="s">
        <v>2499</v>
      </c>
      <c r="AE1825" s="2">
        <f t="shared" si="287"/>
        <v>0</v>
      </c>
      <c r="AF1825" t="s">
        <v>2500</v>
      </c>
      <c r="AG1825" s="2">
        <f t="shared" si="288"/>
        <v>10</v>
      </c>
      <c r="AH1825" s="2">
        <f t="shared" si="289"/>
        <v>0</v>
      </c>
      <c r="AI1825" s="3">
        <v>107.0000000030268</v>
      </c>
      <c r="AJ1825" s="2">
        <v>0</v>
      </c>
      <c r="AK1825">
        <v>0</v>
      </c>
      <c r="AL1825">
        <v>1</v>
      </c>
      <c r="AM1825">
        <v>0</v>
      </c>
      <c r="AN1825" s="2">
        <f>IF((2*G1825+M1825-O1825+3*V1825+2*AB1825+2*AE1825+2*AH1825+3*AJ1825)&gt;=7,1,0)</f>
        <v>0</v>
      </c>
    </row>
    <row r="1826" spans="1:40" x14ac:dyDescent="0.25">
      <c r="A1826" t="s">
        <v>27</v>
      </c>
      <c r="B1826" s="1">
        <v>42288</v>
      </c>
      <c r="C1826" s="6">
        <f t="shared" si="280"/>
        <v>2015</v>
      </c>
      <c r="D1826">
        <v>82.4</v>
      </c>
      <c r="E1826">
        <v>69.8</v>
      </c>
      <c r="F1826">
        <v>77.400000000000006</v>
      </c>
      <c r="G1826" s="2">
        <f t="shared" si="281"/>
        <v>1</v>
      </c>
      <c r="H1826">
        <v>84</v>
      </c>
      <c r="I1826">
        <v>69.8</v>
      </c>
      <c r="J1826">
        <v>77.900000000000006</v>
      </c>
      <c r="K1826">
        <v>60.4</v>
      </c>
      <c r="L1826">
        <v>57</v>
      </c>
      <c r="M1826" s="2">
        <f t="shared" si="282"/>
        <v>1</v>
      </c>
      <c r="N1826">
        <v>0</v>
      </c>
      <c r="O1826" s="2">
        <f t="shared" si="283"/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43.8</v>
      </c>
      <c r="V1826" s="2">
        <f t="shared" si="284"/>
        <v>1</v>
      </c>
      <c r="W1826">
        <v>31</v>
      </c>
      <c r="X1826" s="2">
        <f t="shared" si="285"/>
        <v>1</v>
      </c>
      <c r="Y1826">
        <v>180.4</v>
      </c>
      <c r="Z1826" s="2" t="str">
        <f>CHOOSE(MATCH(Y1826,{0;11;80;111;161;191;241;281;341},1),"North","NorthEast","East","SouthEast","South","SouthWest","West","NorthWest","North")</f>
        <v>South</v>
      </c>
      <c r="AA1826" s="4">
        <f>CHOOSE(MATCH(Z1826,{"South";"SouthEast";"SouthWest";"North";"NorthEast";"East";"West";"NorthWest"},0),1,2,3,4,5,6,7,8)</f>
        <v>1</v>
      </c>
      <c r="AB1826" s="2">
        <f t="shared" si="286"/>
        <v>0</v>
      </c>
      <c r="AC1826">
        <v>1010.9</v>
      </c>
      <c r="AD1826" t="s">
        <v>2501</v>
      </c>
      <c r="AE1826" s="2">
        <f t="shared" si="287"/>
        <v>1</v>
      </c>
      <c r="AF1826" t="s">
        <v>2502</v>
      </c>
      <c r="AG1826" s="2">
        <f t="shared" si="288"/>
        <v>10</v>
      </c>
      <c r="AH1826" s="2">
        <f t="shared" si="289"/>
        <v>0</v>
      </c>
      <c r="AI1826" s="3">
        <v>76.999999999534339</v>
      </c>
      <c r="AJ1826" s="2">
        <v>0</v>
      </c>
      <c r="AK1826">
        <v>0</v>
      </c>
      <c r="AL1826">
        <v>1</v>
      </c>
      <c r="AM1826">
        <v>0</v>
      </c>
      <c r="AN1826" s="2">
        <f>IF((2*G1826+M1826-O1826+3*V1826+2*AB1826+2*AE1826+2*AH1826+3*AJ1826)&gt;=7,1,0)</f>
        <v>1</v>
      </c>
    </row>
    <row r="1827" spans="1:40" x14ac:dyDescent="0.25">
      <c r="A1827" t="s">
        <v>27</v>
      </c>
      <c r="B1827" s="1">
        <v>42302</v>
      </c>
      <c r="C1827" s="6">
        <f t="shared" si="280"/>
        <v>2015</v>
      </c>
      <c r="D1827">
        <v>66.2</v>
      </c>
      <c r="E1827">
        <v>64.400000000000006</v>
      </c>
      <c r="F1827">
        <v>65.599999999999994</v>
      </c>
      <c r="G1827" s="2">
        <f t="shared" si="281"/>
        <v>0</v>
      </c>
      <c r="H1827">
        <v>66.2</v>
      </c>
      <c r="I1827">
        <v>64.400000000000006</v>
      </c>
      <c r="J1827">
        <v>65.599999999999994</v>
      </c>
      <c r="K1827">
        <v>58.6</v>
      </c>
      <c r="L1827">
        <v>78.099999999999994</v>
      </c>
      <c r="M1827" s="2">
        <f t="shared" si="282"/>
        <v>0</v>
      </c>
      <c r="N1827">
        <v>4.4999999999999998E-2</v>
      </c>
      <c r="O1827" s="2">
        <f t="shared" si="283"/>
        <v>0</v>
      </c>
      <c r="P1827">
        <v>100</v>
      </c>
      <c r="Q1827">
        <v>12.5</v>
      </c>
      <c r="R1827" t="s">
        <v>182</v>
      </c>
      <c r="S1827">
        <v>0</v>
      </c>
      <c r="T1827">
        <v>0</v>
      </c>
      <c r="U1827">
        <v>29.1</v>
      </c>
      <c r="V1827" s="2">
        <f t="shared" si="284"/>
        <v>1</v>
      </c>
      <c r="W1827">
        <v>25.3</v>
      </c>
      <c r="X1827" s="2">
        <f t="shared" si="285"/>
        <v>1</v>
      </c>
      <c r="Y1827">
        <v>343.9</v>
      </c>
      <c r="Z1827" s="2" t="str">
        <f>CHOOSE(MATCH(Y1827,{0;11;80;111;161;191;241;281;341},1),"North","NorthEast","East","SouthEast","South","SouthWest","West","NorthWest","North")</f>
        <v>North</v>
      </c>
      <c r="AA1827" s="4">
        <f>CHOOSE(MATCH(Z1827,{"South";"SouthEast";"SouthWest";"North";"NorthEast";"East";"West";"NorthWest"},0),1,2,3,4,5,6,7,8)</f>
        <v>4</v>
      </c>
      <c r="AB1827" s="2">
        <f t="shared" si="286"/>
        <v>1</v>
      </c>
      <c r="AC1827">
        <v>1015.4</v>
      </c>
      <c r="AD1827" t="s">
        <v>2503</v>
      </c>
      <c r="AE1827" s="2">
        <f t="shared" si="287"/>
        <v>0</v>
      </c>
      <c r="AF1827" t="s">
        <v>2504</v>
      </c>
      <c r="AG1827" s="2">
        <f t="shared" si="288"/>
        <v>10</v>
      </c>
      <c r="AH1827" s="2">
        <f t="shared" si="289"/>
        <v>0</v>
      </c>
      <c r="AI1827" s="3">
        <v>20.99999999511056</v>
      </c>
      <c r="AJ1827" s="2">
        <v>0</v>
      </c>
      <c r="AK1827">
        <v>0</v>
      </c>
      <c r="AL1827">
        <v>0.2</v>
      </c>
      <c r="AM1827">
        <v>0</v>
      </c>
      <c r="AN1827" s="2">
        <f>IF((2*G1827+M1827-O1827+3*V1827+2*AB1827+2*AE1827+2*AH1827+3*AJ1827)&gt;=7,1,0)</f>
        <v>0</v>
      </c>
    </row>
    <row r="1828" spans="1:40" x14ac:dyDescent="0.25">
      <c r="A1828" t="s">
        <v>27</v>
      </c>
      <c r="B1828" s="1">
        <v>42303</v>
      </c>
      <c r="C1828" s="6">
        <f t="shared" si="280"/>
        <v>2015</v>
      </c>
      <c r="D1828">
        <v>68</v>
      </c>
      <c r="E1828">
        <v>60.5</v>
      </c>
      <c r="F1828">
        <v>65.8</v>
      </c>
      <c r="G1828" s="2">
        <f t="shared" si="281"/>
        <v>0</v>
      </c>
      <c r="H1828">
        <v>68</v>
      </c>
      <c r="I1828">
        <v>60.5</v>
      </c>
      <c r="J1828">
        <v>65.8</v>
      </c>
      <c r="K1828">
        <v>53.7</v>
      </c>
      <c r="L1828">
        <v>65.3</v>
      </c>
      <c r="M1828" s="2">
        <f t="shared" si="282"/>
        <v>1</v>
      </c>
      <c r="N1828">
        <v>1E-3</v>
      </c>
      <c r="O1828" s="2">
        <f t="shared" si="283"/>
        <v>1</v>
      </c>
      <c r="P1828">
        <v>100</v>
      </c>
      <c r="Q1828">
        <v>4.17</v>
      </c>
      <c r="R1828" t="s">
        <v>182</v>
      </c>
      <c r="S1828">
        <v>0</v>
      </c>
      <c r="T1828">
        <v>0</v>
      </c>
      <c r="U1828">
        <v>30.9</v>
      </c>
      <c r="V1828" s="2">
        <f t="shared" si="284"/>
        <v>1</v>
      </c>
      <c r="W1828">
        <v>19.7</v>
      </c>
      <c r="X1828" s="2">
        <f t="shared" si="285"/>
        <v>1</v>
      </c>
      <c r="Y1828">
        <v>337.6</v>
      </c>
      <c r="Z1828" s="2" t="str">
        <f>CHOOSE(MATCH(Y1828,{0;11;80;111;161;191;241;281;341},1),"North","NorthEast","East","SouthEast","South","SouthWest","West","NorthWest","North")</f>
        <v>NorthWest</v>
      </c>
      <c r="AA1828" s="4">
        <f>CHOOSE(MATCH(Z1828,{"South";"SouthEast";"SouthWest";"North";"NorthEast";"East";"West";"NorthWest"},0),1,2,3,4,5,6,7,8)</f>
        <v>8</v>
      </c>
      <c r="AB1828" s="2">
        <f t="shared" si="286"/>
        <v>1</v>
      </c>
      <c r="AC1828">
        <v>1017.2</v>
      </c>
      <c r="AD1828" t="s">
        <v>2505</v>
      </c>
      <c r="AE1828" s="2">
        <f t="shared" si="287"/>
        <v>0</v>
      </c>
      <c r="AF1828" t="s">
        <v>2506</v>
      </c>
      <c r="AG1828" s="2">
        <f t="shared" si="288"/>
        <v>10</v>
      </c>
      <c r="AH1828" s="2">
        <f t="shared" si="289"/>
        <v>0</v>
      </c>
      <c r="AI1828" s="3">
        <v>63.000000006286427</v>
      </c>
      <c r="AJ1828" s="2">
        <v>0</v>
      </c>
      <c r="AK1828">
        <v>0</v>
      </c>
      <c r="AL1828">
        <v>0.2</v>
      </c>
      <c r="AM1828">
        <v>0</v>
      </c>
      <c r="AN1828" s="2">
        <f>IF((2*G1828+M1828-O1828+3*V1828+2*AB1828+2*AE1828+2*AH1828+3*AJ1828)&gt;=7,1,0)</f>
        <v>0</v>
      </c>
    </row>
    <row r="1829" spans="1:40" x14ac:dyDescent="0.25">
      <c r="A1829" t="s">
        <v>27</v>
      </c>
      <c r="B1829" s="1">
        <v>42310</v>
      </c>
      <c r="C1829" s="6">
        <f t="shared" si="280"/>
        <v>2015</v>
      </c>
      <c r="D1829">
        <v>66.2</v>
      </c>
      <c r="E1829">
        <v>62.6</v>
      </c>
      <c r="F1829">
        <v>64.400000000000006</v>
      </c>
      <c r="G1829" s="2">
        <f t="shared" si="281"/>
        <v>0</v>
      </c>
      <c r="H1829">
        <v>66.2</v>
      </c>
      <c r="I1829">
        <v>62.6</v>
      </c>
      <c r="J1829">
        <v>64.400000000000006</v>
      </c>
      <c r="K1829">
        <v>53.2</v>
      </c>
      <c r="L1829">
        <v>67.099999999999994</v>
      </c>
      <c r="M1829" s="2">
        <f t="shared" si="282"/>
        <v>0</v>
      </c>
      <c r="N1829">
        <v>0</v>
      </c>
      <c r="O1829" s="2">
        <f t="shared" si="283"/>
        <v>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28.2</v>
      </c>
      <c r="V1829" s="2">
        <f t="shared" si="284"/>
        <v>1</v>
      </c>
      <c r="W1829">
        <v>17.2</v>
      </c>
      <c r="X1829" s="2">
        <f t="shared" si="285"/>
        <v>1</v>
      </c>
      <c r="Y1829">
        <v>327</v>
      </c>
      <c r="Z1829" s="2" t="str">
        <f>CHOOSE(MATCH(Y1829,{0;11;80;111;161;191;241;281;341},1),"North","NorthEast","East","SouthEast","South","SouthWest","West","NorthWest","North")</f>
        <v>NorthWest</v>
      </c>
      <c r="AA1829" s="4">
        <f>CHOOSE(MATCH(Z1829,{"South";"SouthEast";"SouthWest";"North";"NorthEast";"East";"West";"NorthWest"},0),1,2,3,4,5,6,7,8)</f>
        <v>8</v>
      </c>
      <c r="AB1829" s="2">
        <f t="shared" si="286"/>
        <v>1</v>
      </c>
      <c r="AC1829">
        <v>1024.3</v>
      </c>
      <c r="AD1829" t="s">
        <v>1218</v>
      </c>
      <c r="AE1829" s="2">
        <f t="shared" si="287"/>
        <v>0</v>
      </c>
      <c r="AF1829" t="s">
        <v>2507</v>
      </c>
      <c r="AG1829" s="2">
        <f t="shared" si="288"/>
        <v>11</v>
      </c>
      <c r="AH1829" s="2">
        <f t="shared" si="289"/>
        <v>0</v>
      </c>
      <c r="AI1829" s="3">
        <v>90</v>
      </c>
      <c r="AJ1829" s="2">
        <v>0</v>
      </c>
      <c r="AK1829">
        <v>0</v>
      </c>
      <c r="AL1829">
        <v>0.1</v>
      </c>
      <c r="AM1829">
        <v>0</v>
      </c>
      <c r="AN1829" s="2">
        <f>IF((2*G1829+M1829-O1829+3*V1829+2*AB1829+2*AE1829+2*AH1829+3*AJ1829)&gt;=7,1,0)</f>
        <v>0</v>
      </c>
    </row>
    <row r="1830" spans="1:40" x14ac:dyDescent="0.25">
      <c r="A1830" t="s">
        <v>27</v>
      </c>
      <c r="B1830" s="1">
        <v>42310</v>
      </c>
      <c r="C1830" s="6">
        <f t="shared" si="280"/>
        <v>2015</v>
      </c>
      <c r="D1830">
        <v>66.2</v>
      </c>
      <c r="E1830">
        <v>62.6</v>
      </c>
      <c r="F1830">
        <v>64.400000000000006</v>
      </c>
      <c r="G1830" s="2">
        <f t="shared" si="281"/>
        <v>0</v>
      </c>
      <c r="H1830">
        <v>66.2</v>
      </c>
      <c r="I1830">
        <v>62.6</v>
      </c>
      <c r="J1830">
        <v>64.400000000000006</v>
      </c>
      <c r="K1830">
        <v>53.2</v>
      </c>
      <c r="L1830">
        <v>67.099999999999994</v>
      </c>
      <c r="M1830" s="2">
        <f t="shared" si="282"/>
        <v>0</v>
      </c>
      <c r="N1830">
        <v>0</v>
      </c>
      <c r="O1830" s="2">
        <f t="shared" si="283"/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28.2</v>
      </c>
      <c r="V1830" s="2">
        <f t="shared" si="284"/>
        <v>1</v>
      </c>
      <c r="W1830">
        <v>17.2</v>
      </c>
      <c r="X1830" s="2">
        <f t="shared" si="285"/>
        <v>1</v>
      </c>
      <c r="Y1830">
        <v>327</v>
      </c>
      <c r="Z1830" s="2" t="str">
        <f>CHOOSE(MATCH(Y1830,{0;11;80;111;161;191;241;281;341},1),"North","NorthEast","East","SouthEast","South","SouthWest","West","NorthWest","North")</f>
        <v>NorthWest</v>
      </c>
      <c r="AA1830" s="4">
        <f>CHOOSE(MATCH(Z1830,{"South";"SouthEast";"SouthWest";"North";"NorthEast";"East";"West";"NorthWest"},0),1,2,3,4,5,6,7,8)</f>
        <v>8</v>
      </c>
      <c r="AB1830" s="2">
        <f t="shared" si="286"/>
        <v>1</v>
      </c>
      <c r="AC1830">
        <v>1024.3</v>
      </c>
      <c r="AD1830" t="s">
        <v>2508</v>
      </c>
      <c r="AE1830" s="2">
        <f t="shared" si="287"/>
        <v>0</v>
      </c>
      <c r="AF1830" t="s">
        <v>2509</v>
      </c>
      <c r="AG1830" s="2">
        <f t="shared" si="288"/>
        <v>11</v>
      </c>
      <c r="AH1830" s="2">
        <f t="shared" si="289"/>
        <v>0</v>
      </c>
      <c r="AI1830" s="3">
        <v>551.00000000442378</v>
      </c>
      <c r="AJ1830" s="2">
        <v>1</v>
      </c>
      <c r="AK1830">
        <v>0</v>
      </c>
      <c r="AL1830">
        <v>10</v>
      </c>
      <c r="AM1830">
        <v>0</v>
      </c>
      <c r="AN1830" s="2">
        <f>IF((2*G1830+M1830-O1830+3*V1830+2*AB1830+2*AE1830+2*AH1830+3*AJ1830)&gt;=7,1,0)</f>
        <v>1</v>
      </c>
    </row>
    <row r="1831" spans="1:40" x14ac:dyDescent="0.25">
      <c r="A1831" t="s">
        <v>27</v>
      </c>
      <c r="B1831" s="1">
        <v>42312</v>
      </c>
      <c r="C1831" s="6">
        <f t="shared" si="280"/>
        <v>2015</v>
      </c>
      <c r="D1831">
        <v>68</v>
      </c>
      <c r="E1831">
        <v>57.1</v>
      </c>
      <c r="F1831">
        <v>63.2</v>
      </c>
      <c r="G1831" s="2">
        <f t="shared" si="281"/>
        <v>0</v>
      </c>
      <c r="H1831">
        <v>68</v>
      </c>
      <c r="I1831">
        <v>57.1</v>
      </c>
      <c r="J1831">
        <v>63.2</v>
      </c>
      <c r="K1831">
        <v>52.8</v>
      </c>
      <c r="L1831">
        <v>69.2</v>
      </c>
      <c r="M1831" s="2">
        <f t="shared" si="282"/>
        <v>0</v>
      </c>
      <c r="N1831">
        <v>0</v>
      </c>
      <c r="O1831" s="2">
        <f t="shared" si="283"/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19.5</v>
      </c>
      <c r="V1831" s="2">
        <f t="shared" si="284"/>
        <v>1</v>
      </c>
      <c r="W1831">
        <v>11.4</v>
      </c>
      <c r="X1831" s="2">
        <f t="shared" si="285"/>
        <v>0</v>
      </c>
      <c r="Y1831">
        <v>315.2</v>
      </c>
      <c r="Z1831" s="2" t="str">
        <f>CHOOSE(MATCH(Y1831,{0;11;80;111;161;191;241;281;341},1),"North","NorthEast","East","SouthEast","South","SouthWest","West","NorthWest","North")</f>
        <v>NorthWest</v>
      </c>
      <c r="AA1831" s="4">
        <f>CHOOSE(MATCH(Z1831,{"South";"SouthEast";"SouthWest";"North";"NorthEast";"East";"West";"NorthWest"},0),1,2,3,4,5,6,7,8)</f>
        <v>8</v>
      </c>
      <c r="AB1831" s="2">
        <f t="shared" si="286"/>
        <v>1</v>
      </c>
      <c r="AC1831">
        <v>1018.7</v>
      </c>
      <c r="AD1831" t="s">
        <v>2510</v>
      </c>
      <c r="AE1831" s="2">
        <f t="shared" si="287"/>
        <v>1</v>
      </c>
      <c r="AF1831" t="s">
        <v>2511</v>
      </c>
      <c r="AG1831" s="2">
        <f t="shared" si="288"/>
        <v>11</v>
      </c>
      <c r="AH1831" s="2">
        <f t="shared" si="289"/>
        <v>0</v>
      </c>
      <c r="AI1831" s="3">
        <v>2462.999999992317</v>
      </c>
      <c r="AJ1831" s="2">
        <v>1</v>
      </c>
      <c r="AK1831">
        <v>0</v>
      </c>
      <c r="AL1831">
        <v>30</v>
      </c>
      <c r="AM1831">
        <v>0</v>
      </c>
      <c r="AN1831" s="2">
        <f>IF((2*G1831+M1831-O1831+3*V1831+2*AB1831+2*AE1831+2*AH1831+3*AJ1831)&gt;=7,1,0)</f>
        <v>1</v>
      </c>
    </row>
    <row r="1832" spans="1:40" x14ac:dyDescent="0.25">
      <c r="A1832" t="s">
        <v>27</v>
      </c>
      <c r="B1832" s="1">
        <v>42315</v>
      </c>
      <c r="C1832" s="6">
        <f t="shared" si="280"/>
        <v>2015</v>
      </c>
      <c r="D1832">
        <v>66.2</v>
      </c>
      <c r="E1832">
        <v>57.2</v>
      </c>
      <c r="F1832">
        <v>62</v>
      </c>
      <c r="G1832" s="2">
        <f t="shared" si="281"/>
        <v>0</v>
      </c>
      <c r="H1832">
        <v>66.2</v>
      </c>
      <c r="I1832">
        <v>57.2</v>
      </c>
      <c r="J1832">
        <v>62</v>
      </c>
      <c r="K1832">
        <v>53.8</v>
      </c>
      <c r="L1832">
        <v>74.900000000000006</v>
      </c>
      <c r="M1832" s="2">
        <f t="shared" si="282"/>
        <v>0</v>
      </c>
      <c r="N1832">
        <v>0</v>
      </c>
      <c r="O1832" s="2">
        <f t="shared" si="283"/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20.8</v>
      </c>
      <c r="V1832" s="2">
        <f t="shared" si="284"/>
        <v>1</v>
      </c>
      <c r="W1832">
        <v>15</v>
      </c>
      <c r="X1832" s="2">
        <f t="shared" si="285"/>
        <v>0</v>
      </c>
      <c r="Y1832">
        <v>330</v>
      </c>
      <c r="Z1832" s="2" t="str">
        <f>CHOOSE(MATCH(Y1832,{0;11;80;111;161;191;241;281;341},1),"North","NorthEast","East","SouthEast","South","SouthWest","West","NorthWest","North")</f>
        <v>NorthWest</v>
      </c>
      <c r="AA1832" s="4">
        <f>CHOOSE(MATCH(Z1832,{"South";"SouthEast";"SouthWest";"North";"NorthEast";"East";"West";"NorthWest"},0),1,2,3,4,5,6,7,8)</f>
        <v>8</v>
      </c>
      <c r="AB1832" s="2">
        <f t="shared" si="286"/>
        <v>1</v>
      </c>
      <c r="AC1832">
        <v>1020.7</v>
      </c>
      <c r="AD1832" t="s">
        <v>2512</v>
      </c>
      <c r="AE1832" s="2">
        <f t="shared" si="287"/>
        <v>0</v>
      </c>
      <c r="AF1832" t="s">
        <v>2513</v>
      </c>
      <c r="AG1832" s="2">
        <f t="shared" si="288"/>
        <v>11</v>
      </c>
      <c r="AH1832" s="2">
        <f t="shared" si="289"/>
        <v>0</v>
      </c>
      <c r="AI1832" s="3">
        <v>483.00000000279402</v>
      </c>
      <c r="AJ1832" s="2">
        <v>1</v>
      </c>
      <c r="AK1832">
        <v>0</v>
      </c>
      <c r="AL1832">
        <v>1</v>
      </c>
      <c r="AM1832">
        <v>0</v>
      </c>
      <c r="AN1832" s="2">
        <f>IF((2*G1832+M1832-O1832+3*V1832+2*AB1832+2*AE1832+2*AH1832+3*AJ1832)&gt;=7,1,0)</f>
        <v>1</v>
      </c>
    </row>
    <row r="1833" spans="1:40" x14ac:dyDescent="0.25">
      <c r="A1833" t="s">
        <v>27</v>
      </c>
      <c r="B1833" s="1">
        <v>42316</v>
      </c>
      <c r="C1833" s="6">
        <f t="shared" si="280"/>
        <v>2015</v>
      </c>
      <c r="D1833">
        <v>66.2</v>
      </c>
      <c r="E1833">
        <v>60.8</v>
      </c>
      <c r="F1833">
        <v>63.4</v>
      </c>
      <c r="G1833" s="2">
        <f t="shared" si="281"/>
        <v>0</v>
      </c>
      <c r="H1833">
        <v>66.2</v>
      </c>
      <c r="I1833">
        <v>60.8</v>
      </c>
      <c r="J1833">
        <v>63.4</v>
      </c>
      <c r="K1833">
        <v>52.6</v>
      </c>
      <c r="L1833">
        <v>67.900000000000006</v>
      </c>
      <c r="M1833" s="2">
        <f t="shared" si="282"/>
        <v>0</v>
      </c>
      <c r="N1833">
        <v>0</v>
      </c>
      <c r="O1833" s="2">
        <f t="shared" si="283"/>
        <v>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30.9</v>
      </c>
      <c r="V1833" s="2">
        <f t="shared" si="284"/>
        <v>1</v>
      </c>
      <c r="W1833">
        <v>18.3</v>
      </c>
      <c r="X1833" s="2">
        <f t="shared" si="285"/>
        <v>1</v>
      </c>
      <c r="Y1833">
        <v>321.89999999999998</v>
      </c>
      <c r="Z1833" s="2" t="str">
        <f>CHOOSE(MATCH(Y1833,{0;11;80;111;161;191;241;281;341},1),"North","NorthEast","East","SouthEast","South","SouthWest","West","NorthWest","North")</f>
        <v>NorthWest</v>
      </c>
      <c r="AA1833" s="4">
        <f>CHOOSE(MATCH(Z1833,{"South";"SouthEast";"SouthWest";"North";"NorthEast";"East";"West";"NorthWest"},0),1,2,3,4,5,6,7,8)</f>
        <v>8</v>
      </c>
      <c r="AB1833" s="2">
        <f t="shared" si="286"/>
        <v>1</v>
      </c>
      <c r="AC1833">
        <v>1023.1</v>
      </c>
      <c r="AD1833" t="s">
        <v>2263</v>
      </c>
      <c r="AE1833" s="2">
        <f t="shared" si="287"/>
        <v>0</v>
      </c>
      <c r="AF1833" t="s">
        <v>2514</v>
      </c>
      <c r="AG1833" s="2">
        <f t="shared" si="288"/>
        <v>11</v>
      </c>
      <c r="AH1833" s="2">
        <f t="shared" si="289"/>
        <v>0</v>
      </c>
      <c r="AI1833" s="3">
        <v>1311.0000000090799</v>
      </c>
      <c r="AJ1833" s="2">
        <v>1</v>
      </c>
      <c r="AK1833">
        <v>0</v>
      </c>
      <c r="AL1833">
        <v>10</v>
      </c>
      <c r="AM1833">
        <v>0</v>
      </c>
      <c r="AN1833" s="2">
        <f>IF((2*G1833+M1833-O1833+3*V1833+2*AB1833+2*AE1833+2*AH1833+3*AJ1833)&gt;=7,1,0)</f>
        <v>1</v>
      </c>
    </row>
    <row r="1834" spans="1:40" x14ac:dyDescent="0.25">
      <c r="A1834" t="s">
        <v>27</v>
      </c>
      <c r="B1834" s="1">
        <v>42316</v>
      </c>
      <c r="C1834" s="6">
        <f t="shared" si="280"/>
        <v>2015</v>
      </c>
      <c r="D1834">
        <v>66.2</v>
      </c>
      <c r="E1834">
        <v>60.8</v>
      </c>
      <c r="F1834">
        <v>63.4</v>
      </c>
      <c r="G1834" s="2">
        <f t="shared" si="281"/>
        <v>0</v>
      </c>
      <c r="H1834">
        <v>66.2</v>
      </c>
      <c r="I1834">
        <v>60.8</v>
      </c>
      <c r="J1834">
        <v>63.4</v>
      </c>
      <c r="K1834">
        <v>52.6</v>
      </c>
      <c r="L1834">
        <v>67.900000000000006</v>
      </c>
      <c r="M1834" s="2">
        <f t="shared" si="282"/>
        <v>0</v>
      </c>
      <c r="N1834">
        <v>0</v>
      </c>
      <c r="O1834" s="2">
        <f t="shared" si="283"/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30.9</v>
      </c>
      <c r="V1834" s="2">
        <f t="shared" si="284"/>
        <v>1</v>
      </c>
      <c r="W1834">
        <v>18.3</v>
      </c>
      <c r="X1834" s="2">
        <f t="shared" si="285"/>
        <v>1</v>
      </c>
      <c r="Y1834">
        <v>321.89999999999998</v>
      </c>
      <c r="Z1834" s="2" t="str">
        <f>CHOOSE(MATCH(Y1834,{0;11;80;111;161;191;241;281;341},1),"North","NorthEast","East","SouthEast","South","SouthWest","West","NorthWest","North")</f>
        <v>NorthWest</v>
      </c>
      <c r="AA1834" s="4">
        <f>CHOOSE(MATCH(Z1834,{"South";"SouthEast";"SouthWest";"North";"NorthEast";"East";"West";"NorthWest"},0),1,2,3,4,5,6,7,8)</f>
        <v>8</v>
      </c>
      <c r="AB1834" s="2">
        <f t="shared" si="286"/>
        <v>1</v>
      </c>
      <c r="AC1834">
        <v>1023.1</v>
      </c>
      <c r="AD1834" t="s">
        <v>2515</v>
      </c>
      <c r="AE1834" s="2">
        <f t="shared" si="287"/>
        <v>1</v>
      </c>
      <c r="AF1834" t="s">
        <v>2516</v>
      </c>
      <c r="AG1834" s="2">
        <f t="shared" si="288"/>
        <v>11</v>
      </c>
      <c r="AH1834" s="2">
        <f t="shared" si="289"/>
        <v>0</v>
      </c>
      <c r="AI1834" s="3">
        <v>936.99999999487773</v>
      </c>
      <c r="AJ1834" s="2">
        <v>1</v>
      </c>
      <c r="AK1834">
        <v>0</v>
      </c>
      <c r="AL1834">
        <v>0.2</v>
      </c>
      <c r="AM1834">
        <v>0</v>
      </c>
      <c r="AN1834" s="2">
        <f>IF((2*G1834+M1834-O1834+3*V1834+2*AB1834+2*AE1834+2*AH1834+3*AJ1834)&gt;=7,1,0)</f>
        <v>1</v>
      </c>
    </row>
    <row r="1835" spans="1:40" x14ac:dyDescent="0.25">
      <c r="A1835" t="s">
        <v>27</v>
      </c>
      <c r="B1835" s="1">
        <v>42317</v>
      </c>
      <c r="C1835" s="6">
        <f t="shared" si="280"/>
        <v>2015</v>
      </c>
      <c r="D1835">
        <v>69.8</v>
      </c>
      <c r="E1835">
        <v>57.2</v>
      </c>
      <c r="F1835">
        <v>64.599999999999994</v>
      </c>
      <c r="G1835" s="2">
        <f t="shared" si="281"/>
        <v>0</v>
      </c>
      <c r="H1835">
        <v>69.8</v>
      </c>
      <c r="I1835">
        <v>57.2</v>
      </c>
      <c r="J1835">
        <v>64.599999999999994</v>
      </c>
      <c r="K1835">
        <v>52.4</v>
      </c>
      <c r="L1835">
        <v>64.900000000000006</v>
      </c>
      <c r="M1835" s="2">
        <f t="shared" si="282"/>
        <v>1</v>
      </c>
      <c r="N1835">
        <v>0</v>
      </c>
      <c r="O1835" s="2">
        <f t="shared" si="283"/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34.200000000000003</v>
      </c>
      <c r="V1835" s="2">
        <f t="shared" si="284"/>
        <v>1</v>
      </c>
      <c r="W1835">
        <v>20.8</v>
      </c>
      <c r="X1835" s="2">
        <f t="shared" si="285"/>
        <v>1</v>
      </c>
      <c r="Y1835">
        <v>316</v>
      </c>
      <c r="Z1835" s="2" t="str">
        <f>CHOOSE(MATCH(Y1835,{0;11;80;111;161;191;241;281;341},1),"North","NorthEast","East","SouthEast","South","SouthWest","West","NorthWest","North")</f>
        <v>NorthWest</v>
      </c>
      <c r="AA1835" s="4">
        <f>CHOOSE(MATCH(Z1835,{"South";"SouthEast";"SouthWest";"North";"NorthEast";"East";"West";"NorthWest"},0),1,2,3,4,5,6,7,8)</f>
        <v>8</v>
      </c>
      <c r="AB1835" s="2">
        <f t="shared" si="286"/>
        <v>1</v>
      </c>
      <c r="AC1835">
        <v>1021.7</v>
      </c>
      <c r="AD1835" t="s">
        <v>1763</v>
      </c>
      <c r="AE1835" s="2">
        <f t="shared" si="287"/>
        <v>0</v>
      </c>
      <c r="AF1835" t="s">
        <v>2517</v>
      </c>
      <c r="AG1835" s="2">
        <f t="shared" si="288"/>
        <v>11</v>
      </c>
      <c r="AH1835" s="2">
        <f t="shared" si="289"/>
        <v>0</v>
      </c>
      <c r="AI1835" s="3">
        <v>90</v>
      </c>
      <c r="AJ1835" s="2">
        <v>0</v>
      </c>
      <c r="AK1835">
        <v>0</v>
      </c>
      <c r="AL1835">
        <v>1</v>
      </c>
      <c r="AM1835">
        <v>0</v>
      </c>
      <c r="AN1835" s="2">
        <f>IF((2*G1835+M1835-O1835+3*V1835+2*AB1835+2*AE1835+2*AH1835+3*AJ1835)&gt;=7,1,0)</f>
        <v>0</v>
      </c>
    </row>
    <row r="1836" spans="1:40" x14ac:dyDescent="0.25">
      <c r="A1836" t="s">
        <v>27</v>
      </c>
      <c r="B1836" s="1">
        <v>42318</v>
      </c>
      <c r="C1836" s="6">
        <f t="shared" si="280"/>
        <v>2015</v>
      </c>
      <c r="D1836">
        <v>71.599999999999994</v>
      </c>
      <c r="E1836">
        <v>55.4</v>
      </c>
      <c r="F1836">
        <v>62.7</v>
      </c>
      <c r="G1836" s="2">
        <f t="shared" si="281"/>
        <v>0</v>
      </c>
      <c r="H1836">
        <v>71.599999999999994</v>
      </c>
      <c r="I1836">
        <v>55.4</v>
      </c>
      <c r="J1836">
        <v>62.7</v>
      </c>
      <c r="K1836">
        <v>53.1</v>
      </c>
      <c r="L1836">
        <v>71.2</v>
      </c>
      <c r="M1836" s="2">
        <f t="shared" si="282"/>
        <v>0</v>
      </c>
      <c r="N1836">
        <v>0</v>
      </c>
      <c r="O1836" s="2">
        <f t="shared" si="283"/>
        <v>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25.5</v>
      </c>
      <c r="V1836" s="2">
        <f t="shared" si="284"/>
        <v>1</v>
      </c>
      <c r="W1836">
        <v>17.2</v>
      </c>
      <c r="X1836" s="2">
        <f t="shared" si="285"/>
        <v>1</v>
      </c>
      <c r="Y1836">
        <v>257.2</v>
      </c>
      <c r="Z1836" s="2" t="str">
        <f>CHOOSE(MATCH(Y1836,{0;11;80;111;161;191;241;281;341},1),"North","NorthEast","East","SouthEast","South","SouthWest","West","NorthWest","North")</f>
        <v>West</v>
      </c>
      <c r="AA1836" s="4">
        <f>CHOOSE(MATCH(Z1836,{"South";"SouthEast";"SouthWest";"North";"NorthEast";"East";"West";"NorthWest"},0),1,2,3,4,5,6,7,8)</f>
        <v>7</v>
      </c>
      <c r="AB1836" s="2">
        <f t="shared" si="286"/>
        <v>0</v>
      </c>
      <c r="AC1836">
        <v>1018.4</v>
      </c>
      <c r="AD1836" t="s">
        <v>1796</v>
      </c>
      <c r="AE1836" s="2">
        <f t="shared" si="287"/>
        <v>1</v>
      </c>
      <c r="AF1836" t="s">
        <v>2518</v>
      </c>
      <c r="AG1836" s="2">
        <f t="shared" si="288"/>
        <v>11</v>
      </c>
      <c r="AH1836" s="2">
        <f t="shared" si="289"/>
        <v>0</v>
      </c>
      <c r="AI1836" s="3">
        <v>1290.000000003492</v>
      </c>
      <c r="AJ1836" s="2">
        <v>1</v>
      </c>
      <c r="AK1836">
        <v>0</v>
      </c>
      <c r="AL1836">
        <v>1</v>
      </c>
      <c r="AM1836">
        <v>0</v>
      </c>
      <c r="AN1836" s="2">
        <f>IF((2*G1836+M1836-O1836+3*V1836+2*AB1836+2*AE1836+2*AH1836+3*AJ1836)&gt;=7,1,0)</f>
        <v>1</v>
      </c>
    </row>
    <row r="1837" spans="1:40" x14ac:dyDescent="0.25">
      <c r="A1837" t="s">
        <v>27</v>
      </c>
      <c r="B1837" s="1">
        <v>42322</v>
      </c>
      <c r="C1837" s="6">
        <f t="shared" si="280"/>
        <v>2015</v>
      </c>
      <c r="D1837">
        <v>69.8</v>
      </c>
      <c r="E1837">
        <v>57.2</v>
      </c>
      <c r="F1837">
        <v>62.7</v>
      </c>
      <c r="G1837" s="2">
        <f t="shared" si="281"/>
        <v>0</v>
      </c>
      <c r="H1837">
        <v>69.8</v>
      </c>
      <c r="I1837">
        <v>57.2</v>
      </c>
      <c r="J1837">
        <v>62.7</v>
      </c>
      <c r="K1837">
        <v>59.2</v>
      </c>
      <c r="L1837">
        <v>88.5</v>
      </c>
      <c r="M1837" s="2">
        <f t="shared" si="282"/>
        <v>0</v>
      </c>
      <c r="N1837">
        <v>0</v>
      </c>
      <c r="O1837" s="2">
        <f t="shared" si="283"/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13.9</v>
      </c>
      <c r="V1837" s="2">
        <f t="shared" si="284"/>
        <v>1</v>
      </c>
      <c r="W1837">
        <v>6.9</v>
      </c>
      <c r="X1837" s="2">
        <f t="shared" si="285"/>
        <v>0</v>
      </c>
      <c r="Y1837">
        <v>239.7</v>
      </c>
      <c r="Z1837" s="2" t="str">
        <f>CHOOSE(MATCH(Y1837,{0;11;80;111;161;191;241;281;341},1),"North","NorthEast","East","SouthEast","South","SouthWest","West","NorthWest","North")</f>
        <v>SouthWest</v>
      </c>
      <c r="AA1837" s="4">
        <f>CHOOSE(MATCH(Z1837,{"South";"SouthEast";"SouthWest";"North";"NorthEast";"East";"West";"NorthWest"},0),1,2,3,4,5,6,7,8)</f>
        <v>3</v>
      </c>
      <c r="AB1837" s="2">
        <f t="shared" si="286"/>
        <v>0</v>
      </c>
      <c r="AC1837">
        <v>1021.9</v>
      </c>
      <c r="AD1837" t="s">
        <v>2342</v>
      </c>
      <c r="AE1837" s="2">
        <f t="shared" si="287"/>
        <v>1</v>
      </c>
      <c r="AF1837" t="s">
        <v>2519</v>
      </c>
      <c r="AG1837" s="2">
        <f t="shared" si="288"/>
        <v>11</v>
      </c>
      <c r="AH1837" s="2">
        <f t="shared" si="289"/>
        <v>0</v>
      </c>
      <c r="AI1837" s="3">
        <v>91.000000003259629</v>
      </c>
      <c r="AJ1837" s="2">
        <v>0</v>
      </c>
      <c r="AK1837">
        <v>0</v>
      </c>
      <c r="AL1837">
        <v>0.1</v>
      </c>
      <c r="AM1837">
        <v>0</v>
      </c>
      <c r="AN1837" s="2">
        <f>IF((2*G1837+M1837-O1837+3*V1837+2*AB1837+2*AE1837+2*AH1837+3*AJ1837)&gt;=7,1,0)</f>
        <v>0</v>
      </c>
    </row>
    <row r="1838" spans="1:40" x14ac:dyDescent="0.25">
      <c r="A1838" t="s">
        <v>27</v>
      </c>
      <c r="B1838" s="1">
        <v>42324</v>
      </c>
      <c r="C1838" s="6">
        <f t="shared" si="280"/>
        <v>2015</v>
      </c>
      <c r="D1838">
        <v>68</v>
      </c>
      <c r="E1838">
        <v>58.2</v>
      </c>
      <c r="F1838">
        <v>64.599999999999994</v>
      </c>
      <c r="G1838" s="2">
        <f t="shared" si="281"/>
        <v>0</v>
      </c>
      <c r="H1838">
        <v>68</v>
      </c>
      <c r="I1838">
        <v>58.2</v>
      </c>
      <c r="J1838">
        <v>64.599999999999994</v>
      </c>
      <c r="K1838">
        <v>55</v>
      </c>
      <c r="L1838">
        <v>71.400000000000006</v>
      </c>
      <c r="M1838" s="2">
        <f t="shared" si="282"/>
        <v>0</v>
      </c>
      <c r="N1838">
        <v>0</v>
      </c>
      <c r="O1838" s="2">
        <f t="shared" si="283"/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25.7</v>
      </c>
      <c r="V1838" s="2">
        <f t="shared" si="284"/>
        <v>1</v>
      </c>
      <c r="W1838">
        <v>15</v>
      </c>
      <c r="X1838" s="2">
        <f t="shared" si="285"/>
        <v>0</v>
      </c>
      <c r="Y1838">
        <v>314.2</v>
      </c>
      <c r="Z1838" s="2" t="str">
        <f>CHOOSE(MATCH(Y1838,{0;11;80;111;161;191;241;281;341},1),"North","NorthEast","East","SouthEast","South","SouthWest","West","NorthWest","North")</f>
        <v>NorthWest</v>
      </c>
      <c r="AA1838" s="4">
        <f>CHOOSE(MATCH(Z1838,{"South";"SouthEast";"SouthWest";"North";"NorthEast";"East";"West";"NorthWest"},0),1,2,3,4,5,6,7,8)</f>
        <v>8</v>
      </c>
      <c r="AB1838" s="2">
        <f t="shared" si="286"/>
        <v>1</v>
      </c>
      <c r="AC1838">
        <v>1013.6</v>
      </c>
      <c r="AD1838" t="s">
        <v>2520</v>
      </c>
      <c r="AE1838" s="2">
        <f t="shared" si="287"/>
        <v>1</v>
      </c>
      <c r="AF1838" t="s">
        <v>2521</v>
      </c>
      <c r="AG1838" s="2">
        <f t="shared" si="288"/>
        <v>11</v>
      </c>
      <c r="AH1838" s="2">
        <f t="shared" si="289"/>
        <v>0</v>
      </c>
      <c r="AI1838" s="3">
        <v>57.000000007683411</v>
      </c>
      <c r="AJ1838" s="2">
        <v>0</v>
      </c>
      <c r="AK1838">
        <v>0</v>
      </c>
      <c r="AL1838">
        <v>0.1</v>
      </c>
      <c r="AM1838">
        <v>0</v>
      </c>
      <c r="AN1838" s="2">
        <f>IF((2*G1838+M1838-O1838+3*V1838+2*AB1838+2*AE1838+2*AH1838+3*AJ1838)&gt;=7,1,0)</f>
        <v>0</v>
      </c>
    </row>
    <row r="1839" spans="1:40" x14ac:dyDescent="0.25">
      <c r="A1839" t="s">
        <v>27</v>
      </c>
      <c r="B1839" s="1">
        <v>42325</v>
      </c>
      <c r="C1839" s="6">
        <f t="shared" si="280"/>
        <v>2015</v>
      </c>
      <c r="D1839">
        <v>68</v>
      </c>
      <c r="E1839">
        <v>60.8</v>
      </c>
      <c r="F1839">
        <v>64.900000000000006</v>
      </c>
      <c r="G1839" s="2">
        <f t="shared" si="281"/>
        <v>0</v>
      </c>
      <c r="H1839">
        <v>68</v>
      </c>
      <c r="I1839">
        <v>60.8</v>
      </c>
      <c r="J1839">
        <v>64.900000000000006</v>
      </c>
      <c r="K1839">
        <v>56.6</v>
      </c>
      <c r="L1839">
        <v>74.7</v>
      </c>
      <c r="M1839" s="2">
        <f t="shared" si="282"/>
        <v>0</v>
      </c>
      <c r="N1839">
        <v>0</v>
      </c>
      <c r="O1839" s="2">
        <f t="shared" si="283"/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32.4</v>
      </c>
      <c r="V1839" s="2">
        <f t="shared" si="284"/>
        <v>1</v>
      </c>
      <c r="W1839">
        <v>19.7</v>
      </c>
      <c r="X1839" s="2">
        <f t="shared" si="285"/>
        <v>1</v>
      </c>
      <c r="Y1839">
        <v>313.2</v>
      </c>
      <c r="Z1839" s="2" t="str">
        <f>CHOOSE(MATCH(Y1839,{0;11;80;111;161;191;241;281;341},1),"North","NorthEast","East","SouthEast","South","SouthWest","West","NorthWest","North")</f>
        <v>NorthWest</v>
      </c>
      <c r="AA1839" s="4">
        <f>CHOOSE(MATCH(Z1839,{"South";"SouthEast";"SouthWest";"North";"NorthEast";"East";"West";"NorthWest"},0),1,2,3,4,5,6,7,8)</f>
        <v>8</v>
      </c>
      <c r="AB1839" s="2">
        <f t="shared" si="286"/>
        <v>1</v>
      </c>
      <c r="AC1839">
        <v>1016.5</v>
      </c>
      <c r="AD1839" t="s">
        <v>1161</v>
      </c>
      <c r="AE1839" s="2">
        <f t="shared" si="287"/>
        <v>0</v>
      </c>
      <c r="AF1839" t="s">
        <v>2522</v>
      </c>
      <c r="AG1839" s="2">
        <f t="shared" si="288"/>
        <v>11</v>
      </c>
      <c r="AH1839" s="2">
        <f t="shared" si="289"/>
        <v>0</v>
      </c>
      <c r="AI1839" s="3">
        <v>129.99999999417921</v>
      </c>
      <c r="AJ1839" s="2">
        <v>0</v>
      </c>
      <c r="AK1839">
        <v>0</v>
      </c>
      <c r="AL1839">
        <v>3</v>
      </c>
      <c r="AM1839">
        <v>0</v>
      </c>
      <c r="AN1839" s="2">
        <f>IF((2*G1839+M1839-O1839+3*V1839+2*AB1839+2*AE1839+2*AH1839+3*AJ1839)&gt;=7,1,0)</f>
        <v>0</v>
      </c>
    </row>
    <row r="1840" spans="1:40" x14ac:dyDescent="0.25">
      <c r="A1840" t="s">
        <v>27</v>
      </c>
      <c r="B1840" s="1">
        <v>42328</v>
      </c>
      <c r="C1840" s="6">
        <f t="shared" si="280"/>
        <v>2015</v>
      </c>
      <c r="D1840">
        <v>68</v>
      </c>
      <c r="E1840">
        <v>53.6</v>
      </c>
      <c r="F1840">
        <v>59.7</v>
      </c>
      <c r="G1840" s="2">
        <f t="shared" si="281"/>
        <v>0</v>
      </c>
      <c r="H1840">
        <v>68</v>
      </c>
      <c r="I1840">
        <v>53.6</v>
      </c>
      <c r="J1840">
        <v>59.7</v>
      </c>
      <c r="K1840">
        <v>55</v>
      </c>
      <c r="L1840">
        <v>84.9</v>
      </c>
      <c r="M1840" s="2">
        <f t="shared" si="282"/>
        <v>0</v>
      </c>
      <c r="N1840">
        <v>0</v>
      </c>
      <c r="O1840" s="2">
        <f t="shared" si="283"/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17.899999999999999</v>
      </c>
      <c r="V1840" s="2">
        <f t="shared" si="284"/>
        <v>1</v>
      </c>
      <c r="W1840">
        <v>9.1999999999999993</v>
      </c>
      <c r="X1840" s="2">
        <f t="shared" si="285"/>
        <v>0</v>
      </c>
      <c r="Y1840">
        <v>164.7</v>
      </c>
      <c r="Z1840" s="2" t="str">
        <f>CHOOSE(MATCH(Y1840,{0;11;80;111;161;191;241;281;341},1),"North","NorthEast","East","SouthEast","South","SouthWest","West","NorthWest","North")</f>
        <v>South</v>
      </c>
      <c r="AA1840" s="4">
        <f>CHOOSE(MATCH(Z1840,{"South";"SouthEast";"SouthWest";"North";"NorthEast";"East";"West";"NorthWest"},0),1,2,3,4,5,6,7,8)</f>
        <v>1</v>
      </c>
      <c r="AB1840" s="2">
        <f t="shared" si="286"/>
        <v>0</v>
      </c>
      <c r="AC1840">
        <v>1019.3</v>
      </c>
      <c r="AD1840" t="s">
        <v>2523</v>
      </c>
      <c r="AE1840" s="2">
        <f t="shared" si="287"/>
        <v>1</v>
      </c>
      <c r="AF1840" t="s">
        <v>2524</v>
      </c>
      <c r="AG1840" s="2">
        <f t="shared" si="288"/>
        <v>11</v>
      </c>
      <c r="AH1840" s="2">
        <f t="shared" si="289"/>
        <v>0</v>
      </c>
      <c r="AI1840" s="3">
        <v>226.0000000032596</v>
      </c>
      <c r="AJ1840" s="2">
        <v>0</v>
      </c>
      <c r="AK1840">
        <v>0</v>
      </c>
      <c r="AL1840">
        <v>5</v>
      </c>
      <c r="AM1840">
        <v>0</v>
      </c>
      <c r="AN1840" s="2">
        <f>IF((2*G1840+M1840-O1840+3*V1840+2*AB1840+2*AE1840+2*AH1840+3*AJ1840)&gt;=7,1,0)</f>
        <v>0</v>
      </c>
    </row>
    <row r="1841" spans="1:40" x14ac:dyDescent="0.25">
      <c r="A1841" t="s">
        <v>27</v>
      </c>
      <c r="B1841" s="1">
        <v>42328</v>
      </c>
      <c r="C1841" s="6">
        <f t="shared" si="280"/>
        <v>2015</v>
      </c>
      <c r="D1841">
        <v>68</v>
      </c>
      <c r="E1841">
        <v>53.6</v>
      </c>
      <c r="F1841">
        <v>59.7</v>
      </c>
      <c r="G1841" s="2">
        <f t="shared" si="281"/>
        <v>0</v>
      </c>
      <c r="H1841">
        <v>68</v>
      </c>
      <c r="I1841">
        <v>53.6</v>
      </c>
      <c r="J1841">
        <v>59.7</v>
      </c>
      <c r="K1841">
        <v>55</v>
      </c>
      <c r="L1841">
        <v>84.9</v>
      </c>
      <c r="M1841" s="2">
        <f t="shared" si="282"/>
        <v>0</v>
      </c>
      <c r="N1841">
        <v>0</v>
      </c>
      <c r="O1841" s="2">
        <f t="shared" si="283"/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17.899999999999999</v>
      </c>
      <c r="V1841" s="2">
        <f t="shared" si="284"/>
        <v>1</v>
      </c>
      <c r="W1841">
        <v>9.1999999999999993</v>
      </c>
      <c r="X1841" s="2">
        <f t="shared" si="285"/>
        <v>0</v>
      </c>
      <c r="Y1841">
        <v>164.7</v>
      </c>
      <c r="Z1841" s="2" t="str">
        <f>CHOOSE(MATCH(Y1841,{0;11;80;111;161;191;241;281;341},1),"North","NorthEast","East","SouthEast","South","SouthWest","West","NorthWest","North")</f>
        <v>South</v>
      </c>
      <c r="AA1841" s="4">
        <f>CHOOSE(MATCH(Z1841,{"South";"SouthEast";"SouthWest";"North";"NorthEast";"East";"West";"NorthWest"},0),1,2,3,4,5,6,7,8)</f>
        <v>1</v>
      </c>
      <c r="AB1841" s="2">
        <f t="shared" si="286"/>
        <v>0</v>
      </c>
      <c r="AC1841">
        <v>1019.3</v>
      </c>
      <c r="AD1841" t="s">
        <v>2525</v>
      </c>
      <c r="AE1841" s="2">
        <f t="shared" si="287"/>
        <v>1</v>
      </c>
      <c r="AF1841" t="s">
        <v>2526</v>
      </c>
      <c r="AG1841" s="2">
        <f t="shared" si="288"/>
        <v>11</v>
      </c>
      <c r="AH1841" s="2">
        <f t="shared" si="289"/>
        <v>0</v>
      </c>
      <c r="AI1841" s="3">
        <v>1556.0000000009311</v>
      </c>
      <c r="AJ1841" s="2">
        <v>1</v>
      </c>
      <c r="AK1841">
        <v>0</v>
      </c>
      <c r="AL1841">
        <v>20</v>
      </c>
      <c r="AM1841">
        <v>0</v>
      </c>
      <c r="AN1841" s="2">
        <f>IF((2*G1841+M1841-O1841+3*V1841+2*AB1841+2*AE1841+2*AH1841+3*AJ1841)&gt;=7,1,0)</f>
        <v>1</v>
      </c>
    </row>
    <row r="1842" spans="1:40" x14ac:dyDescent="0.25">
      <c r="A1842" t="s">
        <v>27</v>
      </c>
      <c r="B1842" s="1">
        <v>42330</v>
      </c>
      <c r="C1842" s="6">
        <f t="shared" si="280"/>
        <v>2015</v>
      </c>
      <c r="D1842">
        <v>75.2</v>
      </c>
      <c r="E1842">
        <v>62.6</v>
      </c>
      <c r="F1842">
        <v>67.3</v>
      </c>
      <c r="G1842" s="2">
        <f t="shared" si="281"/>
        <v>0</v>
      </c>
      <c r="H1842">
        <v>75.2</v>
      </c>
      <c r="I1842">
        <v>62.6</v>
      </c>
      <c r="J1842">
        <v>67.3</v>
      </c>
      <c r="K1842">
        <v>57.5</v>
      </c>
      <c r="L1842">
        <v>71.3</v>
      </c>
      <c r="M1842" s="2">
        <f t="shared" si="282"/>
        <v>0</v>
      </c>
      <c r="N1842">
        <v>2E-3</v>
      </c>
      <c r="O1842" s="2">
        <f t="shared" si="283"/>
        <v>1</v>
      </c>
      <c r="P1842">
        <v>100</v>
      </c>
      <c r="Q1842">
        <v>4.17</v>
      </c>
      <c r="R1842" t="s">
        <v>182</v>
      </c>
      <c r="S1842">
        <v>0</v>
      </c>
      <c r="T1842">
        <v>0</v>
      </c>
      <c r="U1842">
        <v>25.7</v>
      </c>
      <c r="V1842" s="2">
        <f t="shared" si="284"/>
        <v>1</v>
      </c>
      <c r="W1842">
        <v>19.7</v>
      </c>
      <c r="X1842" s="2">
        <f t="shared" si="285"/>
        <v>1</v>
      </c>
      <c r="Y1842">
        <v>172.5</v>
      </c>
      <c r="Z1842" s="2" t="str">
        <f>CHOOSE(MATCH(Y1842,{0;11;80;111;161;191;241;281;341},1),"North","NorthEast","East","SouthEast","South","SouthWest","West","NorthWest","North")</f>
        <v>South</v>
      </c>
      <c r="AA1842" s="4">
        <f>CHOOSE(MATCH(Z1842,{"South";"SouthEast";"SouthWest";"North";"NorthEast";"East";"West";"NorthWest"},0),1,2,3,4,5,6,7,8)</f>
        <v>1</v>
      </c>
      <c r="AB1842" s="2">
        <f t="shared" si="286"/>
        <v>0</v>
      </c>
      <c r="AC1842">
        <v>1012.9</v>
      </c>
      <c r="AD1842" t="s">
        <v>2527</v>
      </c>
      <c r="AE1842" s="2">
        <f t="shared" si="287"/>
        <v>1</v>
      </c>
      <c r="AF1842" t="s">
        <v>2528</v>
      </c>
      <c r="AG1842" s="2">
        <f t="shared" si="288"/>
        <v>11</v>
      </c>
      <c r="AH1842" s="2">
        <f t="shared" si="289"/>
        <v>0</v>
      </c>
      <c r="AI1842" s="3">
        <v>924.99999999767169</v>
      </c>
      <c r="AJ1842" s="2">
        <v>1</v>
      </c>
      <c r="AK1842">
        <v>0</v>
      </c>
      <c r="AL1842">
        <v>30</v>
      </c>
      <c r="AM1842">
        <v>0</v>
      </c>
      <c r="AN1842" s="2">
        <f>IF((2*G1842+M1842-O1842+3*V1842+2*AB1842+2*AE1842+2*AH1842+3*AJ1842)&gt;=7,1,0)</f>
        <v>1</v>
      </c>
    </row>
    <row r="1843" spans="1:40" x14ac:dyDescent="0.25">
      <c r="A1843" t="s">
        <v>27</v>
      </c>
      <c r="B1843" s="1">
        <v>42331</v>
      </c>
      <c r="C1843" s="6">
        <f t="shared" si="280"/>
        <v>2015</v>
      </c>
      <c r="D1843">
        <v>75.2</v>
      </c>
      <c r="E1843">
        <v>62.5</v>
      </c>
      <c r="F1843">
        <v>66.400000000000006</v>
      </c>
      <c r="G1843" s="2">
        <f t="shared" si="281"/>
        <v>0</v>
      </c>
      <c r="H1843">
        <v>75.2</v>
      </c>
      <c r="I1843">
        <v>62.5</v>
      </c>
      <c r="J1843">
        <v>66.400000000000006</v>
      </c>
      <c r="K1843">
        <v>56.4</v>
      </c>
      <c r="L1843">
        <v>70.8</v>
      </c>
      <c r="M1843" s="2">
        <f t="shared" si="282"/>
        <v>0</v>
      </c>
      <c r="N1843">
        <v>0</v>
      </c>
      <c r="O1843" s="2">
        <f t="shared" si="283"/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18.8</v>
      </c>
      <c r="V1843" s="2">
        <f t="shared" si="284"/>
        <v>1</v>
      </c>
      <c r="W1843">
        <v>19.7</v>
      </c>
      <c r="X1843" s="2">
        <f t="shared" si="285"/>
        <v>1</v>
      </c>
      <c r="Y1843">
        <v>177.8</v>
      </c>
      <c r="Z1843" s="2" t="str">
        <f>CHOOSE(MATCH(Y1843,{0;11;80;111;161;191;241;281;341},1),"North","NorthEast","East","SouthEast","South","SouthWest","West","NorthWest","North")</f>
        <v>South</v>
      </c>
      <c r="AA1843" s="4">
        <f>CHOOSE(MATCH(Z1843,{"South";"SouthEast";"SouthWest";"North";"NorthEast";"East";"West";"NorthWest"},0),1,2,3,4,5,6,7,8)</f>
        <v>1</v>
      </c>
      <c r="AB1843" s="2">
        <f t="shared" si="286"/>
        <v>0</v>
      </c>
      <c r="AC1843">
        <v>1019.2</v>
      </c>
      <c r="AD1843" t="s">
        <v>1759</v>
      </c>
      <c r="AE1843" s="2">
        <f t="shared" si="287"/>
        <v>1</v>
      </c>
      <c r="AF1843" t="s">
        <v>2529</v>
      </c>
      <c r="AG1843" s="2">
        <f t="shared" si="288"/>
        <v>11</v>
      </c>
      <c r="AH1843" s="2">
        <f t="shared" si="289"/>
        <v>0</v>
      </c>
      <c r="AI1843" s="3">
        <v>0</v>
      </c>
      <c r="AJ1843" s="2">
        <v>0</v>
      </c>
      <c r="AK1843">
        <v>0</v>
      </c>
      <c r="AL1843">
        <v>1</v>
      </c>
      <c r="AM1843">
        <v>0</v>
      </c>
      <c r="AN1843" s="2">
        <f>IF((2*G1843+M1843-O1843+3*V1843+2*AB1843+2*AE1843+2*AH1843+3*AJ1843)&gt;=7,1,0)</f>
        <v>0</v>
      </c>
    </row>
    <row r="1844" spans="1:40" x14ac:dyDescent="0.25">
      <c r="A1844" t="s">
        <v>27</v>
      </c>
      <c r="B1844" s="1">
        <v>42340</v>
      </c>
      <c r="C1844" s="6">
        <f t="shared" si="280"/>
        <v>2015</v>
      </c>
      <c r="D1844">
        <v>66.2</v>
      </c>
      <c r="E1844">
        <v>53.6</v>
      </c>
      <c r="F1844">
        <v>61</v>
      </c>
      <c r="G1844" s="2">
        <f t="shared" si="281"/>
        <v>0</v>
      </c>
      <c r="H1844">
        <v>66.2</v>
      </c>
      <c r="I1844">
        <v>53.6</v>
      </c>
      <c r="J1844">
        <v>61</v>
      </c>
      <c r="K1844">
        <v>51.7</v>
      </c>
      <c r="L1844">
        <v>72</v>
      </c>
      <c r="M1844" s="2">
        <f t="shared" si="282"/>
        <v>0</v>
      </c>
      <c r="N1844">
        <v>0</v>
      </c>
      <c r="O1844" s="2">
        <f t="shared" si="283"/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22.8</v>
      </c>
      <c r="V1844" s="2">
        <f t="shared" si="284"/>
        <v>1</v>
      </c>
      <c r="W1844">
        <v>12.8</v>
      </c>
      <c r="X1844" s="2">
        <f t="shared" si="285"/>
        <v>0</v>
      </c>
      <c r="Y1844">
        <v>291.3</v>
      </c>
      <c r="Z1844" s="2" t="str">
        <f>CHOOSE(MATCH(Y1844,{0;11;80;111;161;191;241;281;341},1),"North","NorthEast","East","SouthEast","South","SouthWest","West","NorthWest","North")</f>
        <v>NorthWest</v>
      </c>
      <c r="AA1844" s="4">
        <f>CHOOSE(MATCH(Z1844,{"South";"SouthEast";"SouthWest";"North";"NorthEast";"East";"West";"NorthWest"},0),1,2,3,4,5,6,7,8)</f>
        <v>8</v>
      </c>
      <c r="AB1844" s="2">
        <f t="shared" si="286"/>
        <v>1</v>
      </c>
      <c r="AC1844">
        <v>1023</v>
      </c>
      <c r="AD1844" t="s">
        <v>2530</v>
      </c>
      <c r="AE1844" s="2">
        <f t="shared" si="287"/>
        <v>0</v>
      </c>
      <c r="AF1844" t="s">
        <v>2531</v>
      </c>
      <c r="AG1844" s="2">
        <f t="shared" si="288"/>
        <v>12</v>
      </c>
      <c r="AH1844" s="2">
        <f t="shared" si="289"/>
        <v>0</v>
      </c>
      <c r="AI1844" s="3">
        <v>1339.9999999988361</v>
      </c>
      <c r="AJ1844" s="2">
        <v>1</v>
      </c>
      <c r="AK1844">
        <v>0</v>
      </c>
      <c r="AL1844">
        <v>15</v>
      </c>
      <c r="AM1844">
        <v>0</v>
      </c>
      <c r="AN1844" s="2">
        <f>IF((2*G1844+M1844-O1844+3*V1844+2*AB1844+2*AE1844+2*AH1844+3*AJ1844)&gt;=7,1,0)</f>
        <v>1</v>
      </c>
    </row>
    <row r="1845" spans="1:40" x14ac:dyDescent="0.25">
      <c r="A1845" t="s">
        <v>27</v>
      </c>
      <c r="B1845" s="1">
        <v>42385</v>
      </c>
      <c r="C1845" s="6">
        <f t="shared" si="280"/>
        <v>2016</v>
      </c>
      <c r="D1845">
        <v>62.6</v>
      </c>
      <c r="E1845">
        <v>53.6</v>
      </c>
      <c r="F1845">
        <v>58.9</v>
      </c>
      <c r="G1845" s="2">
        <f t="shared" si="281"/>
        <v>0</v>
      </c>
      <c r="H1845">
        <v>62.6</v>
      </c>
      <c r="I1845">
        <v>53.6</v>
      </c>
      <c r="J1845">
        <v>58.9</v>
      </c>
      <c r="K1845">
        <v>47</v>
      </c>
      <c r="L1845">
        <v>65.3</v>
      </c>
      <c r="M1845" s="2">
        <f t="shared" si="282"/>
        <v>1</v>
      </c>
      <c r="N1845">
        <v>0</v>
      </c>
      <c r="O1845" s="2">
        <f t="shared" si="283"/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43.6</v>
      </c>
      <c r="V1845" s="2">
        <f t="shared" si="284"/>
        <v>1</v>
      </c>
      <c r="W1845">
        <v>31.1</v>
      </c>
      <c r="X1845" s="2">
        <f t="shared" si="285"/>
        <v>1</v>
      </c>
      <c r="Y1845">
        <v>172.9</v>
      </c>
      <c r="Z1845" s="2" t="str">
        <f>CHOOSE(MATCH(Y1845,{0;11;80;111;161;191;241;281;341},1),"North","NorthEast","East","SouthEast","South","SouthWest","West","NorthWest","North")</f>
        <v>South</v>
      </c>
      <c r="AA1845" s="4">
        <f>CHOOSE(MATCH(Z1845,{"South";"SouthEast";"SouthWest";"North";"NorthEast";"East";"West";"NorthWest"},0),1,2,3,4,5,6,7,8)</f>
        <v>1</v>
      </c>
      <c r="AB1845" s="2">
        <f t="shared" si="286"/>
        <v>0</v>
      </c>
      <c r="AC1845">
        <v>1011.4</v>
      </c>
      <c r="AD1845" t="s">
        <v>1203</v>
      </c>
      <c r="AE1845" s="2">
        <f t="shared" si="287"/>
        <v>1</v>
      </c>
      <c r="AF1845" t="s">
        <v>2532</v>
      </c>
      <c r="AG1845" s="2">
        <f t="shared" si="288"/>
        <v>1</v>
      </c>
      <c r="AH1845" s="2">
        <f t="shared" si="289"/>
        <v>0</v>
      </c>
      <c r="AI1845" s="3">
        <v>1059.9999999976719</v>
      </c>
      <c r="AJ1845" s="2">
        <v>1</v>
      </c>
      <c r="AK1845">
        <v>0</v>
      </c>
      <c r="AL1845">
        <v>50</v>
      </c>
      <c r="AM1845">
        <v>0</v>
      </c>
      <c r="AN1845" s="2">
        <f>IF((2*G1845+M1845-O1845+3*V1845+2*AB1845+2*AE1845+2*AH1845+3*AJ1845)&gt;=7,1,0)</f>
        <v>1</v>
      </c>
    </row>
    <row r="1846" spans="1:40" x14ac:dyDescent="0.25">
      <c r="A1846" t="s">
        <v>27</v>
      </c>
      <c r="B1846" s="1">
        <v>42397</v>
      </c>
      <c r="C1846" s="6">
        <f t="shared" si="280"/>
        <v>2016</v>
      </c>
      <c r="D1846">
        <v>60.8</v>
      </c>
      <c r="E1846">
        <v>38.9</v>
      </c>
      <c r="F1846">
        <v>50.6</v>
      </c>
      <c r="G1846" s="2">
        <f t="shared" si="281"/>
        <v>0</v>
      </c>
      <c r="H1846">
        <v>60.8</v>
      </c>
      <c r="I1846">
        <v>33.9</v>
      </c>
      <c r="J1846">
        <v>48.4</v>
      </c>
      <c r="K1846">
        <v>43.4</v>
      </c>
      <c r="L1846">
        <v>76.8</v>
      </c>
      <c r="M1846" s="2">
        <f t="shared" si="282"/>
        <v>0</v>
      </c>
      <c r="N1846">
        <v>0</v>
      </c>
      <c r="O1846" s="2">
        <f t="shared" si="283"/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15.4</v>
      </c>
      <c r="V1846" s="2">
        <f t="shared" si="284"/>
        <v>1</v>
      </c>
      <c r="W1846">
        <v>12.8</v>
      </c>
      <c r="X1846" s="2">
        <f t="shared" si="285"/>
        <v>0</v>
      </c>
      <c r="Y1846">
        <v>154.69999999999999</v>
      </c>
      <c r="Z1846" s="2" t="str">
        <f>CHOOSE(MATCH(Y1846,{0;11;80;111;161;191;241;281;341},1),"North","NorthEast","East","SouthEast","South","SouthWest","West","NorthWest","North")</f>
        <v>SouthEast</v>
      </c>
      <c r="AA1846" s="4">
        <f>CHOOSE(MATCH(Z1846,{"South";"SouthEast";"SouthWest";"North";"NorthEast";"East";"West";"NorthWest"},0),1,2,3,4,5,6,7,8)</f>
        <v>2</v>
      </c>
      <c r="AB1846" s="2">
        <f t="shared" si="286"/>
        <v>0</v>
      </c>
      <c r="AC1846">
        <v>1029.4000000000001</v>
      </c>
      <c r="AD1846" t="s">
        <v>2022</v>
      </c>
      <c r="AE1846" s="2">
        <f t="shared" si="287"/>
        <v>1</v>
      </c>
      <c r="AF1846" t="s">
        <v>2533</v>
      </c>
      <c r="AG1846" s="2">
        <f t="shared" si="288"/>
        <v>1</v>
      </c>
      <c r="AH1846" s="2">
        <f t="shared" si="289"/>
        <v>0</v>
      </c>
      <c r="AI1846" s="3">
        <v>60.999999999767169</v>
      </c>
      <c r="AJ1846" s="2">
        <v>0</v>
      </c>
      <c r="AK1846">
        <v>0</v>
      </c>
      <c r="AL1846">
        <v>0.5</v>
      </c>
      <c r="AM1846">
        <v>0</v>
      </c>
      <c r="AN1846" s="2">
        <f>IF((2*G1846+M1846-O1846+3*V1846+2*AB1846+2*AE1846+2*AH1846+3*AJ1846)&gt;=7,1,0)</f>
        <v>0</v>
      </c>
    </row>
    <row r="1847" spans="1:40" x14ac:dyDescent="0.25">
      <c r="A1847" t="s">
        <v>27</v>
      </c>
      <c r="B1847" s="1">
        <v>42397</v>
      </c>
      <c r="C1847" s="6">
        <f t="shared" si="280"/>
        <v>2016</v>
      </c>
      <c r="D1847">
        <v>60.8</v>
      </c>
      <c r="E1847">
        <v>38.9</v>
      </c>
      <c r="F1847">
        <v>50.6</v>
      </c>
      <c r="G1847" s="2">
        <f t="shared" si="281"/>
        <v>0</v>
      </c>
      <c r="H1847">
        <v>60.8</v>
      </c>
      <c r="I1847">
        <v>33.9</v>
      </c>
      <c r="J1847">
        <v>48.4</v>
      </c>
      <c r="K1847">
        <v>43.4</v>
      </c>
      <c r="L1847">
        <v>76.8</v>
      </c>
      <c r="M1847" s="2">
        <f t="shared" si="282"/>
        <v>0</v>
      </c>
      <c r="N1847">
        <v>0</v>
      </c>
      <c r="O1847" s="2">
        <f t="shared" si="283"/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15.4</v>
      </c>
      <c r="V1847" s="2">
        <f t="shared" si="284"/>
        <v>1</v>
      </c>
      <c r="W1847">
        <v>12.8</v>
      </c>
      <c r="X1847" s="2">
        <f t="shared" si="285"/>
        <v>0</v>
      </c>
      <c r="Y1847">
        <v>154.69999999999999</v>
      </c>
      <c r="Z1847" s="2" t="str">
        <f>CHOOSE(MATCH(Y1847,{0;11;80;111;161;191;241;281;341},1),"North","NorthEast","East","SouthEast","South","SouthWest","West","NorthWest","North")</f>
        <v>SouthEast</v>
      </c>
      <c r="AA1847" s="4">
        <f>CHOOSE(MATCH(Z1847,{"South";"SouthEast";"SouthWest";"North";"NorthEast";"East";"West";"NorthWest"},0),1,2,3,4,5,6,7,8)</f>
        <v>2</v>
      </c>
      <c r="AB1847" s="2">
        <f t="shared" si="286"/>
        <v>0</v>
      </c>
      <c r="AC1847">
        <v>1029.4000000000001</v>
      </c>
      <c r="AD1847" t="s">
        <v>1089</v>
      </c>
      <c r="AE1847" s="2">
        <f t="shared" si="287"/>
        <v>1</v>
      </c>
      <c r="AF1847" t="s">
        <v>2534</v>
      </c>
      <c r="AG1847" s="2">
        <f t="shared" si="288"/>
        <v>1</v>
      </c>
      <c r="AH1847" s="2">
        <f t="shared" si="289"/>
        <v>0</v>
      </c>
      <c r="AI1847" s="3">
        <v>409.99999999534339</v>
      </c>
      <c r="AJ1847" s="2">
        <v>1</v>
      </c>
      <c r="AK1847">
        <v>0</v>
      </c>
      <c r="AL1847">
        <v>2</v>
      </c>
      <c r="AM1847">
        <v>0</v>
      </c>
      <c r="AN1847" s="2">
        <f>IF((2*G1847+M1847-O1847+3*V1847+2*AB1847+2*AE1847+2*AH1847+3*AJ1847)&gt;=7,1,0)</f>
        <v>1</v>
      </c>
    </row>
    <row r="1848" spans="1:40" x14ac:dyDescent="0.25">
      <c r="A1848" t="s">
        <v>27</v>
      </c>
      <c r="B1848" s="1">
        <v>42399</v>
      </c>
      <c r="C1848" s="6">
        <f t="shared" si="280"/>
        <v>2016</v>
      </c>
      <c r="D1848">
        <v>62.6</v>
      </c>
      <c r="E1848">
        <v>51.8</v>
      </c>
      <c r="F1848">
        <v>58.1</v>
      </c>
      <c r="G1848" s="2">
        <f t="shared" si="281"/>
        <v>0</v>
      </c>
      <c r="H1848">
        <v>62.6</v>
      </c>
      <c r="I1848">
        <v>51.8</v>
      </c>
      <c r="J1848">
        <v>58.1</v>
      </c>
      <c r="K1848">
        <v>51</v>
      </c>
      <c r="L1848">
        <v>77.400000000000006</v>
      </c>
      <c r="M1848" s="2">
        <f t="shared" si="282"/>
        <v>0</v>
      </c>
      <c r="N1848">
        <v>0</v>
      </c>
      <c r="O1848" s="2">
        <f t="shared" si="283"/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19.5</v>
      </c>
      <c r="V1848" s="2">
        <f t="shared" si="284"/>
        <v>1</v>
      </c>
      <c r="W1848">
        <v>8.1</v>
      </c>
      <c r="X1848" s="2">
        <f t="shared" si="285"/>
        <v>0</v>
      </c>
      <c r="Y1848">
        <v>303.60000000000002</v>
      </c>
      <c r="Z1848" s="2" t="str">
        <f>CHOOSE(MATCH(Y1848,{0;11;80;111;161;191;241;281;341},1),"North","NorthEast","East","SouthEast","South","SouthWest","West","NorthWest","North")</f>
        <v>NorthWest</v>
      </c>
      <c r="AA1848" s="4">
        <f>CHOOSE(MATCH(Z1848,{"South";"SouthEast";"SouthWest";"North";"NorthEast";"East";"West";"NorthWest"},0),1,2,3,4,5,6,7,8)</f>
        <v>8</v>
      </c>
      <c r="AB1848" s="2">
        <f t="shared" si="286"/>
        <v>1</v>
      </c>
      <c r="AC1848">
        <v>1027.5999999999999</v>
      </c>
      <c r="AD1848" t="s">
        <v>1998</v>
      </c>
      <c r="AE1848" s="2">
        <f t="shared" si="287"/>
        <v>1</v>
      </c>
      <c r="AF1848" t="s">
        <v>2535</v>
      </c>
      <c r="AG1848" s="2">
        <f t="shared" si="288"/>
        <v>1</v>
      </c>
      <c r="AH1848" s="2">
        <f t="shared" si="289"/>
        <v>0</v>
      </c>
      <c r="AI1848" s="3">
        <v>315</v>
      </c>
      <c r="AJ1848" s="2">
        <v>0</v>
      </c>
      <c r="AK1848">
        <v>0</v>
      </c>
      <c r="AL1848">
        <v>7</v>
      </c>
      <c r="AM1848">
        <v>0</v>
      </c>
      <c r="AN1848" s="2">
        <f>IF((2*G1848+M1848-O1848+3*V1848+2*AB1848+2*AE1848+2*AH1848+3*AJ1848)&gt;=7,1,0)</f>
        <v>0</v>
      </c>
    </row>
    <row r="1849" spans="1:40" x14ac:dyDescent="0.25">
      <c r="A1849" t="s">
        <v>27</v>
      </c>
      <c r="B1849" s="1">
        <v>42404</v>
      </c>
      <c r="C1849" s="6">
        <f t="shared" si="280"/>
        <v>2016</v>
      </c>
      <c r="D1849">
        <v>66.2</v>
      </c>
      <c r="E1849">
        <v>55.4</v>
      </c>
      <c r="F1849">
        <v>59.7</v>
      </c>
      <c r="G1849" s="2">
        <f t="shared" si="281"/>
        <v>0</v>
      </c>
      <c r="H1849">
        <v>66.2</v>
      </c>
      <c r="I1849">
        <v>55.4</v>
      </c>
      <c r="J1849">
        <v>59.7</v>
      </c>
      <c r="K1849">
        <v>49.8</v>
      </c>
      <c r="L1849">
        <v>70.099999999999994</v>
      </c>
      <c r="M1849" s="2">
        <f t="shared" si="282"/>
        <v>0</v>
      </c>
      <c r="N1849">
        <v>0</v>
      </c>
      <c r="O1849" s="2">
        <f t="shared" si="283"/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25.3</v>
      </c>
      <c r="V1849" s="2">
        <f t="shared" si="284"/>
        <v>1</v>
      </c>
      <c r="W1849">
        <v>18.3</v>
      </c>
      <c r="X1849" s="2">
        <f t="shared" si="285"/>
        <v>1</v>
      </c>
      <c r="Y1849">
        <v>171.2</v>
      </c>
      <c r="Z1849" s="2" t="str">
        <f>CHOOSE(MATCH(Y1849,{0;11;80;111;161;191;241;281;341},1),"North","NorthEast","East","SouthEast","South","SouthWest","West","NorthWest","North")</f>
        <v>South</v>
      </c>
      <c r="AA1849" s="4">
        <f>CHOOSE(MATCH(Z1849,{"South";"SouthEast";"SouthWest";"North";"NorthEast";"East";"West";"NorthWest"},0),1,2,3,4,5,6,7,8)</f>
        <v>1</v>
      </c>
      <c r="AB1849" s="2">
        <f t="shared" si="286"/>
        <v>0</v>
      </c>
      <c r="AC1849">
        <v>1018.7</v>
      </c>
      <c r="AD1849" t="s">
        <v>2536</v>
      </c>
      <c r="AE1849" s="2">
        <f t="shared" si="287"/>
        <v>1</v>
      </c>
      <c r="AF1849" t="s">
        <v>2537</v>
      </c>
      <c r="AG1849" s="2">
        <f t="shared" si="288"/>
        <v>2</v>
      </c>
      <c r="AH1849" s="2">
        <f t="shared" si="289"/>
        <v>0</v>
      </c>
      <c r="AI1849" s="3">
        <v>252.9999999969732</v>
      </c>
      <c r="AJ1849" s="2">
        <v>0</v>
      </c>
      <c r="AK1849">
        <v>0</v>
      </c>
      <c r="AL1849">
        <v>0.2</v>
      </c>
      <c r="AM1849">
        <v>0</v>
      </c>
      <c r="AN1849" s="2">
        <f>IF((2*G1849+M1849-O1849+3*V1849+2*AB1849+2*AE1849+2*AH1849+3*AJ1849)&gt;=7,1,0)</f>
        <v>0</v>
      </c>
    </row>
    <row r="1850" spans="1:40" x14ac:dyDescent="0.25">
      <c r="A1850" t="s">
        <v>27</v>
      </c>
      <c r="B1850" s="1">
        <v>42404</v>
      </c>
      <c r="C1850" s="6">
        <f t="shared" si="280"/>
        <v>2016</v>
      </c>
      <c r="D1850">
        <v>66.2</v>
      </c>
      <c r="E1850">
        <v>55.4</v>
      </c>
      <c r="F1850">
        <v>59.7</v>
      </c>
      <c r="G1850" s="2">
        <f t="shared" si="281"/>
        <v>0</v>
      </c>
      <c r="H1850">
        <v>66.2</v>
      </c>
      <c r="I1850">
        <v>55.4</v>
      </c>
      <c r="J1850">
        <v>59.7</v>
      </c>
      <c r="K1850">
        <v>49.8</v>
      </c>
      <c r="L1850">
        <v>70.099999999999994</v>
      </c>
      <c r="M1850" s="2">
        <f t="shared" si="282"/>
        <v>0</v>
      </c>
      <c r="N1850">
        <v>0</v>
      </c>
      <c r="O1850" s="2">
        <f t="shared" si="283"/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25.3</v>
      </c>
      <c r="V1850" s="2">
        <f t="shared" si="284"/>
        <v>1</v>
      </c>
      <c r="W1850">
        <v>18.3</v>
      </c>
      <c r="X1850" s="2">
        <f t="shared" si="285"/>
        <v>1</v>
      </c>
      <c r="Y1850">
        <v>171.2</v>
      </c>
      <c r="Z1850" s="2" t="str">
        <f>CHOOSE(MATCH(Y1850,{0;11;80;111;161;191;241;281;341},1),"North","NorthEast","East","SouthEast","South","SouthWest","West","NorthWest","North")</f>
        <v>South</v>
      </c>
      <c r="AA1850" s="4">
        <f>CHOOSE(MATCH(Z1850,{"South";"SouthEast";"SouthWest";"North";"NorthEast";"East";"West";"NorthWest"},0),1,2,3,4,5,6,7,8)</f>
        <v>1</v>
      </c>
      <c r="AB1850" s="2">
        <f t="shared" si="286"/>
        <v>0</v>
      </c>
      <c r="AC1850">
        <v>1018.7</v>
      </c>
      <c r="AD1850" t="s">
        <v>1089</v>
      </c>
      <c r="AE1850" s="2">
        <f t="shared" si="287"/>
        <v>1</v>
      </c>
      <c r="AF1850" t="s">
        <v>2538</v>
      </c>
      <c r="AG1850" s="2">
        <f t="shared" si="288"/>
        <v>2</v>
      </c>
      <c r="AH1850" s="2">
        <f t="shared" si="289"/>
        <v>0</v>
      </c>
      <c r="AI1850" s="3">
        <v>274.99999999534339</v>
      </c>
      <c r="AJ1850" s="2">
        <v>0</v>
      </c>
      <c r="AK1850">
        <v>0</v>
      </c>
      <c r="AL1850">
        <v>20</v>
      </c>
      <c r="AM1850">
        <v>0</v>
      </c>
      <c r="AN1850" s="2">
        <f>IF((2*G1850+M1850-O1850+3*V1850+2*AB1850+2*AE1850+2*AH1850+3*AJ1850)&gt;=7,1,0)</f>
        <v>0</v>
      </c>
    </row>
    <row r="1851" spans="1:40" x14ac:dyDescent="0.25">
      <c r="A1851" t="s">
        <v>27</v>
      </c>
      <c r="B1851" s="1">
        <v>42410</v>
      </c>
      <c r="C1851" s="6">
        <f t="shared" si="280"/>
        <v>2016</v>
      </c>
      <c r="D1851">
        <v>64.400000000000006</v>
      </c>
      <c r="E1851">
        <v>42</v>
      </c>
      <c r="F1851">
        <v>55.7</v>
      </c>
      <c r="G1851" s="2">
        <f t="shared" si="281"/>
        <v>0</v>
      </c>
      <c r="H1851">
        <v>64.400000000000006</v>
      </c>
      <c r="I1851">
        <v>39.6</v>
      </c>
      <c r="J1851">
        <v>54.1</v>
      </c>
      <c r="K1851">
        <v>45.9</v>
      </c>
      <c r="L1851">
        <v>70.400000000000006</v>
      </c>
      <c r="M1851" s="2">
        <f t="shared" si="282"/>
        <v>0</v>
      </c>
      <c r="N1851">
        <v>0</v>
      </c>
      <c r="O1851" s="2">
        <f t="shared" si="283"/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31.1</v>
      </c>
      <c r="V1851" s="2">
        <f t="shared" si="284"/>
        <v>1</v>
      </c>
      <c r="W1851">
        <v>23</v>
      </c>
      <c r="X1851" s="2">
        <f t="shared" si="285"/>
        <v>1</v>
      </c>
      <c r="Y1851">
        <v>184.9</v>
      </c>
      <c r="Z1851" s="2" t="str">
        <f>CHOOSE(MATCH(Y1851,{0;11;80;111;161;191;241;281;341},1),"North","NorthEast","East","SouthEast","South","SouthWest","West","NorthWest","North")</f>
        <v>South</v>
      </c>
      <c r="AA1851" s="4">
        <f>CHOOSE(MATCH(Z1851,{"South";"SouthEast";"SouthWest";"North";"NorthEast";"East";"West";"NorthWest"},0),1,2,3,4,5,6,7,8)</f>
        <v>1</v>
      </c>
      <c r="AB1851" s="2">
        <f t="shared" si="286"/>
        <v>0</v>
      </c>
      <c r="AC1851">
        <v>1018.2</v>
      </c>
      <c r="AD1851" t="s">
        <v>1260</v>
      </c>
      <c r="AE1851" s="2">
        <f t="shared" si="287"/>
        <v>1</v>
      </c>
      <c r="AF1851" t="s">
        <v>2539</v>
      </c>
      <c r="AG1851" s="2">
        <f t="shared" si="288"/>
        <v>2</v>
      </c>
      <c r="AH1851" s="2">
        <f t="shared" si="289"/>
        <v>0</v>
      </c>
      <c r="AI1851" s="3">
        <v>214.99999999883579</v>
      </c>
      <c r="AJ1851" s="2">
        <v>0</v>
      </c>
      <c r="AK1851">
        <v>0</v>
      </c>
      <c r="AL1851">
        <v>1</v>
      </c>
      <c r="AM1851">
        <v>0</v>
      </c>
      <c r="AN1851" s="2">
        <f>IF((2*G1851+M1851-O1851+3*V1851+2*AB1851+2*AE1851+2*AH1851+3*AJ1851)&gt;=7,1,0)</f>
        <v>0</v>
      </c>
    </row>
    <row r="1852" spans="1:40" x14ac:dyDescent="0.25">
      <c r="A1852" t="s">
        <v>27</v>
      </c>
      <c r="B1852" s="1">
        <v>42412</v>
      </c>
      <c r="C1852" s="6">
        <f t="shared" si="280"/>
        <v>2016</v>
      </c>
      <c r="D1852">
        <v>71.599999999999994</v>
      </c>
      <c r="E1852">
        <v>53.6</v>
      </c>
      <c r="F1852">
        <v>62.6</v>
      </c>
      <c r="G1852" s="2">
        <f t="shared" si="281"/>
        <v>0</v>
      </c>
      <c r="H1852">
        <v>71.599999999999994</v>
      </c>
      <c r="I1852">
        <v>53.6</v>
      </c>
      <c r="J1852">
        <v>62.6</v>
      </c>
      <c r="K1852">
        <v>48.3</v>
      </c>
      <c r="L1852">
        <v>61.5</v>
      </c>
      <c r="M1852" s="2">
        <f t="shared" si="282"/>
        <v>1</v>
      </c>
      <c r="N1852">
        <v>0</v>
      </c>
      <c r="O1852" s="2">
        <f t="shared" si="283"/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32.200000000000003</v>
      </c>
      <c r="V1852" s="2">
        <f t="shared" si="284"/>
        <v>1</v>
      </c>
      <c r="W1852">
        <v>24.1</v>
      </c>
      <c r="X1852" s="2">
        <f t="shared" si="285"/>
        <v>1</v>
      </c>
      <c r="Y1852">
        <v>173.4</v>
      </c>
      <c r="Z1852" s="2" t="str">
        <f>CHOOSE(MATCH(Y1852,{0;11;80;111;161;191;241;281;341},1),"North","NorthEast","East","SouthEast","South","SouthWest","West","NorthWest","North")</f>
        <v>South</v>
      </c>
      <c r="AA1852" s="4">
        <f>CHOOSE(MATCH(Z1852,{"South";"SouthEast";"SouthWest";"North";"NorthEast";"East";"West";"NorthWest"},0),1,2,3,4,5,6,7,8)</f>
        <v>1</v>
      </c>
      <c r="AB1852" s="2">
        <f t="shared" si="286"/>
        <v>0</v>
      </c>
      <c r="AC1852">
        <v>1015.7</v>
      </c>
      <c r="AD1852" t="s">
        <v>1173</v>
      </c>
      <c r="AE1852" s="2">
        <f t="shared" si="287"/>
        <v>0</v>
      </c>
      <c r="AF1852" t="s">
        <v>2540</v>
      </c>
      <c r="AG1852" s="2">
        <f t="shared" si="288"/>
        <v>2</v>
      </c>
      <c r="AH1852" s="2">
        <f t="shared" si="289"/>
        <v>0</v>
      </c>
      <c r="AI1852" s="3">
        <v>69.999999997671694</v>
      </c>
      <c r="AJ1852" s="2">
        <v>0</v>
      </c>
      <c r="AK1852">
        <v>0</v>
      </c>
      <c r="AL1852">
        <v>3</v>
      </c>
      <c r="AM1852">
        <v>0</v>
      </c>
      <c r="AN1852" s="2">
        <f>IF((2*G1852+M1852-O1852+3*V1852+2*AB1852+2*AE1852+2*AH1852+3*AJ1852)&gt;=7,1,0)</f>
        <v>0</v>
      </c>
    </row>
    <row r="1853" spans="1:40" x14ac:dyDescent="0.25">
      <c r="A1853" t="s">
        <v>27</v>
      </c>
      <c r="B1853" s="1">
        <v>42415</v>
      </c>
      <c r="C1853" s="6">
        <f t="shared" si="280"/>
        <v>2016</v>
      </c>
      <c r="D1853">
        <v>82.4</v>
      </c>
      <c r="E1853">
        <v>61.1</v>
      </c>
      <c r="F1853">
        <v>72.400000000000006</v>
      </c>
      <c r="G1853" s="2">
        <f t="shared" si="281"/>
        <v>1</v>
      </c>
      <c r="H1853">
        <v>80.3</v>
      </c>
      <c r="I1853">
        <v>61.1</v>
      </c>
      <c r="J1853">
        <v>72</v>
      </c>
      <c r="K1853">
        <v>40.700000000000003</v>
      </c>
      <c r="L1853">
        <v>33.9</v>
      </c>
      <c r="M1853" s="2">
        <f t="shared" si="282"/>
        <v>1</v>
      </c>
      <c r="N1853">
        <v>0</v>
      </c>
      <c r="O1853" s="2">
        <f t="shared" si="283"/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27.7</v>
      </c>
      <c r="V1853" s="2">
        <f t="shared" si="284"/>
        <v>1</v>
      </c>
      <c r="W1853">
        <v>21.9</v>
      </c>
      <c r="X1853" s="2">
        <f t="shared" si="285"/>
        <v>1</v>
      </c>
      <c r="Y1853">
        <v>177.1</v>
      </c>
      <c r="Z1853" s="2" t="str">
        <f>CHOOSE(MATCH(Y1853,{0;11;80;111;161;191;241;281;341},1),"North","NorthEast","East","SouthEast","South","SouthWest","West","NorthWest","North")</f>
        <v>South</v>
      </c>
      <c r="AA1853" s="4">
        <f>CHOOSE(MATCH(Z1853,{"South";"SouthEast";"SouthWest";"North";"NorthEast";"East";"West";"NorthWest"},0),1,2,3,4,5,6,7,8)</f>
        <v>1</v>
      </c>
      <c r="AB1853" s="2">
        <f t="shared" si="286"/>
        <v>0</v>
      </c>
      <c r="AC1853">
        <v>1018.5</v>
      </c>
      <c r="AD1853" t="s">
        <v>1165</v>
      </c>
      <c r="AE1853" s="2">
        <f t="shared" si="287"/>
        <v>0</v>
      </c>
      <c r="AF1853" t="s">
        <v>2541</v>
      </c>
      <c r="AG1853" s="2">
        <f t="shared" si="288"/>
        <v>2</v>
      </c>
      <c r="AH1853" s="2">
        <f t="shared" si="289"/>
        <v>0</v>
      </c>
      <c r="AI1853" s="3">
        <v>30.00000000349246</v>
      </c>
      <c r="AJ1853" s="2">
        <v>0</v>
      </c>
      <c r="AK1853">
        <v>0</v>
      </c>
      <c r="AL1853">
        <v>0.2</v>
      </c>
      <c r="AM1853">
        <v>0</v>
      </c>
      <c r="AN1853" s="2">
        <f>IF((2*G1853+M1853-O1853+3*V1853+2*AB1853+2*AE1853+2*AH1853+3*AJ1853)&gt;=7,1,0)</f>
        <v>0</v>
      </c>
    </row>
    <row r="1854" spans="1:40" x14ac:dyDescent="0.25">
      <c r="A1854" t="s">
        <v>27</v>
      </c>
      <c r="B1854" s="1">
        <v>42415</v>
      </c>
      <c r="C1854" s="6">
        <f t="shared" si="280"/>
        <v>2016</v>
      </c>
      <c r="D1854">
        <v>82.4</v>
      </c>
      <c r="E1854">
        <v>61.1</v>
      </c>
      <c r="F1854">
        <v>72.400000000000006</v>
      </c>
      <c r="G1854" s="2">
        <f t="shared" si="281"/>
        <v>1</v>
      </c>
      <c r="H1854">
        <v>80.3</v>
      </c>
      <c r="I1854">
        <v>61.1</v>
      </c>
      <c r="J1854">
        <v>72</v>
      </c>
      <c r="K1854">
        <v>40.700000000000003</v>
      </c>
      <c r="L1854">
        <v>33.9</v>
      </c>
      <c r="M1854" s="2">
        <f t="shared" si="282"/>
        <v>1</v>
      </c>
      <c r="N1854">
        <v>0</v>
      </c>
      <c r="O1854" s="2">
        <f t="shared" si="283"/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27.7</v>
      </c>
      <c r="V1854" s="2">
        <f t="shared" si="284"/>
        <v>1</v>
      </c>
      <c r="W1854">
        <v>21.9</v>
      </c>
      <c r="X1854" s="2">
        <f t="shared" si="285"/>
        <v>1</v>
      </c>
      <c r="Y1854">
        <v>177.1</v>
      </c>
      <c r="Z1854" s="2" t="str">
        <f>CHOOSE(MATCH(Y1854,{0;11;80;111;161;191;241;281;341},1),"North","NorthEast","East","SouthEast","South","SouthWest","West","NorthWest","North")</f>
        <v>South</v>
      </c>
      <c r="AA1854" s="4">
        <f>CHOOSE(MATCH(Z1854,{"South";"SouthEast";"SouthWest";"North";"NorthEast";"East";"West";"NorthWest"},0),1,2,3,4,5,6,7,8)</f>
        <v>1</v>
      </c>
      <c r="AB1854" s="2">
        <f t="shared" si="286"/>
        <v>0</v>
      </c>
      <c r="AC1854">
        <v>1018.5</v>
      </c>
      <c r="AD1854" t="s">
        <v>1207</v>
      </c>
      <c r="AE1854" s="2">
        <f t="shared" si="287"/>
        <v>1</v>
      </c>
      <c r="AF1854" t="s">
        <v>2542</v>
      </c>
      <c r="AG1854" s="2">
        <f t="shared" si="288"/>
        <v>2</v>
      </c>
      <c r="AH1854" s="2">
        <f t="shared" si="289"/>
        <v>0</v>
      </c>
      <c r="AI1854" s="3">
        <v>239.99999999650751</v>
      </c>
      <c r="AJ1854" s="2">
        <v>0</v>
      </c>
      <c r="AK1854">
        <v>0</v>
      </c>
      <c r="AL1854">
        <v>10</v>
      </c>
      <c r="AM1854">
        <v>0</v>
      </c>
      <c r="AN1854" s="2">
        <f>IF((2*G1854+M1854-O1854+3*V1854+2*AB1854+2*AE1854+2*AH1854+3*AJ1854)&gt;=7,1,0)</f>
        <v>1</v>
      </c>
    </row>
    <row r="1855" spans="1:40" x14ac:dyDescent="0.25">
      <c r="A1855" t="s">
        <v>27</v>
      </c>
      <c r="B1855" s="1">
        <v>42416</v>
      </c>
      <c r="C1855" s="6">
        <f t="shared" si="280"/>
        <v>2016</v>
      </c>
      <c r="D1855">
        <v>82.4</v>
      </c>
      <c r="E1855">
        <v>64.3</v>
      </c>
      <c r="F1855">
        <v>72.5</v>
      </c>
      <c r="G1855" s="2">
        <f t="shared" si="281"/>
        <v>1</v>
      </c>
      <c r="H1855">
        <v>80.3</v>
      </c>
      <c r="I1855">
        <v>64.3</v>
      </c>
      <c r="J1855">
        <v>72.3</v>
      </c>
      <c r="K1855">
        <v>39.4</v>
      </c>
      <c r="L1855">
        <v>31</v>
      </c>
      <c r="M1855" s="2">
        <f t="shared" si="282"/>
        <v>1</v>
      </c>
      <c r="N1855">
        <v>0</v>
      </c>
      <c r="O1855" s="2">
        <f t="shared" si="283"/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28.9</v>
      </c>
      <c r="V1855" s="2">
        <f t="shared" si="284"/>
        <v>1</v>
      </c>
      <c r="W1855">
        <v>25.3</v>
      </c>
      <c r="X1855" s="2">
        <f t="shared" si="285"/>
        <v>1</v>
      </c>
      <c r="Y1855">
        <v>170.6</v>
      </c>
      <c r="Z1855" s="2" t="str">
        <f>CHOOSE(MATCH(Y1855,{0;11;80;111;161;191;241;281;341},1),"North","NorthEast","East","SouthEast","South","SouthWest","West","NorthWest","North")</f>
        <v>South</v>
      </c>
      <c r="AA1855" s="4">
        <f>CHOOSE(MATCH(Z1855,{"South";"SouthEast";"SouthWest";"North";"NorthEast";"East";"West";"NorthWest"},0),1,2,3,4,5,6,7,8)</f>
        <v>1</v>
      </c>
      <c r="AB1855" s="2">
        <f t="shared" si="286"/>
        <v>0</v>
      </c>
      <c r="AC1855">
        <v>1025.4000000000001</v>
      </c>
      <c r="AD1855" t="s">
        <v>2031</v>
      </c>
      <c r="AE1855" s="2">
        <f t="shared" si="287"/>
        <v>1</v>
      </c>
      <c r="AF1855" t="s">
        <v>2543</v>
      </c>
      <c r="AG1855" s="2">
        <f t="shared" si="288"/>
        <v>2</v>
      </c>
      <c r="AH1855" s="2">
        <f t="shared" si="289"/>
        <v>0</v>
      </c>
      <c r="AI1855" s="3">
        <v>79.999999998835847</v>
      </c>
      <c r="AJ1855" s="2">
        <v>0</v>
      </c>
      <c r="AK1855">
        <v>0</v>
      </c>
      <c r="AL1855">
        <v>2</v>
      </c>
      <c r="AM1855">
        <v>0</v>
      </c>
      <c r="AN1855" s="2">
        <f>IF((2*G1855+M1855-O1855+3*V1855+2*AB1855+2*AE1855+2*AH1855+3*AJ1855)&gt;=7,1,0)</f>
        <v>1</v>
      </c>
    </row>
    <row r="1856" spans="1:40" x14ac:dyDescent="0.25">
      <c r="A1856" t="s">
        <v>27</v>
      </c>
      <c r="B1856" s="1">
        <v>42416</v>
      </c>
      <c r="C1856" s="6">
        <f t="shared" si="280"/>
        <v>2016</v>
      </c>
      <c r="D1856">
        <v>82.4</v>
      </c>
      <c r="E1856">
        <v>64.3</v>
      </c>
      <c r="F1856">
        <v>72.5</v>
      </c>
      <c r="G1856" s="2">
        <f t="shared" si="281"/>
        <v>1</v>
      </c>
      <c r="H1856">
        <v>80.3</v>
      </c>
      <c r="I1856">
        <v>64.3</v>
      </c>
      <c r="J1856">
        <v>72.3</v>
      </c>
      <c r="K1856">
        <v>39.4</v>
      </c>
      <c r="L1856">
        <v>31</v>
      </c>
      <c r="M1856" s="2">
        <f t="shared" si="282"/>
        <v>1</v>
      </c>
      <c r="N1856">
        <v>0</v>
      </c>
      <c r="O1856" s="2">
        <f t="shared" si="283"/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28.9</v>
      </c>
      <c r="V1856" s="2">
        <f t="shared" si="284"/>
        <v>1</v>
      </c>
      <c r="W1856">
        <v>25.3</v>
      </c>
      <c r="X1856" s="2">
        <f t="shared" si="285"/>
        <v>1</v>
      </c>
      <c r="Y1856">
        <v>170.6</v>
      </c>
      <c r="Z1856" s="2" t="str">
        <f>CHOOSE(MATCH(Y1856,{0;11;80;111;161;191;241;281;341},1),"North","NorthEast","East","SouthEast","South","SouthWest","West","NorthWest","North")</f>
        <v>South</v>
      </c>
      <c r="AA1856" s="4">
        <f>CHOOSE(MATCH(Z1856,{"South";"SouthEast";"SouthWest";"North";"NorthEast";"East";"West";"NorthWest"},0),1,2,3,4,5,6,7,8)</f>
        <v>1</v>
      </c>
      <c r="AB1856" s="2">
        <f t="shared" si="286"/>
        <v>0</v>
      </c>
      <c r="AC1856">
        <v>1025.4000000000001</v>
      </c>
      <c r="AD1856" t="s">
        <v>1191</v>
      </c>
      <c r="AE1856" s="2">
        <f t="shared" si="287"/>
        <v>0</v>
      </c>
      <c r="AF1856" t="s">
        <v>2544</v>
      </c>
      <c r="AG1856" s="2">
        <f t="shared" si="288"/>
        <v>2</v>
      </c>
      <c r="AH1856" s="2">
        <f t="shared" si="289"/>
        <v>0</v>
      </c>
      <c r="AI1856" s="3">
        <v>1110.000000003492</v>
      </c>
      <c r="AJ1856" s="2">
        <v>1</v>
      </c>
      <c r="AK1856">
        <v>0</v>
      </c>
      <c r="AL1856">
        <v>5</v>
      </c>
      <c r="AM1856">
        <v>0</v>
      </c>
      <c r="AN1856" s="2">
        <f>IF((2*G1856+M1856-O1856+3*V1856+2*AB1856+2*AE1856+2*AH1856+3*AJ1856)&gt;=7,1,0)</f>
        <v>1</v>
      </c>
    </row>
    <row r="1857" spans="1:40" x14ac:dyDescent="0.25">
      <c r="A1857" t="s">
        <v>27</v>
      </c>
      <c r="B1857" s="1">
        <v>42416</v>
      </c>
      <c r="C1857" s="6">
        <f t="shared" si="280"/>
        <v>2016</v>
      </c>
      <c r="D1857">
        <v>82.4</v>
      </c>
      <c r="E1857">
        <v>64.3</v>
      </c>
      <c r="F1857">
        <v>72.5</v>
      </c>
      <c r="G1857" s="2">
        <f t="shared" si="281"/>
        <v>1</v>
      </c>
      <c r="H1857">
        <v>80.3</v>
      </c>
      <c r="I1857">
        <v>64.3</v>
      </c>
      <c r="J1857">
        <v>72.3</v>
      </c>
      <c r="K1857">
        <v>39.4</v>
      </c>
      <c r="L1857">
        <v>31</v>
      </c>
      <c r="M1857" s="2">
        <f t="shared" si="282"/>
        <v>1</v>
      </c>
      <c r="N1857">
        <v>0</v>
      </c>
      <c r="O1857" s="2">
        <f t="shared" si="283"/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28.9</v>
      </c>
      <c r="V1857" s="2">
        <f t="shared" si="284"/>
        <v>1</v>
      </c>
      <c r="W1857">
        <v>25.3</v>
      </c>
      <c r="X1857" s="2">
        <f t="shared" si="285"/>
        <v>1</v>
      </c>
      <c r="Y1857">
        <v>170.6</v>
      </c>
      <c r="Z1857" s="2" t="str">
        <f>CHOOSE(MATCH(Y1857,{0;11;80;111;161;191;241;281;341},1),"North","NorthEast","East","SouthEast","South","SouthWest","West","NorthWest","North")</f>
        <v>South</v>
      </c>
      <c r="AA1857" s="4">
        <f>CHOOSE(MATCH(Z1857,{"South";"SouthEast";"SouthWest";"North";"NorthEast";"East";"West";"NorthWest"},0),1,2,3,4,5,6,7,8)</f>
        <v>1</v>
      </c>
      <c r="AB1857" s="2">
        <f t="shared" si="286"/>
        <v>0</v>
      </c>
      <c r="AC1857">
        <v>1025.4000000000001</v>
      </c>
      <c r="AD1857" t="s">
        <v>1877</v>
      </c>
      <c r="AE1857" s="2">
        <f t="shared" si="287"/>
        <v>0</v>
      </c>
      <c r="AF1857" t="s">
        <v>2545</v>
      </c>
      <c r="AG1857" s="2">
        <f t="shared" si="288"/>
        <v>2</v>
      </c>
      <c r="AH1857" s="2">
        <f t="shared" si="289"/>
        <v>0</v>
      </c>
      <c r="AI1857" s="3">
        <v>284.99999999650748</v>
      </c>
      <c r="AJ1857" s="2">
        <v>0</v>
      </c>
      <c r="AK1857">
        <v>0</v>
      </c>
      <c r="AL1857">
        <v>5</v>
      </c>
      <c r="AM1857">
        <v>0</v>
      </c>
      <c r="AN1857" s="2">
        <f>IF((2*G1857+M1857-O1857+3*V1857+2*AB1857+2*AE1857+2*AH1857+3*AJ1857)&gt;=7,1,0)</f>
        <v>0</v>
      </c>
    </row>
    <row r="1858" spans="1:40" x14ac:dyDescent="0.25">
      <c r="A1858" t="s">
        <v>27</v>
      </c>
      <c r="B1858" s="1">
        <v>42416</v>
      </c>
      <c r="C1858" s="6">
        <f t="shared" si="280"/>
        <v>2016</v>
      </c>
      <c r="D1858">
        <v>82.4</v>
      </c>
      <c r="E1858">
        <v>64.3</v>
      </c>
      <c r="F1858">
        <v>72.5</v>
      </c>
      <c r="G1858" s="2">
        <f t="shared" si="281"/>
        <v>1</v>
      </c>
      <c r="H1858">
        <v>80.3</v>
      </c>
      <c r="I1858">
        <v>64.3</v>
      </c>
      <c r="J1858">
        <v>72.3</v>
      </c>
      <c r="K1858">
        <v>39.4</v>
      </c>
      <c r="L1858">
        <v>31</v>
      </c>
      <c r="M1858" s="2">
        <f t="shared" si="282"/>
        <v>1</v>
      </c>
      <c r="N1858">
        <v>0</v>
      </c>
      <c r="O1858" s="2">
        <f t="shared" si="283"/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28.9</v>
      </c>
      <c r="V1858" s="2">
        <f t="shared" si="284"/>
        <v>1</v>
      </c>
      <c r="W1858">
        <v>25.3</v>
      </c>
      <c r="X1858" s="2">
        <f t="shared" si="285"/>
        <v>1</v>
      </c>
      <c r="Y1858">
        <v>170.6</v>
      </c>
      <c r="Z1858" s="2" t="str">
        <f>CHOOSE(MATCH(Y1858,{0;11;80;111;161;191;241;281;341},1),"North","NorthEast","East","SouthEast","South","SouthWest","West","NorthWest","North")</f>
        <v>South</v>
      </c>
      <c r="AA1858" s="4">
        <f>CHOOSE(MATCH(Z1858,{"South";"SouthEast";"SouthWest";"North";"NorthEast";"East";"West";"NorthWest"},0),1,2,3,4,5,6,7,8)</f>
        <v>1</v>
      </c>
      <c r="AB1858" s="2">
        <f t="shared" si="286"/>
        <v>0</v>
      </c>
      <c r="AC1858">
        <v>1025.4000000000001</v>
      </c>
      <c r="AD1858" t="s">
        <v>1885</v>
      </c>
      <c r="AE1858" s="2">
        <f t="shared" si="287"/>
        <v>1</v>
      </c>
      <c r="AF1858" t="s">
        <v>2546</v>
      </c>
      <c r="AG1858" s="2">
        <f t="shared" si="288"/>
        <v>2</v>
      </c>
      <c r="AH1858" s="2">
        <f t="shared" si="289"/>
        <v>0</v>
      </c>
      <c r="AI1858" s="3">
        <v>259.99999999883579</v>
      </c>
      <c r="AJ1858" s="2">
        <v>0</v>
      </c>
      <c r="AK1858">
        <v>0</v>
      </c>
      <c r="AL1858">
        <v>3</v>
      </c>
      <c r="AM1858">
        <v>0</v>
      </c>
      <c r="AN1858" s="2">
        <f>IF((2*G1858+M1858-O1858+3*V1858+2*AB1858+2*AE1858+2*AH1858+3*AJ1858)&gt;=7,1,0)</f>
        <v>1</v>
      </c>
    </row>
    <row r="1859" spans="1:40" x14ac:dyDescent="0.25">
      <c r="A1859" t="s">
        <v>27</v>
      </c>
      <c r="B1859" s="1">
        <v>42417</v>
      </c>
      <c r="C1859" s="6">
        <f t="shared" ref="C1859:C1922" si="290">YEAR(B1859)</f>
        <v>2016</v>
      </c>
      <c r="D1859">
        <v>69.8</v>
      </c>
      <c r="E1859">
        <v>56.6</v>
      </c>
      <c r="F1859">
        <v>66.099999999999994</v>
      </c>
      <c r="G1859" s="2">
        <f t="shared" ref="G1859:G1922" si="291">IF(F1859&lt;=70,0,1)</f>
        <v>0</v>
      </c>
      <c r="H1859">
        <v>69.8</v>
      </c>
      <c r="I1859">
        <v>56.6</v>
      </c>
      <c r="J1859">
        <v>66.099999999999994</v>
      </c>
      <c r="K1859">
        <v>46.1</v>
      </c>
      <c r="L1859">
        <v>49.1</v>
      </c>
      <c r="M1859" s="2">
        <f t="shared" ref="M1859:M1922" si="292">IF(L1859&lt;=66,1,0)</f>
        <v>1</v>
      </c>
      <c r="N1859">
        <v>0</v>
      </c>
      <c r="O1859" s="2">
        <f t="shared" ref="O1859:O1922" si="293">IF(N1859&lt;=0.01,1,0)</f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16.3</v>
      </c>
      <c r="V1859" s="2">
        <f t="shared" ref="V1859:V1922" si="294">IF(U1859&lt;=9,0,1)</f>
        <v>1</v>
      </c>
      <c r="W1859">
        <v>13.9</v>
      </c>
      <c r="X1859" s="2">
        <f t="shared" ref="X1859:X1922" si="295">IF(W1859&gt;=16,1,0)</f>
        <v>0</v>
      </c>
      <c r="Y1859">
        <v>147.69999999999999</v>
      </c>
      <c r="Z1859" s="2" t="str">
        <f>CHOOSE(MATCH(Y1859,{0;11;80;111;161;191;241;281;341},1),"North","NorthEast","East","SouthEast","South","SouthWest","West","NorthWest","North")</f>
        <v>SouthEast</v>
      </c>
      <c r="AA1859" s="4">
        <f>CHOOSE(MATCH(Z1859,{"South";"SouthEast";"SouthWest";"North";"NorthEast";"East";"West";"NorthWest"},0),1,2,3,4,5,6,7,8)</f>
        <v>2</v>
      </c>
      <c r="AB1859" s="2">
        <f t="shared" ref="AB1859:AB1922" si="296">IF(OR(AA1859=4,AA1859=5,AA1859=8),1,0)</f>
        <v>0</v>
      </c>
      <c r="AC1859">
        <v>1024.0999999999999</v>
      </c>
      <c r="AD1859" t="s">
        <v>1207</v>
      </c>
      <c r="AE1859" s="2">
        <f t="shared" ref="AE1859:AE1922" si="297">IF(TIMEVALUE(AD1859)&lt;=TIME(12,30,0),0,1)</f>
        <v>1</v>
      </c>
      <c r="AF1859" t="s">
        <v>2547</v>
      </c>
      <c r="AG1859" s="2">
        <f t="shared" ref="AG1859:AG1922" si="298">MONTH(AF1859)</f>
        <v>2</v>
      </c>
      <c r="AH1859" s="2">
        <f t="shared" ref="AH1859:AH1922" si="299">IF(OR(AG1859=6,AG1859=7,AG1859=8),1,0)</f>
        <v>0</v>
      </c>
      <c r="AI1859" s="3">
        <v>190.00000000116421</v>
      </c>
      <c r="AJ1859" s="2">
        <v>0</v>
      </c>
      <c r="AK1859">
        <v>0</v>
      </c>
      <c r="AL1859">
        <v>3.5</v>
      </c>
      <c r="AM1859">
        <v>0</v>
      </c>
      <c r="AN1859" s="2">
        <f>IF((2*G1859+M1859-O1859+3*V1859+2*AB1859+2*AE1859+2*AH1859+3*AJ1859)&gt;=7,1,0)</f>
        <v>0</v>
      </c>
    </row>
    <row r="1860" spans="1:40" x14ac:dyDescent="0.25">
      <c r="A1860" t="s">
        <v>27</v>
      </c>
      <c r="B1860" s="1">
        <v>42417</v>
      </c>
      <c r="C1860" s="6">
        <f t="shared" si="290"/>
        <v>2016</v>
      </c>
      <c r="D1860">
        <v>69.8</v>
      </c>
      <c r="E1860">
        <v>56.6</v>
      </c>
      <c r="F1860">
        <v>66.099999999999994</v>
      </c>
      <c r="G1860" s="2">
        <f t="shared" si="291"/>
        <v>0</v>
      </c>
      <c r="H1860">
        <v>69.8</v>
      </c>
      <c r="I1860">
        <v>56.6</v>
      </c>
      <c r="J1860">
        <v>66.099999999999994</v>
      </c>
      <c r="K1860">
        <v>46.1</v>
      </c>
      <c r="L1860">
        <v>49.1</v>
      </c>
      <c r="M1860" s="2">
        <f t="shared" si="292"/>
        <v>1</v>
      </c>
      <c r="N1860">
        <v>0</v>
      </c>
      <c r="O1860" s="2">
        <f t="shared" si="293"/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16.3</v>
      </c>
      <c r="V1860" s="2">
        <f t="shared" si="294"/>
        <v>1</v>
      </c>
      <c r="W1860">
        <v>13.9</v>
      </c>
      <c r="X1860" s="2">
        <f t="shared" si="295"/>
        <v>0</v>
      </c>
      <c r="Y1860">
        <v>147.69999999999999</v>
      </c>
      <c r="Z1860" s="2" t="str">
        <f>CHOOSE(MATCH(Y1860,{0;11;80;111;161;191;241;281;341},1),"North","NorthEast","East","SouthEast","South","SouthWest","West","NorthWest","North")</f>
        <v>SouthEast</v>
      </c>
      <c r="AA1860" s="4">
        <f>CHOOSE(MATCH(Z1860,{"South";"SouthEast";"SouthWest";"North";"NorthEast";"East";"West";"NorthWest"},0),1,2,3,4,5,6,7,8)</f>
        <v>2</v>
      </c>
      <c r="AB1860" s="2">
        <f t="shared" si="296"/>
        <v>0</v>
      </c>
      <c r="AC1860">
        <v>1024.0999999999999</v>
      </c>
      <c r="AD1860" t="s">
        <v>2548</v>
      </c>
      <c r="AE1860" s="2">
        <f t="shared" si="297"/>
        <v>1</v>
      </c>
      <c r="AF1860" t="s">
        <v>2549</v>
      </c>
      <c r="AG1860" s="2">
        <f t="shared" si="298"/>
        <v>2</v>
      </c>
      <c r="AH1860" s="2">
        <f t="shared" si="299"/>
        <v>0</v>
      </c>
      <c r="AI1860" s="3">
        <v>207.00000000419101</v>
      </c>
      <c r="AJ1860" s="2">
        <v>0</v>
      </c>
      <c r="AK1860">
        <v>0</v>
      </c>
      <c r="AL1860">
        <v>1</v>
      </c>
      <c r="AM1860">
        <v>0</v>
      </c>
      <c r="AN1860" s="2">
        <f>IF((2*G1860+M1860-O1860+3*V1860+2*AB1860+2*AE1860+2*AH1860+3*AJ1860)&gt;=7,1,0)</f>
        <v>0</v>
      </c>
    </row>
    <row r="1861" spans="1:40" x14ac:dyDescent="0.25">
      <c r="A1861" t="s">
        <v>27</v>
      </c>
      <c r="B1861" s="1">
        <v>42418</v>
      </c>
      <c r="C1861" s="6">
        <f t="shared" si="290"/>
        <v>2016</v>
      </c>
      <c r="D1861">
        <v>78.8</v>
      </c>
      <c r="E1861">
        <v>60.8</v>
      </c>
      <c r="F1861">
        <v>68.3</v>
      </c>
      <c r="G1861" s="2">
        <f t="shared" si="291"/>
        <v>0</v>
      </c>
      <c r="H1861">
        <v>78.8</v>
      </c>
      <c r="I1861">
        <v>60.8</v>
      </c>
      <c r="J1861">
        <v>68.3</v>
      </c>
      <c r="K1861">
        <v>46.2</v>
      </c>
      <c r="L1861">
        <v>46.9</v>
      </c>
      <c r="M1861" s="2">
        <f t="shared" si="292"/>
        <v>1</v>
      </c>
      <c r="N1861">
        <v>0</v>
      </c>
      <c r="O1861" s="2">
        <f t="shared" si="293"/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49.2</v>
      </c>
      <c r="V1861" s="2">
        <f t="shared" si="294"/>
        <v>1</v>
      </c>
      <c r="W1861">
        <v>37.9</v>
      </c>
      <c r="X1861" s="2">
        <f t="shared" si="295"/>
        <v>1</v>
      </c>
      <c r="Y1861">
        <v>164.4</v>
      </c>
      <c r="Z1861" s="2" t="str">
        <f>CHOOSE(MATCH(Y1861,{0;11;80;111;161;191;241;281;341},1),"North","NorthEast","East","SouthEast","South","SouthWest","West","NorthWest","North")</f>
        <v>South</v>
      </c>
      <c r="AA1861" s="4">
        <f>CHOOSE(MATCH(Z1861,{"South";"SouthEast";"SouthWest";"North";"NorthEast";"East";"West";"NorthWest"},0),1,2,3,4,5,6,7,8)</f>
        <v>1</v>
      </c>
      <c r="AB1861" s="2">
        <f t="shared" si="296"/>
        <v>0</v>
      </c>
      <c r="AC1861">
        <v>1014.3</v>
      </c>
      <c r="AD1861" t="s">
        <v>2550</v>
      </c>
      <c r="AE1861" s="2">
        <f t="shared" si="297"/>
        <v>0</v>
      </c>
      <c r="AF1861" t="s">
        <v>2551</v>
      </c>
      <c r="AG1861" s="2">
        <f t="shared" si="298"/>
        <v>2</v>
      </c>
      <c r="AH1861" s="2">
        <f t="shared" si="299"/>
        <v>0</v>
      </c>
      <c r="AI1861" s="3">
        <v>214.99999999883579</v>
      </c>
      <c r="AJ1861" s="2">
        <v>0</v>
      </c>
      <c r="AK1861">
        <v>0</v>
      </c>
      <c r="AL1861">
        <v>2</v>
      </c>
      <c r="AM1861">
        <v>0</v>
      </c>
      <c r="AN1861" s="2">
        <f>IF((2*G1861+M1861-O1861+3*V1861+2*AB1861+2*AE1861+2*AH1861+3*AJ1861)&gt;=7,1,0)</f>
        <v>0</v>
      </c>
    </row>
    <row r="1862" spans="1:40" x14ac:dyDescent="0.25">
      <c r="A1862" t="s">
        <v>27</v>
      </c>
      <c r="B1862" s="1">
        <v>42422</v>
      </c>
      <c r="C1862" s="6">
        <f t="shared" si="290"/>
        <v>2016</v>
      </c>
      <c r="D1862">
        <v>64.400000000000006</v>
      </c>
      <c r="E1862">
        <v>50.6</v>
      </c>
      <c r="F1862">
        <v>57.9</v>
      </c>
      <c r="G1862" s="2">
        <f t="shared" si="291"/>
        <v>0</v>
      </c>
      <c r="H1862">
        <v>64.400000000000006</v>
      </c>
      <c r="I1862">
        <v>50.6</v>
      </c>
      <c r="J1862">
        <v>57.9</v>
      </c>
      <c r="K1862">
        <v>46.2</v>
      </c>
      <c r="L1862">
        <v>65.900000000000006</v>
      </c>
      <c r="M1862" s="2">
        <f t="shared" si="292"/>
        <v>1</v>
      </c>
      <c r="N1862">
        <v>0</v>
      </c>
      <c r="O1862" s="2">
        <f t="shared" si="293"/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30.2</v>
      </c>
      <c r="V1862" s="2">
        <f t="shared" si="294"/>
        <v>1</v>
      </c>
      <c r="W1862">
        <v>19.7</v>
      </c>
      <c r="X1862" s="2">
        <f t="shared" si="295"/>
        <v>1</v>
      </c>
      <c r="Y1862">
        <v>316.7</v>
      </c>
      <c r="Z1862" s="2" t="str">
        <f>CHOOSE(MATCH(Y1862,{0;11;80;111;161;191;241;281;341},1),"North","NorthEast","East","SouthEast","South","SouthWest","West","NorthWest","North")</f>
        <v>NorthWest</v>
      </c>
      <c r="AA1862" s="4">
        <f>CHOOSE(MATCH(Z1862,{"South";"SouthEast";"SouthWest";"North";"NorthEast";"East";"West";"NorthWest"},0),1,2,3,4,5,6,7,8)</f>
        <v>8</v>
      </c>
      <c r="AB1862" s="2">
        <f t="shared" si="296"/>
        <v>1</v>
      </c>
      <c r="AC1862">
        <v>1019.5</v>
      </c>
      <c r="AD1862" t="s">
        <v>1247</v>
      </c>
      <c r="AE1862" s="2">
        <f t="shared" si="297"/>
        <v>0</v>
      </c>
      <c r="AF1862" t="s">
        <v>2552</v>
      </c>
      <c r="AG1862" s="2">
        <f t="shared" si="298"/>
        <v>2</v>
      </c>
      <c r="AH1862" s="2">
        <f t="shared" si="299"/>
        <v>0</v>
      </c>
      <c r="AI1862" s="3">
        <v>544.99999999534339</v>
      </c>
      <c r="AJ1862" s="2">
        <v>1</v>
      </c>
      <c r="AK1862">
        <v>0</v>
      </c>
      <c r="AL1862">
        <v>3</v>
      </c>
      <c r="AM1862">
        <v>0</v>
      </c>
      <c r="AN1862" s="2">
        <f>IF((2*G1862+M1862-O1862+3*V1862+2*AB1862+2*AE1862+2*AH1862+3*AJ1862)&gt;=7,1,0)</f>
        <v>1</v>
      </c>
    </row>
    <row r="1863" spans="1:40" x14ac:dyDescent="0.25">
      <c r="A1863" t="s">
        <v>27</v>
      </c>
      <c r="B1863" s="1">
        <v>42423</v>
      </c>
      <c r="C1863" s="6">
        <f t="shared" si="290"/>
        <v>2016</v>
      </c>
      <c r="D1863">
        <v>64.5</v>
      </c>
      <c r="E1863">
        <v>51.2</v>
      </c>
      <c r="F1863">
        <v>57.6</v>
      </c>
      <c r="G1863" s="2">
        <f t="shared" si="291"/>
        <v>0</v>
      </c>
      <c r="H1863">
        <v>64.5</v>
      </c>
      <c r="I1863">
        <v>51.2</v>
      </c>
      <c r="J1863">
        <v>57.6</v>
      </c>
      <c r="K1863">
        <v>50.3</v>
      </c>
      <c r="L1863">
        <v>77.900000000000006</v>
      </c>
      <c r="M1863" s="2">
        <f t="shared" si="292"/>
        <v>0</v>
      </c>
      <c r="N1863">
        <v>0</v>
      </c>
      <c r="O1863" s="2">
        <f t="shared" si="293"/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14.1</v>
      </c>
      <c r="V1863" s="2">
        <f t="shared" si="294"/>
        <v>1</v>
      </c>
      <c r="W1863">
        <v>9.1999999999999993</v>
      </c>
      <c r="X1863" s="2">
        <f t="shared" si="295"/>
        <v>0</v>
      </c>
      <c r="Y1863">
        <v>148.80000000000001</v>
      </c>
      <c r="Z1863" s="2" t="str">
        <f>CHOOSE(MATCH(Y1863,{0;11;80;111;161;191;241;281;341},1),"North","NorthEast","East","SouthEast","South","SouthWest","West","NorthWest","North")</f>
        <v>SouthEast</v>
      </c>
      <c r="AA1863" s="4">
        <f>CHOOSE(MATCH(Z1863,{"South";"SouthEast";"SouthWest";"North";"NorthEast";"East";"West";"NorthWest"},0),1,2,3,4,5,6,7,8)</f>
        <v>2</v>
      </c>
      <c r="AB1863" s="2">
        <f t="shared" si="296"/>
        <v>0</v>
      </c>
      <c r="AC1863">
        <v>1016.8</v>
      </c>
      <c r="AD1863" t="s">
        <v>2085</v>
      </c>
      <c r="AE1863" s="2">
        <f t="shared" si="297"/>
        <v>0</v>
      </c>
      <c r="AF1863" t="s">
        <v>2553</v>
      </c>
      <c r="AG1863" s="2">
        <f t="shared" si="298"/>
        <v>2</v>
      </c>
      <c r="AH1863" s="2">
        <f t="shared" si="299"/>
        <v>0</v>
      </c>
      <c r="AI1863" s="3">
        <v>91.000000003259629</v>
      </c>
      <c r="AJ1863" s="2">
        <v>0</v>
      </c>
      <c r="AK1863">
        <v>0</v>
      </c>
      <c r="AL1863">
        <v>1</v>
      </c>
      <c r="AM1863">
        <v>0</v>
      </c>
      <c r="AN1863" s="2">
        <f>IF((2*G1863+M1863-O1863+3*V1863+2*AB1863+2*AE1863+2*AH1863+3*AJ1863)&gt;=7,1,0)</f>
        <v>0</v>
      </c>
    </row>
    <row r="1864" spans="1:40" x14ac:dyDescent="0.25">
      <c r="A1864" t="s">
        <v>27</v>
      </c>
      <c r="B1864" s="1">
        <v>42424</v>
      </c>
      <c r="C1864" s="6">
        <f t="shared" si="290"/>
        <v>2016</v>
      </c>
      <c r="D1864">
        <v>66.2</v>
      </c>
      <c r="E1864">
        <v>51.8</v>
      </c>
      <c r="F1864">
        <v>58.9</v>
      </c>
      <c r="G1864" s="2">
        <f t="shared" si="291"/>
        <v>0</v>
      </c>
      <c r="H1864">
        <v>66.2</v>
      </c>
      <c r="I1864">
        <v>51.8</v>
      </c>
      <c r="J1864">
        <v>58.9</v>
      </c>
      <c r="K1864">
        <v>51.8</v>
      </c>
      <c r="L1864">
        <v>78.599999999999994</v>
      </c>
      <c r="M1864" s="2">
        <f t="shared" si="292"/>
        <v>0</v>
      </c>
      <c r="N1864">
        <v>0</v>
      </c>
      <c r="O1864" s="2">
        <f t="shared" si="293"/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31.5</v>
      </c>
      <c r="V1864" s="2">
        <f t="shared" si="294"/>
        <v>1</v>
      </c>
      <c r="W1864">
        <v>16.100000000000001</v>
      </c>
      <c r="X1864" s="2">
        <f t="shared" si="295"/>
        <v>1</v>
      </c>
      <c r="Y1864">
        <v>185.3</v>
      </c>
      <c r="Z1864" s="2" t="str">
        <f>CHOOSE(MATCH(Y1864,{0;11;80;111;161;191;241;281;341},1),"North","NorthEast","East","SouthEast","South","SouthWest","West","NorthWest","North")</f>
        <v>South</v>
      </c>
      <c r="AA1864" s="4">
        <f>CHOOSE(MATCH(Z1864,{"South";"SouthEast";"SouthWest";"North";"NorthEast";"East";"West";"NorthWest"},0),1,2,3,4,5,6,7,8)</f>
        <v>1</v>
      </c>
      <c r="AB1864" s="2">
        <f t="shared" si="296"/>
        <v>0</v>
      </c>
      <c r="AC1864">
        <v>1012.5</v>
      </c>
      <c r="AD1864" t="s">
        <v>2554</v>
      </c>
      <c r="AE1864" s="2">
        <f t="shared" si="297"/>
        <v>0</v>
      </c>
      <c r="AF1864" t="s">
        <v>2555</v>
      </c>
      <c r="AG1864" s="2">
        <f t="shared" si="298"/>
        <v>2</v>
      </c>
      <c r="AH1864" s="2">
        <f t="shared" si="299"/>
        <v>0</v>
      </c>
      <c r="AI1864" s="3">
        <v>39.000000001396977</v>
      </c>
      <c r="AJ1864" s="2">
        <v>0</v>
      </c>
      <c r="AK1864">
        <v>0</v>
      </c>
      <c r="AL1864">
        <v>0.02</v>
      </c>
      <c r="AM1864">
        <v>0</v>
      </c>
      <c r="AN1864" s="2">
        <f>IF((2*G1864+M1864-O1864+3*V1864+2*AB1864+2*AE1864+2*AH1864+3*AJ1864)&gt;=7,1,0)</f>
        <v>0</v>
      </c>
    </row>
    <row r="1865" spans="1:40" x14ac:dyDescent="0.25">
      <c r="A1865" t="s">
        <v>27</v>
      </c>
      <c r="B1865" s="1">
        <v>42427</v>
      </c>
      <c r="C1865" s="6">
        <f t="shared" si="290"/>
        <v>2016</v>
      </c>
      <c r="D1865">
        <v>66.2</v>
      </c>
      <c r="E1865">
        <v>47.6</v>
      </c>
      <c r="F1865">
        <v>57.5</v>
      </c>
      <c r="G1865" s="2">
        <f t="shared" si="291"/>
        <v>0</v>
      </c>
      <c r="H1865">
        <v>66.2</v>
      </c>
      <c r="I1865">
        <v>46.4</v>
      </c>
      <c r="J1865">
        <v>57.4</v>
      </c>
      <c r="K1865">
        <v>50.2</v>
      </c>
      <c r="L1865">
        <v>77.599999999999994</v>
      </c>
      <c r="M1865" s="2">
        <f t="shared" si="292"/>
        <v>0</v>
      </c>
      <c r="N1865">
        <v>0</v>
      </c>
      <c r="O1865" s="2">
        <f t="shared" si="293"/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15.4</v>
      </c>
      <c r="V1865" s="2">
        <f t="shared" si="294"/>
        <v>1</v>
      </c>
      <c r="W1865">
        <v>11.4</v>
      </c>
      <c r="X1865" s="2">
        <f t="shared" si="295"/>
        <v>0</v>
      </c>
      <c r="Y1865">
        <v>158.4</v>
      </c>
      <c r="Z1865" s="2" t="str">
        <f>CHOOSE(MATCH(Y1865,{0;11;80;111;161;191;241;281;341},1),"North","NorthEast","East","SouthEast","South","SouthWest","West","NorthWest","North")</f>
        <v>SouthEast</v>
      </c>
      <c r="AA1865" s="4">
        <f>CHOOSE(MATCH(Z1865,{"South";"SouthEast";"SouthWest";"North";"NorthEast";"East";"West";"NorthWest"},0),1,2,3,4,5,6,7,8)</f>
        <v>2</v>
      </c>
      <c r="AB1865" s="2">
        <f t="shared" si="296"/>
        <v>0</v>
      </c>
      <c r="AC1865">
        <v>1015</v>
      </c>
      <c r="AD1865" t="s">
        <v>2100</v>
      </c>
      <c r="AE1865" s="2">
        <f t="shared" si="297"/>
        <v>1</v>
      </c>
      <c r="AF1865" t="s">
        <v>2556</v>
      </c>
      <c r="AG1865" s="2">
        <f t="shared" si="298"/>
        <v>2</v>
      </c>
      <c r="AH1865" s="2">
        <f t="shared" si="299"/>
        <v>0</v>
      </c>
      <c r="AI1865" s="3">
        <v>171.0000000020955</v>
      </c>
      <c r="AJ1865" s="2">
        <v>0</v>
      </c>
      <c r="AK1865">
        <v>0</v>
      </c>
      <c r="AL1865">
        <v>2</v>
      </c>
      <c r="AM1865">
        <v>0</v>
      </c>
      <c r="AN1865" s="2">
        <f>IF((2*G1865+M1865-O1865+3*V1865+2*AB1865+2*AE1865+2*AH1865+3*AJ1865)&gt;=7,1,0)</f>
        <v>0</v>
      </c>
    </row>
    <row r="1866" spans="1:40" x14ac:dyDescent="0.25">
      <c r="A1866" t="s">
        <v>27</v>
      </c>
      <c r="B1866" s="1">
        <v>42427</v>
      </c>
      <c r="C1866" s="6">
        <f t="shared" si="290"/>
        <v>2016</v>
      </c>
      <c r="D1866">
        <v>66.2</v>
      </c>
      <c r="E1866">
        <v>47.6</v>
      </c>
      <c r="F1866">
        <v>57.5</v>
      </c>
      <c r="G1866" s="2">
        <f t="shared" si="291"/>
        <v>0</v>
      </c>
      <c r="H1866">
        <v>66.2</v>
      </c>
      <c r="I1866">
        <v>46.4</v>
      </c>
      <c r="J1866">
        <v>57.4</v>
      </c>
      <c r="K1866">
        <v>50.2</v>
      </c>
      <c r="L1866">
        <v>77.599999999999994</v>
      </c>
      <c r="M1866" s="2">
        <f t="shared" si="292"/>
        <v>0</v>
      </c>
      <c r="N1866">
        <v>0</v>
      </c>
      <c r="O1866" s="2">
        <f t="shared" si="293"/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15.4</v>
      </c>
      <c r="V1866" s="2">
        <f t="shared" si="294"/>
        <v>1</v>
      </c>
      <c r="W1866">
        <v>11.4</v>
      </c>
      <c r="X1866" s="2">
        <f t="shared" si="295"/>
        <v>0</v>
      </c>
      <c r="Y1866">
        <v>158.4</v>
      </c>
      <c r="Z1866" s="2" t="str">
        <f>CHOOSE(MATCH(Y1866,{0;11;80;111;161;191;241;281;341},1),"North","NorthEast","East","SouthEast","South","SouthWest","West","NorthWest","North")</f>
        <v>SouthEast</v>
      </c>
      <c r="AA1866" s="4">
        <f>CHOOSE(MATCH(Z1866,{"South";"SouthEast";"SouthWest";"North";"NorthEast";"East";"West";"NorthWest"},0),1,2,3,4,5,6,7,8)</f>
        <v>2</v>
      </c>
      <c r="AB1866" s="2">
        <f t="shared" si="296"/>
        <v>0</v>
      </c>
      <c r="AC1866">
        <v>1015</v>
      </c>
      <c r="AD1866" t="s">
        <v>2100</v>
      </c>
      <c r="AE1866" s="2">
        <f t="shared" si="297"/>
        <v>1</v>
      </c>
      <c r="AF1866" t="s">
        <v>2556</v>
      </c>
      <c r="AG1866" s="2">
        <f t="shared" si="298"/>
        <v>2</v>
      </c>
      <c r="AH1866" s="2">
        <f t="shared" si="299"/>
        <v>0</v>
      </c>
      <c r="AI1866" s="3">
        <v>191.00000000442381</v>
      </c>
      <c r="AJ1866" s="2">
        <v>0</v>
      </c>
      <c r="AK1866">
        <v>0</v>
      </c>
      <c r="AL1866">
        <v>1.5</v>
      </c>
      <c r="AM1866">
        <v>0</v>
      </c>
      <c r="AN1866" s="2">
        <f>IF((2*G1866+M1866-O1866+3*V1866+2*AB1866+2*AE1866+2*AH1866+3*AJ1866)&gt;=7,1,0)</f>
        <v>0</v>
      </c>
    </row>
    <row r="1867" spans="1:40" x14ac:dyDescent="0.25">
      <c r="A1867" t="s">
        <v>27</v>
      </c>
      <c r="B1867" s="1">
        <v>42429</v>
      </c>
      <c r="C1867" s="6">
        <f t="shared" si="290"/>
        <v>2016</v>
      </c>
      <c r="D1867">
        <v>73.400000000000006</v>
      </c>
      <c r="E1867">
        <v>58.6</v>
      </c>
      <c r="F1867">
        <v>68.099999999999994</v>
      </c>
      <c r="G1867" s="2">
        <f t="shared" si="291"/>
        <v>0</v>
      </c>
      <c r="H1867">
        <v>73.400000000000006</v>
      </c>
      <c r="I1867">
        <v>58.6</v>
      </c>
      <c r="J1867">
        <v>68.099999999999994</v>
      </c>
      <c r="K1867">
        <v>39.799999999999997</v>
      </c>
      <c r="L1867">
        <v>39.1</v>
      </c>
      <c r="M1867" s="2">
        <f t="shared" si="292"/>
        <v>1</v>
      </c>
      <c r="N1867">
        <v>0</v>
      </c>
      <c r="O1867" s="2">
        <f t="shared" si="293"/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48.3</v>
      </c>
      <c r="V1867" s="2">
        <f t="shared" si="294"/>
        <v>1</v>
      </c>
      <c r="W1867">
        <v>36.799999999999997</v>
      </c>
      <c r="X1867" s="2">
        <f t="shared" si="295"/>
        <v>1</v>
      </c>
      <c r="Y1867">
        <v>172.2</v>
      </c>
      <c r="Z1867" s="2" t="str">
        <f>CHOOSE(MATCH(Y1867,{0;11;80;111;161;191;241;281;341},1),"North","NorthEast","East","SouthEast","South","SouthWest","West","NorthWest","North")</f>
        <v>South</v>
      </c>
      <c r="AA1867" s="4">
        <f>CHOOSE(MATCH(Z1867,{"South";"SouthEast";"SouthWest";"North";"NorthEast";"East";"West";"NorthWest"},0),1,2,3,4,5,6,7,8)</f>
        <v>1</v>
      </c>
      <c r="AB1867" s="2">
        <f t="shared" si="296"/>
        <v>0</v>
      </c>
      <c r="AC1867">
        <v>1017.4</v>
      </c>
      <c r="AD1867" t="s">
        <v>2337</v>
      </c>
      <c r="AE1867" s="2">
        <f t="shared" si="297"/>
        <v>1</v>
      </c>
      <c r="AF1867" t="s">
        <v>2557</v>
      </c>
      <c r="AG1867" s="2">
        <f t="shared" si="298"/>
        <v>2</v>
      </c>
      <c r="AH1867" s="2">
        <f t="shared" si="299"/>
        <v>0</v>
      </c>
      <c r="AI1867" s="3">
        <v>145.00000000116421</v>
      </c>
      <c r="AJ1867" s="2">
        <v>0</v>
      </c>
      <c r="AK1867">
        <v>0</v>
      </c>
      <c r="AL1867">
        <v>0.5</v>
      </c>
      <c r="AM1867">
        <v>0</v>
      </c>
      <c r="AN1867" s="2">
        <f>IF((2*G1867+M1867-O1867+3*V1867+2*AB1867+2*AE1867+2*AH1867+3*AJ1867)&gt;=7,1,0)</f>
        <v>0</v>
      </c>
    </row>
    <row r="1868" spans="1:40" x14ac:dyDescent="0.25">
      <c r="A1868" t="s">
        <v>27</v>
      </c>
      <c r="B1868" s="1">
        <v>42429</v>
      </c>
      <c r="C1868" s="6">
        <f t="shared" si="290"/>
        <v>2016</v>
      </c>
      <c r="D1868">
        <v>73.400000000000006</v>
      </c>
      <c r="E1868">
        <v>58.6</v>
      </c>
      <c r="F1868">
        <v>68.099999999999994</v>
      </c>
      <c r="G1868" s="2">
        <f t="shared" si="291"/>
        <v>0</v>
      </c>
      <c r="H1868">
        <v>73.400000000000006</v>
      </c>
      <c r="I1868">
        <v>58.6</v>
      </c>
      <c r="J1868">
        <v>68.099999999999994</v>
      </c>
      <c r="K1868">
        <v>39.799999999999997</v>
      </c>
      <c r="L1868">
        <v>39.1</v>
      </c>
      <c r="M1868" s="2">
        <f t="shared" si="292"/>
        <v>1</v>
      </c>
      <c r="N1868">
        <v>0</v>
      </c>
      <c r="O1868" s="2">
        <f t="shared" si="293"/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48.3</v>
      </c>
      <c r="V1868" s="2">
        <f t="shared" si="294"/>
        <v>1</v>
      </c>
      <c r="W1868">
        <v>36.799999999999997</v>
      </c>
      <c r="X1868" s="2">
        <f t="shared" si="295"/>
        <v>1</v>
      </c>
      <c r="Y1868">
        <v>172.2</v>
      </c>
      <c r="Z1868" s="2" t="str">
        <f>CHOOSE(MATCH(Y1868,{0;11;80;111;161;191;241;281;341},1),"North","NorthEast","East","SouthEast","South","SouthWest","West","NorthWest","North")</f>
        <v>South</v>
      </c>
      <c r="AA1868" s="4">
        <f>CHOOSE(MATCH(Z1868,{"South";"SouthEast";"SouthWest";"North";"NorthEast";"East";"West";"NorthWest"},0),1,2,3,4,5,6,7,8)</f>
        <v>1</v>
      </c>
      <c r="AB1868" s="2">
        <f t="shared" si="296"/>
        <v>0</v>
      </c>
      <c r="AC1868">
        <v>1017.4</v>
      </c>
      <c r="AD1868" t="s">
        <v>2558</v>
      </c>
      <c r="AE1868" s="2">
        <f t="shared" si="297"/>
        <v>0</v>
      </c>
      <c r="AF1868" t="s">
        <v>2559</v>
      </c>
      <c r="AG1868" s="2">
        <f t="shared" si="298"/>
        <v>2</v>
      </c>
      <c r="AH1868" s="2">
        <f t="shared" si="299"/>
        <v>0</v>
      </c>
      <c r="AI1868" s="3">
        <v>56.000000004423782</v>
      </c>
      <c r="AJ1868" s="2">
        <v>0</v>
      </c>
      <c r="AK1868">
        <v>0</v>
      </c>
      <c r="AL1868">
        <v>0.5</v>
      </c>
      <c r="AM1868">
        <v>0</v>
      </c>
      <c r="AN1868" s="2">
        <f>IF((2*G1868+M1868-O1868+3*V1868+2*AB1868+2*AE1868+2*AH1868+3*AJ1868)&gt;=7,1,0)</f>
        <v>0</v>
      </c>
    </row>
    <row r="1869" spans="1:40" x14ac:dyDescent="0.25">
      <c r="A1869" t="s">
        <v>27</v>
      </c>
      <c r="B1869" s="1">
        <v>42430</v>
      </c>
      <c r="C1869" s="6">
        <f t="shared" si="290"/>
        <v>2016</v>
      </c>
      <c r="D1869">
        <v>75.2</v>
      </c>
      <c r="E1869">
        <v>60.8</v>
      </c>
      <c r="F1869">
        <v>68.599999999999994</v>
      </c>
      <c r="G1869" s="2">
        <f t="shared" si="291"/>
        <v>0</v>
      </c>
      <c r="H1869">
        <v>75.2</v>
      </c>
      <c r="I1869">
        <v>60.8</v>
      </c>
      <c r="J1869">
        <v>68.599999999999994</v>
      </c>
      <c r="K1869">
        <v>44.8</v>
      </c>
      <c r="L1869">
        <v>50.1</v>
      </c>
      <c r="M1869" s="2">
        <f t="shared" si="292"/>
        <v>1</v>
      </c>
      <c r="N1869">
        <v>0</v>
      </c>
      <c r="O1869" s="2">
        <f t="shared" si="293"/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34.4</v>
      </c>
      <c r="V1869" s="2">
        <f t="shared" si="294"/>
        <v>1</v>
      </c>
      <c r="W1869">
        <v>27.7</v>
      </c>
      <c r="X1869" s="2">
        <f t="shared" si="295"/>
        <v>1</v>
      </c>
      <c r="Y1869">
        <v>188.1</v>
      </c>
      <c r="Z1869" s="2" t="str">
        <f>CHOOSE(MATCH(Y1869,{0;11;80;111;161;191;241;281;341},1),"North","NorthEast","East","SouthEast","South","SouthWest","West","NorthWest","North")</f>
        <v>South</v>
      </c>
      <c r="AA1869" s="4">
        <f>CHOOSE(MATCH(Z1869,{"South";"SouthEast";"SouthWest";"North";"NorthEast";"East";"West";"NorthWest"},0),1,2,3,4,5,6,7,8)</f>
        <v>1</v>
      </c>
      <c r="AB1869" s="2">
        <f t="shared" si="296"/>
        <v>0</v>
      </c>
      <c r="AC1869">
        <v>1012.8</v>
      </c>
      <c r="AD1869" t="s">
        <v>2560</v>
      </c>
      <c r="AE1869" s="2">
        <f t="shared" si="297"/>
        <v>1</v>
      </c>
      <c r="AF1869" t="s">
        <v>2561</v>
      </c>
      <c r="AG1869" s="2">
        <f t="shared" si="298"/>
        <v>3</v>
      </c>
      <c r="AH1869" s="2">
        <f t="shared" si="299"/>
        <v>0</v>
      </c>
      <c r="AI1869" s="3">
        <v>1016.000000000931</v>
      </c>
      <c r="AJ1869" s="2">
        <v>1</v>
      </c>
      <c r="AK1869">
        <v>0</v>
      </c>
      <c r="AL1869">
        <v>1</v>
      </c>
      <c r="AM1869">
        <v>0</v>
      </c>
      <c r="AN1869" s="2">
        <f>IF((2*G1869+M1869-O1869+3*V1869+2*AB1869+2*AE1869+2*AH1869+3*AJ1869)&gt;=7,1,0)</f>
        <v>1</v>
      </c>
    </row>
    <row r="1870" spans="1:40" x14ac:dyDescent="0.25">
      <c r="A1870" t="s">
        <v>27</v>
      </c>
      <c r="B1870" s="1">
        <v>42432</v>
      </c>
      <c r="C1870" s="6">
        <f t="shared" si="290"/>
        <v>2016</v>
      </c>
      <c r="D1870">
        <v>64.400000000000006</v>
      </c>
      <c r="E1870">
        <v>49</v>
      </c>
      <c r="F1870">
        <v>58</v>
      </c>
      <c r="G1870" s="2">
        <f t="shared" si="291"/>
        <v>0</v>
      </c>
      <c r="H1870">
        <v>64.400000000000006</v>
      </c>
      <c r="I1870">
        <v>48.1</v>
      </c>
      <c r="J1870">
        <v>57.9</v>
      </c>
      <c r="K1870">
        <v>46.6</v>
      </c>
      <c r="L1870">
        <v>66.400000000000006</v>
      </c>
      <c r="M1870" s="2">
        <f t="shared" si="292"/>
        <v>0</v>
      </c>
      <c r="N1870">
        <v>0</v>
      </c>
      <c r="O1870" s="2">
        <f t="shared" si="293"/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25.3</v>
      </c>
      <c r="V1870" s="2">
        <f t="shared" si="294"/>
        <v>1</v>
      </c>
      <c r="W1870">
        <v>20.7</v>
      </c>
      <c r="X1870" s="2">
        <f t="shared" si="295"/>
        <v>1</v>
      </c>
      <c r="Y1870">
        <v>247.6</v>
      </c>
      <c r="Z1870" s="2" t="str">
        <f>CHOOSE(MATCH(Y1870,{0;11;80;111;161;191;241;281;341},1),"North","NorthEast","East","SouthEast","South","SouthWest","West","NorthWest","North")</f>
        <v>West</v>
      </c>
      <c r="AA1870" s="4">
        <f>CHOOSE(MATCH(Z1870,{"South";"SouthEast";"SouthWest";"North";"NorthEast";"East";"West";"NorthWest"},0),1,2,3,4,5,6,7,8)</f>
        <v>7</v>
      </c>
      <c r="AB1870" s="2">
        <f t="shared" si="296"/>
        <v>0</v>
      </c>
      <c r="AC1870">
        <v>1005.3</v>
      </c>
      <c r="AD1870" t="s">
        <v>2562</v>
      </c>
      <c r="AE1870" s="2">
        <f t="shared" si="297"/>
        <v>0</v>
      </c>
      <c r="AF1870" t="s">
        <v>2563</v>
      </c>
      <c r="AG1870" s="2">
        <f t="shared" si="298"/>
        <v>3</v>
      </c>
      <c r="AH1870" s="2">
        <f t="shared" si="299"/>
        <v>0</v>
      </c>
      <c r="AI1870" s="3">
        <v>350.9999999916181</v>
      </c>
      <c r="AJ1870" s="2">
        <v>0</v>
      </c>
      <c r="AK1870">
        <v>0</v>
      </c>
      <c r="AL1870">
        <v>3</v>
      </c>
      <c r="AM1870">
        <v>0</v>
      </c>
      <c r="AN1870" s="2">
        <f>IF((2*G1870+M1870-O1870+3*V1870+2*AB1870+2*AE1870+2*AH1870+3*AJ1870)&gt;=7,1,0)</f>
        <v>0</v>
      </c>
    </row>
    <row r="1871" spans="1:40" x14ac:dyDescent="0.25">
      <c r="A1871" t="s">
        <v>27</v>
      </c>
      <c r="B1871" s="1">
        <v>42441</v>
      </c>
      <c r="C1871" s="6">
        <f t="shared" si="290"/>
        <v>2016</v>
      </c>
      <c r="D1871">
        <v>75.2</v>
      </c>
      <c r="E1871">
        <v>53.1</v>
      </c>
      <c r="F1871">
        <v>63.9</v>
      </c>
      <c r="G1871" s="2">
        <f t="shared" si="291"/>
        <v>0</v>
      </c>
      <c r="H1871">
        <v>75.2</v>
      </c>
      <c r="I1871">
        <v>53.1</v>
      </c>
      <c r="J1871">
        <v>63.9</v>
      </c>
      <c r="K1871">
        <v>43.5</v>
      </c>
      <c r="L1871">
        <v>50.4</v>
      </c>
      <c r="M1871" s="2">
        <f t="shared" si="292"/>
        <v>1</v>
      </c>
      <c r="N1871">
        <v>0</v>
      </c>
      <c r="O1871" s="2">
        <f t="shared" si="293"/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35.799999999999997</v>
      </c>
      <c r="V1871" s="2">
        <f t="shared" si="294"/>
        <v>1</v>
      </c>
      <c r="W1871">
        <v>25.3</v>
      </c>
      <c r="X1871" s="2">
        <f t="shared" si="295"/>
        <v>1</v>
      </c>
      <c r="Y1871">
        <v>184.8</v>
      </c>
      <c r="Z1871" s="2" t="str">
        <f>CHOOSE(MATCH(Y1871,{0;11;80;111;161;191;241;281;341},1),"North","NorthEast","East","SouthEast","South","SouthWest","West","NorthWest","North")</f>
        <v>South</v>
      </c>
      <c r="AA1871" s="4">
        <f>CHOOSE(MATCH(Z1871,{"South";"SouthEast";"SouthWest";"North";"NorthEast";"East";"West";"NorthWest"},0),1,2,3,4,5,6,7,8)</f>
        <v>1</v>
      </c>
      <c r="AB1871" s="2">
        <f t="shared" si="296"/>
        <v>0</v>
      </c>
      <c r="AC1871">
        <v>1011.4</v>
      </c>
      <c r="AD1871" t="s">
        <v>2508</v>
      </c>
      <c r="AE1871" s="2">
        <f t="shared" si="297"/>
        <v>0</v>
      </c>
      <c r="AF1871" t="s">
        <v>2564</v>
      </c>
      <c r="AG1871" s="2">
        <f t="shared" si="298"/>
        <v>3</v>
      </c>
      <c r="AH1871" s="2">
        <f t="shared" si="299"/>
        <v>0</v>
      </c>
      <c r="AI1871" s="3">
        <v>161.00000000093129</v>
      </c>
      <c r="AJ1871" s="2">
        <v>0</v>
      </c>
      <c r="AK1871">
        <v>0</v>
      </c>
      <c r="AL1871">
        <v>2</v>
      </c>
      <c r="AM1871">
        <v>0</v>
      </c>
      <c r="AN1871" s="2">
        <f>IF((2*G1871+M1871-O1871+3*V1871+2*AB1871+2*AE1871+2*AH1871+3*AJ1871)&gt;=7,1,0)</f>
        <v>0</v>
      </c>
    </row>
    <row r="1872" spans="1:40" x14ac:dyDescent="0.25">
      <c r="A1872" t="s">
        <v>27</v>
      </c>
      <c r="B1872" s="1">
        <v>42452</v>
      </c>
      <c r="C1872" s="6">
        <f t="shared" si="290"/>
        <v>2016</v>
      </c>
      <c r="D1872">
        <v>71.599999999999994</v>
      </c>
      <c r="E1872">
        <v>62.6</v>
      </c>
      <c r="F1872">
        <v>68.2</v>
      </c>
      <c r="G1872" s="2">
        <f t="shared" si="291"/>
        <v>0</v>
      </c>
      <c r="H1872">
        <v>71.599999999999994</v>
      </c>
      <c r="I1872">
        <v>62.6</v>
      </c>
      <c r="J1872">
        <v>68.2</v>
      </c>
      <c r="K1872">
        <v>43.4</v>
      </c>
      <c r="L1872">
        <v>41.6</v>
      </c>
      <c r="M1872" s="2">
        <f t="shared" si="292"/>
        <v>1</v>
      </c>
      <c r="N1872">
        <v>0</v>
      </c>
      <c r="O1872" s="2">
        <f t="shared" si="293"/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69.099999999999994</v>
      </c>
      <c r="V1872" s="2">
        <f t="shared" si="294"/>
        <v>1</v>
      </c>
      <c r="W1872">
        <v>46.1</v>
      </c>
      <c r="X1872" s="2">
        <f t="shared" si="295"/>
        <v>1</v>
      </c>
      <c r="Y1872">
        <v>170.6</v>
      </c>
      <c r="Z1872" s="2" t="str">
        <f>CHOOSE(MATCH(Y1872,{0;11;80;111;161;191;241;281;341},1),"North","NorthEast","East","SouthEast","South","SouthWest","West","NorthWest","North")</f>
        <v>South</v>
      </c>
      <c r="AA1872" s="4">
        <f>CHOOSE(MATCH(Z1872,{"South";"SouthEast";"SouthWest";"North";"NorthEast";"East";"West";"NorthWest"},0),1,2,3,4,5,6,7,8)</f>
        <v>1</v>
      </c>
      <c r="AB1872" s="2">
        <f t="shared" si="296"/>
        <v>0</v>
      </c>
      <c r="AC1872">
        <v>1004.7</v>
      </c>
      <c r="AD1872" t="s">
        <v>2565</v>
      </c>
      <c r="AE1872" s="2">
        <f t="shared" si="297"/>
        <v>0</v>
      </c>
      <c r="AF1872" t="s">
        <v>2566</v>
      </c>
      <c r="AG1872" s="2">
        <f t="shared" si="298"/>
        <v>3</v>
      </c>
      <c r="AH1872" s="2">
        <f t="shared" si="299"/>
        <v>0</v>
      </c>
      <c r="AI1872" s="3">
        <v>320.00000000582082</v>
      </c>
      <c r="AJ1872" s="2">
        <v>0</v>
      </c>
      <c r="AK1872">
        <v>0</v>
      </c>
      <c r="AL1872">
        <v>6</v>
      </c>
      <c r="AM1872">
        <v>0</v>
      </c>
      <c r="AN1872" s="2">
        <f>IF((2*G1872+M1872-O1872+3*V1872+2*AB1872+2*AE1872+2*AH1872+3*AJ1872)&gt;=7,1,0)</f>
        <v>0</v>
      </c>
    </row>
    <row r="1873" spans="1:40" x14ac:dyDescent="0.25">
      <c r="A1873" t="s">
        <v>27</v>
      </c>
      <c r="B1873" s="1">
        <v>42452</v>
      </c>
      <c r="C1873" s="6">
        <f t="shared" si="290"/>
        <v>2016</v>
      </c>
      <c r="D1873">
        <v>71.599999999999994</v>
      </c>
      <c r="E1873">
        <v>62.6</v>
      </c>
      <c r="F1873">
        <v>68.2</v>
      </c>
      <c r="G1873" s="2">
        <f t="shared" si="291"/>
        <v>0</v>
      </c>
      <c r="H1873">
        <v>71.599999999999994</v>
      </c>
      <c r="I1873">
        <v>62.6</v>
      </c>
      <c r="J1873">
        <v>68.2</v>
      </c>
      <c r="K1873">
        <v>43.4</v>
      </c>
      <c r="L1873">
        <v>41.6</v>
      </c>
      <c r="M1873" s="2">
        <f t="shared" si="292"/>
        <v>1</v>
      </c>
      <c r="N1873">
        <v>0</v>
      </c>
      <c r="O1873" s="2">
        <f t="shared" si="293"/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69.099999999999994</v>
      </c>
      <c r="V1873" s="2">
        <f t="shared" si="294"/>
        <v>1</v>
      </c>
      <c r="W1873">
        <v>46.1</v>
      </c>
      <c r="X1873" s="2">
        <f t="shared" si="295"/>
        <v>1</v>
      </c>
      <c r="Y1873">
        <v>170.6</v>
      </c>
      <c r="Z1873" s="2" t="str">
        <f>CHOOSE(MATCH(Y1873,{0;11;80;111;161;191;241;281;341},1),"North","NorthEast","East","SouthEast","South","SouthWest","West","NorthWest","North")</f>
        <v>South</v>
      </c>
      <c r="AA1873" s="4">
        <f>CHOOSE(MATCH(Z1873,{"South";"SouthEast";"SouthWest";"North";"NorthEast";"East";"West";"NorthWest"},0),1,2,3,4,5,6,7,8)</f>
        <v>1</v>
      </c>
      <c r="AB1873" s="2">
        <f t="shared" si="296"/>
        <v>0</v>
      </c>
      <c r="AC1873">
        <v>1004.7</v>
      </c>
      <c r="AD1873" t="s">
        <v>2567</v>
      </c>
      <c r="AE1873" s="2">
        <f t="shared" si="297"/>
        <v>0</v>
      </c>
      <c r="AF1873" t="s">
        <v>2568</v>
      </c>
      <c r="AG1873" s="2">
        <f t="shared" si="298"/>
        <v>3</v>
      </c>
      <c r="AH1873" s="2">
        <f t="shared" si="299"/>
        <v>0</v>
      </c>
      <c r="AI1873" s="3">
        <v>686.00000000442378</v>
      </c>
      <c r="AJ1873" s="2">
        <v>1</v>
      </c>
      <c r="AK1873">
        <v>0</v>
      </c>
      <c r="AL1873">
        <v>4</v>
      </c>
      <c r="AM1873">
        <v>0</v>
      </c>
      <c r="AN1873" s="2">
        <f>IF((2*G1873+M1873-O1873+3*V1873+2*AB1873+2*AE1873+2*AH1873+3*AJ1873)&gt;=7,1,0)</f>
        <v>0</v>
      </c>
    </row>
    <row r="1874" spans="1:40" x14ac:dyDescent="0.25">
      <c r="A1874" t="s">
        <v>27</v>
      </c>
      <c r="B1874" s="1">
        <v>42452</v>
      </c>
      <c r="C1874" s="6">
        <f t="shared" si="290"/>
        <v>2016</v>
      </c>
      <c r="D1874">
        <v>71.599999999999994</v>
      </c>
      <c r="E1874">
        <v>62.6</v>
      </c>
      <c r="F1874">
        <v>68.2</v>
      </c>
      <c r="G1874" s="2">
        <f t="shared" si="291"/>
        <v>0</v>
      </c>
      <c r="H1874">
        <v>71.599999999999994</v>
      </c>
      <c r="I1874">
        <v>62.6</v>
      </c>
      <c r="J1874">
        <v>68.2</v>
      </c>
      <c r="K1874">
        <v>43.4</v>
      </c>
      <c r="L1874">
        <v>41.6</v>
      </c>
      <c r="M1874" s="2">
        <f t="shared" si="292"/>
        <v>1</v>
      </c>
      <c r="N1874">
        <v>0</v>
      </c>
      <c r="O1874" s="2">
        <f t="shared" si="293"/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69.099999999999994</v>
      </c>
      <c r="V1874" s="2">
        <f t="shared" si="294"/>
        <v>1</v>
      </c>
      <c r="W1874">
        <v>46.1</v>
      </c>
      <c r="X1874" s="2">
        <f t="shared" si="295"/>
        <v>1</v>
      </c>
      <c r="Y1874">
        <v>170.6</v>
      </c>
      <c r="Z1874" s="2" t="str">
        <f>CHOOSE(MATCH(Y1874,{0;11;80;111;161;191;241;281;341},1),"North","NorthEast","East","SouthEast","South","SouthWest","West","NorthWest","North")</f>
        <v>South</v>
      </c>
      <c r="AA1874" s="4">
        <f>CHOOSE(MATCH(Z1874,{"South";"SouthEast";"SouthWest";"North";"NorthEast";"East";"West";"NorthWest"},0),1,2,3,4,5,6,7,8)</f>
        <v>1</v>
      </c>
      <c r="AB1874" s="2">
        <f t="shared" si="296"/>
        <v>0</v>
      </c>
      <c r="AC1874">
        <v>1004.7</v>
      </c>
      <c r="AD1874" t="s">
        <v>1241</v>
      </c>
      <c r="AE1874" s="2">
        <f t="shared" si="297"/>
        <v>0</v>
      </c>
      <c r="AF1874" t="s">
        <v>2569</v>
      </c>
      <c r="AG1874" s="2">
        <f t="shared" si="298"/>
        <v>3</v>
      </c>
      <c r="AH1874" s="2">
        <f t="shared" si="299"/>
        <v>0</v>
      </c>
      <c r="AI1874" s="3">
        <v>725.00000000582077</v>
      </c>
      <c r="AJ1874" s="2">
        <v>1</v>
      </c>
      <c r="AK1874">
        <v>30</v>
      </c>
      <c r="AL1874">
        <v>0</v>
      </c>
      <c r="AM1874">
        <v>0</v>
      </c>
      <c r="AN1874" s="2">
        <f>IF((2*G1874+M1874-O1874+3*V1874+2*AB1874+2*AE1874+2*AH1874+3*AJ1874)&gt;=7,1,0)</f>
        <v>0</v>
      </c>
    </row>
    <row r="1875" spans="1:40" x14ac:dyDescent="0.25">
      <c r="A1875" t="s">
        <v>27</v>
      </c>
      <c r="B1875" s="1">
        <v>42458</v>
      </c>
      <c r="C1875" s="6">
        <f t="shared" si="290"/>
        <v>2016</v>
      </c>
      <c r="D1875">
        <v>64.400000000000006</v>
      </c>
      <c r="E1875">
        <v>46.4</v>
      </c>
      <c r="F1875">
        <v>56.1</v>
      </c>
      <c r="G1875" s="2">
        <f t="shared" si="291"/>
        <v>0</v>
      </c>
      <c r="H1875">
        <v>64.400000000000006</v>
      </c>
      <c r="I1875">
        <v>41.5</v>
      </c>
      <c r="J1875">
        <v>54.9</v>
      </c>
      <c r="K1875">
        <v>47.7</v>
      </c>
      <c r="L1875">
        <v>73.900000000000006</v>
      </c>
      <c r="M1875" s="2">
        <f t="shared" si="292"/>
        <v>0</v>
      </c>
      <c r="N1875">
        <v>0</v>
      </c>
      <c r="O1875" s="2">
        <f t="shared" si="293"/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22.8</v>
      </c>
      <c r="V1875" s="2">
        <f t="shared" si="294"/>
        <v>1</v>
      </c>
      <c r="W1875">
        <v>14.9</v>
      </c>
      <c r="X1875" s="2">
        <f t="shared" si="295"/>
        <v>0</v>
      </c>
      <c r="Y1875">
        <v>281.8</v>
      </c>
      <c r="Z1875" s="2" t="str">
        <f>CHOOSE(MATCH(Y1875,{0;11;80;111;161;191;241;281;341},1),"North","NorthEast","East","SouthEast","South","SouthWest","West","NorthWest","North")</f>
        <v>NorthWest</v>
      </c>
      <c r="AA1875" s="4">
        <f>CHOOSE(MATCH(Z1875,{"South";"SouthEast";"SouthWest";"North";"NorthEast";"East";"West";"NorthWest"},0),1,2,3,4,5,6,7,8)</f>
        <v>8</v>
      </c>
      <c r="AB1875" s="2">
        <f t="shared" si="296"/>
        <v>1</v>
      </c>
      <c r="AC1875">
        <v>1019.2</v>
      </c>
      <c r="AD1875" t="s">
        <v>2186</v>
      </c>
      <c r="AE1875" s="2">
        <f t="shared" si="297"/>
        <v>1</v>
      </c>
      <c r="AF1875" t="s">
        <v>2570</v>
      </c>
      <c r="AG1875" s="2">
        <f t="shared" si="298"/>
        <v>3</v>
      </c>
      <c r="AH1875" s="2">
        <f t="shared" si="299"/>
        <v>0</v>
      </c>
      <c r="AI1875" s="3">
        <v>24.99999999767169</v>
      </c>
      <c r="AJ1875" s="2">
        <v>0</v>
      </c>
      <c r="AK1875">
        <v>0</v>
      </c>
      <c r="AL1875">
        <v>0.1</v>
      </c>
      <c r="AM1875">
        <v>0</v>
      </c>
      <c r="AN1875" s="2">
        <f>IF((2*G1875+M1875-O1875+3*V1875+2*AB1875+2*AE1875+2*AH1875+3*AJ1875)&gt;=7,1,0)</f>
        <v>0</v>
      </c>
    </row>
    <row r="1876" spans="1:40" x14ac:dyDescent="0.25">
      <c r="A1876" t="s">
        <v>27</v>
      </c>
      <c r="B1876" s="1">
        <v>42458</v>
      </c>
      <c r="C1876" s="6">
        <f t="shared" si="290"/>
        <v>2016</v>
      </c>
      <c r="D1876">
        <v>64.400000000000006</v>
      </c>
      <c r="E1876">
        <v>46.4</v>
      </c>
      <c r="F1876">
        <v>56.1</v>
      </c>
      <c r="G1876" s="2">
        <f t="shared" si="291"/>
        <v>0</v>
      </c>
      <c r="H1876">
        <v>64.400000000000006</v>
      </c>
      <c r="I1876">
        <v>41.5</v>
      </c>
      <c r="J1876">
        <v>54.9</v>
      </c>
      <c r="K1876">
        <v>47.7</v>
      </c>
      <c r="L1876">
        <v>73.900000000000006</v>
      </c>
      <c r="M1876" s="2">
        <f t="shared" si="292"/>
        <v>0</v>
      </c>
      <c r="N1876">
        <v>0</v>
      </c>
      <c r="O1876" s="2">
        <f t="shared" si="293"/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22.8</v>
      </c>
      <c r="V1876" s="2">
        <f t="shared" si="294"/>
        <v>1</v>
      </c>
      <c r="W1876">
        <v>14.9</v>
      </c>
      <c r="X1876" s="2">
        <f t="shared" si="295"/>
        <v>0</v>
      </c>
      <c r="Y1876">
        <v>281.8</v>
      </c>
      <c r="Z1876" s="2" t="str">
        <f>CHOOSE(MATCH(Y1876,{0;11;80;111;161;191;241;281;341},1),"North","NorthEast","East","SouthEast","South","SouthWest","West","NorthWest","North")</f>
        <v>NorthWest</v>
      </c>
      <c r="AA1876" s="4">
        <f>CHOOSE(MATCH(Z1876,{"South";"SouthEast";"SouthWest";"North";"NorthEast";"East";"West";"NorthWest"},0),1,2,3,4,5,6,7,8)</f>
        <v>8</v>
      </c>
      <c r="AB1876" s="2">
        <f t="shared" si="296"/>
        <v>1</v>
      </c>
      <c r="AC1876">
        <v>1019.2</v>
      </c>
      <c r="AD1876" t="s">
        <v>2571</v>
      </c>
      <c r="AE1876" s="2">
        <f t="shared" si="297"/>
        <v>1</v>
      </c>
      <c r="AF1876" t="s">
        <v>2572</v>
      </c>
      <c r="AG1876" s="2">
        <f t="shared" si="298"/>
        <v>3</v>
      </c>
      <c r="AH1876" s="2">
        <f t="shared" si="299"/>
        <v>0</v>
      </c>
      <c r="AI1876" s="3">
        <v>164.99999999301511</v>
      </c>
      <c r="AJ1876" s="2">
        <v>0</v>
      </c>
      <c r="AK1876">
        <v>0</v>
      </c>
      <c r="AL1876">
        <v>1</v>
      </c>
      <c r="AM1876">
        <v>0</v>
      </c>
      <c r="AN1876" s="2">
        <f>IF((2*G1876+M1876-O1876+3*V1876+2*AB1876+2*AE1876+2*AH1876+3*AJ1876)&gt;=7,1,0)</f>
        <v>0</v>
      </c>
    </row>
    <row r="1877" spans="1:40" x14ac:dyDescent="0.25">
      <c r="A1877" t="s">
        <v>27</v>
      </c>
      <c r="B1877" s="1">
        <v>42461</v>
      </c>
      <c r="C1877" s="6">
        <f t="shared" si="290"/>
        <v>2016</v>
      </c>
      <c r="D1877">
        <v>68</v>
      </c>
      <c r="E1877">
        <v>48.2</v>
      </c>
      <c r="F1877">
        <v>58.9</v>
      </c>
      <c r="G1877" s="2">
        <f t="shared" si="291"/>
        <v>0</v>
      </c>
      <c r="H1877">
        <v>68</v>
      </c>
      <c r="I1877">
        <v>45.1</v>
      </c>
      <c r="J1877">
        <v>58.7</v>
      </c>
      <c r="K1877">
        <v>51.2</v>
      </c>
      <c r="L1877">
        <v>76.099999999999994</v>
      </c>
      <c r="M1877" s="2">
        <f t="shared" si="292"/>
        <v>0</v>
      </c>
      <c r="N1877">
        <v>0</v>
      </c>
      <c r="O1877" s="2">
        <f t="shared" si="293"/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21.9</v>
      </c>
      <c r="V1877" s="2">
        <f t="shared" si="294"/>
        <v>1</v>
      </c>
      <c r="W1877">
        <v>9.1999999999999993</v>
      </c>
      <c r="X1877" s="2">
        <f t="shared" si="295"/>
        <v>0</v>
      </c>
      <c r="Y1877">
        <v>139.19999999999999</v>
      </c>
      <c r="Z1877" s="2" t="str">
        <f>CHOOSE(MATCH(Y1877,{0;11;80;111;161;191;241;281;341},1),"North","NorthEast","East","SouthEast","South","SouthWest","West","NorthWest","North")</f>
        <v>SouthEast</v>
      </c>
      <c r="AA1877" s="4">
        <f>CHOOSE(MATCH(Z1877,{"South";"SouthEast";"SouthWest";"North";"NorthEast";"East";"West";"NorthWest"},0),1,2,3,4,5,6,7,8)</f>
        <v>2</v>
      </c>
      <c r="AB1877" s="2">
        <f t="shared" si="296"/>
        <v>0</v>
      </c>
      <c r="AC1877">
        <v>1020.3</v>
      </c>
      <c r="AD1877" t="s">
        <v>2573</v>
      </c>
      <c r="AE1877" s="2">
        <f t="shared" si="297"/>
        <v>1</v>
      </c>
      <c r="AF1877" t="s">
        <v>2574</v>
      </c>
      <c r="AG1877" s="2">
        <f t="shared" si="298"/>
        <v>4</v>
      </c>
      <c r="AH1877" s="2">
        <f t="shared" si="299"/>
        <v>0</v>
      </c>
      <c r="AI1877" s="3">
        <v>1069.0000000060541</v>
      </c>
      <c r="AJ1877" s="2">
        <v>1</v>
      </c>
      <c r="AK1877">
        <v>0</v>
      </c>
      <c r="AL1877">
        <v>50</v>
      </c>
      <c r="AM1877">
        <v>0</v>
      </c>
      <c r="AN1877" s="2">
        <f>IF((2*G1877+M1877-O1877+3*V1877+2*AB1877+2*AE1877+2*AH1877+3*AJ1877)&gt;=7,1,0)</f>
        <v>1</v>
      </c>
    </row>
    <row r="1878" spans="1:40" x14ac:dyDescent="0.25">
      <c r="A1878" t="s">
        <v>27</v>
      </c>
      <c r="B1878" s="1">
        <v>42465</v>
      </c>
      <c r="C1878" s="6">
        <f t="shared" si="290"/>
        <v>2016</v>
      </c>
      <c r="D1878">
        <v>71.599999999999994</v>
      </c>
      <c r="E1878">
        <v>51.8</v>
      </c>
      <c r="F1878">
        <v>61.6</v>
      </c>
      <c r="G1878" s="2">
        <f t="shared" si="291"/>
        <v>0</v>
      </c>
      <c r="H1878">
        <v>71.599999999999994</v>
      </c>
      <c r="I1878">
        <v>51.8</v>
      </c>
      <c r="J1878">
        <v>61.6</v>
      </c>
      <c r="K1878">
        <v>52.5</v>
      </c>
      <c r="L1878">
        <v>73.599999999999994</v>
      </c>
      <c r="M1878" s="2">
        <f t="shared" si="292"/>
        <v>0</v>
      </c>
      <c r="N1878">
        <v>0</v>
      </c>
      <c r="O1878" s="2">
        <f t="shared" si="293"/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17.399999999999999</v>
      </c>
      <c r="V1878" s="2">
        <f t="shared" si="294"/>
        <v>1</v>
      </c>
      <c r="W1878">
        <v>8.1</v>
      </c>
      <c r="X1878" s="2">
        <f t="shared" si="295"/>
        <v>0</v>
      </c>
      <c r="Y1878">
        <v>181.8</v>
      </c>
      <c r="Z1878" s="2" t="str">
        <f>CHOOSE(MATCH(Y1878,{0;11;80;111;161;191;241;281;341},1),"North","NorthEast","East","SouthEast","South","SouthWest","West","NorthWest","North")</f>
        <v>South</v>
      </c>
      <c r="AA1878" s="4">
        <f>CHOOSE(MATCH(Z1878,{"South";"SouthEast";"SouthWest";"North";"NorthEast";"East";"West";"NorthWest"},0),1,2,3,4,5,6,7,8)</f>
        <v>1</v>
      </c>
      <c r="AB1878" s="2">
        <f t="shared" si="296"/>
        <v>0</v>
      </c>
      <c r="AC1878">
        <v>1011.7</v>
      </c>
      <c r="AD1878" t="s">
        <v>1135</v>
      </c>
      <c r="AE1878" s="2">
        <f t="shared" si="297"/>
        <v>1</v>
      </c>
      <c r="AF1878" t="s">
        <v>2575</v>
      </c>
      <c r="AG1878" s="2">
        <f t="shared" si="298"/>
        <v>4</v>
      </c>
      <c r="AH1878" s="2">
        <f t="shared" si="299"/>
        <v>0</v>
      </c>
      <c r="AI1878" s="3">
        <v>1585.0000000011639</v>
      </c>
      <c r="AJ1878" s="2">
        <v>1</v>
      </c>
      <c r="AK1878">
        <v>0</v>
      </c>
      <c r="AL1878">
        <v>2</v>
      </c>
      <c r="AM1878">
        <v>0</v>
      </c>
      <c r="AN1878" s="2">
        <f>IF((2*G1878+M1878-O1878+3*V1878+2*AB1878+2*AE1878+2*AH1878+3*AJ1878)&gt;=7,1,0)</f>
        <v>1</v>
      </c>
    </row>
    <row r="1879" spans="1:40" x14ac:dyDescent="0.25">
      <c r="A1879" t="s">
        <v>27</v>
      </c>
      <c r="B1879" s="1">
        <v>42466</v>
      </c>
      <c r="C1879" s="6">
        <f t="shared" si="290"/>
        <v>2016</v>
      </c>
      <c r="D1879">
        <v>71.599999999999994</v>
      </c>
      <c r="E1879">
        <v>51.8</v>
      </c>
      <c r="F1879">
        <v>62.3</v>
      </c>
      <c r="G1879" s="2">
        <f t="shared" si="291"/>
        <v>0</v>
      </c>
      <c r="H1879">
        <v>71.599999999999994</v>
      </c>
      <c r="I1879">
        <v>51.8</v>
      </c>
      <c r="J1879">
        <v>62.3</v>
      </c>
      <c r="K1879">
        <v>50.8</v>
      </c>
      <c r="L1879">
        <v>67</v>
      </c>
      <c r="M1879" s="2">
        <f t="shared" si="292"/>
        <v>0</v>
      </c>
      <c r="N1879">
        <v>0</v>
      </c>
      <c r="O1879" s="2">
        <f t="shared" si="293"/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15</v>
      </c>
      <c r="V1879" s="2">
        <f t="shared" si="294"/>
        <v>1</v>
      </c>
      <c r="W1879">
        <v>8.1</v>
      </c>
      <c r="X1879" s="2">
        <f t="shared" si="295"/>
        <v>0</v>
      </c>
      <c r="Y1879">
        <v>134</v>
      </c>
      <c r="Z1879" s="2" t="str">
        <f>CHOOSE(MATCH(Y1879,{0;11;80;111;161;191;241;281;341},1),"North","NorthEast","East","SouthEast","South","SouthWest","West","NorthWest","North")</f>
        <v>SouthEast</v>
      </c>
      <c r="AA1879" s="4">
        <f>CHOOSE(MATCH(Z1879,{"South";"SouthEast";"SouthWest";"North";"NorthEast";"East";"West";"NorthWest"},0),1,2,3,4,5,6,7,8)</f>
        <v>2</v>
      </c>
      <c r="AB1879" s="2">
        <f t="shared" si="296"/>
        <v>0</v>
      </c>
      <c r="AC1879">
        <v>1011</v>
      </c>
      <c r="AD1879" t="s">
        <v>1834</v>
      </c>
      <c r="AE1879" s="2">
        <f t="shared" si="297"/>
        <v>1</v>
      </c>
      <c r="AF1879" t="s">
        <v>2576</v>
      </c>
      <c r="AG1879" s="2">
        <f t="shared" si="298"/>
        <v>4</v>
      </c>
      <c r="AH1879" s="2">
        <f t="shared" si="299"/>
        <v>0</v>
      </c>
      <c r="AI1879" s="3">
        <v>120.0000000034925</v>
      </c>
      <c r="AJ1879" s="2">
        <v>0</v>
      </c>
      <c r="AK1879">
        <v>0</v>
      </c>
      <c r="AL1879">
        <v>0.5</v>
      </c>
      <c r="AM1879">
        <v>0</v>
      </c>
      <c r="AN1879" s="2">
        <f>IF((2*G1879+M1879-O1879+3*V1879+2*AB1879+2*AE1879+2*AH1879+3*AJ1879)&gt;=7,1,0)</f>
        <v>0</v>
      </c>
    </row>
    <row r="1880" spans="1:40" x14ac:dyDescent="0.25">
      <c r="A1880" t="s">
        <v>27</v>
      </c>
      <c r="B1880" s="1">
        <v>42466</v>
      </c>
      <c r="C1880" s="6">
        <f t="shared" si="290"/>
        <v>2016</v>
      </c>
      <c r="D1880">
        <v>71.599999999999994</v>
      </c>
      <c r="E1880">
        <v>51.8</v>
      </c>
      <c r="F1880">
        <v>62.3</v>
      </c>
      <c r="G1880" s="2">
        <f t="shared" si="291"/>
        <v>0</v>
      </c>
      <c r="H1880">
        <v>71.599999999999994</v>
      </c>
      <c r="I1880">
        <v>51.8</v>
      </c>
      <c r="J1880">
        <v>62.3</v>
      </c>
      <c r="K1880">
        <v>50.8</v>
      </c>
      <c r="L1880">
        <v>67</v>
      </c>
      <c r="M1880" s="2">
        <f t="shared" si="292"/>
        <v>0</v>
      </c>
      <c r="N1880">
        <v>0</v>
      </c>
      <c r="O1880" s="2">
        <f t="shared" si="293"/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15</v>
      </c>
      <c r="V1880" s="2">
        <f t="shared" si="294"/>
        <v>1</v>
      </c>
      <c r="W1880">
        <v>8.1</v>
      </c>
      <c r="X1880" s="2">
        <f t="shared" si="295"/>
        <v>0</v>
      </c>
      <c r="Y1880">
        <v>134</v>
      </c>
      <c r="Z1880" s="2" t="str">
        <f>CHOOSE(MATCH(Y1880,{0;11;80;111;161;191;241;281;341},1),"North","NorthEast","East","SouthEast","South","SouthWest","West","NorthWest","North")</f>
        <v>SouthEast</v>
      </c>
      <c r="AA1880" s="4">
        <f>CHOOSE(MATCH(Z1880,{"South";"SouthEast";"SouthWest";"North";"NorthEast";"East";"West";"NorthWest"},0),1,2,3,4,5,6,7,8)</f>
        <v>2</v>
      </c>
      <c r="AB1880" s="2">
        <f t="shared" si="296"/>
        <v>0</v>
      </c>
      <c r="AC1880">
        <v>1011</v>
      </c>
      <c r="AD1880" t="s">
        <v>1077</v>
      </c>
      <c r="AE1880" s="2">
        <f t="shared" si="297"/>
        <v>1</v>
      </c>
      <c r="AF1880" t="s">
        <v>2577</v>
      </c>
      <c r="AG1880" s="2">
        <f t="shared" si="298"/>
        <v>4</v>
      </c>
      <c r="AH1880" s="2">
        <f t="shared" si="299"/>
        <v>0</v>
      </c>
      <c r="AI1880" s="3">
        <v>360</v>
      </c>
      <c r="AJ1880" s="2">
        <v>0</v>
      </c>
      <c r="AK1880">
        <v>0</v>
      </c>
      <c r="AL1880">
        <v>10</v>
      </c>
      <c r="AM1880">
        <v>0</v>
      </c>
      <c r="AN1880" s="2">
        <f>IF((2*G1880+M1880-O1880+3*V1880+2*AB1880+2*AE1880+2*AH1880+3*AJ1880)&gt;=7,1,0)</f>
        <v>0</v>
      </c>
    </row>
    <row r="1881" spans="1:40" x14ac:dyDescent="0.25">
      <c r="A1881" t="s">
        <v>27</v>
      </c>
      <c r="B1881" s="1">
        <v>42467</v>
      </c>
      <c r="C1881" s="6">
        <f t="shared" si="290"/>
        <v>2016</v>
      </c>
      <c r="D1881">
        <v>76.900000000000006</v>
      </c>
      <c r="E1881">
        <v>51.5</v>
      </c>
      <c r="F1881">
        <v>63.7</v>
      </c>
      <c r="G1881" s="2">
        <f t="shared" si="291"/>
        <v>0</v>
      </c>
      <c r="H1881">
        <v>76.900000000000006</v>
      </c>
      <c r="I1881">
        <v>51.5</v>
      </c>
      <c r="J1881">
        <v>63.7</v>
      </c>
      <c r="K1881">
        <v>49.4</v>
      </c>
      <c r="L1881">
        <v>63.8</v>
      </c>
      <c r="M1881" s="2">
        <f t="shared" si="292"/>
        <v>1</v>
      </c>
      <c r="N1881">
        <v>0</v>
      </c>
      <c r="O1881" s="2">
        <f t="shared" si="293"/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32.200000000000003</v>
      </c>
      <c r="V1881" s="2">
        <f t="shared" si="294"/>
        <v>1</v>
      </c>
      <c r="W1881">
        <v>20.8</v>
      </c>
      <c r="X1881" s="2">
        <f t="shared" si="295"/>
        <v>1</v>
      </c>
      <c r="Y1881">
        <v>127.6</v>
      </c>
      <c r="Z1881" s="2" t="str">
        <f>CHOOSE(MATCH(Y1881,{0;11;80;111;161;191;241;281;341},1),"North","NorthEast","East","SouthEast","South","SouthWest","West","NorthWest","North")</f>
        <v>SouthEast</v>
      </c>
      <c r="AA1881" s="4">
        <f>CHOOSE(MATCH(Z1881,{"South";"SouthEast";"SouthWest";"North";"NorthEast";"East";"West";"NorthWest"},0),1,2,3,4,5,6,7,8)</f>
        <v>2</v>
      </c>
      <c r="AB1881" s="2">
        <f t="shared" si="296"/>
        <v>0</v>
      </c>
      <c r="AC1881">
        <v>1009.2</v>
      </c>
      <c r="AD1881" t="s">
        <v>2172</v>
      </c>
      <c r="AE1881" s="2">
        <f t="shared" si="297"/>
        <v>1</v>
      </c>
      <c r="AF1881" t="s">
        <v>2578</v>
      </c>
      <c r="AG1881" s="2">
        <f t="shared" si="298"/>
        <v>4</v>
      </c>
      <c r="AH1881" s="2">
        <f t="shared" si="299"/>
        <v>0</v>
      </c>
      <c r="AI1881" s="3">
        <v>654.99999999767169</v>
      </c>
      <c r="AJ1881" s="2">
        <v>1</v>
      </c>
      <c r="AK1881">
        <v>0</v>
      </c>
      <c r="AL1881">
        <v>50</v>
      </c>
      <c r="AM1881">
        <v>0</v>
      </c>
      <c r="AN1881" s="2">
        <f>IF((2*G1881+M1881-O1881+3*V1881+2*AB1881+2*AE1881+2*AH1881+3*AJ1881)&gt;=7,1,0)</f>
        <v>1</v>
      </c>
    </row>
    <row r="1882" spans="1:40" x14ac:dyDescent="0.25">
      <c r="A1882" t="s">
        <v>27</v>
      </c>
      <c r="B1882" s="1">
        <v>42467</v>
      </c>
      <c r="C1882" s="6">
        <f t="shared" si="290"/>
        <v>2016</v>
      </c>
      <c r="D1882">
        <v>76.900000000000006</v>
      </c>
      <c r="E1882">
        <v>51.5</v>
      </c>
      <c r="F1882">
        <v>63.7</v>
      </c>
      <c r="G1882" s="2">
        <f t="shared" si="291"/>
        <v>0</v>
      </c>
      <c r="H1882">
        <v>76.900000000000006</v>
      </c>
      <c r="I1882">
        <v>51.5</v>
      </c>
      <c r="J1882">
        <v>63.7</v>
      </c>
      <c r="K1882">
        <v>49.4</v>
      </c>
      <c r="L1882">
        <v>63.8</v>
      </c>
      <c r="M1882" s="2">
        <f t="shared" si="292"/>
        <v>1</v>
      </c>
      <c r="N1882">
        <v>0</v>
      </c>
      <c r="O1882" s="2">
        <f t="shared" si="293"/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32.200000000000003</v>
      </c>
      <c r="V1882" s="2">
        <f t="shared" si="294"/>
        <v>1</v>
      </c>
      <c r="W1882">
        <v>20.8</v>
      </c>
      <c r="X1882" s="2">
        <f t="shared" si="295"/>
        <v>1</v>
      </c>
      <c r="Y1882">
        <v>127.6</v>
      </c>
      <c r="Z1882" s="2" t="str">
        <f>CHOOSE(MATCH(Y1882,{0;11;80;111;161;191;241;281;341},1),"North","NorthEast","East","SouthEast","South","SouthWest","West","NorthWest","North")</f>
        <v>SouthEast</v>
      </c>
      <c r="AA1882" s="4">
        <f>CHOOSE(MATCH(Z1882,{"South";"SouthEast";"SouthWest";"North";"NorthEast";"East";"West";"NorthWest"},0),1,2,3,4,5,6,7,8)</f>
        <v>2</v>
      </c>
      <c r="AB1882" s="2">
        <f t="shared" si="296"/>
        <v>0</v>
      </c>
      <c r="AC1882">
        <v>1009.2</v>
      </c>
      <c r="AD1882" t="s">
        <v>1101</v>
      </c>
      <c r="AE1882" s="2">
        <f t="shared" si="297"/>
        <v>1</v>
      </c>
      <c r="AF1882" t="s">
        <v>2579</v>
      </c>
      <c r="AG1882" s="2">
        <f t="shared" si="298"/>
        <v>4</v>
      </c>
      <c r="AH1882" s="2">
        <f t="shared" si="299"/>
        <v>0</v>
      </c>
      <c r="AI1882" s="3">
        <v>1450.0000000011639</v>
      </c>
      <c r="AJ1882" s="2">
        <v>1</v>
      </c>
      <c r="AK1882">
        <v>0</v>
      </c>
      <c r="AL1882">
        <v>100</v>
      </c>
      <c r="AM1882">
        <v>0</v>
      </c>
      <c r="AN1882" s="2">
        <f>IF((2*G1882+M1882-O1882+3*V1882+2*AB1882+2*AE1882+2*AH1882+3*AJ1882)&gt;=7,1,0)</f>
        <v>1</v>
      </c>
    </row>
    <row r="1883" spans="1:40" x14ac:dyDescent="0.25">
      <c r="A1883" t="s">
        <v>27</v>
      </c>
      <c r="B1883" s="1">
        <v>42468</v>
      </c>
      <c r="C1883" s="6">
        <f t="shared" si="290"/>
        <v>2016</v>
      </c>
      <c r="D1883">
        <v>84.2</v>
      </c>
      <c r="E1883">
        <v>68</v>
      </c>
      <c r="F1883">
        <v>75.099999999999994</v>
      </c>
      <c r="G1883" s="2">
        <f t="shared" si="291"/>
        <v>1</v>
      </c>
      <c r="H1883">
        <v>81.8</v>
      </c>
      <c r="I1883">
        <v>68</v>
      </c>
      <c r="J1883">
        <v>74.7</v>
      </c>
      <c r="K1883">
        <v>50</v>
      </c>
      <c r="L1883">
        <v>44.3</v>
      </c>
      <c r="M1883" s="2">
        <f t="shared" si="292"/>
        <v>1</v>
      </c>
      <c r="N1883">
        <v>0</v>
      </c>
      <c r="O1883" s="2">
        <f t="shared" si="293"/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48.3</v>
      </c>
      <c r="V1883" s="2">
        <f t="shared" si="294"/>
        <v>1</v>
      </c>
      <c r="W1883">
        <v>38</v>
      </c>
      <c r="X1883" s="2">
        <f t="shared" si="295"/>
        <v>1</v>
      </c>
      <c r="Y1883">
        <v>184.7</v>
      </c>
      <c r="Z1883" s="2" t="str">
        <f>CHOOSE(MATCH(Y1883,{0;11;80;111;161;191;241;281;341},1),"North","NorthEast","East","SouthEast","South","SouthWest","West","NorthWest","North")</f>
        <v>South</v>
      </c>
      <c r="AA1883" s="4">
        <f>CHOOSE(MATCH(Z1883,{"South";"SouthEast";"SouthWest";"North";"NorthEast";"East";"West";"NorthWest"},0),1,2,3,4,5,6,7,8)</f>
        <v>1</v>
      </c>
      <c r="AB1883" s="2">
        <f t="shared" si="296"/>
        <v>0</v>
      </c>
      <c r="AC1883">
        <v>1004.3</v>
      </c>
      <c r="AD1883" t="s">
        <v>1270</v>
      </c>
      <c r="AE1883" s="2">
        <f t="shared" si="297"/>
        <v>1</v>
      </c>
      <c r="AF1883" t="s">
        <v>2580</v>
      </c>
      <c r="AG1883" s="2">
        <f t="shared" si="298"/>
        <v>4</v>
      </c>
      <c r="AH1883" s="2">
        <f t="shared" si="299"/>
        <v>0</v>
      </c>
      <c r="AI1883" s="3">
        <v>345.00000000349252</v>
      </c>
      <c r="AJ1883" s="2">
        <v>0</v>
      </c>
      <c r="AK1883">
        <v>0</v>
      </c>
      <c r="AL1883">
        <v>3</v>
      </c>
      <c r="AM1883">
        <v>0</v>
      </c>
      <c r="AN1883" s="2">
        <f>IF((2*G1883+M1883-O1883+3*V1883+2*AB1883+2*AE1883+2*AH1883+3*AJ1883)&gt;=7,1,0)</f>
        <v>1</v>
      </c>
    </row>
    <row r="1884" spans="1:40" x14ac:dyDescent="0.25">
      <c r="A1884" t="s">
        <v>27</v>
      </c>
      <c r="B1884" s="1">
        <v>42468</v>
      </c>
      <c r="C1884" s="6">
        <f t="shared" si="290"/>
        <v>2016</v>
      </c>
      <c r="D1884">
        <v>84.2</v>
      </c>
      <c r="E1884">
        <v>68</v>
      </c>
      <c r="F1884">
        <v>75.099999999999994</v>
      </c>
      <c r="G1884" s="2">
        <f t="shared" si="291"/>
        <v>1</v>
      </c>
      <c r="H1884">
        <v>81.8</v>
      </c>
      <c r="I1884">
        <v>68</v>
      </c>
      <c r="J1884">
        <v>74.7</v>
      </c>
      <c r="K1884">
        <v>50</v>
      </c>
      <c r="L1884">
        <v>44.3</v>
      </c>
      <c r="M1884" s="2">
        <f t="shared" si="292"/>
        <v>1</v>
      </c>
      <c r="N1884">
        <v>0</v>
      </c>
      <c r="O1884" s="2">
        <f t="shared" si="293"/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48.3</v>
      </c>
      <c r="V1884" s="2">
        <f t="shared" si="294"/>
        <v>1</v>
      </c>
      <c r="W1884">
        <v>38</v>
      </c>
      <c r="X1884" s="2">
        <f t="shared" si="295"/>
        <v>1</v>
      </c>
      <c r="Y1884">
        <v>184.7</v>
      </c>
      <c r="Z1884" s="2" t="str">
        <f>CHOOSE(MATCH(Y1884,{0;11;80;111;161;191;241;281;341},1),"North","NorthEast","East","SouthEast","South","SouthWest","West","NorthWest","North")</f>
        <v>South</v>
      </c>
      <c r="AA1884" s="4">
        <f>CHOOSE(MATCH(Z1884,{"South";"SouthEast";"SouthWest";"North";"NorthEast";"East";"West";"NorthWest"},0),1,2,3,4,5,6,7,8)</f>
        <v>1</v>
      </c>
      <c r="AB1884" s="2">
        <f t="shared" si="296"/>
        <v>0</v>
      </c>
      <c r="AC1884">
        <v>1004.3</v>
      </c>
      <c r="AD1884" t="s">
        <v>1119</v>
      </c>
      <c r="AE1884" s="2">
        <f t="shared" si="297"/>
        <v>0</v>
      </c>
      <c r="AF1884" t="s">
        <v>2581</v>
      </c>
      <c r="AG1884" s="2">
        <f t="shared" si="298"/>
        <v>4</v>
      </c>
      <c r="AH1884" s="2">
        <f t="shared" si="299"/>
        <v>0</v>
      </c>
      <c r="AI1884" s="3">
        <v>5019.9999999976717</v>
      </c>
      <c r="AJ1884" s="2">
        <v>1</v>
      </c>
      <c r="AK1884">
        <v>222.55</v>
      </c>
      <c r="AL1884">
        <v>0</v>
      </c>
      <c r="AM1884">
        <v>0</v>
      </c>
      <c r="AN1884" s="2">
        <f>IF((2*G1884+M1884-O1884+3*V1884+2*AB1884+2*AE1884+2*AH1884+3*AJ1884)&gt;=7,1,0)</f>
        <v>1</v>
      </c>
    </row>
    <row r="1885" spans="1:40" x14ac:dyDescent="0.25">
      <c r="A1885" t="s">
        <v>27</v>
      </c>
      <c r="B1885" s="1">
        <v>42468</v>
      </c>
      <c r="C1885" s="6">
        <f t="shared" si="290"/>
        <v>2016</v>
      </c>
      <c r="D1885">
        <v>84.2</v>
      </c>
      <c r="E1885">
        <v>68</v>
      </c>
      <c r="F1885">
        <v>75.099999999999994</v>
      </c>
      <c r="G1885" s="2">
        <f t="shared" si="291"/>
        <v>1</v>
      </c>
      <c r="H1885">
        <v>81.8</v>
      </c>
      <c r="I1885">
        <v>68</v>
      </c>
      <c r="J1885">
        <v>74.7</v>
      </c>
      <c r="K1885">
        <v>50</v>
      </c>
      <c r="L1885">
        <v>44.3</v>
      </c>
      <c r="M1885" s="2">
        <f t="shared" si="292"/>
        <v>1</v>
      </c>
      <c r="N1885">
        <v>0</v>
      </c>
      <c r="O1885" s="2">
        <f t="shared" si="293"/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48.3</v>
      </c>
      <c r="V1885" s="2">
        <f t="shared" si="294"/>
        <v>1</v>
      </c>
      <c r="W1885">
        <v>38</v>
      </c>
      <c r="X1885" s="2">
        <f t="shared" si="295"/>
        <v>1</v>
      </c>
      <c r="Y1885">
        <v>184.7</v>
      </c>
      <c r="Z1885" s="2" t="str">
        <f>CHOOSE(MATCH(Y1885,{0;11;80;111;161;191;241;281;341},1),"North","NorthEast","East","SouthEast","South","SouthWest","West","NorthWest","North")</f>
        <v>South</v>
      </c>
      <c r="AA1885" s="4">
        <f>CHOOSE(MATCH(Z1885,{"South";"SouthEast";"SouthWest";"North";"NorthEast";"East";"West";"NorthWest"},0),1,2,3,4,5,6,7,8)</f>
        <v>1</v>
      </c>
      <c r="AB1885" s="2">
        <f t="shared" si="296"/>
        <v>0</v>
      </c>
      <c r="AC1885">
        <v>1004.3</v>
      </c>
      <c r="AD1885" t="s">
        <v>1232</v>
      </c>
      <c r="AE1885" s="2">
        <f t="shared" si="297"/>
        <v>0</v>
      </c>
      <c r="AF1885" t="s">
        <v>2582</v>
      </c>
      <c r="AG1885" s="2">
        <f t="shared" si="298"/>
        <v>4</v>
      </c>
      <c r="AH1885" s="2">
        <f t="shared" si="299"/>
        <v>0</v>
      </c>
      <c r="AI1885" s="3">
        <v>1070.000000009313</v>
      </c>
      <c r="AJ1885" s="2">
        <v>1</v>
      </c>
      <c r="AK1885">
        <v>0</v>
      </c>
      <c r="AL1885">
        <v>25</v>
      </c>
      <c r="AM1885">
        <v>0</v>
      </c>
      <c r="AN1885" s="2">
        <f>IF((2*G1885+M1885-O1885+3*V1885+2*AB1885+2*AE1885+2*AH1885+3*AJ1885)&gt;=7,1,0)</f>
        <v>1</v>
      </c>
    </row>
    <row r="1886" spans="1:40" x14ac:dyDescent="0.25">
      <c r="A1886" t="s">
        <v>27</v>
      </c>
      <c r="B1886" s="1">
        <v>42469</v>
      </c>
      <c r="C1886" s="6">
        <f t="shared" si="290"/>
        <v>2016</v>
      </c>
      <c r="D1886">
        <v>71.599999999999994</v>
      </c>
      <c r="E1886">
        <v>59</v>
      </c>
      <c r="F1886">
        <v>65.099999999999994</v>
      </c>
      <c r="G1886" s="2">
        <f t="shared" si="291"/>
        <v>0</v>
      </c>
      <c r="H1886">
        <v>71.599999999999994</v>
      </c>
      <c r="I1886">
        <v>59</v>
      </c>
      <c r="J1886">
        <v>65.099999999999994</v>
      </c>
      <c r="K1886">
        <v>57.6</v>
      </c>
      <c r="L1886">
        <v>77.400000000000006</v>
      </c>
      <c r="M1886" s="2">
        <f t="shared" si="292"/>
        <v>0</v>
      </c>
      <c r="N1886">
        <v>0</v>
      </c>
      <c r="O1886" s="2">
        <f t="shared" si="293"/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27.7</v>
      </c>
      <c r="V1886" s="2">
        <f t="shared" si="294"/>
        <v>1</v>
      </c>
      <c r="W1886">
        <v>9.1999999999999993</v>
      </c>
      <c r="X1886" s="2">
        <f t="shared" si="295"/>
        <v>0</v>
      </c>
      <c r="Y1886">
        <v>11.1</v>
      </c>
      <c r="Z1886" s="2" t="str">
        <f>CHOOSE(MATCH(Y1886,{0;11;80;111;161;191;241;281;341},1),"North","NorthEast","East","SouthEast","South","SouthWest","West","NorthWest","North")</f>
        <v>NorthEast</v>
      </c>
      <c r="AA1886" s="4">
        <f>CHOOSE(MATCH(Z1886,{"South";"SouthEast";"SouthWest";"North";"NorthEast";"East";"West";"NorthWest"},0),1,2,3,4,5,6,7,8)</f>
        <v>5</v>
      </c>
      <c r="AB1886" s="2">
        <f t="shared" si="296"/>
        <v>1</v>
      </c>
      <c r="AC1886">
        <v>1006.3</v>
      </c>
      <c r="AD1886" t="s">
        <v>1890</v>
      </c>
      <c r="AE1886" s="2">
        <f t="shared" si="297"/>
        <v>1</v>
      </c>
      <c r="AF1886" t="s">
        <v>2583</v>
      </c>
      <c r="AG1886" s="2">
        <f t="shared" si="298"/>
        <v>4</v>
      </c>
      <c r="AH1886" s="2">
        <f t="shared" si="299"/>
        <v>0</v>
      </c>
      <c r="AI1886" s="3">
        <v>184.99999999534339</v>
      </c>
      <c r="AJ1886" s="2">
        <v>0</v>
      </c>
      <c r="AK1886">
        <v>0.2</v>
      </c>
      <c r="AL1886">
        <v>0</v>
      </c>
      <c r="AM1886">
        <v>0</v>
      </c>
      <c r="AN1886" s="2">
        <f>IF((2*G1886+M1886-O1886+3*V1886+2*AB1886+2*AE1886+2*AH1886+3*AJ1886)&gt;=7,1,0)</f>
        <v>0</v>
      </c>
    </row>
    <row r="1887" spans="1:40" x14ac:dyDescent="0.25">
      <c r="A1887" t="s">
        <v>27</v>
      </c>
      <c r="B1887" s="1">
        <v>42473</v>
      </c>
      <c r="C1887" s="6">
        <f t="shared" si="290"/>
        <v>2016</v>
      </c>
      <c r="D1887">
        <v>71.599999999999994</v>
      </c>
      <c r="E1887">
        <v>57.2</v>
      </c>
      <c r="F1887">
        <v>65.400000000000006</v>
      </c>
      <c r="G1887" s="2">
        <f t="shared" si="291"/>
        <v>0</v>
      </c>
      <c r="H1887">
        <v>71.599999999999994</v>
      </c>
      <c r="I1887">
        <v>57.2</v>
      </c>
      <c r="J1887">
        <v>65.400000000000006</v>
      </c>
      <c r="K1887">
        <v>52</v>
      </c>
      <c r="L1887">
        <v>62.8</v>
      </c>
      <c r="M1887" s="2">
        <f t="shared" si="292"/>
        <v>1</v>
      </c>
      <c r="N1887">
        <v>0</v>
      </c>
      <c r="O1887" s="2">
        <f t="shared" si="293"/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27.7</v>
      </c>
      <c r="V1887" s="2">
        <f t="shared" si="294"/>
        <v>1</v>
      </c>
      <c r="W1887">
        <v>11.4</v>
      </c>
      <c r="X1887" s="2">
        <f t="shared" si="295"/>
        <v>0</v>
      </c>
      <c r="Y1887">
        <v>325.5</v>
      </c>
      <c r="Z1887" s="2" t="str">
        <f>CHOOSE(MATCH(Y1887,{0;11;80;111;161;191;241;281;341},1),"North","NorthEast","East","SouthEast","South","SouthWest","West","NorthWest","North")</f>
        <v>NorthWest</v>
      </c>
      <c r="AA1887" s="4">
        <f>CHOOSE(MATCH(Z1887,{"South";"SouthEast";"SouthWest";"North";"NorthEast";"East";"West";"NorthWest"},0),1,2,3,4,5,6,7,8)</f>
        <v>8</v>
      </c>
      <c r="AB1887" s="2">
        <f t="shared" si="296"/>
        <v>1</v>
      </c>
      <c r="AC1887">
        <v>1014.2</v>
      </c>
      <c r="AD1887" t="s">
        <v>2584</v>
      </c>
      <c r="AE1887" s="2">
        <f t="shared" si="297"/>
        <v>1</v>
      </c>
      <c r="AF1887" t="s">
        <v>2585</v>
      </c>
      <c r="AG1887" s="2">
        <f t="shared" si="298"/>
        <v>4</v>
      </c>
      <c r="AH1887" s="2">
        <f t="shared" si="299"/>
        <v>0</v>
      </c>
      <c r="AI1887" s="3">
        <v>71.000000000931323</v>
      </c>
      <c r="AJ1887" s="2">
        <v>0</v>
      </c>
      <c r="AK1887">
        <v>0</v>
      </c>
      <c r="AL1887">
        <v>0.1</v>
      </c>
      <c r="AM1887">
        <v>0</v>
      </c>
      <c r="AN1887" s="2">
        <f>IF((2*G1887+M1887-O1887+3*V1887+2*AB1887+2*AE1887+2*AH1887+3*AJ1887)&gt;=7,1,0)</f>
        <v>1</v>
      </c>
    </row>
    <row r="1888" spans="1:40" x14ac:dyDescent="0.25">
      <c r="A1888" t="s">
        <v>27</v>
      </c>
      <c r="B1888" s="1">
        <v>42475</v>
      </c>
      <c r="C1888" s="6">
        <f t="shared" si="290"/>
        <v>2016</v>
      </c>
      <c r="D1888">
        <v>84.2</v>
      </c>
      <c r="E1888">
        <v>62.6</v>
      </c>
      <c r="F1888">
        <v>70</v>
      </c>
      <c r="G1888" s="2">
        <f t="shared" si="291"/>
        <v>0</v>
      </c>
      <c r="H1888">
        <v>81.7</v>
      </c>
      <c r="I1888">
        <v>62.6</v>
      </c>
      <c r="J1888">
        <v>69.8</v>
      </c>
      <c r="K1888">
        <v>52.6</v>
      </c>
      <c r="L1888">
        <v>58.4</v>
      </c>
      <c r="M1888" s="2">
        <f t="shared" si="292"/>
        <v>1</v>
      </c>
      <c r="N1888">
        <v>0</v>
      </c>
      <c r="O1888" s="2">
        <f t="shared" si="293"/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27.6</v>
      </c>
      <c r="V1888" s="2">
        <f t="shared" si="294"/>
        <v>1</v>
      </c>
      <c r="W1888">
        <v>12.7</v>
      </c>
      <c r="X1888" s="2">
        <f t="shared" si="295"/>
        <v>0</v>
      </c>
      <c r="Y1888">
        <v>311.10000000000002</v>
      </c>
      <c r="Z1888" s="2" t="str">
        <f>CHOOSE(MATCH(Y1888,{0;11;80;111;161;191;241;281;341},1),"North","NorthEast","East","SouthEast","South","SouthWest","West","NorthWest","North")</f>
        <v>NorthWest</v>
      </c>
      <c r="AA1888" s="4">
        <f>CHOOSE(MATCH(Z1888,{"South";"SouthEast";"SouthWest";"North";"NorthEast";"East";"West";"NorthWest"},0),1,2,3,4,5,6,7,8)</f>
        <v>8</v>
      </c>
      <c r="AB1888" s="2">
        <f t="shared" si="296"/>
        <v>1</v>
      </c>
      <c r="AC1888">
        <v>1012.7</v>
      </c>
      <c r="AD1888" t="s">
        <v>1151</v>
      </c>
      <c r="AE1888" s="2">
        <f t="shared" si="297"/>
        <v>0</v>
      </c>
      <c r="AF1888" t="s">
        <v>2586</v>
      </c>
      <c r="AG1888" s="2">
        <f t="shared" si="298"/>
        <v>4</v>
      </c>
      <c r="AH1888" s="2">
        <f t="shared" si="299"/>
        <v>0</v>
      </c>
      <c r="AI1888" s="3">
        <v>110.00000000232831</v>
      </c>
      <c r="AJ1888" s="2">
        <v>0</v>
      </c>
      <c r="AK1888">
        <v>0</v>
      </c>
      <c r="AL1888">
        <v>0.4</v>
      </c>
      <c r="AM1888">
        <v>0</v>
      </c>
      <c r="AN1888" s="2">
        <f>IF((2*G1888+M1888-O1888+3*V1888+2*AB1888+2*AE1888+2*AH1888+3*AJ1888)&gt;=7,1,0)</f>
        <v>0</v>
      </c>
    </row>
    <row r="1889" spans="1:40" x14ac:dyDescent="0.25">
      <c r="A1889" t="s">
        <v>27</v>
      </c>
      <c r="B1889" s="1">
        <v>42477</v>
      </c>
      <c r="C1889" s="6">
        <f t="shared" si="290"/>
        <v>2016</v>
      </c>
      <c r="D1889">
        <v>73.400000000000006</v>
      </c>
      <c r="E1889">
        <v>55.4</v>
      </c>
      <c r="F1889">
        <v>64.900000000000006</v>
      </c>
      <c r="G1889" s="2">
        <f t="shared" si="291"/>
        <v>0</v>
      </c>
      <c r="H1889">
        <v>73.400000000000006</v>
      </c>
      <c r="I1889">
        <v>55.4</v>
      </c>
      <c r="J1889">
        <v>64.900000000000006</v>
      </c>
      <c r="K1889">
        <v>56</v>
      </c>
      <c r="L1889">
        <v>73.599999999999994</v>
      </c>
      <c r="M1889" s="2">
        <f t="shared" si="292"/>
        <v>0</v>
      </c>
      <c r="N1889">
        <v>0</v>
      </c>
      <c r="O1889" s="2">
        <f t="shared" si="293"/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15.7</v>
      </c>
      <c r="V1889" s="2">
        <f t="shared" si="294"/>
        <v>1</v>
      </c>
      <c r="W1889">
        <v>10.3</v>
      </c>
      <c r="X1889" s="2">
        <f t="shared" si="295"/>
        <v>0</v>
      </c>
      <c r="Y1889">
        <v>122.4</v>
      </c>
      <c r="Z1889" s="2" t="str">
        <f>CHOOSE(MATCH(Y1889,{0;11;80;111;161;191;241;281;341},1),"North","NorthEast","East","SouthEast","South","SouthWest","West","NorthWest","North")</f>
        <v>SouthEast</v>
      </c>
      <c r="AA1889" s="4">
        <f>CHOOSE(MATCH(Z1889,{"South";"SouthEast";"SouthWest";"North";"NorthEast";"East";"West";"NorthWest"},0),1,2,3,4,5,6,7,8)</f>
        <v>2</v>
      </c>
      <c r="AB1889" s="2">
        <f t="shared" si="296"/>
        <v>0</v>
      </c>
      <c r="AC1889">
        <v>1018.6</v>
      </c>
      <c r="AD1889" t="s">
        <v>2065</v>
      </c>
      <c r="AE1889" s="2">
        <f t="shared" si="297"/>
        <v>1</v>
      </c>
      <c r="AF1889" t="s">
        <v>2587</v>
      </c>
      <c r="AG1889" s="2">
        <f t="shared" si="298"/>
        <v>4</v>
      </c>
      <c r="AH1889" s="2">
        <f t="shared" si="299"/>
        <v>0</v>
      </c>
      <c r="AI1889" s="3">
        <v>115.0000000081491</v>
      </c>
      <c r="AJ1889" s="2">
        <v>0</v>
      </c>
      <c r="AK1889">
        <v>0</v>
      </c>
      <c r="AL1889">
        <v>0.3</v>
      </c>
      <c r="AM1889">
        <v>0</v>
      </c>
      <c r="AN1889" s="2">
        <f>IF((2*G1889+M1889-O1889+3*V1889+2*AB1889+2*AE1889+2*AH1889+3*AJ1889)&gt;=7,1,0)</f>
        <v>0</v>
      </c>
    </row>
    <row r="1890" spans="1:40" x14ac:dyDescent="0.25">
      <c r="A1890" t="s">
        <v>27</v>
      </c>
      <c r="B1890" s="1">
        <v>42479</v>
      </c>
      <c r="C1890" s="6">
        <f t="shared" si="290"/>
        <v>2016</v>
      </c>
      <c r="D1890">
        <v>75.2</v>
      </c>
      <c r="E1890">
        <v>53.6</v>
      </c>
      <c r="F1890">
        <v>65.3</v>
      </c>
      <c r="G1890" s="2">
        <f t="shared" si="291"/>
        <v>0</v>
      </c>
      <c r="H1890">
        <v>75.2</v>
      </c>
      <c r="I1890">
        <v>53.6</v>
      </c>
      <c r="J1890">
        <v>65.3</v>
      </c>
      <c r="K1890">
        <v>48.4</v>
      </c>
      <c r="L1890">
        <v>55.9</v>
      </c>
      <c r="M1890" s="2">
        <f t="shared" si="292"/>
        <v>1</v>
      </c>
      <c r="N1890">
        <v>0</v>
      </c>
      <c r="O1890" s="2">
        <f t="shared" si="293"/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15</v>
      </c>
      <c r="V1890" s="2">
        <f t="shared" si="294"/>
        <v>1</v>
      </c>
      <c r="W1890">
        <v>9.1999999999999993</v>
      </c>
      <c r="X1890" s="2">
        <f t="shared" si="295"/>
        <v>0</v>
      </c>
      <c r="Y1890">
        <v>131.4</v>
      </c>
      <c r="Z1890" s="2" t="str">
        <f>CHOOSE(MATCH(Y1890,{0;11;80;111;161;191;241;281;341},1),"North","NorthEast","East","SouthEast","South","SouthWest","West","NorthWest","North")</f>
        <v>SouthEast</v>
      </c>
      <c r="AA1890" s="4">
        <f>CHOOSE(MATCH(Z1890,{"South";"SouthEast";"SouthWest";"North";"NorthEast";"East";"West";"NorthWest"},0),1,2,3,4,5,6,7,8)</f>
        <v>2</v>
      </c>
      <c r="AB1890" s="2">
        <f t="shared" si="296"/>
        <v>0</v>
      </c>
      <c r="AC1890">
        <v>1015.8</v>
      </c>
      <c r="AD1890" t="s">
        <v>2588</v>
      </c>
      <c r="AE1890" s="2">
        <f t="shared" si="297"/>
        <v>1</v>
      </c>
      <c r="AF1890" t="s">
        <v>2589</v>
      </c>
      <c r="AG1890" s="2">
        <f t="shared" si="298"/>
        <v>4</v>
      </c>
      <c r="AH1890" s="2">
        <f t="shared" si="299"/>
        <v>0</v>
      </c>
      <c r="AI1890" s="3">
        <v>64.000000009546056</v>
      </c>
      <c r="AJ1890" s="2">
        <v>0</v>
      </c>
      <c r="AK1890">
        <v>0</v>
      </c>
      <c r="AL1890">
        <v>0.5</v>
      </c>
      <c r="AM1890">
        <v>0</v>
      </c>
      <c r="AN1890" s="2">
        <f>IF((2*G1890+M1890-O1890+3*V1890+2*AB1890+2*AE1890+2*AH1890+3*AJ1890)&gt;=7,1,0)</f>
        <v>0</v>
      </c>
    </row>
    <row r="1891" spans="1:40" x14ac:dyDescent="0.25">
      <c r="A1891" t="s">
        <v>27</v>
      </c>
      <c r="B1891" s="1">
        <v>42479</v>
      </c>
      <c r="C1891" s="6">
        <f t="shared" si="290"/>
        <v>2016</v>
      </c>
      <c r="D1891">
        <v>75.2</v>
      </c>
      <c r="E1891">
        <v>53.6</v>
      </c>
      <c r="F1891">
        <v>65.3</v>
      </c>
      <c r="G1891" s="2">
        <f t="shared" si="291"/>
        <v>0</v>
      </c>
      <c r="H1891">
        <v>75.2</v>
      </c>
      <c r="I1891">
        <v>53.6</v>
      </c>
      <c r="J1891">
        <v>65.3</v>
      </c>
      <c r="K1891">
        <v>48.4</v>
      </c>
      <c r="L1891">
        <v>55.9</v>
      </c>
      <c r="M1891" s="2">
        <f t="shared" si="292"/>
        <v>1</v>
      </c>
      <c r="N1891">
        <v>0</v>
      </c>
      <c r="O1891" s="2">
        <f t="shared" si="293"/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15</v>
      </c>
      <c r="V1891" s="2">
        <f t="shared" si="294"/>
        <v>1</v>
      </c>
      <c r="W1891">
        <v>9.1999999999999993</v>
      </c>
      <c r="X1891" s="2">
        <f t="shared" si="295"/>
        <v>0</v>
      </c>
      <c r="Y1891">
        <v>131.4</v>
      </c>
      <c r="Z1891" s="2" t="str">
        <f>CHOOSE(MATCH(Y1891,{0;11;80;111;161;191;241;281;341},1),"North","NorthEast","East","SouthEast","South","SouthWest","West","NorthWest","North")</f>
        <v>SouthEast</v>
      </c>
      <c r="AA1891" s="4">
        <f>CHOOSE(MATCH(Z1891,{"South";"SouthEast";"SouthWest";"North";"NorthEast";"East";"West";"NorthWest"},0),1,2,3,4,5,6,7,8)</f>
        <v>2</v>
      </c>
      <c r="AB1891" s="2">
        <f t="shared" si="296"/>
        <v>0</v>
      </c>
      <c r="AC1891">
        <v>1015.8</v>
      </c>
      <c r="AD1891" t="s">
        <v>2324</v>
      </c>
      <c r="AE1891" s="2">
        <f t="shared" si="297"/>
        <v>1</v>
      </c>
      <c r="AF1891" t="s">
        <v>2590</v>
      </c>
      <c r="AG1891" s="2">
        <f t="shared" si="298"/>
        <v>4</v>
      </c>
      <c r="AH1891" s="2">
        <f t="shared" si="299"/>
        <v>0</v>
      </c>
      <c r="AI1891" s="3">
        <v>1306.0000000032601</v>
      </c>
      <c r="AJ1891" s="2">
        <v>1</v>
      </c>
      <c r="AK1891">
        <v>0</v>
      </c>
      <c r="AL1891">
        <v>7</v>
      </c>
      <c r="AM1891">
        <v>0</v>
      </c>
      <c r="AN1891" s="2">
        <f>IF((2*G1891+M1891-O1891+3*V1891+2*AB1891+2*AE1891+2*AH1891+3*AJ1891)&gt;=7,1,0)</f>
        <v>1</v>
      </c>
    </row>
    <row r="1892" spans="1:40" x14ac:dyDescent="0.25">
      <c r="A1892" t="s">
        <v>27</v>
      </c>
      <c r="B1892" s="1">
        <v>42481</v>
      </c>
      <c r="C1892" s="6">
        <f t="shared" si="290"/>
        <v>2016</v>
      </c>
      <c r="D1892">
        <v>71.599999999999994</v>
      </c>
      <c r="E1892">
        <v>59.4</v>
      </c>
      <c r="F1892">
        <v>66.7</v>
      </c>
      <c r="G1892" s="2">
        <f t="shared" si="291"/>
        <v>0</v>
      </c>
      <c r="H1892">
        <v>71.599999999999994</v>
      </c>
      <c r="I1892">
        <v>59.4</v>
      </c>
      <c r="J1892">
        <v>66.7</v>
      </c>
      <c r="K1892">
        <v>56.1</v>
      </c>
      <c r="L1892">
        <v>69.8</v>
      </c>
      <c r="M1892" s="2">
        <f t="shared" si="292"/>
        <v>0</v>
      </c>
      <c r="N1892">
        <v>0</v>
      </c>
      <c r="O1892" s="2">
        <f t="shared" si="293"/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37.1</v>
      </c>
      <c r="V1892" s="2">
        <f t="shared" si="294"/>
        <v>1</v>
      </c>
      <c r="W1892">
        <v>19.7</v>
      </c>
      <c r="X1892" s="2">
        <f t="shared" si="295"/>
        <v>1</v>
      </c>
      <c r="Y1892">
        <v>330.8</v>
      </c>
      <c r="Z1892" s="2" t="str">
        <f>CHOOSE(MATCH(Y1892,{0;11;80;111;161;191;241;281;341},1),"North","NorthEast","East","SouthEast","South","SouthWest","West","NorthWest","North")</f>
        <v>NorthWest</v>
      </c>
      <c r="AA1892" s="4">
        <f>CHOOSE(MATCH(Z1892,{"South";"SouthEast";"SouthWest";"North";"NorthEast";"East";"West";"NorthWest"},0),1,2,3,4,5,6,7,8)</f>
        <v>8</v>
      </c>
      <c r="AB1892" s="2">
        <f t="shared" si="296"/>
        <v>1</v>
      </c>
      <c r="AC1892">
        <v>1018.8</v>
      </c>
      <c r="AD1892" t="s">
        <v>2591</v>
      </c>
      <c r="AE1892" s="2">
        <f t="shared" si="297"/>
        <v>1</v>
      </c>
      <c r="AF1892" t="s">
        <v>2592</v>
      </c>
      <c r="AG1892" s="2">
        <f t="shared" si="298"/>
        <v>4</v>
      </c>
      <c r="AH1892" s="2">
        <f t="shared" si="299"/>
        <v>0</v>
      </c>
      <c r="AI1892" s="3">
        <v>20220.999999999771</v>
      </c>
      <c r="AJ1892" s="2">
        <v>1</v>
      </c>
      <c r="AK1892">
        <v>0</v>
      </c>
      <c r="AL1892">
        <v>500</v>
      </c>
      <c r="AM1892">
        <v>0</v>
      </c>
      <c r="AN1892" s="2">
        <f>IF((2*G1892+M1892-O1892+3*V1892+2*AB1892+2*AE1892+2*AH1892+3*AJ1892)&gt;=7,1,0)</f>
        <v>1</v>
      </c>
    </row>
    <row r="1893" spans="1:40" x14ac:dyDescent="0.25">
      <c r="A1893" t="s">
        <v>27</v>
      </c>
      <c r="B1893" s="1">
        <v>42481</v>
      </c>
      <c r="C1893" s="6">
        <f t="shared" si="290"/>
        <v>2016</v>
      </c>
      <c r="D1893">
        <v>71.599999999999994</v>
      </c>
      <c r="E1893">
        <v>59.4</v>
      </c>
      <c r="F1893">
        <v>66.7</v>
      </c>
      <c r="G1893" s="2">
        <f t="shared" si="291"/>
        <v>0</v>
      </c>
      <c r="H1893">
        <v>71.599999999999994</v>
      </c>
      <c r="I1893">
        <v>59.4</v>
      </c>
      <c r="J1893">
        <v>66.7</v>
      </c>
      <c r="K1893">
        <v>56.1</v>
      </c>
      <c r="L1893">
        <v>69.8</v>
      </c>
      <c r="M1893" s="2">
        <f t="shared" si="292"/>
        <v>0</v>
      </c>
      <c r="N1893">
        <v>0</v>
      </c>
      <c r="O1893" s="2">
        <f t="shared" si="293"/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37.1</v>
      </c>
      <c r="V1893" s="2">
        <f t="shared" si="294"/>
        <v>1</v>
      </c>
      <c r="W1893">
        <v>19.7</v>
      </c>
      <c r="X1893" s="2">
        <f t="shared" si="295"/>
        <v>1</v>
      </c>
      <c r="Y1893">
        <v>330.8</v>
      </c>
      <c r="Z1893" s="2" t="str">
        <f>CHOOSE(MATCH(Y1893,{0;11;80;111;161;191;241;281;341},1),"North","NorthEast","East","SouthEast","South","SouthWest","West","NorthWest","North")</f>
        <v>NorthWest</v>
      </c>
      <c r="AA1893" s="4">
        <f>CHOOSE(MATCH(Z1893,{"South";"SouthEast";"SouthWest";"North";"NorthEast";"East";"West";"NorthWest"},0),1,2,3,4,5,6,7,8)</f>
        <v>8</v>
      </c>
      <c r="AB1893" s="2">
        <f t="shared" si="296"/>
        <v>1</v>
      </c>
      <c r="AC1893">
        <v>1018.8</v>
      </c>
      <c r="AD1893" t="s">
        <v>1264</v>
      </c>
      <c r="AE1893" s="2">
        <f t="shared" si="297"/>
        <v>1</v>
      </c>
      <c r="AF1893" t="s">
        <v>2593</v>
      </c>
      <c r="AG1893" s="2">
        <f t="shared" si="298"/>
        <v>4</v>
      </c>
      <c r="AH1893" s="2">
        <f t="shared" si="299"/>
        <v>0</v>
      </c>
      <c r="AI1893" s="3">
        <v>6030</v>
      </c>
      <c r="AJ1893" s="2">
        <v>1</v>
      </c>
      <c r="AK1893">
        <v>0</v>
      </c>
      <c r="AL1893">
        <v>700</v>
      </c>
      <c r="AM1893">
        <v>0</v>
      </c>
      <c r="AN1893" s="2">
        <f>IF((2*G1893+M1893-O1893+3*V1893+2*AB1893+2*AE1893+2*AH1893+3*AJ1893)&gt;=7,1,0)</f>
        <v>1</v>
      </c>
    </row>
    <row r="1894" spans="1:40" x14ac:dyDescent="0.25">
      <c r="A1894" t="s">
        <v>27</v>
      </c>
      <c r="B1894" s="1">
        <v>42482</v>
      </c>
      <c r="C1894" s="6">
        <f t="shared" si="290"/>
        <v>2016</v>
      </c>
      <c r="D1894">
        <v>69</v>
      </c>
      <c r="E1894">
        <v>54.2</v>
      </c>
      <c r="F1894">
        <v>62.6</v>
      </c>
      <c r="G1894" s="2">
        <f t="shared" si="291"/>
        <v>0</v>
      </c>
      <c r="H1894">
        <v>69</v>
      </c>
      <c r="I1894">
        <v>54.2</v>
      </c>
      <c r="J1894">
        <v>62.6</v>
      </c>
      <c r="K1894">
        <v>50.5</v>
      </c>
      <c r="L1894">
        <v>65.3</v>
      </c>
      <c r="M1894" s="2">
        <f t="shared" si="292"/>
        <v>1</v>
      </c>
      <c r="N1894">
        <v>0</v>
      </c>
      <c r="O1894" s="2">
        <f t="shared" si="293"/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18.600000000000001</v>
      </c>
      <c r="V1894" s="2">
        <f t="shared" si="294"/>
        <v>1</v>
      </c>
      <c r="W1894">
        <v>12.7</v>
      </c>
      <c r="X1894" s="2">
        <f t="shared" si="295"/>
        <v>0</v>
      </c>
      <c r="Y1894">
        <v>325.8</v>
      </c>
      <c r="Z1894" s="2" t="str">
        <f>CHOOSE(MATCH(Y1894,{0;11;80;111;161;191;241;281;341},1),"North","NorthEast","East","SouthEast","South","SouthWest","West","NorthWest","North")</f>
        <v>NorthWest</v>
      </c>
      <c r="AA1894" s="4">
        <f>CHOOSE(MATCH(Z1894,{"South";"SouthEast";"SouthWest";"North";"NorthEast";"East";"West";"NorthWest"},0),1,2,3,4,5,6,7,8)</f>
        <v>8</v>
      </c>
      <c r="AB1894" s="2">
        <f t="shared" si="296"/>
        <v>1</v>
      </c>
      <c r="AC1894">
        <v>1018.3</v>
      </c>
      <c r="AD1894" t="s">
        <v>1274</v>
      </c>
      <c r="AE1894" s="2">
        <f t="shared" si="297"/>
        <v>1</v>
      </c>
      <c r="AF1894" t="s">
        <v>2594</v>
      </c>
      <c r="AG1894" s="2">
        <f t="shared" si="298"/>
        <v>4</v>
      </c>
      <c r="AH1894" s="2">
        <f t="shared" si="299"/>
        <v>0</v>
      </c>
      <c r="AI1894" s="3">
        <v>110.00000000232831</v>
      </c>
      <c r="AJ1894" s="2">
        <v>0</v>
      </c>
      <c r="AK1894">
        <v>0</v>
      </c>
      <c r="AL1894">
        <v>1</v>
      </c>
      <c r="AM1894">
        <v>0</v>
      </c>
      <c r="AN1894" s="2">
        <f>IF((2*G1894+M1894-O1894+3*V1894+2*AB1894+2*AE1894+2*AH1894+3*AJ1894)&gt;=7,1,0)</f>
        <v>1</v>
      </c>
    </row>
    <row r="1895" spans="1:40" x14ac:dyDescent="0.25">
      <c r="A1895" t="s">
        <v>27</v>
      </c>
      <c r="B1895" s="1">
        <v>42482</v>
      </c>
      <c r="C1895" s="6">
        <f t="shared" si="290"/>
        <v>2016</v>
      </c>
      <c r="D1895">
        <v>69</v>
      </c>
      <c r="E1895">
        <v>54.2</v>
      </c>
      <c r="F1895">
        <v>62.6</v>
      </c>
      <c r="G1895" s="2">
        <f t="shared" si="291"/>
        <v>0</v>
      </c>
      <c r="H1895">
        <v>69</v>
      </c>
      <c r="I1895">
        <v>54.2</v>
      </c>
      <c r="J1895">
        <v>62.6</v>
      </c>
      <c r="K1895">
        <v>50.5</v>
      </c>
      <c r="L1895">
        <v>65.3</v>
      </c>
      <c r="M1895" s="2">
        <f t="shared" si="292"/>
        <v>1</v>
      </c>
      <c r="N1895">
        <v>0</v>
      </c>
      <c r="O1895" s="2">
        <f t="shared" si="293"/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18.600000000000001</v>
      </c>
      <c r="V1895" s="2">
        <f t="shared" si="294"/>
        <v>1</v>
      </c>
      <c r="W1895">
        <v>12.7</v>
      </c>
      <c r="X1895" s="2">
        <f t="shared" si="295"/>
        <v>0</v>
      </c>
      <c r="Y1895">
        <v>325.8</v>
      </c>
      <c r="Z1895" s="2" t="str">
        <f>CHOOSE(MATCH(Y1895,{0;11;80;111;161;191;241;281;341},1),"North","NorthEast","East","SouthEast","South","SouthWest","West","NorthWest","North")</f>
        <v>NorthWest</v>
      </c>
      <c r="AA1895" s="4">
        <f>CHOOSE(MATCH(Z1895,{"South";"SouthEast";"SouthWest";"North";"NorthEast";"East";"West";"NorthWest"},0),1,2,3,4,5,6,7,8)</f>
        <v>8</v>
      </c>
      <c r="AB1895" s="2">
        <f t="shared" si="296"/>
        <v>1</v>
      </c>
      <c r="AC1895">
        <v>1018.3</v>
      </c>
      <c r="AD1895" t="s">
        <v>2595</v>
      </c>
      <c r="AE1895" s="2">
        <f t="shared" si="297"/>
        <v>1</v>
      </c>
      <c r="AF1895" t="s">
        <v>2596</v>
      </c>
      <c r="AG1895" s="2">
        <f t="shared" si="298"/>
        <v>4</v>
      </c>
      <c r="AH1895" s="2">
        <f t="shared" si="299"/>
        <v>0</v>
      </c>
      <c r="AI1895" s="3">
        <v>71.000000000931323</v>
      </c>
      <c r="AJ1895" s="2">
        <v>0</v>
      </c>
      <c r="AK1895">
        <v>0</v>
      </c>
      <c r="AL1895">
        <v>1</v>
      </c>
      <c r="AM1895">
        <v>0</v>
      </c>
      <c r="AN1895" s="2">
        <f>IF((2*G1895+M1895-O1895+3*V1895+2*AB1895+2*AE1895+2*AH1895+3*AJ1895)&gt;=7,1,0)</f>
        <v>1</v>
      </c>
    </row>
    <row r="1896" spans="1:40" x14ac:dyDescent="0.25">
      <c r="A1896" t="s">
        <v>27</v>
      </c>
      <c r="B1896" s="1">
        <v>42483</v>
      </c>
      <c r="C1896" s="6">
        <f t="shared" si="290"/>
        <v>2016</v>
      </c>
      <c r="D1896">
        <v>71.599999999999994</v>
      </c>
      <c r="E1896">
        <v>55.1</v>
      </c>
      <c r="F1896">
        <v>63.2</v>
      </c>
      <c r="G1896" s="2">
        <f t="shared" si="291"/>
        <v>0</v>
      </c>
      <c r="H1896">
        <v>71.599999999999994</v>
      </c>
      <c r="I1896">
        <v>55.1</v>
      </c>
      <c r="J1896">
        <v>63.2</v>
      </c>
      <c r="K1896">
        <v>53.6</v>
      </c>
      <c r="L1896">
        <v>71.8</v>
      </c>
      <c r="M1896" s="2">
        <f t="shared" si="292"/>
        <v>0</v>
      </c>
      <c r="N1896">
        <v>0</v>
      </c>
      <c r="O1896" s="2">
        <f t="shared" si="293"/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25.3</v>
      </c>
      <c r="V1896" s="2">
        <f t="shared" si="294"/>
        <v>1</v>
      </c>
      <c r="W1896">
        <v>12.7</v>
      </c>
      <c r="X1896" s="2">
        <f t="shared" si="295"/>
        <v>0</v>
      </c>
      <c r="Y1896">
        <v>73.7</v>
      </c>
      <c r="Z1896" s="2" t="str">
        <f>CHOOSE(MATCH(Y1896,{0;11;80;111;161;191;241;281;341},1),"North","NorthEast","East","SouthEast","South","SouthWest","West","NorthWest","North")</f>
        <v>NorthEast</v>
      </c>
      <c r="AA1896" s="4">
        <f>CHOOSE(MATCH(Z1896,{"South";"SouthEast";"SouthWest";"North";"NorthEast";"East";"West";"NorthWest"},0),1,2,3,4,5,6,7,8)</f>
        <v>5</v>
      </c>
      <c r="AB1896" s="2">
        <f t="shared" si="296"/>
        <v>1</v>
      </c>
      <c r="AC1896">
        <v>1011.5</v>
      </c>
      <c r="AD1896" t="s">
        <v>1781</v>
      </c>
      <c r="AE1896" s="2">
        <f t="shared" si="297"/>
        <v>1</v>
      </c>
      <c r="AF1896" t="s">
        <v>2597</v>
      </c>
      <c r="AG1896" s="2">
        <f t="shared" si="298"/>
        <v>4</v>
      </c>
      <c r="AH1896" s="2">
        <f t="shared" si="299"/>
        <v>0</v>
      </c>
      <c r="AI1896" s="3">
        <v>1405.0000000011639</v>
      </c>
      <c r="AJ1896" s="2">
        <v>1</v>
      </c>
      <c r="AK1896">
        <v>0</v>
      </c>
      <c r="AL1896">
        <v>15</v>
      </c>
      <c r="AM1896">
        <v>0</v>
      </c>
      <c r="AN1896" s="2">
        <f>IF((2*G1896+M1896-O1896+3*V1896+2*AB1896+2*AE1896+2*AH1896+3*AJ1896)&gt;=7,1,0)</f>
        <v>1</v>
      </c>
    </row>
    <row r="1897" spans="1:40" x14ac:dyDescent="0.25">
      <c r="A1897" t="s">
        <v>27</v>
      </c>
      <c r="B1897" s="1">
        <v>42486</v>
      </c>
      <c r="C1897" s="6">
        <f t="shared" si="290"/>
        <v>2016</v>
      </c>
      <c r="D1897">
        <v>68</v>
      </c>
      <c r="E1897">
        <v>58</v>
      </c>
      <c r="F1897">
        <v>63</v>
      </c>
      <c r="G1897" s="2">
        <f t="shared" si="291"/>
        <v>0</v>
      </c>
      <c r="H1897">
        <v>68</v>
      </c>
      <c r="I1897">
        <v>58</v>
      </c>
      <c r="J1897">
        <v>63</v>
      </c>
      <c r="K1897">
        <v>51.1</v>
      </c>
      <c r="L1897">
        <v>66.599999999999994</v>
      </c>
      <c r="M1897" s="2">
        <f t="shared" si="292"/>
        <v>0</v>
      </c>
      <c r="N1897">
        <v>0</v>
      </c>
      <c r="O1897" s="2">
        <f t="shared" si="293"/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33.6</v>
      </c>
      <c r="V1897" s="2">
        <f t="shared" si="294"/>
        <v>1</v>
      </c>
      <c r="W1897">
        <v>34.4</v>
      </c>
      <c r="X1897" s="2">
        <f t="shared" si="295"/>
        <v>1</v>
      </c>
      <c r="Y1897">
        <v>292.2</v>
      </c>
      <c r="Z1897" s="2" t="str">
        <f>CHOOSE(MATCH(Y1897,{0;11;80;111;161;191;241;281;341},1),"North","NorthEast","East","SouthEast","South","SouthWest","West","NorthWest","North")</f>
        <v>NorthWest</v>
      </c>
      <c r="AA1897" s="4">
        <f>CHOOSE(MATCH(Z1897,{"South";"SouthEast";"SouthWest";"North";"NorthEast";"East";"West";"NorthWest"},0),1,2,3,4,5,6,7,8)</f>
        <v>8</v>
      </c>
      <c r="AB1897" s="2">
        <f t="shared" si="296"/>
        <v>1</v>
      </c>
      <c r="AC1897">
        <v>1007.8</v>
      </c>
      <c r="AD1897" t="s">
        <v>2598</v>
      </c>
      <c r="AE1897" s="2">
        <f t="shared" si="297"/>
        <v>1</v>
      </c>
      <c r="AF1897" t="s">
        <v>2599</v>
      </c>
      <c r="AG1897" s="2">
        <f t="shared" si="298"/>
        <v>4</v>
      </c>
      <c r="AH1897" s="2">
        <f t="shared" si="299"/>
        <v>0</v>
      </c>
      <c r="AI1897" s="3">
        <v>0</v>
      </c>
      <c r="AJ1897" s="2">
        <v>0</v>
      </c>
      <c r="AK1897">
        <v>0</v>
      </c>
      <c r="AL1897">
        <v>2.5</v>
      </c>
      <c r="AM1897">
        <v>0</v>
      </c>
      <c r="AN1897" s="2">
        <f>IF((2*G1897+M1897-O1897+3*V1897+2*AB1897+2*AE1897+2*AH1897+3*AJ1897)&gt;=7,1,0)</f>
        <v>0</v>
      </c>
    </row>
    <row r="1898" spans="1:40" x14ac:dyDescent="0.25">
      <c r="A1898" t="s">
        <v>27</v>
      </c>
      <c r="B1898" s="1">
        <v>42486</v>
      </c>
      <c r="C1898" s="6">
        <f t="shared" si="290"/>
        <v>2016</v>
      </c>
      <c r="D1898">
        <v>68</v>
      </c>
      <c r="E1898">
        <v>58</v>
      </c>
      <c r="F1898">
        <v>63</v>
      </c>
      <c r="G1898" s="2">
        <f t="shared" si="291"/>
        <v>0</v>
      </c>
      <c r="H1898">
        <v>68</v>
      </c>
      <c r="I1898">
        <v>58</v>
      </c>
      <c r="J1898">
        <v>63</v>
      </c>
      <c r="K1898">
        <v>51.1</v>
      </c>
      <c r="L1898">
        <v>66.599999999999994</v>
      </c>
      <c r="M1898" s="2">
        <f t="shared" si="292"/>
        <v>0</v>
      </c>
      <c r="N1898">
        <v>0</v>
      </c>
      <c r="O1898" s="2">
        <f t="shared" si="293"/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33.6</v>
      </c>
      <c r="V1898" s="2">
        <f t="shared" si="294"/>
        <v>1</v>
      </c>
      <c r="W1898">
        <v>34.4</v>
      </c>
      <c r="X1898" s="2">
        <f t="shared" si="295"/>
        <v>1</v>
      </c>
      <c r="Y1898">
        <v>292.2</v>
      </c>
      <c r="Z1898" s="2" t="str">
        <f>CHOOSE(MATCH(Y1898,{0;11;80;111;161;191;241;281;341},1),"North","NorthEast","East","SouthEast","South","SouthWest","West","NorthWest","North")</f>
        <v>NorthWest</v>
      </c>
      <c r="AA1898" s="4">
        <f>CHOOSE(MATCH(Z1898,{"South";"SouthEast";"SouthWest";"North";"NorthEast";"East";"West";"NorthWest"},0),1,2,3,4,5,6,7,8)</f>
        <v>8</v>
      </c>
      <c r="AB1898" s="2">
        <f t="shared" si="296"/>
        <v>1</v>
      </c>
      <c r="AC1898">
        <v>1007.8</v>
      </c>
      <c r="AD1898" t="s">
        <v>2434</v>
      </c>
      <c r="AE1898" s="2">
        <f t="shared" si="297"/>
        <v>1</v>
      </c>
      <c r="AF1898" t="s">
        <v>2600</v>
      </c>
      <c r="AG1898" s="2">
        <f t="shared" si="298"/>
        <v>4</v>
      </c>
      <c r="AH1898" s="2">
        <f t="shared" si="299"/>
        <v>0</v>
      </c>
      <c r="AI1898" s="3">
        <v>145.9999999939464</v>
      </c>
      <c r="AJ1898" s="2">
        <v>0</v>
      </c>
      <c r="AK1898">
        <v>0</v>
      </c>
      <c r="AL1898">
        <v>0.1</v>
      </c>
      <c r="AM1898">
        <v>0</v>
      </c>
      <c r="AN1898" s="2">
        <f>IF((2*G1898+M1898-O1898+3*V1898+2*AB1898+2*AE1898+2*AH1898+3*AJ1898)&gt;=7,1,0)</f>
        <v>0</v>
      </c>
    </row>
    <row r="1899" spans="1:40" x14ac:dyDescent="0.25">
      <c r="A1899" t="s">
        <v>27</v>
      </c>
      <c r="B1899" s="1">
        <v>42489</v>
      </c>
      <c r="C1899" s="6">
        <f t="shared" si="290"/>
        <v>2016</v>
      </c>
      <c r="D1899">
        <v>86</v>
      </c>
      <c r="E1899">
        <v>59</v>
      </c>
      <c r="F1899">
        <v>71</v>
      </c>
      <c r="G1899" s="2">
        <f t="shared" si="291"/>
        <v>1</v>
      </c>
      <c r="H1899">
        <v>83.2</v>
      </c>
      <c r="I1899">
        <v>59</v>
      </c>
      <c r="J1899">
        <v>70.599999999999994</v>
      </c>
      <c r="K1899">
        <v>43.5</v>
      </c>
      <c r="L1899">
        <v>40.200000000000003</v>
      </c>
      <c r="M1899" s="2">
        <f t="shared" si="292"/>
        <v>1</v>
      </c>
      <c r="N1899">
        <v>0</v>
      </c>
      <c r="O1899" s="2">
        <f t="shared" si="293"/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36.9</v>
      </c>
      <c r="V1899" s="2">
        <f t="shared" si="294"/>
        <v>1</v>
      </c>
      <c r="W1899">
        <v>21.9</v>
      </c>
      <c r="X1899" s="2">
        <f t="shared" si="295"/>
        <v>1</v>
      </c>
      <c r="Y1899">
        <v>159.9</v>
      </c>
      <c r="Z1899" s="2" t="str">
        <f>CHOOSE(MATCH(Y1899,{0;11;80;111;161;191;241;281;341},1),"North","NorthEast","East","SouthEast","South","SouthWest","West","NorthWest","North")</f>
        <v>SouthEast</v>
      </c>
      <c r="AA1899" s="4">
        <f>CHOOSE(MATCH(Z1899,{"South";"SouthEast";"SouthWest";"North";"NorthEast";"East";"West";"NorthWest"},0),1,2,3,4,5,6,7,8)</f>
        <v>2</v>
      </c>
      <c r="AB1899" s="2">
        <f t="shared" si="296"/>
        <v>0</v>
      </c>
      <c r="AC1899">
        <v>1013.4</v>
      </c>
      <c r="AD1899" t="s">
        <v>1107</v>
      </c>
      <c r="AE1899" s="2">
        <f t="shared" si="297"/>
        <v>1</v>
      </c>
      <c r="AF1899" t="s">
        <v>2601</v>
      </c>
      <c r="AG1899" s="2">
        <f t="shared" si="298"/>
        <v>4</v>
      </c>
      <c r="AH1899" s="2">
        <f t="shared" si="299"/>
        <v>0</v>
      </c>
      <c r="AI1899" s="3">
        <v>454.99999999534339</v>
      </c>
      <c r="AJ1899" s="2">
        <v>1</v>
      </c>
      <c r="AK1899">
        <v>0</v>
      </c>
      <c r="AL1899">
        <v>15</v>
      </c>
      <c r="AM1899">
        <v>0</v>
      </c>
      <c r="AN1899" s="2">
        <f>IF((2*G1899+M1899-O1899+3*V1899+2*AB1899+2*AE1899+2*AH1899+3*AJ1899)&gt;=7,1,0)</f>
        <v>1</v>
      </c>
    </row>
    <row r="1900" spans="1:40" x14ac:dyDescent="0.25">
      <c r="A1900" t="s">
        <v>27</v>
      </c>
      <c r="B1900" s="1">
        <v>42489</v>
      </c>
      <c r="C1900" s="6">
        <f t="shared" si="290"/>
        <v>2016</v>
      </c>
      <c r="D1900">
        <v>86</v>
      </c>
      <c r="E1900">
        <v>59</v>
      </c>
      <c r="F1900">
        <v>71</v>
      </c>
      <c r="G1900" s="2">
        <f t="shared" si="291"/>
        <v>1</v>
      </c>
      <c r="H1900">
        <v>83.2</v>
      </c>
      <c r="I1900">
        <v>59</v>
      </c>
      <c r="J1900">
        <v>70.599999999999994</v>
      </c>
      <c r="K1900">
        <v>43.5</v>
      </c>
      <c r="L1900">
        <v>40.200000000000003</v>
      </c>
      <c r="M1900" s="2">
        <f t="shared" si="292"/>
        <v>1</v>
      </c>
      <c r="N1900">
        <v>0</v>
      </c>
      <c r="O1900" s="2">
        <f t="shared" si="293"/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36.9</v>
      </c>
      <c r="V1900" s="2">
        <f t="shared" si="294"/>
        <v>1</v>
      </c>
      <c r="W1900">
        <v>21.9</v>
      </c>
      <c r="X1900" s="2">
        <f t="shared" si="295"/>
        <v>1</v>
      </c>
      <c r="Y1900">
        <v>159.9</v>
      </c>
      <c r="Z1900" s="2" t="str">
        <f>CHOOSE(MATCH(Y1900,{0;11;80;111;161;191;241;281;341},1),"North","NorthEast","East","SouthEast","South","SouthWest","West","NorthWest","North")</f>
        <v>SouthEast</v>
      </c>
      <c r="AA1900" s="4">
        <f>CHOOSE(MATCH(Z1900,{"South";"SouthEast";"SouthWest";"North";"NorthEast";"East";"West";"NorthWest"},0),1,2,3,4,5,6,7,8)</f>
        <v>2</v>
      </c>
      <c r="AB1900" s="2">
        <f t="shared" si="296"/>
        <v>0</v>
      </c>
      <c r="AC1900">
        <v>1013.4</v>
      </c>
      <c r="AD1900" t="s">
        <v>2602</v>
      </c>
      <c r="AE1900" s="2">
        <f t="shared" si="297"/>
        <v>0</v>
      </c>
      <c r="AF1900" t="s">
        <v>2603</v>
      </c>
      <c r="AG1900" s="2">
        <f t="shared" si="298"/>
        <v>4</v>
      </c>
      <c r="AH1900" s="2">
        <f t="shared" si="299"/>
        <v>0</v>
      </c>
      <c r="AI1900" s="3">
        <v>281.99999999720598</v>
      </c>
      <c r="AJ1900" s="2">
        <v>0</v>
      </c>
      <c r="AK1900">
        <v>0</v>
      </c>
      <c r="AL1900">
        <v>5</v>
      </c>
      <c r="AM1900">
        <v>0</v>
      </c>
      <c r="AN1900" s="2">
        <f>IF((2*G1900+M1900-O1900+3*V1900+2*AB1900+2*AE1900+2*AH1900+3*AJ1900)&gt;=7,1,0)</f>
        <v>0</v>
      </c>
    </row>
    <row r="1901" spans="1:40" x14ac:dyDescent="0.25">
      <c r="A1901" t="s">
        <v>27</v>
      </c>
      <c r="B1901" s="1">
        <v>42489</v>
      </c>
      <c r="C1901" s="6">
        <f t="shared" si="290"/>
        <v>2016</v>
      </c>
      <c r="D1901">
        <v>86</v>
      </c>
      <c r="E1901">
        <v>59</v>
      </c>
      <c r="F1901">
        <v>71</v>
      </c>
      <c r="G1901" s="2">
        <f t="shared" si="291"/>
        <v>1</v>
      </c>
      <c r="H1901">
        <v>83.2</v>
      </c>
      <c r="I1901">
        <v>59</v>
      </c>
      <c r="J1901">
        <v>70.599999999999994</v>
      </c>
      <c r="K1901">
        <v>43.5</v>
      </c>
      <c r="L1901">
        <v>40.200000000000003</v>
      </c>
      <c r="M1901" s="2">
        <f t="shared" si="292"/>
        <v>1</v>
      </c>
      <c r="N1901">
        <v>0</v>
      </c>
      <c r="O1901" s="2">
        <f t="shared" si="293"/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36.9</v>
      </c>
      <c r="V1901" s="2">
        <f t="shared" si="294"/>
        <v>1</v>
      </c>
      <c r="W1901">
        <v>21.9</v>
      </c>
      <c r="X1901" s="2">
        <f t="shared" si="295"/>
        <v>1</v>
      </c>
      <c r="Y1901">
        <v>159.9</v>
      </c>
      <c r="Z1901" s="2" t="str">
        <f>CHOOSE(MATCH(Y1901,{0;11;80;111;161;191;241;281;341},1),"North","NorthEast","East","SouthEast","South","SouthWest","West","NorthWest","North")</f>
        <v>SouthEast</v>
      </c>
      <c r="AA1901" s="4">
        <f>CHOOSE(MATCH(Z1901,{"South";"SouthEast";"SouthWest";"North";"NorthEast";"East";"West";"NorthWest"},0),1,2,3,4,5,6,7,8)</f>
        <v>2</v>
      </c>
      <c r="AB1901" s="2">
        <f t="shared" si="296"/>
        <v>0</v>
      </c>
      <c r="AC1901">
        <v>1013.4</v>
      </c>
      <c r="AD1901" t="s">
        <v>2335</v>
      </c>
      <c r="AE1901" s="2">
        <f t="shared" si="297"/>
        <v>1</v>
      </c>
      <c r="AF1901" t="s">
        <v>2604</v>
      </c>
      <c r="AG1901" s="2">
        <f t="shared" si="298"/>
        <v>4</v>
      </c>
      <c r="AH1901" s="2">
        <f t="shared" si="299"/>
        <v>0</v>
      </c>
      <c r="AI1901" s="3">
        <v>660.00000000349246</v>
      </c>
      <c r="AJ1901" s="2">
        <v>1</v>
      </c>
      <c r="AK1901">
        <v>0</v>
      </c>
      <c r="AL1901">
        <v>50</v>
      </c>
      <c r="AM1901">
        <v>0</v>
      </c>
      <c r="AN1901" s="2">
        <f>IF((2*G1901+M1901-O1901+3*V1901+2*AB1901+2*AE1901+2*AH1901+3*AJ1901)&gt;=7,1,0)</f>
        <v>1</v>
      </c>
    </row>
    <row r="1902" spans="1:40" x14ac:dyDescent="0.25">
      <c r="A1902" t="s">
        <v>27</v>
      </c>
      <c r="B1902" s="1">
        <v>42491</v>
      </c>
      <c r="C1902" s="6">
        <f t="shared" si="290"/>
        <v>2016</v>
      </c>
      <c r="D1902">
        <v>69.8</v>
      </c>
      <c r="E1902">
        <v>57.2</v>
      </c>
      <c r="F1902">
        <v>65.2</v>
      </c>
      <c r="G1902" s="2">
        <f t="shared" si="291"/>
        <v>0</v>
      </c>
      <c r="H1902">
        <v>69.8</v>
      </c>
      <c r="I1902">
        <v>57.2</v>
      </c>
      <c r="J1902">
        <v>65.2</v>
      </c>
      <c r="K1902">
        <v>55.6</v>
      </c>
      <c r="L1902">
        <v>71.7</v>
      </c>
      <c r="M1902" s="2">
        <f t="shared" si="292"/>
        <v>0</v>
      </c>
      <c r="N1902">
        <v>0</v>
      </c>
      <c r="O1902" s="2">
        <f t="shared" si="293"/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24.4</v>
      </c>
      <c r="V1902" s="2">
        <f t="shared" si="294"/>
        <v>1</v>
      </c>
      <c r="W1902">
        <v>15</v>
      </c>
      <c r="X1902" s="2">
        <f t="shared" si="295"/>
        <v>0</v>
      </c>
      <c r="Y1902">
        <v>314</v>
      </c>
      <c r="Z1902" s="2" t="str">
        <f>CHOOSE(MATCH(Y1902,{0;11;80;111;161;191;241;281;341},1),"North","NorthEast","East","SouthEast","South","SouthWest","West","NorthWest","North")</f>
        <v>NorthWest</v>
      </c>
      <c r="AA1902" s="4">
        <f>CHOOSE(MATCH(Z1902,{"South";"SouthEast";"SouthWest";"North";"NorthEast";"East";"West";"NorthWest"},0),1,2,3,4,5,6,7,8)</f>
        <v>8</v>
      </c>
      <c r="AB1902" s="2">
        <f t="shared" si="296"/>
        <v>1</v>
      </c>
      <c r="AC1902">
        <v>1013.6</v>
      </c>
      <c r="AD1902" t="s">
        <v>2605</v>
      </c>
      <c r="AE1902" s="2">
        <f t="shared" si="297"/>
        <v>0</v>
      </c>
      <c r="AF1902" t="s">
        <v>2606</v>
      </c>
      <c r="AG1902" s="2">
        <f t="shared" si="298"/>
        <v>5</v>
      </c>
      <c r="AH1902" s="2">
        <f t="shared" si="299"/>
        <v>0</v>
      </c>
      <c r="AI1902" s="3">
        <v>30.99999999627471</v>
      </c>
      <c r="AJ1902" s="2">
        <v>0</v>
      </c>
      <c r="AK1902">
        <v>0</v>
      </c>
      <c r="AL1902">
        <v>0.02</v>
      </c>
      <c r="AM1902">
        <v>0</v>
      </c>
      <c r="AN1902" s="2">
        <f>IF((2*G1902+M1902-O1902+3*V1902+2*AB1902+2*AE1902+2*AH1902+3*AJ1902)&gt;=7,1,0)</f>
        <v>0</v>
      </c>
    </row>
    <row r="1903" spans="1:40" x14ac:dyDescent="0.25">
      <c r="A1903" t="s">
        <v>27</v>
      </c>
      <c r="B1903" s="1">
        <v>42496</v>
      </c>
      <c r="C1903" s="6">
        <f t="shared" si="290"/>
        <v>2016</v>
      </c>
      <c r="D1903">
        <v>68</v>
      </c>
      <c r="E1903">
        <v>53.6</v>
      </c>
      <c r="F1903">
        <v>63.1</v>
      </c>
      <c r="G1903" s="2">
        <f t="shared" si="291"/>
        <v>0</v>
      </c>
      <c r="H1903">
        <v>68</v>
      </c>
      <c r="I1903">
        <v>53.6</v>
      </c>
      <c r="J1903">
        <v>63.1</v>
      </c>
      <c r="K1903">
        <v>51.8</v>
      </c>
      <c r="L1903">
        <v>67</v>
      </c>
      <c r="M1903" s="2">
        <f t="shared" si="292"/>
        <v>0</v>
      </c>
      <c r="N1903">
        <v>1.9E-2</v>
      </c>
      <c r="O1903" s="2">
        <f t="shared" si="293"/>
        <v>0</v>
      </c>
      <c r="P1903">
        <v>100</v>
      </c>
      <c r="Q1903">
        <v>4.17</v>
      </c>
      <c r="R1903" t="s">
        <v>182</v>
      </c>
      <c r="S1903">
        <v>0</v>
      </c>
      <c r="T1903">
        <v>0</v>
      </c>
      <c r="U1903">
        <v>26.8</v>
      </c>
      <c r="V1903" s="2">
        <f t="shared" si="294"/>
        <v>1</v>
      </c>
      <c r="W1903">
        <v>18.3</v>
      </c>
      <c r="X1903" s="2">
        <f t="shared" si="295"/>
        <v>1</v>
      </c>
      <c r="Y1903">
        <v>301.60000000000002</v>
      </c>
      <c r="Z1903" s="2" t="str">
        <f>CHOOSE(MATCH(Y1903,{0;11;80;111;161;191;241;281;341},1),"North","NorthEast","East","SouthEast","South","SouthWest","West","NorthWest","North")</f>
        <v>NorthWest</v>
      </c>
      <c r="AA1903" s="4">
        <f>CHOOSE(MATCH(Z1903,{"South";"SouthEast";"SouthWest";"North";"NorthEast";"East";"West";"NorthWest"},0),1,2,3,4,5,6,7,8)</f>
        <v>8</v>
      </c>
      <c r="AB1903" s="2">
        <f t="shared" si="296"/>
        <v>1</v>
      </c>
      <c r="AC1903">
        <v>1013.7</v>
      </c>
      <c r="AD1903" t="s">
        <v>2607</v>
      </c>
      <c r="AE1903" s="2">
        <f t="shared" si="297"/>
        <v>0</v>
      </c>
      <c r="AF1903" t="s">
        <v>2608</v>
      </c>
      <c r="AG1903" s="2">
        <f t="shared" si="298"/>
        <v>5</v>
      </c>
      <c r="AH1903" s="2">
        <f t="shared" si="299"/>
        <v>0</v>
      </c>
      <c r="AI1903" s="3">
        <v>168.000000002794</v>
      </c>
      <c r="AJ1903" s="2">
        <v>0</v>
      </c>
      <c r="AK1903">
        <v>0</v>
      </c>
      <c r="AL1903">
        <v>0.1</v>
      </c>
      <c r="AM1903">
        <v>0</v>
      </c>
      <c r="AN1903" s="2">
        <f>IF((2*G1903+M1903-O1903+3*V1903+2*AB1903+2*AE1903+2*AH1903+3*AJ1903)&gt;=7,1,0)</f>
        <v>0</v>
      </c>
    </row>
    <row r="1904" spans="1:40" x14ac:dyDescent="0.25">
      <c r="A1904" t="s">
        <v>27</v>
      </c>
      <c r="B1904" s="1">
        <v>42502</v>
      </c>
      <c r="C1904" s="6">
        <f t="shared" si="290"/>
        <v>2016</v>
      </c>
      <c r="D1904">
        <v>95</v>
      </c>
      <c r="E1904">
        <v>68</v>
      </c>
      <c r="F1904">
        <v>79</v>
      </c>
      <c r="G1904" s="2">
        <f t="shared" si="291"/>
        <v>1</v>
      </c>
      <c r="H1904">
        <v>93.2</v>
      </c>
      <c r="I1904">
        <v>68</v>
      </c>
      <c r="J1904">
        <v>79</v>
      </c>
      <c r="K1904">
        <v>57.7</v>
      </c>
      <c r="L1904">
        <v>50.5</v>
      </c>
      <c r="M1904" s="2">
        <f t="shared" si="292"/>
        <v>1</v>
      </c>
      <c r="N1904">
        <v>7.9000000000000001E-2</v>
      </c>
      <c r="O1904" s="2">
        <f t="shared" si="293"/>
        <v>0</v>
      </c>
      <c r="P1904">
        <v>100</v>
      </c>
      <c r="Q1904">
        <v>8.33</v>
      </c>
      <c r="R1904" t="s">
        <v>182</v>
      </c>
      <c r="S1904">
        <v>0</v>
      </c>
      <c r="T1904">
        <v>0</v>
      </c>
      <c r="U1904">
        <v>26.6</v>
      </c>
      <c r="V1904" s="2">
        <f t="shared" si="294"/>
        <v>1</v>
      </c>
      <c r="W1904">
        <v>25.3</v>
      </c>
      <c r="X1904" s="2">
        <f t="shared" si="295"/>
        <v>1</v>
      </c>
      <c r="Y1904">
        <v>167.8</v>
      </c>
      <c r="Z1904" s="2" t="str">
        <f>CHOOSE(MATCH(Y1904,{0;11;80;111;161;191;241;281;341},1),"North","NorthEast","East","SouthEast","South","SouthWest","West","NorthWest","North")</f>
        <v>South</v>
      </c>
      <c r="AA1904" s="4">
        <f>CHOOSE(MATCH(Z1904,{"South";"SouthEast";"SouthWest";"North";"NorthEast";"East";"West";"NorthWest"},0),1,2,3,4,5,6,7,8)</f>
        <v>1</v>
      </c>
      <c r="AB1904" s="2">
        <f t="shared" si="296"/>
        <v>0</v>
      </c>
      <c r="AC1904">
        <v>1008.8</v>
      </c>
      <c r="AD1904" t="s">
        <v>1885</v>
      </c>
      <c r="AE1904" s="2">
        <f t="shared" si="297"/>
        <v>1</v>
      </c>
      <c r="AF1904" t="s">
        <v>2609</v>
      </c>
      <c r="AG1904" s="2">
        <f t="shared" si="298"/>
        <v>5</v>
      </c>
      <c r="AH1904" s="2">
        <f t="shared" si="299"/>
        <v>0</v>
      </c>
      <c r="AI1904" s="3">
        <v>129.99999999417921</v>
      </c>
      <c r="AJ1904" s="2">
        <v>0</v>
      </c>
      <c r="AK1904">
        <v>0</v>
      </c>
      <c r="AL1904">
        <v>1</v>
      </c>
      <c r="AM1904">
        <v>0</v>
      </c>
      <c r="AN1904" s="2">
        <f>IF((2*G1904+M1904-O1904+3*V1904+2*AB1904+2*AE1904+2*AH1904+3*AJ1904)&gt;=7,1,0)</f>
        <v>1</v>
      </c>
    </row>
    <row r="1905" spans="1:40" x14ac:dyDescent="0.25">
      <c r="A1905" t="s">
        <v>27</v>
      </c>
      <c r="B1905" s="1">
        <v>42504</v>
      </c>
      <c r="C1905" s="6">
        <f t="shared" si="290"/>
        <v>2016</v>
      </c>
      <c r="D1905">
        <v>78.8</v>
      </c>
      <c r="E1905">
        <v>66.2</v>
      </c>
      <c r="F1905">
        <v>71.5</v>
      </c>
      <c r="G1905" s="2">
        <f t="shared" si="291"/>
        <v>1</v>
      </c>
      <c r="H1905">
        <v>78.8</v>
      </c>
      <c r="I1905">
        <v>66.2</v>
      </c>
      <c r="J1905">
        <v>71.5</v>
      </c>
      <c r="K1905">
        <v>60.4</v>
      </c>
      <c r="L1905">
        <v>69</v>
      </c>
      <c r="M1905" s="2">
        <f t="shared" si="292"/>
        <v>0</v>
      </c>
      <c r="N1905">
        <v>3.5000000000000003E-2</v>
      </c>
      <c r="O1905" s="2">
        <f t="shared" si="293"/>
        <v>0</v>
      </c>
      <c r="P1905">
        <v>100</v>
      </c>
      <c r="Q1905">
        <v>4.17</v>
      </c>
      <c r="R1905" t="s">
        <v>182</v>
      </c>
      <c r="S1905">
        <v>0</v>
      </c>
      <c r="T1905">
        <v>0</v>
      </c>
      <c r="U1905">
        <v>29.1</v>
      </c>
      <c r="V1905" s="2">
        <f t="shared" si="294"/>
        <v>1</v>
      </c>
      <c r="W1905">
        <v>15</v>
      </c>
      <c r="X1905" s="2">
        <f t="shared" si="295"/>
        <v>0</v>
      </c>
      <c r="Y1905">
        <v>109.6</v>
      </c>
      <c r="Z1905" s="2" t="str">
        <f>CHOOSE(MATCH(Y1905,{0;11;80;111;161;191;241;281;341},1),"North","NorthEast","East","SouthEast","South","SouthWest","West","NorthWest","North")</f>
        <v>East</v>
      </c>
      <c r="AA1905" s="4">
        <f>CHOOSE(MATCH(Z1905,{"South";"SouthEast";"SouthWest";"North";"NorthEast";"East";"West";"NorthWest"},0),1,2,3,4,5,6,7,8)</f>
        <v>6</v>
      </c>
      <c r="AB1905" s="2">
        <f t="shared" si="296"/>
        <v>0</v>
      </c>
      <c r="AC1905">
        <v>1010</v>
      </c>
      <c r="AD1905" t="s">
        <v>1792</v>
      </c>
      <c r="AE1905" s="2">
        <f t="shared" si="297"/>
        <v>0</v>
      </c>
      <c r="AF1905" t="s">
        <v>2610</v>
      </c>
      <c r="AG1905" s="2">
        <f t="shared" si="298"/>
        <v>5</v>
      </c>
      <c r="AH1905" s="2">
        <f t="shared" si="299"/>
        <v>0</v>
      </c>
      <c r="AI1905" s="3">
        <v>135</v>
      </c>
      <c r="AJ1905" s="2">
        <v>0</v>
      </c>
      <c r="AK1905">
        <v>0</v>
      </c>
      <c r="AL1905">
        <v>0.01</v>
      </c>
      <c r="AM1905">
        <v>0</v>
      </c>
      <c r="AN1905" s="2">
        <f>IF((2*G1905+M1905-O1905+3*V1905+2*AB1905+2*AE1905+2*AH1905+3*AJ1905)&gt;=7,1,0)</f>
        <v>0</v>
      </c>
    </row>
    <row r="1906" spans="1:40" x14ac:dyDescent="0.25">
      <c r="A1906" t="s">
        <v>27</v>
      </c>
      <c r="B1906" s="1">
        <v>42511</v>
      </c>
      <c r="C1906" s="6">
        <f t="shared" si="290"/>
        <v>2016</v>
      </c>
      <c r="D1906">
        <v>84.1</v>
      </c>
      <c r="E1906">
        <v>68</v>
      </c>
      <c r="F1906">
        <v>73.2</v>
      </c>
      <c r="G1906" s="2">
        <f t="shared" si="291"/>
        <v>1</v>
      </c>
      <c r="H1906">
        <v>84.4</v>
      </c>
      <c r="I1906">
        <v>68</v>
      </c>
      <c r="J1906">
        <v>73.2</v>
      </c>
      <c r="K1906">
        <v>57</v>
      </c>
      <c r="L1906">
        <v>59.3</v>
      </c>
      <c r="M1906" s="2">
        <f t="shared" si="292"/>
        <v>1</v>
      </c>
      <c r="N1906">
        <v>3.9E-2</v>
      </c>
      <c r="O1906" s="2">
        <f t="shared" si="293"/>
        <v>0</v>
      </c>
      <c r="P1906">
        <v>100</v>
      </c>
      <c r="Q1906">
        <v>4.17</v>
      </c>
      <c r="R1906" t="s">
        <v>182</v>
      </c>
      <c r="S1906">
        <v>0</v>
      </c>
      <c r="T1906">
        <v>0</v>
      </c>
      <c r="U1906">
        <v>46.1</v>
      </c>
      <c r="V1906" s="2">
        <f t="shared" si="294"/>
        <v>1</v>
      </c>
      <c r="W1906">
        <v>34.4</v>
      </c>
      <c r="X1906" s="2">
        <f t="shared" si="295"/>
        <v>1</v>
      </c>
      <c r="Y1906">
        <v>176.6</v>
      </c>
      <c r="Z1906" s="2" t="str">
        <f>CHOOSE(MATCH(Y1906,{0;11;80;111;161;191;241;281;341},1),"North","NorthEast","East","SouthEast","South","SouthWest","West","NorthWest","North")</f>
        <v>South</v>
      </c>
      <c r="AA1906" s="4">
        <f>CHOOSE(MATCH(Z1906,{"South";"SouthEast";"SouthWest";"North";"NorthEast";"East";"West";"NorthWest"},0),1,2,3,4,5,6,7,8)</f>
        <v>1</v>
      </c>
      <c r="AB1906" s="2">
        <f t="shared" si="296"/>
        <v>0</v>
      </c>
      <c r="AC1906">
        <v>1008.4</v>
      </c>
      <c r="AD1906" t="s">
        <v>1871</v>
      </c>
      <c r="AE1906" s="2">
        <f t="shared" si="297"/>
        <v>0</v>
      </c>
      <c r="AF1906" t="s">
        <v>2611</v>
      </c>
      <c r="AG1906" s="2">
        <f t="shared" si="298"/>
        <v>5</v>
      </c>
      <c r="AH1906" s="2">
        <f t="shared" si="299"/>
        <v>0</v>
      </c>
      <c r="AI1906" s="3">
        <v>1125</v>
      </c>
      <c r="AJ1906" s="2">
        <v>1</v>
      </c>
      <c r="AK1906">
        <v>0</v>
      </c>
      <c r="AL1906">
        <v>1</v>
      </c>
      <c r="AM1906">
        <v>0</v>
      </c>
      <c r="AN1906" s="2">
        <f>IF((2*G1906+M1906-O1906+3*V1906+2*AB1906+2*AE1906+2*AH1906+3*AJ1906)&gt;=7,1,0)</f>
        <v>1</v>
      </c>
    </row>
    <row r="1907" spans="1:40" x14ac:dyDescent="0.25">
      <c r="A1907" t="s">
        <v>27</v>
      </c>
      <c r="B1907" s="1">
        <v>42512</v>
      </c>
      <c r="C1907" s="6">
        <f t="shared" si="290"/>
        <v>2016</v>
      </c>
      <c r="D1907">
        <v>71.599999999999994</v>
      </c>
      <c r="E1907">
        <v>60.8</v>
      </c>
      <c r="F1907">
        <v>66</v>
      </c>
      <c r="G1907" s="2">
        <f t="shared" si="291"/>
        <v>0</v>
      </c>
      <c r="H1907">
        <v>71.599999999999994</v>
      </c>
      <c r="I1907">
        <v>60.8</v>
      </c>
      <c r="J1907">
        <v>66</v>
      </c>
      <c r="K1907">
        <v>56.5</v>
      </c>
      <c r="L1907">
        <v>71.900000000000006</v>
      </c>
      <c r="M1907" s="2">
        <f t="shared" si="292"/>
        <v>0</v>
      </c>
      <c r="N1907">
        <v>1E-3</v>
      </c>
      <c r="O1907" s="2">
        <f t="shared" si="293"/>
        <v>1</v>
      </c>
      <c r="P1907">
        <v>100</v>
      </c>
      <c r="Q1907">
        <v>4.17</v>
      </c>
      <c r="R1907" t="s">
        <v>182</v>
      </c>
      <c r="S1907">
        <v>0</v>
      </c>
      <c r="T1907">
        <v>0</v>
      </c>
      <c r="U1907">
        <v>36</v>
      </c>
      <c r="V1907" s="2">
        <f t="shared" si="294"/>
        <v>1</v>
      </c>
      <c r="W1907">
        <v>23</v>
      </c>
      <c r="X1907" s="2">
        <f t="shared" si="295"/>
        <v>1</v>
      </c>
      <c r="Y1907">
        <v>294.60000000000002</v>
      </c>
      <c r="Z1907" s="2" t="str">
        <f>CHOOSE(MATCH(Y1907,{0;11;80;111;161;191;241;281;341},1),"North","NorthEast","East","SouthEast","South","SouthWest","West","NorthWest","North")</f>
        <v>NorthWest</v>
      </c>
      <c r="AA1907" s="4">
        <f>CHOOSE(MATCH(Z1907,{"South";"SouthEast";"SouthWest";"North";"NorthEast";"East";"West";"NorthWest"},0),1,2,3,4,5,6,7,8)</f>
        <v>8</v>
      </c>
      <c r="AB1907" s="2">
        <f t="shared" si="296"/>
        <v>1</v>
      </c>
      <c r="AC1907">
        <v>1011.3</v>
      </c>
      <c r="AD1907" t="s">
        <v>1794</v>
      </c>
      <c r="AE1907" s="2">
        <f t="shared" si="297"/>
        <v>1</v>
      </c>
      <c r="AF1907" t="s">
        <v>2612</v>
      </c>
      <c r="AG1907" s="2">
        <f t="shared" si="298"/>
        <v>5</v>
      </c>
      <c r="AH1907" s="2">
        <f t="shared" si="299"/>
        <v>0</v>
      </c>
      <c r="AI1907" s="3">
        <v>130.00000000465661</v>
      </c>
      <c r="AJ1907" s="2">
        <v>0</v>
      </c>
      <c r="AK1907">
        <v>0</v>
      </c>
      <c r="AL1907">
        <v>3</v>
      </c>
      <c r="AM1907">
        <v>0</v>
      </c>
      <c r="AN1907" s="2">
        <f>IF((2*G1907+M1907-O1907+3*V1907+2*AB1907+2*AE1907+2*AH1907+3*AJ1907)&gt;=7,1,0)</f>
        <v>0</v>
      </c>
    </row>
    <row r="1908" spans="1:40" x14ac:dyDescent="0.25">
      <c r="A1908" t="s">
        <v>27</v>
      </c>
      <c r="B1908" s="1">
        <v>42513</v>
      </c>
      <c r="C1908" s="6">
        <f t="shared" si="290"/>
        <v>2016</v>
      </c>
      <c r="D1908">
        <v>73.400000000000006</v>
      </c>
      <c r="E1908">
        <v>66.2</v>
      </c>
      <c r="F1908">
        <v>69.400000000000006</v>
      </c>
      <c r="G1908" s="2">
        <f t="shared" si="291"/>
        <v>0</v>
      </c>
      <c r="H1908">
        <v>73.400000000000006</v>
      </c>
      <c r="I1908">
        <v>66.2</v>
      </c>
      <c r="J1908">
        <v>69.400000000000006</v>
      </c>
      <c r="K1908">
        <v>54.6</v>
      </c>
      <c r="L1908">
        <v>60.2</v>
      </c>
      <c r="M1908" s="2">
        <f t="shared" si="292"/>
        <v>1</v>
      </c>
      <c r="N1908">
        <v>0</v>
      </c>
      <c r="O1908" s="2">
        <f t="shared" si="293"/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40.5</v>
      </c>
      <c r="V1908" s="2">
        <f t="shared" si="294"/>
        <v>1</v>
      </c>
      <c r="W1908">
        <v>24.2</v>
      </c>
      <c r="X1908" s="2">
        <f t="shared" si="295"/>
        <v>1</v>
      </c>
      <c r="Y1908">
        <v>306.89999999999998</v>
      </c>
      <c r="Z1908" s="2" t="str">
        <f>CHOOSE(MATCH(Y1908,{0;11;80;111;161;191;241;281;341},1),"North","NorthEast","East","SouthEast","South","SouthWest","West","NorthWest","North")</f>
        <v>NorthWest</v>
      </c>
      <c r="AA1908" s="4">
        <f>CHOOSE(MATCH(Z1908,{"South";"SouthEast";"SouthWest";"North";"NorthEast";"East";"West";"NorthWest"},0),1,2,3,4,5,6,7,8)</f>
        <v>8</v>
      </c>
      <c r="AB1908" s="2">
        <f t="shared" si="296"/>
        <v>1</v>
      </c>
      <c r="AC1908">
        <v>1015.3</v>
      </c>
      <c r="AD1908" t="s">
        <v>1794</v>
      </c>
      <c r="AE1908" s="2">
        <f t="shared" si="297"/>
        <v>1</v>
      </c>
      <c r="AF1908" t="s">
        <v>2613</v>
      </c>
      <c r="AG1908" s="2">
        <f t="shared" si="298"/>
        <v>5</v>
      </c>
      <c r="AH1908" s="2">
        <f t="shared" si="299"/>
        <v>0</v>
      </c>
      <c r="AI1908" s="3">
        <v>249.99999999767169</v>
      </c>
      <c r="AJ1908" s="2">
        <v>0</v>
      </c>
      <c r="AK1908">
        <v>0</v>
      </c>
      <c r="AL1908">
        <v>5</v>
      </c>
      <c r="AM1908">
        <v>0</v>
      </c>
      <c r="AN1908" s="2">
        <f>IF((2*G1908+M1908-O1908+3*V1908+2*AB1908+2*AE1908+2*AH1908+3*AJ1908)&gt;=7,1,0)</f>
        <v>1</v>
      </c>
    </row>
    <row r="1909" spans="1:40" x14ac:dyDescent="0.25">
      <c r="A1909" t="s">
        <v>27</v>
      </c>
      <c r="B1909" s="1">
        <v>42518</v>
      </c>
      <c r="C1909" s="6">
        <f t="shared" si="290"/>
        <v>2016</v>
      </c>
      <c r="D1909">
        <v>77</v>
      </c>
      <c r="E1909">
        <v>60.8</v>
      </c>
      <c r="F1909">
        <v>70</v>
      </c>
      <c r="G1909" s="2">
        <f t="shared" si="291"/>
        <v>0</v>
      </c>
      <c r="H1909">
        <v>77</v>
      </c>
      <c r="I1909">
        <v>60.8</v>
      </c>
      <c r="J1909">
        <v>70</v>
      </c>
      <c r="K1909">
        <v>56.3</v>
      </c>
      <c r="L1909">
        <v>63.2</v>
      </c>
      <c r="M1909" s="2">
        <f t="shared" si="292"/>
        <v>1</v>
      </c>
      <c r="N1909">
        <v>0</v>
      </c>
      <c r="O1909" s="2">
        <f t="shared" si="293"/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29.8</v>
      </c>
      <c r="V1909" s="2">
        <f t="shared" si="294"/>
        <v>1</v>
      </c>
      <c r="W1909">
        <v>15</v>
      </c>
      <c r="X1909" s="2">
        <f t="shared" si="295"/>
        <v>0</v>
      </c>
      <c r="Y1909">
        <v>312.3</v>
      </c>
      <c r="Z1909" s="2" t="str">
        <f>CHOOSE(MATCH(Y1909,{0;11;80;111;161;191;241;281;341},1),"North","NorthEast","East","SouthEast","South","SouthWest","West","NorthWest","North")</f>
        <v>NorthWest</v>
      </c>
      <c r="AA1909" s="4">
        <f>CHOOSE(MATCH(Z1909,{"South";"SouthEast";"SouthWest";"North";"NorthEast";"East";"West";"NorthWest"},0),1,2,3,4,5,6,7,8)</f>
        <v>8</v>
      </c>
      <c r="AB1909" s="2">
        <f t="shared" si="296"/>
        <v>1</v>
      </c>
      <c r="AC1909">
        <v>1015.5</v>
      </c>
      <c r="AD1909" t="s">
        <v>1237</v>
      </c>
      <c r="AE1909" s="2">
        <f t="shared" si="297"/>
        <v>1</v>
      </c>
      <c r="AF1909" t="s">
        <v>2614</v>
      </c>
      <c r="AG1909" s="2">
        <f t="shared" si="298"/>
        <v>5</v>
      </c>
      <c r="AH1909" s="2">
        <f t="shared" si="299"/>
        <v>0</v>
      </c>
      <c r="AI1909" s="3">
        <v>245.00000000232831</v>
      </c>
      <c r="AJ1909" s="2">
        <v>0</v>
      </c>
      <c r="AK1909">
        <v>0</v>
      </c>
      <c r="AL1909">
        <v>3</v>
      </c>
      <c r="AM1909">
        <v>0</v>
      </c>
      <c r="AN1909" s="2">
        <f>IF((2*G1909+M1909-O1909+3*V1909+2*AB1909+2*AE1909+2*AH1909+3*AJ1909)&gt;=7,1,0)</f>
        <v>1</v>
      </c>
    </row>
    <row r="1910" spans="1:40" x14ac:dyDescent="0.25">
      <c r="A1910" t="s">
        <v>27</v>
      </c>
      <c r="B1910" s="1">
        <v>42522</v>
      </c>
      <c r="C1910" s="6">
        <f t="shared" si="290"/>
        <v>2016</v>
      </c>
      <c r="D1910">
        <v>84.2</v>
      </c>
      <c r="E1910">
        <v>68</v>
      </c>
      <c r="F1910">
        <v>76.099999999999994</v>
      </c>
      <c r="G1910" s="2">
        <f t="shared" si="291"/>
        <v>1</v>
      </c>
      <c r="H1910">
        <v>90.9</v>
      </c>
      <c r="I1910">
        <v>68</v>
      </c>
      <c r="J1910">
        <v>78.099999999999994</v>
      </c>
      <c r="K1910">
        <v>67.099999999999994</v>
      </c>
      <c r="L1910">
        <v>74.5</v>
      </c>
      <c r="M1910" s="2">
        <f t="shared" si="292"/>
        <v>0</v>
      </c>
      <c r="N1910">
        <v>0</v>
      </c>
      <c r="O1910" s="2">
        <f t="shared" si="293"/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21.7</v>
      </c>
      <c r="V1910" s="2">
        <f t="shared" si="294"/>
        <v>1</v>
      </c>
      <c r="W1910">
        <v>5.8</v>
      </c>
      <c r="X1910" s="2">
        <f t="shared" si="295"/>
        <v>0</v>
      </c>
      <c r="Y1910">
        <v>136.5</v>
      </c>
      <c r="Z1910" s="2" t="str">
        <f>CHOOSE(MATCH(Y1910,{0;11;80;111;161;191;241;281;341},1),"North","NorthEast","East","SouthEast","South","SouthWest","West","NorthWest","North")</f>
        <v>SouthEast</v>
      </c>
      <c r="AA1910" s="4">
        <f>CHOOSE(MATCH(Z1910,{"South";"SouthEast";"SouthWest";"North";"NorthEast";"East";"West";"NorthWest"},0),1,2,3,4,5,6,7,8)</f>
        <v>2</v>
      </c>
      <c r="AB1910" s="2">
        <f t="shared" si="296"/>
        <v>0</v>
      </c>
      <c r="AC1910">
        <v>1013.2</v>
      </c>
      <c r="AD1910" t="s">
        <v>2615</v>
      </c>
      <c r="AE1910" s="2">
        <f t="shared" si="297"/>
        <v>1</v>
      </c>
      <c r="AF1910" t="s">
        <v>2616</v>
      </c>
      <c r="AG1910" s="2">
        <f t="shared" si="298"/>
        <v>6</v>
      </c>
      <c r="AH1910" s="2">
        <f t="shared" si="299"/>
        <v>1</v>
      </c>
      <c r="AI1910" s="3">
        <v>374.00000000372529</v>
      </c>
      <c r="AJ1910" s="2">
        <v>1</v>
      </c>
      <c r="AK1910">
        <v>0</v>
      </c>
      <c r="AL1910">
        <v>1</v>
      </c>
      <c r="AM1910">
        <v>0</v>
      </c>
      <c r="AN1910" s="2">
        <f>IF((2*G1910+M1910-O1910+3*V1910+2*AB1910+2*AE1910+2*AH1910+3*AJ1910)&gt;=7,1,0)</f>
        <v>1</v>
      </c>
    </row>
    <row r="1911" spans="1:40" x14ac:dyDescent="0.25">
      <c r="A1911" t="s">
        <v>27</v>
      </c>
      <c r="B1911" s="1">
        <v>42526</v>
      </c>
      <c r="C1911" s="6">
        <f t="shared" si="290"/>
        <v>2016</v>
      </c>
      <c r="D1911">
        <v>77</v>
      </c>
      <c r="E1911">
        <v>64.400000000000006</v>
      </c>
      <c r="F1911">
        <v>72.2</v>
      </c>
      <c r="G1911" s="2">
        <f t="shared" si="291"/>
        <v>1</v>
      </c>
      <c r="H1911">
        <v>77</v>
      </c>
      <c r="I1911">
        <v>64.400000000000006</v>
      </c>
      <c r="J1911">
        <v>72.2</v>
      </c>
      <c r="K1911">
        <v>65.3</v>
      </c>
      <c r="L1911">
        <v>79</v>
      </c>
      <c r="M1911" s="2">
        <f t="shared" si="292"/>
        <v>0</v>
      </c>
      <c r="N1911">
        <v>0</v>
      </c>
      <c r="O1911" s="2">
        <f t="shared" si="293"/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20.399999999999999</v>
      </c>
      <c r="V1911" s="2">
        <f t="shared" si="294"/>
        <v>1</v>
      </c>
      <c r="W1911">
        <v>12.8</v>
      </c>
      <c r="X1911" s="2">
        <f t="shared" si="295"/>
        <v>0</v>
      </c>
      <c r="Y1911">
        <v>325.10000000000002</v>
      </c>
      <c r="Z1911" s="2" t="str">
        <f>CHOOSE(MATCH(Y1911,{0;11;80;111;161;191;241;281;341},1),"North","NorthEast","East","SouthEast","South","SouthWest","West","NorthWest","North")</f>
        <v>NorthWest</v>
      </c>
      <c r="AA1911" s="4">
        <f>CHOOSE(MATCH(Z1911,{"South";"SouthEast";"SouthWest";"North";"NorthEast";"East";"West";"NorthWest"},0),1,2,3,4,5,6,7,8)</f>
        <v>8</v>
      </c>
      <c r="AB1911" s="2">
        <f t="shared" si="296"/>
        <v>1</v>
      </c>
      <c r="AC1911">
        <v>1012.4</v>
      </c>
      <c r="AD1911" t="s">
        <v>1188</v>
      </c>
      <c r="AE1911" s="2">
        <f t="shared" si="297"/>
        <v>0</v>
      </c>
      <c r="AF1911" t="s">
        <v>2617</v>
      </c>
      <c r="AG1911" s="2">
        <f t="shared" si="298"/>
        <v>6</v>
      </c>
      <c r="AH1911" s="2">
        <f t="shared" si="299"/>
        <v>1</v>
      </c>
      <c r="AI1911" s="3">
        <v>519.99999999767169</v>
      </c>
      <c r="AJ1911" s="2">
        <v>1</v>
      </c>
      <c r="AK1911">
        <v>0</v>
      </c>
      <c r="AL1911">
        <v>5</v>
      </c>
      <c r="AM1911">
        <v>0</v>
      </c>
      <c r="AN1911" s="2">
        <f>IF((2*G1911+M1911-O1911+3*V1911+2*AB1911+2*AE1911+2*AH1911+3*AJ1911)&gt;=7,1,0)</f>
        <v>1</v>
      </c>
    </row>
    <row r="1912" spans="1:40" x14ac:dyDescent="0.25">
      <c r="A1912" t="s">
        <v>27</v>
      </c>
      <c r="B1912" s="1">
        <v>42534</v>
      </c>
      <c r="C1912" s="6">
        <f t="shared" si="290"/>
        <v>2016</v>
      </c>
      <c r="D1912">
        <v>91.3</v>
      </c>
      <c r="E1912">
        <v>68</v>
      </c>
      <c r="F1912">
        <v>77</v>
      </c>
      <c r="G1912" s="2">
        <f t="shared" si="291"/>
        <v>1</v>
      </c>
      <c r="H1912">
        <v>87.4</v>
      </c>
      <c r="I1912">
        <v>68</v>
      </c>
      <c r="J1912">
        <v>76.5</v>
      </c>
      <c r="K1912">
        <v>56.8</v>
      </c>
      <c r="L1912">
        <v>53.5</v>
      </c>
      <c r="M1912" s="2">
        <f t="shared" si="292"/>
        <v>1</v>
      </c>
      <c r="N1912">
        <v>0</v>
      </c>
      <c r="O1912" s="2">
        <f t="shared" si="293"/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41.6</v>
      </c>
      <c r="V1912" s="2">
        <f t="shared" si="294"/>
        <v>1</v>
      </c>
      <c r="W1912">
        <v>24.2</v>
      </c>
      <c r="X1912" s="2">
        <f t="shared" si="295"/>
        <v>1</v>
      </c>
      <c r="Y1912">
        <v>159.19999999999999</v>
      </c>
      <c r="Z1912" s="2" t="str">
        <f>CHOOSE(MATCH(Y1912,{0;11;80;111;161;191;241;281;341},1),"North","NorthEast","East","SouthEast","South","SouthWest","West","NorthWest","North")</f>
        <v>SouthEast</v>
      </c>
      <c r="AA1912" s="4">
        <f>CHOOSE(MATCH(Z1912,{"South";"SouthEast";"SouthWest";"North";"NorthEast";"East";"West";"NorthWest"},0),1,2,3,4,5,6,7,8)</f>
        <v>2</v>
      </c>
      <c r="AB1912" s="2">
        <f t="shared" si="296"/>
        <v>0</v>
      </c>
      <c r="AC1912">
        <v>1008.8</v>
      </c>
      <c r="AD1912" t="s">
        <v>1919</v>
      </c>
      <c r="AE1912" s="2">
        <f t="shared" si="297"/>
        <v>1</v>
      </c>
      <c r="AF1912" t="s">
        <v>2618</v>
      </c>
      <c r="AG1912" s="2">
        <f t="shared" si="298"/>
        <v>6</v>
      </c>
      <c r="AH1912" s="2">
        <f t="shared" si="299"/>
        <v>1</v>
      </c>
      <c r="AI1912" s="3">
        <v>3366.000000002095</v>
      </c>
      <c r="AJ1912" s="2">
        <v>1</v>
      </c>
      <c r="AK1912">
        <v>10</v>
      </c>
      <c r="AL1912">
        <v>0</v>
      </c>
      <c r="AM1912">
        <v>0</v>
      </c>
      <c r="AN1912" s="2">
        <f>IF((2*G1912+M1912-O1912+3*V1912+2*AB1912+2*AE1912+2*AH1912+3*AJ1912)&gt;=7,1,0)</f>
        <v>1</v>
      </c>
    </row>
    <row r="1913" spans="1:40" x14ac:dyDescent="0.25">
      <c r="A1913" t="s">
        <v>27</v>
      </c>
      <c r="B1913" s="1">
        <v>42534</v>
      </c>
      <c r="C1913" s="6">
        <f t="shared" si="290"/>
        <v>2016</v>
      </c>
      <c r="D1913">
        <v>91.3</v>
      </c>
      <c r="E1913">
        <v>68</v>
      </c>
      <c r="F1913">
        <v>77</v>
      </c>
      <c r="G1913" s="2">
        <f t="shared" si="291"/>
        <v>1</v>
      </c>
      <c r="H1913">
        <v>87.4</v>
      </c>
      <c r="I1913">
        <v>68</v>
      </c>
      <c r="J1913">
        <v>76.5</v>
      </c>
      <c r="K1913">
        <v>56.8</v>
      </c>
      <c r="L1913">
        <v>53.5</v>
      </c>
      <c r="M1913" s="2">
        <f t="shared" si="292"/>
        <v>1</v>
      </c>
      <c r="N1913">
        <v>0</v>
      </c>
      <c r="O1913" s="2">
        <f t="shared" si="293"/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41.6</v>
      </c>
      <c r="V1913" s="2">
        <f t="shared" si="294"/>
        <v>1</v>
      </c>
      <c r="W1913">
        <v>24.2</v>
      </c>
      <c r="X1913" s="2">
        <f t="shared" si="295"/>
        <v>1</v>
      </c>
      <c r="Y1913">
        <v>159.19999999999999</v>
      </c>
      <c r="Z1913" s="2" t="str">
        <f>CHOOSE(MATCH(Y1913,{0;11;80;111;161;191;241;281;341},1),"North","NorthEast","East","SouthEast","South","SouthWest","West","NorthWest","North")</f>
        <v>SouthEast</v>
      </c>
      <c r="AA1913" s="4">
        <f>CHOOSE(MATCH(Z1913,{"South";"SouthEast";"SouthWest";"North";"NorthEast";"East";"West";"NorthWest"},0),1,2,3,4,5,6,7,8)</f>
        <v>2</v>
      </c>
      <c r="AB1913" s="2">
        <f t="shared" si="296"/>
        <v>0</v>
      </c>
      <c r="AC1913">
        <v>1008.8</v>
      </c>
      <c r="AD1913" t="s">
        <v>1165</v>
      </c>
      <c r="AE1913" s="2">
        <f t="shared" si="297"/>
        <v>0</v>
      </c>
      <c r="AF1913" t="s">
        <v>2619</v>
      </c>
      <c r="AG1913" s="2">
        <f t="shared" si="298"/>
        <v>6</v>
      </c>
      <c r="AH1913" s="2">
        <f t="shared" si="299"/>
        <v>1</v>
      </c>
      <c r="AI1913" s="3">
        <v>204.99999999767169</v>
      </c>
      <c r="AJ1913" s="2">
        <v>0</v>
      </c>
      <c r="AK1913">
        <v>0</v>
      </c>
      <c r="AL1913">
        <v>2</v>
      </c>
      <c r="AM1913">
        <v>0</v>
      </c>
      <c r="AN1913" s="2">
        <f>IF((2*G1913+M1913-O1913+3*V1913+2*AB1913+2*AE1913+2*AH1913+3*AJ1913)&gt;=7,1,0)</f>
        <v>1</v>
      </c>
    </row>
    <row r="1914" spans="1:40" x14ac:dyDescent="0.25">
      <c r="A1914" t="s">
        <v>27</v>
      </c>
      <c r="B1914" s="1">
        <v>42535</v>
      </c>
      <c r="C1914" s="6">
        <f t="shared" si="290"/>
        <v>2016</v>
      </c>
      <c r="D1914">
        <v>82.4</v>
      </c>
      <c r="E1914">
        <v>73.400000000000006</v>
      </c>
      <c r="F1914">
        <v>78.3</v>
      </c>
      <c r="G1914" s="2">
        <f t="shared" si="291"/>
        <v>1</v>
      </c>
      <c r="H1914">
        <v>92.4</v>
      </c>
      <c r="I1914">
        <v>73.400000000000006</v>
      </c>
      <c r="J1914">
        <v>79.400000000000006</v>
      </c>
      <c r="K1914">
        <v>63.1</v>
      </c>
      <c r="L1914">
        <v>62.7</v>
      </c>
      <c r="M1914" s="2">
        <f t="shared" si="292"/>
        <v>1</v>
      </c>
      <c r="N1914">
        <v>0</v>
      </c>
      <c r="O1914" s="2">
        <f t="shared" si="293"/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43.8</v>
      </c>
      <c r="V1914" s="2">
        <f t="shared" si="294"/>
        <v>1</v>
      </c>
      <c r="W1914">
        <v>32.200000000000003</v>
      </c>
      <c r="X1914" s="2">
        <f t="shared" si="295"/>
        <v>1</v>
      </c>
      <c r="Y1914">
        <v>242.7</v>
      </c>
      <c r="Z1914" s="2" t="str">
        <f>CHOOSE(MATCH(Y1914,{0;11;80;111;161;191;241;281;341},1),"North","NorthEast","East","SouthEast","South","SouthWest","West","NorthWest","North")</f>
        <v>West</v>
      </c>
      <c r="AA1914" s="4">
        <f>CHOOSE(MATCH(Z1914,{"South";"SouthEast";"SouthWest";"North";"NorthEast";"East";"West";"NorthWest"},0),1,2,3,4,5,6,7,8)</f>
        <v>7</v>
      </c>
      <c r="AB1914" s="2">
        <f t="shared" si="296"/>
        <v>0</v>
      </c>
      <c r="AC1914">
        <v>1002.8</v>
      </c>
      <c r="AD1914" t="s">
        <v>2150</v>
      </c>
      <c r="AE1914" s="2">
        <f t="shared" si="297"/>
        <v>0</v>
      </c>
      <c r="AF1914" t="s">
        <v>2620</v>
      </c>
      <c r="AG1914" s="2">
        <f t="shared" si="298"/>
        <v>6</v>
      </c>
      <c r="AH1914" s="2">
        <f t="shared" si="299"/>
        <v>1</v>
      </c>
      <c r="AI1914" s="3">
        <v>2890.0000000011642</v>
      </c>
      <c r="AJ1914" s="2">
        <v>1</v>
      </c>
      <c r="AK1914">
        <v>0</v>
      </c>
      <c r="AL1914">
        <v>28</v>
      </c>
      <c r="AM1914">
        <v>0</v>
      </c>
      <c r="AN1914" s="2">
        <f>IF((2*G1914+M1914-O1914+3*V1914+2*AB1914+2*AE1914+2*AH1914+3*AJ1914)&gt;=7,1,0)</f>
        <v>1</v>
      </c>
    </row>
    <row r="1915" spans="1:40" x14ac:dyDescent="0.25">
      <c r="A1915" t="s">
        <v>27</v>
      </c>
      <c r="B1915" s="1">
        <v>42535</v>
      </c>
      <c r="C1915" s="6">
        <f t="shared" si="290"/>
        <v>2016</v>
      </c>
      <c r="D1915">
        <v>82.4</v>
      </c>
      <c r="E1915">
        <v>73.400000000000006</v>
      </c>
      <c r="F1915">
        <v>78.3</v>
      </c>
      <c r="G1915" s="2">
        <f t="shared" si="291"/>
        <v>1</v>
      </c>
      <c r="H1915">
        <v>92.4</v>
      </c>
      <c r="I1915">
        <v>73.400000000000006</v>
      </c>
      <c r="J1915">
        <v>79.400000000000006</v>
      </c>
      <c r="K1915">
        <v>63.1</v>
      </c>
      <c r="L1915">
        <v>62.7</v>
      </c>
      <c r="M1915" s="2">
        <f t="shared" si="292"/>
        <v>1</v>
      </c>
      <c r="N1915">
        <v>0</v>
      </c>
      <c r="O1915" s="2">
        <f t="shared" si="293"/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43.8</v>
      </c>
      <c r="V1915" s="2">
        <f t="shared" si="294"/>
        <v>1</v>
      </c>
      <c r="W1915">
        <v>32.200000000000003</v>
      </c>
      <c r="X1915" s="2">
        <f t="shared" si="295"/>
        <v>1</v>
      </c>
      <c r="Y1915">
        <v>242.7</v>
      </c>
      <c r="Z1915" s="2" t="str">
        <f>CHOOSE(MATCH(Y1915,{0;11;80;111;161;191;241;281;341},1),"North","NorthEast","East","SouthEast","South","SouthWest","West","NorthWest","North")</f>
        <v>West</v>
      </c>
      <c r="AA1915" s="4">
        <f>CHOOSE(MATCH(Z1915,{"South";"SouthEast";"SouthWest";"North";"NorthEast";"East";"West";"NorthWest"},0),1,2,3,4,5,6,7,8)</f>
        <v>7</v>
      </c>
      <c r="AB1915" s="2">
        <f t="shared" si="296"/>
        <v>0</v>
      </c>
      <c r="AC1915">
        <v>1002.8</v>
      </c>
      <c r="AD1915" t="s">
        <v>2621</v>
      </c>
      <c r="AE1915" s="2">
        <f t="shared" si="297"/>
        <v>0</v>
      </c>
      <c r="AF1915" t="s">
        <v>2622</v>
      </c>
      <c r="AG1915" s="2">
        <f t="shared" si="298"/>
        <v>6</v>
      </c>
      <c r="AH1915" s="2">
        <f t="shared" si="299"/>
        <v>1</v>
      </c>
      <c r="AI1915" s="3">
        <v>9818.0000000051223</v>
      </c>
      <c r="AJ1915" s="2">
        <v>1</v>
      </c>
      <c r="AK1915">
        <v>550</v>
      </c>
      <c r="AL1915">
        <v>550</v>
      </c>
      <c r="AM1915">
        <v>0</v>
      </c>
      <c r="AN1915" s="2">
        <f>IF((2*G1915+M1915-O1915+3*V1915+2*AB1915+2*AE1915+2*AH1915+3*AJ1915)&gt;=7,1,0)</f>
        <v>1</v>
      </c>
    </row>
    <row r="1916" spans="1:40" x14ac:dyDescent="0.25">
      <c r="A1916" t="s">
        <v>27</v>
      </c>
      <c r="B1916" s="1">
        <v>42541</v>
      </c>
      <c r="C1916" s="6">
        <f t="shared" si="290"/>
        <v>2016</v>
      </c>
      <c r="D1916">
        <v>87.9</v>
      </c>
      <c r="E1916">
        <v>73.400000000000006</v>
      </c>
      <c r="F1916">
        <v>82</v>
      </c>
      <c r="G1916" s="2">
        <f t="shared" si="291"/>
        <v>1</v>
      </c>
      <c r="H1916">
        <v>92.7</v>
      </c>
      <c r="I1916">
        <v>73.400000000000006</v>
      </c>
      <c r="J1916">
        <v>84.1</v>
      </c>
      <c r="K1916">
        <v>65</v>
      </c>
      <c r="L1916">
        <v>57.8</v>
      </c>
      <c r="M1916" s="2">
        <f t="shared" si="292"/>
        <v>1</v>
      </c>
      <c r="N1916">
        <v>0</v>
      </c>
      <c r="O1916" s="2">
        <f t="shared" si="293"/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17.399999999999999</v>
      </c>
      <c r="V1916" s="2">
        <f t="shared" si="294"/>
        <v>1</v>
      </c>
      <c r="W1916">
        <v>10.199999999999999</v>
      </c>
      <c r="X1916" s="2">
        <f t="shared" si="295"/>
        <v>0</v>
      </c>
      <c r="Y1916">
        <v>45.5</v>
      </c>
      <c r="Z1916" s="2" t="str">
        <f>CHOOSE(MATCH(Y1916,{0;11;80;111;161;191;241;281;341},1),"North","NorthEast","East","SouthEast","South","SouthWest","West","NorthWest","North")</f>
        <v>NorthEast</v>
      </c>
      <c r="AA1916" s="4">
        <f>CHOOSE(MATCH(Z1916,{"South";"SouthEast";"SouthWest";"North";"NorthEast";"East";"West";"NorthWest"},0),1,2,3,4,5,6,7,8)</f>
        <v>5</v>
      </c>
      <c r="AB1916" s="2">
        <f t="shared" si="296"/>
        <v>1</v>
      </c>
      <c r="AC1916">
        <v>1011.5</v>
      </c>
      <c r="AD1916" t="s">
        <v>1827</v>
      </c>
      <c r="AE1916" s="2">
        <f t="shared" si="297"/>
        <v>0</v>
      </c>
      <c r="AF1916" t="s">
        <v>2623</v>
      </c>
      <c r="AG1916" s="2">
        <f t="shared" si="298"/>
        <v>6</v>
      </c>
      <c r="AH1916" s="2">
        <f t="shared" si="299"/>
        <v>1</v>
      </c>
      <c r="AI1916" s="3">
        <v>84.999999994179234</v>
      </c>
      <c r="AJ1916" s="2">
        <v>0</v>
      </c>
      <c r="AK1916">
        <v>0</v>
      </c>
      <c r="AL1916">
        <v>1.5</v>
      </c>
      <c r="AM1916">
        <v>0</v>
      </c>
      <c r="AN1916" s="2">
        <f>IF((2*G1916+M1916-O1916+3*V1916+2*AB1916+2*AE1916+2*AH1916+3*AJ1916)&gt;=7,1,0)</f>
        <v>1</v>
      </c>
    </row>
    <row r="1917" spans="1:40" x14ac:dyDescent="0.25">
      <c r="A1917" t="s">
        <v>27</v>
      </c>
      <c r="B1917" s="1">
        <v>42548</v>
      </c>
      <c r="C1917" s="6">
        <f t="shared" si="290"/>
        <v>2016</v>
      </c>
      <c r="D1917">
        <v>84.2</v>
      </c>
      <c r="E1917">
        <v>75.2</v>
      </c>
      <c r="F1917">
        <v>79.599999999999994</v>
      </c>
      <c r="G1917" s="2">
        <f t="shared" si="291"/>
        <v>1</v>
      </c>
      <c r="H1917">
        <v>92.5</v>
      </c>
      <c r="I1917">
        <v>75.2</v>
      </c>
      <c r="J1917">
        <v>82.5</v>
      </c>
      <c r="K1917">
        <v>72.400000000000006</v>
      </c>
      <c r="L1917">
        <v>78.8</v>
      </c>
      <c r="M1917" s="2">
        <f t="shared" si="292"/>
        <v>0</v>
      </c>
      <c r="N1917">
        <v>0</v>
      </c>
      <c r="O1917" s="2">
        <f t="shared" si="293"/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30.9</v>
      </c>
      <c r="V1917" s="2">
        <f t="shared" si="294"/>
        <v>1</v>
      </c>
      <c r="W1917">
        <v>17.2</v>
      </c>
      <c r="X1917" s="2">
        <f t="shared" si="295"/>
        <v>1</v>
      </c>
      <c r="Y1917">
        <v>309.60000000000002</v>
      </c>
      <c r="Z1917" s="2" t="str">
        <f>CHOOSE(MATCH(Y1917,{0;11;80;111;161;191;241;281;341},1),"North","NorthEast","East","SouthEast","South","SouthWest","West","NorthWest","North")</f>
        <v>NorthWest</v>
      </c>
      <c r="AA1917" s="4">
        <f>CHOOSE(MATCH(Z1917,{"South";"SouthEast";"SouthWest";"North";"NorthEast";"East";"West";"NorthWest"},0),1,2,3,4,5,6,7,8)</f>
        <v>8</v>
      </c>
      <c r="AB1917" s="2">
        <f t="shared" si="296"/>
        <v>1</v>
      </c>
      <c r="AC1917">
        <v>1010.5</v>
      </c>
      <c r="AD1917" t="s">
        <v>1879</v>
      </c>
      <c r="AE1917" s="2">
        <f t="shared" si="297"/>
        <v>1</v>
      </c>
      <c r="AF1917" t="s">
        <v>2624</v>
      </c>
      <c r="AG1917" s="2">
        <f t="shared" si="298"/>
        <v>6</v>
      </c>
      <c r="AH1917" s="2">
        <f t="shared" si="299"/>
        <v>1</v>
      </c>
      <c r="AI1917" s="3">
        <v>150.00000000698489</v>
      </c>
      <c r="AJ1917" s="2">
        <v>0</v>
      </c>
      <c r="AK1917">
        <v>0</v>
      </c>
      <c r="AL1917">
        <v>1</v>
      </c>
      <c r="AM1917">
        <v>0</v>
      </c>
      <c r="AN1917" s="2">
        <f>IF((2*G1917+M1917-O1917+3*V1917+2*AB1917+2*AE1917+2*AH1917+3*AJ1917)&gt;=7,1,0)</f>
        <v>1</v>
      </c>
    </row>
    <row r="1918" spans="1:40" x14ac:dyDescent="0.25">
      <c r="A1918" t="s">
        <v>27</v>
      </c>
      <c r="B1918" s="1">
        <v>42549</v>
      </c>
      <c r="C1918" s="6">
        <f t="shared" si="290"/>
        <v>2016</v>
      </c>
      <c r="D1918">
        <v>86</v>
      </c>
      <c r="E1918">
        <v>73.400000000000006</v>
      </c>
      <c r="F1918">
        <v>80</v>
      </c>
      <c r="G1918" s="2">
        <f t="shared" si="291"/>
        <v>1</v>
      </c>
      <c r="H1918">
        <v>93.5</v>
      </c>
      <c r="I1918">
        <v>73.400000000000006</v>
      </c>
      <c r="J1918">
        <v>83.6</v>
      </c>
      <c r="K1918">
        <v>70.2</v>
      </c>
      <c r="L1918">
        <v>72.2</v>
      </c>
      <c r="M1918" s="2">
        <f t="shared" si="292"/>
        <v>0</v>
      </c>
      <c r="N1918">
        <v>0</v>
      </c>
      <c r="O1918" s="2">
        <f t="shared" si="293"/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28</v>
      </c>
      <c r="V1918" s="2">
        <f t="shared" si="294"/>
        <v>1</v>
      </c>
      <c r="W1918">
        <v>20.8</v>
      </c>
      <c r="X1918" s="2">
        <f t="shared" si="295"/>
        <v>1</v>
      </c>
      <c r="Y1918">
        <v>300.60000000000002</v>
      </c>
      <c r="Z1918" s="2" t="str">
        <f>CHOOSE(MATCH(Y1918,{0;11;80;111;161;191;241;281;341},1),"North","NorthEast","East","SouthEast","South","SouthWest","West","NorthWest","North")</f>
        <v>NorthWest</v>
      </c>
      <c r="AA1918" s="4">
        <f>CHOOSE(MATCH(Z1918,{"South";"SouthEast";"SouthWest";"North";"NorthEast";"East";"West";"NorthWest"},0),1,2,3,4,5,6,7,8)</f>
        <v>8</v>
      </c>
      <c r="AB1918" s="2">
        <f t="shared" si="296"/>
        <v>1</v>
      </c>
      <c r="AC1918">
        <v>1008.4</v>
      </c>
      <c r="AD1918" t="s">
        <v>2625</v>
      </c>
      <c r="AE1918" s="2">
        <f t="shared" si="297"/>
        <v>0</v>
      </c>
      <c r="AF1918" t="s">
        <v>2626</v>
      </c>
      <c r="AG1918" s="2">
        <f t="shared" si="298"/>
        <v>6</v>
      </c>
      <c r="AH1918" s="2">
        <f t="shared" si="299"/>
        <v>1</v>
      </c>
      <c r="AI1918" s="3">
        <v>865.9999999939464</v>
      </c>
      <c r="AJ1918" s="2">
        <v>1</v>
      </c>
      <c r="AK1918">
        <v>0</v>
      </c>
      <c r="AL1918">
        <v>7</v>
      </c>
      <c r="AM1918">
        <v>0</v>
      </c>
      <c r="AN1918" s="2">
        <f>IF((2*G1918+M1918-O1918+3*V1918+2*AB1918+2*AE1918+2*AH1918+3*AJ1918)&gt;=7,1,0)</f>
        <v>1</v>
      </c>
    </row>
    <row r="1919" spans="1:40" x14ac:dyDescent="0.25">
      <c r="A1919" t="s">
        <v>27</v>
      </c>
      <c r="B1919" s="1">
        <v>42552</v>
      </c>
      <c r="C1919" s="6">
        <f t="shared" si="290"/>
        <v>2016</v>
      </c>
      <c r="D1919">
        <v>86</v>
      </c>
      <c r="E1919">
        <v>77</v>
      </c>
      <c r="F1919">
        <v>80.7</v>
      </c>
      <c r="G1919" s="2">
        <f t="shared" si="291"/>
        <v>1</v>
      </c>
      <c r="H1919">
        <v>92</v>
      </c>
      <c r="I1919">
        <v>77</v>
      </c>
      <c r="J1919">
        <v>83.2</v>
      </c>
      <c r="K1919">
        <v>70.900000000000006</v>
      </c>
      <c r="L1919">
        <v>72.599999999999994</v>
      </c>
      <c r="M1919" s="2">
        <f t="shared" si="292"/>
        <v>0</v>
      </c>
      <c r="N1919">
        <v>0</v>
      </c>
      <c r="O1919" s="2">
        <f t="shared" si="293"/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28.2</v>
      </c>
      <c r="V1919" s="2">
        <f t="shared" si="294"/>
        <v>1</v>
      </c>
      <c r="W1919">
        <v>15</v>
      </c>
      <c r="X1919" s="2">
        <f t="shared" si="295"/>
        <v>0</v>
      </c>
      <c r="Y1919">
        <v>309</v>
      </c>
      <c r="Z1919" s="2" t="str">
        <f>CHOOSE(MATCH(Y1919,{0;11;80;111;161;191;241;281;341},1),"North","NorthEast","East","SouthEast","South","SouthWest","West","NorthWest","North")</f>
        <v>NorthWest</v>
      </c>
      <c r="AA1919" s="4">
        <f>CHOOSE(MATCH(Z1919,{"South";"SouthEast";"SouthWest";"North";"NorthEast";"East";"West";"NorthWest"},0),1,2,3,4,5,6,7,8)</f>
        <v>8</v>
      </c>
      <c r="AB1919" s="2">
        <f t="shared" si="296"/>
        <v>1</v>
      </c>
      <c r="AC1919">
        <v>1013.7</v>
      </c>
      <c r="AD1919" t="s">
        <v>2141</v>
      </c>
      <c r="AE1919" s="2">
        <f t="shared" si="297"/>
        <v>1</v>
      </c>
      <c r="AF1919" t="s">
        <v>2627</v>
      </c>
      <c r="AG1919" s="2">
        <f t="shared" si="298"/>
        <v>7</v>
      </c>
      <c r="AH1919" s="2">
        <f t="shared" si="299"/>
        <v>1</v>
      </c>
      <c r="AI1919" s="3">
        <v>1660.0000000046571</v>
      </c>
      <c r="AJ1919" s="2">
        <v>1</v>
      </c>
      <c r="AK1919">
        <v>0</v>
      </c>
      <c r="AL1919">
        <v>13</v>
      </c>
      <c r="AM1919">
        <v>0</v>
      </c>
      <c r="AN1919" s="2">
        <f>IF((2*G1919+M1919-O1919+3*V1919+2*AB1919+2*AE1919+2*AH1919+3*AJ1919)&gt;=7,1,0)</f>
        <v>1</v>
      </c>
    </row>
    <row r="1920" spans="1:40" x14ac:dyDescent="0.25">
      <c r="A1920" t="s">
        <v>27</v>
      </c>
      <c r="B1920" s="1">
        <v>42564</v>
      </c>
      <c r="C1920" s="6">
        <f t="shared" si="290"/>
        <v>2016</v>
      </c>
      <c r="D1920">
        <v>82.4</v>
      </c>
      <c r="E1920">
        <v>68</v>
      </c>
      <c r="F1920">
        <v>76.599999999999994</v>
      </c>
      <c r="G1920" s="2">
        <f t="shared" si="291"/>
        <v>1</v>
      </c>
      <c r="H1920">
        <v>87.2</v>
      </c>
      <c r="I1920">
        <v>68</v>
      </c>
      <c r="J1920">
        <v>78.2</v>
      </c>
      <c r="K1920">
        <v>68.2</v>
      </c>
      <c r="L1920">
        <v>75.8</v>
      </c>
      <c r="M1920" s="2">
        <f t="shared" si="292"/>
        <v>0</v>
      </c>
      <c r="N1920">
        <v>0</v>
      </c>
      <c r="O1920" s="2">
        <f t="shared" si="293"/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20.100000000000001</v>
      </c>
      <c r="V1920" s="2">
        <f t="shared" si="294"/>
        <v>1</v>
      </c>
      <c r="W1920">
        <v>13.9</v>
      </c>
      <c r="X1920" s="2">
        <f t="shared" si="295"/>
        <v>0</v>
      </c>
      <c r="Y1920">
        <v>312.60000000000002</v>
      </c>
      <c r="Z1920" s="2" t="str">
        <f>CHOOSE(MATCH(Y1920,{0;11;80;111;161;191;241;281;341},1),"North","NorthEast","East","SouthEast","South","SouthWest","West","NorthWest","North")</f>
        <v>NorthWest</v>
      </c>
      <c r="AA1920" s="4">
        <f>CHOOSE(MATCH(Z1920,{"South";"SouthEast";"SouthWest";"North";"NorthEast";"East";"West";"NorthWest"},0),1,2,3,4,5,6,7,8)</f>
        <v>8</v>
      </c>
      <c r="AB1920" s="2">
        <f t="shared" si="296"/>
        <v>1</v>
      </c>
      <c r="AC1920">
        <v>1010.5</v>
      </c>
      <c r="AD1920" t="s">
        <v>1107</v>
      </c>
      <c r="AE1920" s="2">
        <f t="shared" si="297"/>
        <v>1</v>
      </c>
      <c r="AF1920" t="s">
        <v>2628</v>
      </c>
      <c r="AG1920" s="2">
        <f t="shared" si="298"/>
        <v>7</v>
      </c>
      <c r="AH1920" s="2">
        <f t="shared" si="299"/>
        <v>1</v>
      </c>
      <c r="AI1920" s="3">
        <v>459.99999999068677</v>
      </c>
      <c r="AJ1920" s="2">
        <v>1</v>
      </c>
      <c r="AK1920">
        <v>0</v>
      </c>
      <c r="AL1920">
        <v>2</v>
      </c>
      <c r="AM1920">
        <v>0</v>
      </c>
      <c r="AN1920" s="2">
        <f>IF((2*G1920+M1920-O1920+3*V1920+2*AB1920+2*AE1920+2*AH1920+3*AJ1920)&gt;=7,1,0)</f>
        <v>1</v>
      </c>
    </row>
    <row r="1921" spans="1:40" x14ac:dyDescent="0.25">
      <c r="A1921" t="s">
        <v>27</v>
      </c>
      <c r="B1921" s="1">
        <v>42565</v>
      </c>
      <c r="C1921" s="6">
        <f t="shared" si="290"/>
        <v>2016</v>
      </c>
      <c r="D1921">
        <v>86</v>
      </c>
      <c r="E1921">
        <v>68</v>
      </c>
      <c r="F1921">
        <v>78.3</v>
      </c>
      <c r="G1921" s="2">
        <f t="shared" si="291"/>
        <v>1</v>
      </c>
      <c r="H1921">
        <v>89.4</v>
      </c>
      <c r="I1921">
        <v>68</v>
      </c>
      <c r="J1921">
        <v>79.5</v>
      </c>
      <c r="K1921">
        <v>64.5</v>
      </c>
      <c r="L1921">
        <v>63.9</v>
      </c>
      <c r="M1921" s="2">
        <f t="shared" si="292"/>
        <v>1</v>
      </c>
      <c r="N1921">
        <v>0</v>
      </c>
      <c r="O1921" s="2">
        <f t="shared" si="293"/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20.6</v>
      </c>
      <c r="V1921" s="2">
        <f t="shared" si="294"/>
        <v>1</v>
      </c>
      <c r="W1921">
        <v>10.3</v>
      </c>
      <c r="X1921" s="2">
        <f t="shared" si="295"/>
        <v>0</v>
      </c>
      <c r="Y1921">
        <v>123.3</v>
      </c>
      <c r="Z1921" s="2" t="str">
        <f>CHOOSE(MATCH(Y1921,{0;11;80;111;161;191;241;281;341},1),"North","NorthEast","East","SouthEast","South","SouthWest","West","NorthWest","North")</f>
        <v>SouthEast</v>
      </c>
      <c r="AA1921" s="4">
        <f>CHOOSE(MATCH(Z1921,{"South";"SouthEast";"SouthWest";"North";"NorthEast";"East";"West";"NorthWest"},0),1,2,3,4,5,6,7,8)</f>
        <v>2</v>
      </c>
      <c r="AB1921" s="2">
        <f t="shared" si="296"/>
        <v>0</v>
      </c>
      <c r="AC1921">
        <v>1008.8</v>
      </c>
      <c r="AD1921" t="s">
        <v>2629</v>
      </c>
      <c r="AE1921" s="2">
        <f t="shared" si="297"/>
        <v>0</v>
      </c>
      <c r="AF1921" t="s">
        <v>2630</v>
      </c>
      <c r="AG1921" s="2">
        <f t="shared" si="298"/>
        <v>7</v>
      </c>
      <c r="AH1921" s="2">
        <f t="shared" si="299"/>
        <v>1</v>
      </c>
      <c r="AI1921" s="3">
        <v>437.99999999231659</v>
      </c>
      <c r="AJ1921" s="2">
        <v>1</v>
      </c>
      <c r="AK1921">
        <v>0</v>
      </c>
      <c r="AL1921">
        <v>5</v>
      </c>
      <c r="AM1921">
        <v>0</v>
      </c>
      <c r="AN1921" s="2">
        <f>IF((2*G1921+M1921-O1921+3*V1921+2*AB1921+2*AE1921+2*AH1921+3*AJ1921)&gt;=7,1,0)</f>
        <v>1</v>
      </c>
    </row>
    <row r="1922" spans="1:40" x14ac:dyDescent="0.25">
      <c r="A1922" t="s">
        <v>27</v>
      </c>
      <c r="B1922" s="1">
        <v>42566</v>
      </c>
      <c r="C1922" s="6">
        <f t="shared" si="290"/>
        <v>2016</v>
      </c>
      <c r="D1922">
        <v>91.4</v>
      </c>
      <c r="E1922">
        <v>69.8</v>
      </c>
      <c r="F1922">
        <v>81.599999999999994</v>
      </c>
      <c r="G1922" s="2">
        <f t="shared" si="291"/>
        <v>1</v>
      </c>
      <c r="H1922">
        <v>96.9</v>
      </c>
      <c r="I1922">
        <v>69.8</v>
      </c>
      <c r="J1922">
        <v>84.1</v>
      </c>
      <c r="K1922">
        <v>65.2</v>
      </c>
      <c r="L1922">
        <v>58.8</v>
      </c>
      <c r="M1922" s="2">
        <f t="shared" si="292"/>
        <v>1</v>
      </c>
      <c r="N1922">
        <v>0</v>
      </c>
      <c r="O1922" s="2">
        <f t="shared" si="293"/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18.100000000000001</v>
      </c>
      <c r="V1922" s="2">
        <f t="shared" si="294"/>
        <v>1</v>
      </c>
      <c r="W1922">
        <v>9.1999999999999993</v>
      </c>
      <c r="X1922" s="2">
        <f t="shared" si="295"/>
        <v>0</v>
      </c>
      <c r="Y1922">
        <v>151</v>
      </c>
      <c r="Z1922" s="2" t="str">
        <f>CHOOSE(MATCH(Y1922,{0;11;80;111;161;191;241;281;341},1),"North","NorthEast","East","SouthEast","South","SouthWest","West","NorthWest","North")</f>
        <v>SouthEast</v>
      </c>
      <c r="AA1922" s="4">
        <f>CHOOSE(MATCH(Z1922,{"South";"SouthEast";"SouthWest";"North";"NorthEast";"East";"West";"NorthWest"},0),1,2,3,4,5,6,7,8)</f>
        <v>2</v>
      </c>
      <c r="AB1922" s="2">
        <f t="shared" si="296"/>
        <v>0</v>
      </c>
      <c r="AC1922">
        <v>1007.2</v>
      </c>
      <c r="AD1922" t="s">
        <v>1228</v>
      </c>
      <c r="AE1922" s="2">
        <f t="shared" si="297"/>
        <v>1</v>
      </c>
      <c r="AF1922" t="s">
        <v>2631</v>
      </c>
      <c r="AG1922" s="2">
        <f t="shared" si="298"/>
        <v>7</v>
      </c>
      <c r="AH1922" s="2">
        <f t="shared" si="299"/>
        <v>1</v>
      </c>
      <c r="AI1922" s="3">
        <v>1339.9999999988361</v>
      </c>
      <c r="AJ1922" s="2">
        <v>1</v>
      </c>
      <c r="AK1922">
        <v>0</v>
      </c>
      <c r="AL1922">
        <v>15</v>
      </c>
      <c r="AM1922">
        <v>0</v>
      </c>
      <c r="AN1922" s="2">
        <f>IF((2*G1922+M1922-O1922+3*V1922+2*AB1922+2*AE1922+2*AH1922+3*AJ1922)&gt;=7,1,0)</f>
        <v>1</v>
      </c>
    </row>
    <row r="1923" spans="1:40" x14ac:dyDescent="0.25">
      <c r="A1923" t="s">
        <v>27</v>
      </c>
      <c r="B1923" s="1">
        <v>42568</v>
      </c>
      <c r="C1923" s="6">
        <f t="shared" ref="C1923:C1986" si="300">YEAR(B1923)</f>
        <v>2016</v>
      </c>
      <c r="D1923">
        <v>82.4</v>
      </c>
      <c r="E1923">
        <v>75.2</v>
      </c>
      <c r="F1923">
        <v>78.900000000000006</v>
      </c>
      <c r="G1923" s="2">
        <f t="shared" ref="G1923:G1986" si="301">IF(F1923&lt;=70,0,1)</f>
        <v>1</v>
      </c>
      <c r="H1923">
        <v>90.9</v>
      </c>
      <c r="I1923">
        <v>75.2</v>
      </c>
      <c r="J1923">
        <v>82.1</v>
      </c>
      <c r="K1923">
        <v>70.3</v>
      </c>
      <c r="L1923">
        <v>75.8</v>
      </c>
      <c r="M1923" s="2">
        <f t="shared" ref="M1923:M1986" si="302">IF(L1923&lt;=66,1,0)</f>
        <v>0</v>
      </c>
      <c r="N1923">
        <v>0</v>
      </c>
      <c r="O1923" s="2">
        <f t="shared" ref="O1923:O1986" si="303">IF(N1923&lt;=0.01,1,0)</f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26.8</v>
      </c>
      <c r="V1923" s="2">
        <f t="shared" ref="V1923:V1986" si="304">IF(U1923&lt;=9,0,1)</f>
        <v>1</v>
      </c>
      <c r="W1923">
        <v>25.3</v>
      </c>
      <c r="X1923" s="2">
        <f t="shared" ref="X1923:X1986" si="305">IF(W1923&gt;=16,1,0)</f>
        <v>1</v>
      </c>
      <c r="Y1923">
        <v>294.89999999999998</v>
      </c>
      <c r="Z1923" s="2" t="str">
        <f>CHOOSE(MATCH(Y1923,{0;11;80;111;161;191;241;281;341},1),"North","NorthEast","East","SouthEast","South","SouthWest","West","NorthWest","North")</f>
        <v>NorthWest</v>
      </c>
      <c r="AA1923" s="4">
        <f>CHOOSE(MATCH(Z1923,{"South";"SouthEast";"SouthWest";"North";"NorthEast";"East";"West";"NorthWest"},0),1,2,3,4,5,6,7,8)</f>
        <v>8</v>
      </c>
      <c r="AB1923" s="2">
        <f t="shared" ref="AB1923:AB1986" si="306">IF(OR(AA1923=4,AA1923=5,AA1923=8),1,0)</f>
        <v>1</v>
      </c>
      <c r="AC1923">
        <v>1009.9</v>
      </c>
      <c r="AD1923" t="s">
        <v>2632</v>
      </c>
      <c r="AE1923" s="2">
        <f t="shared" ref="AE1923:AE1986" si="307">IF(TIMEVALUE(AD1923)&lt;=TIME(12,30,0),0,1)</f>
        <v>0</v>
      </c>
      <c r="AF1923" t="s">
        <v>2633</v>
      </c>
      <c r="AG1923" s="2">
        <f t="shared" ref="AG1923:AG1986" si="308">MONTH(AF1923)</f>
        <v>7</v>
      </c>
      <c r="AH1923" s="2">
        <f t="shared" ref="AH1923:AH1986" si="309">IF(OR(AG1923=6,AG1923=7,AG1923=8),1,0)</f>
        <v>1</v>
      </c>
      <c r="AI1923" s="3">
        <v>486.00000000209548</v>
      </c>
      <c r="AJ1923" s="2">
        <v>1</v>
      </c>
      <c r="AK1923">
        <v>0</v>
      </c>
      <c r="AL1923">
        <v>7</v>
      </c>
      <c r="AM1923">
        <v>0</v>
      </c>
      <c r="AN1923" s="2">
        <f>IF((2*G1923+M1923-O1923+3*V1923+2*AB1923+2*AE1923+2*AH1923+3*AJ1923)&gt;=7,1,0)</f>
        <v>1</v>
      </c>
    </row>
    <row r="1924" spans="1:40" x14ac:dyDescent="0.25">
      <c r="A1924" t="s">
        <v>27</v>
      </c>
      <c r="B1924" s="1">
        <v>42569</v>
      </c>
      <c r="C1924" s="6">
        <f t="shared" si="300"/>
        <v>2016</v>
      </c>
      <c r="D1924">
        <v>84.2</v>
      </c>
      <c r="E1924">
        <v>68</v>
      </c>
      <c r="F1924">
        <v>77.400000000000006</v>
      </c>
      <c r="G1924" s="2">
        <f t="shared" si="301"/>
        <v>1</v>
      </c>
      <c r="H1924">
        <v>96.1</v>
      </c>
      <c r="I1924">
        <v>68</v>
      </c>
      <c r="J1924">
        <v>81.099999999999994</v>
      </c>
      <c r="K1924">
        <v>71.3</v>
      </c>
      <c r="L1924">
        <v>81.8</v>
      </c>
      <c r="M1924" s="2">
        <f t="shared" si="302"/>
        <v>0</v>
      </c>
      <c r="N1924">
        <v>0</v>
      </c>
      <c r="O1924" s="2">
        <f t="shared" si="303"/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30.9</v>
      </c>
      <c r="V1924" s="2">
        <f t="shared" si="304"/>
        <v>1</v>
      </c>
      <c r="W1924">
        <v>19.7</v>
      </c>
      <c r="X1924" s="2">
        <f t="shared" si="305"/>
        <v>1</v>
      </c>
      <c r="Y1924">
        <v>296.60000000000002</v>
      </c>
      <c r="Z1924" s="2" t="str">
        <f>CHOOSE(MATCH(Y1924,{0;11;80;111;161;191;241;281;341},1),"North","NorthEast","East","SouthEast","South","SouthWest","West","NorthWest","North")</f>
        <v>NorthWest</v>
      </c>
      <c r="AA1924" s="4">
        <f>CHOOSE(MATCH(Z1924,{"South";"SouthEast";"SouthWest";"North";"NorthEast";"East";"West";"NorthWest"},0),1,2,3,4,5,6,7,8)</f>
        <v>8</v>
      </c>
      <c r="AB1924" s="2">
        <f t="shared" si="306"/>
        <v>1</v>
      </c>
      <c r="AC1924">
        <v>1009.2</v>
      </c>
      <c r="AD1924" t="s">
        <v>2634</v>
      </c>
      <c r="AE1924" s="2">
        <f t="shared" si="307"/>
        <v>1</v>
      </c>
      <c r="AF1924" t="s">
        <v>2635</v>
      </c>
      <c r="AG1924" s="2">
        <f t="shared" si="308"/>
        <v>7</v>
      </c>
      <c r="AH1924" s="2">
        <f t="shared" si="309"/>
        <v>1</v>
      </c>
      <c r="AI1924" s="3">
        <v>18680.999999998599</v>
      </c>
      <c r="AJ1924" s="2">
        <v>1</v>
      </c>
      <c r="AK1924">
        <v>2000</v>
      </c>
      <c r="AL1924">
        <v>1000</v>
      </c>
      <c r="AM1924">
        <v>0</v>
      </c>
      <c r="AN1924" s="2">
        <f>IF((2*G1924+M1924-O1924+3*V1924+2*AB1924+2*AE1924+2*AH1924+3*AJ1924)&gt;=7,1,0)</f>
        <v>1</v>
      </c>
    </row>
    <row r="1925" spans="1:40" x14ac:dyDescent="0.25">
      <c r="A1925" t="s">
        <v>27</v>
      </c>
      <c r="B1925" s="1">
        <v>42572</v>
      </c>
      <c r="C1925" s="6">
        <f t="shared" si="300"/>
        <v>2016</v>
      </c>
      <c r="D1925">
        <v>82.4</v>
      </c>
      <c r="E1925">
        <v>75.2</v>
      </c>
      <c r="F1925">
        <v>78.8</v>
      </c>
      <c r="G1925" s="2">
        <f t="shared" si="301"/>
        <v>1</v>
      </c>
      <c r="H1925">
        <v>86.2</v>
      </c>
      <c r="I1925">
        <v>75.2</v>
      </c>
      <c r="J1925">
        <v>80</v>
      </c>
      <c r="K1925">
        <v>67.599999999999994</v>
      </c>
      <c r="L1925">
        <v>68.8</v>
      </c>
      <c r="M1925" s="2">
        <f t="shared" si="302"/>
        <v>0</v>
      </c>
      <c r="N1925">
        <v>0</v>
      </c>
      <c r="O1925" s="2">
        <f t="shared" si="303"/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37.1</v>
      </c>
      <c r="V1925" s="2">
        <f t="shared" si="304"/>
        <v>1</v>
      </c>
      <c r="W1925">
        <v>20.8</v>
      </c>
      <c r="X1925" s="2">
        <f t="shared" si="305"/>
        <v>1</v>
      </c>
      <c r="Y1925">
        <v>303</v>
      </c>
      <c r="Z1925" s="2" t="str">
        <f>CHOOSE(MATCH(Y1925,{0;11;80;111;161;191;241;281;341},1),"North","NorthEast","East","SouthEast","South","SouthWest","West","NorthWest","North")</f>
        <v>NorthWest</v>
      </c>
      <c r="AA1925" s="4">
        <f>CHOOSE(MATCH(Z1925,{"South";"SouthEast";"SouthWest";"North";"NorthEast";"East";"West";"NorthWest"},0),1,2,3,4,5,6,7,8)</f>
        <v>8</v>
      </c>
      <c r="AB1925" s="2">
        <f t="shared" si="306"/>
        <v>1</v>
      </c>
      <c r="AC1925">
        <v>1011.7</v>
      </c>
      <c r="AD1925" t="s">
        <v>2636</v>
      </c>
      <c r="AE1925" s="2">
        <f t="shared" si="307"/>
        <v>1</v>
      </c>
      <c r="AF1925" t="s">
        <v>2637</v>
      </c>
      <c r="AG1925" s="2">
        <f t="shared" si="308"/>
        <v>7</v>
      </c>
      <c r="AH1925" s="2">
        <f t="shared" si="309"/>
        <v>1</v>
      </c>
      <c r="AI1925" s="3">
        <v>6755.999999998603</v>
      </c>
      <c r="AJ1925" s="2">
        <v>1</v>
      </c>
      <c r="AK1925">
        <v>0</v>
      </c>
      <c r="AL1925">
        <v>980</v>
      </c>
      <c r="AM1925">
        <v>0</v>
      </c>
      <c r="AN1925" s="2">
        <f>IF((2*G1925+M1925-O1925+3*V1925+2*AB1925+2*AE1925+2*AH1925+3*AJ1925)&gt;=7,1,0)</f>
        <v>1</v>
      </c>
    </row>
    <row r="1926" spans="1:40" x14ac:dyDescent="0.25">
      <c r="A1926" t="s">
        <v>27</v>
      </c>
      <c r="B1926" s="1">
        <v>42575</v>
      </c>
      <c r="C1926" s="6">
        <f t="shared" si="300"/>
        <v>2016</v>
      </c>
      <c r="D1926">
        <v>87.8</v>
      </c>
      <c r="E1926">
        <v>73.400000000000006</v>
      </c>
      <c r="F1926">
        <v>81.400000000000006</v>
      </c>
      <c r="G1926" s="2">
        <f t="shared" si="301"/>
        <v>1</v>
      </c>
      <c r="H1926">
        <v>94.2</v>
      </c>
      <c r="I1926">
        <v>73.400000000000006</v>
      </c>
      <c r="J1926">
        <v>84.8</v>
      </c>
      <c r="K1926">
        <v>68.900000000000006</v>
      </c>
      <c r="L1926">
        <v>66.2</v>
      </c>
      <c r="M1926" s="2">
        <f t="shared" si="302"/>
        <v>0</v>
      </c>
      <c r="N1926">
        <v>0</v>
      </c>
      <c r="O1926" s="2">
        <f t="shared" si="303"/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32.200000000000003</v>
      </c>
      <c r="V1926" s="2">
        <f t="shared" si="304"/>
        <v>1</v>
      </c>
      <c r="W1926">
        <v>20.8</v>
      </c>
      <c r="X1926" s="2">
        <f t="shared" si="305"/>
        <v>1</v>
      </c>
      <c r="Y1926">
        <v>295.7</v>
      </c>
      <c r="Z1926" s="2" t="str">
        <f>CHOOSE(MATCH(Y1926,{0;11;80;111;161;191;241;281;341},1),"North","NorthEast","East","SouthEast","South","SouthWest","West","NorthWest","North")</f>
        <v>NorthWest</v>
      </c>
      <c r="AA1926" s="4">
        <f>CHOOSE(MATCH(Z1926,{"South";"SouthEast";"SouthWest";"North";"NorthEast";"East";"West";"NorthWest"},0),1,2,3,4,5,6,7,8)</f>
        <v>8</v>
      </c>
      <c r="AB1926" s="2">
        <f t="shared" si="306"/>
        <v>1</v>
      </c>
      <c r="AC1926">
        <v>1009.9</v>
      </c>
      <c r="AD1926" t="s">
        <v>2638</v>
      </c>
      <c r="AE1926" s="2">
        <f t="shared" si="307"/>
        <v>1</v>
      </c>
      <c r="AF1926" t="s">
        <v>2639</v>
      </c>
      <c r="AG1926" s="2">
        <f t="shared" si="308"/>
        <v>7</v>
      </c>
      <c r="AH1926" s="2">
        <f t="shared" si="309"/>
        <v>1</v>
      </c>
      <c r="AI1926" s="3">
        <v>1984.9999999953429</v>
      </c>
      <c r="AJ1926" s="2">
        <v>1</v>
      </c>
      <c r="AK1926">
        <v>0</v>
      </c>
      <c r="AL1926">
        <v>10</v>
      </c>
      <c r="AM1926">
        <v>0</v>
      </c>
      <c r="AN1926" s="2">
        <f>IF((2*G1926+M1926-O1926+3*V1926+2*AB1926+2*AE1926+2*AH1926+3*AJ1926)&gt;=7,1,0)</f>
        <v>1</v>
      </c>
    </row>
    <row r="1927" spans="1:40" x14ac:dyDescent="0.25">
      <c r="A1927" t="s">
        <v>27</v>
      </c>
      <c r="B1927" s="1">
        <v>42576</v>
      </c>
      <c r="C1927" s="6">
        <f t="shared" si="300"/>
        <v>2016</v>
      </c>
      <c r="D1927">
        <v>86</v>
      </c>
      <c r="E1927">
        <v>78.8</v>
      </c>
      <c r="F1927">
        <v>82.2</v>
      </c>
      <c r="G1927" s="2">
        <f t="shared" si="301"/>
        <v>1</v>
      </c>
      <c r="H1927">
        <v>93.3</v>
      </c>
      <c r="I1927">
        <v>78.8</v>
      </c>
      <c r="J1927">
        <v>86</v>
      </c>
      <c r="K1927">
        <v>70.3</v>
      </c>
      <c r="L1927">
        <v>67.5</v>
      </c>
      <c r="M1927" s="2">
        <f t="shared" si="302"/>
        <v>0</v>
      </c>
      <c r="N1927">
        <v>0</v>
      </c>
      <c r="O1927" s="2">
        <f t="shared" si="303"/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34</v>
      </c>
      <c r="V1927" s="2">
        <f t="shared" si="304"/>
        <v>1</v>
      </c>
      <c r="W1927">
        <v>23</v>
      </c>
      <c r="X1927" s="2">
        <f t="shared" si="305"/>
        <v>1</v>
      </c>
      <c r="Y1927">
        <v>299.39999999999998</v>
      </c>
      <c r="Z1927" s="2" t="str">
        <f>CHOOSE(MATCH(Y1927,{0;11;80;111;161;191;241;281;341},1),"North","NorthEast","East","SouthEast","South","SouthWest","West","NorthWest","North")</f>
        <v>NorthWest</v>
      </c>
      <c r="AA1927" s="4">
        <f>CHOOSE(MATCH(Z1927,{"South";"SouthEast";"SouthWest";"North";"NorthEast";"East";"West";"NorthWest"},0),1,2,3,4,5,6,7,8)</f>
        <v>8</v>
      </c>
      <c r="AB1927" s="2">
        <f t="shared" si="306"/>
        <v>1</v>
      </c>
      <c r="AC1927">
        <v>1008.3</v>
      </c>
      <c r="AD1927" t="s">
        <v>2640</v>
      </c>
      <c r="AE1927" s="2">
        <f t="shared" si="307"/>
        <v>0</v>
      </c>
      <c r="AF1927" t="s">
        <v>2641</v>
      </c>
      <c r="AG1927" s="2">
        <f t="shared" si="308"/>
        <v>7</v>
      </c>
      <c r="AH1927" s="2">
        <f t="shared" si="309"/>
        <v>1</v>
      </c>
      <c r="AI1927" s="3">
        <v>1961.0000000009311</v>
      </c>
      <c r="AJ1927" s="2">
        <v>1</v>
      </c>
      <c r="AK1927">
        <v>0</v>
      </c>
      <c r="AL1927">
        <v>150</v>
      </c>
      <c r="AM1927">
        <v>0</v>
      </c>
      <c r="AN1927" s="2">
        <f>IF((2*G1927+M1927-O1927+3*V1927+2*AB1927+2*AE1927+2*AH1927+3*AJ1927)&gt;=7,1,0)</f>
        <v>1</v>
      </c>
    </row>
    <row r="1928" spans="1:40" x14ac:dyDescent="0.25">
      <c r="A1928" t="s">
        <v>27</v>
      </c>
      <c r="B1928" s="1">
        <v>42577</v>
      </c>
      <c r="C1928" s="6">
        <f t="shared" si="300"/>
        <v>2016</v>
      </c>
      <c r="D1928">
        <v>84.2</v>
      </c>
      <c r="E1928">
        <v>77</v>
      </c>
      <c r="F1928">
        <v>80.2</v>
      </c>
      <c r="G1928" s="2">
        <f t="shared" si="301"/>
        <v>1</v>
      </c>
      <c r="H1928">
        <v>91</v>
      </c>
      <c r="I1928">
        <v>77</v>
      </c>
      <c r="J1928">
        <v>83</v>
      </c>
      <c r="K1928">
        <v>71.099999999999994</v>
      </c>
      <c r="L1928">
        <v>74.099999999999994</v>
      </c>
      <c r="M1928" s="2">
        <f t="shared" si="302"/>
        <v>0</v>
      </c>
      <c r="N1928">
        <v>0</v>
      </c>
      <c r="O1928" s="2">
        <f t="shared" si="303"/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32.4</v>
      </c>
      <c r="V1928" s="2">
        <f t="shared" si="304"/>
        <v>1</v>
      </c>
      <c r="W1928">
        <v>19.600000000000001</v>
      </c>
      <c r="X1928" s="2">
        <f t="shared" si="305"/>
        <v>1</v>
      </c>
      <c r="Y1928">
        <v>306.39999999999998</v>
      </c>
      <c r="Z1928" s="2" t="str">
        <f>CHOOSE(MATCH(Y1928,{0;11;80;111;161;191;241;281;341},1),"North","NorthEast","East","SouthEast","South","SouthWest","West","NorthWest","North")</f>
        <v>NorthWest</v>
      </c>
      <c r="AA1928" s="4">
        <f>CHOOSE(MATCH(Z1928,{"South";"SouthEast";"SouthWest";"North";"NorthEast";"East";"West";"NorthWest"},0),1,2,3,4,5,6,7,8)</f>
        <v>8</v>
      </c>
      <c r="AB1928" s="2">
        <f t="shared" si="306"/>
        <v>1</v>
      </c>
      <c r="AC1928">
        <v>1009.1</v>
      </c>
      <c r="AD1928" t="s">
        <v>2027</v>
      </c>
      <c r="AE1928" s="2">
        <f t="shared" si="307"/>
        <v>0</v>
      </c>
      <c r="AF1928" t="s">
        <v>2642</v>
      </c>
      <c r="AG1928" s="2">
        <f t="shared" si="308"/>
        <v>7</v>
      </c>
      <c r="AH1928" s="2">
        <f t="shared" si="309"/>
        <v>1</v>
      </c>
      <c r="AI1928" s="3">
        <v>3196.0000000032601</v>
      </c>
      <c r="AJ1928" s="2">
        <v>1</v>
      </c>
      <c r="AK1928">
        <v>0</v>
      </c>
      <c r="AL1928">
        <v>70</v>
      </c>
      <c r="AM1928">
        <v>0</v>
      </c>
      <c r="AN1928" s="2">
        <f>IF((2*G1928+M1928-O1928+3*V1928+2*AB1928+2*AE1928+2*AH1928+3*AJ1928)&gt;=7,1,0)</f>
        <v>1</v>
      </c>
    </row>
    <row r="1929" spans="1:40" x14ac:dyDescent="0.25">
      <c r="A1929" t="s">
        <v>27</v>
      </c>
      <c r="B1929" s="1">
        <v>42577</v>
      </c>
      <c r="C1929" s="6">
        <f t="shared" si="300"/>
        <v>2016</v>
      </c>
      <c r="D1929">
        <v>84.2</v>
      </c>
      <c r="E1929">
        <v>77</v>
      </c>
      <c r="F1929">
        <v>80.2</v>
      </c>
      <c r="G1929" s="2">
        <f t="shared" si="301"/>
        <v>1</v>
      </c>
      <c r="H1929">
        <v>91</v>
      </c>
      <c r="I1929">
        <v>77</v>
      </c>
      <c r="J1929">
        <v>83</v>
      </c>
      <c r="K1929">
        <v>71.099999999999994</v>
      </c>
      <c r="L1929">
        <v>74.099999999999994</v>
      </c>
      <c r="M1929" s="2">
        <f t="shared" si="302"/>
        <v>0</v>
      </c>
      <c r="N1929">
        <v>0</v>
      </c>
      <c r="O1929" s="2">
        <f t="shared" si="303"/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32.4</v>
      </c>
      <c r="V1929" s="2">
        <f t="shared" si="304"/>
        <v>1</v>
      </c>
      <c r="W1929">
        <v>19.600000000000001</v>
      </c>
      <c r="X1929" s="2">
        <f t="shared" si="305"/>
        <v>1</v>
      </c>
      <c r="Y1929">
        <v>306.39999999999998</v>
      </c>
      <c r="Z1929" s="2" t="str">
        <f>CHOOSE(MATCH(Y1929,{0;11;80;111;161;191;241;281;341},1),"North","NorthEast","East","SouthEast","South","SouthWest","West","NorthWest","North")</f>
        <v>NorthWest</v>
      </c>
      <c r="AA1929" s="4">
        <f>CHOOSE(MATCH(Z1929,{"South";"SouthEast";"SouthWest";"North";"NorthEast";"East";"West";"NorthWest"},0),1,2,3,4,5,6,7,8)</f>
        <v>8</v>
      </c>
      <c r="AB1929" s="2">
        <f t="shared" si="306"/>
        <v>1</v>
      </c>
      <c r="AC1929">
        <v>1009.1</v>
      </c>
      <c r="AD1929" t="s">
        <v>2643</v>
      </c>
      <c r="AE1929" s="2">
        <f t="shared" si="307"/>
        <v>1</v>
      </c>
      <c r="AF1929" t="s">
        <v>2644</v>
      </c>
      <c r="AG1929" s="2">
        <f t="shared" si="308"/>
        <v>7</v>
      </c>
      <c r="AH1929" s="2">
        <f t="shared" si="309"/>
        <v>1</v>
      </c>
      <c r="AI1929" s="3">
        <v>145.9999999939464</v>
      </c>
      <c r="AJ1929" s="2">
        <v>0</v>
      </c>
      <c r="AK1929">
        <v>0</v>
      </c>
      <c r="AL1929">
        <v>2</v>
      </c>
      <c r="AM1929">
        <v>0</v>
      </c>
      <c r="AN1929" s="2">
        <f>IF((2*G1929+M1929-O1929+3*V1929+2*AB1929+2*AE1929+2*AH1929+3*AJ1929)&gt;=7,1,0)</f>
        <v>1</v>
      </c>
    </row>
    <row r="1930" spans="1:40" x14ac:dyDescent="0.25">
      <c r="A1930" t="s">
        <v>27</v>
      </c>
      <c r="B1930" s="1">
        <v>42578</v>
      </c>
      <c r="C1930" s="6">
        <f t="shared" si="300"/>
        <v>2016</v>
      </c>
      <c r="D1930">
        <v>84.2</v>
      </c>
      <c r="E1930">
        <v>75.2</v>
      </c>
      <c r="F1930">
        <v>80.2</v>
      </c>
      <c r="G1930" s="2">
        <f t="shared" si="301"/>
        <v>1</v>
      </c>
      <c r="H1930">
        <v>92.5</v>
      </c>
      <c r="I1930">
        <v>75.2</v>
      </c>
      <c r="J1930">
        <v>83.6</v>
      </c>
      <c r="K1930">
        <v>72.5</v>
      </c>
      <c r="L1930">
        <v>77.8</v>
      </c>
      <c r="M1930" s="2">
        <f t="shared" si="302"/>
        <v>0</v>
      </c>
      <c r="N1930">
        <v>0</v>
      </c>
      <c r="O1930" s="2">
        <f t="shared" si="303"/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31.5</v>
      </c>
      <c r="V1930" s="2">
        <f t="shared" si="304"/>
        <v>1</v>
      </c>
      <c r="W1930">
        <v>19.7</v>
      </c>
      <c r="X1930" s="2">
        <f t="shared" si="305"/>
        <v>1</v>
      </c>
      <c r="Y1930">
        <v>305.2</v>
      </c>
      <c r="Z1930" s="2" t="str">
        <f>CHOOSE(MATCH(Y1930,{0;11;80;111;161;191;241;281;341},1),"North","NorthEast","East","SouthEast","South","SouthWest","West","NorthWest","North")</f>
        <v>NorthWest</v>
      </c>
      <c r="AA1930" s="4">
        <f>CHOOSE(MATCH(Z1930,{"South";"SouthEast";"SouthWest";"North";"NorthEast";"East";"West";"NorthWest"},0),1,2,3,4,5,6,7,8)</f>
        <v>8</v>
      </c>
      <c r="AB1930" s="2">
        <f t="shared" si="306"/>
        <v>1</v>
      </c>
      <c r="AC1930">
        <v>1010.2</v>
      </c>
      <c r="AD1930" t="s">
        <v>1844</v>
      </c>
      <c r="AE1930" s="2">
        <f t="shared" si="307"/>
        <v>1</v>
      </c>
      <c r="AF1930" t="s">
        <v>2645</v>
      </c>
      <c r="AG1930" s="2">
        <f t="shared" si="308"/>
        <v>7</v>
      </c>
      <c r="AH1930" s="2">
        <f t="shared" si="309"/>
        <v>1</v>
      </c>
      <c r="AI1930" s="3">
        <v>1699.9999999988361</v>
      </c>
      <c r="AJ1930" s="2">
        <v>1</v>
      </c>
      <c r="AK1930">
        <v>0</v>
      </c>
      <c r="AL1930">
        <v>2</v>
      </c>
      <c r="AM1930">
        <v>0</v>
      </c>
      <c r="AN1930" s="2">
        <f>IF((2*G1930+M1930-O1930+3*V1930+2*AB1930+2*AE1930+2*AH1930+3*AJ1930)&gt;=7,1,0)</f>
        <v>1</v>
      </c>
    </row>
    <row r="1931" spans="1:40" x14ac:dyDescent="0.25">
      <c r="A1931" t="s">
        <v>27</v>
      </c>
      <c r="B1931" s="1">
        <v>42579</v>
      </c>
      <c r="C1931" s="6">
        <f t="shared" si="300"/>
        <v>2016</v>
      </c>
      <c r="D1931">
        <v>87.8</v>
      </c>
      <c r="E1931">
        <v>77</v>
      </c>
      <c r="F1931">
        <v>81.3</v>
      </c>
      <c r="G1931" s="2">
        <f t="shared" si="301"/>
        <v>1</v>
      </c>
      <c r="H1931">
        <v>94.2</v>
      </c>
      <c r="I1931">
        <v>77</v>
      </c>
      <c r="J1931">
        <v>84.3</v>
      </c>
      <c r="K1931">
        <v>70.8</v>
      </c>
      <c r="L1931">
        <v>70.900000000000006</v>
      </c>
      <c r="M1931" s="2">
        <f t="shared" si="302"/>
        <v>0</v>
      </c>
      <c r="N1931">
        <v>0</v>
      </c>
      <c r="O1931" s="2">
        <f t="shared" si="303"/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33.1</v>
      </c>
      <c r="V1931" s="2">
        <f t="shared" si="304"/>
        <v>1</v>
      </c>
      <c r="W1931">
        <v>20.8</v>
      </c>
      <c r="X1931" s="2">
        <f t="shared" si="305"/>
        <v>1</v>
      </c>
      <c r="Y1931">
        <v>298.5</v>
      </c>
      <c r="Z1931" s="2" t="str">
        <f>CHOOSE(MATCH(Y1931,{0;11;80;111;161;191;241;281;341},1),"North","NorthEast","East","SouthEast","South","SouthWest","West","NorthWest","North")</f>
        <v>NorthWest</v>
      </c>
      <c r="AA1931" s="4">
        <f>CHOOSE(MATCH(Z1931,{"South";"SouthEast";"SouthWest";"North";"NorthEast";"East";"West";"NorthWest"},0),1,2,3,4,5,6,7,8)</f>
        <v>8</v>
      </c>
      <c r="AB1931" s="2">
        <f t="shared" si="306"/>
        <v>1</v>
      </c>
      <c r="AC1931">
        <v>1010.4</v>
      </c>
      <c r="AD1931" t="s">
        <v>1947</v>
      </c>
      <c r="AE1931" s="2">
        <f t="shared" si="307"/>
        <v>1</v>
      </c>
      <c r="AF1931" t="s">
        <v>2646</v>
      </c>
      <c r="AG1931" s="2">
        <f t="shared" si="308"/>
        <v>7</v>
      </c>
      <c r="AH1931" s="2">
        <f t="shared" si="309"/>
        <v>1</v>
      </c>
      <c r="AI1931" s="3">
        <v>1059.9999999976719</v>
      </c>
      <c r="AJ1931" s="2">
        <v>1</v>
      </c>
      <c r="AK1931">
        <v>0</v>
      </c>
      <c r="AL1931">
        <v>2</v>
      </c>
      <c r="AM1931">
        <v>0</v>
      </c>
      <c r="AN1931" s="2">
        <f>IF((2*G1931+M1931-O1931+3*V1931+2*AB1931+2*AE1931+2*AH1931+3*AJ1931)&gt;=7,1,0)</f>
        <v>1</v>
      </c>
    </row>
    <row r="1932" spans="1:40" x14ac:dyDescent="0.25">
      <c r="A1932" t="s">
        <v>27</v>
      </c>
      <c r="B1932" s="1">
        <v>42579</v>
      </c>
      <c r="C1932" s="6">
        <f t="shared" si="300"/>
        <v>2016</v>
      </c>
      <c r="D1932">
        <v>87.8</v>
      </c>
      <c r="E1932">
        <v>77</v>
      </c>
      <c r="F1932">
        <v>81.3</v>
      </c>
      <c r="G1932" s="2">
        <f t="shared" si="301"/>
        <v>1</v>
      </c>
      <c r="H1932">
        <v>94.2</v>
      </c>
      <c r="I1932">
        <v>77</v>
      </c>
      <c r="J1932">
        <v>84.3</v>
      </c>
      <c r="K1932">
        <v>70.8</v>
      </c>
      <c r="L1932">
        <v>70.900000000000006</v>
      </c>
      <c r="M1932" s="2">
        <f t="shared" si="302"/>
        <v>0</v>
      </c>
      <c r="N1932">
        <v>0</v>
      </c>
      <c r="O1932" s="2">
        <f t="shared" si="303"/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33.1</v>
      </c>
      <c r="V1932" s="2">
        <f t="shared" si="304"/>
        <v>1</v>
      </c>
      <c r="W1932">
        <v>20.8</v>
      </c>
      <c r="X1932" s="2">
        <f t="shared" si="305"/>
        <v>1</v>
      </c>
      <c r="Y1932">
        <v>298.5</v>
      </c>
      <c r="Z1932" s="2" t="str">
        <f>CHOOSE(MATCH(Y1932,{0;11;80;111;161;191;241;281;341},1),"North","NorthEast","East","SouthEast","South","SouthWest","West","NorthWest","North")</f>
        <v>NorthWest</v>
      </c>
      <c r="AA1932" s="4">
        <f>CHOOSE(MATCH(Z1932,{"South";"SouthEast";"SouthWest";"North";"NorthEast";"East";"West";"NorthWest"},0),1,2,3,4,5,6,7,8)</f>
        <v>8</v>
      </c>
      <c r="AB1932" s="2">
        <f t="shared" si="306"/>
        <v>1</v>
      </c>
      <c r="AC1932">
        <v>1010.4</v>
      </c>
      <c r="AD1932" t="s">
        <v>1748</v>
      </c>
      <c r="AE1932" s="2">
        <f t="shared" si="307"/>
        <v>1</v>
      </c>
      <c r="AF1932" t="s">
        <v>2647</v>
      </c>
      <c r="AG1932" s="2">
        <f t="shared" si="308"/>
        <v>7</v>
      </c>
      <c r="AH1932" s="2">
        <f t="shared" si="309"/>
        <v>1</v>
      </c>
      <c r="AI1932" s="3">
        <v>5265</v>
      </c>
      <c r="AJ1932" s="2">
        <v>1</v>
      </c>
      <c r="AK1932">
        <v>0</v>
      </c>
      <c r="AL1932">
        <v>100</v>
      </c>
      <c r="AM1932">
        <v>0</v>
      </c>
      <c r="AN1932" s="2">
        <f>IF((2*G1932+M1932-O1932+3*V1932+2*AB1932+2*AE1932+2*AH1932+3*AJ1932)&gt;=7,1,0)</f>
        <v>1</v>
      </c>
    </row>
    <row r="1933" spans="1:40" x14ac:dyDescent="0.25">
      <c r="A1933" t="s">
        <v>27</v>
      </c>
      <c r="B1933" s="1">
        <v>42580</v>
      </c>
      <c r="C1933" s="6">
        <f t="shared" si="300"/>
        <v>2016</v>
      </c>
      <c r="D1933">
        <v>86</v>
      </c>
      <c r="E1933">
        <v>71.599999999999994</v>
      </c>
      <c r="F1933">
        <v>80.599999999999994</v>
      </c>
      <c r="G1933" s="2">
        <f t="shared" si="301"/>
        <v>1</v>
      </c>
      <c r="H1933">
        <v>93.5</v>
      </c>
      <c r="I1933">
        <v>71.599999999999994</v>
      </c>
      <c r="J1933">
        <v>83.4</v>
      </c>
      <c r="K1933">
        <v>70.400000000000006</v>
      </c>
      <c r="L1933">
        <v>71.7</v>
      </c>
      <c r="M1933" s="2">
        <f t="shared" si="302"/>
        <v>0</v>
      </c>
      <c r="N1933">
        <v>0</v>
      </c>
      <c r="O1933" s="2">
        <f t="shared" si="303"/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33.799999999999997</v>
      </c>
      <c r="V1933" s="2">
        <f t="shared" si="304"/>
        <v>1</v>
      </c>
      <c r="W1933">
        <v>19.7</v>
      </c>
      <c r="X1933" s="2">
        <f t="shared" si="305"/>
        <v>1</v>
      </c>
      <c r="Y1933">
        <v>298.2</v>
      </c>
      <c r="Z1933" s="2" t="str">
        <f>CHOOSE(MATCH(Y1933,{0;11;80;111;161;191;241;281;341},1),"North","NorthEast","East","SouthEast","South","SouthWest","West","NorthWest","North")</f>
        <v>NorthWest</v>
      </c>
      <c r="AA1933" s="4">
        <f>CHOOSE(MATCH(Z1933,{"South";"SouthEast";"SouthWest";"North";"NorthEast";"East";"West";"NorthWest"},0),1,2,3,4,5,6,7,8)</f>
        <v>8</v>
      </c>
      <c r="AB1933" s="2">
        <f t="shared" si="306"/>
        <v>1</v>
      </c>
      <c r="AC1933">
        <v>1009.2</v>
      </c>
      <c r="AD1933" t="s">
        <v>1868</v>
      </c>
      <c r="AE1933" s="2">
        <f t="shared" si="307"/>
        <v>1</v>
      </c>
      <c r="AF1933" t="s">
        <v>2648</v>
      </c>
      <c r="AG1933" s="2">
        <f t="shared" si="308"/>
        <v>7</v>
      </c>
      <c r="AH1933" s="2">
        <f t="shared" si="309"/>
        <v>1</v>
      </c>
      <c r="AI1933" s="3">
        <v>239.99999999650751</v>
      </c>
      <c r="AJ1933" s="2">
        <v>0</v>
      </c>
      <c r="AK1933">
        <v>0</v>
      </c>
      <c r="AL1933">
        <v>0.1</v>
      </c>
      <c r="AM1933">
        <v>0</v>
      </c>
      <c r="AN1933" s="2">
        <f>IF((2*G1933+M1933-O1933+3*V1933+2*AB1933+2*AE1933+2*AH1933+3*AJ1933)&gt;=7,1,0)</f>
        <v>1</v>
      </c>
    </row>
    <row r="1934" spans="1:40" x14ac:dyDescent="0.25">
      <c r="A1934" t="s">
        <v>27</v>
      </c>
      <c r="B1934" s="1">
        <v>42581</v>
      </c>
      <c r="C1934" s="6">
        <f t="shared" si="300"/>
        <v>2016</v>
      </c>
      <c r="D1934">
        <v>87.8</v>
      </c>
      <c r="E1934">
        <v>78.8</v>
      </c>
      <c r="F1934">
        <v>83.2</v>
      </c>
      <c r="G1934" s="2">
        <f t="shared" si="301"/>
        <v>1</v>
      </c>
      <c r="H1934">
        <v>94.2</v>
      </c>
      <c r="I1934">
        <v>78.8</v>
      </c>
      <c r="J1934">
        <v>86.9</v>
      </c>
      <c r="K1934">
        <v>70.900000000000006</v>
      </c>
      <c r="L1934">
        <v>67</v>
      </c>
      <c r="M1934" s="2">
        <f t="shared" si="302"/>
        <v>0</v>
      </c>
      <c r="N1934">
        <v>0</v>
      </c>
      <c r="O1934" s="2">
        <f t="shared" si="303"/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37.1</v>
      </c>
      <c r="V1934" s="2">
        <f t="shared" si="304"/>
        <v>1</v>
      </c>
      <c r="W1934">
        <v>21.9</v>
      </c>
      <c r="X1934" s="2">
        <f t="shared" si="305"/>
        <v>1</v>
      </c>
      <c r="Y1934">
        <v>297.8</v>
      </c>
      <c r="Z1934" s="2" t="str">
        <f>CHOOSE(MATCH(Y1934,{0;11;80;111;161;191;241;281;341},1),"North","NorthEast","East","SouthEast","South","SouthWest","West","NorthWest","North")</f>
        <v>NorthWest</v>
      </c>
      <c r="AA1934" s="4">
        <f>CHOOSE(MATCH(Z1934,{"South";"SouthEast";"SouthWest";"North";"NorthEast";"East";"West";"NorthWest"},0),1,2,3,4,5,6,7,8)</f>
        <v>8</v>
      </c>
      <c r="AB1934" s="2">
        <f t="shared" si="306"/>
        <v>1</v>
      </c>
      <c r="AC1934">
        <v>1009.1</v>
      </c>
      <c r="AD1934" t="s">
        <v>2141</v>
      </c>
      <c r="AE1934" s="2">
        <f t="shared" si="307"/>
        <v>1</v>
      </c>
      <c r="AF1934" t="s">
        <v>2649</v>
      </c>
      <c r="AG1934" s="2">
        <f t="shared" si="308"/>
        <v>7</v>
      </c>
      <c r="AH1934" s="2">
        <f t="shared" si="309"/>
        <v>1</v>
      </c>
      <c r="AI1934" s="3">
        <v>11200.00000000466</v>
      </c>
      <c r="AJ1934" s="2">
        <v>1</v>
      </c>
      <c r="AK1934">
        <v>0</v>
      </c>
      <c r="AL1934">
        <v>5000</v>
      </c>
      <c r="AM1934">
        <v>0</v>
      </c>
      <c r="AN1934" s="2">
        <f>IF((2*G1934+M1934-O1934+3*V1934+2*AB1934+2*AE1934+2*AH1934+3*AJ1934)&gt;=7,1,0)</f>
        <v>1</v>
      </c>
    </row>
    <row r="1935" spans="1:40" x14ac:dyDescent="0.25">
      <c r="A1935" t="s">
        <v>27</v>
      </c>
      <c r="B1935" s="1">
        <v>42581</v>
      </c>
      <c r="C1935" s="6">
        <f t="shared" si="300"/>
        <v>2016</v>
      </c>
      <c r="D1935">
        <v>87.8</v>
      </c>
      <c r="E1935">
        <v>78.8</v>
      </c>
      <c r="F1935">
        <v>83.2</v>
      </c>
      <c r="G1935" s="2">
        <f t="shared" si="301"/>
        <v>1</v>
      </c>
      <c r="H1935">
        <v>94.2</v>
      </c>
      <c r="I1935">
        <v>78.8</v>
      </c>
      <c r="J1935">
        <v>86.9</v>
      </c>
      <c r="K1935">
        <v>70.900000000000006</v>
      </c>
      <c r="L1935">
        <v>67</v>
      </c>
      <c r="M1935" s="2">
        <f t="shared" si="302"/>
        <v>0</v>
      </c>
      <c r="N1935">
        <v>0</v>
      </c>
      <c r="O1935" s="2">
        <f t="shared" si="303"/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37.1</v>
      </c>
      <c r="V1935" s="2">
        <f t="shared" si="304"/>
        <v>1</v>
      </c>
      <c r="W1935">
        <v>21.9</v>
      </c>
      <c r="X1935" s="2">
        <f t="shared" si="305"/>
        <v>1</v>
      </c>
      <c r="Y1935">
        <v>297.8</v>
      </c>
      <c r="Z1935" s="2" t="str">
        <f>CHOOSE(MATCH(Y1935,{0;11;80;111;161;191;241;281;341},1),"North","NorthEast","East","SouthEast","South","SouthWest","West","NorthWest","North")</f>
        <v>NorthWest</v>
      </c>
      <c r="AA1935" s="4">
        <f>CHOOSE(MATCH(Z1935,{"South";"SouthEast";"SouthWest";"North";"NorthEast";"East";"West";"NorthWest"},0),1,2,3,4,5,6,7,8)</f>
        <v>8</v>
      </c>
      <c r="AB1935" s="2">
        <f t="shared" si="306"/>
        <v>1</v>
      </c>
      <c r="AC1935">
        <v>1009.1</v>
      </c>
      <c r="AD1935" t="s">
        <v>1119</v>
      </c>
      <c r="AE1935" s="2">
        <f t="shared" si="307"/>
        <v>0</v>
      </c>
      <c r="AF1935" t="s">
        <v>2650</v>
      </c>
      <c r="AG1935" s="2">
        <f t="shared" si="308"/>
        <v>7</v>
      </c>
      <c r="AH1935" s="2">
        <f t="shared" si="309"/>
        <v>1</v>
      </c>
      <c r="AI1935" s="3">
        <v>3389.999999996508</v>
      </c>
      <c r="AJ1935" s="2">
        <v>1</v>
      </c>
      <c r="AK1935">
        <v>0</v>
      </c>
      <c r="AL1935">
        <v>20</v>
      </c>
      <c r="AM1935">
        <v>0</v>
      </c>
      <c r="AN1935" s="2">
        <f>IF((2*G1935+M1935-O1935+3*V1935+2*AB1935+2*AE1935+2*AH1935+3*AJ1935)&gt;=7,1,0)</f>
        <v>1</v>
      </c>
    </row>
    <row r="1936" spans="1:40" x14ac:dyDescent="0.25">
      <c r="A1936" t="s">
        <v>27</v>
      </c>
      <c r="B1936" s="1">
        <v>42586</v>
      </c>
      <c r="C1936" s="6">
        <f t="shared" si="300"/>
        <v>2016</v>
      </c>
      <c r="D1936">
        <v>86</v>
      </c>
      <c r="E1936">
        <v>78.8</v>
      </c>
      <c r="F1936">
        <v>82.4</v>
      </c>
      <c r="G1936" s="2">
        <f t="shared" si="301"/>
        <v>1</v>
      </c>
      <c r="H1936">
        <v>93.5</v>
      </c>
      <c r="I1936">
        <v>78.8</v>
      </c>
      <c r="J1936">
        <v>87.2</v>
      </c>
      <c r="K1936">
        <v>72</v>
      </c>
      <c r="L1936">
        <v>71</v>
      </c>
      <c r="M1936" s="2">
        <f t="shared" si="302"/>
        <v>0</v>
      </c>
      <c r="N1936">
        <v>0</v>
      </c>
      <c r="O1936" s="2">
        <f t="shared" si="303"/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34.700000000000003</v>
      </c>
      <c r="V1936" s="2">
        <f t="shared" si="304"/>
        <v>1</v>
      </c>
      <c r="W1936">
        <v>23</v>
      </c>
      <c r="X1936" s="2">
        <f t="shared" si="305"/>
        <v>1</v>
      </c>
      <c r="Y1936">
        <v>296.5</v>
      </c>
      <c r="Z1936" s="2" t="str">
        <f>CHOOSE(MATCH(Y1936,{0;11;80;111;161;191;241;281;341},1),"North","NorthEast","East","SouthEast","South","SouthWest","West","NorthWest","North")</f>
        <v>NorthWest</v>
      </c>
      <c r="AA1936" s="4">
        <f>CHOOSE(MATCH(Z1936,{"South";"SouthEast";"SouthWest";"North";"NorthEast";"East";"West";"NorthWest"},0),1,2,3,4,5,6,7,8)</f>
        <v>8</v>
      </c>
      <c r="AB1936" s="2">
        <f t="shared" si="306"/>
        <v>1</v>
      </c>
      <c r="AC1936">
        <v>1008.9</v>
      </c>
      <c r="AD1936" t="s">
        <v>2651</v>
      </c>
      <c r="AE1936" s="2">
        <f t="shared" si="307"/>
        <v>0</v>
      </c>
      <c r="AF1936" t="s">
        <v>2652</v>
      </c>
      <c r="AG1936" s="2">
        <f t="shared" si="308"/>
        <v>8</v>
      </c>
      <c r="AH1936" s="2">
        <f t="shared" si="309"/>
        <v>1</v>
      </c>
      <c r="AI1936" s="3">
        <v>2830.0000000046571</v>
      </c>
      <c r="AJ1936" s="2">
        <v>1</v>
      </c>
      <c r="AK1936">
        <v>0</v>
      </c>
      <c r="AL1936">
        <v>6</v>
      </c>
      <c r="AM1936">
        <v>0</v>
      </c>
      <c r="AN1936" s="2">
        <f>IF((2*G1936+M1936-O1936+3*V1936+2*AB1936+2*AE1936+2*AH1936+3*AJ1936)&gt;=7,1,0)</f>
        <v>1</v>
      </c>
    </row>
    <row r="1937" spans="1:40" x14ac:dyDescent="0.25">
      <c r="A1937" t="s">
        <v>27</v>
      </c>
      <c r="B1937" s="1">
        <v>42588</v>
      </c>
      <c r="C1937" s="6">
        <f t="shared" si="300"/>
        <v>2016</v>
      </c>
      <c r="D1937">
        <v>86</v>
      </c>
      <c r="E1937">
        <v>78.8</v>
      </c>
      <c r="F1937">
        <v>82</v>
      </c>
      <c r="G1937" s="2">
        <f t="shared" si="301"/>
        <v>1</v>
      </c>
      <c r="H1937">
        <v>95.1</v>
      </c>
      <c r="I1937">
        <v>78.8</v>
      </c>
      <c r="J1937">
        <v>85.9</v>
      </c>
      <c r="K1937">
        <v>72.599999999999994</v>
      </c>
      <c r="L1937">
        <v>73.5</v>
      </c>
      <c r="M1937" s="2">
        <f t="shared" si="302"/>
        <v>0</v>
      </c>
      <c r="N1937">
        <v>0</v>
      </c>
      <c r="O1937" s="2">
        <f t="shared" si="303"/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26.2</v>
      </c>
      <c r="V1937" s="2">
        <f t="shared" si="304"/>
        <v>1</v>
      </c>
      <c r="W1937">
        <v>17.2</v>
      </c>
      <c r="X1937" s="2">
        <f t="shared" si="305"/>
        <v>1</v>
      </c>
      <c r="Y1937">
        <v>311.7</v>
      </c>
      <c r="Z1937" s="2" t="str">
        <f>CHOOSE(MATCH(Y1937,{0;11;80;111;161;191;241;281;341},1),"North","NorthEast","East","SouthEast","South","SouthWest","West","NorthWest","North")</f>
        <v>NorthWest</v>
      </c>
      <c r="AA1937" s="4">
        <f>CHOOSE(MATCH(Z1937,{"South";"SouthEast";"SouthWest";"North";"NorthEast";"East";"West";"NorthWest"},0),1,2,3,4,5,6,7,8)</f>
        <v>8</v>
      </c>
      <c r="AB1937" s="2">
        <f t="shared" si="306"/>
        <v>1</v>
      </c>
      <c r="AC1937">
        <v>1009.9</v>
      </c>
      <c r="AD1937" t="s">
        <v>1881</v>
      </c>
      <c r="AE1937" s="2">
        <f t="shared" si="307"/>
        <v>1</v>
      </c>
      <c r="AF1937" t="s">
        <v>2653</v>
      </c>
      <c r="AG1937" s="2">
        <f t="shared" si="308"/>
        <v>8</v>
      </c>
      <c r="AH1937" s="2">
        <f t="shared" si="309"/>
        <v>1</v>
      </c>
      <c r="AI1937" s="3">
        <v>13161.99999999837</v>
      </c>
      <c r="AJ1937" s="2">
        <v>1</v>
      </c>
      <c r="AK1937">
        <v>0</v>
      </c>
      <c r="AL1937">
        <v>5</v>
      </c>
      <c r="AM1937">
        <v>0</v>
      </c>
      <c r="AN1937" s="2">
        <f>IF((2*G1937+M1937-O1937+3*V1937+2*AB1937+2*AE1937+2*AH1937+3*AJ1937)&gt;=7,1,0)</f>
        <v>1</v>
      </c>
    </row>
    <row r="1938" spans="1:40" x14ac:dyDescent="0.25">
      <c r="A1938" t="s">
        <v>27</v>
      </c>
      <c r="B1938" s="1">
        <v>42589</v>
      </c>
      <c r="C1938" s="6">
        <f t="shared" si="300"/>
        <v>2016</v>
      </c>
      <c r="D1938">
        <v>86</v>
      </c>
      <c r="E1938">
        <v>73.400000000000006</v>
      </c>
      <c r="F1938">
        <v>80.900000000000006</v>
      </c>
      <c r="G1938" s="2">
        <f t="shared" si="301"/>
        <v>1</v>
      </c>
      <c r="H1938">
        <v>95.2</v>
      </c>
      <c r="I1938">
        <v>73.400000000000006</v>
      </c>
      <c r="J1938">
        <v>84.8</v>
      </c>
      <c r="K1938">
        <v>71.2</v>
      </c>
      <c r="L1938">
        <v>72.8</v>
      </c>
      <c r="M1938" s="2">
        <f t="shared" si="302"/>
        <v>0</v>
      </c>
      <c r="N1938">
        <v>0</v>
      </c>
      <c r="O1938" s="2">
        <f t="shared" si="303"/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29.1</v>
      </c>
      <c r="V1938" s="2">
        <f t="shared" si="304"/>
        <v>1</v>
      </c>
      <c r="W1938">
        <v>19.7</v>
      </c>
      <c r="X1938" s="2">
        <f t="shared" si="305"/>
        <v>1</v>
      </c>
      <c r="Y1938">
        <v>307</v>
      </c>
      <c r="Z1938" s="2" t="str">
        <f>CHOOSE(MATCH(Y1938,{0;11;80;111;161;191;241;281;341},1),"North","NorthEast","East","SouthEast","South","SouthWest","West","NorthWest","North")</f>
        <v>NorthWest</v>
      </c>
      <c r="AA1938" s="4">
        <f>CHOOSE(MATCH(Z1938,{"South";"SouthEast";"SouthWest";"North";"NorthEast";"East";"West";"NorthWest"},0),1,2,3,4,5,6,7,8)</f>
        <v>8</v>
      </c>
      <c r="AB1938" s="2">
        <f t="shared" si="306"/>
        <v>1</v>
      </c>
      <c r="AC1938">
        <v>1010.1</v>
      </c>
      <c r="AD1938" t="s">
        <v>2654</v>
      </c>
      <c r="AE1938" s="2">
        <f t="shared" si="307"/>
        <v>1</v>
      </c>
      <c r="AF1938" t="s">
        <v>2655</v>
      </c>
      <c r="AG1938" s="2">
        <f t="shared" si="308"/>
        <v>8</v>
      </c>
      <c r="AH1938" s="2">
        <f t="shared" si="309"/>
        <v>1</v>
      </c>
      <c r="AI1938" s="3">
        <v>1962.999999996973</v>
      </c>
      <c r="AJ1938" s="2">
        <v>1</v>
      </c>
      <c r="AK1938">
        <v>0</v>
      </c>
      <c r="AL1938">
        <v>5</v>
      </c>
      <c r="AM1938">
        <v>0</v>
      </c>
      <c r="AN1938" s="2">
        <f>IF((2*G1938+M1938-O1938+3*V1938+2*AB1938+2*AE1938+2*AH1938+3*AJ1938)&gt;=7,1,0)</f>
        <v>1</v>
      </c>
    </row>
    <row r="1939" spans="1:40" x14ac:dyDescent="0.25">
      <c r="A1939" t="s">
        <v>27</v>
      </c>
      <c r="B1939" s="1">
        <v>42594</v>
      </c>
      <c r="C1939" s="6">
        <f t="shared" si="300"/>
        <v>2016</v>
      </c>
      <c r="D1939">
        <v>87.9</v>
      </c>
      <c r="E1939">
        <v>73.400000000000006</v>
      </c>
      <c r="F1939">
        <v>81.400000000000006</v>
      </c>
      <c r="G1939" s="2">
        <f t="shared" si="301"/>
        <v>1</v>
      </c>
      <c r="H1939">
        <v>102.1</v>
      </c>
      <c r="I1939">
        <v>73.400000000000006</v>
      </c>
      <c r="J1939">
        <v>87.1</v>
      </c>
      <c r="K1939">
        <v>72.3</v>
      </c>
      <c r="L1939">
        <v>74.8</v>
      </c>
      <c r="M1939" s="2">
        <f t="shared" si="302"/>
        <v>0</v>
      </c>
      <c r="N1939">
        <v>0</v>
      </c>
      <c r="O1939" s="2">
        <f t="shared" si="303"/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19.7</v>
      </c>
      <c r="V1939" s="2">
        <f t="shared" si="304"/>
        <v>1</v>
      </c>
      <c r="W1939">
        <v>16.100000000000001</v>
      </c>
      <c r="X1939" s="2">
        <f t="shared" si="305"/>
        <v>1</v>
      </c>
      <c r="Y1939">
        <v>299.7</v>
      </c>
      <c r="Z1939" s="2" t="str">
        <f>CHOOSE(MATCH(Y1939,{0;11;80;111;161;191;241;281;341},1),"North","NorthEast","East","SouthEast","South","SouthWest","West","NorthWest","North")</f>
        <v>NorthWest</v>
      </c>
      <c r="AA1939" s="4">
        <f>CHOOSE(MATCH(Z1939,{"South";"SouthEast";"SouthWest";"North";"NorthEast";"East";"West";"NorthWest"},0),1,2,3,4,5,6,7,8)</f>
        <v>8</v>
      </c>
      <c r="AB1939" s="2">
        <f t="shared" si="306"/>
        <v>1</v>
      </c>
      <c r="AC1939">
        <v>1010.5</v>
      </c>
      <c r="AD1939" t="s">
        <v>2656</v>
      </c>
      <c r="AE1939" s="2">
        <f t="shared" si="307"/>
        <v>1</v>
      </c>
      <c r="AF1939" t="s">
        <v>2657</v>
      </c>
      <c r="AG1939" s="2">
        <f t="shared" si="308"/>
        <v>8</v>
      </c>
      <c r="AH1939" s="2">
        <f t="shared" si="309"/>
        <v>1</v>
      </c>
      <c r="AI1939" s="3">
        <v>847.99999999813735</v>
      </c>
      <c r="AJ1939" s="2">
        <v>1</v>
      </c>
      <c r="AK1939">
        <v>0</v>
      </c>
      <c r="AL1939">
        <v>5</v>
      </c>
      <c r="AM1939">
        <v>0</v>
      </c>
      <c r="AN1939" s="2">
        <f>IF((2*G1939+M1939-O1939+3*V1939+2*AB1939+2*AE1939+2*AH1939+3*AJ1939)&gt;=7,1,0)</f>
        <v>1</v>
      </c>
    </row>
    <row r="1940" spans="1:40" x14ac:dyDescent="0.25">
      <c r="A1940" t="s">
        <v>27</v>
      </c>
      <c r="B1940" s="1">
        <v>42594</v>
      </c>
      <c r="C1940" s="6">
        <f t="shared" si="300"/>
        <v>2016</v>
      </c>
      <c r="D1940">
        <v>87.9</v>
      </c>
      <c r="E1940">
        <v>73.400000000000006</v>
      </c>
      <c r="F1940">
        <v>81.400000000000006</v>
      </c>
      <c r="G1940" s="2">
        <f t="shared" si="301"/>
        <v>1</v>
      </c>
      <c r="H1940">
        <v>102.1</v>
      </c>
      <c r="I1940">
        <v>73.400000000000006</v>
      </c>
      <c r="J1940">
        <v>87.1</v>
      </c>
      <c r="K1940">
        <v>72.3</v>
      </c>
      <c r="L1940">
        <v>74.8</v>
      </c>
      <c r="M1940" s="2">
        <f t="shared" si="302"/>
        <v>0</v>
      </c>
      <c r="N1940">
        <v>0</v>
      </c>
      <c r="O1940" s="2">
        <f t="shared" si="303"/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19.7</v>
      </c>
      <c r="V1940" s="2">
        <f t="shared" si="304"/>
        <v>1</v>
      </c>
      <c r="W1940">
        <v>16.100000000000001</v>
      </c>
      <c r="X1940" s="2">
        <f t="shared" si="305"/>
        <v>1</v>
      </c>
      <c r="Y1940">
        <v>299.7</v>
      </c>
      <c r="Z1940" s="2" t="str">
        <f>CHOOSE(MATCH(Y1940,{0;11;80;111;161;191;241;281;341},1),"North","NorthEast","East","SouthEast","South","SouthWest","West","NorthWest","North")</f>
        <v>NorthWest</v>
      </c>
      <c r="AA1940" s="4">
        <f>CHOOSE(MATCH(Z1940,{"South";"SouthEast";"SouthWest";"North";"NorthEast";"East";"West";"NorthWest"},0),1,2,3,4,5,6,7,8)</f>
        <v>8</v>
      </c>
      <c r="AB1940" s="2">
        <f t="shared" si="306"/>
        <v>1</v>
      </c>
      <c r="AC1940">
        <v>1010.5</v>
      </c>
      <c r="AD1940" t="s">
        <v>2658</v>
      </c>
      <c r="AE1940" s="2">
        <f t="shared" si="307"/>
        <v>0</v>
      </c>
      <c r="AF1940" t="s">
        <v>2659</v>
      </c>
      <c r="AG1940" s="2">
        <f t="shared" si="308"/>
        <v>8</v>
      </c>
      <c r="AH1940" s="2">
        <f t="shared" si="309"/>
        <v>1</v>
      </c>
      <c r="AI1940" s="3">
        <v>145.00000000116421</v>
      </c>
      <c r="AJ1940" s="2">
        <v>0</v>
      </c>
      <c r="AK1940">
        <v>0</v>
      </c>
      <c r="AL1940">
        <v>0.1</v>
      </c>
      <c r="AM1940">
        <v>0</v>
      </c>
      <c r="AN1940" s="2">
        <f>IF((2*G1940+M1940-O1940+3*V1940+2*AB1940+2*AE1940+2*AH1940+3*AJ1940)&gt;=7,1,0)</f>
        <v>1</v>
      </c>
    </row>
    <row r="1941" spans="1:40" x14ac:dyDescent="0.25">
      <c r="A1941" t="s">
        <v>27</v>
      </c>
      <c r="B1941" s="1">
        <v>42594</v>
      </c>
      <c r="C1941" s="6">
        <f t="shared" si="300"/>
        <v>2016</v>
      </c>
      <c r="D1941">
        <v>87.9</v>
      </c>
      <c r="E1941">
        <v>73.400000000000006</v>
      </c>
      <c r="F1941">
        <v>81.400000000000006</v>
      </c>
      <c r="G1941" s="2">
        <f t="shared" si="301"/>
        <v>1</v>
      </c>
      <c r="H1941">
        <v>102.1</v>
      </c>
      <c r="I1941">
        <v>73.400000000000006</v>
      </c>
      <c r="J1941">
        <v>87.1</v>
      </c>
      <c r="K1941">
        <v>72.3</v>
      </c>
      <c r="L1941">
        <v>74.8</v>
      </c>
      <c r="M1941" s="2">
        <f t="shared" si="302"/>
        <v>0</v>
      </c>
      <c r="N1941">
        <v>0</v>
      </c>
      <c r="O1941" s="2">
        <f t="shared" si="303"/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19.7</v>
      </c>
      <c r="V1941" s="2">
        <f t="shared" si="304"/>
        <v>1</v>
      </c>
      <c r="W1941">
        <v>16.100000000000001</v>
      </c>
      <c r="X1941" s="2">
        <f t="shared" si="305"/>
        <v>1</v>
      </c>
      <c r="Y1941">
        <v>299.7</v>
      </c>
      <c r="Z1941" s="2" t="str">
        <f>CHOOSE(MATCH(Y1941,{0;11;80;111;161;191;241;281;341},1),"North","NorthEast","East","SouthEast","South","SouthWest","West","NorthWest","North")</f>
        <v>NorthWest</v>
      </c>
      <c r="AA1941" s="4">
        <f>CHOOSE(MATCH(Z1941,{"South";"SouthEast";"SouthWest";"North";"NorthEast";"East";"West";"NorthWest"},0),1,2,3,4,5,6,7,8)</f>
        <v>8</v>
      </c>
      <c r="AB1941" s="2">
        <f t="shared" si="306"/>
        <v>1</v>
      </c>
      <c r="AC1941">
        <v>1010.5</v>
      </c>
      <c r="AD1941" t="s">
        <v>1089</v>
      </c>
      <c r="AE1941" s="2">
        <f t="shared" si="307"/>
        <v>1</v>
      </c>
      <c r="AF1941" t="s">
        <v>2660</v>
      </c>
      <c r="AG1941" s="2">
        <f t="shared" si="308"/>
        <v>8</v>
      </c>
      <c r="AH1941" s="2">
        <f t="shared" si="309"/>
        <v>1</v>
      </c>
      <c r="AI1941" s="3">
        <v>1969.9999999988361</v>
      </c>
      <c r="AJ1941" s="2">
        <v>1</v>
      </c>
      <c r="AK1941">
        <v>0</v>
      </c>
      <c r="AL1941">
        <v>100</v>
      </c>
      <c r="AM1941">
        <v>0</v>
      </c>
      <c r="AN1941" s="2">
        <f>IF((2*G1941+M1941-O1941+3*V1941+2*AB1941+2*AE1941+2*AH1941+3*AJ1941)&gt;=7,1,0)</f>
        <v>1</v>
      </c>
    </row>
    <row r="1942" spans="1:40" x14ac:dyDescent="0.25">
      <c r="A1942" t="s">
        <v>27</v>
      </c>
      <c r="B1942" s="1">
        <v>42595</v>
      </c>
      <c r="C1942" s="6">
        <f t="shared" si="300"/>
        <v>2016</v>
      </c>
      <c r="D1942">
        <v>82.4</v>
      </c>
      <c r="E1942">
        <v>75.2</v>
      </c>
      <c r="F1942">
        <v>79.099999999999994</v>
      </c>
      <c r="G1942" s="2">
        <f t="shared" si="301"/>
        <v>1</v>
      </c>
      <c r="H1942">
        <v>88.3</v>
      </c>
      <c r="I1942">
        <v>75.2</v>
      </c>
      <c r="J1942">
        <v>81.2</v>
      </c>
      <c r="K1942">
        <v>73.2</v>
      </c>
      <c r="L1942">
        <v>82.5</v>
      </c>
      <c r="M1942" s="2">
        <f t="shared" si="302"/>
        <v>0</v>
      </c>
      <c r="N1942">
        <v>0</v>
      </c>
      <c r="O1942" s="2">
        <f t="shared" si="303"/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27.1</v>
      </c>
      <c r="V1942" s="2">
        <f t="shared" si="304"/>
        <v>1</v>
      </c>
      <c r="W1942">
        <v>19.7</v>
      </c>
      <c r="X1942" s="2">
        <f t="shared" si="305"/>
        <v>1</v>
      </c>
      <c r="Y1942">
        <v>310.7</v>
      </c>
      <c r="Z1942" s="2" t="str">
        <f>CHOOSE(MATCH(Y1942,{0;11;80;111;161;191;241;281;341},1),"North","NorthEast","East","SouthEast","South","SouthWest","West","NorthWest","North")</f>
        <v>NorthWest</v>
      </c>
      <c r="AA1942" s="4">
        <f>CHOOSE(MATCH(Z1942,{"South";"SouthEast";"SouthWest";"North";"NorthEast";"East";"West";"NorthWest"},0),1,2,3,4,5,6,7,8)</f>
        <v>8</v>
      </c>
      <c r="AB1942" s="2">
        <f t="shared" si="306"/>
        <v>1</v>
      </c>
      <c r="AC1942">
        <v>1013.2</v>
      </c>
      <c r="AD1942" t="s">
        <v>1861</v>
      </c>
      <c r="AE1942" s="2">
        <f t="shared" si="307"/>
        <v>0</v>
      </c>
      <c r="AF1942" t="s">
        <v>2661</v>
      </c>
      <c r="AG1942" s="2">
        <f t="shared" si="308"/>
        <v>8</v>
      </c>
      <c r="AH1942" s="2">
        <f t="shared" si="309"/>
        <v>1</v>
      </c>
      <c r="AI1942" s="3">
        <v>780.00000000698492</v>
      </c>
      <c r="AJ1942" s="2">
        <v>1</v>
      </c>
      <c r="AK1942">
        <v>0</v>
      </c>
      <c r="AL1942">
        <v>2</v>
      </c>
      <c r="AM1942">
        <v>0</v>
      </c>
      <c r="AN1942" s="2">
        <f>IF((2*G1942+M1942-O1942+3*V1942+2*AB1942+2*AE1942+2*AH1942+3*AJ1942)&gt;=7,1,0)</f>
        <v>1</v>
      </c>
    </row>
    <row r="1943" spans="1:40" x14ac:dyDescent="0.25">
      <c r="A1943" t="s">
        <v>27</v>
      </c>
      <c r="B1943" s="1">
        <v>42595</v>
      </c>
      <c r="C1943" s="6">
        <f t="shared" si="300"/>
        <v>2016</v>
      </c>
      <c r="D1943">
        <v>82.4</v>
      </c>
      <c r="E1943">
        <v>75.2</v>
      </c>
      <c r="F1943">
        <v>79.099999999999994</v>
      </c>
      <c r="G1943" s="2">
        <f t="shared" si="301"/>
        <v>1</v>
      </c>
      <c r="H1943">
        <v>88.3</v>
      </c>
      <c r="I1943">
        <v>75.2</v>
      </c>
      <c r="J1943">
        <v>81.2</v>
      </c>
      <c r="K1943">
        <v>73.2</v>
      </c>
      <c r="L1943">
        <v>82.5</v>
      </c>
      <c r="M1943" s="2">
        <f t="shared" si="302"/>
        <v>0</v>
      </c>
      <c r="N1943">
        <v>0</v>
      </c>
      <c r="O1943" s="2">
        <f t="shared" si="303"/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27.1</v>
      </c>
      <c r="V1943" s="2">
        <f t="shared" si="304"/>
        <v>1</v>
      </c>
      <c r="W1943">
        <v>19.7</v>
      </c>
      <c r="X1943" s="2">
        <f t="shared" si="305"/>
        <v>1</v>
      </c>
      <c r="Y1943">
        <v>310.7</v>
      </c>
      <c r="Z1943" s="2" t="str">
        <f>CHOOSE(MATCH(Y1943,{0;11;80;111;161;191;241;281;341},1),"North","NorthEast","East","SouthEast","South","SouthWest","West","NorthWest","North")</f>
        <v>NorthWest</v>
      </c>
      <c r="AA1943" s="4">
        <f>CHOOSE(MATCH(Z1943,{"South";"SouthEast";"SouthWest";"North";"NorthEast";"East";"West";"NorthWest"},0),1,2,3,4,5,6,7,8)</f>
        <v>8</v>
      </c>
      <c r="AB1943" s="2">
        <f t="shared" si="306"/>
        <v>1</v>
      </c>
      <c r="AC1943">
        <v>1013.2</v>
      </c>
      <c r="AD1943" t="s">
        <v>1107</v>
      </c>
      <c r="AE1943" s="2">
        <f t="shared" si="307"/>
        <v>1</v>
      </c>
      <c r="AF1943" t="s">
        <v>2662</v>
      </c>
      <c r="AG1943" s="2">
        <f t="shared" si="308"/>
        <v>8</v>
      </c>
      <c r="AH1943" s="2">
        <f t="shared" si="309"/>
        <v>1</v>
      </c>
      <c r="AI1943" s="3">
        <v>2599.9999999988358</v>
      </c>
      <c r="AJ1943" s="2">
        <v>1</v>
      </c>
      <c r="AK1943">
        <v>0</v>
      </c>
      <c r="AL1943">
        <v>25</v>
      </c>
      <c r="AM1943">
        <v>0</v>
      </c>
      <c r="AN1943" s="2">
        <f>IF((2*G1943+M1943-O1943+3*V1943+2*AB1943+2*AE1943+2*AH1943+3*AJ1943)&gt;=7,1,0)</f>
        <v>1</v>
      </c>
    </row>
    <row r="1944" spans="1:40" x14ac:dyDescent="0.25">
      <c r="A1944" t="s">
        <v>27</v>
      </c>
      <c r="B1944" s="1">
        <v>42595</v>
      </c>
      <c r="C1944" s="6">
        <f t="shared" si="300"/>
        <v>2016</v>
      </c>
      <c r="D1944">
        <v>82.4</v>
      </c>
      <c r="E1944">
        <v>75.2</v>
      </c>
      <c r="F1944">
        <v>79.099999999999994</v>
      </c>
      <c r="G1944" s="2">
        <f t="shared" si="301"/>
        <v>1</v>
      </c>
      <c r="H1944">
        <v>88.3</v>
      </c>
      <c r="I1944">
        <v>75.2</v>
      </c>
      <c r="J1944">
        <v>81.2</v>
      </c>
      <c r="K1944">
        <v>73.2</v>
      </c>
      <c r="L1944">
        <v>82.5</v>
      </c>
      <c r="M1944" s="2">
        <f t="shared" si="302"/>
        <v>0</v>
      </c>
      <c r="N1944">
        <v>0</v>
      </c>
      <c r="O1944" s="2">
        <f t="shared" si="303"/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27.1</v>
      </c>
      <c r="V1944" s="2">
        <f t="shared" si="304"/>
        <v>1</v>
      </c>
      <c r="W1944">
        <v>19.7</v>
      </c>
      <c r="X1944" s="2">
        <f t="shared" si="305"/>
        <v>1</v>
      </c>
      <c r="Y1944">
        <v>310.7</v>
      </c>
      <c r="Z1944" s="2" t="str">
        <f>CHOOSE(MATCH(Y1944,{0;11;80;111;161;191;241;281;341},1),"North","NorthEast","East","SouthEast","South","SouthWest","West","NorthWest","North")</f>
        <v>NorthWest</v>
      </c>
      <c r="AA1944" s="4">
        <f>CHOOSE(MATCH(Z1944,{"South";"SouthEast";"SouthWest";"North";"NorthEast";"East";"West";"NorthWest"},0),1,2,3,4,5,6,7,8)</f>
        <v>8</v>
      </c>
      <c r="AB1944" s="2">
        <f t="shared" si="306"/>
        <v>1</v>
      </c>
      <c r="AC1944">
        <v>1013.2</v>
      </c>
      <c r="AD1944" t="s">
        <v>1109</v>
      </c>
      <c r="AE1944" s="2">
        <f t="shared" si="307"/>
        <v>1</v>
      </c>
      <c r="AF1944" t="s">
        <v>2663</v>
      </c>
      <c r="AG1944" s="2">
        <f t="shared" si="308"/>
        <v>8</v>
      </c>
      <c r="AH1944" s="2">
        <f t="shared" si="309"/>
        <v>1</v>
      </c>
      <c r="AI1944" s="3">
        <v>200.00000000232831</v>
      </c>
      <c r="AJ1944" s="2">
        <v>0</v>
      </c>
      <c r="AK1944">
        <v>0</v>
      </c>
      <c r="AL1944">
        <v>0.3</v>
      </c>
      <c r="AM1944">
        <v>0</v>
      </c>
      <c r="AN1944" s="2">
        <f>IF((2*G1944+M1944-O1944+3*V1944+2*AB1944+2*AE1944+2*AH1944+3*AJ1944)&gt;=7,1,0)</f>
        <v>1</v>
      </c>
    </row>
    <row r="1945" spans="1:40" x14ac:dyDescent="0.25">
      <c r="A1945" t="s">
        <v>27</v>
      </c>
      <c r="B1945" s="1">
        <v>42597</v>
      </c>
      <c r="C1945" s="6">
        <f t="shared" si="300"/>
        <v>2016</v>
      </c>
      <c r="D1945">
        <v>80.599999999999994</v>
      </c>
      <c r="E1945">
        <v>73.400000000000006</v>
      </c>
      <c r="F1945">
        <v>77.2</v>
      </c>
      <c r="G1945" s="2">
        <f t="shared" si="301"/>
        <v>1</v>
      </c>
      <c r="H1945">
        <v>83.9</v>
      </c>
      <c r="I1945">
        <v>73.400000000000006</v>
      </c>
      <c r="J1945">
        <v>77.900000000000006</v>
      </c>
      <c r="K1945">
        <v>67</v>
      </c>
      <c r="L1945">
        <v>70.900000000000006</v>
      </c>
      <c r="M1945" s="2">
        <f t="shared" si="302"/>
        <v>0</v>
      </c>
      <c r="N1945">
        <v>0</v>
      </c>
      <c r="O1945" s="2">
        <f t="shared" si="303"/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32.9</v>
      </c>
      <c r="V1945" s="2">
        <f t="shared" si="304"/>
        <v>1</v>
      </c>
      <c r="W1945">
        <v>20.8</v>
      </c>
      <c r="X1945" s="2">
        <f t="shared" si="305"/>
        <v>1</v>
      </c>
      <c r="Y1945">
        <v>306.5</v>
      </c>
      <c r="Z1945" s="2" t="str">
        <f>CHOOSE(MATCH(Y1945,{0;11;80;111;161;191;241;281;341},1),"North","NorthEast","East","SouthEast","South","SouthWest","West","NorthWest","North")</f>
        <v>NorthWest</v>
      </c>
      <c r="AA1945" s="4">
        <f>CHOOSE(MATCH(Z1945,{"South";"SouthEast";"SouthWest";"North";"NorthEast";"East";"West";"NorthWest"},0),1,2,3,4,5,6,7,8)</f>
        <v>8</v>
      </c>
      <c r="AB1945" s="2">
        <f t="shared" si="306"/>
        <v>1</v>
      </c>
      <c r="AC1945">
        <v>1013.4</v>
      </c>
      <c r="AD1945" t="s">
        <v>2664</v>
      </c>
      <c r="AE1945" s="2">
        <f t="shared" si="307"/>
        <v>1</v>
      </c>
      <c r="AF1945" t="s">
        <v>2665</v>
      </c>
      <c r="AG1945" s="2">
        <f t="shared" si="308"/>
        <v>8</v>
      </c>
      <c r="AH1945" s="2">
        <f t="shared" si="309"/>
        <v>1</v>
      </c>
      <c r="AI1945" s="3">
        <v>74.999999993015081</v>
      </c>
      <c r="AJ1945" s="2">
        <v>0</v>
      </c>
      <c r="AK1945">
        <v>0</v>
      </c>
      <c r="AL1945">
        <v>1</v>
      </c>
      <c r="AM1945">
        <v>0</v>
      </c>
      <c r="AN1945" s="2">
        <f>IF((2*G1945+M1945-O1945+3*V1945+2*AB1945+2*AE1945+2*AH1945+3*AJ1945)&gt;=7,1,0)</f>
        <v>1</v>
      </c>
    </row>
    <row r="1946" spans="1:40" x14ac:dyDescent="0.25">
      <c r="A1946" t="s">
        <v>27</v>
      </c>
      <c r="B1946" s="1">
        <v>42598</v>
      </c>
      <c r="C1946" s="6">
        <f t="shared" si="300"/>
        <v>2016</v>
      </c>
      <c r="D1946">
        <v>82.4</v>
      </c>
      <c r="E1946">
        <v>75.2</v>
      </c>
      <c r="F1946">
        <v>77.8</v>
      </c>
      <c r="G1946" s="2">
        <f t="shared" si="301"/>
        <v>1</v>
      </c>
      <c r="H1946">
        <v>87.2</v>
      </c>
      <c r="I1946">
        <v>75.2</v>
      </c>
      <c r="J1946">
        <v>79.099999999999994</v>
      </c>
      <c r="K1946">
        <v>68.900000000000006</v>
      </c>
      <c r="L1946">
        <v>74.099999999999994</v>
      </c>
      <c r="M1946" s="2">
        <f t="shared" si="302"/>
        <v>0</v>
      </c>
      <c r="N1946">
        <v>0</v>
      </c>
      <c r="O1946" s="2">
        <f t="shared" si="303"/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28.9</v>
      </c>
      <c r="V1946" s="2">
        <f t="shared" si="304"/>
        <v>1</v>
      </c>
      <c r="W1946">
        <v>25.3</v>
      </c>
      <c r="X1946" s="2">
        <f t="shared" si="305"/>
        <v>1</v>
      </c>
      <c r="Y1946">
        <v>299.7</v>
      </c>
      <c r="Z1946" s="2" t="str">
        <f>CHOOSE(MATCH(Y1946,{0;11;80;111;161;191;241;281;341},1),"North","NorthEast","East","SouthEast","South","SouthWest","West","NorthWest","North")</f>
        <v>NorthWest</v>
      </c>
      <c r="AA1946" s="4">
        <f>CHOOSE(MATCH(Z1946,{"South";"SouthEast";"SouthWest";"North";"NorthEast";"East";"West";"NorthWest"},0),1,2,3,4,5,6,7,8)</f>
        <v>8</v>
      </c>
      <c r="AB1946" s="2">
        <f t="shared" si="306"/>
        <v>1</v>
      </c>
      <c r="AC1946">
        <v>1011.2</v>
      </c>
      <c r="AD1946" t="s">
        <v>2666</v>
      </c>
      <c r="AE1946" s="2">
        <f t="shared" si="307"/>
        <v>1</v>
      </c>
      <c r="AF1946" t="s">
        <v>2667</v>
      </c>
      <c r="AG1946" s="2">
        <f t="shared" si="308"/>
        <v>8</v>
      </c>
      <c r="AH1946" s="2">
        <f t="shared" si="309"/>
        <v>1</v>
      </c>
      <c r="AI1946" s="3">
        <v>106.99999999254941</v>
      </c>
      <c r="AJ1946" s="2">
        <v>0</v>
      </c>
      <c r="AK1946">
        <v>0</v>
      </c>
      <c r="AL1946">
        <v>0.5</v>
      </c>
      <c r="AM1946">
        <v>0</v>
      </c>
      <c r="AN1946" s="2">
        <f>IF((2*G1946+M1946-O1946+3*V1946+2*AB1946+2*AE1946+2*AH1946+3*AJ1946)&gt;=7,1,0)</f>
        <v>1</v>
      </c>
    </row>
    <row r="1947" spans="1:40" x14ac:dyDescent="0.25">
      <c r="A1947" t="s">
        <v>27</v>
      </c>
      <c r="B1947" s="1">
        <v>42599</v>
      </c>
      <c r="C1947" s="6">
        <f t="shared" si="300"/>
        <v>2016</v>
      </c>
      <c r="D1947">
        <v>84.2</v>
      </c>
      <c r="E1947">
        <v>68</v>
      </c>
      <c r="F1947">
        <v>76.8</v>
      </c>
      <c r="G1947" s="2">
        <f t="shared" si="301"/>
        <v>1</v>
      </c>
      <c r="H1947">
        <v>91</v>
      </c>
      <c r="I1947">
        <v>68</v>
      </c>
      <c r="J1947">
        <v>78.8</v>
      </c>
      <c r="K1947">
        <v>68.599999999999994</v>
      </c>
      <c r="L1947">
        <v>76.099999999999994</v>
      </c>
      <c r="M1947" s="2">
        <f t="shared" si="302"/>
        <v>0</v>
      </c>
      <c r="N1947">
        <v>0</v>
      </c>
      <c r="O1947" s="2">
        <f t="shared" si="303"/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26.8</v>
      </c>
      <c r="V1947" s="2">
        <f t="shared" si="304"/>
        <v>1</v>
      </c>
      <c r="W1947">
        <v>17.2</v>
      </c>
      <c r="X1947" s="2">
        <f t="shared" si="305"/>
        <v>1</v>
      </c>
      <c r="Y1947">
        <v>304.2</v>
      </c>
      <c r="Z1947" s="2" t="str">
        <f>CHOOSE(MATCH(Y1947,{0;11;80;111;161;191;241;281;341},1),"North","NorthEast","East","SouthEast","South","SouthWest","West","NorthWest","North")</f>
        <v>NorthWest</v>
      </c>
      <c r="AA1947" s="4">
        <f>CHOOSE(MATCH(Z1947,{"South";"SouthEast";"SouthWest";"North";"NorthEast";"East";"West";"NorthWest"},0),1,2,3,4,5,6,7,8)</f>
        <v>8</v>
      </c>
      <c r="AB1947" s="2">
        <f t="shared" si="306"/>
        <v>1</v>
      </c>
      <c r="AC1947">
        <v>1010.1</v>
      </c>
      <c r="AD1947" t="s">
        <v>1101</v>
      </c>
      <c r="AE1947" s="2">
        <f t="shared" si="307"/>
        <v>1</v>
      </c>
      <c r="AF1947" t="s">
        <v>2668</v>
      </c>
      <c r="AG1947" s="2">
        <f t="shared" si="308"/>
        <v>8</v>
      </c>
      <c r="AH1947" s="2">
        <f t="shared" si="309"/>
        <v>1</v>
      </c>
      <c r="AI1947" s="3">
        <v>1205.000000009313</v>
      </c>
      <c r="AJ1947" s="2">
        <v>1</v>
      </c>
      <c r="AK1947">
        <v>10</v>
      </c>
      <c r="AL1947">
        <v>0</v>
      </c>
      <c r="AM1947">
        <v>0</v>
      </c>
      <c r="AN1947" s="2">
        <f>IF((2*G1947+M1947-O1947+3*V1947+2*AB1947+2*AE1947+2*AH1947+3*AJ1947)&gt;=7,1,0)</f>
        <v>1</v>
      </c>
    </row>
    <row r="1948" spans="1:40" x14ac:dyDescent="0.25">
      <c r="A1948" t="s">
        <v>27</v>
      </c>
      <c r="B1948" s="1">
        <v>42599</v>
      </c>
      <c r="C1948" s="6">
        <f t="shared" si="300"/>
        <v>2016</v>
      </c>
      <c r="D1948">
        <v>84.2</v>
      </c>
      <c r="E1948">
        <v>68</v>
      </c>
      <c r="F1948">
        <v>76.8</v>
      </c>
      <c r="G1948" s="2">
        <f t="shared" si="301"/>
        <v>1</v>
      </c>
      <c r="H1948">
        <v>91</v>
      </c>
      <c r="I1948">
        <v>68</v>
      </c>
      <c r="J1948">
        <v>78.8</v>
      </c>
      <c r="K1948">
        <v>68.599999999999994</v>
      </c>
      <c r="L1948">
        <v>76.099999999999994</v>
      </c>
      <c r="M1948" s="2">
        <f t="shared" si="302"/>
        <v>0</v>
      </c>
      <c r="N1948">
        <v>0</v>
      </c>
      <c r="O1948" s="2">
        <f t="shared" si="303"/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26.8</v>
      </c>
      <c r="V1948" s="2">
        <f t="shared" si="304"/>
        <v>1</v>
      </c>
      <c r="W1948">
        <v>17.2</v>
      </c>
      <c r="X1948" s="2">
        <f t="shared" si="305"/>
        <v>1</v>
      </c>
      <c r="Y1948">
        <v>304.2</v>
      </c>
      <c r="Z1948" s="2" t="str">
        <f>CHOOSE(MATCH(Y1948,{0;11;80;111;161;191;241;281;341},1),"North","NorthEast","East","SouthEast","South","SouthWest","West","NorthWest","North")</f>
        <v>NorthWest</v>
      </c>
      <c r="AA1948" s="4">
        <f>CHOOSE(MATCH(Z1948,{"South";"SouthEast";"SouthWest";"North";"NorthEast";"East";"West";"NorthWest"},0),1,2,3,4,5,6,7,8)</f>
        <v>8</v>
      </c>
      <c r="AB1948" s="2">
        <f t="shared" si="306"/>
        <v>1</v>
      </c>
      <c r="AC1948">
        <v>1010.1</v>
      </c>
      <c r="AD1948" t="s">
        <v>2669</v>
      </c>
      <c r="AE1948" s="2">
        <f t="shared" si="307"/>
        <v>1</v>
      </c>
      <c r="AF1948" t="s">
        <v>2670</v>
      </c>
      <c r="AG1948" s="2">
        <f t="shared" si="308"/>
        <v>8</v>
      </c>
      <c r="AH1948" s="2">
        <f t="shared" si="309"/>
        <v>1</v>
      </c>
      <c r="AI1948" s="3">
        <v>1894.9999999953429</v>
      </c>
      <c r="AJ1948" s="2">
        <v>1</v>
      </c>
      <c r="AK1948">
        <v>30</v>
      </c>
      <c r="AL1948">
        <v>0</v>
      </c>
      <c r="AM1948">
        <v>0</v>
      </c>
      <c r="AN1948" s="2">
        <f>IF((2*G1948+M1948-O1948+3*V1948+2*AB1948+2*AE1948+2*AH1948+3*AJ1948)&gt;=7,1,0)</f>
        <v>1</v>
      </c>
    </row>
    <row r="1949" spans="1:40" x14ac:dyDescent="0.25">
      <c r="A1949" t="s">
        <v>27</v>
      </c>
      <c r="B1949" s="1">
        <v>42604</v>
      </c>
      <c r="C1949" s="6">
        <f t="shared" si="300"/>
        <v>2016</v>
      </c>
      <c r="D1949">
        <v>84.2</v>
      </c>
      <c r="E1949">
        <v>71.599999999999994</v>
      </c>
      <c r="F1949">
        <v>79.400000000000006</v>
      </c>
      <c r="G1949" s="2">
        <f t="shared" si="301"/>
        <v>1</v>
      </c>
      <c r="H1949">
        <v>91</v>
      </c>
      <c r="I1949">
        <v>71.599999999999994</v>
      </c>
      <c r="J1949">
        <v>82.1</v>
      </c>
      <c r="K1949">
        <v>71.099999999999994</v>
      </c>
      <c r="L1949">
        <v>76</v>
      </c>
      <c r="M1949" s="2">
        <f t="shared" si="302"/>
        <v>0</v>
      </c>
      <c r="N1949">
        <v>0</v>
      </c>
      <c r="O1949" s="2">
        <f t="shared" si="303"/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23</v>
      </c>
      <c r="V1949" s="2">
        <f t="shared" si="304"/>
        <v>1</v>
      </c>
      <c r="W1949">
        <v>13.9</v>
      </c>
      <c r="X1949" s="2">
        <f t="shared" si="305"/>
        <v>0</v>
      </c>
      <c r="Y1949">
        <v>308.39999999999998</v>
      </c>
      <c r="Z1949" s="2" t="str">
        <f>CHOOSE(MATCH(Y1949,{0;11;80;111;161;191;241;281;341},1),"North","NorthEast","East","SouthEast","South","SouthWest","West","NorthWest","North")</f>
        <v>NorthWest</v>
      </c>
      <c r="AA1949" s="4">
        <f>CHOOSE(MATCH(Z1949,{"South";"SouthEast";"SouthWest";"North";"NorthEast";"East";"West";"NorthWest"},0),1,2,3,4,5,6,7,8)</f>
        <v>8</v>
      </c>
      <c r="AB1949" s="2">
        <f t="shared" si="306"/>
        <v>1</v>
      </c>
      <c r="AC1949">
        <v>1011.9</v>
      </c>
      <c r="AD1949" t="s">
        <v>1806</v>
      </c>
      <c r="AE1949" s="2">
        <f t="shared" si="307"/>
        <v>1</v>
      </c>
      <c r="AF1949" t="s">
        <v>2671</v>
      </c>
      <c r="AG1949" s="2">
        <f t="shared" si="308"/>
        <v>8</v>
      </c>
      <c r="AH1949" s="2">
        <f t="shared" si="309"/>
        <v>1</v>
      </c>
      <c r="AI1949" s="3">
        <v>14835.000000003491</v>
      </c>
      <c r="AJ1949" s="2">
        <v>1</v>
      </c>
      <c r="AK1949">
        <v>0</v>
      </c>
      <c r="AL1949">
        <v>100</v>
      </c>
      <c r="AM1949">
        <v>0</v>
      </c>
      <c r="AN1949" s="2">
        <f>IF((2*G1949+M1949-O1949+3*V1949+2*AB1949+2*AE1949+2*AH1949+3*AJ1949)&gt;=7,1,0)</f>
        <v>1</v>
      </c>
    </row>
    <row r="1950" spans="1:40" x14ac:dyDescent="0.25">
      <c r="A1950" t="s">
        <v>27</v>
      </c>
      <c r="B1950" s="1">
        <v>42605</v>
      </c>
      <c r="C1950" s="6">
        <f t="shared" si="300"/>
        <v>2016</v>
      </c>
      <c r="D1950">
        <v>87.8</v>
      </c>
      <c r="E1950">
        <v>71.599999999999994</v>
      </c>
      <c r="F1950">
        <v>79.599999999999994</v>
      </c>
      <c r="G1950" s="2">
        <f t="shared" si="301"/>
        <v>1</v>
      </c>
      <c r="H1950">
        <v>95.9</v>
      </c>
      <c r="I1950">
        <v>71.599999999999994</v>
      </c>
      <c r="J1950">
        <v>82.8</v>
      </c>
      <c r="K1950">
        <v>69.8</v>
      </c>
      <c r="L1950">
        <v>72.7</v>
      </c>
      <c r="M1950" s="2">
        <f t="shared" si="302"/>
        <v>0</v>
      </c>
      <c r="N1950">
        <v>0</v>
      </c>
      <c r="O1950" s="2">
        <f t="shared" si="303"/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19.7</v>
      </c>
      <c r="V1950" s="2">
        <f t="shared" si="304"/>
        <v>1</v>
      </c>
      <c r="W1950">
        <v>9.1999999999999993</v>
      </c>
      <c r="X1950" s="2">
        <f t="shared" si="305"/>
        <v>0</v>
      </c>
      <c r="Y1950">
        <v>222.3</v>
      </c>
      <c r="Z1950" s="2" t="str">
        <f>CHOOSE(MATCH(Y1950,{0;11;80;111;161;191;241;281;341},1),"North","NorthEast","East","SouthEast","South","SouthWest","West","NorthWest","North")</f>
        <v>SouthWest</v>
      </c>
      <c r="AA1950" s="4">
        <f>CHOOSE(MATCH(Z1950,{"South";"SouthEast";"SouthWest";"North";"NorthEast";"East";"West";"NorthWest"},0),1,2,3,4,5,6,7,8)</f>
        <v>3</v>
      </c>
      <c r="AB1950" s="2">
        <f t="shared" si="306"/>
        <v>0</v>
      </c>
      <c r="AC1950">
        <v>1011.1</v>
      </c>
      <c r="AD1950" t="s">
        <v>2672</v>
      </c>
      <c r="AE1950" s="2">
        <f t="shared" si="307"/>
        <v>1</v>
      </c>
      <c r="AF1950" t="s">
        <v>2673</v>
      </c>
      <c r="AG1950" s="2">
        <f t="shared" si="308"/>
        <v>8</v>
      </c>
      <c r="AH1950" s="2">
        <f t="shared" si="309"/>
        <v>1</v>
      </c>
      <c r="AI1950" s="3">
        <v>525.00000000349246</v>
      </c>
      <c r="AJ1950" s="2">
        <v>1</v>
      </c>
      <c r="AK1950">
        <v>1</v>
      </c>
      <c r="AL1950">
        <v>0</v>
      </c>
      <c r="AM1950">
        <v>0</v>
      </c>
      <c r="AN1950" s="2">
        <f>IF((2*G1950+M1950-O1950+3*V1950+2*AB1950+2*AE1950+2*AH1950+3*AJ1950)&gt;=7,1,0)</f>
        <v>1</v>
      </c>
    </row>
    <row r="1951" spans="1:40" x14ac:dyDescent="0.25">
      <c r="A1951" t="s">
        <v>27</v>
      </c>
      <c r="B1951" s="1">
        <v>42606</v>
      </c>
      <c r="C1951" s="6">
        <f t="shared" si="300"/>
        <v>2016</v>
      </c>
      <c r="D1951">
        <v>86</v>
      </c>
      <c r="E1951">
        <v>73.400000000000006</v>
      </c>
      <c r="F1951">
        <v>79.3</v>
      </c>
      <c r="G1951" s="2">
        <f t="shared" si="301"/>
        <v>1</v>
      </c>
      <c r="H1951">
        <v>93.4</v>
      </c>
      <c r="I1951">
        <v>73.400000000000006</v>
      </c>
      <c r="J1951">
        <v>81.8</v>
      </c>
      <c r="K1951">
        <v>71.5</v>
      </c>
      <c r="L1951">
        <v>77.599999999999994</v>
      </c>
      <c r="M1951" s="2">
        <f t="shared" si="302"/>
        <v>0</v>
      </c>
      <c r="N1951">
        <v>0</v>
      </c>
      <c r="O1951" s="2">
        <f t="shared" si="303"/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23.7</v>
      </c>
      <c r="V1951" s="2">
        <f t="shared" si="304"/>
        <v>1</v>
      </c>
      <c r="W1951">
        <v>18.3</v>
      </c>
      <c r="X1951" s="2">
        <f t="shared" si="305"/>
        <v>1</v>
      </c>
      <c r="Y1951">
        <v>308.8</v>
      </c>
      <c r="Z1951" s="2" t="str">
        <f>CHOOSE(MATCH(Y1951,{0;11;80;111;161;191;241;281;341},1),"North","NorthEast","East","SouthEast","South","SouthWest","West","NorthWest","North")</f>
        <v>NorthWest</v>
      </c>
      <c r="AA1951" s="4">
        <f>CHOOSE(MATCH(Z1951,{"South";"SouthEast";"SouthWest";"North";"NorthEast";"East";"West";"NorthWest"},0),1,2,3,4,5,6,7,8)</f>
        <v>8</v>
      </c>
      <c r="AB1951" s="2">
        <f t="shared" si="306"/>
        <v>1</v>
      </c>
      <c r="AC1951">
        <v>1010.2</v>
      </c>
      <c r="AD1951" t="s">
        <v>1897</v>
      </c>
      <c r="AE1951" s="2">
        <f t="shared" si="307"/>
        <v>1</v>
      </c>
      <c r="AF1951" t="s">
        <v>2674</v>
      </c>
      <c r="AG1951" s="2">
        <f t="shared" si="308"/>
        <v>8</v>
      </c>
      <c r="AH1951" s="2">
        <f t="shared" si="309"/>
        <v>1</v>
      </c>
      <c r="AI1951" s="3">
        <v>85.000000004656613</v>
      </c>
      <c r="AJ1951" s="2">
        <v>0</v>
      </c>
      <c r="AK1951">
        <v>0</v>
      </c>
      <c r="AL1951">
        <v>0.2</v>
      </c>
      <c r="AM1951">
        <v>0</v>
      </c>
      <c r="AN1951" s="2">
        <f>IF((2*G1951+M1951-O1951+3*V1951+2*AB1951+2*AE1951+2*AH1951+3*AJ1951)&gt;=7,1,0)</f>
        <v>1</v>
      </c>
    </row>
    <row r="1952" spans="1:40" x14ac:dyDescent="0.25">
      <c r="A1952" t="s">
        <v>27</v>
      </c>
      <c r="B1952" s="1">
        <v>42607</v>
      </c>
      <c r="C1952" s="6">
        <f t="shared" si="300"/>
        <v>2016</v>
      </c>
      <c r="D1952">
        <v>84.2</v>
      </c>
      <c r="E1952">
        <v>71.599999999999994</v>
      </c>
      <c r="F1952">
        <v>78.5</v>
      </c>
      <c r="G1952" s="2">
        <f t="shared" si="301"/>
        <v>1</v>
      </c>
      <c r="H1952">
        <v>90.9</v>
      </c>
      <c r="I1952">
        <v>71.599999999999994</v>
      </c>
      <c r="J1952">
        <v>80.7</v>
      </c>
      <c r="K1952">
        <v>71.7</v>
      </c>
      <c r="L1952">
        <v>79.900000000000006</v>
      </c>
      <c r="M1952" s="2">
        <f t="shared" si="302"/>
        <v>0</v>
      </c>
      <c r="N1952">
        <v>0</v>
      </c>
      <c r="O1952" s="2">
        <f t="shared" si="303"/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19</v>
      </c>
      <c r="V1952" s="2">
        <f t="shared" si="304"/>
        <v>1</v>
      </c>
      <c r="W1952">
        <v>16.100000000000001</v>
      </c>
      <c r="X1952" s="2">
        <f t="shared" si="305"/>
        <v>1</v>
      </c>
      <c r="Y1952">
        <v>315.10000000000002</v>
      </c>
      <c r="Z1952" s="2" t="str">
        <f>CHOOSE(MATCH(Y1952,{0;11;80;111;161;191;241;281;341},1),"North","NorthEast","East","SouthEast","South","SouthWest","West","NorthWest","North")</f>
        <v>NorthWest</v>
      </c>
      <c r="AA1952" s="4">
        <f>CHOOSE(MATCH(Z1952,{"South";"SouthEast";"SouthWest";"North";"NorthEast";"East";"West";"NorthWest"},0),1,2,3,4,5,6,7,8)</f>
        <v>8</v>
      </c>
      <c r="AB1952" s="2">
        <f t="shared" si="306"/>
        <v>1</v>
      </c>
      <c r="AC1952">
        <v>1009.2</v>
      </c>
      <c r="AD1952" t="s">
        <v>2675</v>
      </c>
      <c r="AE1952" s="2">
        <f t="shared" si="307"/>
        <v>0</v>
      </c>
      <c r="AF1952" t="s">
        <v>2676</v>
      </c>
      <c r="AG1952" s="2">
        <f t="shared" si="308"/>
        <v>8</v>
      </c>
      <c r="AH1952" s="2">
        <f t="shared" si="309"/>
        <v>1</v>
      </c>
      <c r="AI1952" s="3">
        <v>2197.9999999981369</v>
      </c>
      <c r="AJ1952" s="2">
        <v>1</v>
      </c>
      <c r="AK1952">
        <v>0</v>
      </c>
      <c r="AL1952">
        <v>600</v>
      </c>
      <c r="AM1952">
        <v>0</v>
      </c>
      <c r="AN1952" s="2">
        <f>IF((2*G1952+M1952-O1952+3*V1952+2*AB1952+2*AE1952+2*AH1952+3*AJ1952)&gt;=7,1,0)</f>
        <v>1</v>
      </c>
    </row>
    <row r="1953" spans="1:40" x14ac:dyDescent="0.25">
      <c r="A1953" t="s">
        <v>27</v>
      </c>
      <c r="B1953" s="1">
        <v>42607</v>
      </c>
      <c r="C1953" s="6">
        <f t="shared" si="300"/>
        <v>2016</v>
      </c>
      <c r="D1953">
        <v>84.2</v>
      </c>
      <c r="E1953">
        <v>71.599999999999994</v>
      </c>
      <c r="F1953">
        <v>78.5</v>
      </c>
      <c r="G1953" s="2">
        <f t="shared" si="301"/>
        <v>1</v>
      </c>
      <c r="H1953">
        <v>90.9</v>
      </c>
      <c r="I1953">
        <v>71.599999999999994</v>
      </c>
      <c r="J1953">
        <v>80.7</v>
      </c>
      <c r="K1953">
        <v>71.7</v>
      </c>
      <c r="L1953">
        <v>79.900000000000006</v>
      </c>
      <c r="M1953" s="2">
        <f t="shared" si="302"/>
        <v>0</v>
      </c>
      <c r="N1953">
        <v>0</v>
      </c>
      <c r="O1953" s="2">
        <f t="shared" si="303"/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19</v>
      </c>
      <c r="V1953" s="2">
        <f t="shared" si="304"/>
        <v>1</v>
      </c>
      <c r="W1953">
        <v>16.100000000000001</v>
      </c>
      <c r="X1953" s="2">
        <f t="shared" si="305"/>
        <v>1</v>
      </c>
      <c r="Y1953">
        <v>315.10000000000002</v>
      </c>
      <c r="Z1953" s="2" t="str">
        <f>CHOOSE(MATCH(Y1953,{0;11;80;111;161;191;241;281;341},1),"North","NorthEast","East","SouthEast","South","SouthWest","West","NorthWest","North")</f>
        <v>NorthWest</v>
      </c>
      <c r="AA1953" s="4">
        <f>CHOOSE(MATCH(Z1953,{"South";"SouthEast";"SouthWest";"North";"NorthEast";"East";"West";"NorthWest"},0),1,2,3,4,5,6,7,8)</f>
        <v>8</v>
      </c>
      <c r="AB1953" s="2">
        <f t="shared" si="306"/>
        <v>1</v>
      </c>
      <c r="AC1953">
        <v>1009.2</v>
      </c>
      <c r="AD1953" t="s">
        <v>2208</v>
      </c>
      <c r="AE1953" s="2">
        <f t="shared" si="307"/>
        <v>1</v>
      </c>
      <c r="AF1953" t="s">
        <v>2677</v>
      </c>
      <c r="AG1953" s="2">
        <f t="shared" si="308"/>
        <v>8</v>
      </c>
      <c r="AH1953" s="2">
        <f t="shared" si="309"/>
        <v>1</v>
      </c>
      <c r="AI1953" s="3">
        <v>1758.999999992084</v>
      </c>
      <c r="AJ1953" s="2">
        <v>1</v>
      </c>
      <c r="AK1953">
        <v>0</v>
      </c>
      <c r="AL1953">
        <v>500</v>
      </c>
      <c r="AM1953">
        <v>0</v>
      </c>
      <c r="AN1953" s="2">
        <f>IF((2*G1953+M1953-O1953+3*V1953+2*AB1953+2*AE1953+2*AH1953+3*AJ1953)&gt;=7,1,0)</f>
        <v>1</v>
      </c>
    </row>
    <row r="1954" spans="1:40" x14ac:dyDescent="0.25">
      <c r="A1954" t="s">
        <v>27</v>
      </c>
      <c r="B1954" s="1">
        <v>42607</v>
      </c>
      <c r="C1954" s="6">
        <f t="shared" si="300"/>
        <v>2016</v>
      </c>
      <c r="D1954">
        <v>84.2</v>
      </c>
      <c r="E1954">
        <v>71.599999999999994</v>
      </c>
      <c r="F1954">
        <v>78.5</v>
      </c>
      <c r="G1954" s="2">
        <f t="shared" si="301"/>
        <v>1</v>
      </c>
      <c r="H1954">
        <v>90.9</v>
      </c>
      <c r="I1954">
        <v>71.599999999999994</v>
      </c>
      <c r="J1954">
        <v>80.7</v>
      </c>
      <c r="K1954">
        <v>71.7</v>
      </c>
      <c r="L1954">
        <v>79.900000000000006</v>
      </c>
      <c r="M1954" s="2">
        <f t="shared" si="302"/>
        <v>0</v>
      </c>
      <c r="N1954">
        <v>0</v>
      </c>
      <c r="O1954" s="2">
        <f t="shared" si="303"/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19</v>
      </c>
      <c r="V1954" s="2">
        <f t="shared" si="304"/>
        <v>1</v>
      </c>
      <c r="W1954">
        <v>16.100000000000001</v>
      </c>
      <c r="X1954" s="2">
        <f t="shared" si="305"/>
        <v>1</v>
      </c>
      <c r="Y1954">
        <v>315.10000000000002</v>
      </c>
      <c r="Z1954" s="2" t="str">
        <f>CHOOSE(MATCH(Y1954,{0;11;80;111;161;191;241;281;341},1),"North","NorthEast","East","SouthEast","South","SouthWest","West","NorthWest","North")</f>
        <v>NorthWest</v>
      </c>
      <c r="AA1954" s="4">
        <f>CHOOSE(MATCH(Z1954,{"South";"SouthEast";"SouthWest";"North";"NorthEast";"East";"West";"NorthWest"},0),1,2,3,4,5,6,7,8)</f>
        <v>8</v>
      </c>
      <c r="AB1954" s="2">
        <f t="shared" si="306"/>
        <v>1</v>
      </c>
      <c r="AC1954">
        <v>1009.2</v>
      </c>
      <c r="AD1954" t="s">
        <v>2678</v>
      </c>
      <c r="AE1954" s="2">
        <f t="shared" si="307"/>
        <v>1</v>
      </c>
      <c r="AF1954" t="s">
        <v>2679</v>
      </c>
      <c r="AG1954" s="2">
        <f t="shared" si="308"/>
        <v>8</v>
      </c>
      <c r="AH1954" s="2">
        <f t="shared" si="309"/>
        <v>1</v>
      </c>
      <c r="AI1954" s="3">
        <v>2067.000000000698</v>
      </c>
      <c r="AJ1954" s="2">
        <v>1</v>
      </c>
      <c r="AK1954">
        <v>0</v>
      </c>
      <c r="AL1954">
        <v>100</v>
      </c>
      <c r="AM1954">
        <v>0</v>
      </c>
      <c r="AN1954" s="2">
        <f>IF((2*G1954+M1954-O1954+3*V1954+2*AB1954+2*AE1954+2*AH1954+3*AJ1954)&gt;=7,1,0)</f>
        <v>1</v>
      </c>
    </row>
    <row r="1955" spans="1:40" x14ac:dyDescent="0.25">
      <c r="A1955" t="s">
        <v>27</v>
      </c>
      <c r="B1955" s="1">
        <v>42607</v>
      </c>
      <c r="C1955" s="6">
        <f t="shared" si="300"/>
        <v>2016</v>
      </c>
      <c r="D1955">
        <v>84.2</v>
      </c>
      <c r="E1955">
        <v>71.599999999999994</v>
      </c>
      <c r="F1955">
        <v>78.5</v>
      </c>
      <c r="G1955" s="2">
        <f t="shared" si="301"/>
        <v>1</v>
      </c>
      <c r="H1955">
        <v>90.9</v>
      </c>
      <c r="I1955">
        <v>71.599999999999994</v>
      </c>
      <c r="J1955">
        <v>80.7</v>
      </c>
      <c r="K1955">
        <v>71.7</v>
      </c>
      <c r="L1955">
        <v>79.900000000000006</v>
      </c>
      <c r="M1955" s="2">
        <f t="shared" si="302"/>
        <v>0</v>
      </c>
      <c r="N1955">
        <v>0</v>
      </c>
      <c r="O1955" s="2">
        <f t="shared" si="303"/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19</v>
      </c>
      <c r="V1955" s="2">
        <f t="shared" si="304"/>
        <v>1</v>
      </c>
      <c r="W1955">
        <v>16.100000000000001</v>
      </c>
      <c r="X1955" s="2">
        <f t="shared" si="305"/>
        <v>1</v>
      </c>
      <c r="Y1955">
        <v>315.10000000000002</v>
      </c>
      <c r="Z1955" s="2" t="str">
        <f>CHOOSE(MATCH(Y1955,{0;11;80;111;161;191;241;281;341},1),"North","NorthEast","East","SouthEast","South","SouthWest","West","NorthWest","North")</f>
        <v>NorthWest</v>
      </c>
      <c r="AA1955" s="4">
        <f>CHOOSE(MATCH(Z1955,{"South";"SouthEast";"SouthWest";"North";"NorthEast";"East";"West";"NorthWest"},0),1,2,3,4,5,6,7,8)</f>
        <v>8</v>
      </c>
      <c r="AB1955" s="2">
        <f t="shared" si="306"/>
        <v>1</v>
      </c>
      <c r="AC1955">
        <v>1009.2</v>
      </c>
      <c r="AD1955" t="s">
        <v>2680</v>
      </c>
      <c r="AE1955" s="2">
        <f t="shared" si="307"/>
        <v>1</v>
      </c>
      <c r="AF1955" t="s">
        <v>2681</v>
      </c>
      <c r="AG1955" s="2">
        <f t="shared" si="308"/>
        <v>8</v>
      </c>
      <c r="AH1955" s="2">
        <f t="shared" si="309"/>
        <v>1</v>
      </c>
      <c r="AI1955" s="3">
        <v>1170</v>
      </c>
      <c r="AJ1955" s="2">
        <v>1</v>
      </c>
      <c r="AK1955">
        <v>0</v>
      </c>
      <c r="AL1955">
        <v>5</v>
      </c>
      <c r="AM1955">
        <v>0</v>
      </c>
      <c r="AN1955" s="2">
        <f>IF((2*G1955+M1955-O1955+3*V1955+2*AB1955+2*AE1955+2*AH1955+3*AJ1955)&gt;=7,1,0)</f>
        <v>1</v>
      </c>
    </row>
    <row r="1956" spans="1:40" x14ac:dyDescent="0.25">
      <c r="A1956" t="s">
        <v>27</v>
      </c>
      <c r="B1956" s="1">
        <v>42608</v>
      </c>
      <c r="C1956" s="6">
        <f t="shared" si="300"/>
        <v>2016</v>
      </c>
      <c r="D1956">
        <v>82.4</v>
      </c>
      <c r="E1956">
        <v>73.400000000000006</v>
      </c>
      <c r="F1956">
        <v>78</v>
      </c>
      <c r="G1956" s="2">
        <f t="shared" si="301"/>
        <v>1</v>
      </c>
      <c r="H1956">
        <v>86.2</v>
      </c>
      <c r="I1956">
        <v>73.400000000000006</v>
      </c>
      <c r="J1956">
        <v>79</v>
      </c>
      <c r="K1956">
        <v>70.5</v>
      </c>
      <c r="L1956">
        <v>78</v>
      </c>
      <c r="M1956" s="2">
        <f t="shared" si="302"/>
        <v>0</v>
      </c>
      <c r="N1956">
        <v>0</v>
      </c>
      <c r="O1956" s="2">
        <f t="shared" si="303"/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23.9</v>
      </c>
      <c r="V1956" s="2">
        <f t="shared" si="304"/>
        <v>1</v>
      </c>
      <c r="W1956">
        <v>17.2</v>
      </c>
      <c r="X1956" s="2">
        <f t="shared" si="305"/>
        <v>1</v>
      </c>
      <c r="Y1956">
        <v>301.5</v>
      </c>
      <c r="Z1956" s="2" t="str">
        <f>CHOOSE(MATCH(Y1956,{0;11;80;111;161;191;241;281;341},1),"North","NorthEast","East","SouthEast","South","SouthWest","West","NorthWest","North")</f>
        <v>NorthWest</v>
      </c>
      <c r="AA1956" s="4">
        <f>CHOOSE(MATCH(Z1956,{"South";"SouthEast";"SouthWest";"North";"NorthEast";"East";"West";"NorthWest"},0),1,2,3,4,5,6,7,8)</f>
        <v>8</v>
      </c>
      <c r="AB1956" s="2">
        <f t="shared" si="306"/>
        <v>1</v>
      </c>
      <c r="AC1956">
        <v>1011.8</v>
      </c>
      <c r="AD1956" t="s">
        <v>2682</v>
      </c>
      <c r="AE1956" s="2">
        <f t="shared" si="307"/>
        <v>0</v>
      </c>
      <c r="AF1956" t="s">
        <v>2683</v>
      </c>
      <c r="AG1956" s="2">
        <f t="shared" si="308"/>
        <v>8</v>
      </c>
      <c r="AH1956" s="2">
        <f t="shared" si="309"/>
        <v>1</v>
      </c>
      <c r="AI1956" s="3">
        <v>882.00000000419095</v>
      </c>
      <c r="AJ1956" s="2">
        <v>1</v>
      </c>
      <c r="AK1956">
        <v>0</v>
      </c>
      <c r="AL1956">
        <v>20</v>
      </c>
      <c r="AM1956">
        <v>0</v>
      </c>
      <c r="AN1956" s="2">
        <f>IF((2*G1956+M1956-O1956+3*V1956+2*AB1956+2*AE1956+2*AH1956+3*AJ1956)&gt;=7,1,0)</f>
        <v>1</v>
      </c>
    </row>
    <row r="1957" spans="1:40" x14ac:dyDescent="0.25">
      <c r="A1957" t="s">
        <v>27</v>
      </c>
      <c r="B1957" s="1">
        <v>42608</v>
      </c>
      <c r="C1957" s="6">
        <f t="shared" si="300"/>
        <v>2016</v>
      </c>
      <c r="D1957">
        <v>82.4</v>
      </c>
      <c r="E1957">
        <v>73.400000000000006</v>
      </c>
      <c r="F1957">
        <v>78</v>
      </c>
      <c r="G1957" s="2">
        <f t="shared" si="301"/>
        <v>1</v>
      </c>
      <c r="H1957">
        <v>86.2</v>
      </c>
      <c r="I1957">
        <v>73.400000000000006</v>
      </c>
      <c r="J1957">
        <v>79</v>
      </c>
      <c r="K1957">
        <v>70.5</v>
      </c>
      <c r="L1957">
        <v>78</v>
      </c>
      <c r="M1957" s="2">
        <f t="shared" si="302"/>
        <v>0</v>
      </c>
      <c r="N1957">
        <v>0</v>
      </c>
      <c r="O1957" s="2">
        <f t="shared" si="303"/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23.9</v>
      </c>
      <c r="V1957" s="2">
        <f t="shared" si="304"/>
        <v>1</v>
      </c>
      <c r="W1957">
        <v>17.2</v>
      </c>
      <c r="X1957" s="2">
        <f t="shared" si="305"/>
        <v>1</v>
      </c>
      <c r="Y1957">
        <v>301.5</v>
      </c>
      <c r="Z1957" s="2" t="str">
        <f>CHOOSE(MATCH(Y1957,{0;11;80;111;161;191;241;281;341},1),"North","NorthEast","East","SouthEast","South","SouthWest","West","NorthWest","North")</f>
        <v>NorthWest</v>
      </c>
      <c r="AA1957" s="4">
        <f>CHOOSE(MATCH(Z1957,{"South";"SouthEast";"SouthWest";"North";"NorthEast";"East";"West";"NorthWest"},0),1,2,3,4,5,6,7,8)</f>
        <v>8</v>
      </c>
      <c r="AB1957" s="2">
        <f t="shared" si="306"/>
        <v>1</v>
      </c>
      <c r="AC1957">
        <v>1011.8</v>
      </c>
      <c r="AD1957" t="s">
        <v>2684</v>
      </c>
      <c r="AE1957" s="2">
        <f t="shared" si="307"/>
        <v>0</v>
      </c>
      <c r="AF1957" t="s">
        <v>2685</v>
      </c>
      <c r="AG1957" s="2">
        <f t="shared" si="308"/>
        <v>8</v>
      </c>
      <c r="AH1957" s="2">
        <f t="shared" si="309"/>
        <v>1</v>
      </c>
      <c r="AI1957" s="3">
        <v>508.00000000046572</v>
      </c>
      <c r="AJ1957" s="2">
        <v>1</v>
      </c>
      <c r="AK1957">
        <v>1</v>
      </c>
      <c r="AL1957">
        <v>0</v>
      </c>
      <c r="AM1957">
        <v>0</v>
      </c>
      <c r="AN1957" s="2">
        <f>IF((2*G1957+M1957-O1957+3*V1957+2*AB1957+2*AE1957+2*AH1957+3*AJ1957)&gt;=7,1,0)</f>
        <v>1</v>
      </c>
    </row>
    <row r="1958" spans="1:40" x14ac:dyDescent="0.25">
      <c r="A1958" t="s">
        <v>27</v>
      </c>
      <c r="B1958" s="1">
        <v>42611</v>
      </c>
      <c r="C1958" s="6">
        <f t="shared" si="300"/>
        <v>2016</v>
      </c>
      <c r="D1958">
        <v>82.4</v>
      </c>
      <c r="E1958">
        <v>73.400000000000006</v>
      </c>
      <c r="F1958">
        <v>78.5</v>
      </c>
      <c r="G1958" s="2">
        <f t="shared" si="301"/>
        <v>1</v>
      </c>
      <c r="H1958">
        <v>86.2</v>
      </c>
      <c r="I1958">
        <v>73.400000000000006</v>
      </c>
      <c r="J1958">
        <v>79.599999999999994</v>
      </c>
      <c r="K1958">
        <v>66.599999999999994</v>
      </c>
      <c r="L1958">
        <v>67.2</v>
      </c>
      <c r="M1958" s="2">
        <f t="shared" si="302"/>
        <v>0</v>
      </c>
      <c r="N1958">
        <v>0</v>
      </c>
      <c r="O1958" s="2">
        <f t="shared" si="303"/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32</v>
      </c>
      <c r="V1958" s="2">
        <f t="shared" si="304"/>
        <v>1</v>
      </c>
      <c r="W1958">
        <v>18.3</v>
      </c>
      <c r="X1958" s="2">
        <f t="shared" si="305"/>
        <v>1</v>
      </c>
      <c r="Y1958">
        <v>296.60000000000002</v>
      </c>
      <c r="Z1958" s="2" t="str">
        <f>CHOOSE(MATCH(Y1958,{0;11;80;111;161;191;241;281;341},1),"North","NorthEast","East","SouthEast","South","SouthWest","West","NorthWest","North")</f>
        <v>NorthWest</v>
      </c>
      <c r="AA1958" s="4">
        <f>CHOOSE(MATCH(Z1958,{"South";"SouthEast";"SouthWest";"North";"NorthEast";"East";"West";"NorthWest"},0),1,2,3,4,5,6,7,8)</f>
        <v>8</v>
      </c>
      <c r="AB1958" s="2">
        <f t="shared" si="306"/>
        <v>1</v>
      </c>
      <c r="AC1958">
        <v>1013.2</v>
      </c>
      <c r="AD1958" t="s">
        <v>2686</v>
      </c>
      <c r="AE1958" s="2">
        <f t="shared" si="307"/>
        <v>0</v>
      </c>
      <c r="AF1958" t="s">
        <v>2687</v>
      </c>
      <c r="AG1958" s="2">
        <f t="shared" si="308"/>
        <v>8</v>
      </c>
      <c r="AH1958" s="2">
        <f t="shared" si="309"/>
        <v>1</v>
      </c>
      <c r="AI1958" s="3">
        <v>2084.999999996508</v>
      </c>
      <c r="AJ1958" s="2">
        <v>1</v>
      </c>
      <c r="AK1958">
        <v>0</v>
      </c>
      <c r="AL1958">
        <v>20</v>
      </c>
      <c r="AM1958">
        <v>10</v>
      </c>
      <c r="AN1958" s="2">
        <f>IF((2*G1958+M1958-O1958+3*V1958+2*AB1958+2*AE1958+2*AH1958+3*AJ1958)&gt;=7,1,0)</f>
        <v>1</v>
      </c>
    </row>
    <row r="1959" spans="1:40" x14ac:dyDescent="0.25">
      <c r="A1959" t="s">
        <v>27</v>
      </c>
      <c r="B1959" s="1">
        <v>42614</v>
      </c>
      <c r="C1959" s="6">
        <f t="shared" si="300"/>
        <v>2016</v>
      </c>
      <c r="D1959">
        <v>82.4</v>
      </c>
      <c r="E1959">
        <v>77</v>
      </c>
      <c r="F1959">
        <v>79.7</v>
      </c>
      <c r="G1959" s="2">
        <f t="shared" si="301"/>
        <v>1</v>
      </c>
      <c r="H1959">
        <v>87.2</v>
      </c>
      <c r="I1959">
        <v>77</v>
      </c>
      <c r="J1959">
        <v>81.099999999999994</v>
      </c>
      <c r="K1959">
        <v>68.7</v>
      </c>
      <c r="L1959">
        <v>69.2</v>
      </c>
      <c r="M1959" s="2">
        <f t="shared" si="302"/>
        <v>0</v>
      </c>
      <c r="N1959">
        <v>0</v>
      </c>
      <c r="O1959" s="2">
        <f t="shared" si="303"/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34</v>
      </c>
      <c r="V1959" s="2">
        <f t="shared" si="304"/>
        <v>1</v>
      </c>
      <c r="W1959">
        <v>21.9</v>
      </c>
      <c r="X1959" s="2">
        <f t="shared" si="305"/>
        <v>1</v>
      </c>
      <c r="Y1959">
        <v>303.60000000000002</v>
      </c>
      <c r="Z1959" s="2" t="str">
        <f>CHOOSE(MATCH(Y1959,{0;11;80;111;161;191;241;281;341},1),"North","NorthEast","East","SouthEast","South","SouthWest","West","NorthWest","North")</f>
        <v>NorthWest</v>
      </c>
      <c r="AA1959" s="4">
        <f>CHOOSE(MATCH(Z1959,{"South";"SouthEast";"SouthWest";"North";"NorthEast";"East";"West";"NorthWest"},0),1,2,3,4,5,6,7,8)</f>
        <v>8</v>
      </c>
      <c r="AB1959" s="2">
        <f t="shared" si="306"/>
        <v>1</v>
      </c>
      <c r="AC1959">
        <v>1014.1</v>
      </c>
      <c r="AD1959" t="s">
        <v>2477</v>
      </c>
      <c r="AE1959" s="2">
        <f t="shared" si="307"/>
        <v>0</v>
      </c>
      <c r="AF1959" t="s">
        <v>2688</v>
      </c>
      <c r="AG1959" s="2">
        <f t="shared" si="308"/>
        <v>9</v>
      </c>
      <c r="AH1959" s="2">
        <f t="shared" si="309"/>
        <v>0</v>
      </c>
      <c r="AI1959" s="3">
        <v>515.99999999511056</v>
      </c>
      <c r="AJ1959" s="2">
        <v>1</v>
      </c>
      <c r="AK1959">
        <v>0</v>
      </c>
      <c r="AL1959">
        <v>20</v>
      </c>
      <c r="AM1959">
        <v>0</v>
      </c>
      <c r="AN1959" s="2">
        <f>IF((2*G1959+M1959-O1959+3*V1959+2*AB1959+2*AE1959+2*AH1959+3*AJ1959)&gt;=7,1,0)</f>
        <v>1</v>
      </c>
    </row>
    <row r="1960" spans="1:40" x14ac:dyDescent="0.25">
      <c r="A1960" t="s">
        <v>27</v>
      </c>
      <c r="B1960" s="1">
        <v>42615</v>
      </c>
      <c r="C1960" s="6">
        <f t="shared" si="300"/>
        <v>2016</v>
      </c>
      <c r="D1960">
        <v>82.4</v>
      </c>
      <c r="E1960">
        <v>73.400000000000006</v>
      </c>
      <c r="F1960">
        <v>78.2</v>
      </c>
      <c r="G1960" s="2">
        <f t="shared" si="301"/>
        <v>1</v>
      </c>
      <c r="H1960">
        <v>84</v>
      </c>
      <c r="I1960">
        <v>73.400000000000006</v>
      </c>
      <c r="J1960">
        <v>78.7</v>
      </c>
      <c r="K1960">
        <v>63.7</v>
      </c>
      <c r="L1960">
        <v>61.7</v>
      </c>
      <c r="M1960" s="2">
        <f t="shared" si="302"/>
        <v>1</v>
      </c>
      <c r="N1960">
        <v>0</v>
      </c>
      <c r="O1960" s="2">
        <f t="shared" si="303"/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36.5</v>
      </c>
      <c r="V1960" s="2">
        <f t="shared" si="304"/>
        <v>1</v>
      </c>
      <c r="W1960">
        <v>20.8</v>
      </c>
      <c r="X1960" s="2">
        <f t="shared" si="305"/>
        <v>1</v>
      </c>
      <c r="Y1960">
        <v>301.10000000000002</v>
      </c>
      <c r="Z1960" s="2" t="str">
        <f>CHOOSE(MATCH(Y1960,{0;11;80;111;161;191;241;281;341},1),"North","NorthEast","East","SouthEast","South","SouthWest","West","NorthWest","North")</f>
        <v>NorthWest</v>
      </c>
      <c r="AA1960" s="4">
        <f>CHOOSE(MATCH(Z1960,{"South";"SouthEast";"SouthWest";"North";"NorthEast";"East";"West";"NorthWest"},0),1,2,3,4,5,6,7,8)</f>
        <v>8</v>
      </c>
      <c r="AB1960" s="2">
        <f t="shared" si="306"/>
        <v>1</v>
      </c>
      <c r="AC1960">
        <v>1012.5</v>
      </c>
      <c r="AD1960" t="s">
        <v>1921</v>
      </c>
      <c r="AE1960" s="2">
        <f t="shared" si="307"/>
        <v>1</v>
      </c>
      <c r="AF1960" t="s">
        <v>2689</v>
      </c>
      <c r="AG1960" s="2">
        <f t="shared" si="308"/>
        <v>9</v>
      </c>
      <c r="AH1960" s="2">
        <f t="shared" si="309"/>
        <v>0</v>
      </c>
      <c r="AI1960" s="3">
        <v>1149.9999999976719</v>
      </c>
      <c r="AJ1960" s="2">
        <v>1</v>
      </c>
      <c r="AK1960">
        <v>0</v>
      </c>
      <c r="AL1960">
        <v>3</v>
      </c>
      <c r="AM1960">
        <v>0</v>
      </c>
      <c r="AN1960" s="2">
        <f>IF((2*G1960+M1960-O1960+3*V1960+2*AB1960+2*AE1960+2*AH1960+3*AJ1960)&gt;=7,1,0)</f>
        <v>1</v>
      </c>
    </row>
    <row r="1961" spans="1:40" x14ac:dyDescent="0.25">
      <c r="A1961" t="s">
        <v>27</v>
      </c>
      <c r="B1961" s="1">
        <v>42617</v>
      </c>
      <c r="C1961" s="6">
        <f t="shared" si="300"/>
        <v>2016</v>
      </c>
      <c r="D1961">
        <v>80.599999999999994</v>
      </c>
      <c r="E1961">
        <v>73.400000000000006</v>
      </c>
      <c r="F1961">
        <v>76.8</v>
      </c>
      <c r="G1961" s="2">
        <f t="shared" si="301"/>
        <v>1</v>
      </c>
      <c r="H1961">
        <v>83.3</v>
      </c>
      <c r="I1961">
        <v>73.400000000000006</v>
      </c>
      <c r="J1961">
        <v>77</v>
      </c>
      <c r="K1961">
        <v>68.599999999999994</v>
      </c>
      <c r="L1961">
        <v>76.2</v>
      </c>
      <c r="M1961" s="2">
        <f t="shared" si="302"/>
        <v>0</v>
      </c>
      <c r="N1961">
        <v>0</v>
      </c>
      <c r="O1961" s="2">
        <f t="shared" si="303"/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30.6</v>
      </c>
      <c r="V1961" s="2">
        <f t="shared" si="304"/>
        <v>1</v>
      </c>
      <c r="W1961">
        <v>18.3</v>
      </c>
      <c r="X1961" s="2">
        <f t="shared" si="305"/>
        <v>1</v>
      </c>
      <c r="Y1961">
        <v>307.60000000000002</v>
      </c>
      <c r="Z1961" s="2" t="str">
        <f>CHOOSE(MATCH(Y1961,{0;11;80;111;161;191;241;281;341},1),"North","NorthEast","East","SouthEast","South","SouthWest","West","NorthWest","North")</f>
        <v>NorthWest</v>
      </c>
      <c r="AA1961" s="4">
        <f>CHOOSE(MATCH(Z1961,{"South";"SouthEast";"SouthWest";"North";"NorthEast";"East";"West";"NorthWest"},0),1,2,3,4,5,6,7,8)</f>
        <v>8</v>
      </c>
      <c r="AB1961" s="2">
        <f t="shared" si="306"/>
        <v>1</v>
      </c>
      <c r="AC1961">
        <v>1012.9</v>
      </c>
      <c r="AD1961" t="s">
        <v>1252</v>
      </c>
      <c r="AE1961" s="2">
        <f t="shared" si="307"/>
        <v>1</v>
      </c>
      <c r="AF1961" t="s">
        <v>2690</v>
      </c>
      <c r="AG1961" s="2">
        <f t="shared" si="308"/>
        <v>9</v>
      </c>
      <c r="AH1961" s="2">
        <f t="shared" si="309"/>
        <v>0</v>
      </c>
      <c r="AI1961" s="3">
        <v>2925</v>
      </c>
      <c r="AJ1961" s="2">
        <v>1</v>
      </c>
      <c r="AK1961">
        <v>0</v>
      </c>
      <c r="AL1961">
        <v>10</v>
      </c>
      <c r="AM1961">
        <v>0</v>
      </c>
      <c r="AN1961" s="2">
        <f>IF((2*G1961+M1961-O1961+3*V1961+2*AB1961+2*AE1961+2*AH1961+3*AJ1961)&gt;=7,1,0)</f>
        <v>1</v>
      </c>
    </row>
    <row r="1962" spans="1:40" x14ac:dyDescent="0.25">
      <c r="A1962" t="s">
        <v>27</v>
      </c>
      <c r="B1962" s="1">
        <v>42619</v>
      </c>
      <c r="C1962" s="6">
        <f t="shared" si="300"/>
        <v>2016</v>
      </c>
      <c r="D1962">
        <v>84.2</v>
      </c>
      <c r="E1962">
        <v>66.2</v>
      </c>
      <c r="F1962">
        <v>75.099999999999994</v>
      </c>
      <c r="G1962" s="2">
        <f t="shared" si="301"/>
        <v>1</v>
      </c>
      <c r="H1962">
        <v>98.3</v>
      </c>
      <c r="I1962">
        <v>66.2</v>
      </c>
      <c r="J1962">
        <v>78.2</v>
      </c>
      <c r="K1962">
        <v>71.900000000000006</v>
      </c>
      <c r="L1962">
        <v>89.7</v>
      </c>
      <c r="M1962" s="2">
        <f t="shared" si="302"/>
        <v>0</v>
      </c>
      <c r="N1962">
        <v>0</v>
      </c>
      <c r="O1962" s="2">
        <f t="shared" si="303"/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23.8</v>
      </c>
      <c r="V1962" s="2">
        <f t="shared" si="304"/>
        <v>1</v>
      </c>
      <c r="W1962">
        <v>16.100000000000001</v>
      </c>
      <c r="X1962" s="2">
        <f t="shared" si="305"/>
        <v>1</v>
      </c>
      <c r="Y1962">
        <v>115.5</v>
      </c>
      <c r="Z1962" s="2" t="str">
        <f>CHOOSE(MATCH(Y1962,{0;11;80;111;161;191;241;281;341},1),"North","NorthEast","East","SouthEast","South","SouthWest","West","NorthWest","North")</f>
        <v>SouthEast</v>
      </c>
      <c r="AA1962" s="4">
        <f>CHOOSE(MATCH(Z1962,{"South";"SouthEast";"SouthWest";"North";"NorthEast";"East";"West";"NorthWest"},0),1,2,3,4,5,6,7,8)</f>
        <v>2</v>
      </c>
      <c r="AB1962" s="2">
        <f t="shared" si="306"/>
        <v>0</v>
      </c>
      <c r="AC1962">
        <v>1012.7</v>
      </c>
      <c r="AD1962" t="s">
        <v>2691</v>
      </c>
      <c r="AE1962" s="2">
        <f t="shared" si="307"/>
        <v>0</v>
      </c>
      <c r="AF1962" t="s">
        <v>2692</v>
      </c>
      <c r="AG1962" s="2">
        <f t="shared" si="308"/>
        <v>9</v>
      </c>
      <c r="AH1962" s="2">
        <f t="shared" si="309"/>
        <v>0</v>
      </c>
      <c r="AI1962" s="3">
        <v>45</v>
      </c>
      <c r="AJ1962" s="2">
        <v>0</v>
      </c>
      <c r="AK1962">
        <v>0</v>
      </c>
      <c r="AL1962">
        <v>0.5</v>
      </c>
      <c r="AM1962">
        <v>0</v>
      </c>
      <c r="AN1962" s="2">
        <f>IF((2*G1962+M1962-O1962+3*V1962+2*AB1962+2*AE1962+2*AH1962+3*AJ1962)&gt;=7,1,0)</f>
        <v>0</v>
      </c>
    </row>
    <row r="1963" spans="1:40" x14ac:dyDescent="0.25">
      <c r="A1963" t="s">
        <v>27</v>
      </c>
      <c r="B1963" s="1">
        <v>42622</v>
      </c>
      <c r="C1963" s="6">
        <f t="shared" si="300"/>
        <v>2016</v>
      </c>
      <c r="D1963">
        <v>100.4</v>
      </c>
      <c r="E1963">
        <v>71.599999999999994</v>
      </c>
      <c r="F1963">
        <v>83.5</v>
      </c>
      <c r="G1963" s="2">
        <f t="shared" si="301"/>
        <v>1</v>
      </c>
      <c r="H1963">
        <v>103.7</v>
      </c>
      <c r="I1963">
        <v>71.599999999999994</v>
      </c>
      <c r="J1963">
        <v>85.4</v>
      </c>
      <c r="K1963">
        <v>66.2</v>
      </c>
      <c r="L1963">
        <v>60.3</v>
      </c>
      <c r="M1963" s="2">
        <f t="shared" si="302"/>
        <v>1</v>
      </c>
      <c r="N1963">
        <v>0</v>
      </c>
      <c r="O1963" s="2">
        <f t="shared" si="303"/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27.7</v>
      </c>
      <c r="V1963" s="2">
        <f t="shared" si="304"/>
        <v>1</v>
      </c>
      <c r="W1963">
        <v>24.2</v>
      </c>
      <c r="X1963" s="2">
        <f t="shared" si="305"/>
        <v>1</v>
      </c>
      <c r="Y1963">
        <v>223.8</v>
      </c>
      <c r="Z1963" s="2" t="str">
        <f>CHOOSE(MATCH(Y1963,{0;11;80;111;161;191;241;281;341},1),"North","NorthEast","East","SouthEast","South","SouthWest","West","NorthWest","North")</f>
        <v>SouthWest</v>
      </c>
      <c r="AA1963" s="4">
        <f>CHOOSE(MATCH(Z1963,{"South";"SouthEast";"SouthWest";"North";"NorthEast";"East";"West";"NorthWest"},0),1,2,3,4,5,6,7,8)</f>
        <v>3</v>
      </c>
      <c r="AB1963" s="2">
        <f t="shared" si="306"/>
        <v>0</v>
      </c>
      <c r="AC1963">
        <v>1008.1</v>
      </c>
      <c r="AD1963" t="s">
        <v>2693</v>
      </c>
      <c r="AE1963" s="2">
        <f t="shared" si="307"/>
        <v>0</v>
      </c>
      <c r="AF1963" t="s">
        <v>2694</v>
      </c>
      <c r="AG1963" s="2">
        <f t="shared" si="308"/>
        <v>9</v>
      </c>
      <c r="AH1963" s="2">
        <f t="shared" si="309"/>
        <v>0</v>
      </c>
      <c r="AI1963" s="3">
        <v>97.999999994644895</v>
      </c>
      <c r="AJ1963" s="2">
        <v>0</v>
      </c>
      <c r="AK1963">
        <v>0</v>
      </c>
      <c r="AL1963">
        <v>0.01</v>
      </c>
      <c r="AM1963">
        <v>0</v>
      </c>
      <c r="AN1963" s="2">
        <f>IF((2*G1963+M1963-O1963+3*V1963+2*AB1963+2*AE1963+2*AH1963+3*AJ1963)&gt;=7,1,0)</f>
        <v>0</v>
      </c>
    </row>
    <row r="1964" spans="1:40" x14ac:dyDescent="0.25">
      <c r="A1964" t="s">
        <v>27</v>
      </c>
      <c r="B1964" s="1">
        <v>42628</v>
      </c>
      <c r="C1964" s="6">
        <f t="shared" si="300"/>
        <v>2016</v>
      </c>
      <c r="D1964">
        <v>82.4</v>
      </c>
      <c r="E1964">
        <v>68</v>
      </c>
      <c r="F1964">
        <v>77.3</v>
      </c>
      <c r="G1964" s="2">
        <f t="shared" si="301"/>
        <v>1</v>
      </c>
      <c r="H1964">
        <v>86.2</v>
      </c>
      <c r="I1964">
        <v>68</v>
      </c>
      <c r="J1964">
        <v>78.400000000000006</v>
      </c>
      <c r="K1964">
        <v>65.599999999999994</v>
      </c>
      <c r="L1964">
        <v>67.900000000000006</v>
      </c>
      <c r="M1964" s="2">
        <f t="shared" si="302"/>
        <v>0</v>
      </c>
      <c r="N1964">
        <v>0</v>
      </c>
      <c r="O1964" s="2">
        <f t="shared" si="303"/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34.200000000000003</v>
      </c>
      <c r="V1964" s="2">
        <f t="shared" si="304"/>
        <v>1</v>
      </c>
      <c r="W1964">
        <v>18.3</v>
      </c>
      <c r="X1964" s="2">
        <f t="shared" si="305"/>
        <v>1</v>
      </c>
      <c r="Y1964">
        <v>293.89999999999998</v>
      </c>
      <c r="Z1964" s="2" t="str">
        <f>CHOOSE(MATCH(Y1964,{0;11;80;111;161;191;241;281;341},1),"North","NorthEast","East","SouthEast","South","SouthWest","West","NorthWest","North")</f>
        <v>NorthWest</v>
      </c>
      <c r="AA1964" s="4">
        <f>CHOOSE(MATCH(Z1964,{"South";"SouthEast";"SouthWest";"North";"NorthEast";"East";"West";"NorthWest"},0),1,2,3,4,5,6,7,8)</f>
        <v>8</v>
      </c>
      <c r="AB1964" s="2">
        <f t="shared" si="306"/>
        <v>1</v>
      </c>
      <c r="AC1964">
        <v>1013.5</v>
      </c>
      <c r="AD1964" t="s">
        <v>1260</v>
      </c>
      <c r="AE1964" s="2">
        <f t="shared" si="307"/>
        <v>1</v>
      </c>
      <c r="AF1964" t="s">
        <v>2695</v>
      </c>
      <c r="AG1964" s="2">
        <f t="shared" si="308"/>
        <v>9</v>
      </c>
      <c r="AH1964" s="2">
        <f t="shared" si="309"/>
        <v>0</v>
      </c>
      <c r="AI1964" s="3">
        <v>1895.000000005821</v>
      </c>
      <c r="AJ1964" s="2">
        <v>1</v>
      </c>
      <c r="AK1964">
        <v>0</v>
      </c>
      <c r="AL1964">
        <v>2</v>
      </c>
      <c r="AM1964">
        <v>0</v>
      </c>
      <c r="AN1964" s="2">
        <f>IF((2*G1964+M1964-O1964+3*V1964+2*AB1964+2*AE1964+2*AH1964+3*AJ1964)&gt;=7,1,0)</f>
        <v>1</v>
      </c>
    </row>
    <row r="1965" spans="1:40" x14ac:dyDescent="0.25">
      <c r="A1965" t="s">
        <v>27</v>
      </c>
      <c r="B1965" s="1">
        <v>42630</v>
      </c>
      <c r="C1965" s="6">
        <f t="shared" si="300"/>
        <v>2016</v>
      </c>
      <c r="D1965">
        <v>82.4</v>
      </c>
      <c r="E1965">
        <v>69.900000000000006</v>
      </c>
      <c r="F1965">
        <v>78.3</v>
      </c>
      <c r="G1965" s="2">
        <f t="shared" si="301"/>
        <v>1</v>
      </c>
      <c r="H1965">
        <v>85.4</v>
      </c>
      <c r="I1965">
        <v>69.900000000000006</v>
      </c>
      <c r="J1965">
        <v>79.2</v>
      </c>
      <c r="K1965">
        <v>66.099999999999994</v>
      </c>
      <c r="L1965">
        <v>67</v>
      </c>
      <c r="M1965" s="2">
        <f t="shared" si="302"/>
        <v>0</v>
      </c>
      <c r="N1965">
        <v>0</v>
      </c>
      <c r="O1965" s="2">
        <f t="shared" si="303"/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27.7</v>
      </c>
      <c r="V1965" s="2">
        <f t="shared" si="304"/>
        <v>1</v>
      </c>
      <c r="W1965">
        <v>16.100000000000001</v>
      </c>
      <c r="X1965" s="2">
        <f t="shared" si="305"/>
        <v>1</v>
      </c>
      <c r="Y1965">
        <v>308.2</v>
      </c>
      <c r="Z1965" s="2" t="str">
        <f>CHOOSE(MATCH(Y1965,{0;11;80;111;161;191;241;281;341},1),"North","NorthEast","East","SouthEast","South","SouthWest","West","NorthWest","North")</f>
        <v>NorthWest</v>
      </c>
      <c r="AA1965" s="4">
        <f>CHOOSE(MATCH(Z1965,{"South";"SouthEast";"SouthWest";"North";"NorthEast";"East";"West";"NorthWest"},0),1,2,3,4,5,6,7,8)</f>
        <v>8</v>
      </c>
      <c r="AB1965" s="2">
        <f t="shared" si="306"/>
        <v>1</v>
      </c>
      <c r="AC1965">
        <v>1015.6</v>
      </c>
      <c r="AD1965" t="s">
        <v>1806</v>
      </c>
      <c r="AE1965" s="2">
        <f t="shared" si="307"/>
        <v>1</v>
      </c>
      <c r="AF1965" t="s">
        <v>2696</v>
      </c>
      <c r="AG1965" s="2">
        <f t="shared" si="308"/>
        <v>9</v>
      </c>
      <c r="AH1965" s="2">
        <f t="shared" si="309"/>
        <v>0</v>
      </c>
      <c r="AI1965" s="3">
        <v>1405.0000000011639</v>
      </c>
      <c r="AJ1965" s="2">
        <v>1</v>
      </c>
      <c r="AK1965">
        <v>0</v>
      </c>
      <c r="AL1965">
        <v>100</v>
      </c>
      <c r="AM1965">
        <v>0</v>
      </c>
      <c r="AN1965" s="2">
        <f>IF((2*G1965+M1965-O1965+3*V1965+2*AB1965+2*AE1965+2*AH1965+3*AJ1965)&gt;=7,1,0)</f>
        <v>1</v>
      </c>
    </row>
    <row r="1966" spans="1:40" x14ac:dyDescent="0.25">
      <c r="A1966" t="s">
        <v>27</v>
      </c>
      <c r="B1966" s="1">
        <v>42630</v>
      </c>
      <c r="C1966" s="6">
        <f t="shared" si="300"/>
        <v>2016</v>
      </c>
      <c r="D1966">
        <v>82.4</v>
      </c>
      <c r="E1966">
        <v>69.900000000000006</v>
      </c>
      <c r="F1966">
        <v>78.3</v>
      </c>
      <c r="G1966" s="2">
        <f t="shared" si="301"/>
        <v>1</v>
      </c>
      <c r="H1966">
        <v>85.4</v>
      </c>
      <c r="I1966">
        <v>69.900000000000006</v>
      </c>
      <c r="J1966">
        <v>79.2</v>
      </c>
      <c r="K1966">
        <v>66.099999999999994</v>
      </c>
      <c r="L1966">
        <v>67</v>
      </c>
      <c r="M1966" s="2">
        <f t="shared" si="302"/>
        <v>0</v>
      </c>
      <c r="N1966">
        <v>0</v>
      </c>
      <c r="O1966" s="2">
        <f t="shared" si="303"/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27.7</v>
      </c>
      <c r="V1966" s="2">
        <f t="shared" si="304"/>
        <v>1</v>
      </c>
      <c r="W1966">
        <v>16.100000000000001</v>
      </c>
      <c r="X1966" s="2">
        <f t="shared" si="305"/>
        <v>1</v>
      </c>
      <c r="Y1966">
        <v>308.2</v>
      </c>
      <c r="Z1966" s="2" t="str">
        <f>CHOOSE(MATCH(Y1966,{0;11;80;111;161;191;241;281;341},1),"North","NorthEast","East","SouthEast","South","SouthWest","West","NorthWest","North")</f>
        <v>NorthWest</v>
      </c>
      <c r="AA1966" s="4">
        <f>CHOOSE(MATCH(Z1966,{"South";"SouthEast";"SouthWest";"North";"NorthEast";"East";"West";"NorthWest"},0),1,2,3,4,5,6,7,8)</f>
        <v>8</v>
      </c>
      <c r="AB1966" s="2">
        <f t="shared" si="306"/>
        <v>1</v>
      </c>
      <c r="AC1966">
        <v>1015.6</v>
      </c>
      <c r="AD1966" t="s">
        <v>2697</v>
      </c>
      <c r="AE1966" s="2">
        <f t="shared" si="307"/>
        <v>1</v>
      </c>
      <c r="AF1966" t="s">
        <v>2698</v>
      </c>
      <c r="AG1966" s="2">
        <f t="shared" si="308"/>
        <v>9</v>
      </c>
      <c r="AH1966" s="2">
        <f t="shared" si="309"/>
        <v>0</v>
      </c>
      <c r="AI1966" s="3">
        <v>467.0000000030268</v>
      </c>
      <c r="AJ1966" s="2">
        <v>1</v>
      </c>
      <c r="AK1966">
        <v>0</v>
      </c>
      <c r="AL1966">
        <v>5</v>
      </c>
      <c r="AM1966">
        <v>0</v>
      </c>
      <c r="AN1966" s="2">
        <f>IF((2*G1966+M1966-O1966+3*V1966+2*AB1966+2*AE1966+2*AH1966+3*AJ1966)&gt;=7,1,0)</f>
        <v>1</v>
      </c>
    </row>
    <row r="1967" spans="1:40" x14ac:dyDescent="0.25">
      <c r="A1967" t="s">
        <v>27</v>
      </c>
      <c r="B1967" s="1">
        <v>42630</v>
      </c>
      <c r="C1967" s="6">
        <f t="shared" si="300"/>
        <v>2016</v>
      </c>
      <c r="D1967">
        <v>82.4</v>
      </c>
      <c r="E1967">
        <v>69.900000000000006</v>
      </c>
      <c r="F1967">
        <v>78.3</v>
      </c>
      <c r="G1967" s="2">
        <f t="shared" si="301"/>
        <v>1</v>
      </c>
      <c r="H1967">
        <v>85.4</v>
      </c>
      <c r="I1967">
        <v>69.900000000000006</v>
      </c>
      <c r="J1967">
        <v>79.2</v>
      </c>
      <c r="K1967">
        <v>66.099999999999994</v>
      </c>
      <c r="L1967">
        <v>67</v>
      </c>
      <c r="M1967" s="2">
        <f t="shared" si="302"/>
        <v>0</v>
      </c>
      <c r="N1967">
        <v>0</v>
      </c>
      <c r="O1967" s="2">
        <f t="shared" si="303"/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27.7</v>
      </c>
      <c r="V1967" s="2">
        <f t="shared" si="304"/>
        <v>1</v>
      </c>
      <c r="W1967">
        <v>16.100000000000001</v>
      </c>
      <c r="X1967" s="2">
        <f t="shared" si="305"/>
        <v>1</v>
      </c>
      <c r="Y1967">
        <v>308.2</v>
      </c>
      <c r="Z1967" s="2" t="str">
        <f>CHOOSE(MATCH(Y1967,{0;11;80;111;161;191;241;281;341},1),"North","NorthEast","East","SouthEast","South","SouthWest","West","NorthWest","North")</f>
        <v>NorthWest</v>
      </c>
      <c r="AA1967" s="4">
        <f>CHOOSE(MATCH(Z1967,{"South";"SouthEast";"SouthWest";"North";"NorthEast";"East";"West";"NorthWest"},0),1,2,3,4,5,6,7,8)</f>
        <v>8</v>
      </c>
      <c r="AB1967" s="2">
        <f t="shared" si="306"/>
        <v>1</v>
      </c>
      <c r="AC1967">
        <v>1015.6</v>
      </c>
      <c r="AD1967" t="s">
        <v>2699</v>
      </c>
      <c r="AE1967" s="2">
        <f t="shared" si="307"/>
        <v>1</v>
      </c>
      <c r="AF1967" t="s">
        <v>2700</v>
      </c>
      <c r="AG1967" s="2">
        <f t="shared" si="308"/>
        <v>9</v>
      </c>
      <c r="AH1967" s="2">
        <f t="shared" si="309"/>
        <v>0</v>
      </c>
      <c r="AI1967" s="3">
        <v>676.00000000325963</v>
      </c>
      <c r="AJ1967" s="2">
        <v>1</v>
      </c>
      <c r="AK1967">
        <v>0</v>
      </c>
      <c r="AL1967">
        <v>70</v>
      </c>
      <c r="AM1967">
        <v>0</v>
      </c>
      <c r="AN1967" s="2">
        <f>IF((2*G1967+M1967-O1967+3*V1967+2*AB1967+2*AE1967+2*AH1967+3*AJ1967)&gt;=7,1,0)</f>
        <v>1</v>
      </c>
    </row>
    <row r="1968" spans="1:40" x14ac:dyDescent="0.25">
      <c r="A1968" t="s">
        <v>27</v>
      </c>
      <c r="B1968" s="1">
        <v>42630</v>
      </c>
      <c r="C1968" s="6">
        <f t="shared" si="300"/>
        <v>2016</v>
      </c>
      <c r="D1968">
        <v>82.4</v>
      </c>
      <c r="E1968">
        <v>69.900000000000006</v>
      </c>
      <c r="F1968">
        <v>78.3</v>
      </c>
      <c r="G1968" s="2">
        <f t="shared" si="301"/>
        <v>1</v>
      </c>
      <c r="H1968">
        <v>85.4</v>
      </c>
      <c r="I1968">
        <v>69.900000000000006</v>
      </c>
      <c r="J1968">
        <v>79.2</v>
      </c>
      <c r="K1968">
        <v>66.099999999999994</v>
      </c>
      <c r="L1968">
        <v>67</v>
      </c>
      <c r="M1968" s="2">
        <f t="shared" si="302"/>
        <v>0</v>
      </c>
      <c r="N1968">
        <v>0</v>
      </c>
      <c r="O1968" s="2">
        <f t="shared" si="303"/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27.7</v>
      </c>
      <c r="V1968" s="2">
        <f t="shared" si="304"/>
        <v>1</v>
      </c>
      <c r="W1968">
        <v>16.100000000000001</v>
      </c>
      <c r="X1968" s="2">
        <f t="shared" si="305"/>
        <v>1</v>
      </c>
      <c r="Y1968">
        <v>308.2</v>
      </c>
      <c r="Z1968" s="2" t="str">
        <f>CHOOSE(MATCH(Y1968,{0;11;80;111;161;191;241;281;341},1),"North","NorthEast","East","SouthEast","South","SouthWest","West","NorthWest","North")</f>
        <v>NorthWest</v>
      </c>
      <c r="AA1968" s="4">
        <f>CHOOSE(MATCH(Z1968,{"South";"SouthEast";"SouthWest";"North";"NorthEast";"East";"West";"NorthWest"},0),1,2,3,4,5,6,7,8)</f>
        <v>8</v>
      </c>
      <c r="AB1968" s="2">
        <f t="shared" si="306"/>
        <v>1</v>
      </c>
      <c r="AC1968">
        <v>1015.6</v>
      </c>
      <c r="AD1968" t="s">
        <v>2065</v>
      </c>
      <c r="AE1968" s="2">
        <f t="shared" si="307"/>
        <v>1</v>
      </c>
      <c r="AF1968" t="s">
        <v>2701</v>
      </c>
      <c r="AG1968" s="2">
        <f t="shared" si="308"/>
        <v>9</v>
      </c>
      <c r="AH1968" s="2">
        <f t="shared" si="309"/>
        <v>0</v>
      </c>
      <c r="AI1968" s="3">
        <v>1285.0000000081491</v>
      </c>
      <c r="AJ1968" s="2">
        <v>1</v>
      </c>
      <c r="AK1968">
        <v>0</v>
      </c>
      <c r="AL1968">
        <v>30</v>
      </c>
      <c r="AM1968">
        <v>0</v>
      </c>
      <c r="AN1968" s="2">
        <f>IF((2*G1968+M1968-O1968+3*V1968+2*AB1968+2*AE1968+2*AH1968+3*AJ1968)&gt;=7,1,0)</f>
        <v>1</v>
      </c>
    </row>
    <row r="1969" spans="1:40" x14ac:dyDescent="0.25">
      <c r="A1969" t="s">
        <v>27</v>
      </c>
      <c r="B1969" s="1">
        <v>42630</v>
      </c>
      <c r="C1969" s="6">
        <f t="shared" si="300"/>
        <v>2016</v>
      </c>
      <c r="D1969">
        <v>82.4</v>
      </c>
      <c r="E1969">
        <v>69.900000000000006</v>
      </c>
      <c r="F1969">
        <v>78.3</v>
      </c>
      <c r="G1969" s="2">
        <f t="shared" si="301"/>
        <v>1</v>
      </c>
      <c r="H1969">
        <v>85.4</v>
      </c>
      <c r="I1969">
        <v>69.900000000000006</v>
      </c>
      <c r="J1969">
        <v>79.2</v>
      </c>
      <c r="K1969">
        <v>66.099999999999994</v>
      </c>
      <c r="L1969">
        <v>67</v>
      </c>
      <c r="M1969" s="2">
        <f t="shared" si="302"/>
        <v>0</v>
      </c>
      <c r="N1969">
        <v>0</v>
      </c>
      <c r="O1969" s="2">
        <f t="shared" si="303"/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27.7</v>
      </c>
      <c r="V1969" s="2">
        <f t="shared" si="304"/>
        <v>1</v>
      </c>
      <c r="W1969">
        <v>16.100000000000001</v>
      </c>
      <c r="X1969" s="2">
        <f t="shared" si="305"/>
        <v>1</v>
      </c>
      <c r="Y1969">
        <v>308.2</v>
      </c>
      <c r="Z1969" s="2" t="str">
        <f>CHOOSE(MATCH(Y1969,{0;11;80;111;161;191;241;281;341},1),"North","NorthEast","East","SouthEast","South","SouthWest","West","NorthWest","North")</f>
        <v>NorthWest</v>
      </c>
      <c r="AA1969" s="4">
        <f>CHOOSE(MATCH(Z1969,{"South";"SouthEast";"SouthWest";"North";"NorthEast";"East";"West";"NorthWest"},0),1,2,3,4,5,6,7,8)</f>
        <v>8</v>
      </c>
      <c r="AB1969" s="2">
        <f t="shared" si="306"/>
        <v>1</v>
      </c>
      <c r="AC1969">
        <v>1015.6</v>
      </c>
      <c r="AD1969" t="s">
        <v>2397</v>
      </c>
      <c r="AE1969" s="2">
        <f t="shared" si="307"/>
        <v>1</v>
      </c>
      <c r="AF1969" t="s">
        <v>2702</v>
      </c>
      <c r="AG1969" s="2">
        <f t="shared" si="308"/>
        <v>9</v>
      </c>
      <c r="AH1969" s="2">
        <f t="shared" si="309"/>
        <v>0</v>
      </c>
      <c r="AI1969" s="3">
        <v>214.99999999883579</v>
      </c>
      <c r="AJ1969" s="2">
        <v>0</v>
      </c>
      <c r="AK1969">
        <v>0</v>
      </c>
      <c r="AL1969">
        <v>2</v>
      </c>
      <c r="AM1969">
        <v>0</v>
      </c>
      <c r="AN1969" s="2">
        <f>IF((2*G1969+M1969-O1969+3*V1969+2*AB1969+2*AE1969+2*AH1969+3*AJ1969)&gt;=7,1,0)</f>
        <v>1</v>
      </c>
    </row>
    <row r="1970" spans="1:40" x14ac:dyDescent="0.25">
      <c r="A1970" t="s">
        <v>27</v>
      </c>
      <c r="B1970" s="1">
        <v>42632</v>
      </c>
      <c r="C1970" s="6">
        <f t="shared" si="300"/>
        <v>2016</v>
      </c>
      <c r="D1970">
        <v>86</v>
      </c>
      <c r="E1970">
        <v>73.400000000000006</v>
      </c>
      <c r="F1970">
        <v>80.400000000000006</v>
      </c>
      <c r="G1970" s="2">
        <f t="shared" si="301"/>
        <v>1</v>
      </c>
      <c r="H1970">
        <v>90.9</v>
      </c>
      <c r="I1970">
        <v>73.400000000000006</v>
      </c>
      <c r="J1970">
        <v>82.9</v>
      </c>
      <c r="K1970">
        <v>69.3</v>
      </c>
      <c r="L1970">
        <v>69.900000000000006</v>
      </c>
      <c r="M1970" s="2">
        <f t="shared" si="302"/>
        <v>0</v>
      </c>
      <c r="N1970">
        <v>0</v>
      </c>
      <c r="O1970" s="2">
        <f t="shared" si="303"/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30</v>
      </c>
      <c r="V1970" s="2">
        <f t="shared" si="304"/>
        <v>1</v>
      </c>
      <c r="W1970">
        <v>15</v>
      </c>
      <c r="X1970" s="2">
        <f t="shared" si="305"/>
        <v>0</v>
      </c>
      <c r="Y1970">
        <v>157</v>
      </c>
      <c r="Z1970" s="2" t="str">
        <f>CHOOSE(MATCH(Y1970,{0;11;80;111;161;191;241;281;341},1),"North","NorthEast","East","SouthEast","South","SouthWest","West","NorthWest","North")</f>
        <v>SouthEast</v>
      </c>
      <c r="AA1970" s="4">
        <f>CHOOSE(MATCH(Z1970,{"South";"SouthEast";"SouthWest";"North";"NorthEast";"East";"West";"NorthWest"},0),1,2,3,4,5,6,7,8)</f>
        <v>2</v>
      </c>
      <c r="AB1970" s="2">
        <f t="shared" si="306"/>
        <v>0</v>
      </c>
      <c r="AC1970">
        <v>1010.9</v>
      </c>
      <c r="AD1970" t="s">
        <v>1135</v>
      </c>
      <c r="AE1970" s="2">
        <f t="shared" si="307"/>
        <v>1</v>
      </c>
      <c r="AF1970" t="s">
        <v>2703</v>
      </c>
      <c r="AG1970" s="2">
        <f t="shared" si="308"/>
        <v>9</v>
      </c>
      <c r="AH1970" s="2">
        <f t="shared" si="309"/>
        <v>0</v>
      </c>
      <c r="AI1970" s="3">
        <v>1994.999999996508</v>
      </c>
      <c r="AJ1970" s="2">
        <v>1</v>
      </c>
      <c r="AK1970">
        <v>0</v>
      </c>
      <c r="AL1970">
        <v>100</v>
      </c>
      <c r="AM1970">
        <v>0</v>
      </c>
      <c r="AN1970" s="2">
        <f>IF((2*G1970+M1970-O1970+3*V1970+2*AB1970+2*AE1970+2*AH1970+3*AJ1970)&gt;=7,1,0)</f>
        <v>1</v>
      </c>
    </row>
    <row r="1971" spans="1:40" x14ac:dyDescent="0.25">
      <c r="A1971" t="s">
        <v>27</v>
      </c>
      <c r="B1971" s="1">
        <v>42635</v>
      </c>
      <c r="C1971" s="6">
        <f t="shared" si="300"/>
        <v>2016</v>
      </c>
      <c r="D1971">
        <v>80.599999999999994</v>
      </c>
      <c r="E1971">
        <v>66.2</v>
      </c>
      <c r="F1971">
        <v>74.7</v>
      </c>
      <c r="G1971" s="2">
        <f t="shared" si="301"/>
        <v>1</v>
      </c>
      <c r="H1971">
        <v>83.3</v>
      </c>
      <c r="I1971">
        <v>66.2</v>
      </c>
      <c r="J1971">
        <v>75</v>
      </c>
      <c r="K1971">
        <v>65.400000000000006</v>
      </c>
      <c r="L1971">
        <v>73.5</v>
      </c>
      <c r="M1971" s="2">
        <f t="shared" si="302"/>
        <v>0</v>
      </c>
      <c r="N1971">
        <v>0</v>
      </c>
      <c r="O1971" s="2">
        <f t="shared" si="303"/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21.7</v>
      </c>
      <c r="V1971" s="2">
        <f t="shared" si="304"/>
        <v>1</v>
      </c>
      <c r="W1971">
        <v>18.3</v>
      </c>
      <c r="X1971" s="2">
        <f t="shared" si="305"/>
        <v>1</v>
      </c>
      <c r="Y1971">
        <v>293.2</v>
      </c>
      <c r="Z1971" s="2" t="str">
        <f>CHOOSE(MATCH(Y1971,{0;11;80;111;161;191;241;281;341},1),"North","NorthEast","East","SouthEast","South","SouthWest","West","NorthWest","North")</f>
        <v>NorthWest</v>
      </c>
      <c r="AA1971" s="4">
        <f>CHOOSE(MATCH(Z1971,{"South";"SouthEast";"SouthWest";"North";"NorthEast";"East";"West";"NorthWest"},0),1,2,3,4,5,6,7,8)</f>
        <v>8</v>
      </c>
      <c r="AB1971" s="2">
        <f t="shared" si="306"/>
        <v>1</v>
      </c>
      <c r="AC1971">
        <v>1013.6</v>
      </c>
      <c r="AD1971" t="s">
        <v>1844</v>
      </c>
      <c r="AE1971" s="2">
        <f t="shared" si="307"/>
        <v>1</v>
      </c>
      <c r="AF1971" t="s">
        <v>2704</v>
      </c>
      <c r="AG1971" s="2">
        <f t="shared" si="308"/>
        <v>9</v>
      </c>
      <c r="AH1971" s="2">
        <f t="shared" si="309"/>
        <v>0</v>
      </c>
      <c r="AI1971" s="3">
        <v>209.99999999301511</v>
      </c>
      <c r="AJ1971" s="2">
        <v>0</v>
      </c>
      <c r="AK1971">
        <v>0</v>
      </c>
      <c r="AL1971">
        <v>5</v>
      </c>
      <c r="AM1971">
        <v>0</v>
      </c>
      <c r="AN1971" s="2">
        <f>IF((2*G1971+M1971-O1971+3*V1971+2*AB1971+2*AE1971+2*AH1971+3*AJ1971)&gt;=7,1,0)</f>
        <v>1</v>
      </c>
    </row>
    <row r="1972" spans="1:40" x14ac:dyDescent="0.25">
      <c r="A1972" t="s">
        <v>27</v>
      </c>
      <c r="B1972" s="1">
        <v>42637</v>
      </c>
      <c r="C1972" s="6">
        <f t="shared" si="300"/>
        <v>2016</v>
      </c>
      <c r="D1972">
        <v>75.2</v>
      </c>
      <c r="E1972">
        <v>68</v>
      </c>
      <c r="F1972">
        <v>71.400000000000006</v>
      </c>
      <c r="G1972" s="2">
        <f t="shared" si="301"/>
        <v>1</v>
      </c>
      <c r="H1972">
        <v>75.2</v>
      </c>
      <c r="I1972">
        <v>68</v>
      </c>
      <c r="J1972">
        <v>71.400000000000006</v>
      </c>
      <c r="K1972">
        <v>55.7</v>
      </c>
      <c r="L1972">
        <v>58</v>
      </c>
      <c r="M1972" s="2">
        <f t="shared" si="302"/>
        <v>1</v>
      </c>
      <c r="N1972">
        <v>0</v>
      </c>
      <c r="O1972" s="2">
        <f t="shared" si="303"/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32.700000000000003</v>
      </c>
      <c r="V1972" s="2">
        <f t="shared" si="304"/>
        <v>1</v>
      </c>
      <c r="W1972">
        <v>18.3</v>
      </c>
      <c r="X1972" s="2">
        <f t="shared" si="305"/>
        <v>1</v>
      </c>
      <c r="Y1972">
        <v>332.8</v>
      </c>
      <c r="Z1972" s="2" t="str">
        <f>CHOOSE(MATCH(Y1972,{0;11;80;111;161;191;241;281;341},1),"North","NorthEast","East","SouthEast","South","SouthWest","West","NorthWest","North")</f>
        <v>NorthWest</v>
      </c>
      <c r="AA1972" s="4">
        <f>CHOOSE(MATCH(Z1972,{"South";"SouthEast";"SouthWest";"North";"NorthEast";"East";"West";"NorthWest"},0),1,2,3,4,5,6,7,8)</f>
        <v>8</v>
      </c>
      <c r="AB1972" s="2">
        <f t="shared" si="306"/>
        <v>1</v>
      </c>
      <c r="AC1972">
        <v>1020.3</v>
      </c>
      <c r="AD1972" t="s">
        <v>1779</v>
      </c>
      <c r="AE1972" s="2">
        <f t="shared" si="307"/>
        <v>1</v>
      </c>
      <c r="AF1972" t="s">
        <v>2705</v>
      </c>
      <c r="AG1972" s="2">
        <f t="shared" si="308"/>
        <v>9</v>
      </c>
      <c r="AH1972" s="2">
        <f t="shared" si="309"/>
        <v>0</v>
      </c>
      <c r="AI1972" s="3">
        <v>1814.999999996508</v>
      </c>
      <c r="AJ1972" s="2">
        <v>1</v>
      </c>
      <c r="AK1972">
        <v>0</v>
      </c>
      <c r="AL1972">
        <v>2</v>
      </c>
      <c r="AM1972">
        <v>0</v>
      </c>
      <c r="AN1972" s="2">
        <f>IF((2*G1972+M1972-O1972+3*V1972+2*AB1972+2*AE1972+2*AH1972+3*AJ1972)&gt;=7,1,0)</f>
        <v>1</v>
      </c>
    </row>
    <row r="1973" spans="1:40" x14ac:dyDescent="0.25">
      <c r="A1973" t="s">
        <v>27</v>
      </c>
      <c r="B1973" s="1">
        <v>42639</v>
      </c>
      <c r="C1973" s="6">
        <f t="shared" si="300"/>
        <v>2016</v>
      </c>
      <c r="D1973">
        <v>75.2</v>
      </c>
      <c r="E1973">
        <v>69.8</v>
      </c>
      <c r="F1973">
        <v>72.099999999999994</v>
      </c>
      <c r="G1973" s="2">
        <f t="shared" si="301"/>
        <v>1</v>
      </c>
      <c r="H1973">
        <v>75.2</v>
      </c>
      <c r="I1973">
        <v>69.8</v>
      </c>
      <c r="J1973">
        <v>72.099999999999994</v>
      </c>
      <c r="K1973">
        <v>56.2</v>
      </c>
      <c r="L1973">
        <v>57.5</v>
      </c>
      <c r="M1973" s="2">
        <f t="shared" si="302"/>
        <v>1</v>
      </c>
      <c r="N1973">
        <v>0</v>
      </c>
      <c r="O1973" s="2">
        <f t="shared" si="303"/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28.6</v>
      </c>
      <c r="V1973" s="2">
        <f t="shared" si="304"/>
        <v>1</v>
      </c>
      <c r="W1973">
        <v>16.100000000000001</v>
      </c>
      <c r="X1973" s="2">
        <f t="shared" si="305"/>
        <v>1</v>
      </c>
      <c r="Y1973">
        <v>318</v>
      </c>
      <c r="Z1973" s="2" t="str">
        <f>CHOOSE(MATCH(Y1973,{0;11;80;111;161;191;241;281;341},1),"North","NorthEast","East","SouthEast","South","SouthWest","West","NorthWest","North")</f>
        <v>NorthWest</v>
      </c>
      <c r="AA1973" s="4">
        <f>CHOOSE(MATCH(Z1973,{"South";"SouthEast";"SouthWest";"North";"NorthEast";"East";"West";"NorthWest"},0),1,2,3,4,5,6,7,8)</f>
        <v>8</v>
      </c>
      <c r="AB1973" s="2">
        <f t="shared" si="306"/>
        <v>1</v>
      </c>
      <c r="AC1973">
        <v>1015.1</v>
      </c>
      <c r="AD1973" t="s">
        <v>1911</v>
      </c>
      <c r="AE1973" s="2">
        <f t="shared" si="307"/>
        <v>1</v>
      </c>
      <c r="AF1973" t="s">
        <v>2706</v>
      </c>
      <c r="AG1973" s="2">
        <f t="shared" si="308"/>
        <v>9</v>
      </c>
      <c r="AH1973" s="2">
        <f t="shared" si="309"/>
        <v>0</v>
      </c>
      <c r="AI1973" s="3">
        <v>759.99999999417923</v>
      </c>
      <c r="AJ1973" s="2">
        <v>1</v>
      </c>
      <c r="AK1973">
        <v>0</v>
      </c>
      <c r="AL1973">
        <v>0.5</v>
      </c>
      <c r="AM1973">
        <v>0</v>
      </c>
      <c r="AN1973" s="2">
        <f>IF((2*G1973+M1973-O1973+3*V1973+2*AB1973+2*AE1973+2*AH1973+3*AJ1973)&gt;=7,1,0)</f>
        <v>1</v>
      </c>
    </row>
    <row r="1974" spans="1:40" x14ac:dyDescent="0.25">
      <c r="A1974" t="s">
        <v>27</v>
      </c>
      <c r="B1974" s="1">
        <v>42642</v>
      </c>
      <c r="C1974" s="6">
        <f t="shared" si="300"/>
        <v>2016</v>
      </c>
      <c r="D1974">
        <v>77</v>
      </c>
      <c r="E1974">
        <v>69.8</v>
      </c>
      <c r="F1974">
        <v>71.7</v>
      </c>
      <c r="G1974" s="2">
        <f t="shared" si="301"/>
        <v>1</v>
      </c>
      <c r="H1974">
        <v>77</v>
      </c>
      <c r="I1974">
        <v>69.8</v>
      </c>
      <c r="J1974">
        <v>71.7</v>
      </c>
      <c r="K1974">
        <v>60.2</v>
      </c>
      <c r="L1974">
        <v>67.400000000000006</v>
      </c>
      <c r="M1974" s="2">
        <f t="shared" si="302"/>
        <v>0</v>
      </c>
      <c r="N1974">
        <v>0</v>
      </c>
      <c r="O1974" s="2">
        <f t="shared" si="303"/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26.6</v>
      </c>
      <c r="V1974" s="2">
        <f t="shared" si="304"/>
        <v>1</v>
      </c>
      <c r="W1974">
        <v>15</v>
      </c>
      <c r="X1974" s="2">
        <f t="shared" si="305"/>
        <v>0</v>
      </c>
      <c r="Y1974">
        <v>321.39999999999998</v>
      </c>
      <c r="Z1974" s="2" t="str">
        <f>CHOOSE(MATCH(Y1974,{0;11;80;111;161;191;241;281;341},1),"North","NorthEast","East","SouthEast","South","SouthWest","West","NorthWest","North")</f>
        <v>NorthWest</v>
      </c>
      <c r="AA1974" s="4">
        <f>CHOOSE(MATCH(Z1974,{"South";"SouthEast";"SouthWest";"North";"NorthEast";"East";"West";"NorthWest"},0),1,2,3,4,5,6,7,8)</f>
        <v>8</v>
      </c>
      <c r="AB1974" s="2">
        <f t="shared" si="306"/>
        <v>1</v>
      </c>
      <c r="AC1974">
        <v>1022.5</v>
      </c>
      <c r="AD1974" t="s">
        <v>1973</v>
      </c>
      <c r="AE1974" s="2">
        <f t="shared" si="307"/>
        <v>0</v>
      </c>
      <c r="AF1974" t="s">
        <v>2707</v>
      </c>
      <c r="AG1974" s="2">
        <f t="shared" si="308"/>
        <v>9</v>
      </c>
      <c r="AH1974" s="2">
        <f t="shared" si="309"/>
        <v>0</v>
      </c>
      <c r="AI1974" s="3">
        <v>145.00000000116421</v>
      </c>
      <c r="AJ1974" s="2">
        <v>0</v>
      </c>
      <c r="AK1974">
        <v>0</v>
      </c>
      <c r="AL1974">
        <v>0</v>
      </c>
      <c r="AM1974">
        <v>3</v>
      </c>
      <c r="AN1974" s="2">
        <f>IF((2*G1974+M1974-O1974+3*V1974+2*AB1974+2*AE1974+2*AH1974+3*AJ1974)&gt;=7,1,0)</f>
        <v>0</v>
      </c>
    </row>
    <row r="1975" spans="1:40" x14ac:dyDescent="0.25">
      <c r="A1975" t="s">
        <v>27</v>
      </c>
      <c r="B1975" s="1">
        <v>42642</v>
      </c>
      <c r="C1975" s="6">
        <f t="shared" si="300"/>
        <v>2016</v>
      </c>
      <c r="D1975">
        <v>77</v>
      </c>
      <c r="E1975">
        <v>69.8</v>
      </c>
      <c r="F1975">
        <v>71.7</v>
      </c>
      <c r="G1975" s="2">
        <f t="shared" si="301"/>
        <v>1</v>
      </c>
      <c r="H1975">
        <v>77</v>
      </c>
      <c r="I1975">
        <v>69.8</v>
      </c>
      <c r="J1975">
        <v>71.7</v>
      </c>
      <c r="K1975">
        <v>60.2</v>
      </c>
      <c r="L1975">
        <v>67.400000000000006</v>
      </c>
      <c r="M1975" s="2">
        <f t="shared" si="302"/>
        <v>0</v>
      </c>
      <c r="N1975">
        <v>0</v>
      </c>
      <c r="O1975" s="2">
        <f t="shared" si="303"/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26.6</v>
      </c>
      <c r="V1975" s="2">
        <f t="shared" si="304"/>
        <v>1</v>
      </c>
      <c r="W1975">
        <v>15</v>
      </c>
      <c r="X1975" s="2">
        <f t="shared" si="305"/>
        <v>0</v>
      </c>
      <c r="Y1975">
        <v>321.39999999999998</v>
      </c>
      <c r="Z1975" s="2" t="str">
        <f>CHOOSE(MATCH(Y1975,{0;11;80;111;161;191;241;281;341},1),"North","NorthEast","East","SouthEast","South","SouthWest","West","NorthWest","North")</f>
        <v>NorthWest</v>
      </c>
      <c r="AA1975" s="4">
        <f>CHOOSE(MATCH(Z1975,{"South";"SouthEast";"SouthWest";"North";"NorthEast";"East";"West";"NorthWest"},0),1,2,3,4,5,6,7,8)</f>
        <v>8</v>
      </c>
      <c r="AB1975" s="2">
        <f t="shared" si="306"/>
        <v>1</v>
      </c>
      <c r="AC1975">
        <v>1022.5</v>
      </c>
      <c r="AD1975" t="s">
        <v>2179</v>
      </c>
      <c r="AE1975" s="2">
        <f t="shared" si="307"/>
        <v>0</v>
      </c>
      <c r="AF1975" t="s">
        <v>2708</v>
      </c>
      <c r="AG1975" s="2">
        <f t="shared" si="308"/>
        <v>9</v>
      </c>
      <c r="AH1975" s="2">
        <f t="shared" si="309"/>
        <v>0</v>
      </c>
      <c r="AI1975" s="3">
        <v>145.00000000116421</v>
      </c>
      <c r="AJ1975" s="2">
        <v>0</v>
      </c>
      <c r="AK1975">
        <v>0</v>
      </c>
      <c r="AL1975">
        <v>1.5</v>
      </c>
      <c r="AM1975">
        <v>0</v>
      </c>
      <c r="AN1975" s="2">
        <f>IF((2*G1975+M1975-O1975+3*V1975+2*AB1975+2*AE1975+2*AH1975+3*AJ1975)&gt;=7,1,0)</f>
        <v>0</v>
      </c>
    </row>
    <row r="1976" spans="1:40" x14ac:dyDescent="0.25">
      <c r="A1976" t="s">
        <v>27</v>
      </c>
      <c r="B1976" s="1">
        <v>42643</v>
      </c>
      <c r="C1976" s="6">
        <f t="shared" si="300"/>
        <v>2016</v>
      </c>
      <c r="D1976">
        <v>77</v>
      </c>
      <c r="E1976">
        <v>62.6</v>
      </c>
      <c r="F1976">
        <v>71</v>
      </c>
      <c r="G1976" s="2">
        <f t="shared" si="301"/>
        <v>1</v>
      </c>
      <c r="H1976">
        <v>77</v>
      </c>
      <c r="I1976">
        <v>62.6</v>
      </c>
      <c r="J1976">
        <v>71</v>
      </c>
      <c r="K1976">
        <v>59.7</v>
      </c>
      <c r="L1976">
        <v>68.400000000000006</v>
      </c>
      <c r="M1976" s="2">
        <f t="shared" si="302"/>
        <v>0</v>
      </c>
      <c r="N1976">
        <v>0</v>
      </c>
      <c r="O1976" s="2">
        <f t="shared" si="303"/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23</v>
      </c>
      <c r="V1976" s="2">
        <f t="shared" si="304"/>
        <v>1</v>
      </c>
      <c r="W1976">
        <v>12.8</v>
      </c>
      <c r="X1976" s="2">
        <f t="shared" si="305"/>
        <v>0</v>
      </c>
      <c r="Y1976">
        <v>317.3</v>
      </c>
      <c r="Z1976" s="2" t="str">
        <f>CHOOSE(MATCH(Y1976,{0;11;80;111;161;191;241;281;341},1),"North","NorthEast","East","SouthEast","South","SouthWest","West","NorthWest","North")</f>
        <v>NorthWest</v>
      </c>
      <c r="AA1976" s="4">
        <f>CHOOSE(MATCH(Z1976,{"South";"SouthEast";"SouthWest";"North";"NorthEast";"East";"West";"NorthWest"},0),1,2,3,4,5,6,7,8)</f>
        <v>8</v>
      </c>
      <c r="AB1976" s="2">
        <f t="shared" si="306"/>
        <v>1</v>
      </c>
      <c r="AC1976">
        <v>1019.3</v>
      </c>
      <c r="AD1976" t="s">
        <v>1133</v>
      </c>
      <c r="AE1976" s="2">
        <f t="shared" si="307"/>
        <v>1</v>
      </c>
      <c r="AF1976" t="s">
        <v>2709</v>
      </c>
      <c r="AG1976" s="2">
        <f t="shared" si="308"/>
        <v>9</v>
      </c>
      <c r="AH1976" s="2">
        <f t="shared" si="309"/>
        <v>0</v>
      </c>
      <c r="AI1976" s="3">
        <v>135</v>
      </c>
      <c r="AJ1976" s="2">
        <v>0</v>
      </c>
      <c r="AK1976">
        <v>0</v>
      </c>
      <c r="AL1976">
        <v>15</v>
      </c>
      <c r="AM1976">
        <v>0</v>
      </c>
      <c r="AN1976" s="2">
        <f>IF((2*G1976+M1976-O1976+3*V1976+2*AB1976+2*AE1976+2*AH1976+3*AJ1976)&gt;=7,1,0)</f>
        <v>1</v>
      </c>
    </row>
    <row r="1977" spans="1:40" x14ac:dyDescent="0.25">
      <c r="A1977" t="s">
        <v>27</v>
      </c>
      <c r="B1977" s="1">
        <v>42645</v>
      </c>
      <c r="C1977" s="6">
        <f t="shared" si="300"/>
        <v>2016</v>
      </c>
      <c r="D1977">
        <v>79.8</v>
      </c>
      <c r="E1977">
        <v>60.8</v>
      </c>
      <c r="F1977">
        <v>69.599999999999994</v>
      </c>
      <c r="G1977" s="2">
        <f t="shared" si="301"/>
        <v>0</v>
      </c>
      <c r="H1977">
        <v>79.8</v>
      </c>
      <c r="I1977">
        <v>60.8</v>
      </c>
      <c r="J1977">
        <v>69.599999999999994</v>
      </c>
      <c r="K1977">
        <v>61.6</v>
      </c>
      <c r="L1977">
        <v>77.3</v>
      </c>
      <c r="M1977" s="2">
        <f t="shared" si="302"/>
        <v>0</v>
      </c>
      <c r="N1977">
        <v>0</v>
      </c>
      <c r="O1977" s="2">
        <f t="shared" si="303"/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17.2</v>
      </c>
      <c r="V1977" s="2">
        <f t="shared" si="304"/>
        <v>1</v>
      </c>
      <c r="W1977">
        <v>6.9</v>
      </c>
      <c r="X1977" s="2">
        <f t="shared" si="305"/>
        <v>0</v>
      </c>
      <c r="Y1977">
        <v>143.9</v>
      </c>
      <c r="Z1977" s="2" t="str">
        <f>CHOOSE(MATCH(Y1977,{0;11;80;111;161;191;241;281;341},1),"North","NorthEast","East","SouthEast","South","SouthWest","West","NorthWest","North")</f>
        <v>SouthEast</v>
      </c>
      <c r="AA1977" s="4">
        <f>CHOOSE(MATCH(Z1977,{"South";"SouthEast";"SouthWest";"North";"NorthEast";"East";"West";"NorthWest"},0),1,2,3,4,5,6,7,8)</f>
        <v>2</v>
      </c>
      <c r="AB1977" s="2">
        <f t="shared" si="306"/>
        <v>0</v>
      </c>
      <c r="AC1977">
        <v>1016.1</v>
      </c>
      <c r="AD1977" t="s">
        <v>1184</v>
      </c>
      <c r="AE1977" s="2">
        <f t="shared" si="307"/>
        <v>1</v>
      </c>
      <c r="AF1977" t="s">
        <v>2710</v>
      </c>
      <c r="AG1977" s="2">
        <f t="shared" si="308"/>
        <v>10</v>
      </c>
      <c r="AH1977" s="2">
        <f t="shared" si="309"/>
        <v>0</v>
      </c>
      <c r="AI1977" s="3">
        <v>345.00000000349252</v>
      </c>
      <c r="AJ1977" s="2">
        <v>0</v>
      </c>
      <c r="AK1977">
        <v>0</v>
      </c>
      <c r="AL1977">
        <v>1</v>
      </c>
      <c r="AM1977">
        <v>0</v>
      </c>
      <c r="AN1977" s="2">
        <f>IF((2*G1977+M1977-O1977+3*V1977+2*AB1977+2*AE1977+2*AH1977+3*AJ1977)&gt;=7,1,0)</f>
        <v>0</v>
      </c>
    </row>
    <row r="1978" spans="1:40" x14ac:dyDescent="0.25">
      <c r="A1978" t="s">
        <v>27</v>
      </c>
      <c r="B1978" s="1">
        <v>42645</v>
      </c>
      <c r="C1978" s="6">
        <f t="shared" si="300"/>
        <v>2016</v>
      </c>
      <c r="D1978">
        <v>79.8</v>
      </c>
      <c r="E1978">
        <v>60.8</v>
      </c>
      <c r="F1978">
        <v>69.599999999999994</v>
      </c>
      <c r="G1978" s="2">
        <f t="shared" si="301"/>
        <v>0</v>
      </c>
      <c r="H1978">
        <v>79.8</v>
      </c>
      <c r="I1978">
        <v>60.8</v>
      </c>
      <c r="J1978">
        <v>69.599999999999994</v>
      </c>
      <c r="K1978">
        <v>61.6</v>
      </c>
      <c r="L1978">
        <v>77.3</v>
      </c>
      <c r="M1978" s="2">
        <f t="shared" si="302"/>
        <v>0</v>
      </c>
      <c r="N1978">
        <v>0</v>
      </c>
      <c r="O1978" s="2">
        <f t="shared" si="303"/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17.2</v>
      </c>
      <c r="V1978" s="2">
        <f t="shared" si="304"/>
        <v>1</v>
      </c>
      <c r="W1978">
        <v>6.9</v>
      </c>
      <c r="X1978" s="2">
        <f t="shared" si="305"/>
        <v>0</v>
      </c>
      <c r="Y1978">
        <v>143.9</v>
      </c>
      <c r="Z1978" s="2" t="str">
        <f>CHOOSE(MATCH(Y1978,{0;11;80;111;161;191;241;281;341},1),"North","NorthEast","East","SouthEast","South","SouthWest","West","NorthWest","North")</f>
        <v>SouthEast</v>
      </c>
      <c r="AA1978" s="4">
        <f>CHOOSE(MATCH(Z1978,{"South";"SouthEast";"SouthWest";"North";"NorthEast";"East";"West";"NorthWest"},0),1,2,3,4,5,6,7,8)</f>
        <v>2</v>
      </c>
      <c r="AB1978" s="2">
        <f t="shared" si="306"/>
        <v>0</v>
      </c>
      <c r="AC1978">
        <v>1016.1</v>
      </c>
      <c r="AD1978" t="s">
        <v>1868</v>
      </c>
      <c r="AE1978" s="2">
        <f t="shared" si="307"/>
        <v>1</v>
      </c>
      <c r="AF1978" t="s">
        <v>2711</v>
      </c>
      <c r="AG1978" s="2">
        <f t="shared" si="308"/>
        <v>10</v>
      </c>
      <c r="AH1978" s="2">
        <f t="shared" si="309"/>
        <v>0</v>
      </c>
      <c r="AI1978" s="3">
        <v>270</v>
      </c>
      <c r="AJ1978" s="2">
        <v>0</v>
      </c>
      <c r="AK1978">
        <v>0</v>
      </c>
      <c r="AL1978">
        <v>1</v>
      </c>
      <c r="AM1978">
        <v>0</v>
      </c>
      <c r="AN1978" s="2">
        <f>IF((2*G1978+M1978-O1978+3*V1978+2*AB1978+2*AE1978+2*AH1978+3*AJ1978)&gt;=7,1,0)</f>
        <v>0</v>
      </c>
    </row>
    <row r="1979" spans="1:40" x14ac:dyDescent="0.25">
      <c r="A1979" t="s">
        <v>27</v>
      </c>
      <c r="B1979" s="1">
        <v>42645</v>
      </c>
      <c r="C1979" s="6">
        <f t="shared" si="300"/>
        <v>2016</v>
      </c>
      <c r="D1979">
        <v>79.8</v>
      </c>
      <c r="E1979">
        <v>60.8</v>
      </c>
      <c r="F1979">
        <v>69.599999999999994</v>
      </c>
      <c r="G1979" s="2">
        <f t="shared" si="301"/>
        <v>0</v>
      </c>
      <c r="H1979">
        <v>79.8</v>
      </c>
      <c r="I1979">
        <v>60.8</v>
      </c>
      <c r="J1979">
        <v>69.599999999999994</v>
      </c>
      <c r="K1979">
        <v>61.6</v>
      </c>
      <c r="L1979">
        <v>77.3</v>
      </c>
      <c r="M1979" s="2">
        <f t="shared" si="302"/>
        <v>0</v>
      </c>
      <c r="N1979">
        <v>0</v>
      </c>
      <c r="O1979" s="2">
        <f t="shared" si="303"/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17.2</v>
      </c>
      <c r="V1979" s="2">
        <f t="shared" si="304"/>
        <v>1</v>
      </c>
      <c r="W1979">
        <v>6.9</v>
      </c>
      <c r="X1979" s="2">
        <f t="shared" si="305"/>
        <v>0</v>
      </c>
      <c r="Y1979">
        <v>143.9</v>
      </c>
      <c r="Z1979" s="2" t="str">
        <f>CHOOSE(MATCH(Y1979,{0;11;80;111;161;191;241;281;341},1),"North","NorthEast","East","SouthEast","South","SouthWest","West","NorthWest","North")</f>
        <v>SouthEast</v>
      </c>
      <c r="AA1979" s="4">
        <f>CHOOSE(MATCH(Z1979,{"South";"SouthEast";"SouthWest";"North";"NorthEast";"East";"West";"NorthWest"},0),1,2,3,4,5,6,7,8)</f>
        <v>2</v>
      </c>
      <c r="AB1979" s="2">
        <f t="shared" si="306"/>
        <v>0</v>
      </c>
      <c r="AC1979">
        <v>1016.1</v>
      </c>
      <c r="AD1979" t="s">
        <v>1207</v>
      </c>
      <c r="AE1979" s="2">
        <f t="shared" si="307"/>
        <v>1</v>
      </c>
      <c r="AF1979" t="s">
        <v>2712</v>
      </c>
      <c r="AG1979" s="2">
        <f t="shared" si="308"/>
        <v>10</v>
      </c>
      <c r="AH1979" s="2">
        <f t="shared" si="309"/>
        <v>0</v>
      </c>
      <c r="AI1979" s="3">
        <v>389.99999999301508</v>
      </c>
      <c r="AJ1979" s="2">
        <v>1</v>
      </c>
      <c r="AK1979">
        <v>0</v>
      </c>
      <c r="AL1979">
        <v>5</v>
      </c>
      <c r="AM1979">
        <v>0</v>
      </c>
      <c r="AN1979" s="2">
        <f>IF((2*G1979+M1979-O1979+3*V1979+2*AB1979+2*AE1979+2*AH1979+3*AJ1979)&gt;=7,1,0)</f>
        <v>1</v>
      </c>
    </row>
    <row r="1980" spans="1:40" x14ac:dyDescent="0.25">
      <c r="A1980" t="s">
        <v>27</v>
      </c>
      <c r="B1980" s="1">
        <v>42648</v>
      </c>
      <c r="C1980" s="6">
        <f t="shared" si="300"/>
        <v>2016</v>
      </c>
      <c r="D1980">
        <v>78.8</v>
      </c>
      <c r="E1980">
        <v>66.2</v>
      </c>
      <c r="F1980">
        <v>73</v>
      </c>
      <c r="G1980" s="2">
        <f t="shared" si="301"/>
        <v>1</v>
      </c>
      <c r="H1980">
        <v>78.8</v>
      </c>
      <c r="I1980">
        <v>66.2</v>
      </c>
      <c r="J1980">
        <v>73</v>
      </c>
      <c r="K1980">
        <v>63.3</v>
      </c>
      <c r="L1980">
        <v>72.400000000000006</v>
      </c>
      <c r="M1980" s="2">
        <f t="shared" si="302"/>
        <v>0</v>
      </c>
      <c r="N1980">
        <v>0</v>
      </c>
      <c r="O1980" s="2">
        <f t="shared" si="303"/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26.2</v>
      </c>
      <c r="V1980" s="2">
        <f t="shared" si="304"/>
        <v>1</v>
      </c>
      <c r="W1980">
        <v>19.7</v>
      </c>
      <c r="X1980" s="2">
        <f t="shared" si="305"/>
        <v>1</v>
      </c>
      <c r="Y1980">
        <v>280.3</v>
      </c>
      <c r="Z1980" s="2" t="str">
        <f>CHOOSE(MATCH(Y1980,{0;11;80;111;161;191;241;281;341},1),"North","NorthEast","East","SouthEast","South","SouthWest","West","NorthWest","North")</f>
        <v>West</v>
      </c>
      <c r="AA1980" s="4">
        <f>CHOOSE(MATCH(Z1980,{"South";"SouthEast";"SouthWest";"North";"NorthEast";"East";"West";"NorthWest"},0),1,2,3,4,5,6,7,8)</f>
        <v>7</v>
      </c>
      <c r="AB1980" s="2">
        <f t="shared" si="306"/>
        <v>0</v>
      </c>
      <c r="AC1980">
        <v>1011.5</v>
      </c>
      <c r="AD1980" t="s">
        <v>2141</v>
      </c>
      <c r="AE1980" s="2">
        <f t="shared" si="307"/>
        <v>1</v>
      </c>
      <c r="AF1980" t="s">
        <v>2713</v>
      </c>
      <c r="AG1980" s="2">
        <f t="shared" si="308"/>
        <v>10</v>
      </c>
      <c r="AH1980" s="2">
        <f t="shared" si="309"/>
        <v>0</v>
      </c>
      <c r="AI1980" s="3">
        <v>460.00000000116421</v>
      </c>
      <c r="AJ1980" s="2">
        <v>1</v>
      </c>
      <c r="AK1980">
        <v>0</v>
      </c>
      <c r="AL1980">
        <v>1</v>
      </c>
      <c r="AM1980">
        <v>0</v>
      </c>
      <c r="AN1980" s="2">
        <f>IF((2*G1980+M1980-O1980+3*V1980+2*AB1980+2*AE1980+2*AH1980+3*AJ1980)&gt;=7,1,0)</f>
        <v>1</v>
      </c>
    </row>
    <row r="1981" spans="1:40" x14ac:dyDescent="0.25">
      <c r="A1981" t="s">
        <v>27</v>
      </c>
      <c r="B1981" s="1">
        <v>42654</v>
      </c>
      <c r="C1981" s="6">
        <f t="shared" si="300"/>
        <v>2016</v>
      </c>
      <c r="D1981">
        <v>86</v>
      </c>
      <c r="E1981">
        <v>65.7</v>
      </c>
      <c r="F1981">
        <v>76.599999999999994</v>
      </c>
      <c r="G1981" s="2">
        <f t="shared" si="301"/>
        <v>1</v>
      </c>
      <c r="H1981">
        <v>104.8</v>
      </c>
      <c r="I1981">
        <v>65.7</v>
      </c>
      <c r="J1981">
        <v>78</v>
      </c>
      <c r="K1981">
        <v>63.7</v>
      </c>
      <c r="L1981">
        <v>66.400000000000006</v>
      </c>
      <c r="M1981" s="2">
        <f t="shared" si="302"/>
        <v>0</v>
      </c>
      <c r="N1981">
        <v>0</v>
      </c>
      <c r="O1981" s="2">
        <f t="shared" si="303"/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34.700000000000003</v>
      </c>
      <c r="V1981" s="2">
        <f t="shared" si="304"/>
        <v>1</v>
      </c>
      <c r="W1981">
        <v>19.7</v>
      </c>
      <c r="X1981" s="2">
        <f t="shared" si="305"/>
        <v>1</v>
      </c>
      <c r="Y1981">
        <v>208.7</v>
      </c>
      <c r="Z1981" s="2" t="str">
        <f>CHOOSE(MATCH(Y1981,{0;11;80;111;161;191;241;281;341},1),"North","NorthEast","East","SouthEast","South","SouthWest","West","NorthWest","North")</f>
        <v>SouthWest</v>
      </c>
      <c r="AA1981" s="4">
        <f>CHOOSE(MATCH(Z1981,{"South";"SouthEast";"SouthWest";"North";"NorthEast";"East";"West";"NorthWest"},0),1,2,3,4,5,6,7,8)</f>
        <v>3</v>
      </c>
      <c r="AB1981" s="2">
        <f t="shared" si="306"/>
        <v>0</v>
      </c>
      <c r="AC1981">
        <v>1011.3</v>
      </c>
      <c r="AD1981" t="s">
        <v>2714</v>
      </c>
      <c r="AE1981" s="2">
        <f t="shared" si="307"/>
        <v>0</v>
      </c>
      <c r="AF1981" t="s">
        <v>2715</v>
      </c>
      <c r="AG1981" s="2">
        <f t="shared" si="308"/>
        <v>10</v>
      </c>
      <c r="AH1981" s="2">
        <f t="shared" si="309"/>
        <v>0</v>
      </c>
      <c r="AI1981" s="3">
        <v>209.99999999301511</v>
      </c>
      <c r="AJ1981" s="2">
        <v>0</v>
      </c>
      <c r="AK1981">
        <v>0</v>
      </c>
      <c r="AL1981">
        <v>1</v>
      </c>
      <c r="AM1981">
        <v>0</v>
      </c>
      <c r="AN1981" s="2">
        <f>IF((2*G1981+M1981-O1981+3*V1981+2*AB1981+2*AE1981+2*AH1981+3*AJ1981)&gt;=7,1,0)</f>
        <v>0</v>
      </c>
    </row>
    <row r="1982" spans="1:40" x14ac:dyDescent="0.25">
      <c r="A1982" t="s">
        <v>27</v>
      </c>
      <c r="B1982" s="1">
        <v>42654</v>
      </c>
      <c r="C1982" s="6">
        <f t="shared" si="300"/>
        <v>2016</v>
      </c>
      <c r="D1982">
        <v>86</v>
      </c>
      <c r="E1982">
        <v>65.7</v>
      </c>
      <c r="F1982">
        <v>76.599999999999994</v>
      </c>
      <c r="G1982" s="2">
        <f t="shared" si="301"/>
        <v>1</v>
      </c>
      <c r="H1982">
        <v>104.8</v>
      </c>
      <c r="I1982">
        <v>65.7</v>
      </c>
      <c r="J1982">
        <v>78</v>
      </c>
      <c r="K1982">
        <v>63.7</v>
      </c>
      <c r="L1982">
        <v>66.400000000000006</v>
      </c>
      <c r="M1982" s="2">
        <f t="shared" si="302"/>
        <v>0</v>
      </c>
      <c r="N1982">
        <v>0</v>
      </c>
      <c r="O1982" s="2">
        <f t="shared" si="303"/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34.700000000000003</v>
      </c>
      <c r="V1982" s="2">
        <f t="shared" si="304"/>
        <v>1</v>
      </c>
      <c r="W1982">
        <v>19.7</v>
      </c>
      <c r="X1982" s="2">
        <f t="shared" si="305"/>
        <v>1</v>
      </c>
      <c r="Y1982">
        <v>208.7</v>
      </c>
      <c r="Z1982" s="2" t="str">
        <f>CHOOSE(MATCH(Y1982,{0;11;80;111;161;191;241;281;341},1),"North","NorthEast","East","SouthEast","South","SouthWest","West","NorthWest","North")</f>
        <v>SouthWest</v>
      </c>
      <c r="AA1982" s="4">
        <f>CHOOSE(MATCH(Z1982,{"South";"SouthEast";"SouthWest";"North";"NorthEast";"East";"West";"NorthWest"},0),1,2,3,4,5,6,7,8)</f>
        <v>3</v>
      </c>
      <c r="AB1982" s="2">
        <f t="shared" si="306"/>
        <v>0</v>
      </c>
      <c r="AC1982">
        <v>1011.3</v>
      </c>
      <c r="AD1982" t="s">
        <v>1119</v>
      </c>
      <c r="AE1982" s="2">
        <f t="shared" si="307"/>
        <v>0</v>
      </c>
      <c r="AF1982" t="s">
        <v>2716</v>
      </c>
      <c r="AG1982" s="2">
        <f t="shared" si="308"/>
        <v>10</v>
      </c>
      <c r="AH1982" s="2">
        <f t="shared" si="309"/>
        <v>0</v>
      </c>
      <c r="AI1982" s="3">
        <v>190.00000000116421</v>
      </c>
      <c r="AJ1982" s="2">
        <v>0</v>
      </c>
      <c r="AK1982">
        <v>0</v>
      </c>
      <c r="AL1982">
        <v>2</v>
      </c>
      <c r="AM1982">
        <v>0</v>
      </c>
      <c r="AN1982" s="2">
        <f>IF((2*G1982+M1982-O1982+3*V1982+2*AB1982+2*AE1982+2*AH1982+3*AJ1982)&gt;=7,1,0)</f>
        <v>0</v>
      </c>
    </row>
    <row r="1983" spans="1:40" x14ac:dyDescent="0.25">
      <c r="A1983" t="s">
        <v>27</v>
      </c>
      <c r="B1983" s="1">
        <v>42654</v>
      </c>
      <c r="C1983" s="6">
        <f t="shared" si="300"/>
        <v>2016</v>
      </c>
      <c r="D1983">
        <v>86</v>
      </c>
      <c r="E1983">
        <v>65.7</v>
      </c>
      <c r="F1983">
        <v>76.599999999999994</v>
      </c>
      <c r="G1983" s="2">
        <f t="shared" si="301"/>
        <v>1</v>
      </c>
      <c r="H1983">
        <v>104.8</v>
      </c>
      <c r="I1983">
        <v>65.7</v>
      </c>
      <c r="J1983">
        <v>78</v>
      </c>
      <c r="K1983">
        <v>63.7</v>
      </c>
      <c r="L1983">
        <v>66.400000000000006</v>
      </c>
      <c r="M1983" s="2">
        <f t="shared" si="302"/>
        <v>0</v>
      </c>
      <c r="N1983">
        <v>0</v>
      </c>
      <c r="O1983" s="2">
        <f t="shared" si="303"/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34.700000000000003</v>
      </c>
      <c r="V1983" s="2">
        <f t="shared" si="304"/>
        <v>1</v>
      </c>
      <c r="W1983">
        <v>19.7</v>
      </c>
      <c r="X1983" s="2">
        <f t="shared" si="305"/>
        <v>1</v>
      </c>
      <c r="Y1983">
        <v>208.7</v>
      </c>
      <c r="Z1983" s="2" t="str">
        <f>CHOOSE(MATCH(Y1983,{0;11;80;111;161;191;241;281;341},1),"North","NorthEast","East","SouthEast","South","SouthWest","West","NorthWest","North")</f>
        <v>SouthWest</v>
      </c>
      <c r="AA1983" s="4">
        <f>CHOOSE(MATCH(Z1983,{"South";"SouthEast";"SouthWest";"North";"NorthEast";"East";"West";"NorthWest"},0),1,2,3,4,5,6,7,8)</f>
        <v>3</v>
      </c>
      <c r="AB1983" s="2">
        <f t="shared" si="306"/>
        <v>0</v>
      </c>
      <c r="AC1983">
        <v>1011.3</v>
      </c>
      <c r="AD1983" t="s">
        <v>2717</v>
      </c>
      <c r="AE1983" s="2">
        <f t="shared" si="307"/>
        <v>1</v>
      </c>
      <c r="AF1983" t="s">
        <v>2718</v>
      </c>
      <c r="AG1983" s="2">
        <f t="shared" si="308"/>
        <v>10</v>
      </c>
      <c r="AH1983" s="2">
        <f t="shared" si="309"/>
        <v>0</v>
      </c>
      <c r="AI1983" s="3">
        <v>387.9999999969732</v>
      </c>
      <c r="AJ1983" s="2">
        <v>1</v>
      </c>
      <c r="AK1983">
        <v>0</v>
      </c>
      <c r="AL1983">
        <v>5</v>
      </c>
      <c r="AM1983">
        <v>0</v>
      </c>
      <c r="AN1983" s="2">
        <f>IF((2*G1983+M1983-O1983+3*V1983+2*AB1983+2*AE1983+2*AH1983+3*AJ1983)&gt;=7,1,0)</f>
        <v>1</v>
      </c>
    </row>
    <row r="1984" spans="1:40" x14ac:dyDescent="0.25">
      <c r="A1984" t="s">
        <v>27</v>
      </c>
      <c r="B1984" s="1">
        <v>42660</v>
      </c>
      <c r="C1984" s="6">
        <f t="shared" si="300"/>
        <v>2016</v>
      </c>
      <c r="D1984">
        <v>75.2</v>
      </c>
      <c r="E1984">
        <v>64.400000000000006</v>
      </c>
      <c r="F1984">
        <v>69.3</v>
      </c>
      <c r="G1984" s="2">
        <f t="shared" si="301"/>
        <v>0</v>
      </c>
      <c r="H1984">
        <v>75.2</v>
      </c>
      <c r="I1984">
        <v>64.400000000000006</v>
      </c>
      <c r="J1984">
        <v>69.3</v>
      </c>
      <c r="K1984">
        <v>62.1</v>
      </c>
      <c r="L1984">
        <v>78.2</v>
      </c>
      <c r="M1984" s="2">
        <f t="shared" si="302"/>
        <v>0</v>
      </c>
      <c r="N1984">
        <v>0</v>
      </c>
      <c r="O1984" s="2">
        <f t="shared" si="303"/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22.8</v>
      </c>
      <c r="V1984" s="2">
        <f t="shared" si="304"/>
        <v>1</v>
      </c>
      <c r="W1984">
        <v>18.3</v>
      </c>
      <c r="X1984" s="2">
        <f t="shared" si="305"/>
        <v>1</v>
      </c>
      <c r="Y1984">
        <v>328.5</v>
      </c>
      <c r="Z1984" s="2" t="str">
        <f>CHOOSE(MATCH(Y1984,{0;11;80;111;161;191;241;281;341},1),"North","NorthEast","East","SouthEast","South","SouthWest","West","NorthWest","North")</f>
        <v>NorthWest</v>
      </c>
      <c r="AA1984" s="4">
        <f>CHOOSE(MATCH(Z1984,{"South";"SouthEast";"SouthWest";"North";"NorthEast";"East";"West";"NorthWest"},0),1,2,3,4,5,6,7,8)</f>
        <v>8</v>
      </c>
      <c r="AB1984" s="2">
        <f t="shared" si="306"/>
        <v>1</v>
      </c>
      <c r="AC1984">
        <v>1017.8</v>
      </c>
      <c r="AD1984" t="s">
        <v>1241</v>
      </c>
      <c r="AE1984" s="2">
        <f t="shared" si="307"/>
        <v>0</v>
      </c>
      <c r="AF1984" t="s">
        <v>2719</v>
      </c>
      <c r="AG1984" s="2">
        <f t="shared" si="308"/>
        <v>10</v>
      </c>
      <c r="AH1984" s="2">
        <f t="shared" si="309"/>
        <v>0</v>
      </c>
      <c r="AI1984" s="3">
        <v>555.00000000698492</v>
      </c>
      <c r="AJ1984" s="2">
        <v>1</v>
      </c>
      <c r="AK1984">
        <v>0</v>
      </c>
      <c r="AL1984">
        <v>0.1</v>
      </c>
      <c r="AM1984">
        <v>0</v>
      </c>
      <c r="AN1984" s="2">
        <f>IF((2*G1984+M1984-O1984+3*V1984+2*AB1984+2*AE1984+2*AH1984+3*AJ1984)&gt;=7,1,0)</f>
        <v>1</v>
      </c>
    </row>
    <row r="1985" spans="1:40" x14ac:dyDescent="0.25">
      <c r="A1985" t="s">
        <v>27</v>
      </c>
      <c r="B1985" s="1">
        <v>42660</v>
      </c>
      <c r="C1985" s="6">
        <f t="shared" si="300"/>
        <v>2016</v>
      </c>
      <c r="D1985">
        <v>75.2</v>
      </c>
      <c r="E1985">
        <v>64.400000000000006</v>
      </c>
      <c r="F1985">
        <v>69.3</v>
      </c>
      <c r="G1985" s="2">
        <f t="shared" si="301"/>
        <v>0</v>
      </c>
      <c r="H1985">
        <v>75.2</v>
      </c>
      <c r="I1985">
        <v>64.400000000000006</v>
      </c>
      <c r="J1985">
        <v>69.3</v>
      </c>
      <c r="K1985">
        <v>62.1</v>
      </c>
      <c r="L1985">
        <v>78.2</v>
      </c>
      <c r="M1985" s="2">
        <f t="shared" si="302"/>
        <v>0</v>
      </c>
      <c r="N1985">
        <v>0</v>
      </c>
      <c r="O1985" s="2">
        <f t="shared" si="303"/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22.8</v>
      </c>
      <c r="V1985" s="2">
        <f t="shared" si="304"/>
        <v>1</v>
      </c>
      <c r="W1985">
        <v>18.3</v>
      </c>
      <c r="X1985" s="2">
        <f t="shared" si="305"/>
        <v>1</v>
      </c>
      <c r="Y1985">
        <v>328.5</v>
      </c>
      <c r="Z1985" s="2" t="str">
        <f>CHOOSE(MATCH(Y1985,{0;11;80;111;161;191;241;281;341},1),"North","NorthEast","East","SouthEast","South","SouthWest","West","NorthWest","North")</f>
        <v>NorthWest</v>
      </c>
      <c r="AA1985" s="4">
        <f>CHOOSE(MATCH(Z1985,{"South";"SouthEast";"SouthWest";"North";"NorthEast";"East";"West";"NorthWest"},0),1,2,3,4,5,6,7,8)</f>
        <v>8</v>
      </c>
      <c r="AB1985" s="2">
        <f t="shared" si="306"/>
        <v>1</v>
      </c>
      <c r="AC1985">
        <v>1017.8</v>
      </c>
      <c r="AD1985" t="s">
        <v>1935</v>
      </c>
      <c r="AE1985" s="2">
        <f t="shared" si="307"/>
        <v>1</v>
      </c>
      <c r="AF1985" t="s">
        <v>2720</v>
      </c>
      <c r="AG1985" s="2">
        <f t="shared" si="308"/>
        <v>10</v>
      </c>
      <c r="AH1985" s="2">
        <f t="shared" si="309"/>
        <v>0</v>
      </c>
      <c r="AI1985" s="3">
        <v>1374.9999999976719</v>
      </c>
      <c r="AJ1985" s="2">
        <v>1</v>
      </c>
      <c r="AK1985">
        <v>0</v>
      </c>
      <c r="AL1985">
        <v>2</v>
      </c>
      <c r="AM1985">
        <v>0</v>
      </c>
      <c r="AN1985" s="2">
        <f>IF((2*G1985+M1985-O1985+3*V1985+2*AB1985+2*AE1985+2*AH1985+3*AJ1985)&gt;=7,1,0)</f>
        <v>1</v>
      </c>
    </row>
    <row r="1986" spans="1:40" x14ac:dyDescent="0.25">
      <c r="A1986" t="s">
        <v>27</v>
      </c>
      <c r="B1986" s="1">
        <v>42660</v>
      </c>
      <c r="C1986" s="6">
        <f t="shared" si="300"/>
        <v>2016</v>
      </c>
      <c r="D1986">
        <v>75.2</v>
      </c>
      <c r="E1986">
        <v>64.400000000000006</v>
      </c>
      <c r="F1986">
        <v>69.3</v>
      </c>
      <c r="G1986" s="2">
        <f t="shared" si="301"/>
        <v>0</v>
      </c>
      <c r="H1986">
        <v>75.2</v>
      </c>
      <c r="I1986">
        <v>64.400000000000006</v>
      </c>
      <c r="J1986">
        <v>69.3</v>
      </c>
      <c r="K1986">
        <v>62.1</v>
      </c>
      <c r="L1986">
        <v>78.2</v>
      </c>
      <c r="M1986" s="2">
        <f t="shared" si="302"/>
        <v>0</v>
      </c>
      <c r="N1986">
        <v>0</v>
      </c>
      <c r="O1986" s="2">
        <f t="shared" si="303"/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22.8</v>
      </c>
      <c r="V1986" s="2">
        <f t="shared" si="304"/>
        <v>1</v>
      </c>
      <c r="W1986">
        <v>18.3</v>
      </c>
      <c r="X1986" s="2">
        <f t="shared" si="305"/>
        <v>1</v>
      </c>
      <c r="Y1986">
        <v>328.5</v>
      </c>
      <c r="Z1986" s="2" t="str">
        <f>CHOOSE(MATCH(Y1986,{0;11;80;111;161;191;241;281;341},1),"North","NorthEast","East","SouthEast","South","SouthWest","West","NorthWest","North")</f>
        <v>NorthWest</v>
      </c>
      <c r="AA1986" s="4">
        <f>CHOOSE(MATCH(Z1986,{"South";"SouthEast";"SouthWest";"North";"NorthEast";"East";"West";"NorthWest"},0),1,2,3,4,5,6,7,8)</f>
        <v>8</v>
      </c>
      <c r="AB1986" s="2">
        <f t="shared" si="306"/>
        <v>1</v>
      </c>
      <c r="AC1986">
        <v>1017.8</v>
      </c>
      <c r="AD1986" t="s">
        <v>2721</v>
      </c>
      <c r="AE1986" s="2">
        <f t="shared" si="307"/>
        <v>1</v>
      </c>
      <c r="AF1986" t="s">
        <v>2722</v>
      </c>
      <c r="AG1986" s="2">
        <f t="shared" si="308"/>
        <v>10</v>
      </c>
      <c r="AH1986" s="2">
        <f t="shared" si="309"/>
        <v>0</v>
      </c>
      <c r="AI1986" s="3">
        <v>75.99999999627471</v>
      </c>
      <c r="AJ1986" s="2">
        <v>0</v>
      </c>
      <c r="AK1986">
        <v>0</v>
      </c>
      <c r="AL1986">
        <v>0.1</v>
      </c>
      <c r="AM1986">
        <v>0</v>
      </c>
      <c r="AN1986" s="2">
        <f>IF((2*G1986+M1986-O1986+3*V1986+2*AB1986+2*AE1986+2*AH1986+3*AJ1986)&gt;=7,1,0)</f>
        <v>0</v>
      </c>
    </row>
    <row r="1987" spans="1:40" x14ac:dyDescent="0.25">
      <c r="A1987" t="s">
        <v>27</v>
      </c>
      <c r="B1987" s="1">
        <v>42660</v>
      </c>
      <c r="C1987" s="6">
        <f t="shared" ref="C1987:C2050" si="310">YEAR(B1987)</f>
        <v>2016</v>
      </c>
      <c r="D1987">
        <v>75.2</v>
      </c>
      <c r="E1987">
        <v>64.400000000000006</v>
      </c>
      <c r="F1987">
        <v>69.3</v>
      </c>
      <c r="G1987" s="2">
        <f t="shared" ref="G1987:G2050" si="311">IF(F1987&lt;=70,0,1)</f>
        <v>0</v>
      </c>
      <c r="H1987">
        <v>75.2</v>
      </c>
      <c r="I1987">
        <v>64.400000000000006</v>
      </c>
      <c r="J1987">
        <v>69.3</v>
      </c>
      <c r="K1987">
        <v>62.1</v>
      </c>
      <c r="L1987">
        <v>78.2</v>
      </c>
      <c r="M1987" s="2">
        <f t="shared" ref="M1987:M2050" si="312">IF(L1987&lt;=66,1,0)</f>
        <v>0</v>
      </c>
      <c r="N1987">
        <v>0</v>
      </c>
      <c r="O1987" s="2">
        <f t="shared" ref="O1987:O2050" si="313">IF(N1987&lt;=0.01,1,0)</f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22.8</v>
      </c>
      <c r="V1987" s="2">
        <f t="shared" ref="V1987:V2050" si="314">IF(U1987&lt;=9,0,1)</f>
        <v>1</v>
      </c>
      <c r="W1987">
        <v>18.3</v>
      </c>
      <c r="X1987" s="2">
        <f t="shared" ref="X1987:X2050" si="315">IF(W1987&gt;=16,1,0)</f>
        <v>1</v>
      </c>
      <c r="Y1987">
        <v>328.5</v>
      </c>
      <c r="Z1987" s="2" t="str">
        <f>CHOOSE(MATCH(Y1987,{0;11;80;111;161;191;241;281;341},1),"North","NorthEast","East","SouthEast","South","SouthWest","West","NorthWest","North")</f>
        <v>NorthWest</v>
      </c>
      <c r="AA1987" s="4">
        <f>CHOOSE(MATCH(Z1987,{"South";"SouthEast";"SouthWest";"North";"NorthEast";"East";"West";"NorthWest"},0),1,2,3,4,5,6,7,8)</f>
        <v>8</v>
      </c>
      <c r="AB1987" s="2">
        <f t="shared" ref="AB1987:AB2050" si="316">IF(OR(AA1987=4,AA1987=5,AA1987=8),1,0)</f>
        <v>1</v>
      </c>
      <c r="AC1987">
        <v>1017.8</v>
      </c>
      <c r="AD1987" t="s">
        <v>2210</v>
      </c>
      <c r="AE1987" s="2">
        <f t="shared" ref="AE1987:AE2050" si="317">IF(TIMEVALUE(AD1987)&lt;=TIME(12,30,0),0,1)</f>
        <v>1</v>
      </c>
      <c r="AF1987" t="s">
        <v>2723</v>
      </c>
      <c r="AG1987" s="2">
        <f t="shared" ref="AG1987:AG2050" si="318">MONTH(AF1987)</f>
        <v>10</v>
      </c>
      <c r="AH1987" s="2">
        <f t="shared" ref="AH1987:AH2050" si="319">IF(OR(AG1987=6,AG1987=7,AG1987=8),1,0)</f>
        <v>0</v>
      </c>
      <c r="AI1987" s="3">
        <v>429.99999999767169</v>
      </c>
      <c r="AJ1987" s="2">
        <v>1</v>
      </c>
      <c r="AK1987">
        <v>0</v>
      </c>
      <c r="AL1987">
        <v>5</v>
      </c>
      <c r="AM1987">
        <v>0</v>
      </c>
      <c r="AN1987" s="2">
        <f>IF((2*G1987+M1987-O1987+3*V1987+2*AB1987+2*AE1987+2*AH1987+3*AJ1987)&gt;=7,1,0)</f>
        <v>1</v>
      </c>
    </row>
    <row r="1988" spans="1:40" x14ac:dyDescent="0.25">
      <c r="A1988" t="s">
        <v>27</v>
      </c>
      <c r="B1988" s="1">
        <v>42660</v>
      </c>
      <c r="C1988" s="6">
        <f t="shared" si="310"/>
        <v>2016</v>
      </c>
      <c r="D1988">
        <v>75.2</v>
      </c>
      <c r="E1988">
        <v>64.400000000000006</v>
      </c>
      <c r="F1988">
        <v>69.3</v>
      </c>
      <c r="G1988" s="2">
        <f t="shared" si="311"/>
        <v>0</v>
      </c>
      <c r="H1988">
        <v>75.2</v>
      </c>
      <c r="I1988">
        <v>64.400000000000006</v>
      </c>
      <c r="J1988">
        <v>69.3</v>
      </c>
      <c r="K1988">
        <v>62.1</v>
      </c>
      <c r="L1988">
        <v>78.2</v>
      </c>
      <c r="M1988" s="2">
        <f t="shared" si="312"/>
        <v>0</v>
      </c>
      <c r="N1988">
        <v>0</v>
      </c>
      <c r="O1988" s="2">
        <f t="shared" si="313"/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22.8</v>
      </c>
      <c r="V1988" s="2">
        <f t="shared" si="314"/>
        <v>1</v>
      </c>
      <c r="W1988">
        <v>18.3</v>
      </c>
      <c r="X1988" s="2">
        <f t="shared" si="315"/>
        <v>1</v>
      </c>
      <c r="Y1988">
        <v>328.5</v>
      </c>
      <c r="Z1988" s="2" t="str">
        <f>CHOOSE(MATCH(Y1988,{0;11;80;111;161;191;241;281;341},1),"North","NorthEast","East","SouthEast","South","SouthWest","West","NorthWest","North")</f>
        <v>NorthWest</v>
      </c>
      <c r="AA1988" s="4">
        <f>CHOOSE(MATCH(Z1988,{"South";"SouthEast";"SouthWest";"North";"NorthEast";"East";"West";"NorthWest"},0),1,2,3,4,5,6,7,8)</f>
        <v>8</v>
      </c>
      <c r="AB1988" s="2">
        <f t="shared" si="316"/>
        <v>1</v>
      </c>
      <c r="AC1988">
        <v>1017.8</v>
      </c>
      <c r="AD1988" t="s">
        <v>1129</v>
      </c>
      <c r="AE1988" s="2">
        <f t="shared" si="317"/>
        <v>1</v>
      </c>
      <c r="AF1988" t="s">
        <v>2724</v>
      </c>
      <c r="AG1988" s="2">
        <f t="shared" si="318"/>
        <v>10</v>
      </c>
      <c r="AH1988" s="2">
        <f t="shared" si="319"/>
        <v>0</v>
      </c>
      <c r="AI1988" s="3">
        <v>145.00000000116421</v>
      </c>
      <c r="AJ1988" s="2">
        <v>0</v>
      </c>
      <c r="AK1988">
        <v>0</v>
      </c>
      <c r="AL1988">
        <v>0.7</v>
      </c>
      <c r="AM1988">
        <v>0</v>
      </c>
      <c r="AN1988" s="2">
        <f>IF((2*G1988+M1988-O1988+3*V1988+2*AB1988+2*AE1988+2*AH1988+3*AJ1988)&gt;=7,1,0)</f>
        <v>0</v>
      </c>
    </row>
    <row r="1989" spans="1:40" x14ac:dyDescent="0.25">
      <c r="A1989" t="s">
        <v>27</v>
      </c>
      <c r="B1989" s="1">
        <v>42665</v>
      </c>
      <c r="C1989" s="6">
        <f t="shared" si="310"/>
        <v>2016</v>
      </c>
      <c r="D1989">
        <v>77</v>
      </c>
      <c r="E1989">
        <v>64.400000000000006</v>
      </c>
      <c r="F1989">
        <v>70</v>
      </c>
      <c r="G1989" s="2">
        <f t="shared" si="311"/>
        <v>0</v>
      </c>
      <c r="H1989">
        <v>77</v>
      </c>
      <c r="I1989">
        <v>64.400000000000006</v>
      </c>
      <c r="J1989">
        <v>70</v>
      </c>
      <c r="K1989">
        <v>62.7</v>
      </c>
      <c r="L1989">
        <v>77.8</v>
      </c>
      <c r="M1989" s="2">
        <f t="shared" si="312"/>
        <v>0</v>
      </c>
      <c r="N1989">
        <v>0</v>
      </c>
      <c r="O1989" s="2">
        <f t="shared" si="313"/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15.9</v>
      </c>
      <c r="V1989" s="2">
        <f t="shared" si="314"/>
        <v>1</v>
      </c>
      <c r="W1989">
        <v>11.4</v>
      </c>
      <c r="X1989" s="2">
        <f t="shared" si="315"/>
        <v>0</v>
      </c>
      <c r="Y1989">
        <v>113</v>
      </c>
      <c r="Z1989" s="2" t="str">
        <f>CHOOSE(MATCH(Y1989,{0;11;80;111;161;191;241;281;341},1),"North","NorthEast","East","SouthEast","South","SouthWest","West","NorthWest","North")</f>
        <v>SouthEast</v>
      </c>
      <c r="AA1989" s="4">
        <f>CHOOSE(MATCH(Z1989,{"South";"SouthEast";"SouthWest";"North";"NorthEast";"East";"West";"NorthWest"},0),1,2,3,4,5,6,7,8)</f>
        <v>2</v>
      </c>
      <c r="AB1989" s="2">
        <f t="shared" si="316"/>
        <v>0</v>
      </c>
      <c r="AC1989">
        <v>1017.1</v>
      </c>
      <c r="AD1989" t="s">
        <v>1864</v>
      </c>
      <c r="AE1989" s="2">
        <f t="shared" si="317"/>
        <v>1</v>
      </c>
      <c r="AF1989" t="s">
        <v>2725</v>
      </c>
      <c r="AG1989" s="2">
        <f t="shared" si="318"/>
        <v>10</v>
      </c>
      <c r="AH1989" s="2">
        <f t="shared" si="319"/>
        <v>0</v>
      </c>
      <c r="AI1989" s="3">
        <v>40.000000004656613</v>
      </c>
      <c r="AJ1989" s="2">
        <v>0</v>
      </c>
      <c r="AK1989">
        <v>0</v>
      </c>
      <c r="AL1989">
        <v>0.2</v>
      </c>
      <c r="AM1989">
        <v>0</v>
      </c>
      <c r="AN1989" s="2">
        <f>IF((2*G1989+M1989-O1989+3*V1989+2*AB1989+2*AE1989+2*AH1989+3*AJ1989)&gt;=7,1,0)</f>
        <v>0</v>
      </c>
    </row>
    <row r="1990" spans="1:40" x14ac:dyDescent="0.25">
      <c r="A1990" t="s">
        <v>27</v>
      </c>
      <c r="B1990" s="1">
        <v>42666</v>
      </c>
      <c r="C1990" s="6">
        <f t="shared" si="310"/>
        <v>2016</v>
      </c>
      <c r="D1990">
        <v>78.8</v>
      </c>
      <c r="E1990">
        <v>66.2</v>
      </c>
      <c r="F1990">
        <v>71.8</v>
      </c>
      <c r="G1990" s="2">
        <f t="shared" si="311"/>
        <v>1</v>
      </c>
      <c r="H1990">
        <v>78.8</v>
      </c>
      <c r="I1990">
        <v>66.2</v>
      </c>
      <c r="J1990">
        <v>71.8</v>
      </c>
      <c r="K1990">
        <v>63.3</v>
      </c>
      <c r="L1990">
        <v>75.2</v>
      </c>
      <c r="M1990" s="2">
        <f t="shared" si="312"/>
        <v>0</v>
      </c>
      <c r="N1990">
        <v>0</v>
      </c>
      <c r="O1990" s="2">
        <f t="shared" si="313"/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19.7</v>
      </c>
      <c r="V1990" s="2">
        <f t="shared" si="314"/>
        <v>1</v>
      </c>
      <c r="W1990">
        <v>12.8</v>
      </c>
      <c r="X1990" s="2">
        <f t="shared" si="315"/>
        <v>0</v>
      </c>
      <c r="Y1990">
        <v>96.8</v>
      </c>
      <c r="Z1990" s="2" t="str">
        <f>CHOOSE(MATCH(Y1990,{0;11;80;111;161;191;241;281;341},1),"North","NorthEast","East","SouthEast","South","SouthWest","West","NorthWest","North")</f>
        <v>East</v>
      </c>
      <c r="AA1990" s="4">
        <f>CHOOSE(MATCH(Z1990,{"South";"SouthEast";"SouthWest";"North";"NorthEast";"East";"West";"NorthWest"},0),1,2,3,4,5,6,7,8)</f>
        <v>6</v>
      </c>
      <c r="AB1990" s="2">
        <f t="shared" si="316"/>
        <v>0</v>
      </c>
      <c r="AC1990">
        <v>1017.3</v>
      </c>
      <c r="AD1990" t="s">
        <v>1796</v>
      </c>
      <c r="AE1990" s="2">
        <f t="shared" si="317"/>
        <v>1</v>
      </c>
      <c r="AF1990" t="s">
        <v>2726</v>
      </c>
      <c r="AG1990" s="2">
        <f t="shared" si="318"/>
        <v>10</v>
      </c>
      <c r="AH1990" s="2">
        <f t="shared" si="319"/>
        <v>0</v>
      </c>
      <c r="AI1990" s="3">
        <v>1135.0000000011639</v>
      </c>
      <c r="AJ1990" s="2">
        <v>1</v>
      </c>
      <c r="AK1990">
        <v>1</v>
      </c>
      <c r="AL1990">
        <v>0</v>
      </c>
      <c r="AM1990">
        <v>0</v>
      </c>
      <c r="AN1990" s="2">
        <f>IF((2*G1990+M1990-O1990+3*V1990+2*AB1990+2*AE1990+2*AH1990+3*AJ1990)&gt;=7,1,0)</f>
        <v>1</v>
      </c>
    </row>
    <row r="1991" spans="1:40" x14ac:dyDescent="0.25">
      <c r="A1991" t="s">
        <v>27</v>
      </c>
      <c r="B1991" s="1">
        <v>42666</v>
      </c>
      <c r="C1991" s="6">
        <f t="shared" si="310"/>
        <v>2016</v>
      </c>
      <c r="D1991">
        <v>78.8</v>
      </c>
      <c r="E1991">
        <v>66.2</v>
      </c>
      <c r="F1991">
        <v>71.8</v>
      </c>
      <c r="G1991" s="2">
        <f t="shared" si="311"/>
        <v>1</v>
      </c>
      <c r="H1991">
        <v>78.8</v>
      </c>
      <c r="I1991">
        <v>66.2</v>
      </c>
      <c r="J1991">
        <v>71.8</v>
      </c>
      <c r="K1991">
        <v>63.3</v>
      </c>
      <c r="L1991">
        <v>75.2</v>
      </c>
      <c r="M1991" s="2">
        <f t="shared" si="312"/>
        <v>0</v>
      </c>
      <c r="N1991">
        <v>0</v>
      </c>
      <c r="O1991" s="2">
        <f t="shared" si="313"/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19.7</v>
      </c>
      <c r="V1991" s="2">
        <f t="shared" si="314"/>
        <v>1</v>
      </c>
      <c r="W1991">
        <v>12.8</v>
      </c>
      <c r="X1991" s="2">
        <f t="shared" si="315"/>
        <v>0</v>
      </c>
      <c r="Y1991">
        <v>96.8</v>
      </c>
      <c r="Z1991" s="2" t="str">
        <f>CHOOSE(MATCH(Y1991,{0;11;80;111;161;191;241;281;341},1),"North","NorthEast","East","SouthEast","South","SouthWest","West","NorthWest","North")</f>
        <v>East</v>
      </c>
      <c r="AA1991" s="4">
        <f>CHOOSE(MATCH(Z1991,{"South";"SouthEast";"SouthWest";"North";"NorthEast";"East";"West";"NorthWest"},0),1,2,3,4,5,6,7,8)</f>
        <v>6</v>
      </c>
      <c r="AB1991" s="2">
        <f t="shared" si="316"/>
        <v>0</v>
      </c>
      <c r="AC1991">
        <v>1017.3</v>
      </c>
      <c r="AD1991" t="s">
        <v>1182</v>
      </c>
      <c r="AE1991" s="2">
        <f t="shared" si="317"/>
        <v>1</v>
      </c>
      <c r="AF1991" t="s">
        <v>2727</v>
      </c>
      <c r="AG1991" s="2">
        <f t="shared" si="318"/>
        <v>10</v>
      </c>
      <c r="AH1991" s="2">
        <f t="shared" si="319"/>
        <v>0</v>
      </c>
      <c r="AI1991" s="3">
        <v>1060.0000000081491</v>
      </c>
      <c r="AJ1991" s="2">
        <v>1</v>
      </c>
      <c r="AK1991">
        <v>0</v>
      </c>
      <c r="AL1991">
        <v>40</v>
      </c>
      <c r="AM1991">
        <v>0</v>
      </c>
      <c r="AN1991" s="2">
        <f>IF((2*G1991+M1991-O1991+3*V1991+2*AB1991+2*AE1991+2*AH1991+3*AJ1991)&gt;=7,1,0)</f>
        <v>1</v>
      </c>
    </row>
    <row r="1992" spans="1:40" x14ac:dyDescent="0.25">
      <c r="A1992" t="s">
        <v>27</v>
      </c>
      <c r="B1992" s="1">
        <v>42669</v>
      </c>
      <c r="C1992" s="6">
        <f t="shared" si="310"/>
        <v>2016</v>
      </c>
      <c r="D1992">
        <v>69.8</v>
      </c>
      <c r="E1992">
        <v>66.2</v>
      </c>
      <c r="F1992">
        <v>67.400000000000006</v>
      </c>
      <c r="G1992" s="2">
        <f t="shared" si="311"/>
        <v>0</v>
      </c>
      <c r="H1992">
        <v>69.8</v>
      </c>
      <c r="I1992">
        <v>66.2</v>
      </c>
      <c r="J1992">
        <v>67.400000000000006</v>
      </c>
      <c r="K1992">
        <v>56.5</v>
      </c>
      <c r="L1992">
        <v>68.2</v>
      </c>
      <c r="M1992" s="2">
        <f t="shared" si="312"/>
        <v>0</v>
      </c>
      <c r="N1992">
        <v>0</v>
      </c>
      <c r="O1992" s="2">
        <f t="shared" si="313"/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33.799999999999997</v>
      </c>
      <c r="V1992" s="2">
        <f t="shared" si="314"/>
        <v>1</v>
      </c>
      <c r="W1992">
        <v>21.9</v>
      </c>
      <c r="X1992" s="2">
        <f t="shared" si="315"/>
        <v>1</v>
      </c>
      <c r="Y1992">
        <v>319.2</v>
      </c>
      <c r="Z1992" s="2" t="str">
        <f>CHOOSE(MATCH(Y1992,{0;11;80;111;161;191;241;281;341},1),"North","NorthEast","East","SouthEast","South","SouthWest","West","NorthWest","North")</f>
        <v>NorthWest</v>
      </c>
      <c r="AA1992" s="4">
        <f>CHOOSE(MATCH(Z1992,{"South";"SouthEast";"SouthWest";"North";"NorthEast";"East";"West";"NorthWest"},0),1,2,3,4,5,6,7,8)</f>
        <v>8</v>
      </c>
      <c r="AB1992" s="2">
        <f t="shared" si="316"/>
        <v>1</v>
      </c>
      <c r="AC1992">
        <v>1017.4</v>
      </c>
      <c r="AD1992" t="s">
        <v>1093</v>
      </c>
      <c r="AE1992" s="2">
        <f t="shared" si="317"/>
        <v>1</v>
      </c>
      <c r="AF1992" t="s">
        <v>2728</v>
      </c>
      <c r="AG1992" s="2">
        <f t="shared" si="318"/>
        <v>10</v>
      </c>
      <c r="AH1992" s="2">
        <f t="shared" si="319"/>
        <v>0</v>
      </c>
      <c r="AI1992" s="3">
        <v>120.0000000034925</v>
      </c>
      <c r="AJ1992" s="2">
        <v>0</v>
      </c>
      <c r="AK1992">
        <v>0</v>
      </c>
      <c r="AL1992">
        <v>1</v>
      </c>
      <c r="AM1992">
        <v>0</v>
      </c>
      <c r="AN1992" s="2">
        <f>IF((2*G1992+M1992-O1992+3*V1992+2*AB1992+2*AE1992+2*AH1992+3*AJ1992)&gt;=7,1,0)</f>
        <v>0</v>
      </c>
    </row>
    <row r="1993" spans="1:40" x14ac:dyDescent="0.25">
      <c r="A1993" t="s">
        <v>27</v>
      </c>
      <c r="B1993" s="1">
        <v>42675</v>
      </c>
      <c r="C1993" s="6">
        <f t="shared" si="310"/>
        <v>2016</v>
      </c>
      <c r="D1993">
        <v>64.400000000000006</v>
      </c>
      <c r="E1993">
        <v>59</v>
      </c>
      <c r="F1993">
        <v>61.1</v>
      </c>
      <c r="G1993" s="2">
        <f t="shared" si="311"/>
        <v>0</v>
      </c>
      <c r="H1993">
        <v>64.400000000000006</v>
      </c>
      <c r="I1993">
        <v>59</v>
      </c>
      <c r="J1993">
        <v>61.1</v>
      </c>
      <c r="K1993">
        <v>46.7</v>
      </c>
      <c r="L1993">
        <v>59.2</v>
      </c>
      <c r="M1993" s="2">
        <f t="shared" si="312"/>
        <v>1</v>
      </c>
      <c r="N1993">
        <v>0.74</v>
      </c>
      <c r="O1993" s="2">
        <f t="shared" si="313"/>
        <v>0</v>
      </c>
      <c r="P1993">
        <v>100</v>
      </c>
      <c r="Q1993">
        <v>4.17</v>
      </c>
      <c r="R1993" t="s">
        <v>182</v>
      </c>
      <c r="S1993">
        <v>0</v>
      </c>
      <c r="T1993">
        <v>0</v>
      </c>
      <c r="U1993">
        <v>33.799999999999997</v>
      </c>
      <c r="V1993" s="2">
        <f t="shared" si="314"/>
        <v>1</v>
      </c>
      <c r="W1993">
        <v>18.3</v>
      </c>
      <c r="X1993" s="2">
        <f t="shared" si="315"/>
        <v>1</v>
      </c>
      <c r="Y1993">
        <v>348.6</v>
      </c>
      <c r="Z1993" s="2" t="str">
        <f>CHOOSE(MATCH(Y1993,{0;11;80;111;161;191;241;281;341},1),"North","NorthEast","East","SouthEast","South","SouthWest","West","NorthWest","North")</f>
        <v>North</v>
      </c>
      <c r="AA1993" s="4">
        <f>CHOOSE(MATCH(Z1993,{"South";"SouthEast";"SouthWest";"North";"NorthEast";"East";"West";"NorthWest"},0),1,2,3,4,5,6,7,8)</f>
        <v>4</v>
      </c>
      <c r="AB1993" s="2">
        <f t="shared" si="316"/>
        <v>1</v>
      </c>
      <c r="AC1993">
        <v>1020.1</v>
      </c>
      <c r="AD1993" t="s">
        <v>1254</v>
      </c>
      <c r="AE1993" s="2">
        <f t="shared" si="317"/>
        <v>1</v>
      </c>
      <c r="AF1993" t="s">
        <v>2729</v>
      </c>
      <c r="AG1993" s="2">
        <f t="shared" si="318"/>
        <v>11</v>
      </c>
      <c r="AH1993" s="2">
        <f t="shared" si="319"/>
        <v>0</v>
      </c>
      <c r="AI1993" s="3">
        <v>370.00000000116421</v>
      </c>
      <c r="AJ1993" s="2">
        <v>1</v>
      </c>
      <c r="AK1993">
        <v>0</v>
      </c>
      <c r="AL1993">
        <v>10</v>
      </c>
      <c r="AM1993">
        <v>0</v>
      </c>
      <c r="AN1993" s="2">
        <f>IF((2*G1993+M1993-O1993+3*V1993+2*AB1993+2*AE1993+2*AH1993+3*AJ1993)&gt;=7,1,0)</f>
        <v>1</v>
      </c>
    </row>
    <row r="1994" spans="1:40" x14ac:dyDescent="0.25">
      <c r="A1994" t="s">
        <v>27</v>
      </c>
      <c r="B1994" s="1">
        <v>42680</v>
      </c>
      <c r="C1994" s="6">
        <f t="shared" si="310"/>
        <v>2016</v>
      </c>
      <c r="D1994">
        <v>71.599999999999994</v>
      </c>
      <c r="E1994">
        <v>57.2</v>
      </c>
      <c r="F1994">
        <v>64.3</v>
      </c>
      <c r="G1994" s="2">
        <f t="shared" si="311"/>
        <v>0</v>
      </c>
      <c r="H1994">
        <v>71.599999999999994</v>
      </c>
      <c r="I1994">
        <v>57.2</v>
      </c>
      <c r="J1994">
        <v>64.3</v>
      </c>
      <c r="K1994">
        <v>58.1</v>
      </c>
      <c r="L1994">
        <v>81</v>
      </c>
      <c r="M1994" s="2">
        <f t="shared" si="312"/>
        <v>0</v>
      </c>
      <c r="N1994">
        <v>0</v>
      </c>
      <c r="O1994" s="2">
        <f t="shared" si="313"/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19.7</v>
      </c>
      <c r="V1994" s="2">
        <f t="shared" si="314"/>
        <v>1</v>
      </c>
      <c r="W1994">
        <v>10.3</v>
      </c>
      <c r="X1994" s="2">
        <f t="shared" si="315"/>
        <v>0</v>
      </c>
      <c r="Y1994">
        <v>144.1</v>
      </c>
      <c r="Z1994" s="2" t="str">
        <f>CHOOSE(MATCH(Y1994,{0;11;80;111;161;191;241;281;341},1),"North","NorthEast","East","SouthEast","South","SouthWest","West","NorthWest","North")</f>
        <v>SouthEast</v>
      </c>
      <c r="AA1994" s="4">
        <f>CHOOSE(MATCH(Z1994,{"South";"SouthEast";"SouthWest";"North";"NorthEast";"East";"West";"NorthWest"},0),1,2,3,4,5,6,7,8)</f>
        <v>2</v>
      </c>
      <c r="AB1994" s="2">
        <f t="shared" si="316"/>
        <v>0</v>
      </c>
      <c r="AC1994">
        <v>1019.3</v>
      </c>
      <c r="AD1994" t="s">
        <v>1077</v>
      </c>
      <c r="AE1994" s="2">
        <f t="shared" si="317"/>
        <v>1</v>
      </c>
      <c r="AF1994" t="s">
        <v>2730</v>
      </c>
      <c r="AG1994" s="2">
        <f t="shared" si="318"/>
        <v>11</v>
      </c>
      <c r="AH1994" s="2">
        <f t="shared" si="319"/>
        <v>0</v>
      </c>
      <c r="AI1994" s="3">
        <v>30.00000000349246</v>
      </c>
      <c r="AJ1994" s="2">
        <v>0</v>
      </c>
      <c r="AK1994">
        <v>0</v>
      </c>
      <c r="AL1994">
        <v>0.1</v>
      </c>
      <c r="AM1994">
        <v>0</v>
      </c>
      <c r="AN1994" s="2">
        <f>IF((2*G1994+M1994-O1994+3*V1994+2*AB1994+2*AE1994+2*AH1994+3*AJ1994)&gt;=7,1,0)</f>
        <v>0</v>
      </c>
    </row>
    <row r="1995" spans="1:40" x14ac:dyDescent="0.25">
      <c r="A1995" t="s">
        <v>27</v>
      </c>
      <c r="B1995" s="1">
        <v>42681</v>
      </c>
      <c r="C1995" s="6">
        <f t="shared" si="310"/>
        <v>2016</v>
      </c>
      <c r="D1995">
        <v>80.599999999999994</v>
      </c>
      <c r="E1995">
        <v>60.8</v>
      </c>
      <c r="F1995">
        <v>71</v>
      </c>
      <c r="G1995" s="2">
        <f t="shared" si="311"/>
        <v>1</v>
      </c>
      <c r="H1995">
        <v>81.099999999999994</v>
      </c>
      <c r="I1995">
        <v>60.8</v>
      </c>
      <c r="J1995">
        <v>71</v>
      </c>
      <c r="K1995">
        <v>56.9</v>
      </c>
      <c r="L1995">
        <v>63</v>
      </c>
      <c r="M1995" s="2">
        <f t="shared" si="312"/>
        <v>1</v>
      </c>
      <c r="N1995">
        <v>0</v>
      </c>
      <c r="O1995" s="2">
        <f t="shared" si="313"/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23.3</v>
      </c>
      <c r="V1995" s="2">
        <f t="shared" si="314"/>
        <v>1</v>
      </c>
      <c r="W1995">
        <v>24.1</v>
      </c>
      <c r="X1995" s="2">
        <f t="shared" si="315"/>
        <v>1</v>
      </c>
      <c r="Y1995">
        <v>171.2</v>
      </c>
      <c r="Z1995" s="2" t="str">
        <f>CHOOSE(MATCH(Y1995,{0;11;80;111;161;191;241;281;341},1),"North","NorthEast","East","SouthEast","South","SouthWest","West","NorthWest","North")</f>
        <v>South</v>
      </c>
      <c r="AA1995" s="4">
        <f>CHOOSE(MATCH(Z1995,{"South";"SouthEast";"SouthWest";"North";"NorthEast";"East";"West";"NorthWest"},0),1,2,3,4,5,6,7,8)</f>
        <v>1</v>
      </c>
      <c r="AB1995" s="2">
        <f t="shared" si="316"/>
        <v>0</v>
      </c>
      <c r="AC1995">
        <v>1017.4</v>
      </c>
      <c r="AD1995" t="s">
        <v>2731</v>
      </c>
      <c r="AE1995" s="2">
        <f t="shared" si="317"/>
        <v>1</v>
      </c>
      <c r="AF1995" t="s">
        <v>2732</v>
      </c>
      <c r="AG1995" s="2">
        <f t="shared" si="318"/>
        <v>11</v>
      </c>
      <c r="AH1995" s="2">
        <f t="shared" si="319"/>
        <v>0</v>
      </c>
      <c r="AI1995" s="3">
        <v>125.9999999916181</v>
      </c>
      <c r="AJ1995" s="2">
        <v>0</v>
      </c>
      <c r="AK1995">
        <v>0</v>
      </c>
      <c r="AL1995">
        <v>0.5</v>
      </c>
      <c r="AM1995">
        <v>0</v>
      </c>
      <c r="AN1995" s="2">
        <f>IF((2*G1995+M1995-O1995+3*V1995+2*AB1995+2*AE1995+2*AH1995+3*AJ1995)&gt;=7,1,0)</f>
        <v>1</v>
      </c>
    </row>
    <row r="1996" spans="1:40" x14ac:dyDescent="0.25">
      <c r="A1996" t="s">
        <v>27</v>
      </c>
      <c r="B1996" s="1">
        <v>42681</v>
      </c>
      <c r="C1996" s="6">
        <f t="shared" si="310"/>
        <v>2016</v>
      </c>
      <c r="D1996">
        <v>80.599999999999994</v>
      </c>
      <c r="E1996">
        <v>60.8</v>
      </c>
      <c r="F1996">
        <v>71</v>
      </c>
      <c r="G1996" s="2">
        <f t="shared" si="311"/>
        <v>1</v>
      </c>
      <c r="H1996">
        <v>81.099999999999994</v>
      </c>
      <c r="I1996">
        <v>60.8</v>
      </c>
      <c r="J1996">
        <v>71</v>
      </c>
      <c r="K1996">
        <v>56.9</v>
      </c>
      <c r="L1996">
        <v>63</v>
      </c>
      <c r="M1996" s="2">
        <f t="shared" si="312"/>
        <v>1</v>
      </c>
      <c r="N1996">
        <v>0</v>
      </c>
      <c r="O1996" s="2">
        <f t="shared" si="313"/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23.3</v>
      </c>
      <c r="V1996" s="2">
        <f t="shared" si="314"/>
        <v>1</v>
      </c>
      <c r="W1996">
        <v>24.1</v>
      </c>
      <c r="X1996" s="2">
        <f t="shared" si="315"/>
        <v>1</v>
      </c>
      <c r="Y1996">
        <v>171.2</v>
      </c>
      <c r="Z1996" s="2" t="str">
        <f>CHOOSE(MATCH(Y1996,{0;11;80;111;161;191;241;281;341},1),"North","NorthEast","East","SouthEast","South","SouthWest","West","NorthWest","North")</f>
        <v>South</v>
      </c>
      <c r="AA1996" s="4">
        <f>CHOOSE(MATCH(Z1996,{"South";"SouthEast";"SouthWest";"North";"NorthEast";"East";"West";"NorthWest"},0),1,2,3,4,5,6,7,8)</f>
        <v>1</v>
      </c>
      <c r="AB1996" s="2">
        <f t="shared" si="316"/>
        <v>0</v>
      </c>
      <c r="AC1996">
        <v>1017.4</v>
      </c>
      <c r="AD1996" t="s">
        <v>2530</v>
      </c>
      <c r="AE1996" s="2">
        <f t="shared" si="317"/>
        <v>0</v>
      </c>
      <c r="AF1996" t="s">
        <v>2733</v>
      </c>
      <c r="AG1996" s="2">
        <f t="shared" si="318"/>
        <v>11</v>
      </c>
      <c r="AH1996" s="2">
        <f t="shared" si="319"/>
        <v>0</v>
      </c>
      <c r="AI1996" s="3">
        <v>110.00000000232831</v>
      </c>
      <c r="AJ1996" s="2">
        <v>0</v>
      </c>
      <c r="AK1996">
        <v>0</v>
      </c>
      <c r="AL1996">
        <v>0.5</v>
      </c>
      <c r="AM1996">
        <v>0</v>
      </c>
      <c r="AN1996" s="2">
        <f>IF((2*G1996+M1996-O1996+3*V1996+2*AB1996+2*AE1996+2*AH1996+3*AJ1996)&gt;=7,1,0)</f>
        <v>0</v>
      </c>
    </row>
    <row r="1997" spans="1:40" x14ac:dyDescent="0.25">
      <c r="A1997" t="s">
        <v>27</v>
      </c>
      <c r="B1997" s="1">
        <v>42682</v>
      </c>
      <c r="C1997" s="6">
        <f t="shared" si="310"/>
        <v>2016</v>
      </c>
      <c r="D1997">
        <v>84.2</v>
      </c>
      <c r="E1997">
        <v>69.8</v>
      </c>
      <c r="F1997">
        <v>75.3</v>
      </c>
      <c r="G1997" s="2">
        <f t="shared" si="311"/>
        <v>1</v>
      </c>
      <c r="H1997">
        <v>83.1</v>
      </c>
      <c r="I1997">
        <v>69.8</v>
      </c>
      <c r="J1997">
        <v>75.2</v>
      </c>
      <c r="K1997">
        <v>59</v>
      </c>
      <c r="L1997">
        <v>58.5</v>
      </c>
      <c r="M1997" s="2">
        <f t="shared" si="312"/>
        <v>1</v>
      </c>
      <c r="N1997">
        <v>0</v>
      </c>
      <c r="O1997" s="2">
        <f t="shared" si="313"/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45</v>
      </c>
      <c r="V1997" s="2">
        <f t="shared" si="314"/>
        <v>1</v>
      </c>
      <c r="W1997">
        <v>34.4</v>
      </c>
      <c r="X1997" s="2">
        <f t="shared" si="315"/>
        <v>1</v>
      </c>
      <c r="Y1997">
        <v>173.9</v>
      </c>
      <c r="Z1997" s="2" t="str">
        <f>CHOOSE(MATCH(Y1997,{0;11;80;111;161;191;241;281;341},1),"North","NorthEast","East","SouthEast","South","SouthWest","West","NorthWest","North")</f>
        <v>South</v>
      </c>
      <c r="AA1997" s="4">
        <f>CHOOSE(MATCH(Z1997,{"South";"SouthEast";"SouthWest";"North";"NorthEast";"East";"West";"NorthWest"},0),1,2,3,4,5,6,7,8)</f>
        <v>1</v>
      </c>
      <c r="AB1997" s="2">
        <f t="shared" si="316"/>
        <v>0</v>
      </c>
      <c r="AC1997">
        <v>1015.5</v>
      </c>
      <c r="AD1997" t="s">
        <v>1266</v>
      </c>
      <c r="AE1997" s="2">
        <f t="shared" si="317"/>
        <v>1</v>
      </c>
      <c r="AF1997" t="s">
        <v>2734</v>
      </c>
      <c r="AG1997" s="2">
        <f t="shared" si="318"/>
        <v>11</v>
      </c>
      <c r="AH1997" s="2">
        <f t="shared" si="319"/>
        <v>0</v>
      </c>
      <c r="AI1997" s="3">
        <v>1694.9999999930151</v>
      </c>
      <c r="AJ1997" s="2">
        <v>1</v>
      </c>
      <c r="AK1997">
        <v>0</v>
      </c>
      <c r="AL1997">
        <v>65</v>
      </c>
      <c r="AM1997">
        <v>0</v>
      </c>
      <c r="AN1997" s="2">
        <f>IF((2*G1997+M1997-O1997+3*V1997+2*AB1997+2*AE1997+2*AH1997+3*AJ1997)&gt;=7,1,0)</f>
        <v>1</v>
      </c>
    </row>
    <row r="1998" spans="1:40" x14ac:dyDescent="0.25">
      <c r="A1998" t="s">
        <v>27</v>
      </c>
      <c r="B1998" s="1">
        <v>42683</v>
      </c>
      <c r="C1998" s="6">
        <f t="shared" si="310"/>
        <v>2016</v>
      </c>
      <c r="D1998">
        <v>80.7</v>
      </c>
      <c r="E1998">
        <v>60.8</v>
      </c>
      <c r="F1998">
        <v>72.5</v>
      </c>
      <c r="G1998" s="2">
        <f t="shared" si="311"/>
        <v>1</v>
      </c>
      <c r="H1998">
        <v>80.900000000000006</v>
      </c>
      <c r="I1998">
        <v>60.8</v>
      </c>
      <c r="J1998">
        <v>72.5</v>
      </c>
      <c r="K1998">
        <v>59.8</v>
      </c>
      <c r="L1998">
        <v>65.900000000000006</v>
      </c>
      <c r="M1998" s="2">
        <f t="shared" si="312"/>
        <v>1</v>
      </c>
      <c r="N1998">
        <v>0</v>
      </c>
      <c r="O1998" s="2">
        <f t="shared" si="313"/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46.1</v>
      </c>
      <c r="V1998" s="2">
        <f t="shared" si="314"/>
        <v>1</v>
      </c>
      <c r="W1998">
        <v>34.4</v>
      </c>
      <c r="X1998" s="2">
        <f t="shared" si="315"/>
        <v>1</v>
      </c>
      <c r="Y1998">
        <v>180.5</v>
      </c>
      <c r="Z1998" s="2" t="str">
        <f>CHOOSE(MATCH(Y1998,{0;11;80;111;161;191;241;281;341},1),"North","NorthEast","East","SouthEast","South","SouthWest","West","NorthWest","North")</f>
        <v>South</v>
      </c>
      <c r="AA1998" s="4">
        <f>CHOOSE(MATCH(Z1998,{"South";"SouthEast";"SouthWest";"North";"NorthEast";"East";"West";"NorthWest"},0),1,2,3,4,5,6,7,8)</f>
        <v>1</v>
      </c>
      <c r="AB1998" s="2">
        <f t="shared" si="316"/>
        <v>0</v>
      </c>
      <c r="AC1998">
        <v>1012.5</v>
      </c>
      <c r="AD1998" t="s">
        <v>1205</v>
      </c>
      <c r="AE1998" s="2">
        <f t="shared" si="317"/>
        <v>1</v>
      </c>
      <c r="AF1998" t="s">
        <v>2735</v>
      </c>
      <c r="AG1998" s="2">
        <f t="shared" si="318"/>
        <v>11</v>
      </c>
      <c r="AH1998" s="2">
        <f t="shared" si="319"/>
        <v>0</v>
      </c>
      <c r="AI1998" s="3">
        <v>210.00000000349249</v>
      </c>
      <c r="AJ1998" s="2">
        <v>0</v>
      </c>
      <c r="AK1998">
        <v>0</v>
      </c>
      <c r="AL1998">
        <v>35</v>
      </c>
      <c r="AM1998">
        <v>0</v>
      </c>
      <c r="AN1998" s="2">
        <f>IF((2*G1998+M1998-O1998+3*V1998+2*AB1998+2*AE1998+2*AH1998+3*AJ1998)&gt;=7,1,0)</f>
        <v>1</v>
      </c>
    </row>
    <row r="1999" spans="1:40" x14ac:dyDescent="0.25">
      <c r="A1999" t="s">
        <v>27</v>
      </c>
      <c r="B1999" s="1">
        <v>42683</v>
      </c>
      <c r="C1999" s="6">
        <f t="shared" si="310"/>
        <v>2016</v>
      </c>
      <c r="D1999">
        <v>80.7</v>
      </c>
      <c r="E1999">
        <v>60.8</v>
      </c>
      <c r="F1999">
        <v>72.5</v>
      </c>
      <c r="G1999" s="2">
        <f t="shared" si="311"/>
        <v>1</v>
      </c>
      <c r="H1999">
        <v>80.900000000000006</v>
      </c>
      <c r="I1999">
        <v>60.8</v>
      </c>
      <c r="J1999">
        <v>72.5</v>
      </c>
      <c r="K1999">
        <v>59.8</v>
      </c>
      <c r="L1999">
        <v>65.900000000000006</v>
      </c>
      <c r="M1999" s="2">
        <f t="shared" si="312"/>
        <v>1</v>
      </c>
      <c r="N1999">
        <v>0</v>
      </c>
      <c r="O1999" s="2">
        <f t="shared" si="313"/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46.1</v>
      </c>
      <c r="V1999" s="2">
        <f t="shared" si="314"/>
        <v>1</v>
      </c>
      <c r="W1999">
        <v>34.4</v>
      </c>
      <c r="X1999" s="2">
        <f t="shared" si="315"/>
        <v>1</v>
      </c>
      <c r="Y1999">
        <v>180.5</v>
      </c>
      <c r="Z1999" s="2" t="str">
        <f>CHOOSE(MATCH(Y1999,{0;11;80;111;161;191;241;281;341},1),"North","NorthEast","East","SouthEast","South","SouthWest","West","NorthWest","North")</f>
        <v>South</v>
      </c>
      <c r="AA1999" s="4">
        <f>CHOOSE(MATCH(Z1999,{"South";"SouthEast";"SouthWest";"North";"NorthEast";"East";"West";"NorthWest"},0),1,2,3,4,5,6,7,8)</f>
        <v>1</v>
      </c>
      <c r="AB1999" s="2">
        <f t="shared" si="316"/>
        <v>0</v>
      </c>
      <c r="AC1999">
        <v>1012.5</v>
      </c>
      <c r="AD1999" t="s">
        <v>1844</v>
      </c>
      <c r="AE1999" s="2">
        <f t="shared" si="317"/>
        <v>1</v>
      </c>
      <c r="AF1999" t="s">
        <v>2736</v>
      </c>
      <c r="AG1999" s="2">
        <f t="shared" si="318"/>
        <v>11</v>
      </c>
      <c r="AH1999" s="2">
        <f t="shared" si="319"/>
        <v>0</v>
      </c>
      <c r="AI1999" s="3">
        <v>235.00000000116421</v>
      </c>
      <c r="AJ1999" s="2">
        <v>0</v>
      </c>
      <c r="AK1999">
        <v>0</v>
      </c>
      <c r="AL1999">
        <v>1</v>
      </c>
      <c r="AM1999">
        <v>0</v>
      </c>
      <c r="AN1999" s="2">
        <f>IF((2*G1999+M1999-O1999+3*V1999+2*AB1999+2*AE1999+2*AH1999+3*AJ1999)&gt;=7,1,0)</f>
        <v>1</v>
      </c>
    </row>
    <row r="2000" spans="1:40" x14ac:dyDescent="0.25">
      <c r="A2000" t="s">
        <v>27</v>
      </c>
      <c r="B2000" s="1">
        <v>42691</v>
      </c>
      <c r="C2000" s="6">
        <f t="shared" si="310"/>
        <v>2016</v>
      </c>
      <c r="D2000">
        <v>62.6</v>
      </c>
      <c r="E2000">
        <v>51.5</v>
      </c>
      <c r="F2000">
        <v>58.7</v>
      </c>
      <c r="G2000" s="2">
        <f t="shared" si="311"/>
        <v>0</v>
      </c>
      <c r="H2000">
        <v>62.6</v>
      </c>
      <c r="I2000">
        <v>51.5</v>
      </c>
      <c r="J2000">
        <v>58.7</v>
      </c>
      <c r="K2000">
        <v>47</v>
      </c>
      <c r="L2000">
        <v>65.400000000000006</v>
      </c>
      <c r="M2000" s="2">
        <f t="shared" si="312"/>
        <v>1</v>
      </c>
      <c r="N2000">
        <v>0</v>
      </c>
      <c r="O2000" s="2">
        <f t="shared" si="313"/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26.2</v>
      </c>
      <c r="V2000" s="2">
        <f t="shared" si="314"/>
        <v>1</v>
      </c>
      <c r="W2000">
        <v>13.9</v>
      </c>
      <c r="X2000" s="2">
        <f t="shared" si="315"/>
        <v>0</v>
      </c>
      <c r="Y2000">
        <v>342.2</v>
      </c>
      <c r="Z2000" s="2" t="str">
        <f>CHOOSE(MATCH(Y2000,{0;11;80;111;161;191;241;281;341},1),"North","NorthEast","East","SouthEast","South","SouthWest","West","NorthWest","North")</f>
        <v>North</v>
      </c>
      <c r="AA2000" s="4">
        <f>CHOOSE(MATCH(Z2000,{"South";"SouthEast";"SouthWest";"North";"NorthEast";"East";"West";"NorthWest"},0),1,2,3,4,5,6,7,8)</f>
        <v>4</v>
      </c>
      <c r="AB2000" s="2">
        <f t="shared" si="316"/>
        <v>1</v>
      </c>
      <c r="AC2000">
        <v>1021.6</v>
      </c>
      <c r="AD2000" t="s">
        <v>2678</v>
      </c>
      <c r="AE2000" s="2">
        <f t="shared" si="317"/>
        <v>1</v>
      </c>
      <c r="AF2000" t="s">
        <v>2737</v>
      </c>
      <c r="AG2000" s="2">
        <f t="shared" si="318"/>
        <v>11</v>
      </c>
      <c r="AH2000" s="2">
        <f t="shared" si="319"/>
        <v>0</v>
      </c>
      <c r="AI2000" s="3">
        <v>92.000000006519258</v>
      </c>
      <c r="AJ2000" s="2">
        <v>0</v>
      </c>
      <c r="AK2000">
        <v>0</v>
      </c>
      <c r="AL2000">
        <v>0.2</v>
      </c>
      <c r="AM2000">
        <v>0</v>
      </c>
      <c r="AN2000" s="2">
        <f>IF((2*G2000+M2000-O2000+3*V2000+2*AB2000+2*AE2000+2*AH2000+3*AJ2000)&gt;=7,1,0)</f>
        <v>1</v>
      </c>
    </row>
    <row r="2001" spans="1:40" x14ac:dyDescent="0.25">
      <c r="A2001" t="s">
        <v>27</v>
      </c>
      <c r="B2001" s="1">
        <v>42694</v>
      </c>
      <c r="C2001" s="6">
        <f t="shared" si="310"/>
        <v>2016</v>
      </c>
      <c r="D2001">
        <v>66.2</v>
      </c>
      <c r="E2001">
        <v>57.2</v>
      </c>
      <c r="F2001">
        <v>60.4</v>
      </c>
      <c r="G2001" s="2">
        <f t="shared" si="311"/>
        <v>0</v>
      </c>
      <c r="H2001">
        <v>66.2</v>
      </c>
      <c r="I2001">
        <v>57.2</v>
      </c>
      <c r="J2001">
        <v>60.4</v>
      </c>
      <c r="K2001">
        <v>54</v>
      </c>
      <c r="L2001">
        <v>79.900000000000006</v>
      </c>
      <c r="M2001" s="2">
        <f t="shared" si="312"/>
        <v>0</v>
      </c>
      <c r="N2001">
        <v>0</v>
      </c>
      <c r="O2001" s="2">
        <f t="shared" si="313"/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17.2</v>
      </c>
      <c r="V2001" s="2">
        <f t="shared" si="314"/>
        <v>1</v>
      </c>
      <c r="W2001">
        <v>7</v>
      </c>
      <c r="X2001" s="2">
        <f t="shared" si="315"/>
        <v>0</v>
      </c>
      <c r="Y2001">
        <v>49.4</v>
      </c>
      <c r="Z2001" s="2" t="str">
        <f>CHOOSE(MATCH(Y2001,{0;11;80;111;161;191;241;281;341},1),"North","NorthEast","East","SouthEast","South","SouthWest","West","NorthWest","North")</f>
        <v>NorthEast</v>
      </c>
      <c r="AA2001" s="4">
        <f>CHOOSE(MATCH(Z2001,{"South";"SouthEast";"SouthWest";"North";"NorthEast";"East";"West";"NorthWest"},0),1,2,3,4,5,6,7,8)</f>
        <v>5</v>
      </c>
      <c r="AB2001" s="2">
        <f t="shared" si="316"/>
        <v>1</v>
      </c>
      <c r="AC2001">
        <v>1019.5</v>
      </c>
      <c r="AD2001" t="s">
        <v>1844</v>
      </c>
      <c r="AE2001" s="2">
        <f t="shared" si="317"/>
        <v>1</v>
      </c>
      <c r="AF2001" t="s">
        <v>2738</v>
      </c>
      <c r="AG2001" s="2">
        <f t="shared" si="318"/>
        <v>11</v>
      </c>
      <c r="AH2001" s="2">
        <f t="shared" si="319"/>
        <v>0</v>
      </c>
      <c r="AI2001" s="3">
        <v>419.99999999650748</v>
      </c>
      <c r="AJ2001" s="2">
        <v>1</v>
      </c>
      <c r="AK2001">
        <v>2</v>
      </c>
      <c r="AL2001">
        <v>0</v>
      </c>
      <c r="AM2001">
        <v>0</v>
      </c>
      <c r="AN2001" s="2">
        <f>IF((2*G2001+M2001-O2001+3*V2001+2*AB2001+2*AE2001+2*AH2001+3*AJ2001)&gt;=7,1,0)</f>
        <v>1</v>
      </c>
    </row>
    <row r="2002" spans="1:40" x14ac:dyDescent="0.25">
      <c r="A2002" t="s">
        <v>27</v>
      </c>
      <c r="B2002" s="1">
        <v>42700</v>
      </c>
      <c r="C2002" s="6">
        <f t="shared" si="310"/>
        <v>2016</v>
      </c>
      <c r="D2002">
        <v>66.2</v>
      </c>
      <c r="E2002">
        <v>51.8</v>
      </c>
      <c r="F2002">
        <v>59.2</v>
      </c>
      <c r="G2002" s="2">
        <f t="shared" si="311"/>
        <v>0</v>
      </c>
      <c r="H2002">
        <v>66.2</v>
      </c>
      <c r="I2002">
        <v>51.8</v>
      </c>
      <c r="J2002">
        <v>59.2</v>
      </c>
      <c r="K2002">
        <v>53.1</v>
      </c>
      <c r="L2002">
        <v>80.599999999999994</v>
      </c>
      <c r="M2002" s="2">
        <f t="shared" si="312"/>
        <v>0</v>
      </c>
      <c r="N2002">
        <v>0</v>
      </c>
      <c r="O2002" s="2">
        <f t="shared" si="313"/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9.1999999999999993</v>
      </c>
      <c r="V2002" s="2">
        <f t="shared" si="314"/>
        <v>1</v>
      </c>
      <c r="W2002">
        <v>11.3</v>
      </c>
      <c r="X2002" s="2">
        <f t="shared" si="315"/>
        <v>0</v>
      </c>
      <c r="Y2002">
        <v>143.4</v>
      </c>
      <c r="Z2002" s="2" t="str">
        <f>CHOOSE(MATCH(Y2002,{0;11;80;111;161;191;241;281;341},1),"North","NorthEast","East","SouthEast","South","SouthWest","West","NorthWest","North")</f>
        <v>SouthEast</v>
      </c>
      <c r="AA2002" s="4">
        <f>CHOOSE(MATCH(Z2002,{"South";"SouthEast";"SouthWest";"North";"NorthEast";"East";"West";"NorthWest"},0),1,2,3,4,5,6,7,8)</f>
        <v>2</v>
      </c>
      <c r="AB2002" s="2">
        <f t="shared" si="316"/>
        <v>0</v>
      </c>
      <c r="AC2002">
        <v>1018.4</v>
      </c>
      <c r="AD2002" t="s">
        <v>2397</v>
      </c>
      <c r="AE2002" s="2">
        <f t="shared" si="317"/>
        <v>1</v>
      </c>
      <c r="AF2002" t="s">
        <v>2739</v>
      </c>
      <c r="AG2002" s="2">
        <f t="shared" si="318"/>
        <v>11</v>
      </c>
      <c r="AH2002" s="2">
        <f t="shared" si="319"/>
        <v>0</v>
      </c>
      <c r="AI2002" s="3">
        <v>54.999999990686767</v>
      </c>
      <c r="AJ2002" s="2">
        <v>0</v>
      </c>
      <c r="AK2002">
        <v>0</v>
      </c>
      <c r="AL2002">
        <v>0.1</v>
      </c>
      <c r="AM2002">
        <v>0</v>
      </c>
      <c r="AN2002" s="2">
        <f>IF((2*G2002+M2002-O2002+3*V2002+2*AB2002+2*AE2002+2*AH2002+3*AJ2002)&gt;=7,1,0)</f>
        <v>0</v>
      </c>
    </row>
    <row r="2003" spans="1:40" x14ac:dyDescent="0.25">
      <c r="A2003" t="s">
        <v>27</v>
      </c>
      <c r="B2003" s="1">
        <v>42700</v>
      </c>
      <c r="C2003" s="6">
        <f t="shared" si="310"/>
        <v>2016</v>
      </c>
      <c r="D2003">
        <v>66.2</v>
      </c>
      <c r="E2003">
        <v>51.8</v>
      </c>
      <c r="F2003">
        <v>59.2</v>
      </c>
      <c r="G2003" s="2">
        <f t="shared" si="311"/>
        <v>0</v>
      </c>
      <c r="H2003">
        <v>66.2</v>
      </c>
      <c r="I2003">
        <v>51.8</v>
      </c>
      <c r="J2003">
        <v>59.2</v>
      </c>
      <c r="K2003">
        <v>53.1</v>
      </c>
      <c r="L2003">
        <v>80.599999999999994</v>
      </c>
      <c r="M2003" s="2">
        <f t="shared" si="312"/>
        <v>0</v>
      </c>
      <c r="N2003">
        <v>0</v>
      </c>
      <c r="O2003" s="2">
        <f t="shared" si="313"/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9.1999999999999993</v>
      </c>
      <c r="V2003" s="2">
        <f t="shared" si="314"/>
        <v>1</v>
      </c>
      <c r="W2003">
        <v>11.3</v>
      </c>
      <c r="X2003" s="2">
        <f t="shared" si="315"/>
        <v>0</v>
      </c>
      <c r="Y2003">
        <v>143.4</v>
      </c>
      <c r="Z2003" s="2" t="str">
        <f>CHOOSE(MATCH(Y2003,{0;11;80;111;161;191;241;281;341},1),"North","NorthEast","East","SouthEast","South","SouthWest","West","NorthWest","North")</f>
        <v>SouthEast</v>
      </c>
      <c r="AA2003" s="4">
        <f>CHOOSE(MATCH(Z2003,{"South";"SouthEast";"SouthWest";"North";"NorthEast";"East";"West";"NorthWest"},0),1,2,3,4,5,6,7,8)</f>
        <v>2</v>
      </c>
      <c r="AB2003" s="2">
        <f t="shared" si="316"/>
        <v>0</v>
      </c>
      <c r="AC2003">
        <v>1018.4</v>
      </c>
      <c r="AD2003" t="s">
        <v>1230</v>
      </c>
      <c r="AE2003" s="2">
        <f t="shared" si="317"/>
        <v>1</v>
      </c>
      <c r="AF2003" t="s">
        <v>2740</v>
      </c>
      <c r="AG2003" s="2">
        <f t="shared" si="318"/>
        <v>11</v>
      </c>
      <c r="AH2003" s="2">
        <f t="shared" si="319"/>
        <v>0</v>
      </c>
      <c r="AI2003" s="3">
        <v>65.000000002328306</v>
      </c>
      <c r="AJ2003" s="2">
        <v>0</v>
      </c>
      <c r="AK2003">
        <v>0</v>
      </c>
      <c r="AL2003">
        <v>0.02</v>
      </c>
      <c r="AM2003">
        <v>0</v>
      </c>
      <c r="AN2003" s="2">
        <f>IF((2*G2003+M2003-O2003+3*V2003+2*AB2003+2*AE2003+2*AH2003+3*AJ2003)&gt;=7,1,0)</f>
        <v>0</v>
      </c>
    </row>
    <row r="2004" spans="1:40" x14ac:dyDescent="0.25">
      <c r="A2004" t="s">
        <v>27</v>
      </c>
      <c r="B2004" s="1">
        <v>42702</v>
      </c>
      <c r="C2004" s="6">
        <f t="shared" si="310"/>
        <v>2016</v>
      </c>
      <c r="D2004">
        <v>73.400000000000006</v>
      </c>
      <c r="E2004">
        <v>64.400000000000006</v>
      </c>
      <c r="F2004">
        <v>67.3</v>
      </c>
      <c r="G2004" s="2">
        <f t="shared" si="311"/>
        <v>0</v>
      </c>
      <c r="H2004">
        <v>73.400000000000006</v>
      </c>
      <c r="I2004">
        <v>64.400000000000006</v>
      </c>
      <c r="J2004">
        <v>67.3</v>
      </c>
      <c r="K2004">
        <v>53.5</v>
      </c>
      <c r="L2004">
        <v>61.8</v>
      </c>
      <c r="M2004" s="2">
        <f t="shared" si="312"/>
        <v>1</v>
      </c>
      <c r="N2004">
        <v>0</v>
      </c>
      <c r="O2004" s="2">
        <f t="shared" si="313"/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37.9</v>
      </c>
      <c r="V2004" s="2">
        <f t="shared" si="314"/>
        <v>1</v>
      </c>
      <c r="W2004">
        <v>26.4</v>
      </c>
      <c r="X2004" s="2">
        <f t="shared" si="315"/>
        <v>1</v>
      </c>
      <c r="Y2004">
        <v>179.4</v>
      </c>
      <c r="Z2004" s="2" t="str">
        <f>CHOOSE(MATCH(Y2004,{0;11;80;111;161;191;241;281;341},1),"North","NorthEast","East","SouthEast","South","SouthWest","West","NorthWest","North")</f>
        <v>South</v>
      </c>
      <c r="AA2004" s="4">
        <f>CHOOSE(MATCH(Z2004,{"South";"SouthEast";"SouthWest";"North";"NorthEast";"East";"West";"NorthWest"},0),1,2,3,4,5,6,7,8)</f>
        <v>1</v>
      </c>
      <c r="AB2004" s="2">
        <f t="shared" si="316"/>
        <v>0</v>
      </c>
      <c r="AC2004">
        <v>1010.4</v>
      </c>
      <c r="AD2004" t="s">
        <v>1748</v>
      </c>
      <c r="AE2004" s="2">
        <f t="shared" si="317"/>
        <v>1</v>
      </c>
      <c r="AF2004" t="s">
        <v>2741</v>
      </c>
      <c r="AG2004" s="2">
        <f t="shared" si="318"/>
        <v>11</v>
      </c>
      <c r="AH2004" s="2">
        <f t="shared" si="319"/>
        <v>0</v>
      </c>
      <c r="AI2004" s="3">
        <v>959.99999999650754</v>
      </c>
      <c r="AJ2004" s="2">
        <v>1</v>
      </c>
      <c r="AK2004">
        <v>0</v>
      </c>
      <c r="AL2004">
        <v>30</v>
      </c>
      <c r="AM2004">
        <v>0</v>
      </c>
      <c r="AN2004" s="2">
        <f>IF((2*G2004+M2004-O2004+3*V2004+2*AB2004+2*AE2004+2*AH2004+3*AJ2004)&gt;=7,1,0)</f>
        <v>1</v>
      </c>
    </row>
    <row r="2005" spans="1:40" x14ac:dyDescent="0.25">
      <c r="A2005" t="s">
        <v>27</v>
      </c>
      <c r="B2005" s="1">
        <v>42714</v>
      </c>
      <c r="C2005" s="6">
        <f t="shared" si="310"/>
        <v>2016</v>
      </c>
      <c r="D2005">
        <v>60.8</v>
      </c>
      <c r="E2005">
        <v>44.6</v>
      </c>
      <c r="F2005">
        <v>51.7</v>
      </c>
      <c r="G2005" s="2">
        <f t="shared" si="311"/>
        <v>0</v>
      </c>
      <c r="H2005">
        <v>60.8</v>
      </c>
      <c r="I2005">
        <v>38.799999999999997</v>
      </c>
      <c r="J2005">
        <v>49.9</v>
      </c>
      <c r="K2005">
        <v>45.1</v>
      </c>
      <c r="L2005">
        <v>78.7</v>
      </c>
      <c r="M2005" s="2">
        <f t="shared" si="312"/>
        <v>0</v>
      </c>
      <c r="N2005">
        <v>0</v>
      </c>
      <c r="O2005" s="2">
        <f t="shared" si="313"/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16.100000000000001</v>
      </c>
      <c r="V2005" s="2">
        <f t="shared" si="314"/>
        <v>1</v>
      </c>
      <c r="W2005">
        <v>11.3</v>
      </c>
      <c r="X2005" s="2">
        <f t="shared" si="315"/>
        <v>0</v>
      </c>
      <c r="Y2005">
        <v>173.9</v>
      </c>
      <c r="Z2005" s="2" t="str">
        <f>CHOOSE(MATCH(Y2005,{0;11;80;111;161;191;241;281;341},1),"North","NorthEast","East","SouthEast","South","SouthWest","West","NorthWest","North")</f>
        <v>South</v>
      </c>
      <c r="AA2005" s="4">
        <f>CHOOSE(MATCH(Z2005,{"South";"SouthEast";"SouthWest";"North";"NorthEast";"East";"West";"NorthWest"},0),1,2,3,4,5,6,7,8)</f>
        <v>1</v>
      </c>
      <c r="AB2005" s="2">
        <f t="shared" si="316"/>
        <v>0</v>
      </c>
      <c r="AC2005">
        <v>1023.8</v>
      </c>
      <c r="AD2005" t="s">
        <v>2742</v>
      </c>
      <c r="AE2005" s="2">
        <f t="shared" si="317"/>
        <v>0</v>
      </c>
      <c r="AF2005" t="s">
        <v>2743</v>
      </c>
      <c r="AG2005" s="2">
        <f t="shared" si="318"/>
        <v>12</v>
      </c>
      <c r="AH2005" s="2">
        <f t="shared" si="319"/>
        <v>0</v>
      </c>
      <c r="AI2005" s="3">
        <v>436.99999999953428</v>
      </c>
      <c r="AJ2005" s="2">
        <v>1</v>
      </c>
      <c r="AK2005">
        <v>2</v>
      </c>
      <c r="AL2005">
        <v>0</v>
      </c>
      <c r="AM2005">
        <v>0</v>
      </c>
      <c r="AN2005" s="2">
        <f>IF((2*G2005+M2005-O2005+3*V2005+2*AB2005+2*AE2005+2*AH2005+3*AJ2005)&gt;=7,1,0)</f>
        <v>0</v>
      </c>
    </row>
    <row r="2006" spans="1:40" x14ac:dyDescent="0.25">
      <c r="A2006" t="s">
        <v>27</v>
      </c>
      <c r="B2006" s="1">
        <v>42717</v>
      </c>
      <c r="C2006" s="6">
        <f t="shared" si="310"/>
        <v>2016</v>
      </c>
      <c r="D2006">
        <v>59</v>
      </c>
      <c r="E2006">
        <v>51.8</v>
      </c>
      <c r="F2006">
        <v>55.9</v>
      </c>
      <c r="G2006" s="2">
        <f t="shared" si="311"/>
        <v>0</v>
      </c>
      <c r="H2006">
        <v>59</v>
      </c>
      <c r="I2006">
        <v>51.8</v>
      </c>
      <c r="J2006">
        <v>55.9</v>
      </c>
      <c r="K2006">
        <v>48.1</v>
      </c>
      <c r="L2006">
        <v>75.5</v>
      </c>
      <c r="M2006" s="2">
        <f t="shared" si="312"/>
        <v>0</v>
      </c>
      <c r="N2006">
        <v>0.41499999999999998</v>
      </c>
      <c r="O2006" s="2">
        <f t="shared" si="313"/>
        <v>0</v>
      </c>
      <c r="P2006">
        <v>100</v>
      </c>
      <c r="Q2006">
        <v>12.5</v>
      </c>
      <c r="R2006" t="s">
        <v>182</v>
      </c>
      <c r="S2006">
        <v>0</v>
      </c>
      <c r="T2006">
        <v>0</v>
      </c>
      <c r="U2006">
        <v>38.700000000000003</v>
      </c>
      <c r="V2006" s="2">
        <f t="shared" si="314"/>
        <v>1</v>
      </c>
      <c r="W2006">
        <v>28.9</v>
      </c>
      <c r="X2006" s="2">
        <f t="shared" si="315"/>
        <v>1</v>
      </c>
      <c r="Y2006">
        <v>338</v>
      </c>
      <c r="Z2006" s="2" t="str">
        <f>CHOOSE(MATCH(Y2006,{0;11;80;111;161;191;241;281;341},1),"North","NorthEast","East","SouthEast","South","SouthWest","West","NorthWest","North")</f>
        <v>NorthWest</v>
      </c>
      <c r="AA2006" s="4">
        <f>CHOOSE(MATCH(Z2006,{"South";"SouthEast";"SouthWest";"North";"NorthEast";"East";"West";"NorthWest"},0),1,2,3,4,5,6,7,8)</f>
        <v>8</v>
      </c>
      <c r="AB2006" s="2">
        <f t="shared" si="316"/>
        <v>1</v>
      </c>
      <c r="AC2006">
        <v>1014.2</v>
      </c>
      <c r="AD2006" t="s">
        <v>1109</v>
      </c>
      <c r="AE2006" s="2">
        <f t="shared" si="317"/>
        <v>1</v>
      </c>
      <c r="AF2006" t="s">
        <v>2744</v>
      </c>
      <c r="AG2006" s="2">
        <f t="shared" si="318"/>
        <v>12</v>
      </c>
      <c r="AH2006" s="2">
        <f t="shared" si="319"/>
        <v>0</v>
      </c>
      <c r="AI2006" s="3">
        <v>180</v>
      </c>
      <c r="AJ2006" s="2">
        <v>0</v>
      </c>
      <c r="AK2006">
        <v>0</v>
      </c>
      <c r="AL2006">
        <v>5</v>
      </c>
      <c r="AM2006">
        <v>0</v>
      </c>
      <c r="AN2006" s="2">
        <f>IF((2*G2006+M2006-O2006+3*V2006+2*AB2006+2*AE2006+2*AH2006+3*AJ2006)&gt;=7,1,0)</f>
        <v>1</v>
      </c>
    </row>
    <row r="2007" spans="1:40" x14ac:dyDescent="0.25">
      <c r="A2007" t="s">
        <v>27</v>
      </c>
      <c r="B2007" s="1">
        <v>42720</v>
      </c>
      <c r="C2007" s="6">
        <f t="shared" si="310"/>
        <v>2016</v>
      </c>
      <c r="D2007">
        <v>53.6</v>
      </c>
      <c r="E2007">
        <v>45.4</v>
      </c>
      <c r="F2007">
        <v>51.2</v>
      </c>
      <c r="G2007" s="2">
        <f t="shared" si="311"/>
        <v>0</v>
      </c>
      <c r="H2007">
        <v>53.6</v>
      </c>
      <c r="I2007">
        <v>43.7</v>
      </c>
      <c r="J2007">
        <v>50.7</v>
      </c>
      <c r="K2007">
        <v>42.2</v>
      </c>
      <c r="L2007">
        <v>72</v>
      </c>
      <c r="M2007" s="2">
        <f t="shared" si="312"/>
        <v>0</v>
      </c>
      <c r="N2007">
        <v>2E-3</v>
      </c>
      <c r="O2007" s="2">
        <f t="shared" si="313"/>
        <v>1</v>
      </c>
      <c r="P2007">
        <v>100</v>
      </c>
      <c r="Q2007">
        <v>4.17</v>
      </c>
      <c r="R2007" t="s">
        <v>182</v>
      </c>
      <c r="S2007">
        <v>0</v>
      </c>
      <c r="T2007">
        <v>0</v>
      </c>
      <c r="U2007">
        <v>24.4</v>
      </c>
      <c r="V2007" s="2">
        <f t="shared" si="314"/>
        <v>1</v>
      </c>
      <c r="W2007">
        <v>21.9</v>
      </c>
      <c r="X2007" s="2">
        <f t="shared" si="315"/>
        <v>1</v>
      </c>
      <c r="Y2007">
        <v>11.2</v>
      </c>
      <c r="Z2007" s="2" t="str">
        <f>CHOOSE(MATCH(Y2007,{0;11;80;111;161;191;241;281;341},1),"North","NorthEast","East","SouthEast","South","SouthWest","West","NorthWest","North")</f>
        <v>NorthEast</v>
      </c>
      <c r="AA2007" s="4">
        <f>CHOOSE(MATCH(Z2007,{"South";"SouthEast";"SouthWest";"North";"NorthEast";"East";"West";"NorthWest"},0),1,2,3,4,5,6,7,8)</f>
        <v>5</v>
      </c>
      <c r="AB2007" s="2">
        <f t="shared" si="316"/>
        <v>1</v>
      </c>
      <c r="AC2007">
        <v>1023.3</v>
      </c>
      <c r="AD2007" t="s">
        <v>1191</v>
      </c>
      <c r="AE2007" s="2">
        <f t="shared" si="317"/>
        <v>0</v>
      </c>
      <c r="AF2007" t="s">
        <v>2745</v>
      </c>
      <c r="AG2007" s="2">
        <f t="shared" si="318"/>
        <v>12</v>
      </c>
      <c r="AH2007" s="2">
        <f t="shared" si="319"/>
        <v>0</v>
      </c>
      <c r="AI2007" s="3">
        <v>349.99999999883579</v>
      </c>
      <c r="AJ2007" s="2">
        <v>0</v>
      </c>
      <c r="AK2007">
        <v>0</v>
      </c>
      <c r="AL2007">
        <v>30</v>
      </c>
      <c r="AM2007">
        <v>0</v>
      </c>
      <c r="AN2007" s="2">
        <f>IF((2*G2007+M2007-O2007+3*V2007+2*AB2007+2*AE2007+2*AH2007+3*AJ2007)&gt;=7,1,0)</f>
        <v>0</v>
      </c>
    </row>
    <row r="2008" spans="1:40" x14ac:dyDescent="0.25">
      <c r="A2008" t="s">
        <v>27</v>
      </c>
      <c r="B2008" s="1">
        <v>42725</v>
      </c>
      <c r="C2008" s="6">
        <f t="shared" si="310"/>
        <v>2016</v>
      </c>
      <c r="D2008">
        <v>53.6</v>
      </c>
      <c r="E2008">
        <v>48.2</v>
      </c>
      <c r="F2008">
        <v>51.3</v>
      </c>
      <c r="G2008" s="2">
        <f t="shared" si="311"/>
        <v>0</v>
      </c>
      <c r="H2008">
        <v>53.6</v>
      </c>
      <c r="I2008">
        <v>39.799999999999997</v>
      </c>
      <c r="J2008">
        <v>49.2</v>
      </c>
      <c r="K2008">
        <v>41.5</v>
      </c>
      <c r="L2008">
        <v>69.900000000000006</v>
      </c>
      <c r="M2008" s="2">
        <f t="shared" si="312"/>
        <v>0</v>
      </c>
      <c r="N2008">
        <v>1E-3</v>
      </c>
      <c r="O2008" s="2">
        <f t="shared" si="313"/>
        <v>1</v>
      </c>
      <c r="P2008">
        <v>100</v>
      </c>
      <c r="Q2008">
        <v>4.17</v>
      </c>
      <c r="R2008" t="s">
        <v>182</v>
      </c>
      <c r="S2008">
        <v>0</v>
      </c>
      <c r="T2008">
        <v>0</v>
      </c>
      <c r="U2008">
        <v>39.1</v>
      </c>
      <c r="V2008" s="2">
        <f t="shared" si="314"/>
        <v>1</v>
      </c>
      <c r="W2008">
        <v>34.299999999999997</v>
      </c>
      <c r="X2008" s="2">
        <f t="shared" si="315"/>
        <v>1</v>
      </c>
      <c r="Y2008">
        <v>1</v>
      </c>
      <c r="Z2008" s="2" t="str">
        <f>CHOOSE(MATCH(Y2008,{0;11;80;111;161;191;241;281;341},1),"North","NorthEast","East","SouthEast","South","SouthWest","West","NorthWest","North")</f>
        <v>North</v>
      </c>
      <c r="AA2008" s="4">
        <f>CHOOSE(MATCH(Z2008,{"South";"SouthEast";"SouthWest";"North";"NorthEast";"East";"West";"NorthWest"},0),1,2,3,4,5,6,7,8)</f>
        <v>4</v>
      </c>
      <c r="AB2008" s="2">
        <f t="shared" si="316"/>
        <v>1</v>
      </c>
      <c r="AC2008">
        <v>1021.5</v>
      </c>
      <c r="AD2008" t="s">
        <v>1171</v>
      </c>
      <c r="AE2008" s="2">
        <f t="shared" si="317"/>
        <v>0</v>
      </c>
      <c r="AF2008" t="s">
        <v>2746</v>
      </c>
      <c r="AG2008" s="2">
        <f t="shared" si="318"/>
        <v>12</v>
      </c>
      <c r="AH2008" s="2">
        <f t="shared" si="319"/>
        <v>0</v>
      </c>
      <c r="AI2008" s="3">
        <v>25.000000008149069</v>
      </c>
      <c r="AJ2008" s="2">
        <v>0</v>
      </c>
      <c r="AK2008">
        <v>0.1</v>
      </c>
      <c r="AL2008">
        <v>0</v>
      </c>
      <c r="AM2008">
        <v>0</v>
      </c>
      <c r="AN2008" s="2">
        <f>IF((2*G2008+M2008-O2008+3*V2008+2*AB2008+2*AE2008+2*AH2008+3*AJ2008)&gt;=7,1,0)</f>
        <v>0</v>
      </c>
    </row>
    <row r="2009" spans="1:40" x14ac:dyDescent="0.25">
      <c r="A2009" t="s">
        <v>27</v>
      </c>
      <c r="B2009" s="1">
        <v>42726</v>
      </c>
      <c r="C2009" s="6">
        <f t="shared" si="310"/>
        <v>2016</v>
      </c>
      <c r="D2009">
        <v>50</v>
      </c>
      <c r="E2009">
        <v>46.1</v>
      </c>
      <c r="F2009">
        <v>48.7</v>
      </c>
      <c r="G2009" s="2">
        <f t="shared" si="311"/>
        <v>0</v>
      </c>
      <c r="H2009">
        <v>50</v>
      </c>
      <c r="I2009">
        <v>36.799999999999997</v>
      </c>
      <c r="J2009">
        <v>43.3</v>
      </c>
      <c r="K2009">
        <v>40.1</v>
      </c>
      <c r="L2009">
        <v>72.099999999999994</v>
      </c>
      <c r="M2009" s="2">
        <f t="shared" si="312"/>
        <v>0</v>
      </c>
      <c r="N2009">
        <v>0.183</v>
      </c>
      <c r="O2009" s="2">
        <f t="shared" si="313"/>
        <v>0</v>
      </c>
      <c r="P2009">
        <v>100</v>
      </c>
      <c r="Q2009">
        <v>16.670000000000002</v>
      </c>
      <c r="R2009" t="s">
        <v>182</v>
      </c>
      <c r="S2009">
        <v>0</v>
      </c>
      <c r="T2009">
        <v>0</v>
      </c>
      <c r="U2009">
        <v>43.8</v>
      </c>
      <c r="V2009" s="2">
        <f t="shared" si="314"/>
        <v>1</v>
      </c>
      <c r="W2009">
        <v>33.299999999999997</v>
      </c>
      <c r="X2009" s="2">
        <f t="shared" si="315"/>
        <v>1</v>
      </c>
      <c r="Y2009">
        <v>341.2</v>
      </c>
      <c r="Z2009" s="2" t="str">
        <f>CHOOSE(MATCH(Y2009,{0;11;80;111;161;191;241;281;341},1),"North","NorthEast","East","SouthEast","South","SouthWest","West","NorthWest","North")</f>
        <v>North</v>
      </c>
      <c r="AA2009" s="4">
        <f>CHOOSE(MATCH(Z2009,{"South";"SouthEast";"SouthWest";"North";"NorthEast";"East";"West";"NorthWest"},0),1,2,3,4,5,6,7,8)</f>
        <v>4</v>
      </c>
      <c r="AB2009" s="2">
        <f t="shared" si="316"/>
        <v>1</v>
      </c>
      <c r="AC2009">
        <v>1018.8</v>
      </c>
      <c r="AD2009" t="s">
        <v>2336</v>
      </c>
      <c r="AE2009" s="2">
        <f t="shared" si="317"/>
        <v>1</v>
      </c>
      <c r="AF2009" t="s">
        <v>2747</v>
      </c>
      <c r="AG2009" s="2">
        <f t="shared" si="318"/>
        <v>12</v>
      </c>
      <c r="AH2009" s="2">
        <f t="shared" si="319"/>
        <v>0</v>
      </c>
      <c r="AI2009" s="3">
        <v>43.000000003958121</v>
      </c>
      <c r="AJ2009" s="2">
        <v>0</v>
      </c>
      <c r="AK2009">
        <v>0</v>
      </c>
      <c r="AL2009">
        <v>0.5</v>
      </c>
      <c r="AM2009">
        <v>0</v>
      </c>
      <c r="AN2009" s="2">
        <f>IF((2*G2009+M2009-O2009+3*V2009+2*AB2009+2*AE2009+2*AH2009+3*AJ2009)&gt;=7,1,0)</f>
        <v>1</v>
      </c>
    </row>
    <row r="2010" spans="1:40" x14ac:dyDescent="0.25">
      <c r="A2010" t="s">
        <v>27</v>
      </c>
      <c r="B2010" s="1">
        <v>42734</v>
      </c>
      <c r="C2010" s="6">
        <f t="shared" si="310"/>
        <v>2016</v>
      </c>
      <c r="D2010">
        <v>48.2</v>
      </c>
      <c r="E2010">
        <v>44.5</v>
      </c>
      <c r="F2010">
        <v>45.6</v>
      </c>
      <c r="G2010" s="2">
        <f t="shared" si="311"/>
        <v>0</v>
      </c>
      <c r="H2010">
        <v>41.5</v>
      </c>
      <c r="I2010">
        <v>35.299999999999997</v>
      </c>
      <c r="J2010">
        <v>37.4</v>
      </c>
      <c r="K2010">
        <v>37.700000000000003</v>
      </c>
      <c r="L2010">
        <v>74</v>
      </c>
      <c r="M2010" s="2">
        <f t="shared" si="312"/>
        <v>0</v>
      </c>
      <c r="N2010">
        <v>1.101</v>
      </c>
      <c r="O2010" s="2">
        <f t="shared" si="313"/>
        <v>0</v>
      </c>
      <c r="P2010">
        <v>100</v>
      </c>
      <c r="Q2010">
        <v>12.5</v>
      </c>
      <c r="R2010" t="s">
        <v>182</v>
      </c>
      <c r="S2010">
        <v>0</v>
      </c>
      <c r="T2010">
        <v>0</v>
      </c>
      <c r="U2010">
        <v>42.5</v>
      </c>
      <c r="V2010" s="2">
        <f t="shared" si="314"/>
        <v>1</v>
      </c>
      <c r="W2010">
        <v>28.9</v>
      </c>
      <c r="X2010" s="2">
        <f t="shared" si="315"/>
        <v>1</v>
      </c>
      <c r="Y2010">
        <v>348.9</v>
      </c>
      <c r="Z2010" s="2" t="str">
        <f>CHOOSE(MATCH(Y2010,{0;11;80;111;161;191;241;281;341},1),"North","NorthEast","East","SouthEast","South","SouthWest","West","NorthWest","North")</f>
        <v>North</v>
      </c>
      <c r="AA2010" s="4">
        <f>CHOOSE(MATCH(Z2010,{"South";"SouthEast";"SouthWest";"North";"NorthEast";"East";"West";"NorthWest"},0),1,2,3,4,5,6,7,8)</f>
        <v>4</v>
      </c>
      <c r="AB2010" s="2">
        <f t="shared" si="316"/>
        <v>1</v>
      </c>
      <c r="AC2010">
        <v>1018.7</v>
      </c>
      <c r="AD2010" t="s">
        <v>2748</v>
      </c>
      <c r="AE2010" s="2">
        <f t="shared" si="317"/>
        <v>1</v>
      </c>
      <c r="AF2010" t="s">
        <v>2749</v>
      </c>
      <c r="AG2010" s="2">
        <f t="shared" si="318"/>
        <v>12</v>
      </c>
      <c r="AH2010" s="2">
        <f t="shared" si="319"/>
        <v>0</v>
      </c>
      <c r="AI2010" s="3">
        <v>40.000000004656613</v>
      </c>
      <c r="AJ2010" s="2">
        <v>0</v>
      </c>
      <c r="AK2010">
        <v>0</v>
      </c>
      <c r="AL2010">
        <v>2</v>
      </c>
      <c r="AM2010">
        <v>0</v>
      </c>
      <c r="AN2010" s="2">
        <f>IF((2*G2010+M2010-O2010+3*V2010+2*AB2010+2*AE2010+2*AH2010+3*AJ2010)&gt;=7,1,0)</f>
        <v>1</v>
      </c>
    </row>
    <row r="2011" spans="1:40" x14ac:dyDescent="0.25">
      <c r="A2011" t="s">
        <v>27</v>
      </c>
      <c r="B2011" s="1">
        <v>42737</v>
      </c>
      <c r="C2011" s="6">
        <f t="shared" si="310"/>
        <v>2017</v>
      </c>
      <c r="D2011">
        <v>55.4</v>
      </c>
      <c r="E2011">
        <v>41</v>
      </c>
      <c r="F2011">
        <v>49.1</v>
      </c>
      <c r="G2011" s="2">
        <f t="shared" si="311"/>
        <v>0</v>
      </c>
      <c r="H2011">
        <v>55.4</v>
      </c>
      <c r="I2011">
        <v>34.799999999999997</v>
      </c>
      <c r="J2011">
        <v>47.3</v>
      </c>
      <c r="K2011">
        <v>39.700000000000003</v>
      </c>
      <c r="L2011">
        <v>70.8</v>
      </c>
      <c r="M2011" s="2">
        <f t="shared" si="312"/>
        <v>0</v>
      </c>
      <c r="N2011">
        <v>0.14000000000000001</v>
      </c>
      <c r="O2011" s="2">
        <f t="shared" si="313"/>
        <v>0</v>
      </c>
      <c r="P2011">
        <v>100</v>
      </c>
      <c r="Q2011">
        <v>4.17</v>
      </c>
      <c r="R2011" t="s">
        <v>182</v>
      </c>
      <c r="S2011">
        <v>0</v>
      </c>
      <c r="T2011">
        <v>0</v>
      </c>
      <c r="U2011">
        <v>22.1</v>
      </c>
      <c r="V2011" s="2">
        <f t="shared" si="314"/>
        <v>1</v>
      </c>
      <c r="W2011">
        <v>10.3</v>
      </c>
      <c r="X2011" s="2">
        <f t="shared" si="315"/>
        <v>0</v>
      </c>
      <c r="Y2011">
        <v>208.9</v>
      </c>
      <c r="Z2011" s="2" t="str">
        <f>CHOOSE(MATCH(Y2011,{0;11;80;111;161;191;241;281;341},1),"North","NorthEast","East","SouthEast","South","SouthWest","West","NorthWest","North")</f>
        <v>SouthWest</v>
      </c>
      <c r="AA2011" s="4">
        <f>CHOOSE(MATCH(Z2011,{"South";"SouthEast";"SouthWest";"North";"NorthEast";"East";"West";"NorthWest"},0),1,2,3,4,5,6,7,8)</f>
        <v>3</v>
      </c>
      <c r="AB2011" s="2">
        <f t="shared" si="316"/>
        <v>0</v>
      </c>
      <c r="AC2011">
        <v>1021.8</v>
      </c>
      <c r="AD2011" t="s">
        <v>1113</v>
      </c>
      <c r="AE2011" s="2">
        <f t="shared" si="317"/>
        <v>1</v>
      </c>
      <c r="AF2011" t="s">
        <v>2750</v>
      </c>
      <c r="AG2011" s="2">
        <f t="shared" si="318"/>
        <v>1</v>
      </c>
      <c r="AH2011" s="2">
        <f t="shared" si="319"/>
        <v>0</v>
      </c>
      <c r="AI2011" s="3">
        <v>126.9999999948777</v>
      </c>
      <c r="AJ2011" s="2">
        <v>0</v>
      </c>
      <c r="AK2011">
        <v>0</v>
      </c>
      <c r="AL2011">
        <v>3</v>
      </c>
      <c r="AM2011">
        <v>0</v>
      </c>
      <c r="AN2011" s="2">
        <f>IF((2*G2011+M2011-O2011+3*V2011+2*AB2011+2*AE2011+2*AH2011+3*AJ2011)&gt;=7,1,0)</f>
        <v>0</v>
      </c>
    </row>
    <row r="2012" spans="1:40" x14ac:dyDescent="0.25">
      <c r="A2012" t="s">
        <v>27</v>
      </c>
      <c r="B2012" s="1">
        <v>42771</v>
      </c>
      <c r="C2012" s="6">
        <f t="shared" si="310"/>
        <v>2017</v>
      </c>
      <c r="D2012">
        <v>66.2</v>
      </c>
      <c r="E2012">
        <v>48.2</v>
      </c>
      <c r="F2012">
        <v>56.5</v>
      </c>
      <c r="G2012" s="2">
        <f t="shared" si="311"/>
        <v>0</v>
      </c>
      <c r="H2012">
        <v>66.2</v>
      </c>
      <c r="I2012">
        <v>43.7</v>
      </c>
      <c r="J2012">
        <v>56.2</v>
      </c>
      <c r="K2012">
        <v>48.1</v>
      </c>
      <c r="L2012">
        <v>74.2</v>
      </c>
      <c r="M2012" s="2">
        <f t="shared" si="312"/>
        <v>0</v>
      </c>
      <c r="N2012">
        <v>0</v>
      </c>
      <c r="O2012" s="2">
        <f t="shared" si="313"/>
        <v>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24.2</v>
      </c>
      <c r="V2012" s="2">
        <f t="shared" si="314"/>
        <v>1</v>
      </c>
      <c r="W2012">
        <v>15</v>
      </c>
      <c r="X2012" s="2">
        <f t="shared" si="315"/>
        <v>0</v>
      </c>
      <c r="Y2012">
        <v>169.7</v>
      </c>
      <c r="Z2012" s="2" t="str">
        <f>CHOOSE(MATCH(Y2012,{0;11;80;111;161;191;241;281;341},1),"North","NorthEast","East","SouthEast","South","SouthWest","West","NorthWest","North")</f>
        <v>South</v>
      </c>
      <c r="AA2012" s="4">
        <f>CHOOSE(MATCH(Z2012,{"South";"SouthEast";"SouthWest";"North";"NorthEast";"East";"West";"NorthWest"},0),1,2,3,4,5,6,7,8)</f>
        <v>1</v>
      </c>
      <c r="AB2012" s="2">
        <f t="shared" si="316"/>
        <v>0</v>
      </c>
      <c r="AC2012">
        <v>1019.8</v>
      </c>
      <c r="AD2012" t="s">
        <v>1182</v>
      </c>
      <c r="AE2012" s="2">
        <f t="shared" si="317"/>
        <v>1</v>
      </c>
      <c r="AF2012" t="s">
        <v>2751</v>
      </c>
      <c r="AG2012" s="2">
        <f t="shared" si="318"/>
        <v>2</v>
      </c>
      <c r="AH2012" s="2">
        <f t="shared" si="319"/>
        <v>0</v>
      </c>
      <c r="AI2012" s="3">
        <v>120.0000000034925</v>
      </c>
      <c r="AJ2012" s="2">
        <v>0</v>
      </c>
      <c r="AK2012">
        <v>0</v>
      </c>
      <c r="AL2012">
        <v>2</v>
      </c>
      <c r="AM2012">
        <v>0</v>
      </c>
      <c r="AN2012" s="2">
        <f>IF((2*G2012+M2012-O2012+3*V2012+2*AB2012+2*AE2012+2*AH2012+3*AJ2012)&gt;=7,1,0)</f>
        <v>0</v>
      </c>
    </row>
    <row r="2013" spans="1:40" x14ac:dyDescent="0.25">
      <c r="A2013" t="s">
        <v>27</v>
      </c>
      <c r="B2013" s="1">
        <v>42773</v>
      </c>
      <c r="C2013" s="6">
        <f t="shared" si="310"/>
        <v>2017</v>
      </c>
      <c r="D2013">
        <v>62.6</v>
      </c>
      <c r="E2013">
        <v>53.5</v>
      </c>
      <c r="F2013">
        <v>57</v>
      </c>
      <c r="G2013" s="2">
        <f t="shared" si="311"/>
        <v>0</v>
      </c>
      <c r="H2013">
        <v>62.6</v>
      </c>
      <c r="I2013">
        <v>53.5</v>
      </c>
      <c r="J2013">
        <v>57</v>
      </c>
      <c r="K2013">
        <v>48.9</v>
      </c>
      <c r="L2013">
        <v>74.8</v>
      </c>
      <c r="M2013" s="2">
        <f t="shared" si="312"/>
        <v>0</v>
      </c>
      <c r="N2013">
        <v>0</v>
      </c>
      <c r="O2013" s="2">
        <f t="shared" si="313"/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32.6</v>
      </c>
      <c r="V2013" s="2">
        <f t="shared" si="314"/>
        <v>1</v>
      </c>
      <c r="W2013">
        <v>18.3</v>
      </c>
      <c r="X2013" s="2">
        <f t="shared" si="315"/>
        <v>1</v>
      </c>
      <c r="Y2013">
        <v>172.3</v>
      </c>
      <c r="Z2013" s="2" t="str">
        <f>CHOOSE(MATCH(Y2013,{0;11;80;111;161;191;241;281;341},1),"North","NorthEast","East","SouthEast","South","SouthWest","West","NorthWest","North")</f>
        <v>South</v>
      </c>
      <c r="AA2013" s="4">
        <f>CHOOSE(MATCH(Z2013,{"South";"SouthEast";"SouthWest";"North";"NorthEast";"East";"West";"NorthWest"},0),1,2,3,4,5,6,7,8)</f>
        <v>1</v>
      </c>
      <c r="AB2013" s="2">
        <f t="shared" si="316"/>
        <v>0</v>
      </c>
      <c r="AC2013">
        <v>1013</v>
      </c>
      <c r="AD2013" t="s">
        <v>2752</v>
      </c>
      <c r="AE2013" s="2">
        <f t="shared" si="317"/>
        <v>0</v>
      </c>
      <c r="AF2013" t="s">
        <v>2753</v>
      </c>
      <c r="AG2013" s="2">
        <f t="shared" si="318"/>
        <v>2</v>
      </c>
      <c r="AH2013" s="2">
        <f t="shared" si="319"/>
        <v>0</v>
      </c>
      <c r="AI2013" s="3">
        <v>102.0000000076834</v>
      </c>
      <c r="AJ2013" s="2">
        <v>0</v>
      </c>
      <c r="AK2013">
        <v>0</v>
      </c>
      <c r="AL2013">
        <v>0</v>
      </c>
      <c r="AM2013">
        <v>0.5</v>
      </c>
      <c r="AN2013" s="2">
        <f>IF((2*G2013+M2013-O2013+3*V2013+2*AB2013+2*AE2013+2*AH2013+3*AJ2013)&gt;=7,1,0)</f>
        <v>0</v>
      </c>
    </row>
    <row r="2014" spans="1:40" x14ac:dyDescent="0.25">
      <c r="A2014" t="s">
        <v>27</v>
      </c>
      <c r="B2014" s="1">
        <v>42782</v>
      </c>
      <c r="C2014" s="6">
        <f t="shared" si="310"/>
        <v>2017</v>
      </c>
      <c r="D2014">
        <v>53.6</v>
      </c>
      <c r="E2014">
        <v>45.8</v>
      </c>
      <c r="F2014">
        <v>50.9</v>
      </c>
      <c r="G2014" s="2">
        <f t="shared" si="311"/>
        <v>0</v>
      </c>
      <c r="H2014">
        <v>53.6</v>
      </c>
      <c r="I2014">
        <v>37.200000000000003</v>
      </c>
      <c r="J2014">
        <v>49.8</v>
      </c>
      <c r="K2014">
        <v>38.299999999999997</v>
      </c>
      <c r="L2014">
        <v>62</v>
      </c>
      <c r="M2014" s="2">
        <f t="shared" si="312"/>
        <v>1</v>
      </c>
      <c r="N2014">
        <v>0</v>
      </c>
      <c r="O2014" s="2">
        <f t="shared" si="313"/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43.2</v>
      </c>
      <c r="V2014" s="2">
        <f t="shared" si="314"/>
        <v>1</v>
      </c>
      <c r="W2014">
        <v>28.9</v>
      </c>
      <c r="X2014" s="2">
        <f t="shared" si="315"/>
        <v>1</v>
      </c>
      <c r="Y2014">
        <v>335.5</v>
      </c>
      <c r="Z2014" s="2" t="str">
        <f>CHOOSE(MATCH(Y2014,{0;11;80;111;161;191;241;281;341},1),"North","NorthEast","East","SouthEast","South","SouthWest","West","NorthWest","North")</f>
        <v>NorthWest</v>
      </c>
      <c r="AA2014" s="4">
        <f>CHOOSE(MATCH(Z2014,{"South";"SouthEast";"SouthWest";"North";"NorthEast";"East";"West";"NorthWest"},0),1,2,3,4,5,6,7,8)</f>
        <v>8</v>
      </c>
      <c r="AB2014" s="2">
        <f t="shared" si="316"/>
        <v>1</v>
      </c>
      <c r="AC2014">
        <v>1028.2</v>
      </c>
      <c r="AD2014" t="s">
        <v>2330</v>
      </c>
      <c r="AE2014" s="2">
        <f t="shared" si="317"/>
        <v>1</v>
      </c>
      <c r="AF2014" t="s">
        <v>2754</v>
      </c>
      <c r="AG2014" s="2">
        <f t="shared" si="318"/>
        <v>2</v>
      </c>
      <c r="AH2014" s="2">
        <f t="shared" si="319"/>
        <v>0</v>
      </c>
      <c r="AI2014" s="3">
        <v>136.0000000032596</v>
      </c>
      <c r="AJ2014" s="2">
        <v>0</v>
      </c>
      <c r="AK2014">
        <v>0</v>
      </c>
      <c r="AL2014">
        <v>2</v>
      </c>
      <c r="AM2014">
        <v>0</v>
      </c>
      <c r="AN2014" s="2">
        <f>IF((2*G2014+M2014-O2014+3*V2014+2*AB2014+2*AE2014+2*AH2014+3*AJ2014)&gt;=7,1,0)</f>
        <v>1</v>
      </c>
    </row>
    <row r="2015" spans="1:40" x14ac:dyDescent="0.25">
      <c r="A2015" t="s">
        <v>27</v>
      </c>
      <c r="B2015" s="1">
        <v>42783</v>
      </c>
      <c r="C2015" s="6">
        <f t="shared" si="310"/>
        <v>2017</v>
      </c>
      <c r="D2015">
        <v>55.4</v>
      </c>
      <c r="E2015">
        <v>42.8</v>
      </c>
      <c r="F2015">
        <v>51.4</v>
      </c>
      <c r="G2015" s="2">
        <f t="shared" si="311"/>
        <v>0</v>
      </c>
      <c r="H2015">
        <v>55.4</v>
      </c>
      <c r="I2015">
        <v>38.5</v>
      </c>
      <c r="J2015">
        <v>50.2</v>
      </c>
      <c r="K2015">
        <v>40.700000000000003</v>
      </c>
      <c r="L2015">
        <v>67.2</v>
      </c>
      <c r="M2015" s="2">
        <f t="shared" si="312"/>
        <v>0</v>
      </c>
      <c r="N2015">
        <v>0</v>
      </c>
      <c r="O2015" s="2">
        <f t="shared" si="313"/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25.7</v>
      </c>
      <c r="V2015" s="2">
        <f t="shared" si="314"/>
        <v>1</v>
      </c>
      <c r="W2015">
        <v>17.2</v>
      </c>
      <c r="X2015" s="2">
        <f t="shared" si="315"/>
        <v>1</v>
      </c>
      <c r="Y2015">
        <v>307.7</v>
      </c>
      <c r="Z2015" s="2" t="str">
        <f>CHOOSE(MATCH(Y2015,{0;11;80;111;161;191;241;281;341},1),"North","NorthEast","East","SouthEast","South","SouthWest","West","NorthWest","North")</f>
        <v>NorthWest</v>
      </c>
      <c r="AA2015" s="4">
        <f>CHOOSE(MATCH(Z2015,{"South";"SouthEast";"SouthWest";"North";"NorthEast";"East";"West";"NorthWest"},0),1,2,3,4,5,6,7,8)</f>
        <v>8</v>
      </c>
      <c r="AB2015" s="2">
        <f t="shared" si="316"/>
        <v>1</v>
      </c>
      <c r="AC2015">
        <v>1027.0999999999999</v>
      </c>
      <c r="AD2015" t="s">
        <v>1834</v>
      </c>
      <c r="AE2015" s="2">
        <f t="shared" si="317"/>
        <v>1</v>
      </c>
      <c r="AF2015" t="s">
        <v>2755</v>
      </c>
      <c r="AG2015" s="2">
        <f t="shared" si="318"/>
        <v>2</v>
      </c>
      <c r="AH2015" s="2">
        <f t="shared" si="319"/>
        <v>0</v>
      </c>
      <c r="AI2015" s="3">
        <v>59.99999999650754</v>
      </c>
      <c r="AJ2015" s="2">
        <v>0</v>
      </c>
      <c r="AK2015">
        <v>0</v>
      </c>
      <c r="AL2015">
        <v>0.5</v>
      </c>
      <c r="AM2015">
        <v>0</v>
      </c>
      <c r="AN2015" s="2">
        <f>IF((2*G2015+M2015-O2015+3*V2015+2*AB2015+2*AE2015+2*AH2015+3*AJ2015)&gt;=7,1,0)</f>
        <v>0</v>
      </c>
    </row>
    <row r="2016" spans="1:40" x14ac:dyDescent="0.25">
      <c r="A2016" t="s">
        <v>27</v>
      </c>
      <c r="B2016" s="1">
        <v>42786</v>
      </c>
      <c r="C2016" s="6">
        <f t="shared" si="310"/>
        <v>2017</v>
      </c>
      <c r="D2016">
        <v>68</v>
      </c>
      <c r="E2016">
        <v>51.8</v>
      </c>
      <c r="F2016">
        <v>58.1</v>
      </c>
      <c r="G2016" s="2">
        <f t="shared" si="311"/>
        <v>0</v>
      </c>
      <c r="H2016">
        <v>68</v>
      </c>
      <c r="I2016">
        <v>51.8</v>
      </c>
      <c r="J2016">
        <v>58.1</v>
      </c>
      <c r="K2016">
        <v>46.1</v>
      </c>
      <c r="L2016">
        <v>65.7</v>
      </c>
      <c r="M2016" s="2">
        <f t="shared" si="312"/>
        <v>1</v>
      </c>
      <c r="N2016">
        <v>0</v>
      </c>
      <c r="O2016" s="2">
        <f t="shared" si="313"/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18.3</v>
      </c>
      <c r="V2016" s="2">
        <f t="shared" si="314"/>
        <v>1</v>
      </c>
      <c r="W2016">
        <v>16.100000000000001</v>
      </c>
      <c r="X2016" s="2">
        <f t="shared" si="315"/>
        <v>1</v>
      </c>
      <c r="Y2016">
        <v>162.30000000000001</v>
      </c>
      <c r="Z2016" s="2" t="str">
        <f>CHOOSE(MATCH(Y2016,{0;11;80;111;161;191;241;281;341},1),"North","NorthEast","East","SouthEast","South","SouthWest","West","NorthWest","North")</f>
        <v>South</v>
      </c>
      <c r="AA2016" s="4">
        <f>CHOOSE(MATCH(Z2016,{"South";"SouthEast";"SouthWest";"North";"NorthEast";"East";"West";"NorthWest"},0),1,2,3,4,5,6,7,8)</f>
        <v>1</v>
      </c>
      <c r="AB2016" s="2">
        <f t="shared" si="316"/>
        <v>0</v>
      </c>
      <c r="AC2016">
        <v>1021.3</v>
      </c>
      <c r="AD2016" t="s">
        <v>1171</v>
      </c>
      <c r="AE2016" s="2">
        <f t="shared" si="317"/>
        <v>0</v>
      </c>
      <c r="AF2016" t="s">
        <v>2756</v>
      </c>
      <c r="AG2016" s="2">
        <f t="shared" si="318"/>
        <v>2</v>
      </c>
      <c r="AH2016" s="2">
        <f t="shared" si="319"/>
        <v>0</v>
      </c>
      <c r="AI2016" s="3">
        <v>570.00000000349246</v>
      </c>
      <c r="AJ2016" s="2">
        <v>1</v>
      </c>
      <c r="AK2016">
        <v>0</v>
      </c>
      <c r="AL2016">
        <v>0.2</v>
      </c>
      <c r="AM2016">
        <v>0</v>
      </c>
      <c r="AN2016" s="2">
        <f>IF((2*G2016+M2016-O2016+3*V2016+2*AB2016+2*AE2016+2*AH2016+3*AJ2016)&gt;=7,1,0)</f>
        <v>0</v>
      </c>
    </row>
    <row r="2017" spans="1:40" x14ac:dyDescent="0.25">
      <c r="A2017" t="s">
        <v>27</v>
      </c>
      <c r="B2017" s="1">
        <v>42789</v>
      </c>
      <c r="C2017" s="6">
        <f t="shared" si="310"/>
        <v>2017</v>
      </c>
      <c r="D2017">
        <v>62.6</v>
      </c>
      <c r="E2017">
        <v>48.2</v>
      </c>
      <c r="F2017">
        <v>55.1</v>
      </c>
      <c r="G2017" s="2">
        <f t="shared" si="311"/>
        <v>0</v>
      </c>
      <c r="H2017">
        <v>62.6</v>
      </c>
      <c r="I2017">
        <v>45.6</v>
      </c>
      <c r="J2017">
        <v>54.7</v>
      </c>
      <c r="K2017">
        <v>47.4</v>
      </c>
      <c r="L2017">
        <v>75.900000000000006</v>
      </c>
      <c r="M2017" s="2">
        <f t="shared" si="312"/>
        <v>0</v>
      </c>
      <c r="N2017">
        <v>0</v>
      </c>
      <c r="O2017" s="2">
        <f t="shared" si="313"/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19.7</v>
      </c>
      <c r="V2017" s="2">
        <f t="shared" si="314"/>
        <v>1</v>
      </c>
      <c r="W2017">
        <v>10.3</v>
      </c>
      <c r="X2017" s="2">
        <f t="shared" si="315"/>
        <v>0</v>
      </c>
      <c r="Y2017">
        <v>148.80000000000001</v>
      </c>
      <c r="Z2017" s="2" t="str">
        <f>CHOOSE(MATCH(Y2017,{0;11;80;111;161;191;241;281;341},1),"North","NorthEast","East","SouthEast","South","SouthWest","West","NorthWest","North")</f>
        <v>SouthEast</v>
      </c>
      <c r="AA2017" s="4">
        <f>CHOOSE(MATCH(Z2017,{"South";"SouthEast";"SouthWest";"North";"NorthEast";"East";"West";"NorthWest"},0),1,2,3,4,5,6,7,8)</f>
        <v>2</v>
      </c>
      <c r="AB2017" s="2">
        <f t="shared" si="316"/>
        <v>0</v>
      </c>
      <c r="AC2017">
        <v>1020.3</v>
      </c>
      <c r="AD2017" t="s">
        <v>1125</v>
      </c>
      <c r="AE2017" s="2">
        <f t="shared" si="317"/>
        <v>1</v>
      </c>
      <c r="AF2017" t="s">
        <v>2757</v>
      </c>
      <c r="AG2017" s="2">
        <f t="shared" si="318"/>
        <v>2</v>
      </c>
      <c r="AH2017" s="2">
        <f t="shared" si="319"/>
        <v>0</v>
      </c>
      <c r="AI2017" s="3">
        <v>100.0000000011642</v>
      </c>
      <c r="AJ2017" s="2">
        <v>0</v>
      </c>
      <c r="AK2017">
        <v>0</v>
      </c>
      <c r="AL2017">
        <v>1</v>
      </c>
      <c r="AM2017">
        <v>0</v>
      </c>
      <c r="AN2017" s="2">
        <f>IF((2*G2017+M2017-O2017+3*V2017+2*AB2017+2*AE2017+2*AH2017+3*AJ2017)&gt;=7,1,0)</f>
        <v>0</v>
      </c>
    </row>
    <row r="2018" spans="1:40" x14ac:dyDescent="0.25">
      <c r="A2018" t="s">
        <v>27</v>
      </c>
      <c r="B2018" s="1">
        <v>42798</v>
      </c>
      <c r="C2018" s="6">
        <f t="shared" si="310"/>
        <v>2017</v>
      </c>
      <c r="D2018">
        <v>62.6</v>
      </c>
      <c r="E2018">
        <v>46.4</v>
      </c>
      <c r="F2018">
        <v>54.9</v>
      </c>
      <c r="G2018" s="2">
        <f t="shared" si="311"/>
        <v>0</v>
      </c>
      <c r="H2018">
        <v>62.6</v>
      </c>
      <c r="I2018">
        <v>44.2</v>
      </c>
      <c r="J2018">
        <v>54.4</v>
      </c>
      <c r="K2018">
        <v>51.9</v>
      </c>
      <c r="L2018">
        <v>90</v>
      </c>
      <c r="M2018" s="2">
        <f t="shared" si="312"/>
        <v>0</v>
      </c>
      <c r="N2018">
        <v>0</v>
      </c>
      <c r="O2018" s="2">
        <f t="shared" si="313"/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17.7</v>
      </c>
      <c r="V2018" s="2">
        <f t="shared" si="314"/>
        <v>1</v>
      </c>
      <c r="W2018">
        <v>6.9</v>
      </c>
      <c r="X2018" s="2">
        <f t="shared" si="315"/>
        <v>0</v>
      </c>
      <c r="Y2018">
        <v>220.8</v>
      </c>
      <c r="Z2018" s="2" t="str">
        <f>CHOOSE(MATCH(Y2018,{0;11;80;111;161;191;241;281;341},1),"North","NorthEast","East","SouthEast","South","SouthWest","West","NorthWest","North")</f>
        <v>SouthWest</v>
      </c>
      <c r="AA2018" s="4">
        <f>CHOOSE(MATCH(Z2018,{"South";"SouthEast";"SouthWest";"North";"NorthEast";"East";"West";"NorthWest"},0),1,2,3,4,5,6,7,8)</f>
        <v>3</v>
      </c>
      <c r="AB2018" s="2">
        <f t="shared" si="316"/>
        <v>0</v>
      </c>
      <c r="AC2018">
        <v>1019.7</v>
      </c>
      <c r="AD2018" t="s">
        <v>2320</v>
      </c>
      <c r="AE2018" s="2">
        <f t="shared" si="317"/>
        <v>0</v>
      </c>
      <c r="AF2018" t="s">
        <v>2758</v>
      </c>
      <c r="AG2018" s="2">
        <f t="shared" si="318"/>
        <v>3</v>
      </c>
      <c r="AH2018" s="2">
        <f t="shared" si="319"/>
        <v>0</v>
      </c>
      <c r="AI2018" s="3">
        <v>242.0000000030268</v>
      </c>
      <c r="AJ2018" s="2">
        <v>0</v>
      </c>
      <c r="AK2018">
        <v>0</v>
      </c>
      <c r="AL2018">
        <v>3</v>
      </c>
      <c r="AM2018">
        <v>0</v>
      </c>
      <c r="AN2018" s="2">
        <f>IF((2*G2018+M2018-O2018+3*V2018+2*AB2018+2*AE2018+2*AH2018+3*AJ2018)&gt;=7,1,0)</f>
        <v>0</v>
      </c>
    </row>
    <row r="2019" spans="1:40" x14ac:dyDescent="0.25">
      <c r="A2019" t="s">
        <v>27</v>
      </c>
      <c r="B2019" s="1">
        <v>42815</v>
      </c>
      <c r="C2019" s="6">
        <f t="shared" si="310"/>
        <v>2017</v>
      </c>
      <c r="D2019">
        <v>64.400000000000006</v>
      </c>
      <c r="E2019">
        <v>51.2</v>
      </c>
      <c r="F2019">
        <v>59.1</v>
      </c>
      <c r="G2019" s="2">
        <f t="shared" si="311"/>
        <v>0</v>
      </c>
      <c r="H2019">
        <v>64.400000000000006</v>
      </c>
      <c r="I2019">
        <v>51.2</v>
      </c>
      <c r="J2019">
        <v>59.1</v>
      </c>
      <c r="K2019">
        <v>56.3</v>
      </c>
      <c r="L2019">
        <v>90.4</v>
      </c>
      <c r="M2019" s="2">
        <f t="shared" si="312"/>
        <v>0</v>
      </c>
      <c r="N2019">
        <v>0</v>
      </c>
      <c r="O2019" s="2">
        <f t="shared" si="313"/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16.100000000000001</v>
      </c>
      <c r="V2019" s="2">
        <f t="shared" si="314"/>
        <v>1</v>
      </c>
      <c r="W2019">
        <v>10.3</v>
      </c>
      <c r="X2019" s="2">
        <f t="shared" si="315"/>
        <v>0</v>
      </c>
      <c r="Y2019">
        <v>108.6</v>
      </c>
      <c r="Z2019" s="2" t="str">
        <f>CHOOSE(MATCH(Y2019,{0;11;80;111;161;191;241;281;341},1),"North","NorthEast","East","SouthEast","South","SouthWest","West","NorthWest","North")</f>
        <v>East</v>
      </c>
      <c r="AA2019" s="4">
        <f>CHOOSE(MATCH(Z2019,{"South";"SouthEast";"SouthWest";"North";"NorthEast";"East";"West";"NorthWest"},0),1,2,3,4,5,6,7,8)</f>
        <v>6</v>
      </c>
      <c r="AB2019" s="2">
        <f t="shared" si="316"/>
        <v>0</v>
      </c>
      <c r="AC2019">
        <v>1012.4</v>
      </c>
      <c r="AD2019" t="s">
        <v>2759</v>
      </c>
      <c r="AE2019" s="2">
        <f t="shared" si="317"/>
        <v>1</v>
      </c>
      <c r="AF2019" t="s">
        <v>2760</v>
      </c>
      <c r="AG2019" s="2">
        <f t="shared" si="318"/>
        <v>3</v>
      </c>
      <c r="AH2019" s="2">
        <f t="shared" si="319"/>
        <v>0</v>
      </c>
      <c r="AI2019" s="3">
        <v>98.000000005122274</v>
      </c>
      <c r="AJ2019" s="2">
        <v>0</v>
      </c>
      <c r="AK2019">
        <v>0</v>
      </c>
      <c r="AL2019">
        <v>1.5</v>
      </c>
      <c r="AM2019">
        <v>0</v>
      </c>
      <c r="AN2019" s="2">
        <f>IF((2*G2019+M2019-O2019+3*V2019+2*AB2019+2*AE2019+2*AH2019+3*AJ2019)&gt;=7,1,0)</f>
        <v>0</v>
      </c>
    </row>
    <row r="2020" spans="1:40" x14ac:dyDescent="0.25">
      <c r="A2020" t="s">
        <v>27</v>
      </c>
      <c r="B2020" s="1">
        <v>42819</v>
      </c>
      <c r="C2020" s="6">
        <f t="shared" si="310"/>
        <v>2017</v>
      </c>
      <c r="D2020">
        <v>66.2</v>
      </c>
      <c r="E2020">
        <v>46.4</v>
      </c>
      <c r="F2020">
        <v>56.5</v>
      </c>
      <c r="G2020" s="2">
        <f t="shared" si="311"/>
        <v>0</v>
      </c>
      <c r="H2020">
        <v>66.2</v>
      </c>
      <c r="I2020">
        <v>42.4</v>
      </c>
      <c r="J2020">
        <v>55.5</v>
      </c>
      <c r="K2020">
        <v>50.7</v>
      </c>
      <c r="L2020">
        <v>81.3</v>
      </c>
      <c r="M2020" s="2">
        <f t="shared" si="312"/>
        <v>0</v>
      </c>
      <c r="N2020">
        <v>0</v>
      </c>
      <c r="O2020" s="2">
        <f t="shared" si="313"/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19.7</v>
      </c>
      <c r="V2020" s="2">
        <f t="shared" si="314"/>
        <v>1</v>
      </c>
      <c r="W2020">
        <v>10.3</v>
      </c>
      <c r="X2020" s="2">
        <f t="shared" si="315"/>
        <v>0</v>
      </c>
      <c r="Y2020">
        <v>179.5</v>
      </c>
      <c r="Z2020" s="2" t="str">
        <f>CHOOSE(MATCH(Y2020,{0;11;80;111;161;191;241;281;341},1),"North","NorthEast","East","SouthEast","South","SouthWest","West","NorthWest","North")</f>
        <v>South</v>
      </c>
      <c r="AA2020" s="4">
        <f>CHOOSE(MATCH(Z2020,{"South";"SouthEast";"SouthWest";"North";"NorthEast";"East";"West";"NorthWest"},0),1,2,3,4,5,6,7,8)</f>
        <v>1</v>
      </c>
      <c r="AB2020" s="2">
        <f t="shared" si="316"/>
        <v>0</v>
      </c>
      <c r="AC2020">
        <v>1018.7</v>
      </c>
      <c r="AD2020" t="s">
        <v>2761</v>
      </c>
      <c r="AE2020" s="2">
        <f t="shared" si="317"/>
        <v>1</v>
      </c>
      <c r="AF2020" t="s">
        <v>2762</v>
      </c>
      <c r="AG2020" s="2">
        <f t="shared" si="318"/>
        <v>3</v>
      </c>
      <c r="AH2020" s="2">
        <f t="shared" si="319"/>
        <v>0</v>
      </c>
      <c r="AI2020" s="3">
        <v>60.999999999767169</v>
      </c>
      <c r="AJ2020" s="2">
        <v>0</v>
      </c>
      <c r="AK2020">
        <v>0</v>
      </c>
      <c r="AL2020">
        <v>5</v>
      </c>
      <c r="AM2020">
        <v>0</v>
      </c>
      <c r="AN2020" s="2">
        <f>IF((2*G2020+M2020-O2020+3*V2020+2*AB2020+2*AE2020+2*AH2020+3*AJ2020)&gt;=7,1,0)</f>
        <v>0</v>
      </c>
    </row>
    <row r="2021" spans="1:40" x14ac:dyDescent="0.25">
      <c r="A2021" t="s">
        <v>27</v>
      </c>
      <c r="B2021" s="1">
        <v>42828</v>
      </c>
      <c r="C2021" s="6">
        <f t="shared" si="310"/>
        <v>2017</v>
      </c>
      <c r="D2021">
        <v>73.400000000000006</v>
      </c>
      <c r="E2021">
        <v>47</v>
      </c>
      <c r="F2021">
        <v>61</v>
      </c>
      <c r="G2021" s="2">
        <f t="shared" si="311"/>
        <v>0</v>
      </c>
      <c r="H2021">
        <v>73.400000000000006</v>
      </c>
      <c r="I2021">
        <v>47</v>
      </c>
      <c r="J2021">
        <v>61</v>
      </c>
      <c r="K2021">
        <v>52</v>
      </c>
      <c r="L2021">
        <v>73.599999999999994</v>
      </c>
      <c r="M2021" s="2">
        <f t="shared" si="312"/>
        <v>0</v>
      </c>
      <c r="N2021">
        <v>0</v>
      </c>
      <c r="O2021" s="2">
        <f t="shared" si="313"/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23.8</v>
      </c>
      <c r="V2021" s="2">
        <f t="shared" si="314"/>
        <v>1</v>
      </c>
      <c r="W2021">
        <v>19.7</v>
      </c>
      <c r="X2021" s="2">
        <f t="shared" si="315"/>
        <v>1</v>
      </c>
      <c r="Y2021">
        <v>166.5</v>
      </c>
      <c r="Z2021" s="2" t="str">
        <f>CHOOSE(MATCH(Y2021,{0;11;80;111;161;191;241;281;341},1),"North","NorthEast","East","SouthEast","South","SouthWest","West","NorthWest","North")</f>
        <v>South</v>
      </c>
      <c r="AA2021" s="4">
        <f>CHOOSE(MATCH(Z2021,{"South";"SouthEast";"SouthWest";"North";"NorthEast";"East";"West";"NorthWest"},0),1,2,3,4,5,6,7,8)</f>
        <v>1</v>
      </c>
      <c r="AB2021" s="2">
        <f t="shared" si="316"/>
        <v>0</v>
      </c>
      <c r="AC2021">
        <v>1018.2</v>
      </c>
      <c r="AD2021" t="s">
        <v>2094</v>
      </c>
      <c r="AE2021" s="2">
        <f t="shared" si="317"/>
        <v>1</v>
      </c>
      <c r="AF2021" t="s">
        <v>2763</v>
      </c>
      <c r="AG2021" s="2">
        <f t="shared" si="318"/>
        <v>4</v>
      </c>
      <c r="AH2021" s="2">
        <f t="shared" si="319"/>
        <v>0</v>
      </c>
      <c r="AI2021" s="3">
        <v>910.00000000116415</v>
      </c>
      <c r="AJ2021" s="2">
        <v>1</v>
      </c>
      <c r="AK2021">
        <v>0</v>
      </c>
      <c r="AL2021">
        <v>1</v>
      </c>
      <c r="AM2021">
        <v>0</v>
      </c>
      <c r="AN2021" s="2">
        <f>IF((2*G2021+M2021-O2021+3*V2021+2*AB2021+2*AE2021+2*AH2021+3*AJ2021)&gt;=7,1,0)</f>
        <v>1</v>
      </c>
    </row>
    <row r="2022" spans="1:40" x14ac:dyDescent="0.25">
      <c r="A2022" t="s">
        <v>27</v>
      </c>
      <c r="B2022" s="1">
        <v>42834</v>
      </c>
      <c r="C2022" s="6">
        <f t="shared" si="310"/>
        <v>2017</v>
      </c>
      <c r="D2022">
        <v>64.400000000000006</v>
      </c>
      <c r="E2022">
        <v>48.2</v>
      </c>
      <c r="F2022">
        <v>56.8</v>
      </c>
      <c r="G2022" s="2">
        <f t="shared" si="311"/>
        <v>0</v>
      </c>
      <c r="H2022">
        <v>64.400000000000006</v>
      </c>
      <c r="I2022">
        <v>44.6</v>
      </c>
      <c r="J2022">
        <v>56.2</v>
      </c>
      <c r="K2022">
        <v>50.7</v>
      </c>
      <c r="L2022">
        <v>80.5</v>
      </c>
      <c r="M2022" s="2">
        <f t="shared" si="312"/>
        <v>0</v>
      </c>
      <c r="N2022">
        <v>0</v>
      </c>
      <c r="O2022" s="2">
        <f t="shared" si="313"/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26.6</v>
      </c>
      <c r="V2022" s="2">
        <f t="shared" si="314"/>
        <v>1</v>
      </c>
      <c r="W2022">
        <v>12.8</v>
      </c>
      <c r="X2022" s="2">
        <f t="shared" si="315"/>
        <v>0</v>
      </c>
      <c r="Y2022">
        <v>328.4</v>
      </c>
      <c r="Z2022" s="2" t="str">
        <f>CHOOSE(MATCH(Y2022,{0;11;80;111;161;191;241;281;341},1),"North","NorthEast","East","SouthEast","South","SouthWest","West","NorthWest","North")</f>
        <v>NorthWest</v>
      </c>
      <c r="AA2022" s="4">
        <f>CHOOSE(MATCH(Z2022,{"South";"SouthEast";"SouthWest";"North";"NorthEast";"East";"West";"NorthWest"},0),1,2,3,4,5,6,7,8)</f>
        <v>8</v>
      </c>
      <c r="AB2022" s="2">
        <f t="shared" si="316"/>
        <v>1</v>
      </c>
      <c r="AC2022">
        <v>1021.4</v>
      </c>
      <c r="AD2022" t="s">
        <v>1077</v>
      </c>
      <c r="AE2022" s="2">
        <f t="shared" si="317"/>
        <v>1</v>
      </c>
      <c r="AF2022" t="s">
        <v>2764</v>
      </c>
      <c r="AG2022" s="2">
        <f t="shared" si="318"/>
        <v>4</v>
      </c>
      <c r="AH2022" s="2">
        <f t="shared" si="319"/>
        <v>0</v>
      </c>
      <c r="AI2022" s="3">
        <v>349.99999999883579</v>
      </c>
      <c r="AJ2022" s="2">
        <v>0</v>
      </c>
      <c r="AK2022">
        <v>0</v>
      </c>
      <c r="AL2022">
        <v>5</v>
      </c>
      <c r="AM2022">
        <v>0</v>
      </c>
      <c r="AN2022" s="2">
        <f>IF((2*G2022+M2022-O2022+3*V2022+2*AB2022+2*AE2022+2*AH2022+3*AJ2022)&gt;=7,1,0)</f>
        <v>0</v>
      </c>
    </row>
    <row r="2023" spans="1:40" x14ac:dyDescent="0.25">
      <c r="A2023" t="s">
        <v>27</v>
      </c>
      <c r="B2023" s="1">
        <v>42837</v>
      </c>
      <c r="C2023" s="6">
        <f t="shared" si="310"/>
        <v>2017</v>
      </c>
      <c r="D2023">
        <v>62.6</v>
      </c>
      <c r="E2023">
        <v>53.6</v>
      </c>
      <c r="F2023">
        <v>58.1</v>
      </c>
      <c r="G2023" s="2">
        <f t="shared" si="311"/>
        <v>0</v>
      </c>
      <c r="H2023">
        <v>62.6</v>
      </c>
      <c r="I2023">
        <v>53.6</v>
      </c>
      <c r="J2023">
        <v>58.1</v>
      </c>
      <c r="K2023">
        <v>53.3</v>
      </c>
      <c r="L2023">
        <v>84.3</v>
      </c>
      <c r="M2023" s="2">
        <f t="shared" si="312"/>
        <v>0</v>
      </c>
      <c r="N2023">
        <v>0.22600000000000001</v>
      </c>
      <c r="O2023" s="2">
        <f t="shared" si="313"/>
        <v>0</v>
      </c>
      <c r="P2023">
        <v>100</v>
      </c>
      <c r="Q2023">
        <v>4.17</v>
      </c>
      <c r="R2023" t="s">
        <v>182</v>
      </c>
      <c r="S2023">
        <v>0</v>
      </c>
      <c r="T2023">
        <v>0</v>
      </c>
      <c r="U2023">
        <v>21.7</v>
      </c>
      <c r="V2023" s="2">
        <f t="shared" si="314"/>
        <v>1</v>
      </c>
      <c r="W2023">
        <v>12.7</v>
      </c>
      <c r="X2023" s="2">
        <f t="shared" si="315"/>
        <v>0</v>
      </c>
      <c r="Y2023">
        <v>308.7</v>
      </c>
      <c r="Z2023" s="2" t="str">
        <f>CHOOSE(MATCH(Y2023,{0;11;80;111;161;191;241;281;341},1),"North","NorthEast","East","SouthEast","South","SouthWest","West","NorthWest","North")</f>
        <v>NorthWest</v>
      </c>
      <c r="AA2023" s="4">
        <f>CHOOSE(MATCH(Z2023,{"South";"SouthEast";"SouthWest";"North";"NorthEast";"East";"West";"NorthWest"},0),1,2,3,4,5,6,7,8)</f>
        <v>8</v>
      </c>
      <c r="AB2023" s="2">
        <f t="shared" si="316"/>
        <v>1</v>
      </c>
      <c r="AC2023">
        <v>1013</v>
      </c>
      <c r="AD2023" t="s">
        <v>2210</v>
      </c>
      <c r="AE2023" s="2">
        <f t="shared" si="317"/>
        <v>1</v>
      </c>
      <c r="AF2023" t="s">
        <v>2765</v>
      </c>
      <c r="AG2023" s="2">
        <f t="shared" si="318"/>
        <v>4</v>
      </c>
      <c r="AH2023" s="2">
        <f t="shared" si="319"/>
        <v>0</v>
      </c>
      <c r="AI2023" s="3">
        <v>135</v>
      </c>
      <c r="AJ2023" s="2">
        <v>0</v>
      </c>
      <c r="AK2023">
        <v>0</v>
      </c>
      <c r="AL2023">
        <v>0.5</v>
      </c>
      <c r="AM2023">
        <v>0</v>
      </c>
      <c r="AN2023" s="2">
        <f>IF((2*G2023+M2023-O2023+3*V2023+2*AB2023+2*AE2023+2*AH2023+3*AJ2023)&gt;=7,1,0)</f>
        <v>1</v>
      </c>
    </row>
    <row r="2024" spans="1:40" x14ac:dyDescent="0.25">
      <c r="A2024" t="s">
        <v>27</v>
      </c>
      <c r="B2024" s="1">
        <v>42840</v>
      </c>
      <c r="C2024" s="6">
        <f t="shared" si="310"/>
        <v>2017</v>
      </c>
      <c r="D2024">
        <v>68</v>
      </c>
      <c r="E2024">
        <v>53.6</v>
      </c>
      <c r="F2024">
        <v>60.9</v>
      </c>
      <c r="G2024" s="2">
        <f t="shared" si="311"/>
        <v>0</v>
      </c>
      <c r="H2024">
        <v>68</v>
      </c>
      <c r="I2024">
        <v>53.6</v>
      </c>
      <c r="J2024">
        <v>60.9</v>
      </c>
      <c r="K2024">
        <v>56.3</v>
      </c>
      <c r="L2024">
        <v>85.4</v>
      </c>
      <c r="M2024" s="2">
        <f t="shared" si="312"/>
        <v>0</v>
      </c>
      <c r="N2024">
        <v>0</v>
      </c>
      <c r="O2024" s="2">
        <f t="shared" si="313"/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18.3</v>
      </c>
      <c r="V2024" s="2">
        <f t="shared" si="314"/>
        <v>1</v>
      </c>
      <c r="W2024">
        <v>8.1</v>
      </c>
      <c r="X2024" s="2">
        <f t="shared" si="315"/>
        <v>0</v>
      </c>
      <c r="Y2024">
        <v>171</v>
      </c>
      <c r="Z2024" s="2" t="str">
        <f>CHOOSE(MATCH(Y2024,{0;11;80;111;161;191;241;281;341},1),"North","NorthEast","East","SouthEast","South","SouthWest","West","NorthWest","North")</f>
        <v>South</v>
      </c>
      <c r="AA2024" s="4">
        <f>CHOOSE(MATCH(Z2024,{"South";"SouthEast";"SouthWest";"North";"NorthEast";"East";"West";"NorthWest"},0),1,2,3,4,5,6,7,8)</f>
        <v>1</v>
      </c>
      <c r="AB2024" s="2">
        <f t="shared" si="316"/>
        <v>0</v>
      </c>
      <c r="AC2024">
        <v>1015.1</v>
      </c>
      <c r="AD2024" t="s">
        <v>2560</v>
      </c>
      <c r="AE2024" s="2">
        <f t="shared" si="317"/>
        <v>1</v>
      </c>
      <c r="AF2024" t="s">
        <v>2766</v>
      </c>
      <c r="AG2024" s="2">
        <f t="shared" si="318"/>
        <v>4</v>
      </c>
      <c r="AH2024" s="2">
        <f t="shared" si="319"/>
        <v>0</v>
      </c>
      <c r="AI2024" s="3">
        <v>330.99999999976723</v>
      </c>
      <c r="AJ2024" s="2">
        <v>0</v>
      </c>
      <c r="AK2024">
        <v>0</v>
      </c>
      <c r="AL2024">
        <v>4</v>
      </c>
      <c r="AM2024">
        <v>0</v>
      </c>
      <c r="AN2024" s="2">
        <f>IF((2*G2024+M2024-O2024+3*V2024+2*AB2024+2*AE2024+2*AH2024+3*AJ2024)&gt;=7,1,0)</f>
        <v>0</v>
      </c>
    </row>
    <row r="2025" spans="1:40" x14ac:dyDescent="0.25">
      <c r="A2025" t="s">
        <v>27</v>
      </c>
      <c r="B2025" s="1">
        <v>42840</v>
      </c>
      <c r="C2025" s="6">
        <f t="shared" si="310"/>
        <v>2017</v>
      </c>
      <c r="D2025">
        <v>68</v>
      </c>
      <c r="E2025">
        <v>53.6</v>
      </c>
      <c r="F2025">
        <v>60.9</v>
      </c>
      <c r="G2025" s="2">
        <f t="shared" si="311"/>
        <v>0</v>
      </c>
      <c r="H2025">
        <v>68</v>
      </c>
      <c r="I2025">
        <v>53.6</v>
      </c>
      <c r="J2025">
        <v>60.9</v>
      </c>
      <c r="K2025">
        <v>56.3</v>
      </c>
      <c r="L2025">
        <v>85.4</v>
      </c>
      <c r="M2025" s="2">
        <f t="shared" si="312"/>
        <v>0</v>
      </c>
      <c r="N2025">
        <v>0</v>
      </c>
      <c r="O2025" s="2">
        <f t="shared" si="313"/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18.3</v>
      </c>
      <c r="V2025" s="2">
        <f t="shared" si="314"/>
        <v>1</v>
      </c>
      <c r="W2025">
        <v>8.1</v>
      </c>
      <c r="X2025" s="2">
        <f t="shared" si="315"/>
        <v>0</v>
      </c>
      <c r="Y2025">
        <v>171</v>
      </c>
      <c r="Z2025" s="2" t="str">
        <f>CHOOSE(MATCH(Y2025,{0;11;80;111;161;191;241;281;341},1),"North","NorthEast","East","SouthEast","South","SouthWest","West","NorthWest","North")</f>
        <v>South</v>
      </c>
      <c r="AA2025" s="4">
        <f>CHOOSE(MATCH(Z2025,{"South";"SouthEast";"SouthWest";"North";"NorthEast";"East";"West";"NorthWest"},0),1,2,3,4,5,6,7,8)</f>
        <v>1</v>
      </c>
      <c r="AB2025" s="2">
        <f t="shared" si="316"/>
        <v>0</v>
      </c>
      <c r="AC2025">
        <v>1015.1</v>
      </c>
      <c r="AD2025" t="s">
        <v>1776</v>
      </c>
      <c r="AE2025" s="2">
        <f t="shared" si="317"/>
        <v>1</v>
      </c>
      <c r="AF2025" t="s">
        <v>2767</v>
      </c>
      <c r="AG2025" s="2">
        <f t="shared" si="318"/>
        <v>4</v>
      </c>
      <c r="AH2025" s="2">
        <f t="shared" si="319"/>
        <v>0</v>
      </c>
      <c r="AI2025" s="3">
        <v>227.99999999930151</v>
      </c>
      <c r="AJ2025" s="2">
        <v>0</v>
      </c>
      <c r="AK2025">
        <v>0</v>
      </c>
      <c r="AL2025">
        <v>1</v>
      </c>
      <c r="AM2025">
        <v>0</v>
      </c>
      <c r="AN2025" s="2">
        <f>IF((2*G2025+M2025-O2025+3*V2025+2*AB2025+2*AE2025+2*AH2025+3*AJ2025)&gt;=7,1,0)</f>
        <v>0</v>
      </c>
    </row>
    <row r="2026" spans="1:40" x14ac:dyDescent="0.25">
      <c r="A2026" t="s">
        <v>27</v>
      </c>
      <c r="B2026" s="1">
        <v>42840</v>
      </c>
      <c r="C2026" s="6">
        <f t="shared" si="310"/>
        <v>2017</v>
      </c>
      <c r="D2026">
        <v>68</v>
      </c>
      <c r="E2026">
        <v>53.6</v>
      </c>
      <c r="F2026">
        <v>60.9</v>
      </c>
      <c r="G2026" s="2">
        <f t="shared" si="311"/>
        <v>0</v>
      </c>
      <c r="H2026">
        <v>68</v>
      </c>
      <c r="I2026">
        <v>53.6</v>
      </c>
      <c r="J2026">
        <v>60.9</v>
      </c>
      <c r="K2026">
        <v>56.3</v>
      </c>
      <c r="L2026">
        <v>85.4</v>
      </c>
      <c r="M2026" s="2">
        <f t="shared" si="312"/>
        <v>0</v>
      </c>
      <c r="N2026">
        <v>0</v>
      </c>
      <c r="O2026" s="2">
        <f t="shared" si="313"/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18.3</v>
      </c>
      <c r="V2026" s="2">
        <f t="shared" si="314"/>
        <v>1</v>
      </c>
      <c r="W2026">
        <v>8.1</v>
      </c>
      <c r="X2026" s="2">
        <f t="shared" si="315"/>
        <v>0</v>
      </c>
      <c r="Y2026">
        <v>171</v>
      </c>
      <c r="Z2026" s="2" t="str">
        <f>CHOOSE(MATCH(Y2026,{0;11;80;111;161;191;241;281;341},1),"North","NorthEast","East","SouthEast","South","SouthWest","West","NorthWest","North")</f>
        <v>South</v>
      </c>
      <c r="AA2026" s="4">
        <f>CHOOSE(MATCH(Z2026,{"South";"SouthEast";"SouthWest";"North";"NorthEast";"East";"West";"NorthWest"},0),1,2,3,4,5,6,7,8)</f>
        <v>1</v>
      </c>
      <c r="AB2026" s="2">
        <f t="shared" si="316"/>
        <v>0</v>
      </c>
      <c r="AC2026">
        <v>1015.1</v>
      </c>
      <c r="AD2026" t="s">
        <v>2418</v>
      </c>
      <c r="AE2026" s="2">
        <f t="shared" si="317"/>
        <v>0</v>
      </c>
      <c r="AF2026" t="s">
        <v>2768</v>
      </c>
      <c r="AG2026" s="2">
        <f t="shared" si="318"/>
        <v>4</v>
      </c>
      <c r="AH2026" s="2">
        <f t="shared" si="319"/>
        <v>0</v>
      </c>
      <c r="AI2026" s="3">
        <v>68.000000001629815</v>
      </c>
      <c r="AJ2026" s="2">
        <v>0</v>
      </c>
      <c r="AK2026">
        <v>0</v>
      </c>
      <c r="AL2026">
        <v>0.4</v>
      </c>
      <c r="AM2026">
        <v>0</v>
      </c>
      <c r="AN2026" s="2">
        <f>IF((2*G2026+M2026-O2026+3*V2026+2*AB2026+2*AE2026+2*AH2026+3*AJ2026)&gt;=7,1,0)</f>
        <v>0</v>
      </c>
    </row>
    <row r="2027" spans="1:40" x14ac:dyDescent="0.25">
      <c r="A2027" t="s">
        <v>27</v>
      </c>
      <c r="B2027" s="1">
        <v>42844</v>
      </c>
      <c r="C2027" s="6">
        <f t="shared" si="310"/>
        <v>2017</v>
      </c>
      <c r="D2027">
        <v>75.2</v>
      </c>
      <c r="E2027">
        <v>55.4</v>
      </c>
      <c r="F2027">
        <v>65</v>
      </c>
      <c r="G2027" s="2">
        <f t="shared" si="311"/>
        <v>0</v>
      </c>
      <c r="H2027">
        <v>75.2</v>
      </c>
      <c r="I2027">
        <v>55.4</v>
      </c>
      <c r="J2027">
        <v>65</v>
      </c>
      <c r="K2027">
        <v>56.6</v>
      </c>
      <c r="L2027">
        <v>75.3</v>
      </c>
      <c r="M2027" s="2">
        <f t="shared" si="312"/>
        <v>0</v>
      </c>
      <c r="N2027">
        <v>0</v>
      </c>
      <c r="O2027" s="2">
        <f t="shared" si="313"/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25.3</v>
      </c>
      <c r="V2027" s="2">
        <f t="shared" si="314"/>
        <v>1</v>
      </c>
      <c r="W2027">
        <v>19.7</v>
      </c>
      <c r="X2027" s="2">
        <f t="shared" si="315"/>
        <v>1</v>
      </c>
      <c r="Y2027">
        <v>167.2</v>
      </c>
      <c r="Z2027" s="2" t="str">
        <f>CHOOSE(MATCH(Y2027,{0;11;80;111;161;191;241;281;341},1),"North","NorthEast","East","SouthEast","South","SouthWest","West","NorthWest","North")</f>
        <v>South</v>
      </c>
      <c r="AA2027" s="4">
        <f>CHOOSE(MATCH(Z2027,{"South";"SouthEast";"SouthWest";"North";"NorthEast";"East";"West";"NorthWest"},0),1,2,3,4,5,6,7,8)</f>
        <v>1</v>
      </c>
      <c r="AB2027" s="2">
        <f t="shared" si="316"/>
        <v>0</v>
      </c>
      <c r="AC2027">
        <v>1015.3</v>
      </c>
      <c r="AD2027" t="s">
        <v>2214</v>
      </c>
      <c r="AE2027" s="2">
        <f t="shared" si="317"/>
        <v>1</v>
      </c>
      <c r="AF2027" t="s">
        <v>2769</v>
      </c>
      <c r="AG2027" s="2">
        <f t="shared" si="318"/>
        <v>4</v>
      </c>
      <c r="AH2027" s="2">
        <f t="shared" si="319"/>
        <v>0</v>
      </c>
      <c r="AI2027" s="3">
        <v>161.00000000093129</v>
      </c>
      <c r="AJ2027" s="2">
        <v>0</v>
      </c>
      <c r="AK2027">
        <v>0</v>
      </c>
      <c r="AL2027">
        <v>0.01</v>
      </c>
      <c r="AM2027">
        <v>0</v>
      </c>
      <c r="AN2027" s="2">
        <f>IF((2*G2027+M2027-O2027+3*V2027+2*AB2027+2*AE2027+2*AH2027+3*AJ2027)&gt;=7,1,0)</f>
        <v>0</v>
      </c>
    </row>
    <row r="2028" spans="1:40" x14ac:dyDescent="0.25">
      <c r="A2028" t="s">
        <v>27</v>
      </c>
      <c r="B2028" s="1">
        <v>42844</v>
      </c>
      <c r="C2028" s="6">
        <f t="shared" si="310"/>
        <v>2017</v>
      </c>
      <c r="D2028">
        <v>75.2</v>
      </c>
      <c r="E2028">
        <v>55.4</v>
      </c>
      <c r="F2028">
        <v>65</v>
      </c>
      <c r="G2028" s="2">
        <f t="shared" si="311"/>
        <v>0</v>
      </c>
      <c r="H2028">
        <v>75.2</v>
      </c>
      <c r="I2028">
        <v>55.4</v>
      </c>
      <c r="J2028">
        <v>65</v>
      </c>
      <c r="K2028">
        <v>56.6</v>
      </c>
      <c r="L2028">
        <v>75.3</v>
      </c>
      <c r="M2028" s="2">
        <f t="shared" si="312"/>
        <v>0</v>
      </c>
      <c r="N2028">
        <v>0</v>
      </c>
      <c r="O2028" s="2">
        <f t="shared" si="313"/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25.3</v>
      </c>
      <c r="V2028" s="2">
        <f t="shared" si="314"/>
        <v>1</v>
      </c>
      <c r="W2028">
        <v>19.7</v>
      </c>
      <c r="X2028" s="2">
        <f t="shared" si="315"/>
        <v>1</v>
      </c>
      <c r="Y2028">
        <v>167.2</v>
      </c>
      <c r="Z2028" s="2" t="str">
        <f>CHOOSE(MATCH(Y2028,{0;11;80;111;161;191;241;281;341},1),"North","NorthEast","East","SouthEast","South","SouthWest","West","NorthWest","North")</f>
        <v>South</v>
      </c>
      <c r="AA2028" s="4">
        <f>CHOOSE(MATCH(Z2028,{"South";"SouthEast";"SouthWest";"North";"NorthEast";"East";"West";"NorthWest"},0),1,2,3,4,5,6,7,8)</f>
        <v>1</v>
      </c>
      <c r="AB2028" s="2">
        <f t="shared" si="316"/>
        <v>0</v>
      </c>
      <c r="AC2028">
        <v>1015.3</v>
      </c>
      <c r="AD2028" t="s">
        <v>1182</v>
      </c>
      <c r="AE2028" s="2">
        <f t="shared" si="317"/>
        <v>1</v>
      </c>
      <c r="AF2028" t="s">
        <v>2770</v>
      </c>
      <c r="AG2028" s="2">
        <f t="shared" si="318"/>
        <v>4</v>
      </c>
      <c r="AH2028" s="2">
        <f t="shared" si="319"/>
        <v>0</v>
      </c>
      <c r="AI2028" s="3">
        <v>20.00000000232831</v>
      </c>
      <c r="AJ2028" s="2">
        <v>0</v>
      </c>
      <c r="AK2028">
        <v>0</v>
      </c>
      <c r="AL2028">
        <v>0.05</v>
      </c>
      <c r="AM2028">
        <v>0</v>
      </c>
      <c r="AN2028" s="2">
        <f>IF((2*G2028+M2028-O2028+3*V2028+2*AB2028+2*AE2028+2*AH2028+3*AJ2028)&gt;=7,1,0)</f>
        <v>0</v>
      </c>
    </row>
    <row r="2029" spans="1:40" x14ac:dyDescent="0.25">
      <c r="A2029" t="s">
        <v>27</v>
      </c>
      <c r="B2029" s="1">
        <v>42845</v>
      </c>
      <c r="C2029" s="6">
        <f t="shared" si="310"/>
        <v>2017</v>
      </c>
      <c r="D2029">
        <v>80.599999999999994</v>
      </c>
      <c r="E2029">
        <v>64.400000000000006</v>
      </c>
      <c r="F2029">
        <v>68.400000000000006</v>
      </c>
      <c r="G2029" s="2">
        <f t="shared" si="311"/>
        <v>0</v>
      </c>
      <c r="H2029">
        <v>82.7</v>
      </c>
      <c r="I2029">
        <v>64.400000000000006</v>
      </c>
      <c r="J2029">
        <v>68.5</v>
      </c>
      <c r="K2029">
        <v>58.2</v>
      </c>
      <c r="L2029">
        <v>70.400000000000006</v>
      </c>
      <c r="M2029" s="2">
        <f t="shared" si="312"/>
        <v>0</v>
      </c>
      <c r="N2029">
        <v>0</v>
      </c>
      <c r="O2029" s="2">
        <f t="shared" si="313"/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39.1</v>
      </c>
      <c r="V2029" s="2">
        <f t="shared" si="314"/>
        <v>1</v>
      </c>
      <c r="W2029">
        <v>25.3</v>
      </c>
      <c r="X2029" s="2">
        <f t="shared" si="315"/>
        <v>1</v>
      </c>
      <c r="Y2029">
        <v>175.7</v>
      </c>
      <c r="Z2029" s="2" t="str">
        <f>CHOOSE(MATCH(Y2029,{0;11;80;111;161;191;241;281;341},1),"North","NorthEast","East","SouthEast","South","SouthWest","West","NorthWest","North")</f>
        <v>South</v>
      </c>
      <c r="AA2029" s="4">
        <f>CHOOSE(MATCH(Z2029,{"South";"SouthEast";"SouthWest";"North";"NorthEast";"East";"West";"NorthWest"},0),1,2,3,4,5,6,7,8)</f>
        <v>1</v>
      </c>
      <c r="AB2029" s="2">
        <f t="shared" si="316"/>
        <v>0</v>
      </c>
      <c r="AC2029">
        <v>1012.2</v>
      </c>
      <c r="AD2029" t="s">
        <v>2085</v>
      </c>
      <c r="AE2029" s="2">
        <f t="shared" si="317"/>
        <v>0</v>
      </c>
      <c r="AF2029" t="s">
        <v>2771</v>
      </c>
      <c r="AG2029" s="2">
        <f t="shared" si="318"/>
        <v>4</v>
      </c>
      <c r="AH2029" s="2">
        <f t="shared" si="319"/>
        <v>0</v>
      </c>
      <c r="AI2029" s="3">
        <v>105.9999999997672</v>
      </c>
      <c r="AJ2029" s="2">
        <v>0</v>
      </c>
      <c r="AK2029">
        <v>0</v>
      </c>
      <c r="AL2029">
        <v>0.5</v>
      </c>
      <c r="AM2029">
        <v>0</v>
      </c>
      <c r="AN2029" s="2">
        <f>IF((2*G2029+M2029-O2029+3*V2029+2*AB2029+2*AE2029+2*AH2029+3*AJ2029)&gt;=7,1,0)</f>
        <v>0</v>
      </c>
    </row>
    <row r="2030" spans="1:40" x14ac:dyDescent="0.25">
      <c r="A2030" t="s">
        <v>27</v>
      </c>
      <c r="B2030" s="1">
        <v>42845</v>
      </c>
      <c r="C2030" s="6">
        <f t="shared" si="310"/>
        <v>2017</v>
      </c>
      <c r="D2030">
        <v>80.599999999999994</v>
      </c>
      <c r="E2030">
        <v>64.400000000000006</v>
      </c>
      <c r="F2030">
        <v>68.400000000000006</v>
      </c>
      <c r="G2030" s="2">
        <f t="shared" si="311"/>
        <v>0</v>
      </c>
      <c r="H2030">
        <v>82.7</v>
      </c>
      <c r="I2030">
        <v>64.400000000000006</v>
      </c>
      <c r="J2030">
        <v>68.5</v>
      </c>
      <c r="K2030">
        <v>58.2</v>
      </c>
      <c r="L2030">
        <v>70.400000000000006</v>
      </c>
      <c r="M2030" s="2">
        <f t="shared" si="312"/>
        <v>0</v>
      </c>
      <c r="N2030">
        <v>0</v>
      </c>
      <c r="O2030" s="2">
        <f t="shared" si="313"/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39.1</v>
      </c>
      <c r="V2030" s="2">
        <f t="shared" si="314"/>
        <v>1</v>
      </c>
      <c r="W2030">
        <v>25.3</v>
      </c>
      <c r="X2030" s="2">
        <f t="shared" si="315"/>
        <v>1</v>
      </c>
      <c r="Y2030">
        <v>175.7</v>
      </c>
      <c r="Z2030" s="2" t="str">
        <f>CHOOSE(MATCH(Y2030,{0;11;80;111;161;191;241;281;341},1),"North","NorthEast","East","SouthEast","South","SouthWest","West","NorthWest","North")</f>
        <v>South</v>
      </c>
      <c r="AA2030" s="4">
        <f>CHOOSE(MATCH(Z2030,{"South";"SouthEast";"SouthWest";"North";"NorthEast";"East";"West";"NorthWest"},0),1,2,3,4,5,6,7,8)</f>
        <v>1</v>
      </c>
      <c r="AB2030" s="2">
        <f t="shared" si="316"/>
        <v>0</v>
      </c>
      <c r="AC2030">
        <v>1012.2</v>
      </c>
      <c r="AD2030" t="s">
        <v>2342</v>
      </c>
      <c r="AE2030" s="2">
        <f t="shared" si="317"/>
        <v>1</v>
      </c>
      <c r="AF2030" t="s">
        <v>2772</v>
      </c>
      <c r="AG2030" s="2">
        <f t="shared" si="318"/>
        <v>4</v>
      </c>
      <c r="AH2030" s="2">
        <f t="shared" si="319"/>
        <v>0</v>
      </c>
      <c r="AI2030" s="3">
        <v>367.9999999946449</v>
      </c>
      <c r="AJ2030" s="2">
        <v>1</v>
      </c>
      <c r="AK2030">
        <v>0</v>
      </c>
      <c r="AL2030">
        <v>5</v>
      </c>
      <c r="AM2030">
        <v>0</v>
      </c>
      <c r="AN2030" s="2">
        <f>IF((2*G2030+M2030-O2030+3*V2030+2*AB2030+2*AE2030+2*AH2030+3*AJ2030)&gt;=7,1,0)</f>
        <v>1</v>
      </c>
    </row>
    <row r="2031" spans="1:40" x14ac:dyDescent="0.25">
      <c r="A2031" t="s">
        <v>27</v>
      </c>
      <c r="B2031" s="1">
        <v>42846</v>
      </c>
      <c r="C2031" s="6">
        <f t="shared" si="310"/>
        <v>2017</v>
      </c>
      <c r="D2031">
        <v>66.2</v>
      </c>
      <c r="E2031">
        <v>59</v>
      </c>
      <c r="F2031">
        <v>62.4</v>
      </c>
      <c r="G2031" s="2">
        <f t="shared" si="311"/>
        <v>0</v>
      </c>
      <c r="H2031">
        <v>66.2</v>
      </c>
      <c r="I2031">
        <v>59</v>
      </c>
      <c r="J2031">
        <v>62.4</v>
      </c>
      <c r="K2031">
        <v>55.2</v>
      </c>
      <c r="L2031">
        <v>77.7</v>
      </c>
      <c r="M2031" s="2">
        <f t="shared" si="312"/>
        <v>0</v>
      </c>
      <c r="N2031">
        <v>0</v>
      </c>
      <c r="O2031" s="2">
        <f t="shared" si="313"/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24.2</v>
      </c>
      <c r="V2031" s="2">
        <f t="shared" si="314"/>
        <v>1</v>
      </c>
      <c r="W2031">
        <v>16</v>
      </c>
      <c r="X2031" s="2">
        <f t="shared" si="315"/>
        <v>1</v>
      </c>
      <c r="Y2031">
        <v>345.2</v>
      </c>
      <c r="Z2031" s="2" t="str">
        <f>CHOOSE(MATCH(Y2031,{0;11;80;111;161;191;241;281;341},1),"North","NorthEast","East","SouthEast","South","SouthWest","West","NorthWest","North")</f>
        <v>North</v>
      </c>
      <c r="AA2031" s="4">
        <f>CHOOSE(MATCH(Z2031,{"South";"SouthEast";"SouthWest";"North";"NorthEast";"East";"West";"NorthWest"},0),1,2,3,4,5,6,7,8)</f>
        <v>4</v>
      </c>
      <c r="AB2031" s="2">
        <f t="shared" si="316"/>
        <v>1</v>
      </c>
      <c r="AC2031">
        <v>1016.1</v>
      </c>
      <c r="AD2031" t="s">
        <v>2773</v>
      </c>
      <c r="AE2031" s="2">
        <f t="shared" si="317"/>
        <v>1</v>
      </c>
      <c r="AF2031" t="s">
        <v>2774</v>
      </c>
      <c r="AG2031" s="2">
        <f t="shared" si="318"/>
        <v>4</v>
      </c>
      <c r="AH2031" s="2">
        <f t="shared" si="319"/>
        <v>0</v>
      </c>
      <c r="AI2031" s="3">
        <v>53.999999997904517</v>
      </c>
      <c r="AJ2031" s="2">
        <v>0</v>
      </c>
      <c r="AK2031">
        <v>0</v>
      </c>
      <c r="AL2031">
        <v>1.5</v>
      </c>
      <c r="AM2031">
        <v>0</v>
      </c>
      <c r="AN2031" s="2">
        <f>IF((2*G2031+M2031-O2031+3*V2031+2*AB2031+2*AE2031+2*AH2031+3*AJ2031)&gt;=7,1,0)</f>
        <v>0</v>
      </c>
    </row>
    <row r="2032" spans="1:40" x14ac:dyDescent="0.25">
      <c r="A2032" t="s">
        <v>27</v>
      </c>
      <c r="B2032" s="1">
        <v>42846</v>
      </c>
      <c r="C2032" s="6">
        <f t="shared" si="310"/>
        <v>2017</v>
      </c>
      <c r="D2032">
        <v>66.2</v>
      </c>
      <c r="E2032">
        <v>59</v>
      </c>
      <c r="F2032">
        <v>62.4</v>
      </c>
      <c r="G2032" s="2">
        <f t="shared" si="311"/>
        <v>0</v>
      </c>
      <c r="H2032">
        <v>66.2</v>
      </c>
      <c r="I2032">
        <v>59</v>
      </c>
      <c r="J2032">
        <v>62.4</v>
      </c>
      <c r="K2032">
        <v>55.2</v>
      </c>
      <c r="L2032">
        <v>77.7</v>
      </c>
      <c r="M2032" s="2">
        <f t="shared" si="312"/>
        <v>0</v>
      </c>
      <c r="N2032">
        <v>0</v>
      </c>
      <c r="O2032" s="2">
        <f t="shared" si="313"/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24.2</v>
      </c>
      <c r="V2032" s="2">
        <f t="shared" si="314"/>
        <v>1</v>
      </c>
      <c r="W2032">
        <v>16</v>
      </c>
      <c r="X2032" s="2">
        <f t="shared" si="315"/>
        <v>1</v>
      </c>
      <c r="Y2032">
        <v>345.2</v>
      </c>
      <c r="Z2032" s="2" t="str">
        <f>CHOOSE(MATCH(Y2032,{0;11;80;111;161;191;241;281;341},1),"North","NorthEast","East","SouthEast","South","SouthWest","West","NorthWest","North")</f>
        <v>North</v>
      </c>
      <c r="AA2032" s="4">
        <f>CHOOSE(MATCH(Z2032,{"South";"SouthEast";"SouthWest";"North";"NorthEast";"East";"West";"NorthWest"},0),1,2,3,4,5,6,7,8)</f>
        <v>4</v>
      </c>
      <c r="AB2032" s="2">
        <f t="shared" si="316"/>
        <v>1</v>
      </c>
      <c r="AC2032">
        <v>1016.1</v>
      </c>
      <c r="AD2032" t="s">
        <v>1077</v>
      </c>
      <c r="AE2032" s="2">
        <f t="shared" si="317"/>
        <v>1</v>
      </c>
      <c r="AF2032" t="s">
        <v>2775</v>
      </c>
      <c r="AG2032" s="2">
        <f t="shared" si="318"/>
        <v>4</v>
      </c>
      <c r="AH2032" s="2">
        <f t="shared" si="319"/>
        <v>0</v>
      </c>
      <c r="AI2032" s="3">
        <v>24.99999999767169</v>
      </c>
      <c r="AJ2032" s="2">
        <v>0</v>
      </c>
      <c r="AK2032">
        <v>0</v>
      </c>
      <c r="AL2032">
        <v>0.03</v>
      </c>
      <c r="AM2032">
        <v>0</v>
      </c>
      <c r="AN2032" s="2">
        <f>IF((2*G2032+M2032-O2032+3*V2032+2*AB2032+2*AE2032+2*AH2032+3*AJ2032)&gt;=7,1,0)</f>
        <v>0</v>
      </c>
    </row>
    <row r="2033" spans="1:40" x14ac:dyDescent="0.25">
      <c r="A2033" t="s">
        <v>27</v>
      </c>
      <c r="B2033" s="1">
        <v>42852</v>
      </c>
      <c r="C2033" s="6">
        <f t="shared" si="310"/>
        <v>2017</v>
      </c>
      <c r="D2033">
        <v>69.900000000000006</v>
      </c>
      <c r="E2033">
        <v>50.1</v>
      </c>
      <c r="F2033">
        <v>60.3</v>
      </c>
      <c r="G2033" s="2">
        <f t="shared" si="311"/>
        <v>0</v>
      </c>
      <c r="H2033">
        <v>69.900000000000006</v>
      </c>
      <c r="I2033">
        <v>50.1</v>
      </c>
      <c r="J2033">
        <v>60.3</v>
      </c>
      <c r="K2033">
        <v>50.7</v>
      </c>
      <c r="L2033">
        <v>71</v>
      </c>
      <c r="M2033" s="2">
        <f t="shared" si="312"/>
        <v>0</v>
      </c>
      <c r="N2033">
        <v>0</v>
      </c>
      <c r="O2033" s="2">
        <f t="shared" si="313"/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14.8</v>
      </c>
      <c r="V2033" s="2">
        <f t="shared" si="314"/>
        <v>1</v>
      </c>
      <c r="W2033">
        <v>8.1</v>
      </c>
      <c r="X2033" s="2">
        <f t="shared" si="315"/>
        <v>0</v>
      </c>
      <c r="Y2033">
        <v>136.19999999999999</v>
      </c>
      <c r="Z2033" s="2" t="str">
        <f>CHOOSE(MATCH(Y2033,{0;11;80;111;161;191;241;281;341},1),"North","NorthEast","East","SouthEast","South","SouthWest","West","NorthWest","North")</f>
        <v>SouthEast</v>
      </c>
      <c r="AA2033" s="4">
        <f>CHOOSE(MATCH(Z2033,{"South";"SouthEast";"SouthWest";"North";"NorthEast";"East";"West";"NorthWest"},0),1,2,3,4,5,6,7,8)</f>
        <v>2</v>
      </c>
      <c r="AB2033" s="2">
        <f t="shared" si="316"/>
        <v>0</v>
      </c>
      <c r="AC2033">
        <v>1017</v>
      </c>
      <c r="AD2033" t="s">
        <v>2776</v>
      </c>
      <c r="AE2033" s="2">
        <f t="shared" si="317"/>
        <v>1</v>
      </c>
      <c r="AF2033" t="s">
        <v>2777</v>
      </c>
      <c r="AG2033" s="2">
        <f t="shared" si="318"/>
        <v>4</v>
      </c>
      <c r="AH2033" s="2">
        <f t="shared" si="319"/>
        <v>0</v>
      </c>
      <c r="AI2033" s="3">
        <v>158.00000000162979</v>
      </c>
      <c r="AJ2033" s="2">
        <v>0</v>
      </c>
      <c r="AK2033">
        <v>0</v>
      </c>
      <c r="AL2033">
        <v>0.5</v>
      </c>
      <c r="AM2033">
        <v>0</v>
      </c>
      <c r="AN2033" s="2">
        <f>IF((2*G2033+M2033-O2033+3*V2033+2*AB2033+2*AE2033+2*AH2033+3*AJ2033)&gt;=7,1,0)</f>
        <v>0</v>
      </c>
    </row>
    <row r="2034" spans="1:40" x14ac:dyDescent="0.25">
      <c r="A2034" t="s">
        <v>27</v>
      </c>
      <c r="B2034" s="1">
        <v>42853</v>
      </c>
      <c r="C2034" s="6">
        <f t="shared" si="310"/>
        <v>2017</v>
      </c>
      <c r="D2034">
        <v>71.7</v>
      </c>
      <c r="E2034">
        <v>49.2</v>
      </c>
      <c r="F2034">
        <v>61.7</v>
      </c>
      <c r="G2034" s="2">
        <f t="shared" si="311"/>
        <v>0</v>
      </c>
      <c r="H2034">
        <v>71.7</v>
      </c>
      <c r="I2034">
        <v>47.7</v>
      </c>
      <c r="J2034">
        <v>61.6</v>
      </c>
      <c r="K2034">
        <v>52.9</v>
      </c>
      <c r="L2034">
        <v>74</v>
      </c>
      <c r="M2034" s="2">
        <f t="shared" si="312"/>
        <v>0</v>
      </c>
      <c r="N2034">
        <v>0</v>
      </c>
      <c r="O2034" s="2">
        <f t="shared" si="313"/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13.9</v>
      </c>
      <c r="V2034" s="2">
        <f t="shared" si="314"/>
        <v>1</v>
      </c>
      <c r="W2034">
        <v>8.1</v>
      </c>
      <c r="X2034" s="2">
        <f t="shared" si="315"/>
        <v>0</v>
      </c>
      <c r="Y2034">
        <v>140.5</v>
      </c>
      <c r="Z2034" s="2" t="str">
        <f>CHOOSE(MATCH(Y2034,{0;11;80;111;161;191;241;281;341},1),"North","NorthEast","East","SouthEast","South","SouthWest","West","NorthWest","North")</f>
        <v>SouthEast</v>
      </c>
      <c r="AA2034" s="4">
        <f>CHOOSE(MATCH(Z2034,{"South";"SouthEast";"SouthWest";"North";"NorthEast";"East";"West";"NorthWest"},0),1,2,3,4,5,6,7,8)</f>
        <v>2</v>
      </c>
      <c r="AB2034" s="2">
        <f t="shared" si="316"/>
        <v>0</v>
      </c>
      <c r="AC2034">
        <v>1016.1</v>
      </c>
      <c r="AD2034" t="s">
        <v>2778</v>
      </c>
      <c r="AE2034" s="2">
        <f t="shared" si="317"/>
        <v>1</v>
      </c>
      <c r="AF2034" t="s">
        <v>2779</v>
      </c>
      <c r="AG2034" s="2">
        <f t="shared" si="318"/>
        <v>4</v>
      </c>
      <c r="AH2034" s="2">
        <f t="shared" si="319"/>
        <v>0</v>
      </c>
      <c r="AI2034" s="3">
        <v>40.999999997438863</v>
      </c>
      <c r="AJ2034" s="2">
        <v>0</v>
      </c>
      <c r="AK2034">
        <v>0</v>
      </c>
      <c r="AL2034">
        <v>0.02</v>
      </c>
      <c r="AM2034">
        <v>0</v>
      </c>
      <c r="AN2034" s="2">
        <f>IF((2*G2034+M2034-O2034+3*V2034+2*AB2034+2*AE2034+2*AH2034+3*AJ2034)&gt;=7,1,0)</f>
        <v>0</v>
      </c>
    </row>
    <row r="2035" spans="1:40" x14ac:dyDescent="0.25">
      <c r="A2035" t="s">
        <v>27</v>
      </c>
      <c r="B2035" s="1">
        <v>42853</v>
      </c>
      <c r="C2035" s="6">
        <f t="shared" si="310"/>
        <v>2017</v>
      </c>
      <c r="D2035">
        <v>71.7</v>
      </c>
      <c r="E2035">
        <v>49.2</v>
      </c>
      <c r="F2035">
        <v>61.7</v>
      </c>
      <c r="G2035" s="2">
        <f t="shared" si="311"/>
        <v>0</v>
      </c>
      <c r="H2035">
        <v>71.7</v>
      </c>
      <c r="I2035">
        <v>47.7</v>
      </c>
      <c r="J2035">
        <v>61.6</v>
      </c>
      <c r="K2035">
        <v>52.9</v>
      </c>
      <c r="L2035">
        <v>74</v>
      </c>
      <c r="M2035" s="2">
        <f t="shared" si="312"/>
        <v>0</v>
      </c>
      <c r="N2035">
        <v>0</v>
      </c>
      <c r="O2035" s="2">
        <f t="shared" si="313"/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13.9</v>
      </c>
      <c r="V2035" s="2">
        <f t="shared" si="314"/>
        <v>1</v>
      </c>
      <c r="W2035">
        <v>8.1</v>
      </c>
      <c r="X2035" s="2">
        <f t="shared" si="315"/>
        <v>0</v>
      </c>
      <c r="Y2035">
        <v>140.5</v>
      </c>
      <c r="Z2035" s="2" t="str">
        <f>CHOOSE(MATCH(Y2035,{0;11;80;111;161;191;241;281;341},1),"North","NorthEast","East","SouthEast","South","SouthWest","West","NorthWest","North")</f>
        <v>SouthEast</v>
      </c>
      <c r="AA2035" s="4">
        <f>CHOOSE(MATCH(Z2035,{"South";"SouthEast";"SouthWest";"North";"NorthEast";"East";"West";"NorthWest"},0),1,2,3,4,5,6,7,8)</f>
        <v>2</v>
      </c>
      <c r="AB2035" s="2">
        <f t="shared" si="316"/>
        <v>0</v>
      </c>
      <c r="AC2035">
        <v>1016.1</v>
      </c>
      <c r="AD2035" t="s">
        <v>2492</v>
      </c>
      <c r="AE2035" s="2">
        <f t="shared" si="317"/>
        <v>1</v>
      </c>
      <c r="AF2035" t="s">
        <v>2780</v>
      </c>
      <c r="AG2035" s="2">
        <f t="shared" si="318"/>
        <v>4</v>
      </c>
      <c r="AH2035" s="2">
        <f t="shared" si="319"/>
        <v>0</v>
      </c>
      <c r="AI2035" s="3">
        <v>277.00000000186259</v>
      </c>
      <c r="AJ2035" s="2">
        <v>0</v>
      </c>
      <c r="AK2035">
        <v>5</v>
      </c>
      <c r="AL2035">
        <v>0</v>
      </c>
      <c r="AM2035">
        <v>0</v>
      </c>
      <c r="AN2035" s="2">
        <f>IF((2*G2035+M2035-O2035+3*V2035+2*AB2035+2*AE2035+2*AH2035+3*AJ2035)&gt;=7,1,0)</f>
        <v>0</v>
      </c>
    </row>
    <row r="2036" spans="1:40" x14ac:dyDescent="0.25">
      <c r="A2036" t="s">
        <v>27</v>
      </c>
      <c r="B2036" s="1">
        <v>42855</v>
      </c>
      <c r="C2036" s="6">
        <f t="shared" si="310"/>
        <v>2017</v>
      </c>
      <c r="D2036">
        <v>80.599999999999994</v>
      </c>
      <c r="E2036">
        <v>64.400000000000006</v>
      </c>
      <c r="F2036">
        <v>73.3</v>
      </c>
      <c r="G2036" s="2">
        <f t="shared" si="311"/>
        <v>1</v>
      </c>
      <c r="H2036">
        <v>80.8</v>
      </c>
      <c r="I2036">
        <v>64.400000000000006</v>
      </c>
      <c r="J2036">
        <v>73.3</v>
      </c>
      <c r="K2036">
        <v>56.9</v>
      </c>
      <c r="L2036">
        <v>58.6</v>
      </c>
      <c r="M2036" s="2">
        <f t="shared" si="312"/>
        <v>1</v>
      </c>
      <c r="N2036">
        <v>0</v>
      </c>
      <c r="O2036" s="2">
        <f t="shared" si="313"/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32.200000000000003</v>
      </c>
      <c r="V2036" s="2">
        <f t="shared" si="314"/>
        <v>1</v>
      </c>
      <c r="W2036">
        <v>27.7</v>
      </c>
      <c r="X2036" s="2">
        <f t="shared" si="315"/>
        <v>1</v>
      </c>
      <c r="Y2036">
        <v>190.6</v>
      </c>
      <c r="Z2036" s="2" t="str">
        <f>CHOOSE(MATCH(Y2036,{0;11;80;111;161;191;241;281;341},1),"North","NorthEast","East","SouthEast","South","SouthWest","West","NorthWest","North")</f>
        <v>South</v>
      </c>
      <c r="AA2036" s="4">
        <f>CHOOSE(MATCH(Z2036,{"South";"SouthEast";"SouthWest";"North";"NorthEast";"East";"West";"NorthWest"},0),1,2,3,4,5,6,7,8)</f>
        <v>1</v>
      </c>
      <c r="AB2036" s="2">
        <f t="shared" si="316"/>
        <v>0</v>
      </c>
      <c r="AC2036">
        <v>1007.6</v>
      </c>
      <c r="AD2036" t="s">
        <v>2781</v>
      </c>
      <c r="AE2036" s="2">
        <f t="shared" si="317"/>
        <v>1</v>
      </c>
      <c r="AF2036" t="s">
        <v>2782</v>
      </c>
      <c r="AG2036" s="2">
        <f t="shared" si="318"/>
        <v>4</v>
      </c>
      <c r="AH2036" s="2">
        <f t="shared" si="319"/>
        <v>0</v>
      </c>
      <c r="AI2036" s="3">
        <v>136.99999999604191</v>
      </c>
      <c r="AJ2036" s="2">
        <v>0</v>
      </c>
      <c r="AK2036">
        <v>0</v>
      </c>
      <c r="AL2036">
        <v>2</v>
      </c>
      <c r="AM2036">
        <v>0</v>
      </c>
      <c r="AN2036" s="2">
        <f>IF((2*G2036+M2036-O2036+3*V2036+2*AB2036+2*AE2036+2*AH2036+3*AJ2036)&gt;=7,1,0)</f>
        <v>1</v>
      </c>
    </row>
    <row r="2037" spans="1:40" x14ac:dyDescent="0.25">
      <c r="A2037" t="s">
        <v>27</v>
      </c>
      <c r="B2037" s="1">
        <v>42857</v>
      </c>
      <c r="C2037" s="6">
        <f t="shared" si="310"/>
        <v>2017</v>
      </c>
      <c r="D2037">
        <v>71.599999999999994</v>
      </c>
      <c r="E2037">
        <v>59</v>
      </c>
      <c r="F2037">
        <v>65.5</v>
      </c>
      <c r="G2037" s="2">
        <f t="shared" si="311"/>
        <v>0</v>
      </c>
      <c r="H2037">
        <v>71.599999999999994</v>
      </c>
      <c r="I2037">
        <v>59</v>
      </c>
      <c r="J2037">
        <v>65.5</v>
      </c>
      <c r="K2037">
        <v>58.4</v>
      </c>
      <c r="L2037">
        <v>78.8</v>
      </c>
      <c r="M2037" s="2">
        <f t="shared" si="312"/>
        <v>0</v>
      </c>
      <c r="N2037">
        <v>0</v>
      </c>
      <c r="O2037" s="2">
        <f t="shared" si="313"/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22.6</v>
      </c>
      <c r="V2037" s="2">
        <f t="shared" si="314"/>
        <v>1</v>
      </c>
      <c r="W2037">
        <v>14.9</v>
      </c>
      <c r="X2037" s="2">
        <f t="shared" si="315"/>
        <v>0</v>
      </c>
      <c r="Y2037">
        <v>304.60000000000002</v>
      </c>
      <c r="Z2037" s="2" t="str">
        <f>CHOOSE(MATCH(Y2037,{0;11;80;111;161;191;241;281;341},1),"North","NorthEast","East","SouthEast","South","SouthWest","West","NorthWest","North")</f>
        <v>NorthWest</v>
      </c>
      <c r="AA2037" s="4">
        <f>CHOOSE(MATCH(Z2037,{"South";"SouthEast";"SouthWest";"North";"NorthEast";"East";"West";"NorthWest"},0),1,2,3,4,5,6,7,8)</f>
        <v>8</v>
      </c>
      <c r="AB2037" s="2">
        <f t="shared" si="316"/>
        <v>1</v>
      </c>
      <c r="AC2037">
        <v>1013.3</v>
      </c>
      <c r="AD2037" t="s">
        <v>1237</v>
      </c>
      <c r="AE2037" s="2">
        <f t="shared" si="317"/>
        <v>1</v>
      </c>
      <c r="AF2037" t="s">
        <v>2783</v>
      </c>
      <c r="AG2037" s="2">
        <f t="shared" si="318"/>
        <v>5</v>
      </c>
      <c r="AH2037" s="2">
        <f t="shared" si="319"/>
        <v>0</v>
      </c>
      <c r="AI2037" s="3">
        <v>390.00000000349252</v>
      </c>
      <c r="AJ2037" s="2">
        <v>1</v>
      </c>
      <c r="AK2037">
        <v>0</v>
      </c>
      <c r="AL2037">
        <v>6</v>
      </c>
      <c r="AM2037">
        <v>0</v>
      </c>
      <c r="AN2037" s="2">
        <f>IF((2*G2037+M2037-O2037+3*V2037+2*AB2037+2*AE2037+2*AH2037+3*AJ2037)&gt;=7,1,0)</f>
        <v>1</v>
      </c>
    </row>
    <row r="2038" spans="1:40" x14ac:dyDescent="0.25">
      <c r="A2038" t="s">
        <v>27</v>
      </c>
      <c r="B2038" s="1">
        <v>42863</v>
      </c>
      <c r="C2038" s="6">
        <f t="shared" si="310"/>
        <v>2017</v>
      </c>
      <c r="D2038">
        <v>80.599999999999994</v>
      </c>
      <c r="E2038">
        <v>66.3</v>
      </c>
      <c r="F2038">
        <v>71.400000000000006</v>
      </c>
      <c r="G2038" s="2">
        <f t="shared" si="311"/>
        <v>1</v>
      </c>
      <c r="H2038">
        <v>82.7</v>
      </c>
      <c r="I2038">
        <v>66.3</v>
      </c>
      <c r="J2038">
        <v>71.5</v>
      </c>
      <c r="K2038">
        <v>60.7</v>
      </c>
      <c r="L2038">
        <v>69.8</v>
      </c>
      <c r="M2038" s="2">
        <f t="shared" si="312"/>
        <v>0</v>
      </c>
      <c r="N2038">
        <v>0</v>
      </c>
      <c r="O2038" s="2">
        <f t="shared" si="313"/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22.6</v>
      </c>
      <c r="V2038" s="2">
        <f t="shared" si="314"/>
        <v>1</v>
      </c>
      <c r="W2038">
        <v>18.3</v>
      </c>
      <c r="X2038" s="2">
        <f t="shared" si="315"/>
        <v>1</v>
      </c>
      <c r="Y2038">
        <v>195</v>
      </c>
      <c r="Z2038" s="2" t="str">
        <f>CHOOSE(MATCH(Y2038,{0;11;80;111;161;191;241;281;341},1),"North","NorthEast","East","SouthEast","South","SouthWest","West","NorthWest","North")</f>
        <v>SouthWest</v>
      </c>
      <c r="AA2038" s="4">
        <f>CHOOSE(MATCH(Z2038,{"South";"SouthEast";"SouthWest";"North";"NorthEast";"East";"West";"NorthWest"},0),1,2,3,4,5,6,7,8)</f>
        <v>3</v>
      </c>
      <c r="AB2038" s="2">
        <f t="shared" si="316"/>
        <v>0</v>
      </c>
      <c r="AC2038">
        <v>1007.6</v>
      </c>
      <c r="AD2038" t="s">
        <v>1924</v>
      </c>
      <c r="AE2038" s="2">
        <f t="shared" si="317"/>
        <v>0</v>
      </c>
      <c r="AF2038" t="s">
        <v>2784</v>
      </c>
      <c r="AG2038" s="2">
        <f t="shared" si="318"/>
        <v>5</v>
      </c>
      <c r="AH2038" s="2">
        <f t="shared" si="319"/>
        <v>0</v>
      </c>
      <c r="AI2038" s="3">
        <v>874.99999999185093</v>
      </c>
      <c r="AJ2038" s="2">
        <v>1</v>
      </c>
      <c r="AK2038">
        <v>0</v>
      </c>
      <c r="AL2038">
        <v>4</v>
      </c>
      <c r="AM2038">
        <v>0</v>
      </c>
      <c r="AN2038" s="2">
        <f>IF((2*G2038+M2038-O2038+3*V2038+2*AB2038+2*AE2038+2*AH2038+3*AJ2038)&gt;=7,1,0)</f>
        <v>1</v>
      </c>
    </row>
    <row r="2039" spans="1:40" x14ac:dyDescent="0.25">
      <c r="A2039" t="s">
        <v>27</v>
      </c>
      <c r="B2039" s="1">
        <v>42864</v>
      </c>
      <c r="C2039" s="6">
        <f t="shared" si="310"/>
        <v>2017</v>
      </c>
      <c r="D2039">
        <v>80.599999999999994</v>
      </c>
      <c r="E2039">
        <v>64.400000000000006</v>
      </c>
      <c r="F2039">
        <v>72.7</v>
      </c>
      <c r="G2039" s="2">
        <f t="shared" si="311"/>
        <v>1</v>
      </c>
      <c r="H2039">
        <v>80.8</v>
      </c>
      <c r="I2039">
        <v>64.400000000000006</v>
      </c>
      <c r="J2039">
        <v>72.8</v>
      </c>
      <c r="K2039">
        <v>59.6</v>
      </c>
      <c r="L2039">
        <v>65.099999999999994</v>
      </c>
      <c r="M2039" s="2">
        <f t="shared" si="312"/>
        <v>1</v>
      </c>
      <c r="N2039">
        <v>0</v>
      </c>
      <c r="O2039" s="2">
        <f t="shared" si="313"/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32.200000000000003</v>
      </c>
      <c r="V2039" s="2">
        <f t="shared" si="314"/>
        <v>1</v>
      </c>
      <c r="W2039">
        <v>25.3</v>
      </c>
      <c r="X2039" s="2">
        <f t="shared" si="315"/>
        <v>1</v>
      </c>
      <c r="Y2039">
        <v>281.3</v>
      </c>
      <c r="Z2039" s="2" t="str">
        <f>CHOOSE(MATCH(Y2039,{0;11;80;111;161;191;241;281;341},1),"North","NorthEast","East","SouthEast","South","SouthWest","West","NorthWest","North")</f>
        <v>NorthWest</v>
      </c>
      <c r="AA2039" s="4">
        <f>CHOOSE(MATCH(Z2039,{"South";"SouthEast";"SouthWest";"North";"NorthEast";"East";"West";"NorthWest"},0),1,2,3,4,5,6,7,8)</f>
        <v>8</v>
      </c>
      <c r="AB2039" s="2">
        <f t="shared" si="316"/>
        <v>1</v>
      </c>
      <c r="AC2039">
        <v>1005</v>
      </c>
      <c r="AD2039" t="s">
        <v>2202</v>
      </c>
      <c r="AE2039" s="2">
        <f t="shared" si="317"/>
        <v>0</v>
      </c>
      <c r="AF2039" t="s">
        <v>2785</v>
      </c>
      <c r="AG2039" s="2">
        <f t="shared" si="318"/>
        <v>5</v>
      </c>
      <c r="AH2039" s="2">
        <f t="shared" si="319"/>
        <v>0</v>
      </c>
      <c r="AI2039" s="3">
        <v>3279.9999999941788</v>
      </c>
      <c r="AJ2039" s="2">
        <v>1</v>
      </c>
      <c r="AK2039">
        <v>0</v>
      </c>
      <c r="AL2039">
        <v>100</v>
      </c>
      <c r="AM2039">
        <v>0</v>
      </c>
      <c r="AN2039" s="2">
        <f>IF((2*G2039+M2039-O2039+3*V2039+2*AB2039+2*AE2039+2*AH2039+3*AJ2039)&gt;=7,1,0)</f>
        <v>1</v>
      </c>
    </row>
    <row r="2040" spans="1:40" x14ac:dyDescent="0.25">
      <c r="A2040" t="s">
        <v>27</v>
      </c>
      <c r="B2040" s="1">
        <v>42889</v>
      </c>
      <c r="C2040" s="6">
        <f t="shared" si="310"/>
        <v>2017</v>
      </c>
      <c r="D2040">
        <v>80.599999999999994</v>
      </c>
      <c r="E2040">
        <v>64.400000000000006</v>
      </c>
      <c r="F2040">
        <v>72.400000000000006</v>
      </c>
      <c r="G2040" s="2">
        <f t="shared" si="311"/>
        <v>1</v>
      </c>
      <c r="H2040">
        <v>81.900000000000006</v>
      </c>
      <c r="I2040">
        <v>64.400000000000006</v>
      </c>
      <c r="J2040">
        <v>72.400000000000006</v>
      </c>
      <c r="K2040">
        <v>62</v>
      </c>
      <c r="L2040">
        <v>70.599999999999994</v>
      </c>
      <c r="M2040" s="2">
        <f t="shared" si="312"/>
        <v>0</v>
      </c>
      <c r="N2040">
        <v>0</v>
      </c>
      <c r="O2040" s="2">
        <f t="shared" si="313"/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11.4</v>
      </c>
      <c r="V2040" s="2">
        <f t="shared" si="314"/>
        <v>1</v>
      </c>
      <c r="W2040">
        <v>8.1</v>
      </c>
      <c r="X2040" s="2">
        <f t="shared" si="315"/>
        <v>0</v>
      </c>
      <c r="Y2040">
        <v>103.8</v>
      </c>
      <c r="Z2040" s="2" t="str">
        <f>CHOOSE(MATCH(Y2040,{0;11;80;111;161;191;241;281;341},1),"North","NorthEast","East","SouthEast","South","SouthWest","West","NorthWest","North")</f>
        <v>East</v>
      </c>
      <c r="AA2040" s="4">
        <f>CHOOSE(MATCH(Z2040,{"South";"SouthEast";"SouthWest";"North";"NorthEast";"East";"West";"NorthWest"},0),1,2,3,4,5,6,7,8)</f>
        <v>6</v>
      </c>
      <c r="AB2040" s="2">
        <f t="shared" si="316"/>
        <v>0</v>
      </c>
      <c r="AC2040">
        <v>1013</v>
      </c>
      <c r="AD2040" t="s">
        <v>1228</v>
      </c>
      <c r="AE2040" s="2">
        <f t="shared" si="317"/>
        <v>1</v>
      </c>
      <c r="AF2040" t="s">
        <v>2786</v>
      </c>
      <c r="AG2040" s="2">
        <f t="shared" si="318"/>
        <v>6</v>
      </c>
      <c r="AH2040" s="2">
        <f t="shared" si="319"/>
        <v>1</v>
      </c>
      <c r="AI2040" s="3">
        <v>209.99999999301511</v>
      </c>
      <c r="AJ2040" s="2">
        <v>0</v>
      </c>
      <c r="AK2040">
        <v>0</v>
      </c>
      <c r="AL2040">
        <v>5000</v>
      </c>
      <c r="AM2040">
        <v>0</v>
      </c>
      <c r="AN2040" s="2">
        <f>IF((2*G2040+M2040-O2040+3*V2040+2*AB2040+2*AE2040+2*AH2040+3*AJ2040)&gt;=7,1,0)</f>
        <v>1</v>
      </c>
    </row>
    <row r="2041" spans="1:40" x14ac:dyDescent="0.25">
      <c r="A2041" t="s">
        <v>27</v>
      </c>
      <c r="B2041" s="1">
        <v>42911</v>
      </c>
      <c r="C2041" s="6">
        <f t="shared" si="310"/>
        <v>2017</v>
      </c>
      <c r="D2041">
        <v>84.2</v>
      </c>
      <c r="E2041">
        <v>69.8</v>
      </c>
      <c r="F2041">
        <v>78.400000000000006</v>
      </c>
      <c r="G2041" s="2">
        <f t="shared" si="311"/>
        <v>1</v>
      </c>
      <c r="H2041">
        <v>92.5</v>
      </c>
      <c r="I2041">
        <v>69.8</v>
      </c>
      <c r="J2041">
        <v>80.599999999999994</v>
      </c>
      <c r="K2041">
        <v>68.099999999999994</v>
      </c>
      <c r="L2041">
        <v>71.099999999999994</v>
      </c>
      <c r="M2041" s="2">
        <f t="shared" si="312"/>
        <v>0</v>
      </c>
      <c r="N2041">
        <v>0</v>
      </c>
      <c r="O2041" s="2">
        <f t="shared" si="313"/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23.7</v>
      </c>
      <c r="V2041" s="2">
        <f t="shared" si="314"/>
        <v>1</v>
      </c>
      <c r="W2041">
        <v>9.1999999999999993</v>
      </c>
      <c r="X2041" s="2">
        <f t="shared" si="315"/>
        <v>0</v>
      </c>
      <c r="Y2041">
        <v>339.8</v>
      </c>
      <c r="Z2041" s="2" t="str">
        <f>CHOOSE(MATCH(Y2041,{0;11;80;111;161;191;241;281;341},1),"North","NorthEast","East","SouthEast","South","SouthWest","West","NorthWest","North")</f>
        <v>NorthWest</v>
      </c>
      <c r="AA2041" s="4">
        <f>CHOOSE(MATCH(Z2041,{"South";"SouthEast";"SouthWest";"North";"NorthEast";"East";"West";"NorthWest"},0),1,2,3,4,5,6,7,8)</f>
        <v>8</v>
      </c>
      <c r="AB2041" s="2">
        <f t="shared" si="316"/>
        <v>1</v>
      </c>
      <c r="AC2041">
        <v>1011.5</v>
      </c>
      <c r="AD2041" t="s">
        <v>1182</v>
      </c>
      <c r="AE2041" s="2">
        <f t="shared" si="317"/>
        <v>1</v>
      </c>
      <c r="AF2041" t="s">
        <v>2787</v>
      </c>
      <c r="AG2041" s="2">
        <f t="shared" si="318"/>
        <v>6</v>
      </c>
      <c r="AH2041" s="2">
        <f t="shared" si="319"/>
        <v>1</v>
      </c>
      <c r="AI2041" s="3">
        <v>40.000000004656613</v>
      </c>
      <c r="AJ2041" s="2">
        <v>0</v>
      </c>
      <c r="AK2041">
        <v>0</v>
      </c>
      <c r="AL2041">
        <v>0.1</v>
      </c>
      <c r="AM2041">
        <v>0</v>
      </c>
      <c r="AN2041" s="2">
        <f>IF((2*G2041+M2041-O2041+3*V2041+2*AB2041+2*AE2041+2*AH2041+3*AJ2041)&gt;=7,1,0)</f>
        <v>1</v>
      </c>
    </row>
    <row r="2042" spans="1:40" x14ac:dyDescent="0.25">
      <c r="A2042" t="s">
        <v>27</v>
      </c>
      <c r="B2042" s="1">
        <v>42917</v>
      </c>
      <c r="C2042" s="6">
        <f t="shared" si="310"/>
        <v>2017</v>
      </c>
      <c r="D2042">
        <v>93.2</v>
      </c>
      <c r="E2042">
        <v>75.3</v>
      </c>
      <c r="F2042">
        <v>86.8</v>
      </c>
      <c r="G2042" s="2">
        <f t="shared" si="311"/>
        <v>1</v>
      </c>
      <c r="H2042">
        <v>99.2</v>
      </c>
      <c r="I2042">
        <v>75.3</v>
      </c>
      <c r="J2042">
        <v>89.2</v>
      </c>
      <c r="K2042">
        <v>65</v>
      </c>
      <c r="L2042">
        <v>49</v>
      </c>
      <c r="M2042" s="2">
        <f t="shared" si="312"/>
        <v>1</v>
      </c>
      <c r="N2042">
        <v>0</v>
      </c>
      <c r="O2042" s="2">
        <f t="shared" si="313"/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27.5</v>
      </c>
      <c r="V2042" s="2">
        <f t="shared" si="314"/>
        <v>1</v>
      </c>
      <c r="W2042">
        <v>16.100000000000001</v>
      </c>
      <c r="X2042" s="2">
        <f t="shared" si="315"/>
        <v>1</v>
      </c>
      <c r="Y2042">
        <v>299</v>
      </c>
      <c r="Z2042" s="2" t="str">
        <f>CHOOSE(MATCH(Y2042,{0;11;80;111;161;191;241;281;341},1),"North","NorthEast","East","SouthEast","South","SouthWest","West","NorthWest","North")</f>
        <v>NorthWest</v>
      </c>
      <c r="AA2042" s="4">
        <f>CHOOSE(MATCH(Z2042,{"South";"SouthEast";"SouthWest";"North";"NorthEast";"East";"West";"NorthWest"},0),1,2,3,4,5,6,7,8)</f>
        <v>8</v>
      </c>
      <c r="AB2042" s="2">
        <f t="shared" si="316"/>
        <v>1</v>
      </c>
      <c r="AC2042">
        <v>1008.5</v>
      </c>
      <c r="AD2042" t="s">
        <v>1772</v>
      </c>
      <c r="AE2042" s="2">
        <f t="shared" si="317"/>
        <v>0</v>
      </c>
      <c r="AF2042" t="s">
        <v>2788</v>
      </c>
      <c r="AG2042" s="2">
        <f t="shared" si="318"/>
        <v>7</v>
      </c>
      <c r="AH2042" s="2">
        <f t="shared" si="319"/>
        <v>1</v>
      </c>
      <c r="AI2042" s="3">
        <v>13414.99999999534</v>
      </c>
      <c r="AJ2042" s="2">
        <v>1</v>
      </c>
      <c r="AK2042">
        <v>0</v>
      </c>
      <c r="AL2042">
        <v>2500</v>
      </c>
      <c r="AM2042">
        <v>0</v>
      </c>
      <c r="AN2042" s="2">
        <f>IF((2*G2042+M2042-O2042+3*V2042+2*AB2042+2*AE2042+2*AH2042+3*AJ2042)&gt;=7,1,0)</f>
        <v>1</v>
      </c>
    </row>
    <row r="2043" spans="1:40" x14ac:dyDescent="0.25">
      <c r="A2043" t="s">
        <v>27</v>
      </c>
      <c r="B2043" s="1">
        <v>42918</v>
      </c>
      <c r="C2043" s="6">
        <f t="shared" si="310"/>
        <v>2017</v>
      </c>
      <c r="D2043">
        <v>96.8</v>
      </c>
      <c r="E2043">
        <v>78.8</v>
      </c>
      <c r="F2043">
        <v>88.8</v>
      </c>
      <c r="G2043" s="2">
        <f t="shared" si="311"/>
        <v>1</v>
      </c>
      <c r="H2043">
        <v>105.2</v>
      </c>
      <c r="I2043">
        <v>78.8</v>
      </c>
      <c r="J2043">
        <v>92.3</v>
      </c>
      <c r="K2043">
        <v>65.7</v>
      </c>
      <c r="L2043">
        <v>46.9</v>
      </c>
      <c r="M2043" s="2">
        <f t="shared" si="312"/>
        <v>1</v>
      </c>
      <c r="N2043">
        <v>0</v>
      </c>
      <c r="O2043" s="2">
        <f t="shared" si="313"/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23.3</v>
      </c>
      <c r="V2043" s="2">
        <f t="shared" si="314"/>
        <v>1</v>
      </c>
      <c r="W2043">
        <v>11.4</v>
      </c>
      <c r="X2043" s="2">
        <f t="shared" si="315"/>
        <v>0</v>
      </c>
      <c r="Y2043">
        <v>183.2</v>
      </c>
      <c r="Z2043" s="2" t="str">
        <f>CHOOSE(MATCH(Y2043,{0;11;80;111;161;191;241;281;341},1),"North","NorthEast","East","SouthEast","South","SouthWest","West","NorthWest","North")</f>
        <v>South</v>
      </c>
      <c r="AA2043" s="4">
        <f>CHOOSE(MATCH(Z2043,{"South";"SouthEast";"SouthWest";"North";"NorthEast";"East";"West";"NorthWest"},0),1,2,3,4,5,6,7,8)</f>
        <v>1</v>
      </c>
      <c r="AB2043" s="2">
        <f t="shared" si="316"/>
        <v>0</v>
      </c>
      <c r="AC2043">
        <v>1005.8</v>
      </c>
      <c r="AD2043" t="s">
        <v>2031</v>
      </c>
      <c r="AE2043" s="2">
        <f t="shared" si="317"/>
        <v>1</v>
      </c>
      <c r="AF2043" t="s">
        <v>2789</v>
      </c>
      <c r="AG2043" s="2">
        <f t="shared" si="318"/>
        <v>7</v>
      </c>
      <c r="AH2043" s="2">
        <f t="shared" si="319"/>
        <v>1</v>
      </c>
      <c r="AI2043" s="3">
        <v>11520</v>
      </c>
      <c r="AJ2043" s="2">
        <v>1</v>
      </c>
      <c r="AK2043">
        <v>0</v>
      </c>
      <c r="AL2043">
        <v>1000</v>
      </c>
      <c r="AM2043">
        <v>0</v>
      </c>
      <c r="AN2043" s="2">
        <f>IF((2*G2043+M2043-O2043+3*V2043+2*AB2043+2*AE2043+2*AH2043+3*AJ2043)&gt;=7,1,0)</f>
        <v>1</v>
      </c>
    </row>
    <row r="2044" spans="1:40" x14ac:dyDescent="0.25">
      <c r="A2044" t="s">
        <v>27</v>
      </c>
      <c r="B2044" s="1">
        <v>42919</v>
      </c>
      <c r="C2044" s="6">
        <f t="shared" si="310"/>
        <v>2017</v>
      </c>
      <c r="D2044">
        <v>96.8</v>
      </c>
      <c r="E2044">
        <v>78.8</v>
      </c>
      <c r="F2044">
        <v>85.9</v>
      </c>
      <c r="G2044" s="2">
        <f t="shared" si="311"/>
        <v>1</v>
      </c>
      <c r="H2044">
        <v>97.3</v>
      </c>
      <c r="I2044">
        <v>78.8</v>
      </c>
      <c r="J2044">
        <v>87.1</v>
      </c>
      <c r="K2044">
        <v>60.8</v>
      </c>
      <c r="L2044">
        <v>44.5</v>
      </c>
      <c r="M2044" s="2">
        <f t="shared" si="312"/>
        <v>1</v>
      </c>
      <c r="N2044">
        <v>0</v>
      </c>
      <c r="O2044" s="2">
        <f t="shared" si="313"/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27.7</v>
      </c>
      <c r="V2044" s="2">
        <f t="shared" si="314"/>
        <v>1</v>
      </c>
      <c r="W2044">
        <v>27.7</v>
      </c>
      <c r="X2044" s="2">
        <f t="shared" si="315"/>
        <v>1</v>
      </c>
      <c r="Y2044">
        <v>297.60000000000002</v>
      </c>
      <c r="Z2044" s="2" t="str">
        <f>CHOOSE(MATCH(Y2044,{0;11;80;111;161;191;241;281;341},1),"North","NorthEast","East","SouthEast","South","SouthWest","West","NorthWest","North")</f>
        <v>NorthWest</v>
      </c>
      <c r="AA2044" s="4">
        <f>CHOOSE(MATCH(Z2044,{"South";"SouthEast";"SouthWest";"North";"NorthEast";"East";"West";"NorthWest"},0),1,2,3,4,5,6,7,8)</f>
        <v>8</v>
      </c>
      <c r="AB2044" s="2">
        <f t="shared" si="316"/>
        <v>1</v>
      </c>
      <c r="AC2044">
        <v>1004.6</v>
      </c>
      <c r="AD2044" t="s">
        <v>2790</v>
      </c>
      <c r="AE2044" s="2">
        <f t="shared" si="317"/>
        <v>1</v>
      </c>
      <c r="AF2044" t="s">
        <v>2791</v>
      </c>
      <c r="AG2044" s="2">
        <f t="shared" si="318"/>
        <v>7</v>
      </c>
      <c r="AH2044" s="2">
        <f t="shared" si="319"/>
        <v>1</v>
      </c>
      <c r="AI2044" s="3">
        <v>10036.99999999604</v>
      </c>
      <c r="AJ2044" s="2">
        <v>1</v>
      </c>
      <c r="AK2044">
        <v>0</v>
      </c>
      <c r="AL2044">
        <v>150</v>
      </c>
      <c r="AM2044">
        <v>0</v>
      </c>
      <c r="AN2044" s="2">
        <f>IF((2*G2044+M2044-O2044+3*V2044+2*AB2044+2*AE2044+2*AH2044+3*AJ2044)&gt;=7,1,0)</f>
        <v>1</v>
      </c>
    </row>
    <row r="2045" spans="1:40" x14ac:dyDescent="0.25">
      <c r="A2045" t="s">
        <v>27</v>
      </c>
      <c r="B2045" s="1">
        <v>42919</v>
      </c>
      <c r="C2045" s="6">
        <f t="shared" si="310"/>
        <v>2017</v>
      </c>
      <c r="D2045">
        <v>96.8</v>
      </c>
      <c r="E2045">
        <v>78.8</v>
      </c>
      <c r="F2045">
        <v>85.9</v>
      </c>
      <c r="G2045" s="2">
        <f t="shared" si="311"/>
        <v>1</v>
      </c>
      <c r="H2045">
        <v>97.3</v>
      </c>
      <c r="I2045">
        <v>78.8</v>
      </c>
      <c r="J2045">
        <v>87.1</v>
      </c>
      <c r="K2045">
        <v>60.8</v>
      </c>
      <c r="L2045">
        <v>44.5</v>
      </c>
      <c r="M2045" s="2">
        <f t="shared" si="312"/>
        <v>1</v>
      </c>
      <c r="N2045">
        <v>0</v>
      </c>
      <c r="O2045" s="2">
        <f t="shared" si="313"/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27.7</v>
      </c>
      <c r="V2045" s="2">
        <f t="shared" si="314"/>
        <v>1</v>
      </c>
      <c r="W2045">
        <v>27.7</v>
      </c>
      <c r="X2045" s="2">
        <f t="shared" si="315"/>
        <v>1</v>
      </c>
      <c r="Y2045">
        <v>297.60000000000002</v>
      </c>
      <c r="Z2045" s="2" t="str">
        <f>CHOOSE(MATCH(Y2045,{0;11;80;111;161;191;241;281;341},1),"North","NorthEast","East","SouthEast","South","SouthWest","West","NorthWest","North")</f>
        <v>NorthWest</v>
      </c>
      <c r="AA2045" s="4">
        <f>CHOOSE(MATCH(Z2045,{"South";"SouthEast";"SouthWest";"North";"NorthEast";"East";"West";"NorthWest"},0),1,2,3,4,5,6,7,8)</f>
        <v>8</v>
      </c>
      <c r="AB2045" s="2">
        <f t="shared" si="316"/>
        <v>1</v>
      </c>
      <c r="AC2045">
        <v>1004.6</v>
      </c>
      <c r="AD2045" t="s">
        <v>2477</v>
      </c>
      <c r="AE2045" s="2">
        <f t="shared" si="317"/>
        <v>0</v>
      </c>
      <c r="AF2045" t="s">
        <v>2792</v>
      </c>
      <c r="AG2045" s="2">
        <f t="shared" si="318"/>
        <v>7</v>
      </c>
      <c r="AH2045" s="2">
        <f t="shared" si="319"/>
        <v>1</v>
      </c>
      <c r="AI2045" s="3">
        <v>4335.9999999997672</v>
      </c>
      <c r="AJ2045" s="2">
        <v>1</v>
      </c>
      <c r="AK2045">
        <v>20</v>
      </c>
      <c r="AL2045">
        <v>0</v>
      </c>
      <c r="AM2045">
        <v>0</v>
      </c>
      <c r="AN2045" s="2">
        <f>IF((2*G2045+M2045-O2045+3*V2045+2*AB2045+2*AE2045+2*AH2045+3*AJ2045)&gt;=7,1,0)</f>
        <v>1</v>
      </c>
    </row>
    <row r="2046" spans="1:40" x14ac:dyDescent="0.25">
      <c r="A2046" t="s">
        <v>27</v>
      </c>
      <c r="B2046" s="1">
        <v>42934</v>
      </c>
      <c r="C2046" s="6">
        <f t="shared" si="310"/>
        <v>2017</v>
      </c>
      <c r="D2046">
        <v>80.599999999999994</v>
      </c>
      <c r="E2046">
        <v>75.2</v>
      </c>
      <c r="F2046">
        <v>76.8</v>
      </c>
      <c r="G2046" s="2">
        <f t="shared" si="311"/>
        <v>1</v>
      </c>
      <c r="H2046">
        <v>83.3</v>
      </c>
      <c r="I2046">
        <v>75.2</v>
      </c>
      <c r="J2046">
        <v>77.099999999999994</v>
      </c>
      <c r="K2046">
        <v>67.2</v>
      </c>
      <c r="L2046">
        <v>72.8</v>
      </c>
      <c r="M2046" s="2">
        <f t="shared" si="312"/>
        <v>0</v>
      </c>
      <c r="N2046">
        <v>1.2E-2</v>
      </c>
      <c r="O2046" s="2">
        <f t="shared" si="313"/>
        <v>0</v>
      </c>
      <c r="P2046">
        <v>100</v>
      </c>
      <c r="Q2046">
        <v>4.17</v>
      </c>
      <c r="R2046" t="s">
        <v>182</v>
      </c>
      <c r="S2046">
        <v>0</v>
      </c>
      <c r="T2046">
        <v>0</v>
      </c>
      <c r="U2046">
        <v>28</v>
      </c>
      <c r="V2046" s="2">
        <f t="shared" si="314"/>
        <v>1</v>
      </c>
      <c r="W2046">
        <v>17.2</v>
      </c>
      <c r="X2046" s="2">
        <f t="shared" si="315"/>
        <v>1</v>
      </c>
      <c r="Y2046">
        <v>340.1</v>
      </c>
      <c r="Z2046" s="2" t="str">
        <f>CHOOSE(MATCH(Y2046,{0;11;80;111;161;191;241;281;341},1),"North","NorthEast","East","SouthEast","South","SouthWest","West","NorthWest","North")</f>
        <v>NorthWest</v>
      </c>
      <c r="AA2046" s="4">
        <f>CHOOSE(MATCH(Z2046,{"South";"SouthEast";"SouthWest";"North";"NorthEast";"East";"West";"NorthWest"},0),1,2,3,4,5,6,7,8)</f>
        <v>8</v>
      </c>
      <c r="AB2046" s="2">
        <f t="shared" si="316"/>
        <v>1</v>
      </c>
      <c r="AC2046">
        <v>1012.5</v>
      </c>
      <c r="AD2046" t="s">
        <v>1133</v>
      </c>
      <c r="AE2046" s="2">
        <f t="shared" si="317"/>
        <v>1</v>
      </c>
      <c r="AF2046" t="s">
        <v>2793</v>
      </c>
      <c r="AG2046" s="2">
        <f t="shared" si="318"/>
        <v>7</v>
      </c>
      <c r="AH2046" s="2">
        <f t="shared" si="319"/>
        <v>1</v>
      </c>
      <c r="AI2046" s="3">
        <v>869.99999999650754</v>
      </c>
      <c r="AJ2046" s="2">
        <v>1</v>
      </c>
      <c r="AK2046">
        <v>0.5</v>
      </c>
      <c r="AL2046">
        <v>0</v>
      </c>
      <c r="AM2046">
        <v>0</v>
      </c>
      <c r="AN2046" s="2">
        <f>IF((2*G2046+M2046-O2046+3*V2046+2*AB2046+2*AE2046+2*AH2046+3*AJ2046)&gt;=7,1,0)</f>
        <v>1</v>
      </c>
    </row>
    <row r="2047" spans="1:40" x14ac:dyDescent="0.25">
      <c r="A2047" t="s">
        <v>27</v>
      </c>
      <c r="B2047" s="1">
        <v>42935</v>
      </c>
      <c r="C2047" s="6">
        <f t="shared" si="310"/>
        <v>2017</v>
      </c>
      <c r="D2047">
        <v>80.599999999999994</v>
      </c>
      <c r="E2047">
        <v>73.400000000000006</v>
      </c>
      <c r="F2047">
        <v>76.599999999999994</v>
      </c>
      <c r="G2047" s="2">
        <f t="shared" si="311"/>
        <v>1</v>
      </c>
      <c r="H2047">
        <v>82.3</v>
      </c>
      <c r="I2047">
        <v>73.400000000000006</v>
      </c>
      <c r="J2047">
        <v>76.7</v>
      </c>
      <c r="K2047">
        <v>62.6</v>
      </c>
      <c r="L2047">
        <v>62.3</v>
      </c>
      <c r="M2047" s="2">
        <f t="shared" si="312"/>
        <v>1</v>
      </c>
      <c r="N2047">
        <v>0</v>
      </c>
      <c r="O2047" s="2">
        <f t="shared" si="313"/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37.799999999999997</v>
      </c>
      <c r="V2047" s="2">
        <f t="shared" si="314"/>
        <v>1</v>
      </c>
      <c r="W2047">
        <v>21.9</v>
      </c>
      <c r="X2047" s="2">
        <f t="shared" si="315"/>
        <v>1</v>
      </c>
      <c r="Y2047">
        <v>317</v>
      </c>
      <c r="Z2047" s="2" t="str">
        <f>CHOOSE(MATCH(Y2047,{0;11;80;111;161;191;241;281;341},1),"North","NorthEast","East","SouthEast","South","SouthWest","West","NorthWest","North")</f>
        <v>NorthWest</v>
      </c>
      <c r="AA2047" s="4">
        <f>CHOOSE(MATCH(Z2047,{"South";"SouthEast";"SouthWest";"North";"NorthEast";"East";"West";"NorthWest"},0),1,2,3,4,5,6,7,8)</f>
        <v>8</v>
      </c>
      <c r="AB2047" s="2">
        <f t="shared" si="316"/>
        <v>1</v>
      </c>
      <c r="AC2047">
        <v>1014</v>
      </c>
      <c r="AD2047" t="s">
        <v>1868</v>
      </c>
      <c r="AE2047" s="2">
        <f t="shared" si="317"/>
        <v>1</v>
      </c>
      <c r="AF2047" t="s">
        <v>2794</v>
      </c>
      <c r="AG2047" s="2">
        <f t="shared" si="318"/>
        <v>7</v>
      </c>
      <c r="AH2047" s="2">
        <f t="shared" si="319"/>
        <v>1</v>
      </c>
      <c r="AI2047" s="3">
        <v>1405.0000000011639</v>
      </c>
      <c r="AJ2047" s="2">
        <v>1</v>
      </c>
      <c r="AK2047">
        <v>0</v>
      </c>
      <c r="AL2047">
        <v>8</v>
      </c>
      <c r="AM2047">
        <v>0</v>
      </c>
      <c r="AN2047" s="2">
        <f>IF((2*G2047+M2047-O2047+3*V2047+2*AB2047+2*AE2047+2*AH2047+3*AJ2047)&gt;=7,1,0)</f>
        <v>1</v>
      </c>
    </row>
    <row r="2048" spans="1:40" x14ac:dyDescent="0.25">
      <c r="A2048" t="s">
        <v>27</v>
      </c>
      <c r="B2048" s="1">
        <v>42937</v>
      </c>
      <c r="C2048" s="6">
        <f t="shared" si="310"/>
        <v>2017</v>
      </c>
      <c r="D2048">
        <v>84.2</v>
      </c>
      <c r="E2048">
        <v>75.2</v>
      </c>
      <c r="F2048">
        <v>79</v>
      </c>
      <c r="G2048" s="2">
        <f t="shared" si="311"/>
        <v>1</v>
      </c>
      <c r="H2048">
        <v>85</v>
      </c>
      <c r="I2048">
        <v>75.2</v>
      </c>
      <c r="J2048">
        <v>79.5</v>
      </c>
      <c r="K2048">
        <v>62.2</v>
      </c>
      <c r="L2048">
        <v>56.6</v>
      </c>
      <c r="M2048" s="2">
        <f t="shared" si="312"/>
        <v>1</v>
      </c>
      <c r="N2048">
        <v>0</v>
      </c>
      <c r="O2048" s="2">
        <f t="shared" si="313"/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33.299999999999997</v>
      </c>
      <c r="V2048" s="2">
        <f t="shared" si="314"/>
        <v>1</v>
      </c>
      <c r="W2048">
        <v>23</v>
      </c>
      <c r="X2048" s="2">
        <f t="shared" si="315"/>
        <v>1</v>
      </c>
      <c r="Y2048">
        <v>299</v>
      </c>
      <c r="Z2048" s="2" t="str">
        <f>CHOOSE(MATCH(Y2048,{0;11;80;111;161;191;241;281;341},1),"North","NorthEast","East","SouthEast","South","SouthWest","West","NorthWest","North")</f>
        <v>NorthWest</v>
      </c>
      <c r="AA2048" s="4">
        <f>CHOOSE(MATCH(Z2048,{"South";"SouthEast";"SouthWest";"North";"NorthEast";"East";"West";"NorthWest"},0),1,2,3,4,5,6,7,8)</f>
        <v>8</v>
      </c>
      <c r="AB2048" s="2">
        <f t="shared" si="316"/>
        <v>1</v>
      </c>
      <c r="AC2048">
        <v>1009.7</v>
      </c>
      <c r="AD2048" t="s">
        <v>2795</v>
      </c>
      <c r="AE2048" s="2">
        <f t="shared" si="317"/>
        <v>1</v>
      </c>
      <c r="AF2048" t="s">
        <v>2796</v>
      </c>
      <c r="AG2048" s="2">
        <f t="shared" si="318"/>
        <v>7</v>
      </c>
      <c r="AH2048" s="2">
        <f t="shared" si="319"/>
        <v>1</v>
      </c>
      <c r="AI2048" s="3">
        <v>1757.999999999302</v>
      </c>
      <c r="AJ2048" s="2">
        <v>1</v>
      </c>
      <c r="AK2048">
        <v>0</v>
      </c>
      <c r="AL2048">
        <v>5</v>
      </c>
      <c r="AM2048">
        <v>0</v>
      </c>
      <c r="AN2048" s="2">
        <f>IF((2*G2048+M2048-O2048+3*V2048+2*AB2048+2*AE2048+2*AH2048+3*AJ2048)&gt;=7,1,0)</f>
        <v>1</v>
      </c>
    </row>
    <row r="2049" spans="1:40" x14ac:dyDescent="0.25">
      <c r="A2049" t="s">
        <v>27</v>
      </c>
      <c r="B2049" s="1">
        <v>42938</v>
      </c>
      <c r="C2049" s="6">
        <f t="shared" si="310"/>
        <v>2017</v>
      </c>
      <c r="D2049">
        <v>84.2</v>
      </c>
      <c r="E2049">
        <v>72.099999999999994</v>
      </c>
      <c r="F2049">
        <v>79.900000000000006</v>
      </c>
      <c r="G2049" s="2">
        <f t="shared" si="311"/>
        <v>1</v>
      </c>
      <c r="H2049">
        <v>86.5</v>
      </c>
      <c r="I2049">
        <v>72.099999999999994</v>
      </c>
      <c r="J2049">
        <v>81</v>
      </c>
      <c r="K2049">
        <v>64.8</v>
      </c>
      <c r="L2049">
        <v>60.4</v>
      </c>
      <c r="M2049" s="2">
        <f t="shared" si="312"/>
        <v>1</v>
      </c>
      <c r="N2049">
        <v>0</v>
      </c>
      <c r="O2049" s="2">
        <f t="shared" si="313"/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32.700000000000003</v>
      </c>
      <c r="V2049" s="2">
        <f t="shared" si="314"/>
        <v>1</v>
      </c>
      <c r="W2049">
        <v>25.3</v>
      </c>
      <c r="X2049" s="2">
        <f t="shared" si="315"/>
        <v>1</v>
      </c>
      <c r="Y2049">
        <v>298.2</v>
      </c>
      <c r="Z2049" s="2" t="str">
        <f>CHOOSE(MATCH(Y2049,{0;11;80;111;161;191;241;281;341},1),"North","NorthEast","East","SouthEast","South","SouthWest","West","NorthWest","North")</f>
        <v>NorthWest</v>
      </c>
      <c r="AA2049" s="4">
        <f>CHOOSE(MATCH(Z2049,{"South";"SouthEast";"SouthWest";"North";"NorthEast";"East";"West";"NorthWest"},0),1,2,3,4,5,6,7,8)</f>
        <v>8</v>
      </c>
      <c r="AB2049" s="2">
        <f t="shared" si="316"/>
        <v>1</v>
      </c>
      <c r="AC2049">
        <v>1011.8</v>
      </c>
      <c r="AD2049" t="s">
        <v>2797</v>
      </c>
      <c r="AE2049" s="2">
        <f t="shared" si="317"/>
        <v>1</v>
      </c>
      <c r="AF2049" t="s">
        <v>2798</v>
      </c>
      <c r="AG2049" s="2">
        <f t="shared" si="318"/>
        <v>7</v>
      </c>
      <c r="AH2049" s="2">
        <f t="shared" si="319"/>
        <v>1</v>
      </c>
      <c r="AI2049" s="3">
        <v>94.999999995343387</v>
      </c>
      <c r="AJ2049" s="2">
        <v>0</v>
      </c>
      <c r="AK2049">
        <v>0</v>
      </c>
      <c r="AL2049">
        <v>0</v>
      </c>
      <c r="AM2049">
        <v>0.1</v>
      </c>
      <c r="AN2049" s="2">
        <f>IF((2*G2049+M2049-O2049+3*V2049+2*AB2049+2*AE2049+2*AH2049+3*AJ2049)&gt;=7,1,0)</f>
        <v>1</v>
      </c>
    </row>
    <row r="2050" spans="1:40" x14ac:dyDescent="0.25">
      <c r="A2050" t="s">
        <v>27</v>
      </c>
      <c r="B2050" s="1">
        <v>42938</v>
      </c>
      <c r="C2050" s="6">
        <f t="shared" si="310"/>
        <v>2017</v>
      </c>
      <c r="D2050">
        <v>84.2</v>
      </c>
      <c r="E2050">
        <v>72.099999999999994</v>
      </c>
      <c r="F2050">
        <v>79.900000000000006</v>
      </c>
      <c r="G2050" s="2">
        <f t="shared" si="311"/>
        <v>1</v>
      </c>
      <c r="H2050">
        <v>86.5</v>
      </c>
      <c r="I2050">
        <v>72.099999999999994</v>
      </c>
      <c r="J2050">
        <v>81</v>
      </c>
      <c r="K2050">
        <v>64.8</v>
      </c>
      <c r="L2050">
        <v>60.4</v>
      </c>
      <c r="M2050" s="2">
        <f t="shared" si="312"/>
        <v>1</v>
      </c>
      <c r="N2050">
        <v>0</v>
      </c>
      <c r="O2050" s="2">
        <f t="shared" si="313"/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32.700000000000003</v>
      </c>
      <c r="V2050" s="2">
        <f t="shared" si="314"/>
        <v>1</v>
      </c>
      <c r="W2050">
        <v>25.3</v>
      </c>
      <c r="X2050" s="2">
        <f t="shared" si="315"/>
        <v>1</v>
      </c>
      <c r="Y2050">
        <v>298.2</v>
      </c>
      <c r="Z2050" s="2" t="str">
        <f>CHOOSE(MATCH(Y2050,{0;11;80;111;161;191;241;281;341},1),"North","NorthEast","East","SouthEast","South","SouthWest","West","NorthWest","North")</f>
        <v>NorthWest</v>
      </c>
      <c r="AA2050" s="4">
        <f>CHOOSE(MATCH(Z2050,{"South";"SouthEast";"SouthWest";"North";"NorthEast";"East";"West";"NorthWest"},0),1,2,3,4,5,6,7,8)</f>
        <v>8</v>
      </c>
      <c r="AB2050" s="2">
        <f t="shared" si="316"/>
        <v>1</v>
      </c>
      <c r="AC2050">
        <v>1011.8</v>
      </c>
      <c r="AD2050" t="s">
        <v>2799</v>
      </c>
      <c r="AE2050" s="2">
        <f t="shared" si="317"/>
        <v>1</v>
      </c>
      <c r="AF2050" t="s">
        <v>2800</v>
      </c>
      <c r="AG2050" s="2">
        <f t="shared" si="318"/>
        <v>7</v>
      </c>
      <c r="AH2050" s="2">
        <f t="shared" si="319"/>
        <v>1</v>
      </c>
      <c r="AI2050" s="3">
        <v>3942.9999999969732</v>
      </c>
      <c r="AJ2050" s="2">
        <v>1</v>
      </c>
      <c r="AK2050">
        <v>0</v>
      </c>
      <c r="AL2050">
        <v>100</v>
      </c>
      <c r="AM2050">
        <v>0</v>
      </c>
      <c r="AN2050" s="2">
        <f>IF((2*G2050+M2050-O2050+3*V2050+2*AB2050+2*AE2050+2*AH2050+3*AJ2050)&gt;=7,1,0)</f>
        <v>1</v>
      </c>
    </row>
    <row r="2051" spans="1:40" x14ac:dyDescent="0.25">
      <c r="A2051" t="s">
        <v>27</v>
      </c>
      <c r="B2051" s="1">
        <v>42950</v>
      </c>
      <c r="C2051" s="6">
        <f t="shared" ref="C2051:C2114" si="320">YEAR(B2051)</f>
        <v>2017</v>
      </c>
      <c r="D2051">
        <v>84.2</v>
      </c>
      <c r="E2051">
        <v>77</v>
      </c>
      <c r="F2051">
        <v>79.900000000000006</v>
      </c>
      <c r="G2051" s="2">
        <f t="shared" ref="G2051:G2114" si="321">IF(F2051&lt;=70,0,1)</f>
        <v>1</v>
      </c>
      <c r="H2051">
        <v>87.4</v>
      </c>
      <c r="I2051">
        <v>77</v>
      </c>
      <c r="J2051">
        <v>81.400000000000006</v>
      </c>
      <c r="K2051">
        <v>67.900000000000006</v>
      </c>
      <c r="L2051">
        <v>67</v>
      </c>
      <c r="M2051" s="2">
        <f t="shared" ref="M2051:M2114" si="322">IF(L2051&lt;=66,1,0)</f>
        <v>0</v>
      </c>
      <c r="N2051">
        <v>0</v>
      </c>
      <c r="O2051" s="2">
        <f t="shared" ref="O2051:O2114" si="323">IF(N2051&lt;=0.01,1,0)</f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30.2</v>
      </c>
      <c r="V2051" s="2">
        <f t="shared" ref="V2051:V2114" si="324">IF(U2051&lt;=9,0,1)</f>
        <v>1</v>
      </c>
      <c r="W2051">
        <v>20.7</v>
      </c>
      <c r="X2051" s="2">
        <f t="shared" ref="X2051:X2114" si="325">IF(W2051&gt;=16,1,0)</f>
        <v>1</v>
      </c>
      <c r="Y2051">
        <v>299.2</v>
      </c>
      <c r="Z2051" s="2" t="str">
        <f>CHOOSE(MATCH(Y2051,{0;11;80;111;161;191;241;281;341},1),"North","NorthEast","East","SouthEast","South","SouthWest","West","NorthWest","North")</f>
        <v>NorthWest</v>
      </c>
      <c r="AA2051" s="4">
        <f>CHOOSE(MATCH(Z2051,{"South";"SouthEast";"SouthWest";"North";"NorthEast";"East";"West";"NorthWest"},0),1,2,3,4,5,6,7,8)</f>
        <v>8</v>
      </c>
      <c r="AB2051" s="2">
        <f t="shared" ref="AB2051:AB2114" si="326">IF(OR(AA2051=4,AA2051=5,AA2051=8),1,0)</f>
        <v>1</v>
      </c>
      <c r="AC2051">
        <v>1011</v>
      </c>
      <c r="AD2051" t="s">
        <v>2216</v>
      </c>
      <c r="AE2051" s="2">
        <f t="shared" ref="AE2051:AE2114" si="327">IF(TIMEVALUE(AD2051)&lt;=TIME(12,30,0),0,1)</f>
        <v>1</v>
      </c>
      <c r="AF2051" t="s">
        <v>2801</v>
      </c>
      <c r="AG2051" s="2">
        <f t="shared" ref="AG2051:AG2114" si="328">MONTH(AF2051)</f>
        <v>8</v>
      </c>
      <c r="AH2051" s="2">
        <f t="shared" ref="AH2051:AH2114" si="329">IF(OR(AG2051=6,AG2051=7,AG2051=8),1,0)</f>
        <v>1</v>
      </c>
      <c r="AI2051" s="3">
        <v>745.00000000814907</v>
      </c>
      <c r="AJ2051" s="2">
        <v>1</v>
      </c>
      <c r="AK2051">
        <v>0</v>
      </c>
      <c r="AL2051">
        <v>1</v>
      </c>
      <c r="AM2051">
        <v>0</v>
      </c>
      <c r="AN2051" s="2">
        <f>IF((2*G2051+M2051-O2051+3*V2051+2*AB2051+2*AE2051+2*AH2051+3*AJ2051)&gt;=7,1,0)</f>
        <v>1</v>
      </c>
    </row>
    <row r="2052" spans="1:40" x14ac:dyDescent="0.25">
      <c r="A2052" t="s">
        <v>27</v>
      </c>
      <c r="B2052" s="1">
        <v>42960</v>
      </c>
      <c r="C2052" s="6">
        <f t="shared" si="320"/>
        <v>2017</v>
      </c>
      <c r="D2052">
        <v>86</v>
      </c>
      <c r="E2052">
        <v>77</v>
      </c>
      <c r="F2052">
        <v>82.3</v>
      </c>
      <c r="G2052" s="2">
        <f t="shared" si="321"/>
        <v>1</v>
      </c>
      <c r="H2052">
        <v>90.6</v>
      </c>
      <c r="I2052">
        <v>77</v>
      </c>
      <c r="J2052">
        <v>84</v>
      </c>
      <c r="K2052">
        <v>63.4</v>
      </c>
      <c r="L2052">
        <v>53.3</v>
      </c>
      <c r="M2052" s="2">
        <f t="shared" si="322"/>
        <v>1</v>
      </c>
      <c r="N2052">
        <v>0</v>
      </c>
      <c r="O2052" s="2">
        <f t="shared" si="323"/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26.6</v>
      </c>
      <c r="V2052" s="2">
        <f t="shared" si="324"/>
        <v>1</v>
      </c>
      <c r="W2052">
        <v>25.3</v>
      </c>
      <c r="X2052" s="2">
        <f t="shared" si="325"/>
        <v>1</v>
      </c>
      <c r="Y2052">
        <v>294.60000000000002</v>
      </c>
      <c r="Z2052" s="2" t="str">
        <f>CHOOSE(MATCH(Y2052,{0;11;80;111;161;191;241;281;341},1),"North","NorthEast","East","SouthEast","South","SouthWest","West","NorthWest","North")</f>
        <v>NorthWest</v>
      </c>
      <c r="AA2052" s="4">
        <f>CHOOSE(MATCH(Z2052,{"South";"SouthEast";"SouthWest";"North";"NorthEast";"East";"West";"NorthWest"},0),1,2,3,4,5,6,7,8)</f>
        <v>8</v>
      </c>
      <c r="AB2052" s="2">
        <f t="shared" si="326"/>
        <v>1</v>
      </c>
      <c r="AC2052">
        <v>1006.1</v>
      </c>
      <c r="AD2052" t="s">
        <v>2802</v>
      </c>
      <c r="AE2052" s="2">
        <f t="shared" si="327"/>
        <v>1</v>
      </c>
      <c r="AF2052" t="s">
        <v>2803</v>
      </c>
      <c r="AG2052" s="2">
        <f t="shared" si="328"/>
        <v>8</v>
      </c>
      <c r="AH2052" s="2">
        <f t="shared" si="329"/>
        <v>1</v>
      </c>
      <c r="AI2052" s="3">
        <v>71.000000000931323</v>
      </c>
      <c r="AJ2052" s="2">
        <v>0</v>
      </c>
      <c r="AK2052">
        <v>0</v>
      </c>
      <c r="AL2052">
        <v>0.5</v>
      </c>
      <c r="AM2052">
        <v>0</v>
      </c>
      <c r="AN2052" s="2">
        <f>IF((2*G2052+M2052-O2052+3*V2052+2*AB2052+2*AE2052+2*AH2052+3*AJ2052)&gt;=7,1,0)</f>
        <v>1</v>
      </c>
    </row>
    <row r="2053" spans="1:40" x14ac:dyDescent="0.25">
      <c r="A2053" t="s">
        <v>27</v>
      </c>
      <c r="B2053" s="1">
        <v>42962</v>
      </c>
      <c r="C2053" s="6">
        <f t="shared" si="320"/>
        <v>2017</v>
      </c>
      <c r="D2053">
        <v>84.2</v>
      </c>
      <c r="E2053">
        <v>76.900000000000006</v>
      </c>
      <c r="F2053">
        <v>80.3</v>
      </c>
      <c r="G2053" s="2">
        <f t="shared" si="321"/>
        <v>1</v>
      </c>
      <c r="H2053">
        <v>88.5</v>
      </c>
      <c r="I2053">
        <v>76.900000000000006</v>
      </c>
      <c r="J2053">
        <v>82</v>
      </c>
      <c r="K2053">
        <v>67.2</v>
      </c>
      <c r="L2053">
        <v>64.5</v>
      </c>
      <c r="M2053" s="2">
        <f t="shared" si="322"/>
        <v>1</v>
      </c>
      <c r="N2053">
        <v>0</v>
      </c>
      <c r="O2053" s="2">
        <f t="shared" si="323"/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37.6</v>
      </c>
      <c r="V2053" s="2">
        <f t="shared" si="324"/>
        <v>1</v>
      </c>
      <c r="W2053">
        <v>25.3</v>
      </c>
      <c r="X2053" s="2">
        <f t="shared" si="325"/>
        <v>1</v>
      </c>
      <c r="Y2053">
        <v>305.7</v>
      </c>
      <c r="Z2053" s="2" t="str">
        <f>CHOOSE(MATCH(Y2053,{0;11;80;111;161;191;241;281;341},1),"North","NorthEast","East","SouthEast","South","SouthWest","West","NorthWest","North")</f>
        <v>NorthWest</v>
      </c>
      <c r="AA2053" s="4">
        <f>CHOOSE(MATCH(Z2053,{"South";"SouthEast";"SouthWest";"North";"NorthEast";"East";"West";"NorthWest"},0),1,2,3,4,5,6,7,8)</f>
        <v>8</v>
      </c>
      <c r="AB2053" s="2">
        <f t="shared" si="326"/>
        <v>1</v>
      </c>
      <c r="AC2053">
        <v>1012.2</v>
      </c>
      <c r="AD2053" t="s">
        <v>2000</v>
      </c>
      <c r="AE2053" s="2">
        <f t="shared" si="327"/>
        <v>1</v>
      </c>
      <c r="AF2053" t="s">
        <v>2804</v>
      </c>
      <c r="AG2053" s="2">
        <f t="shared" si="328"/>
        <v>8</v>
      </c>
      <c r="AH2053" s="2">
        <f t="shared" si="329"/>
        <v>1</v>
      </c>
      <c r="AI2053" s="3">
        <v>3840.9999999997672</v>
      </c>
      <c r="AJ2053" s="2">
        <v>1</v>
      </c>
      <c r="AK2053">
        <v>0</v>
      </c>
      <c r="AL2053">
        <v>100</v>
      </c>
      <c r="AM2053">
        <v>0</v>
      </c>
      <c r="AN2053" s="2">
        <f>IF((2*G2053+M2053-O2053+3*V2053+2*AB2053+2*AE2053+2*AH2053+3*AJ2053)&gt;=7,1,0)</f>
        <v>1</v>
      </c>
    </row>
    <row r="2054" spans="1:40" x14ac:dyDescent="0.25">
      <c r="A2054" t="s">
        <v>27</v>
      </c>
      <c r="B2054" s="1">
        <v>42965</v>
      </c>
      <c r="C2054" s="6">
        <f t="shared" si="320"/>
        <v>2017</v>
      </c>
      <c r="D2054">
        <v>84.2</v>
      </c>
      <c r="E2054">
        <v>78.8</v>
      </c>
      <c r="F2054">
        <v>81.400000000000006</v>
      </c>
      <c r="G2054" s="2">
        <f t="shared" si="321"/>
        <v>1</v>
      </c>
      <c r="H2054">
        <v>88.5</v>
      </c>
      <c r="I2054">
        <v>78.8</v>
      </c>
      <c r="J2054">
        <v>83.4</v>
      </c>
      <c r="K2054">
        <v>67.099999999999994</v>
      </c>
      <c r="L2054">
        <v>62.1</v>
      </c>
      <c r="M2054" s="2">
        <f t="shared" si="322"/>
        <v>1</v>
      </c>
      <c r="N2054">
        <v>0</v>
      </c>
      <c r="O2054" s="2">
        <f t="shared" si="323"/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30</v>
      </c>
      <c r="V2054" s="2">
        <f t="shared" si="324"/>
        <v>1</v>
      </c>
      <c r="W2054">
        <v>20.8</v>
      </c>
      <c r="X2054" s="2">
        <f t="shared" si="325"/>
        <v>1</v>
      </c>
      <c r="Y2054">
        <v>298.7</v>
      </c>
      <c r="Z2054" s="2" t="str">
        <f>CHOOSE(MATCH(Y2054,{0;11;80;111;161;191;241;281;341},1),"North","NorthEast","East","SouthEast","South","SouthWest","West","NorthWest","North")</f>
        <v>NorthWest</v>
      </c>
      <c r="AA2054" s="4">
        <f>CHOOSE(MATCH(Z2054,{"South";"SouthEast";"SouthWest";"North";"NorthEast";"East";"West";"NorthWest"},0),1,2,3,4,5,6,7,8)</f>
        <v>8</v>
      </c>
      <c r="AB2054" s="2">
        <f t="shared" si="326"/>
        <v>1</v>
      </c>
      <c r="AC2054">
        <v>1010.2</v>
      </c>
      <c r="AD2054" t="s">
        <v>2805</v>
      </c>
      <c r="AE2054" s="2">
        <f t="shared" si="327"/>
        <v>0</v>
      </c>
      <c r="AF2054" t="s">
        <v>2806</v>
      </c>
      <c r="AG2054" s="2">
        <f t="shared" si="328"/>
        <v>8</v>
      </c>
      <c r="AH2054" s="2">
        <f t="shared" si="329"/>
        <v>1</v>
      </c>
      <c r="AI2054" s="3">
        <v>185.00000000582079</v>
      </c>
      <c r="AJ2054" s="2">
        <v>0</v>
      </c>
      <c r="AK2054">
        <v>0</v>
      </c>
      <c r="AL2054">
        <v>0.1</v>
      </c>
      <c r="AM2054">
        <v>0</v>
      </c>
      <c r="AN2054" s="2">
        <f>IF((2*G2054+M2054-O2054+3*V2054+2*AB2054+2*AE2054+2*AH2054+3*AJ2054)&gt;=7,1,0)</f>
        <v>1</v>
      </c>
    </row>
    <row r="2055" spans="1:40" x14ac:dyDescent="0.25">
      <c r="A2055" t="s">
        <v>27</v>
      </c>
      <c r="B2055" s="1">
        <v>42965</v>
      </c>
      <c r="C2055" s="6">
        <f t="shared" si="320"/>
        <v>2017</v>
      </c>
      <c r="D2055">
        <v>84.2</v>
      </c>
      <c r="E2055">
        <v>78.8</v>
      </c>
      <c r="F2055">
        <v>81.400000000000006</v>
      </c>
      <c r="G2055" s="2">
        <f t="shared" si="321"/>
        <v>1</v>
      </c>
      <c r="H2055">
        <v>88.5</v>
      </c>
      <c r="I2055">
        <v>78.8</v>
      </c>
      <c r="J2055">
        <v>83.4</v>
      </c>
      <c r="K2055">
        <v>67.099999999999994</v>
      </c>
      <c r="L2055">
        <v>62.1</v>
      </c>
      <c r="M2055" s="2">
        <f t="shared" si="322"/>
        <v>1</v>
      </c>
      <c r="N2055">
        <v>0</v>
      </c>
      <c r="O2055" s="2">
        <f t="shared" si="323"/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30</v>
      </c>
      <c r="V2055" s="2">
        <f t="shared" si="324"/>
        <v>1</v>
      </c>
      <c r="W2055">
        <v>20.8</v>
      </c>
      <c r="X2055" s="2">
        <f t="shared" si="325"/>
        <v>1</v>
      </c>
      <c r="Y2055">
        <v>298.7</v>
      </c>
      <c r="Z2055" s="2" t="str">
        <f>CHOOSE(MATCH(Y2055,{0;11;80;111;161;191;241;281;341},1),"North","NorthEast","East","SouthEast","South","SouthWest","West","NorthWest","North")</f>
        <v>NorthWest</v>
      </c>
      <c r="AA2055" s="4">
        <f>CHOOSE(MATCH(Z2055,{"South";"SouthEast";"SouthWest";"North";"NorthEast";"East";"West";"NorthWest"},0),1,2,3,4,5,6,7,8)</f>
        <v>8</v>
      </c>
      <c r="AB2055" s="2">
        <f t="shared" si="326"/>
        <v>1</v>
      </c>
      <c r="AC2055">
        <v>1010.2</v>
      </c>
      <c r="AD2055" t="s">
        <v>1093</v>
      </c>
      <c r="AE2055" s="2">
        <f t="shared" si="327"/>
        <v>1</v>
      </c>
      <c r="AF2055" t="s">
        <v>2807</v>
      </c>
      <c r="AG2055" s="2">
        <f t="shared" si="328"/>
        <v>8</v>
      </c>
      <c r="AH2055" s="2">
        <f t="shared" si="329"/>
        <v>1</v>
      </c>
      <c r="AI2055" s="3">
        <v>190.00000000116421</v>
      </c>
      <c r="AJ2055" s="2">
        <v>0</v>
      </c>
      <c r="AK2055">
        <v>0</v>
      </c>
      <c r="AL2055">
        <v>1</v>
      </c>
      <c r="AM2055">
        <v>0</v>
      </c>
      <c r="AN2055" s="2">
        <f>IF((2*G2055+M2055-O2055+3*V2055+2*AB2055+2*AE2055+2*AH2055+3*AJ2055)&gt;=7,1,0)</f>
        <v>1</v>
      </c>
    </row>
    <row r="2056" spans="1:40" x14ac:dyDescent="0.25">
      <c r="A2056" t="s">
        <v>27</v>
      </c>
      <c r="B2056" s="1">
        <v>42970</v>
      </c>
      <c r="C2056" s="6">
        <f t="shared" si="320"/>
        <v>2017</v>
      </c>
      <c r="D2056">
        <v>80.599999999999994</v>
      </c>
      <c r="E2056">
        <v>70.099999999999994</v>
      </c>
      <c r="F2056">
        <v>76.5</v>
      </c>
      <c r="G2056" s="2">
        <f t="shared" si="321"/>
        <v>1</v>
      </c>
      <c r="H2056">
        <v>83.9</v>
      </c>
      <c r="I2056">
        <v>70.099999999999994</v>
      </c>
      <c r="J2056">
        <v>77.2</v>
      </c>
      <c r="K2056">
        <v>68.7</v>
      </c>
      <c r="L2056">
        <v>77.400000000000006</v>
      </c>
      <c r="M2056" s="2">
        <f t="shared" si="322"/>
        <v>0</v>
      </c>
      <c r="N2056">
        <v>0</v>
      </c>
      <c r="O2056" s="2">
        <f t="shared" si="323"/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28.6</v>
      </c>
      <c r="V2056" s="2">
        <f t="shared" si="324"/>
        <v>1</v>
      </c>
      <c r="W2056">
        <v>15</v>
      </c>
      <c r="X2056" s="2">
        <f t="shared" si="325"/>
        <v>0</v>
      </c>
      <c r="Y2056">
        <v>330</v>
      </c>
      <c r="Z2056" s="2" t="str">
        <f>CHOOSE(MATCH(Y2056,{0;11;80;111;161;191;241;281;341},1),"North","NorthEast","East","SouthEast","South","SouthWest","West","NorthWest","North")</f>
        <v>NorthWest</v>
      </c>
      <c r="AA2056" s="4">
        <f>CHOOSE(MATCH(Z2056,{"South";"SouthEast";"SouthWest";"North";"NorthEast";"East";"West";"NorthWest"},0),1,2,3,4,5,6,7,8)</f>
        <v>8</v>
      </c>
      <c r="AB2056" s="2">
        <f t="shared" si="326"/>
        <v>1</v>
      </c>
      <c r="AC2056">
        <v>1013.3</v>
      </c>
      <c r="AD2056" t="s">
        <v>2797</v>
      </c>
      <c r="AE2056" s="2">
        <f t="shared" si="327"/>
        <v>1</v>
      </c>
      <c r="AF2056" t="s">
        <v>2808</v>
      </c>
      <c r="AG2056" s="2">
        <f t="shared" si="328"/>
        <v>8</v>
      </c>
      <c r="AH2056" s="2">
        <f t="shared" si="329"/>
        <v>1</v>
      </c>
      <c r="AI2056" s="3">
        <v>389.99999999301508</v>
      </c>
      <c r="AJ2056" s="2">
        <v>1</v>
      </c>
      <c r="AK2056">
        <v>0</v>
      </c>
      <c r="AL2056">
        <v>5</v>
      </c>
      <c r="AM2056">
        <v>0</v>
      </c>
      <c r="AN2056" s="2">
        <f>IF((2*G2056+M2056-O2056+3*V2056+2*AB2056+2*AE2056+2*AH2056+3*AJ2056)&gt;=7,1,0)</f>
        <v>1</v>
      </c>
    </row>
    <row r="2057" spans="1:40" x14ac:dyDescent="0.25">
      <c r="A2057" t="s">
        <v>27</v>
      </c>
      <c r="B2057" s="1">
        <v>42972</v>
      </c>
      <c r="C2057" s="6">
        <f t="shared" si="320"/>
        <v>2017</v>
      </c>
      <c r="D2057">
        <v>80.599999999999994</v>
      </c>
      <c r="E2057">
        <v>75.2</v>
      </c>
      <c r="F2057">
        <v>77.5</v>
      </c>
      <c r="G2057" s="2">
        <f t="shared" si="321"/>
        <v>1</v>
      </c>
      <c r="H2057">
        <v>83.3</v>
      </c>
      <c r="I2057">
        <v>75.2</v>
      </c>
      <c r="J2057">
        <v>78</v>
      </c>
      <c r="K2057">
        <v>65.5</v>
      </c>
      <c r="L2057">
        <v>66.900000000000006</v>
      </c>
      <c r="M2057" s="2">
        <f t="shared" si="322"/>
        <v>0</v>
      </c>
      <c r="N2057">
        <v>0</v>
      </c>
      <c r="O2057" s="2">
        <f t="shared" si="323"/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30.9</v>
      </c>
      <c r="V2057" s="2">
        <f t="shared" si="324"/>
        <v>1</v>
      </c>
      <c r="W2057">
        <v>19.7</v>
      </c>
      <c r="X2057" s="2">
        <f t="shared" si="325"/>
        <v>1</v>
      </c>
      <c r="Y2057">
        <v>311.5</v>
      </c>
      <c r="Z2057" s="2" t="str">
        <f>CHOOSE(MATCH(Y2057,{0;11;80;111;161;191;241;281;341},1),"North","NorthEast","East","SouthEast","South","SouthWest","West","NorthWest","North")</f>
        <v>NorthWest</v>
      </c>
      <c r="AA2057" s="4">
        <f>CHOOSE(MATCH(Z2057,{"South";"SouthEast";"SouthWest";"North";"NorthEast";"East";"West";"NorthWest"},0),1,2,3,4,5,6,7,8)</f>
        <v>8</v>
      </c>
      <c r="AB2057" s="2">
        <f t="shared" si="326"/>
        <v>1</v>
      </c>
      <c r="AC2057">
        <v>1015.1</v>
      </c>
      <c r="AD2057" t="s">
        <v>1768</v>
      </c>
      <c r="AE2057" s="2">
        <f t="shared" si="327"/>
        <v>0</v>
      </c>
      <c r="AF2057" t="s">
        <v>2809</v>
      </c>
      <c r="AG2057" s="2">
        <f t="shared" si="328"/>
        <v>8</v>
      </c>
      <c r="AH2057" s="2">
        <f t="shared" si="329"/>
        <v>1</v>
      </c>
      <c r="AI2057" s="3">
        <v>460.00000000116421</v>
      </c>
      <c r="AJ2057" s="2">
        <v>1</v>
      </c>
      <c r="AK2057">
        <v>0</v>
      </c>
      <c r="AL2057">
        <v>2</v>
      </c>
      <c r="AM2057">
        <v>0</v>
      </c>
      <c r="AN2057" s="2">
        <f>IF((2*G2057+M2057-O2057+3*V2057+2*AB2057+2*AE2057+2*AH2057+3*AJ2057)&gt;=7,1,0)</f>
        <v>1</v>
      </c>
    </row>
    <row r="2058" spans="1:40" x14ac:dyDescent="0.25">
      <c r="A2058" t="s">
        <v>27</v>
      </c>
      <c r="B2058" s="1">
        <v>42975</v>
      </c>
      <c r="C2058" s="6">
        <f t="shared" si="320"/>
        <v>2017</v>
      </c>
      <c r="D2058">
        <v>82.4</v>
      </c>
      <c r="E2058">
        <v>73.400000000000006</v>
      </c>
      <c r="F2058">
        <v>77.3</v>
      </c>
      <c r="G2058" s="2">
        <f t="shared" si="321"/>
        <v>1</v>
      </c>
      <c r="H2058">
        <v>85.4</v>
      </c>
      <c r="I2058">
        <v>73.400000000000006</v>
      </c>
      <c r="J2058">
        <v>78.3</v>
      </c>
      <c r="K2058">
        <v>66.599999999999994</v>
      </c>
      <c r="L2058">
        <v>69.7</v>
      </c>
      <c r="M2058" s="2">
        <f t="shared" si="322"/>
        <v>0</v>
      </c>
      <c r="N2058">
        <v>0</v>
      </c>
      <c r="O2058" s="2">
        <f t="shared" si="323"/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32.9</v>
      </c>
      <c r="V2058" s="2">
        <f t="shared" si="324"/>
        <v>1</v>
      </c>
      <c r="W2058">
        <v>21.9</v>
      </c>
      <c r="X2058" s="2">
        <f t="shared" si="325"/>
        <v>1</v>
      </c>
      <c r="Y2058">
        <v>298</v>
      </c>
      <c r="Z2058" s="2" t="str">
        <f>CHOOSE(MATCH(Y2058,{0;11;80;111;161;191;241;281;341},1),"North","NorthEast","East","SouthEast","South","SouthWest","West","NorthWest","North")</f>
        <v>NorthWest</v>
      </c>
      <c r="AA2058" s="4">
        <f>CHOOSE(MATCH(Z2058,{"South";"SouthEast";"SouthWest";"North";"NorthEast";"East";"West";"NorthWest"},0),1,2,3,4,5,6,7,8)</f>
        <v>8</v>
      </c>
      <c r="AB2058" s="2">
        <f t="shared" si="326"/>
        <v>1</v>
      </c>
      <c r="AC2058">
        <v>1008.2</v>
      </c>
      <c r="AD2058" t="s">
        <v>2810</v>
      </c>
      <c r="AE2058" s="2">
        <f t="shared" si="327"/>
        <v>1</v>
      </c>
      <c r="AF2058" t="s">
        <v>2811</v>
      </c>
      <c r="AG2058" s="2">
        <f t="shared" si="328"/>
        <v>8</v>
      </c>
      <c r="AH2058" s="2">
        <f t="shared" si="329"/>
        <v>1</v>
      </c>
      <c r="AI2058" s="3">
        <v>1707.000000000698</v>
      </c>
      <c r="AJ2058" s="2">
        <v>1</v>
      </c>
      <c r="AK2058">
        <v>0</v>
      </c>
      <c r="AL2058">
        <v>2</v>
      </c>
      <c r="AM2058">
        <v>0</v>
      </c>
      <c r="AN2058" s="2">
        <f>IF((2*G2058+M2058-O2058+3*V2058+2*AB2058+2*AE2058+2*AH2058+3*AJ2058)&gt;=7,1,0)</f>
        <v>1</v>
      </c>
    </row>
    <row r="2059" spans="1:40" x14ac:dyDescent="0.25">
      <c r="A2059" t="s">
        <v>27</v>
      </c>
      <c r="B2059" s="1">
        <v>42975</v>
      </c>
      <c r="C2059" s="6">
        <f t="shared" si="320"/>
        <v>2017</v>
      </c>
      <c r="D2059">
        <v>82.4</v>
      </c>
      <c r="E2059">
        <v>73.400000000000006</v>
      </c>
      <c r="F2059">
        <v>77.3</v>
      </c>
      <c r="G2059" s="2">
        <f t="shared" si="321"/>
        <v>1</v>
      </c>
      <c r="H2059">
        <v>85.4</v>
      </c>
      <c r="I2059">
        <v>73.400000000000006</v>
      </c>
      <c r="J2059">
        <v>78.3</v>
      </c>
      <c r="K2059">
        <v>66.599999999999994</v>
      </c>
      <c r="L2059">
        <v>69.7</v>
      </c>
      <c r="M2059" s="2">
        <f t="shared" si="322"/>
        <v>0</v>
      </c>
      <c r="N2059">
        <v>0</v>
      </c>
      <c r="O2059" s="2">
        <f t="shared" si="323"/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32.9</v>
      </c>
      <c r="V2059" s="2">
        <f t="shared" si="324"/>
        <v>1</v>
      </c>
      <c r="W2059">
        <v>21.9</v>
      </c>
      <c r="X2059" s="2">
        <f t="shared" si="325"/>
        <v>1</v>
      </c>
      <c r="Y2059">
        <v>298</v>
      </c>
      <c r="Z2059" s="2" t="str">
        <f>CHOOSE(MATCH(Y2059,{0;11;80;111;161;191;241;281;341},1),"North","NorthEast","East","SouthEast","South","SouthWest","West","NorthWest","North")</f>
        <v>NorthWest</v>
      </c>
      <c r="AA2059" s="4">
        <f>CHOOSE(MATCH(Z2059,{"South";"SouthEast";"SouthWest";"North";"NorthEast";"East";"West";"NorthWest"},0),1,2,3,4,5,6,7,8)</f>
        <v>8</v>
      </c>
      <c r="AB2059" s="2">
        <f t="shared" si="326"/>
        <v>1</v>
      </c>
      <c r="AC2059">
        <v>1008.2</v>
      </c>
      <c r="AD2059" t="s">
        <v>2031</v>
      </c>
      <c r="AE2059" s="2">
        <f t="shared" si="327"/>
        <v>1</v>
      </c>
      <c r="AF2059" t="s">
        <v>2812</v>
      </c>
      <c r="AG2059" s="2">
        <f t="shared" si="328"/>
        <v>8</v>
      </c>
      <c r="AH2059" s="2">
        <f t="shared" si="329"/>
        <v>1</v>
      </c>
      <c r="AI2059" s="3">
        <v>79.999999998835847</v>
      </c>
      <c r="AJ2059" s="2">
        <v>0</v>
      </c>
      <c r="AK2059">
        <v>0</v>
      </c>
      <c r="AL2059">
        <v>0.3</v>
      </c>
      <c r="AM2059">
        <v>0</v>
      </c>
      <c r="AN2059" s="2">
        <f>IF((2*G2059+M2059-O2059+3*V2059+2*AB2059+2*AE2059+2*AH2059+3*AJ2059)&gt;=7,1,0)</f>
        <v>1</v>
      </c>
    </row>
    <row r="2060" spans="1:40" x14ac:dyDescent="0.25">
      <c r="A2060" t="s">
        <v>27</v>
      </c>
      <c r="B2060" s="1">
        <v>42982</v>
      </c>
      <c r="C2060" s="6">
        <f t="shared" si="320"/>
        <v>2017</v>
      </c>
      <c r="D2060">
        <v>84.2</v>
      </c>
      <c r="E2060">
        <v>71.599999999999994</v>
      </c>
      <c r="F2060">
        <v>78.5</v>
      </c>
      <c r="G2060" s="2">
        <f t="shared" si="321"/>
        <v>1</v>
      </c>
      <c r="H2060">
        <v>87.2</v>
      </c>
      <c r="I2060">
        <v>71.599999999999994</v>
      </c>
      <c r="J2060">
        <v>79.8</v>
      </c>
      <c r="K2060">
        <v>64.5</v>
      </c>
      <c r="L2060">
        <v>63.2</v>
      </c>
      <c r="M2060" s="2">
        <f t="shared" si="322"/>
        <v>1</v>
      </c>
      <c r="N2060">
        <v>0</v>
      </c>
      <c r="O2060" s="2">
        <f t="shared" si="323"/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21.9</v>
      </c>
      <c r="V2060" s="2">
        <f t="shared" si="324"/>
        <v>1</v>
      </c>
      <c r="W2060">
        <v>19.7</v>
      </c>
      <c r="X2060" s="2">
        <f t="shared" si="325"/>
        <v>1</v>
      </c>
      <c r="Y2060">
        <v>298.8</v>
      </c>
      <c r="Z2060" s="2" t="str">
        <f>CHOOSE(MATCH(Y2060,{0;11;80;111;161;191;241;281;341},1),"North","NorthEast","East","SouthEast","South","SouthWest","West","NorthWest","North")</f>
        <v>NorthWest</v>
      </c>
      <c r="AA2060" s="4">
        <f>CHOOSE(MATCH(Z2060,{"South";"SouthEast";"SouthWest";"North";"NorthEast";"East";"West";"NorthWest"},0),1,2,3,4,5,6,7,8)</f>
        <v>8</v>
      </c>
      <c r="AB2060" s="2">
        <f t="shared" si="326"/>
        <v>1</v>
      </c>
      <c r="AC2060">
        <v>1011.5</v>
      </c>
      <c r="AD2060" t="s">
        <v>2813</v>
      </c>
      <c r="AE2060" s="2">
        <f t="shared" si="327"/>
        <v>1</v>
      </c>
      <c r="AF2060" t="s">
        <v>2814</v>
      </c>
      <c r="AG2060" s="2">
        <f t="shared" si="328"/>
        <v>9</v>
      </c>
      <c r="AH2060" s="2">
        <f t="shared" si="329"/>
        <v>0</v>
      </c>
      <c r="AI2060" s="3">
        <v>1445.999999998603</v>
      </c>
      <c r="AJ2060" s="2">
        <v>1</v>
      </c>
      <c r="AK2060">
        <v>0</v>
      </c>
      <c r="AL2060">
        <v>20</v>
      </c>
      <c r="AM2060">
        <v>0</v>
      </c>
      <c r="AN2060" s="2">
        <f>IF((2*G2060+M2060-O2060+3*V2060+2*AB2060+2*AE2060+2*AH2060+3*AJ2060)&gt;=7,1,0)</f>
        <v>1</v>
      </c>
    </row>
    <row r="2061" spans="1:40" x14ac:dyDescent="0.25">
      <c r="A2061" t="s">
        <v>27</v>
      </c>
      <c r="B2061" s="1">
        <v>42982</v>
      </c>
      <c r="C2061" s="6">
        <f t="shared" si="320"/>
        <v>2017</v>
      </c>
      <c r="D2061">
        <v>84.2</v>
      </c>
      <c r="E2061">
        <v>71.599999999999994</v>
      </c>
      <c r="F2061">
        <v>78.5</v>
      </c>
      <c r="G2061" s="2">
        <f t="shared" si="321"/>
        <v>1</v>
      </c>
      <c r="H2061">
        <v>87.2</v>
      </c>
      <c r="I2061">
        <v>71.599999999999994</v>
      </c>
      <c r="J2061">
        <v>79.8</v>
      </c>
      <c r="K2061">
        <v>64.5</v>
      </c>
      <c r="L2061">
        <v>63.2</v>
      </c>
      <c r="M2061" s="2">
        <f t="shared" si="322"/>
        <v>1</v>
      </c>
      <c r="N2061">
        <v>0</v>
      </c>
      <c r="O2061" s="2">
        <f t="shared" si="323"/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21.9</v>
      </c>
      <c r="V2061" s="2">
        <f t="shared" si="324"/>
        <v>1</v>
      </c>
      <c r="W2061">
        <v>19.7</v>
      </c>
      <c r="X2061" s="2">
        <f t="shared" si="325"/>
        <v>1</v>
      </c>
      <c r="Y2061">
        <v>298.8</v>
      </c>
      <c r="Z2061" s="2" t="str">
        <f>CHOOSE(MATCH(Y2061,{0;11;80;111;161;191;241;281;341},1),"North","NorthEast","East","SouthEast","South","SouthWest","West","NorthWest","North")</f>
        <v>NorthWest</v>
      </c>
      <c r="AA2061" s="4">
        <f>CHOOSE(MATCH(Z2061,{"South";"SouthEast";"SouthWest";"North";"NorthEast";"East";"West";"NorthWest"},0),1,2,3,4,5,6,7,8)</f>
        <v>8</v>
      </c>
      <c r="AB2061" s="2">
        <f t="shared" si="326"/>
        <v>1</v>
      </c>
      <c r="AC2061">
        <v>1011.5</v>
      </c>
      <c r="AD2061" t="s">
        <v>2815</v>
      </c>
      <c r="AE2061" s="2">
        <f t="shared" si="327"/>
        <v>1</v>
      </c>
      <c r="AF2061" t="s">
        <v>2816</v>
      </c>
      <c r="AG2061" s="2">
        <f t="shared" si="328"/>
        <v>9</v>
      </c>
      <c r="AH2061" s="2">
        <f t="shared" si="329"/>
        <v>0</v>
      </c>
      <c r="AI2061" s="3">
        <v>627.00000000069849</v>
      </c>
      <c r="AJ2061" s="2">
        <v>1</v>
      </c>
      <c r="AK2061">
        <v>0</v>
      </c>
      <c r="AL2061">
        <v>2</v>
      </c>
      <c r="AM2061">
        <v>0</v>
      </c>
      <c r="AN2061" s="2">
        <f>IF((2*G2061+M2061-O2061+3*V2061+2*AB2061+2*AE2061+2*AH2061+3*AJ2061)&gt;=7,1,0)</f>
        <v>1</v>
      </c>
    </row>
    <row r="2062" spans="1:40" x14ac:dyDescent="0.25">
      <c r="A2062" t="s">
        <v>27</v>
      </c>
      <c r="B2062" s="1">
        <v>42984</v>
      </c>
      <c r="C2062" s="6">
        <f t="shared" si="320"/>
        <v>2017</v>
      </c>
      <c r="D2062">
        <v>78.8</v>
      </c>
      <c r="E2062">
        <v>69.8</v>
      </c>
      <c r="F2062">
        <v>74.5</v>
      </c>
      <c r="G2062" s="2">
        <f t="shared" si="321"/>
        <v>1</v>
      </c>
      <c r="H2062">
        <v>78.8</v>
      </c>
      <c r="I2062">
        <v>69.8</v>
      </c>
      <c r="J2062">
        <v>74.5</v>
      </c>
      <c r="K2062">
        <v>63.6</v>
      </c>
      <c r="L2062">
        <v>69.3</v>
      </c>
      <c r="M2062" s="2">
        <f t="shared" si="322"/>
        <v>0</v>
      </c>
      <c r="N2062">
        <v>0</v>
      </c>
      <c r="O2062" s="2">
        <f t="shared" si="323"/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30</v>
      </c>
      <c r="V2062" s="2">
        <f t="shared" si="324"/>
        <v>1</v>
      </c>
      <c r="W2062">
        <v>15</v>
      </c>
      <c r="X2062" s="2">
        <f t="shared" si="325"/>
        <v>0</v>
      </c>
      <c r="Y2062">
        <v>325.3</v>
      </c>
      <c r="Z2062" s="2" t="str">
        <f>CHOOSE(MATCH(Y2062,{0;11;80;111;161;191;241;281;341},1),"North","NorthEast","East","SouthEast","South","SouthWest","West","NorthWest","North")</f>
        <v>NorthWest</v>
      </c>
      <c r="AA2062" s="4">
        <f>CHOOSE(MATCH(Z2062,{"South";"SouthEast";"SouthWest";"North";"NorthEast";"East";"West";"NorthWest"},0),1,2,3,4,5,6,7,8)</f>
        <v>8</v>
      </c>
      <c r="AB2062" s="2">
        <f t="shared" si="326"/>
        <v>1</v>
      </c>
      <c r="AC2062">
        <v>1014.7</v>
      </c>
      <c r="AD2062" t="s">
        <v>1119</v>
      </c>
      <c r="AE2062" s="2">
        <f t="shared" si="327"/>
        <v>0</v>
      </c>
      <c r="AF2062" t="s">
        <v>2817</v>
      </c>
      <c r="AG2062" s="2">
        <f t="shared" si="328"/>
        <v>9</v>
      </c>
      <c r="AH2062" s="2">
        <f t="shared" si="329"/>
        <v>0</v>
      </c>
      <c r="AI2062" s="3">
        <v>19.999999991850931</v>
      </c>
      <c r="AJ2062" s="2">
        <v>0</v>
      </c>
      <c r="AK2062">
        <v>0</v>
      </c>
      <c r="AL2062">
        <v>0.2</v>
      </c>
      <c r="AM2062">
        <v>0</v>
      </c>
      <c r="AN2062" s="2">
        <f>IF((2*G2062+M2062-O2062+3*V2062+2*AB2062+2*AE2062+2*AH2062+3*AJ2062)&gt;=7,1,0)</f>
        <v>0</v>
      </c>
    </row>
    <row r="2063" spans="1:40" x14ac:dyDescent="0.25">
      <c r="A2063" t="s">
        <v>27</v>
      </c>
      <c r="B2063" s="1">
        <v>42985</v>
      </c>
      <c r="C2063" s="6">
        <f t="shared" si="320"/>
        <v>2017</v>
      </c>
      <c r="D2063">
        <v>80.599999999999994</v>
      </c>
      <c r="E2063">
        <v>62.6</v>
      </c>
      <c r="F2063">
        <v>72.599999999999994</v>
      </c>
      <c r="G2063" s="2">
        <f t="shared" si="321"/>
        <v>1</v>
      </c>
      <c r="H2063">
        <v>81.900000000000006</v>
      </c>
      <c r="I2063">
        <v>62.6</v>
      </c>
      <c r="J2063">
        <v>72.7</v>
      </c>
      <c r="K2063">
        <v>60.2</v>
      </c>
      <c r="L2063">
        <v>66</v>
      </c>
      <c r="M2063" s="2">
        <f t="shared" si="322"/>
        <v>1</v>
      </c>
      <c r="N2063">
        <v>0</v>
      </c>
      <c r="O2063" s="2">
        <f t="shared" si="323"/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22.1</v>
      </c>
      <c r="V2063" s="2">
        <f t="shared" si="324"/>
        <v>1</v>
      </c>
      <c r="W2063">
        <v>11.4</v>
      </c>
      <c r="X2063" s="2">
        <f t="shared" si="325"/>
        <v>0</v>
      </c>
      <c r="Y2063">
        <v>320.89999999999998</v>
      </c>
      <c r="Z2063" s="2" t="str">
        <f>CHOOSE(MATCH(Y2063,{0;11;80;111;161;191;241;281;341},1),"North","NorthEast","East","SouthEast","South","SouthWest","West","NorthWest","North")</f>
        <v>NorthWest</v>
      </c>
      <c r="AA2063" s="4">
        <f>CHOOSE(MATCH(Z2063,{"South";"SouthEast";"SouthWest";"North";"NorthEast";"East";"West";"NorthWest"},0),1,2,3,4,5,6,7,8)</f>
        <v>8</v>
      </c>
      <c r="AB2063" s="2">
        <f t="shared" si="326"/>
        <v>1</v>
      </c>
      <c r="AC2063">
        <v>1015.2</v>
      </c>
      <c r="AD2063" t="s">
        <v>2483</v>
      </c>
      <c r="AE2063" s="2">
        <f t="shared" si="327"/>
        <v>0</v>
      </c>
      <c r="AF2063" t="s">
        <v>2818</v>
      </c>
      <c r="AG2063" s="2">
        <f t="shared" si="328"/>
        <v>9</v>
      </c>
      <c r="AH2063" s="2">
        <f t="shared" si="329"/>
        <v>0</v>
      </c>
      <c r="AI2063" s="3">
        <v>2430.9999999927818</v>
      </c>
      <c r="AJ2063" s="2">
        <v>1</v>
      </c>
      <c r="AK2063">
        <v>0</v>
      </c>
      <c r="AL2063">
        <v>0</v>
      </c>
      <c r="AM2063">
        <v>2</v>
      </c>
      <c r="AN2063" s="2">
        <f>IF((2*G2063+M2063-O2063+3*V2063+2*AB2063+2*AE2063+2*AH2063+3*AJ2063)&gt;=7,1,0)</f>
        <v>1</v>
      </c>
    </row>
    <row r="2064" spans="1:40" x14ac:dyDescent="0.25">
      <c r="A2064" t="s">
        <v>27</v>
      </c>
      <c r="B2064" s="1">
        <v>42989</v>
      </c>
      <c r="C2064" s="6">
        <f t="shared" si="320"/>
        <v>2017</v>
      </c>
      <c r="D2064">
        <v>86</v>
      </c>
      <c r="E2064">
        <v>66.2</v>
      </c>
      <c r="F2064">
        <v>76.900000000000006</v>
      </c>
      <c r="G2064" s="2">
        <f t="shared" si="321"/>
        <v>1</v>
      </c>
      <c r="H2064">
        <v>88.3</v>
      </c>
      <c r="I2064">
        <v>66.2</v>
      </c>
      <c r="J2064">
        <v>79</v>
      </c>
      <c r="K2064">
        <v>65.7</v>
      </c>
      <c r="L2064">
        <v>70.3</v>
      </c>
      <c r="M2064" s="2">
        <f t="shared" si="322"/>
        <v>0</v>
      </c>
      <c r="N2064">
        <v>0</v>
      </c>
      <c r="O2064" s="2">
        <f t="shared" si="323"/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26.4</v>
      </c>
      <c r="V2064" s="2">
        <f t="shared" si="324"/>
        <v>1</v>
      </c>
      <c r="W2064">
        <v>21.9</v>
      </c>
      <c r="X2064" s="2">
        <f t="shared" si="325"/>
        <v>1</v>
      </c>
      <c r="Y2064">
        <v>131</v>
      </c>
      <c r="Z2064" s="2" t="str">
        <f>CHOOSE(MATCH(Y2064,{0;11;80;111;161;191;241;281;341},1),"North","NorthEast","East","SouthEast","South","SouthWest","West","NorthWest","North")</f>
        <v>SouthEast</v>
      </c>
      <c r="AA2064" s="4">
        <f>CHOOSE(MATCH(Z2064,{"South";"SouthEast";"SouthWest";"North";"NorthEast";"East";"West";"NorthWest"},0),1,2,3,4,5,6,7,8)</f>
        <v>2</v>
      </c>
      <c r="AB2064" s="2">
        <f t="shared" si="326"/>
        <v>0</v>
      </c>
      <c r="AC2064">
        <v>1010.9</v>
      </c>
      <c r="AD2064" t="s">
        <v>2024</v>
      </c>
      <c r="AE2064" s="2">
        <f t="shared" si="327"/>
        <v>1</v>
      </c>
      <c r="AF2064" t="s">
        <v>2819</v>
      </c>
      <c r="AG2064" s="2">
        <f t="shared" si="328"/>
        <v>9</v>
      </c>
      <c r="AH2064" s="2">
        <f t="shared" si="329"/>
        <v>0</v>
      </c>
      <c r="AI2064" s="3">
        <v>1638.9999999990689</v>
      </c>
      <c r="AJ2064" s="2">
        <v>1</v>
      </c>
      <c r="AK2064">
        <v>0</v>
      </c>
      <c r="AL2064">
        <v>6</v>
      </c>
      <c r="AM2064">
        <v>0</v>
      </c>
      <c r="AN2064" s="2">
        <f>IF((2*G2064+M2064-O2064+3*V2064+2*AB2064+2*AE2064+2*AH2064+3*AJ2064)&gt;=7,1,0)</f>
        <v>1</v>
      </c>
    </row>
    <row r="2065" spans="1:40" x14ac:dyDescent="0.25">
      <c r="A2065" t="s">
        <v>27</v>
      </c>
      <c r="B2065" s="1">
        <v>42990</v>
      </c>
      <c r="C2065" s="6">
        <f t="shared" si="320"/>
        <v>2017</v>
      </c>
      <c r="D2065">
        <v>86</v>
      </c>
      <c r="E2065">
        <v>73.400000000000006</v>
      </c>
      <c r="F2065">
        <v>80.7</v>
      </c>
      <c r="G2065" s="2">
        <f t="shared" si="321"/>
        <v>1</v>
      </c>
      <c r="H2065">
        <v>87.2</v>
      </c>
      <c r="I2065">
        <v>73.400000000000006</v>
      </c>
      <c r="J2065">
        <v>81.5</v>
      </c>
      <c r="K2065">
        <v>65.2</v>
      </c>
      <c r="L2065">
        <v>62.4</v>
      </c>
      <c r="M2065" s="2">
        <f t="shared" si="322"/>
        <v>1</v>
      </c>
      <c r="N2065">
        <v>0</v>
      </c>
      <c r="O2065" s="2">
        <f t="shared" si="323"/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17.7</v>
      </c>
      <c r="V2065" s="2">
        <f t="shared" si="324"/>
        <v>1</v>
      </c>
      <c r="W2065">
        <v>23</v>
      </c>
      <c r="X2065" s="2">
        <f t="shared" si="325"/>
        <v>1</v>
      </c>
      <c r="Y2065">
        <v>281.5</v>
      </c>
      <c r="Z2065" s="2" t="str">
        <f>CHOOSE(MATCH(Y2065,{0;11;80;111;161;191;241;281;341},1),"North","NorthEast","East","SouthEast","South","SouthWest","West","NorthWest","North")</f>
        <v>NorthWest</v>
      </c>
      <c r="AA2065" s="4">
        <f>CHOOSE(MATCH(Z2065,{"South";"SouthEast";"SouthWest";"North";"NorthEast";"East";"West";"NorthWest"},0),1,2,3,4,5,6,7,8)</f>
        <v>8</v>
      </c>
      <c r="AB2065" s="2">
        <f t="shared" si="326"/>
        <v>1</v>
      </c>
      <c r="AC2065">
        <v>1011.8</v>
      </c>
      <c r="AD2065" t="s">
        <v>2820</v>
      </c>
      <c r="AE2065" s="2">
        <f t="shared" si="327"/>
        <v>1</v>
      </c>
      <c r="AF2065" t="s">
        <v>2821</v>
      </c>
      <c r="AG2065" s="2">
        <f t="shared" si="328"/>
        <v>9</v>
      </c>
      <c r="AH2065" s="2">
        <f t="shared" si="329"/>
        <v>0</v>
      </c>
      <c r="AI2065" s="3">
        <v>297.9999999969732</v>
      </c>
      <c r="AJ2065" s="2">
        <v>0</v>
      </c>
      <c r="AK2065">
        <v>0</v>
      </c>
      <c r="AL2065">
        <v>0.5</v>
      </c>
      <c r="AM2065">
        <v>0</v>
      </c>
      <c r="AN2065" s="2">
        <f>IF((2*G2065+M2065-O2065+3*V2065+2*AB2065+2*AE2065+2*AH2065+3*AJ2065)&gt;=7,1,0)</f>
        <v>1</v>
      </c>
    </row>
    <row r="2066" spans="1:40" x14ac:dyDescent="0.25">
      <c r="A2066" t="s">
        <v>27</v>
      </c>
      <c r="B2066" s="1">
        <v>42992</v>
      </c>
      <c r="C2066" s="6">
        <f t="shared" si="320"/>
        <v>2017</v>
      </c>
      <c r="D2066">
        <v>82.4</v>
      </c>
      <c r="E2066">
        <v>68</v>
      </c>
      <c r="F2066">
        <v>76</v>
      </c>
      <c r="G2066" s="2">
        <f t="shared" si="321"/>
        <v>1</v>
      </c>
      <c r="H2066">
        <v>87.2</v>
      </c>
      <c r="I2066">
        <v>68</v>
      </c>
      <c r="J2066">
        <v>77.2</v>
      </c>
      <c r="K2066">
        <v>68.400000000000006</v>
      </c>
      <c r="L2066">
        <v>78.2</v>
      </c>
      <c r="M2066" s="2">
        <f t="shared" si="322"/>
        <v>0</v>
      </c>
      <c r="N2066">
        <v>0</v>
      </c>
      <c r="O2066" s="2">
        <f t="shared" si="323"/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28.6</v>
      </c>
      <c r="V2066" s="2">
        <f t="shared" si="324"/>
        <v>1</v>
      </c>
      <c r="W2066">
        <v>16.100000000000001</v>
      </c>
      <c r="X2066" s="2">
        <f t="shared" si="325"/>
        <v>1</v>
      </c>
      <c r="Y2066">
        <v>299.60000000000002</v>
      </c>
      <c r="Z2066" s="2" t="str">
        <f>CHOOSE(MATCH(Y2066,{0;11;80;111;161;191;241;281;341},1),"North","NorthEast","East","SouthEast","South","SouthWest","West","NorthWest","North")</f>
        <v>NorthWest</v>
      </c>
      <c r="AA2066" s="4">
        <f>CHOOSE(MATCH(Z2066,{"South";"SouthEast";"SouthWest";"North";"NorthEast";"East";"West";"NorthWest"},0),1,2,3,4,5,6,7,8)</f>
        <v>8</v>
      </c>
      <c r="AB2066" s="2">
        <f t="shared" si="326"/>
        <v>1</v>
      </c>
      <c r="AC2066">
        <v>1013.4</v>
      </c>
      <c r="AD2066" t="s">
        <v>1115</v>
      </c>
      <c r="AE2066" s="2">
        <f t="shared" si="327"/>
        <v>0</v>
      </c>
      <c r="AF2066" t="s">
        <v>2822</v>
      </c>
      <c r="AG2066" s="2">
        <f t="shared" si="328"/>
        <v>9</v>
      </c>
      <c r="AH2066" s="2">
        <f t="shared" si="329"/>
        <v>0</v>
      </c>
      <c r="AI2066" s="3">
        <v>1985.000000005821</v>
      </c>
      <c r="AJ2066" s="2">
        <v>1</v>
      </c>
      <c r="AK2066">
        <v>0</v>
      </c>
      <c r="AL2066">
        <v>0.5</v>
      </c>
      <c r="AM2066">
        <v>0</v>
      </c>
      <c r="AN2066" s="2">
        <f>IF((2*G2066+M2066-O2066+3*V2066+2*AB2066+2*AE2066+2*AH2066+3*AJ2066)&gt;=7,1,0)</f>
        <v>1</v>
      </c>
    </row>
    <row r="2067" spans="1:40" x14ac:dyDescent="0.25">
      <c r="A2067" t="s">
        <v>27</v>
      </c>
      <c r="B2067" s="1">
        <v>42993</v>
      </c>
      <c r="C2067" s="6">
        <f t="shared" si="320"/>
        <v>2017</v>
      </c>
      <c r="D2067">
        <v>80.599999999999994</v>
      </c>
      <c r="E2067">
        <v>66.2</v>
      </c>
      <c r="F2067">
        <v>75</v>
      </c>
      <c r="G2067" s="2">
        <f t="shared" si="321"/>
        <v>1</v>
      </c>
      <c r="H2067">
        <v>84.6</v>
      </c>
      <c r="I2067">
        <v>66.2</v>
      </c>
      <c r="J2067">
        <v>76.099999999999994</v>
      </c>
      <c r="K2067">
        <v>66.599999999999994</v>
      </c>
      <c r="L2067">
        <v>75.400000000000006</v>
      </c>
      <c r="M2067" s="2">
        <f t="shared" si="322"/>
        <v>0</v>
      </c>
      <c r="N2067">
        <v>0</v>
      </c>
      <c r="O2067" s="2">
        <f t="shared" si="323"/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22.8</v>
      </c>
      <c r="V2067" s="2">
        <f t="shared" si="324"/>
        <v>1</v>
      </c>
      <c r="W2067">
        <v>17.2</v>
      </c>
      <c r="X2067" s="2">
        <f t="shared" si="325"/>
        <v>1</v>
      </c>
      <c r="Y2067">
        <v>288.8</v>
      </c>
      <c r="Z2067" s="2" t="str">
        <f>CHOOSE(MATCH(Y2067,{0;11;80;111;161;191;241;281;341},1),"North","NorthEast","East","SouthEast","South","SouthWest","West","NorthWest","North")</f>
        <v>NorthWest</v>
      </c>
      <c r="AA2067" s="4">
        <f>CHOOSE(MATCH(Z2067,{"South";"SouthEast";"SouthWest";"North";"NorthEast";"East";"West";"NorthWest"},0),1,2,3,4,5,6,7,8)</f>
        <v>8</v>
      </c>
      <c r="AB2067" s="2">
        <f t="shared" si="326"/>
        <v>1</v>
      </c>
      <c r="AC2067">
        <v>1011.5</v>
      </c>
      <c r="AD2067" t="s">
        <v>2823</v>
      </c>
      <c r="AE2067" s="2">
        <f t="shared" si="327"/>
        <v>1</v>
      </c>
      <c r="AF2067" t="s">
        <v>2824</v>
      </c>
      <c r="AG2067" s="2">
        <f t="shared" si="328"/>
        <v>9</v>
      </c>
      <c r="AH2067" s="2">
        <f t="shared" si="329"/>
        <v>0</v>
      </c>
      <c r="AI2067" s="3">
        <v>1512.000000004191</v>
      </c>
      <c r="AJ2067" s="2">
        <v>1</v>
      </c>
      <c r="AK2067">
        <v>0</v>
      </c>
      <c r="AL2067">
        <v>100</v>
      </c>
      <c r="AM2067">
        <v>0</v>
      </c>
      <c r="AN2067" s="2">
        <f>IF((2*G2067+M2067-O2067+3*V2067+2*AB2067+2*AE2067+2*AH2067+3*AJ2067)&gt;=7,1,0)</f>
        <v>1</v>
      </c>
    </row>
    <row r="2068" spans="1:40" x14ac:dyDescent="0.25">
      <c r="A2068" t="s">
        <v>27</v>
      </c>
      <c r="B2068" s="1">
        <v>42999</v>
      </c>
      <c r="C2068" s="6">
        <f t="shared" si="320"/>
        <v>2017</v>
      </c>
      <c r="D2068">
        <v>82.4</v>
      </c>
      <c r="E2068">
        <v>71.599999999999994</v>
      </c>
      <c r="F2068">
        <v>76</v>
      </c>
      <c r="G2068" s="2">
        <f t="shared" si="321"/>
        <v>1</v>
      </c>
      <c r="H2068">
        <v>83.4</v>
      </c>
      <c r="I2068">
        <v>71.599999999999994</v>
      </c>
      <c r="J2068">
        <v>76.2</v>
      </c>
      <c r="K2068">
        <v>63.3</v>
      </c>
      <c r="L2068">
        <v>66.2</v>
      </c>
      <c r="M2068" s="2">
        <f t="shared" si="322"/>
        <v>0</v>
      </c>
      <c r="N2068">
        <v>0</v>
      </c>
      <c r="O2068" s="2">
        <f t="shared" si="323"/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28</v>
      </c>
      <c r="V2068" s="2">
        <f t="shared" si="324"/>
        <v>1</v>
      </c>
      <c r="W2068">
        <v>28.9</v>
      </c>
      <c r="X2068" s="2">
        <f t="shared" si="325"/>
        <v>1</v>
      </c>
      <c r="Y2068">
        <v>289.89999999999998</v>
      </c>
      <c r="Z2068" s="2" t="str">
        <f>CHOOSE(MATCH(Y2068,{0;11;80;111;161;191;241;281;341},1),"North","NorthEast","East","SouthEast","South","SouthWest","West","NorthWest","North")</f>
        <v>NorthWest</v>
      </c>
      <c r="AA2068" s="4">
        <f>CHOOSE(MATCH(Z2068,{"South";"SouthEast";"SouthWest";"North";"NorthEast";"East";"West";"NorthWest"},0),1,2,3,4,5,6,7,8)</f>
        <v>8</v>
      </c>
      <c r="AB2068" s="2">
        <f t="shared" si="326"/>
        <v>1</v>
      </c>
      <c r="AC2068">
        <v>1013.5</v>
      </c>
      <c r="AD2068" t="s">
        <v>2241</v>
      </c>
      <c r="AE2068" s="2">
        <f t="shared" si="327"/>
        <v>1</v>
      </c>
      <c r="AF2068" t="s">
        <v>2825</v>
      </c>
      <c r="AG2068" s="2">
        <f t="shared" si="328"/>
        <v>9</v>
      </c>
      <c r="AH2068" s="2">
        <f t="shared" si="329"/>
        <v>0</v>
      </c>
      <c r="AI2068" s="3">
        <v>1415.999999995111</v>
      </c>
      <c r="AJ2068" s="2">
        <v>1</v>
      </c>
      <c r="AK2068">
        <v>0</v>
      </c>
      <c r="AL2068">
        <v>60</v>
      </c>
      <c r="AM2068">
        <v>0</v>
      </c>
      <c r="AN2068" s="2">
        <f>IF((2*G2068+M2068-O2068+3*V2068+2*AB2068+2*AE2068+2*AH2068+3*AJ2068)&gt;=7,1,0)</f>
        <v>1</v>
      </c>
    </row>
    <row r="2069" spans="1:40" x14ac:dyDescent="0.25">
      <c r="A2069" t="s">
        <v>27</v>
      </c>
      <c r="B2069" s="1">
        <v>43013</v>
      </c>
      <c r="C2069" s="6">
        <f t="shared" si="320"/>
        <v>2017</v>
      </c>
      <c r="D2069">
        <v>75.2</v>
      </c>
      <c r="E2069">
        <v>64.400000000000006</v>
      </c>
      <c r="F2069">
        <v>69.599999999999994</v>
      </c>
      <c r="G2069" s="2">
        <f t="shared" si="321"/>
        <v>0</v>
      </c>
      <c r="H2069">
        <v>75.2</v>
      </c>
      <c r="I2069">
        <v>64.400000000000006</v>
      </c>
      <c r="J2069">
        <v>69.599999999999994</v>
      </c>
      <c r="K2069">
        <v>58.5</v>
      </c>
      <c r="L2069">
        <v>68.400000000000006</v>
      </c>
      <c r="M2069" s="2">
        <f t="shared" si="322"/>
        <v>0</v>
      </c>
      <c r="N2069">
        <v>0</v>
      </c>
      <c r="O2069" s="2">
        <f t="shared" si="323"/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23.3</v>
      </c>
      <c r="V2069" s="2">
        <f t="shared" si="324"/>
        <v>1</v>
      </c>
      <c r="W2069">
        <v>20.7</v>
      </c>
      <c r="X2069" s="2">
        <f t="shared" si="325"/>
        <v>1</v>
      </c>
      <c r="Y2069">
        <v>298.5</v>
      </c>
      <c r="Z2069" s="2" t="str">
        <f>CHOOSE(MATCH(Y2069,{0;11;80;111;161;191;241;281;341},1),"North","NorthEast","East","SouthEast","South","SouthWest","West","NorthWest","North")</f>
        <v>NorthWest</v>
      </c>
      <c r="AA2069" s="4">
        <f>CHOOSE(MATCH(Z2069,{"South";"SouthEast";"SouthWest";"North";"NorthEast";"East";"West";"NorthWest"},0),1,2,3,4,5,6,7,8)</f>
        <v>8</v>
      </c>
      <c r="AB2069" s="2">
        <f t="shared" si="326"/>
        <v>1</v>
      </c>
      <c r="AC2069">
        <v>1018.9</v>
      </c>
      <c r="AD2069" t="s">
        <v>2752</v>
      </c>
      <c r="AE2069" s="2">
        <f t="shared" si="327"/>
        <v>0</v>
      </c>
      <c r="AF2069" t="s">
        <v>2826</v>
      </c>
      <c r="AG2069" s="2">
        <f t="shared" si="328"/>
        <v>10</v>
      </c>
      <c r="AH2069" s="2">
        <f t="shared" si="329"/>
        <v>0</v>
      </c>
      <c r="AI2069" s="3">
        <v>1587.000000007683</v>
      </c>
      <c r="AJ2069" s="2">
        <v>1</v>
      </c>
      <c r="AK2069">
        <v>1</v>
      </c>
      <c r="AL2069">
        <v>0</v>
      </c>
      <c r="AM2069">
        <v>0</v>
      </c>
      <c r="AN2069" s="2">
        <f>IF((2*G2069+M2069-O2069+3*V2069+2*AB2069+2*AE2069+2*AH2069+3*AJ2069)&gt;=7,1,0)</f>
        <v>1</v>
      </c>
    </row>
    <row r="2070" spans="1:40" x14ac:dyDescent="0.25">
      <c r="A2070" t="s">
        <v>27</v>
      </c>
      <c r="B2070" s="1">
        <v>43013</v>
      </c>
      <c r="C2070" s="6">
        <f t="shared" si="320"/>
        <v>2017</v>
      </c>
      <c r="D2070">
        <v>75.2</v>
      </c>
      <c r="E2070">
        <v>64.400000000000006</v>
      </c>
      <c r="F2070">
        <v>69.599999999999994</v>
      </c>
      <c r="G2070" s="2">
        <f t="shared" si="321"/>
        <v>0</v>
      </c>
      <c r="H2070">
        <v>75.2</v>
      </c>
      <c r="I2070">
        <v>64.400000000000006</v>
      </c>
      <c r="J2070">
        <v>69.599999999999994</v>
      </c>
      <c r="K2070">
        <v>58.5</v>
      </c>
      <c r="L2070">
        <v>68.400000000000006</v>
      </c>
      <c r="M2070" s="2">
        <f t="shared" si="322"/>
        <v>0</v>
      </c>
      <c r="N2070">
        <v>0</v>
      </c>
      <c r="O2070" s="2">
        <f t="shared" si="323"/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23.3</v>
      </c>
      <c r="V2070" s="2">
        <f t="shared" si="324"/>
        <v>1</v>
      </c>
      <c r="W2070">
        <v>20.7</v>
      </c>
      <c r="X2070" s="2">
        <f t="shared" si="325"/>
        <v>1</v>
      </c>
      <c r="Y2070">
        <v>298.5</v>
      </c>
      <c r="Z2070" s="2" t="str">
        <f>CHOOSE(MATCH(Y2070,{0;11;80;111;161;191;241;281;341},1),"North","NorthEast","East","SouthEast","South","SouthWest","West","NorthWest","North")</f>
        <v>NorthWest</v>
      </c>
      <c r="AA2070" s="4">
        <f>CHOOSE(MATCH(Z2070,{"South";"SouthEast";"SouthWest";"North";"NorthEast";"East";"West";"NorthWest"},0),1,2,3,4,5,6,7,8)</f>
        <v>8</v>
      </c>
      <c r="AB2070" s="2">
        <f t="shared" si="326"/>
        <v>1</v>
      </c>
      <c r="AC2070">
        <v>1018.9</v>
      </c>
      <c r="AD2070" t="s">
        <v>1099</v>
      </c>
      <c r="AE2070" s="2">
        <f t="shared" si="327"/>
        <v>1</v>
      </c>
      <c r="AF2070" t="s">
        <v>2827</v>
      </c>
      <c r="AG2070" s="2">
        <f t="shared" si="328"/>
        <v>10</v>
      </c>
      <c r="AH2070" s="2">
        <f t="shared" si="329"/>
        <v>0</v>
      </c>
      <c r="AI2070" s="3">
        <v>221.00000000791621</v>
      </c>
      <c r="AJ2070" s="2">
        <v>0</v>
      </c>
      <c r="AK2070">
        <v>0</v>
      </c>
      <c r="AL2070">
        <v>0.5</v>
      </c>
      <c r="AM2070">
        <v>0</v>
      </c>
      <c r="AN2070" s="2">
        <f>IF((2*G2070+M2070-O2070+3*V2070+2*AB2070+2*AE2070+2*AH2070+3*AJ2070)&gt;=7,1,0)</f>
        <v>0</v>
      </c>
    </row>
    <row r="2071" spans="1:40" x14ac:dyDescent="0.25">
      <c r="A2071" t="s">
        <v>27</v>
      </c>
      <c r="B2071" s="1">
        <v>43016</v>
      </c>
      <c r="C2071" s="6">
        <f t="shared" si="320"/>
        <v>2017</v>
      </c>
      <c r="D2071">
        <v>73.400000000000006</v>
      </c>
      <c r="E2071">
        <v>66.2</v>
      </c>
      <c r="F2071">
        <v>69.099999999999994</v>
      </c>
      <c r="G2071" s="2">
        <f t="shared" si="321"/>
        <v>0</v>
      </c>
      <c r="H2071">
        <v>73.400000000000006</v>
      </c>
      <c r="I2071">
        <v>66.2</v>
      </c>
      <c r="J2071">
        <v>69.099999999999994</v>
      </c>
      <c r="K2071">
        <v>58.8</v>
      </c>
      <c r="L2071">
        <v>70.2</v>
      </c>
      <c r="M2071" s="2">
        <f t="shared" si="322"/>
        <v>0</v>
      </c>
      <c r="N2071">
        <v>0</v>
      </c>
      <c r="O2071" s="2">
        <f t="shared" si="323"/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28</v>
      </c>
      <c r="V2071" s="2">
        <f t="shared" si="324"/>
        <v>1</v>
      </c>
      <c r="W2071">
        <v>21.9</v>
      </c>
      <c r="X2071" s="2">
        <f t="shared" si="325"/>
        <v>1</v>
      </c>
      <c r="Y2071">
        <v>292.3</v>
      </c>
      <c r="Z2071" s="2" t="str">
        <f>CHOOSE(MATCH(Y2071,{0;11;80;111;161;191;241;281;341},1),"North","NorthEast","East","SouthEast","South","SouthWest","West","NorthWest","North")</f>
        <v>NorthWest</v>
      </c>
      <c r="AA2071" s="4">
        <f>CHOOSE(MATCH(Z2071,{"South";"SouthEast";"SouthWest";"North";"NorthEast";"East";"West";"NorthWest"},0),1,2,3,4,5,6,7,8)</f>
        <v>8</v>
      </c>
      <c r="AB2071" s="2">
        <f t="shared" si="326"/>
        <v>1</v>
      </c>
      <c r="AC2071">
        <v>1010.6</v>
      </c>
      <c r="AD2071" t="s">
        <v>2669</v>
      </c>
      <c r="AE2071" s="2">
        <f t="shared" si="327"/>
        <v>1</v>
      </c>
      <c r="AF2071" t="s">
        <v>2828</v>
      </c>
      <c r="AG2071" s="2">
        <f t="shared" si="328"/>
        <v>10</v>
      </c>
      <c r="AH2071" s="2">
        <f t="shared" si="329"/>
        <v>0</v>
      </c>
      <c r="AI2071" s="3">
        <v>249.99999999767169</v>
      </c>
      <c r="AJ2071" s="2">
        <v>0</v>
      </c>
      <c r="AK2071">
        <v>0</v>
      </c>
      <c r="AL2071">
        <v>10</v>
      </c>
      <c r="AM2071">
        <v>0</v>
      </c>
      <c r="AN2071" s="2">
        <f>IF((2*G2071+M2071-O2071+3*V2071+2*AB2071+2*AE2071+2*AH2071+3*AJ2071)&gt;=7,1,0)</f>
        <v>0</v>
      </c>
    </row>
    <row r="2072" spans="1:40" x14ac:dyDescent="0.25">
      <c r="A2072" t="s">
        <v>27</v>
      </c>
      <c r="B2072" s="1">
        <v>43020</v>
      </c>
      <c r="C2072" s="6">
        <f t="shared" si="320"/>
        <v>2017</v>
      </c>
      <c r="D2072">
        <v>73.400000000000006</v>
      </c>
      <c r="E2072">
        <v>68</v>
      </c>
      <c r="F2072">
        <v>69.8</v>
      </c>
      <c r="G2072" s="2">
        <f t="shared" si="321"/>
        <v>0</v>
      </c>
      <c r="H2072">
        <v>73.400000000000006</v>
      </c>
      <c r="I2072">
        <v>68</v>
      </c>
      <c r="J2072">
        <v>69.8</v>
      </c>
      <c r="K2072">
        <v>55.3</v>
      </c>
      <c r="L2072">
        <v>60.1</v>
      </c>
      <c r="M2072" s="2">
        <f t="shared" si="322"/>
        <v>1</v>
      </c>
      <c r="N2072">
        <v>0</v>
      </c>
      <c r="O2072" s="2">
        <f t="shared" si="323"/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31.5</v>
      </c>
      <c r="V2072" s="2">
        <f t="shared" si="324"/>
        <v>1</v>
      </c>
      <c r="W2072">
        <v>17.2</v>
      </c>
      <c r="X2072" s="2">
        <f t="shared" si="325"/>
        <v>1</v>
      </c>
      <c r="Y2072">
        <v>323.10000000000002</v>
      </c>
      <c r="Z2072" s="2" t="str">
        <f>CHOOSE(MATCH(Y2072,{0;11;80;111;161;191;241;281;341},1),"North","NorthEast","East","SouthEast","South","SouthWest","West","NorthWest","North")</f>
        <v>NorthWest</v>
      </c>
      <c r="AA2072" s="4">
        <f>CHOOSE(MATCH(Z2072,{"South";"SouthEast";"SouthWest";"North";"NorthEast";"East";"West";"NorthWest"},0),1,2,3,4,5,6,7,8)</f>
        <v>8</v>
      </c>
      <c r="AB2072" s="2">
        <f t="shared" si="326"/>
        <v>1</v>
      </c>
      <c r="AC2072">
        <v>1020.1</v>
      </c>
      <c r="AD2072" t="s">
        <v>1113</v>
      </c>
      <c r="AE2072" s="2">
        <f t="shared" si="327"/>
        <v>1</v>
      </c>
      <c r="AF2072" t="s">
        <v>2829</v>
      </c>
      <c r="AG2072" s="2">
        <f t="shared" si="328"/>
        <v>10</v>
      </c>
      <c r="AH2072" s="2">
        <f t="shared" si="329"/>
        <v>0</v>
      </c>
      <c r="AI2072" s="3">
        <v>190.00000000116421</v>
      </c>
      <c r="AJ2072" s="2">
        <v>0</v>
      </c>
      <c r="AK2072">
        <v>0</v>
      </c>
      <c r="AL2072">
        <v>1</v>
      </c>
      <c r="AM2072">
        <v>0</v>
      </c>
      <c r="AN2072" s="2">
        <f>IF((2*G2072+M2072-O2072+3*V2072+2*AB2072+2*AE2072+2*AH2072+3*AJ2072)&gt;=7,1,0)</f>
        <v>1</v>
      </c>
    </row>
    <row r="2073" spans="1:40" x14ac:dyDescent="0.25">
      <c r="A2073" t="s">
        <v>27</v>
      </c>
      <c r="B2073" s="1">
        <v>43022</v>
      </c>
      <c r="C2073" s="6">
        <f t="shared" si="320"/>
        <v>2017</v>
      </c>
      <c r="D2073">
        <v>73.400000000000006</v>
      </c>
      <c r="E2073">
        <v>64.400000000000006</v>
      </c>
      <c r="F2073">
        <v>70.3</v>
      </c>
      <c r="G2073" s="2">
        <f t="shared" si="321"/>
        <v>1</v>
      </c>
      <c r="H2073">
        <v>73.400000000000006</v>
      </c>
      <c r="I2073">
        <v>64.400000000000006</v>
      </c>
      <c r="J2073">
        <v>70.3</v>
      </c>
      <c r="K2073">
        <v>57.7</v>
      </c>
      <c r="L2073">
        <v>64.7</v>
      </c>
      <c r="M2073" s="2">
        <f t="shared" si="322"/>
        <v>1</v>
      </c>
      <c r="N2073">
        <v>0</v>
      </c>
      <c r="O2073" s="2">
        <f t="shared" si="323"/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31.1</v>
      </c>
      <c r="V2073" s="2">
        <f t="shared" si="324"/>
        <v>1</v>
      </c>
      <c r="W2073">
        <v>20.8</v>
      </c>
      <c r="X2073" s="2">
        <f t="shared" si="325"/>
        <v>1</v>
      </c>
      <c r="Y2073">
        <v>311.7</v>
      </c>
      <c r="Z2073" s="2" t="str">
        <f>CHOOSE(MATCH(Y2073,{0;11;80;111;161;191;241;281;341},1),"North","NorthEast","East","SouthEast","South","SouthWest","West","NorthWest","North")</f>
        <v>NorthWest</v>
      </c>
      <c r="AA2073" s="4">
        <f>CHOOSE(MATCH(Z2073,{"South";"SouthEast";"SouthWest";"North";"NorthEast";"East";"West";"NorthWest"},0),1,2,3,4,5,6,7,8)</f>
        <v>8</v>
      </c>
      <c r="AB2073" s="2">
        <f t="shared" si="326"/>
        <v>1</v>
      </c>
      <c r="AC2073">
        <v>1019.2</v>
      </c>
      <c r="AD2073" t="s">
        <v>2124</v>
      </c>
      <c r="AE2073" s="2">
        <f t="shared" si="327"/>
        <v>0</v>
      </c>
      <c r="AF2073" t="s">
        <v>2830</v>
      </c>
      <c r="AG2073" s="2">
        <f t="shared" si="328"/>
        <v>10</v>
      </c>
      <c r="AH2073" s="2">
        <f t="shared" si="329"/>
        <v>0</v>
      </c>
      <c r="AI2073" s="3">
        <v>159.99999999767169</v>
      </c>
      <c r="AJ2073" s="2">
        <v>0</v>
      </c>
      <c r="AK2073">
        <v>0</v>
      </c>
      <c r="AL2073">
        <v>50</v>
      </c>
      <c r="AM2073">
        <v>0</v>
      </c>
      <c r="AN2073" s="2">
        <f>IF((2*G2073+M2073-O2073+3*V2073+2*AB2073+2*AE2073+2*AH2073+3*AJ2073)&gt;=7,1,0)</f>
        <v>1</v>
      </c>
    </row>
    <row r="2074" spans="1:40" x14ac:dyDescent="0.25">
      <c r="A2074" t="s">
        <v>27</v>
      </c>
      <c r="B2074" s="1">
        <v>43022</v>
      </c>
      <c r="C2074" s="6">
        <f t="shared" si="320"/>
        <v>2017</v>
      </c>
      <c r="D2074">
        <v>73.400000000000006</v>
      </c>
      <c r="E2074">
        <v>64.400000000000006</v>
      </c>
      <c r="F2074">
        <v>70.3</v>
      </c>
      <c r="G2074" s="2">
        <f t="shared" si="321"/>
        <v>1</v>
      </c>
      <c r="H2074">
        <v>73.400000000000006</v>
      </c>
      <c r="I2074">
        <v>64.400000000000006</v>
      </c>
      <c r="J2074">
        <v>70.3</v>
      </c>
      <c r="K2074">
        <v>57.7</v>
      </c>
      <c r="L2074">
        <v>64.7</v>
      </c>
      <c r="M2074" s="2">
        <f t="shared" si="322"/>
        <v>1</v>
      </c>
      <c r="N2074">
        <v>0</v>
      </c>
      <c r="O2074" s="2">
        <f t="shared" si="323"/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31.1</v>
      </c>
      <c r="V2074" s="2">
        <f t="shared" si="324"/>
        <v>1</v>
      </c>
      <c r="W2074">
        <v>20.8</v>
      </c>
      <c r="X2074" s="2">
        <f t="shared" si="325"/>
        <v>1</v>
      </c>
      <c r="Y2074">
        <v>311.7</v>
      </c>
      <c r="Z2074" s="2" t="str">
        <f>CHOOSE(MATCH(Y2074,{0;11;80;111;161;191;241;281;341},1),"North","NorthEast","East","SouthEast","South","SouthWest","West","NorthWest","North")</f>
        <v>NorthWest</v>
      </c>
      <c r="AA2074" s="4">
        <f>CHOOSE(MATCH(Z2074,{"South";"SouthEast";"SouthWest";"North";"NorthEast";"East";"West";"NorthWest"},0),1,2,3,4,5,6,7,8)</f>
        <v>8</v>
      </c>
      <c r="AB2074" s="2">
        <f t="shared" si="326"/>
        <v>1</v>
      </c>
      <c r="AC2074">
        <v>1019.2</v>
      </c>
      <c r="AD2074" t="s">
        <v>1237</v>
      </c>
      <c r="AE2074" s="2">
        <f t="shared" si="327"/>
        <v>1</v>
      </c>
      <c r="AF2074" t="s">
        <v>2831</v>
      </c>
      <c r="AG2074" s="2">
        <f t="shared" si="328"/>
        <v>10</v>
      </c>
      <c r="AH2074" s="2">
        <f t="shared" si="329"/>
        <v>0</v>
      </c>
      <c r="AI2074" s="3">
        <v>1007.000000003027</v>
      </c>
      <c r="AJ2074" s="2">
        <v>1</v>
      </c>
      <c r="AK2074">
        <v>0</v>
      </c>
      <c r="AL2074">
        <v>3</v>
      </c>
      <c r="AM2074">
        <v>0</v>
      </c>
      <c r="AN2074" s="2">
        <f>IF((2*G2074+M2074-O2074+3*V2074+2*AB2074+2*AE2074+2*AH2074+3*AJ2074)&gt;=7,1,0)</f>
        <v>1</v>
      </c>
    </row>
    <row r="2075" spans="1:40" x14ac:dyDescent="0.25">
      <c r="A2075" t="s">
        <v>27</v>
      </c>
      <c r="B2075" s="1">
        <v>43022</v>
      </c>
      <c r="C2075" s="6">
        <f t="shared" si="320"/>
        <v>2017</v>
      </c>
      <c r="D2075">
        <v>73.400000000000006</v>
      </c>
      <c r="E2075">
        <v>64.400000000000006</v>
      </c>
      <c r="F2075">
        <v>70.3</v>
      </c>
      <c r="G2075" s="2">
        <f t="shared" si="321"/>
        <v>1</v>
      </c>
      <c r="H2075">
        <v>73.400000000000006</v>
      </c>
      <c r="I2075">
        <v>64.400000000000006</v>
      </c>
      <c r="J2075">
        <v>70.3</v>
      </c>
      <c r="K2075">
        <v>57.7</v>
      </c>
      <c r="L2075">
        <v>64.7</v>
      </c>
      <c r="M2075" s="2">
        <f t="shared" si="322"/>
        <v>1</v>
      </c>
      <c r="N2075">
        <v>0</v>
      </c>
      <c r="O2075" s="2">
        <f t="shared" si="323"/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31.1</v>
      </c>
      <c r="V2075" s="2">
        <f t="shared" si="324"/>
        <v>1</v>
      </c>
      <c r="W2075">
        <v>20.8</v>
      </c>
      <c r="X2075" s="2">
        <f t="shared" si="325"/>
        <v>1</v>
      </c>
      <c r="Y2075">
        <v>311.7</v>
      </c>
      <c r="Z2075" s="2" t="str">
        <f>CHOOSE(MATCH(Y2075,{0;11;80;111;161;191;241;281;341},1),"North","NorthEast","East","SouthEast","South","SouthWest","West","NorthWest","North")</f>
        <v>NorthWest</v>
      </c>
      <c r="AA2075" s="4">
        <f>CHOOSE(MATCH(Z2075,{"South";"SouthEast";"SouthWest";"North";"NorthEast";"East";"West";"NorthWest"},0),1,2,3,4,5,6,7,8)</f>
        <v>8</v>
      </c>
      <c r="AB2075" s="2">
        <f t="shared" si="326"/>
        <v>1</v>
      </c>
      <c r="AC2075">
        <v>1019.2</v>
      </c>
      <c r="AD2075" t="s">
        <v>2832</v>
      </c>
      <c r="AE2075" s="2">
        <f t="shared" si="327"/>
        <v>1</v>
      </c>
      <c r="AF2075" t="s">
        <v>2833</v>
      </c>
      <c r="AG2075" s="2">
        <f t="shared" si="328"/>
        <v>10</v>
      </c>
      <c r="AH2075" s="2">
        <f t="shared" si="329"/>
        <v>0</v>
      </c>
      <c r="AI2075" s="3">
        <v>88.999999996740371</v>
      </c>
      <c r="AJ2075" s="2">
        <v>0</v>
      </c>
      <c r="AK2075">
        <v>0</v>
      </c>
      <c r="AL2075">
        <v>0.5</v>
      </c>
      <c r="AM2075">
        <v>0</v>
      </c>
      <c r="AN2075" s="2">
        <f>IF((2*G2075+M2075-O2075+3*V2075+2*AB2075+2*AE2075+2*AH2075+3*AJ2075)&gt;=7,1,0)</f>
        <v>1</v>
      </c>
    </row>
    <row r="2076" spans="1:40" x14ac:dyDescent="0.25">
      <c r="A2076" t="s">
        <v>27</v>
      </c>
      <c r="B2076" s="1">
        <v>43022</v>
      </c>
      <c r="C2076" s="6">
        <f t="shared" si="320"/>
        <v>2017</v>
      </c>
      <c r="D2076">
        <v>73.400000000000006</v>
      </c>
      <c r="E2076">
        <v>64.400000000000006</v>
      </c>
      <c r="F2076">
        <v>70.3</v>
      </c>
      <c r="G2076" s="2">
        <f t="shared" si="321"/>
        <v>1</v>
      </c>
      <c r="H2076">
        <v>73.400000000000006</v>
      </c>
      <c r="I2076">
        <v>64.400000000000006</v>
      </c>
      <c r="J2076">
        <v>70.3</v>
      </c>
      <c r="K2076">
        <v>57.7</v>
      </c>
      <c r="L2076">
        <v>64.7</v>
      </c>
      <c r="M2076" s="2">
        <f t="shared" si="322"/>
        <v>1</v>
      </c>
      <c r="N2076">
        <v>0</v>
      </c>
      <c r="O2076" s="2">
        <f t="shared" si="323"/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31.1</v>
      </c>
      <c r="V2076" s="2">
        <f t="shared" si="324"/>
        <v>1</v>
      </c>
      <c r="W2076">
        <v>20.8</v>
      </c>
      <c r="X2076" s="2">
        <f t="shared" si="325"/>
        <v>1</v>
      </c>
      <c r="Y2076">
        <v>311.7</v>
      </c>
      <c r="Z2076" s="2" t="str">
        <f>CHOOSE(MATCH(Y2076,{0;11;80;111;161;191;241;281;341},1),"North","NorthEast","East","SouthEast","South","SouthWest","West","NorthWest","North")</f>
        <v>NorthWest</v>
      </c>
      <c r="AA2076" s="4">
        <f>CHOOSE(MATCH(Z2076,{"South";"SouthEast";"SouthWest";"North";"NorthEast";"East";"West";"NorthWest"},0),1,2,3,4,5,6,7,8)</f>
        <v>8</v>
      </c>
      <c r="AB2076" s="2">
        <f t="shared" si="326"/>
        <v>1</v>
      </c>
      <c r="AC2076">
        <v>1019.2</v>
      </c>
      <c r="AD2076" t="s">
        <v>1123</v>
      </c>
      <c r="AE2076" s="2">
        <f t="shared" si="327"/>
        <v>1</v>
      </c>
      <c r="AF2076" t="s">
        <v>2834</v>
      </c>
      <c r="AG2076" s="2">
        <f t="shared" si="328"/>
        <v>10</v>
      </c>
      <c r="AH2076" s="2">
        <f t="shared" si="329"/>
        <v>0</v>
      </c>
      <c r="AI2076" s="3">
        <v>265.00000000465661</v>
      </c>
      <c r="AJ2076" s="2">
        <v>0</v>
      </c>
      <c r="AK2076">
        <v>0</v>
      </c>
      <c r="AL2076">
        <v>1</v>
      </c>
      <c r="AM2076">
        <v>0</v>
      </c>
      <c r="AN2076" s="2">
        <f>IF((2*G2076+M2076-O2076+3*V2076+2*AB2076+2*AE2076+2*AH2076+3*AJ2076)&gt;=7,1,0)</f>
        <v>1</v>
      </c>
    </row>
    <row r="2077" spans="1:40" x14ac:dyDescent="0.25">
      <c r="A2077" t="s">
        <v>27</v>
      </c>
      <c r="B2077" s="1">
        <v>43037</v>
      </c>
      <c r="C2077" s="6">
        <f t="shared" si="320"/>
        <v>2017</v>
      </c>
      <c r="D2077">
        <v>69.8</v>
      </c>
      <c r="E2077">
        <v>57.2</v>
      </c>
      <c r="F2077">
        <v>64</v>
      </c>
      <c r="G2077" s="2">
        <f t="shared" si="321"/>
        <v>0</v>
      </c>
      <c r="H2077">
        <v>69.8</v>
      </c>
      <c r="I2077">
        <v>57.2</v>
      </c>
      <c r="J2077">
        <v>64</v>
      </c>
      <c r="K2077">
        <v>56.6</v>
      </c>
      <c r="L2077">
        <v>77</v>
      </c>
      <c r="M2077" s="2">
        <f t="shared" si="322"/>
        <v>0</v>
      </c>
      <c r="N2077">
        <v>0.313</v>
      </c>
      <c r="O2077" s="2">
        <f t="shared" si="323"/>
        <v>0</v>
      </c>
      <c r="P2077">
        <v>100</v>
      </c>
      <c r="Q2077">
        <v>12.5</v>
      </c>
      <c r="R2077" t="s">
        <v>182</v>
      </c>
      <c r="S2077">
        <v>0</v>
      </c>
      <c r="T2077">
        <v>0</v>
      </c>
      <c r="U2077">
        <v>23</v>
      </c>
      <c r="V2077" s="2">
        <f t="shared" si="324"/>
        <v>1</v>
      </c>
      <c r="W2077">
        <v>17.2</v>
      </c>
      <c r="X2077" s="2">
        <f t="shared" si="325"/>
        <v>1</v>
      </c>
      <c r="Y2077">
        <v>332.8</v>
      </c>
      <c r="Z2077" s="2" t="str">
        <f>CHOOSE(MATCH(Y2077,{0;11;80;111;161;191;241;281;341},1),"North","NorthEast","East","SouthEast","South","SouthWest","West","NorthWest","North")</f>
        <v>NorthWest</v>
      </c>
      <c r="AA2077" s="4">
        <f>CHOOSE(MATCH(Z2077,{"South";"SouthEast";"SouthWest";"North";"NorthEast";"East";"West";"NorthWest"},0),1,2,3,4,5,6,7,8)</f>
        <v>8</v>
      </c>
      <c r="AB2077" s="2">
        <f t="shared" si="326"/>
        <v>1</v>
      </c>
      <c r="AC2077">
        <v>1009.1</v>
      </c>
      <c r="AD2077" t="s">
        <v>2835</v>
      </c>
      <c r="AE2077" s="2">
        <f t="shared" si="327"/>
        <v>1</v>
      </c>
      <c r="AF2077" t="s">
        <v>2836</v>
      </c>
      <c r="AG2077" s="2">
        <f t="shared" si="328"/>
        <v>10</v>
      </c>
      <c r="AH2077" s="2">
        <f t="shared" si="329"/>
        <v>0</v>
      </c>
      <c r="AI2077" s="3">
        <v>1066.9999999995341</v>
      </c>
      <c r="AJ2077" s="2">
        <v>1</v>
      </c>
      <c r="AK2077">
        <v>0</v>
      </c>
      <c r="AL2077">
        <v>60</v>
      </c>
      <c r="AM2077">
        <v>0</v>
      </c>
      <c r="AN2077" s="2">
        <f>IF((2*G2077+M2077-O2077+3*V2077+2*AB2077+2*AE2077+2*AH2077+3*AJ2077)&gt;=7,1,0)</f>
        <v>1</v>
      </c>
    </row>
    <row r="2078" spans="1:40" x14ac:dyDescent="0.25">
      <c r="A2078" t="s">
        <v>27</v>
      </c>
      <c r="B2078" s="1">
        <v>43037</v>
      </c>
      <c r="C2078" s="6">
        <f t="shared" si="320"/>
        <v>2017</v>
      </c>
      <c r="D2078">
        <v>69.8</v>
      </c>
      <c r="E2078">
        <v>57.2</v>
      </c>
      <c r="F2078">
        <v>64</v>
      </c>
      <c r="G2078" s="2">
        <f t="shared" si="321"/>
        <v>0</v>
      </c>
      <c r="H2078">
        <v>69.8</v>
      </c>
      <c r="I2078">
        <v>57.2</v>
      </c>
      <c r="J2078">
        <v>64</v>
      </c>
      <c r="K2078">
        <v>56.6</v>
      </c>
      <c r="L2078">
        <v>77</v>
      </c>
      <c r="M2078" s="2">
        <f t="shared" si="322"/>
        <v>0</v>
      </c>
      <c r="N2078">
        <v>0.313</v>
      </c>
      <c r="O2078" s="2">
        <f t="shared" si="323"/>
        <v>0</v>
      </c>
      <c r="P2078">
        <v>100</v>
      </c>
      <c r="Q2078">
        <v>12.5</v>
      </c>
      <c r="R2078" t="s">
        <v>182</v>
      </c>
      <c r="S2078">
        <v>0</v>
      </c>
      <c r="T2078">
        <v>0</v>
      </c>
      <c r="U2078">
        <v>23</v>
      </c>
      <c r="V2078" s="2">
        <f t="shared" si="324"/>
        <v>1</v>
      </c>
      <c r="W2078">
        <v>17.2</v>
      </c>
      <c r="X2078" s="2">
        <f t="shared" si="325"/>
        <v>1</v>
      </c>
      <c r="Y2078">
        <v>332.8</v>
      </c>
      <c r="Z2078" s="2" t="str">
        <f>CHOOSE(MATCH(Y2078,{0;11;80;111;161;191;241;281;341},1),"North","NorthEast","East","SouthEast","South","SouthWest","West","NorthWest","North")</f>
        <v>NorthWest</v>
      </c>
      <c r="AA2078" s="4">
        <f>CHOOSE(MATCH(Z2078,{"South";"SouthEast";"SouthWest";"North";"NorthEast";"East";"West";"NorthWest"},0),1,2,3,4,5,6,7,8)</f>
        <v>8</v>
      </c>
      <c r="AB2078" s="2">
        <f t="shared" si="326"/>
        <v>1</v>
      </c>
      <c r="AC2078">
        <v>1009.1</v>
      </c>
      <c r="AD2078" t="s">
        <v>1069</v>
      </c>
      <c r="AE2078" s="2">
        <f t="shared" si="327"/>
        <v>1</v>
      </c>
      <c r="AF2078" t="s">
        <v>2837</v>
      </c>
      <c r="AG2078" s="2">
        <f t="shared" si="328"/>
        <v>10</v>
      </c>
      <c r="AH2078" s="2">
        <f t="shared" si="329"/>
        <v>0</v>
      </c>
      <c r="AI2078" s="3">
        <v>1694.9999999930151</v>
      </c>
      <c r="AJ2078" s="2">
        <v>1</v>
      </c>
      <c r="AK2078">
        <v>0</v>
      </c>
      <c r="AL2078">
        <v>200</v>
      </c>
      <c r="AM2078">
        <v>0</v>
      </c>
      <c r="AN2078" s="2">
        <f>IF((2*G2078+M2078-O2078+3*V2078+2*AB2078+2*AE2078+2*AH2078+3*AJ2078)&gt;=7,1,0)</f>
        <v>1</v>
      </c>
    </row>
    <row r="2079" spans="1:40" x14ac:dyDescent="0.25">
      <c r="A2079" t="s">
        <v>27</v>
      </c>
      <c r="B2079" s="1">
        <v>43039</v>
      </c>
      <c r="C2079" s="6">
        <f t="shared" si="320"/>
        <v>2017</v>
      </c>
      <c r="D2079">
        <v>69.8</v>
      </c>
      <c r="E2079">
        <v>59</v>
      </c>
      <c r="F2079">
        <v>63.4</v>
      </c>
      <c r="G2079" s="2">
        <f t="shared" si="321"/>
        <v>0</v>
      </c>
      <c r="H2079">
        <v>69.8</v>
      </c>
      <c r="I2079">
        <v>59</v>
      </c>
      <c r="J2079">
        <v>63.4</v>
      </c>
      <c r="K2079">
        <v>55.5</v>
      </c>
      <c r="L2079">
        <v>76.099999999999994</v>
      </c>
      <c r="M2079" s="2">
        <f t="shared" si="322"/>
        <v>0</v>
      </c>
      <c r="N2079">
        <v>0</v>
      </c>
      <c r="O2079" s="2">
        <f t="shared" si="323"/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23</v>
      </c>
      <c r="V2079" s="2">
        <f t="shared" si="324"/>
        <v>1</v>
      </c>
      <c r="W2079">
        <v>13.9</v>
      </c>
      <c r="X2079" s="2">
        <f t="shared" si="325"/>
        <v>0</v>
      </c>
      <c r="Y2079">
        <v>59.5</v>
      </c>
      <c r="Z2079" s="2" t="str">
        <f>CHOOSE(MATCH(Y2079,{0;11;80;111;161;191;241;281;341},1),"North","NorthEast","East","SouthEast","South","SouthWest","West","NorthWest","North")</f>
        <v>NorthEast</v>
      </c>
      <c r="AA2079" s="4">
        <f>CHOOSE(MATCH(Z2079,{"South";"SouthEast";"SouthWest";"North";"NorthEast";"East";"West";"NorthWest"},0),1,2,3,4,5,6,7,8)</f>
        <v>5</v>
      </c>
      <c r="AB2079" s="2">
        <f t="shared" si="326"/>
        <v>1</v>
      </c>
      <c r="AC2079">
        <v>1018</v>
      </c>
      <c r="AD2079" t="s">
        <v>1814</v>
      </c>
      <c r="AE2079" s="2">
        <f t="shared" si="327"/>
        <v>1</v>
      </c>
      <c r="AF2079" t="s">
        <v>2838</v>
      </c>
      <c r="AG2079" s="2">
        <f t="shared" si="328"/>
        <v>10</v>
      </c>
      <c r="AH2079" s="2">
        <f t="shared" si="329"/>
        <v>0</v>
      </c>
      <c r="AI2079" s="3">
        <v>670.00000000465661</v>
      </c>
      <c r="AJ2079" s="2">
        <v>1</v>
      </c>
      <c r="AK2079">
        <v>0</v>
      </c>
      <c r="AL2079">
        <v>40</v>
      </c>
      <c r="AM2079">
        <v>0</v>
      </c>
      <c r="AN2079" s="2">
        <f>IF((2*G2079+M2079-O2079+3*V2079+2*AB2079+2*AE2079+2*AH2079+3*AJ2079)&gt;=7,1,0)</f>
        <v>1</v>
      </c>
    </row>
    <row r="2080" spans="1:40" x14ac:dyDescent="0.25">
      <c r="A2080" t="s">
        <v>27</v>
      </c>
      <c r="B2080" s="1">
        <v>43040</v>
      </c>
      <c r="C2080" s="6">
        <f t="shared" si="320"/>
        <v>2017</v>
      </c>
      <c r="D2080">
        <v>64.400000000000006</v>
      </c>
      <c r="E2080">
        <v>59</v>
      </c>
      <c r="F2080">
        <v>62.1</v>
      </c>
      <c r="G2080" s="2">
        <f t="shared" si="321"/>
        <v>0</v>
      </c>
      <c r="H2080">
        <v>64.400000000000006</v>
      </c>
      <c r="I2080">
        <v>59</v>
      </c>
      <c r="J2080">
        <v>62.1</v>
      </c>
      <c r="K2080">
        <v>50.8</v>
      </c>
      <c r="L2080">
        <v>66.7</v>
      </c>
      <c r="M2080" s="2">
        <f t="shared" si="322"/>
        <v>0</v>
      </c>
      <c r="N2080">
        <v>0</v>
      </c>
      <c r="O2080" s="2">
        <f t="shared" si="323"/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24.8</v>
      </c>
      <c r="V2080" s="2">
        <f t="shared" si="324"/>
        <v>1</v>
      </c>
      <c r="W2080">
        <v>13.9</v>
      </c>
      <c r="X2080" s="2">
        <f t="shared" si="325"/>
        <v>0</v>
      </c>
      <c r="Y2080">
        <v>358</v>
      </c>
      <c r="Z2080" s="2" t="str">
        <f>CHOOSE(MATCH(Y2080,{0;11;80;111;161;191;241;281;341},1),"North","NorthEast","East","SouthEast","South","SouthWest","West","NorthWest","North")</f>
        <v>North</v>
      </c>
      <c r="AA2080" s="4">
        <f>CHOOSE(MATCH(Z2080,{"South";"SouthEast";"SouthWest";"North";"NorthEast";"East";"West";"NorthWest"},0),1,2,3,4,5,6,7,8)</f>
        <v>4</v>
      </c>
      <c r="AB2080" s="2">
        <f t="shared" si="326"/>
        <v>1</v>
      </c>
      <c r="AC2080">
        <v>1020.9</v>
      </c>
      <c r="AD2080" t="s">
        <v>2372</v>
      </c>
      <c r="AE2080" s="2">
        <f t="shared" si="327"/>
        <v>0</v>
      </c>
      <c r="AF2080" t="s">
        <v>2839</v>
      </c>
      <c r="AG2080" s="2">
        <f t="shared" si="328"/>
        <v>11</v>
      </c>
      <c r="AH2080" s="2">
        <f t="shared" si="329"/>
        <v>0</v>
      </c>
      <c r="AI2080" s="3">
        <v>94.999999995343387</v>
      </c>
      <c r="AJ2080" s="2">
        <v>0</v>
      </c>
      <c r="AK2080">
        <v>0</v>
      </c>
      <c r="AL2080">
        <v>1</v>
      </c>
      <c r="AM2080">
        <v>0</v>
      </c>
      <c r="AN2080" s="2">
        <f>IF((2*G2080+M2080-O2080+3*V2080+2*AB2080+2*AE2080+2*AH2080+3*AJ2080)&gt;=7,1,0)</f>
        <v>0</v>
      </c>
    </row>
    <row r="2081" spans="1:40" x14ac:dyDescent="0.25">
      <c r="A2081" t="s">
        <v>27</v>
      </c>
      <c r="B2081" s="1">
        <v>43046</v>
      </c>
      <c r="C2081" s="6">
        <f t="shared" si="320"/>
        <v>2017</v>
      </c>
      <c r="D2081">
        <v>68</v>
      </c>
      <c r="E2081">
        <v>50</v>
      </c>
      <c r="F2081">
        <v>59.5</v>
      </c>
      <c r="G2081" s="2">
        <f t="shared" si="321"/>
        <v>0</v>
      </c>
      <c r="H2081">
        <v>68</v>
      </c>
      <c r="I2081">
        <v>50</v>
      </c>
      <c r="J2081">
        <v>59.5</v>
      </c>
      <c r="K2081">
        <v>51.4</v>
      </c>
      <c r="L2081">
        <v>75.400000000000006</v>
      </c>
      <c r="M2081" s="2">
        <f t="shared" si="322"/>
        <v>0</v>
      </c>
      <c r="N2081">
        <v>0</v>
      </c>
      <c r="O2081" s="2">
        <f t="shared" si="323"/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19.7</v>
      </c>
      <c r="V2081" s="2">
        <f t="shared" si="324"/>
        <v>1</v>
      </c>
      <c r="W2081">
        <v>13.9</v>
      </c>
      <c r="X2081" s="2">
        <f t="shared" si="325"/>
        <v>0</v>
      </c>
      <c r="Y2081">
        <v>141.80000000000001</v>
      </c>
      <c r="Z2081" s="2" t="str">
        <f>CHOOSE(MATCH(Y2081,{0;11;80;111;161;191;241;281;341},1),"North","NorthEast","East","SouthEast","South","SouthWest","West","NorthWest","North")</f>
        <v>SouthEast</v>
      </c>
      <c r="AA2081" s="4">
        <f>CHOOSE(MATCH(Z2081,{"South";"SouthEast";"SouthWest";"North";"NorthEast";"East";"West";"NorthWest"},0),1,2,3,4,5,6,7,8)</f>
        <v>2</v>
      </c>
      <c r="AB2081" s="2">
        <f t="shared" si="326"/>
        <v>0</v>
      </c>
      <c r="AC2081">
        <v>1020.1</v>
      </c>
      <c r="AD2081" t="s">
        <v>2840</v>
      </c>
      <c r="AE2081" s="2">
        <f t="shared" si="327"/>
        <v>1</v>
      </c>
      <c r="AF2081" t="s">
        <v>2841</v>
      </c>
      <c r="AG2081" s="2">
        <f t="shared" si="328"/>
        <v>11</v>
      </c>
      <c r="AH2081" s="2">
        <f t="shared" si="329"/>
        <v>0</v>
      </c>
      <c r="AI2081" s="3">
        <v>241.99999999254939</v>
      </c>
      <c r="AJ2081" s="2">
        <v>0</v>
      </c>
      <c r="AK2081">
        <v>0</v>
      </c>
      <c r="AL2081">
        <v>2</v>
      </c>
      <c r="AM2081">
        <v>0</v>
      </c>
      <c r="AN2081" s="2">
        <f>IF((2*G2081+M2081-O2081+3*V2081+2*AB2081+2*AE2081+2*AH2081+3*AJ2081)&gt;=7,1,0)</f>
        <v>0</v>
      </c>
    </row>
    <row r="2082" spans="1:40" x14ac:dyDescent="0.25">
      <c r="A2082" t="s">
        <v>27</v>
      </c>
      <c r="B2082" s="1">
        <v>43046</v>
      </c>
      <c r="C2082" s="6">
        <f t="shared" si="320"/>
        <v>2017</v>
      </c>
      <c r="D2082">
        <v>68</v>
      </c>
      <c r="E2082">
        <v>50</v>
      </c>
      <c r="F2082">
        <v>59.5</v>
      </c>
      <c r="G2082" s="2">
        <f t="shared" si="321"/>
        <v>0</v>
      </c>
      <c r="H2082">
        <v>68</v>
      </c>
      <c r="I2082">
        <v>50</v>
      </c>
      <c r="J2082">
        <v>59.5</v>
      </c>
      <c r="K2082">
        <v>51.4</v>
      </c>
      <c r="L2082">
        <v>75.400000000000006</v>
      </c>
      <c r="M2082" s="2">
        <f t="shared" si="322"/>
        <v>0</v>
      </c>
      <c r="N2082">
        <v>0</v>
      </c>
      <c r="O2082" s="2">
        <f t="shared" si="323"/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19.7</v>
      </c>
      <c r="V2082" s="2">
        <f t="shared" si="324"/>
        <v>1</v>
      </c>
      <c r="W2082">
        <v>13.9</v>
      </c>
      <c r="X2082" s="2">
        <f t="shared" si="325"/>
        <v>0</v>
      </c>
      <c r="Y2082">
        <v>141.80000000000001</v>
      </c>
      <c r="Z2082" s="2" t="str">
        <f>CHOOSE(MATCH(Y2082,{0;11;80;111;161;191;241;281;341},1),"North","NorthEast","East","SouthEast","South","SouthWest","West","NorthWest","North")</f>
        <v>SouthEast</v>
      </c>
      <c r="AA2082" s="4">
        <f>CHOOSE(MATCH(Z2082,{"South";"SouthEast";"SouthWest";"North";"NorthEast";"East";"West";"NorthWest"},0),1,2,3,4,5,6,7,8)</f>
        <v>2</v>
      </c>
      <c r="AB2082" s="2">
        <f t="shared" si="326"/>
        <v>0</v>
      </c>
      <c r="AC2082">
        <v>1020.1</v>
      </c>
      <c r="AD2082" t="s">
        <v>1890</v>
      </c>
      <c r="AE2082" s="2">
        <f t="shared" si="327"/>
        <v>1</v>
      </c>
      <c r="AF2082" t="s">
        <v>2842</v>
      </c>
      <c r="AG2082" s="2">
        <f t="shared" si="328"/>
        <v>11</v>
      </c>
      <c r="AH2082" s="2">
        <f t="shared" si="329"/>
        <v>0</v>
      </c>
      <c r="AI2082" s="3">
        <v>874.99999999185093</v>
      </c>
      <c r="AJ2082" s="2">
        <v>1</v>
      </c>
      <c r="AK2082">
        <v>0</v>
      </c>
      <c r="AL2082">
        <v>200</v>
      </c>
      <c r="AM2082">
        <v>0</v>
      </c>
      <c r="AN2082" s="2">
        <f>IF((2*G2082+M2082-O2082+3*V2082+2*AB2082+2*AE2082+2*AH2082+3*AJ2082)&gt;=7,1,0)</f>
        <v>1</v>
      </c>
    </row>
    <row r="2083" spans="1:40" x14ac:dyDescent="0.25">
      <c r="A2083" t="s">
        <v>27</v>
      </c>
      <c r="B2083" s="1">
        <v>43048</v>
      </c>
      <c r="C2083" s="6">
        <f t="shared" si="320"/>
        <v>2017</v>
      </c>
      <c r="D2083">
        <v>69.8</v>
      </c>
      <c r="E2083">
        <v>55.4</v>
      </c>
      <c r="F2083">
        <v>62.8</v>
      </c>
      <c r="G2083" s="2">
        <f t="shared" si="321"/>
        <v>0</v>
      </c>
      <c r="H2083">
        <v>69.8</v>
      </c>
      <c r="I2083">
        <v>55.4</v>
      </c>
      <c r="J2083">
        <v>62.8</v>
      </c>
      <c r="K2083">
        <v>55.6</v>
      </c>
      <c r="L2083">
        <v>78.599999999999994</v>
      </c>
      <c r="M2083" s="2">
        <f t="shared" si="322"/>
        <v>0</v>
      </c>
      <c r="N2083">
        <v>0</v>
      </c>
      <c r="O2083" s="2">
        <f t="shared" si="323"/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16.100000000000001</v>
      </c>
      <c r="V2083" s="2">
        <f t="shared" si="324"/>
        <v>1</v>
      </c>
      <c r="W2083">
        <v>10.3</v>
      </c>
      <c r="X2083" s="2">
        <f t="shared" si="325"/>
        <v>0</v>
      </c>
      <c r="Y2083">
        <v>245.6</v>
      </c>
      <c r="Z2083" s="2" t="str">
        <f>CHOOSE(MATCH(Y2083,{0;11;80;111;161;191;241;281;341},1),"North","NorthEast","East","SouthEast","South","SouthWest","West","NorthWest","North")</f>
        <v>West</v>
      </c>
      <c r="AA2083" s="4">
        <f>CHOOSE(MATCH(Z2083,{"South";"SouthEast";"SouthWest";"North";"NorthEast";"East";"West";"NorthWest"},0),1,2,3,4,5,6,7,8)</f>
        <v>7</v>
      </c>
      <c r="AB2083" s="2">
        <f t="shared" si="326"/>
        <v>0</v>
      </c>
      <c r="AC2083">
        <v>1020.1</v>
      </c>
      <c r="AD2083" t="s">
        <v>2118</v>
      </c>
      <c r="AE2083" s="2">
        <f t="shared" si="327"/>
        <v>1</v>
      </c>
      <c r="AF2083" t="s">
        <v>2843</v>
      </c>
      <c r="AG2083" s="2">
        <f t="shared" si="328"/>
        <v>11</v>
      </c>
      <c r="AH2083" s="2">
        <f t="shared" si="329"/>
        <v>0</v>
      </c>
      <c r="AI2083" s="3">
        <v>500.99999999860302</v>
      </c>
      <c r="AJ2083" s="2">
        <v>1</v>
      </c>
      <c r="AK2083">
        <v>0</v>
      </c>
      <c r="AL2083">
        <v>25</v>
      </c>
      <c r="AM2083">
        <v>0</v>
      </c>
      <c r="AN2083" s="2">
        <f>IF((2*G2083+M2083-O2083+3*V2083+2*AB2083+2*AE2083+2*AH2083+3*AJ2083)&gt;=7,1,0)</f>
        <v>1</v>
      </c>
    </row>
    <row r="2084" spans="1:40" x14ac:dyDescent="0.25">
      <c r="A2084" t="s">
        <v>27</v>
      </c>
      <c r="B2084" s="1">
        <v>43065</v>
      </c>
      <c r="C2084" s="6">
        <f t="shared" si="320"/>
        <v>2017</v>
      </c>
      <c r="D2084">
        <v>66.2</v>
      </c>
      <c r="E2084">
        <v>55.4</v>
      </c>
      <c r="F2084">
        <v>58.7</v>
      </c>
      <c r="G2084" s="2">
        <f t="shared" si="321"/>
        <v>0</v>
      </c>
      <c r="H2084">
        <v>66.2</v>
      </c>
      <c r="I2084">
        <v>55.4</v>
      </c>
      <c r="J2084">
        <v>58.7</v>
      </c>
      <c r="K2084">
        <v>49.9</v>
      </c>
      <c r="L2084">
        <v>73.5</v>
      </c>
      <c r="M2084" s="2">
        <f t="shared" si="322"/>
        <v>0</v>
      </c>
      <c r="N2084">
        <v>0</v>
      </c>
      <c r="O2084" s="2">
        <f t="shared" si="323"/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13.9</v>
      </c>
      <c r="V2084" s="2">
        <f t="shared" si="324"/>
        <v>1</v>
      </c>
      <c r="W2084">
        <v>8.1</v>
      </c>
      <c r="X2084" s="2">
        <f t="shared" si="325"/>
        <v>0</v>
      </c>
      <c r="Y2084">
        <v>176.7</v>
      </c>
      <c r="Z2084" s="2" t="str">
        <f>CHOOSE(MATCH(Y2084,{0;11;80;111;161;191;241;281;341},1),"North","NorthEast","East","SouthEast","South","SouthWest","West","NorthWest","North")</f>
        <v>South</v>
      </c>
      <c r="AA2084" s="4">
        <f>CHOOSE(MATCH(Z2084,{"South";"SouthEast";"SouthWest";"North";"NorthEast";"East";"West";"NorthWest"},0),1,2,3,4,5,6,7,8)</f>
        <v>1</v>
      </c>
      <c r="AB2084" s="2">
        <f t="shared" si="326"/>
        <v>0</v>
      </c>
      <c r="AC2084">
        <v>1018.8</v>
      </c>
      <c r="AD2084" t="s">
        <v>2844</v>
      </c>
      <c r="AE2084" s="2">
        <f t="shared" si="327"/>
        <v>1</v>
      </c>
      <c r="AF2084" t="s">
        <v>2845</v>
      </c>
      <c r="AG2084" s="2">
        <f t="shared" si="328"/>
        <v>11</v>
      </c>
      <c r="AH2084" s="2">
        <f t="shared" si="329"/>
        <v>0</v>
      </c>
      <c r="AI2084" s="3">
        <v>110.9999999951106</v>
      </c>
      <c r="AJ2084" s="2">
        <v>0</v>
      </c>
      <c r="AK2084">
        <v>0</v>
      </c>
      <c r="AL2084">
        <v>0.3</v>
      </c>
      <c r="AM2084">
        <v>0</v>
      </c>
      <c r="AN2084" s="2">
        <f>IF((2*G2084+M2084-O2084+3*V2084+2*AB2084+2*AE2084+2*AH2084+3*AJ2084)&gt;=7,1,0)</f>
        <v>0</v>
      </c>
    </row>
    <row r="2085" spans="1:40" x14ac:dyDescent="0.25">
      <c r="A2085" t="s">
        <v>27</v>
      </c>
      <c r="B2085" s="1">
        <v>43069</v>
      </c>
      <c r="C2085" s="6">
        <f t="shared" si="320"/>
        <v>2017</v>
      </c>
      <c r="D2085">
        <v>69.8</v>
      </c>
      <c r="E2085">
        <v>53.6</v>
      </c>
      <c r="F2085">
        <v>61.3</v>
      </c>
      <c r="G2085" s="2">
        <f t="shared" si="321"/>
        <v>0</v>
      </c>
      <c r="H2085">
        <v>69.8</v>
      </c>
      <c r="I2085">
        <v>53.6</v>
      </c>
      <c r="J2085">
        <v>61.3</v>
      </c>
      <c r="K2085">
        <v>50.8</v>
      </c>
      <c r="L2085">
        <v>68.8</v>
      </c>
      <c r="M2085" s="2">
        <f t="shared" si="322"/>
        <v>0</v>
      </c>
      <c r="N2085">
        <v>0</v>
      </c>
      <c r="O2085" s="2">
        <f t="shared" si="323"/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31.1</v>
      </c>
      <c r="V2085" s="2">
        <f t="shared" si="324"/>
        <v>1</v>
      </c>
      <c r="W2085">
        <v>24.2</v>
      </c>
      <c r="X2085" s="2">
        <f t="shared" si="325"/>
        <v>1</v>
      </c>
      <c r="Y2085">
        <v>170.7</v>
      </c>
      <c r="Z2085" s="2" t="str">
        <f>CHOOSE(MATCH(Y2085,{0;11;80;111;161;191;241;281;341},1),"North","NorthEast","East","SouthEast","South","SouthWest","West","NorthWest","North")</f>
        <v>South</v>
      </c>
      <c r="AA2085" s="4">
        <f>CHOOSE(MATCH(Z2085,{"South";"SouthEast";"SouthWest";"North";"NorthEast";"East";"West";"NorthWest"},0),1,2,3,4,5,6,7,8)</f>
        <v>1</v>
      </c>
      <c r="AB2085" s="2">
        <f t="shared" si="326"/>
        <v>0</v>
      </c>
      <c r="AC2085">
        <v>1019.5</v>
      </c>
      <c r="AD2085" t="s">
        <v>2846</v>
      </c>
      <c r="AE2085" s="2">
        <f t="shared" si="327"/>
        <v>1</v>
      </c>
      <c r="AF2085" t="s">
        <v>2847</v>
      </c>
      <c r="AG2085" s="2">
        <f t="shared" si="328"/>
        <v>11</v>
      </c>
      <c r="AH2085" s="2">
        <f t="shared" si="329"/>
        <v>0</v>
      </c>
      <c r="AI2085" s="3">
        <v>207.00000000419101</v>
      </c>
      <c r="AJ2085" s="2">
        <v>0</v>
      </c>
      <c r="AK2085">
        <v>0</v>
      </c>
      <c r="AL2085">
        <v>2</v>
      </c>
      <c r="AM2085">
        <v>0</v>
      </c>
      <c r="AN2085" s="2">
        <f>IF((2*G2085+M2085-O2085+3*V2085+2*AB2085+2*AE2085+2*AH2085+3*AJ2085)&gt;=7,1,0)</f>
        <v>0</v>
      </c>
    </row>
    <row r="2086" spans="1:40" x14ac:dyDescent="0.25">
      <c r="A2086" t="s">
        <v>27</v>
      </c>
      <c r="B2086" s="1">
        <v>43069</v>
      </c>
      <c r="C2086" s="6">
        <f t="shared" si="320"/>
        <v>2017</v>
      </c>
      <c r="D2086">
        <v>69.8</v>
      </c>
      <c r="E2086">
        <v>53.6</v>
      </c>
      <c r="F2086">
        <v>61.3</v>
      </c>
      <c r="G2086" s="2">
        <f t="shared" si="321"/>
        <v>0</v>
      </c>
      <c r="H2086">
        <v>69.8</v>
      </c>
      <c r="I2086">
        <v>53.6</v>
      </c>
      <c r="J2086">
        <v>61.3</v>
      </c>
      <c r="K2086">
        <v>50.8</v>
      </c>
      <c r="L2086">
        <v>68.8</v>
      </c>
      <c r="M2086" s="2">
        <f t="shared" si="322"/>
        <v>0</v>
      </c>
      <c r="N2086">
        <v>0</v>
      </c>
      <c r="O2086" s="2">
        <f t="shared" si="323"/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31.1</v>
      </c>
      <c r="V2086" s="2">
        <f t="shared" si="324"/>
        <v>1</v>
      </c>
      <c r="W2086">
        <v>24.2</v>
      </c>
      <c r="X2086" s="2">
        <f t="shared" si="325"/>
        <v>1</v>
      </c>
      <c r="Y2086">
        <v>170.7</v>
      </c>
      <c r="Z2086" s="2" t="str">
        <f>CHOOSE(MATCH(Y2086,{0;11;80;111;161;191;241;281;341},1),"North","NorthEast","East","SouthEast","South","SouthWest","West","NorthWest","North")</f>
        <v>South</v>
      </c>
      <c r="AA2086" s="4">
        <f>CHOOSE(MATCH(Z2086,{"South";"SouthEast";"SouthWest";"North";"NorthEast";"East";"West";"NorthWest"},0),1,2,3,4,5,6,7,8)</f>
        <v>1</v>
      </c>
      <c r="AB2086" s="2">
        <f t="shared" si="326"/>
        <v>0</v>
      </c>
      <c r="AC2086">
        <v>1019.5</v>
      </c>
      <c r="AD2086" t="s">
        <v>2298</v>
      </c>
      <c r="AE2086" s="2">
        <f t="shared" si="327"/>
        <v>1</v>
      </c>
      <c r="AF2086" t="s">
        <v>2848</v>
      </c>
      <c r="AG2086" s="2">
        <f t="shared" si="328"/>
        <v>11</v>
      </c>
      <c r="AH2086" s="2">
        <f t="shared" si="329"/>
        <v>0</v>
      </c>
      <c r="AI2086" s="3">
        <v>110.00000000232831</v>
      </c>
      <c r="AJ2086" s="2">
        <v>0</v>
      </c>
      <c r="AK2086">
        <v>0</v>
      </c>
      <c r="AL2086">
        <v>2</v>
      </c>
      <c r="AM2086">
        <v>0</v>
      </c>
      <c r="AN2086" s="2">
        <f>IF((2*G2086+M2086-O2086+3*V2086+2*AB2086+2*AE2086+2*AH2086+3*AJ2086)&gt;=7,1,0)</f>
        <v>0</v>
      </c>
    </row>
    <row r="2087" spans="1:40" x14ac:dyDescent="0.25">
      <c r="A2087" t="s">
        <v>27</v>
      </c>
      <c r="B2087" s="1">
        <v>43074</v>
      </c>
      <c r="C2087" s="6">
        <f t="shared" si="320"/>
        <v>2017</v>
      </c>
      <c r="D2087">
        <v>60.8</v>
      </c>
      <c r="E2087">
        <v>51.8</v>
      </c>
      <c r="F2087">
        <v>57</v>
      </c>
      <c r="G2087" s="2">
        <f t="shared" si="321"/>
        <v>0</v>
      </c>
      <c r="H2087">
        <v>60.8</v>
      </c>
      <c r="I2087">
        <v>51.8</v>
      </c>
      <c r="J2087">
        <v>57</v>
      </c>
      <c r="K2087">
        <v>48.4</v>
      </c>
      <c r="L2087">
        <v>73.599999999999994</v>
      </c>
      <c r="M2087" s="2">
        <f t="shared" si="322"/>
        <v>0</v>
      </c>
      <c r="N2087">
        <v>0</v>
      </c>
      <c r="O2087" s="2">
        <f t="shared" si="323"/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26.8</v>
      </c>
      <c r="V2087" s="2">
        <f t="shared" si="324"/>
        <v>1</v>
      </c>
      <c r="W2087">
        <v>20.8</v>
      </c>
      <c r="X2087" s="2">
        <f t="shared" si="325"/>
        <v>1</v>
      </c>
      <c r="Y2087">
        <v>294.5</v>
      </c>
      <c r="Z2087" s="2" t="str">
        <f>CHOOSE(MATCH(Y2087,{0;11;80;111;161;191;241;281;341},1),"North","NorthEast","East","SouthEast","South","SouthWest","West","NorthWest","North")</f>
        <v>NorthWest</v>
      </c>
      <c r="AA2087" s="4">
        <f>CHOOSE(MATCH(Z2087,{"South";"SouthEast";"SouthWest";"North";"NorthEast";"East";"West";"NorthWest"},0),1,2,3,4,5,6,7,8)</f>
        <v>8</v>
      </c>
      <c r="AB2087" s="2">
        <f t="shared" si="326"/>
        <v>1</v>
      </c>
      <c r="AC2087">
        <v>1020</v>
      </c>
      <c r="AD2087" t="s">
        <v>2849</v>
      </c>
      <c r="AE2087" s="2">
        <f t="shared" si="327"/>
        <v>0</v>
      </c>
      <c r="AF2087" t="s">
        <v>2850</v>
      </c>
      <c r="AG2087" s="2">
        <f t="shared" si="328"/>
        <v>12</v>
      </c>
      <c r="AH2087" s="2">
        <f t="shared" si="329"/>
        <v>0</v>
      </c>
      <c r="AI2087" s="3">
        <v>30.99999999627471</v>
      </c>
      <c r="AJ2087" s="2">
        <v>0</v>
      </c>
      <c r="AK2087">
        <v>0</v>
      </c>
      <c r="AL2087">
        <v>0.02</v>
      </c>
      <c r="AM2087">
        <v>0</v>
      </c>
      <c r="AN2087" s="2">
        <f>IF((2*G2087+M2087-O2087+3*V2087+2*AB2087+2*AE2087+2*AH2087+3*AJ2087)&gt;=7,1,0)</f>
        <v>0</v>
      </c>
    </row>
    <row r="2088" spans="1:40" x14ac:dyDescent="0.25">
      <c r="A2088" t="s">
        <v>27</v>
      </c>
      <c r="B2088" s="1">
        <v>43077</v>
      </c>
      <c r="C2088" s="6">
        <f t="shared" si="320"/>
        <v>2017</v>
      </c>
      <c r="D2088">
        <v>62.6</v>
      </c>
      <c r="E2088">
        <v>44.6</v>
      </c>
      <c r="F2088">
        <v>53</v>
      </c>
      <c r="G2088" s="2">
        <f t="shared" si="321"/>
        <v>0</v>
      </c>
      <c r="H2088">
        <v>62.6</v>
      </c>
      <c r="I2088">
        <v>40.200000000000003</v>
      </c>
      <c r="J2088">
        <v>51.3</v>
      </c>
      <c r="K2088">
        <v>43.3</v>
      </c>
      <c r="L2088">
        <v>70.2</v>
      </c>
      <c r="M2088" s="2">
        <f t="shared" si="322"/>
        <v>0</v>
      </c>
      <c r="N2088">
        <v>0</v>
      </c>
      <c r="O2088" s="2">
        <f t="shared" si="323"/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16.100000000000001</v>
      </c>
      <c r="V2088" s="2">
        <f t="shared" si="324"/>
        <v>1</v>
      </c>
      <c r="W2088">
        <v>12.8</v>
      </c>
      <c r="X2088" s="2">
        <f t="shared" si="325"/>
        <v>0</v>
      </c>
      <c r="Y2088">
        <v>165.2</v>
      </c>
      <c r="Z2088" s="2" t="str">
        <f>CHOOSE(MATCH(Y2088,{0;11;80;111;161;191;241;281;341},1),"North","NorthEast","East","SouthEast","South","SouthWest","West","NorthWest","North")</f>
        <v>South</v>
      </c>
      <c r="AA2088" s="4">
        <f>CHOOSE(MATCH(Z2088,{"South";"SouthEast";"SouthWest";"North";"NorthEast";"East";"West";"NorthWest"},0),1,2,3,4,5,6,7,8)</f>
        <v>1</v>
      </c>
      <c r="AB2088" s="2">
        <f t="shared" si="326"/>
        <v>0</v>
      </c>
      <c r="AC2088">
        <v>1025.0999999999999</v>
      </c>
      <c r="AD2088" t="s">
        <v>2851</v>
      </c>
      <c r="AE2088" s="2">
        <f t="shared" si="327"/>
        <v>1</v>
      </c>
      <c r="AF2088" t="s">
        <v>2852</v>
      </c>
      <c r="AG2088" s="2">
        <f t="shared" si="328"/>
        <v>12</v>
      </c>
      <c r="AH2088" s="2">
        <f t="shared" si="329"/>
        <v>0</v>
      </c>
      <c r="AI2088" s="3">
        <v>299.00000000023277</v>
      </c>
      <c r="AJ2088" s="2">
        <v>0</v>
      </c>
      <c r="AK2088">
        <v>0</v>
      </c>
      <c r="AL2088">
        <v>10</v>
      </c>
      <c r="AM2088">
        <v>0</v>
      </c>
      <c r="AN2088" s="2">
        <f>IF((2*G2088+M2088-O2088+3*V2088+2*AB2088+2*AE2088+2*AH2088+3*AJ2088)&gt;=7,1,0)</f>
        <v>0</v>
      </c>
    </row>
    <row r="2089" spans="1:40" x14ac:dyDescent="0.25">
      <c r="A2089" t="s">
        <v>27</v>
      </c>
      <c r="B2089" s="1">
        <v>43078</v>
      </c>
      <c r="C2089" s="6">
        <f t="shared" si="320"/>
        <v>2017</v>
      </c>
      <c r="D2089">
        <v>66.2</v>
      </c>
      <c r="E2089">
        <v>50</v>
      </c>
      <c r="F2089">
        <v>57.5</v>
      </c>
      <c r="G2089" s="2">
        <f t="shared" si="321"/>
        <v>0</v>
      </c>
      <c r="H2089">
        <v>66.2</v>
      </c>
      <c r="I2089">
        <v>50</v>
      </c>
      <c r="J2089">
        <v>57.5</v>
      </c>
      <c r="K2089">
        <v>46.9</v>
      </c>
      <c r="L2089">
        <v>68.2</v>
      </c>
      <c r="M2089" s="2">
        <f t="shared" si="322"/>
        <v>0</v>
      </c>
      <c r="N2089">
        <v>0</v>
      </c>
      <c r="O2089" s="2">
        <f t="shared" si="323"/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23</v>
      </c>
      <c r="V2089" s="2">
        <f t="shared" si="324"/>
        <v>1</v>
      </c>
      <c r="W2089">
        <v>14.9</v>
      </c>
      <c r="X2089" s="2">
        <f t="shared" si="325"/>
        <v>0</v>
      </c>
      <c r="Y2089">
        <v>178.6</v>
      </c>
      <c r="Z2089" s="2" t="str">
        <f>CHOOSE(MATCH(Y2089,{0;11;80;111;161;191;241;281;341},1),"North","NorthEast","East","SouthEast","South","SouthWest","West","NorthWest","North")</f>
        <v>South</v>
      </c>
      <c r="AA2089" s="4">
        <f>CHOOSE(MATCH(Z2089,{"South";"SouthEast";"SouthWest";"North";"NorthEast";"East";"West";"NorthWest"},0),1,2,3,4,5,6,7,8)</f>
        <v>1</v>
      </c>
      <c r="AB2089" s="2">
        <f t="shared" si="326"/>
        <v>0</v>
      </c>
      <c r="AC2089">
        <v>1020.7</v>
      </c>
      <c r="AD2089" t="s">
        <v>2202</v>
      </c>
      <c r="AE2089" s="2">
        <f t="shared" si="327"/>
        <v>0</v>
      </c>
      <c r="AF2089" t="s">
        <v>2853</v>
      </c>
      <c r="AG2089" s="2">
        <f t="shared" si="328"/>
        <v>12</v>
      </c>
      <c r="AH2089" s="2">
        <f t="shared" si="329"/>
        <v>0</v>
      </c>
      <c r="AI2089" s="3">
        <v>254.99999999301511</v>
      </c>
      <c r="AJ2089" s="2">
        <v>0</v>
      </c>
      <c r="AK2089">
        <v>0</v>
      </c>
      <c r="AL2089">
        <v>5</v>
      </c>
      <c r="AM2089">
        <v>0</v>
      </c>
      <c r="AN2089" s="2">
        <f>IF((2*G2089+M2089-O2089+3*V2089+2*AB2089+2*AE2089+2*AH2089+3*AJ2089)&gt;=7,1,0)</f>
        <v>0</v>
      </c>
    </row>
    <row r="2090" spans="1:40" x14ac:dyDescent="0.25">
      <c r="A2090" t="s">
        <v>27</v>
      </c>
      <c r="B2090" s="1">
        <v>43084</v>
      </c>
      <c r="C2090" s="6">
        <f t="shared" si="320"/>
        <v>2017</v>
      </c>
      <c r="D2090">
        <v>66.2</v>
      </c>
      <c r="E2090">
        <v>53.6</v>
      </c>
      <c r="F2090">
        <v>59.5</v>
      </c>
      <c r="G2090" s="2">
        <f t="shared" si="321"/>
        <v>0</v>
      </c>
      <c r="H2090">
        <v>66.2</v>
      </c>
      <c r="I2090">
        <v>53.6</v>
      </c>
      <c r="J2090">
        <v>59.5</v>
      </c>
      <c r="K2090">
        <v>50.8</v>
      </c>
      <c r="L2090">
        <v>73.7</v>
      </c>
      <c r="M2090" s="2">
        <f t="shared" si="322"/>
        <v>0</v>
      </c>
      <c r="N2090">
        <v>0</v>
      </c>
      <c r="O2090" s="2">
        <f t="shared" si="323"/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21.9</v>
      </c>
      <c r="V2090" s="2">
        <f t="shared" si="324"/>
        <v>1</v>
      </c>
      <c r="W2090">
        <v>10.3</v>
      </c>
      <c r="X2090" s="2">
        <f t="shared" si="325"/>
        <v>0</v>
      </c>
      <c r="Y2090">
        <v>171.9</v>
      </c>
      <c r="Z2090" s="2" t="str">
        <f>CHOOSE(MATCH(Y2090,{0;11;80;111;161;191;241;281;341},1),"North","NorthEast","East","SouthEast","South","SouthWest","West","NorthWest","North")</f>
        <v>South</v>
      </c>
      <c r="AA2090" s="4">
        <f>CHOOSE(MATCH(Z2090,{"South";"SouthEast";"SouthWest";"North";"NorthEast";"East";"West";"NorthWest"},0),1,2,3,4,5,6,7,8)</f>
        <v>1</v>
      </c>
      <c r="AB2090" s="2">
        <f t="shared" si="326"/>
        <v>0</v>
      </c>
      <c r="AC2090">
        <v>1017.7</v>
      </c>
      <c r="AD2090" t="s">
        <v>1171</v>
      </c>
      <c r="AE2090" s="2">
        <f t="shared" si="327"/>
        <v>0</v>
      </c>
      <c r="AF2090" t="s">
        <v>2854</v>
      </c>
      <c r="AG2090" s="2">
        <f t="shared" si="328"/>
        <v>12</v>
      </c>
      <c r="AH2090" s="2">
        <f t="shared" si="329"/>
        <v>0</v>
      </c>
      <c r="AI2090" s="3">
        <v>35.000000009313233</v>
      </c>
      <c r="AJ2090" s="2">
        <v>0</v>
      </c>
      <c r="AK2090">
        <v>0</v>
      </c>
      <c r="AL2090">
        <v>0.2</v>
      </c>
      <c r="AM2090">
        <v>0</v>
      </c>
      <c r="AN2090" s="2">
        <f>IF((2*G2090+M2090-O2090+3*V2090+2*AB2090+2*AE2090+2*AH2090+3*AJ2090)&gt;=7,1,0)</f>
        <v>0</v>
      </c>
    </row>
    <row r="2091" spans="1:40" x14ac:dyDescent="0.25">
      <c r="A2091" t="s">
        <v>27</v>
      </c>
      <c r="B2091" s="1">
        <v>43089</v>
      </c>
      <c r="C2091" s="6">
        <f t="shared" si="320"/>
        <v>2017</v>
      </c>
      <c r="D2091">
        <v>55.4</v>
      </c>
      <c r="E2091">
        <v>51.8</v>
      </c>
      <c r="F2091">
        <v>54.7</v>
      </c>
      <c r="G2091" s="2">
        <f t="shared" si="321"/>
        <v>0</v>
      </c>
      <c r="H2091">
        <v>55.4</v>
      </c>
      <c r="I2091">
        <v>51.8</v>
      </c>
      <c r="J2091">
        <v>54.7</v>
      </c>
      <c r="K2091">
        <v>45.4</v>
      </c>
      <c r="L2091">
        <v>71</v>
      </c>
      <c r="M2091" s="2">
        <f t="shared" si="322"/>
        <v>0</v>
      </c>
      <c r="N2091">
        <v>8.0000000000000002E-3</v>
      </c>
      <c r="O2091" s="2">
        <f t="shared" si="323"/>
        <v>1</v>
      </c>
      <c r="P2091">
        <v>100</v>
      </c>
      <c r="Q2091">
        <v>4.17</v>
      </c>
      <c r="R2091" t="s">
        <v>182</v>
      </c>
      <c r="S2091">
        <v>0</v>
      </c>
      <c r="T2091">
        <v>0</v>
      </c>
      <c r="U2091">
        <v>23</v>
      </c>
      <c r="V2091" s="2">
        <f t="shared" si="324"/>
        <v>1</v>
      </c>
      <c r="W2091">
        <v>18.3</v>
      </c>
      <c r="X2091" s="2">
        <f t="shared" si="325"/>
        <v>1</v>
      </c>
      <c r="Y2091">
        <v>44.6</v>
      </c>
      <c r="Z2091" s="2" t="str">
        <f>CHOOSE(MATCH(Y2091,{0;11;80;111;161;191;241;281;341},1),"North","NorthEast","East","SouthEast","South","SouthWest","West","NorthWest","North")</f>
        <v>NorthEast</v>
      </c>
      <c r="AA2091" s="4">
        <f>CHOOSE(MATCH(Z2091,{"South";"SouthEast";"SouthWest";"North";"NorthEast";"East";"West";"NorthWest"},0),1,2,3,4,5,6,7,8)</f>
        <v>5</v>
      </c>
      <c r="AB2091" s="2">
        <f t="shared" si="326"/>
        <v>1</v>
      </c>
      <c r="AC2091">
        <v>1023.3</v>
      </c>
      <c r="AD2091" t="s">
        <v>2338</v>
      </c>
      <c r="AE2091" s="2">
        <f t="shared" si="327"/>
        <v>1</v>
      </c>
      <c r="AF2091" t="s">
        <v>2855</v>
      </c>
      <c r="AG2091" s="2">
        <f t="shared" si="328"/>
        <v>12</v>
      </c>
      <c r="AH2091" s="2">
        <f t="shared" si="329"/>
        <v>0</v>
      </c>
      <c r="AI2091" s="3">
        <v>161.00000000093129</v>
      </c>
      <c r="AJ2091" s="2">
        <v>0</v>
      </c>
      <c r="AK2091">
        <v>0</v>
      </c>
      <c r="AL2091">
        <v>10</v>
      </c>
      <c r="AM2091">
        <v>0</v>
      </c>
      <c r="AN2091" s="2">
        <f>IF((2*G2091+M2091-O2091+3*V2091+2*AB2091+2*AE2091+2*AH2091+3*AJ2091)&gt;=7,1,0)</f>
        <v>0</v>
      </c>
    </row>
    <row r="2092" spans="1:40" x14ac:dyDescent="0.25">
      <c r="A2092" t="s">
        <v>27</v>
      </c>
      <c r="B2092" s="1">
        <v>43102</v>
      </c>
      <c r="C2092" s="6">
        <f t="shared" si="320"/>
        <v>2018</v>
      </c>
      <c r="D2092">
        <v>64.400000000000006</v>
      </c>
      <c r="E2092">
        <v>46.4</v>
      </c>
      <c r="F2092">
        <v>55.9</v>
      </c>
      <c r="G2092" s="2">
        <f t="shared" si="321"/>
        <v>0</v>
      </c>
      <c r="H2092">
        <v>64.400000000000006</v>
      </c>
      <c r="I2092">
        <v>42.4</v>
      </c>
      <c r="J2092">
        <v>55.5</v>
      </c>
      <c r="K2092">
        <v>50.2</v>
      </c>
      <c r="L2092">
        <v>81.900000000000006</v>
      </c>
      <c r="M2092" s="2">
        <f t="shared" si="322"/>
        <v>0</v>
      </c>
      <c r="N2092">
        <v>0</v>
      </c>
      <c r="O2092" s="2">
        <f t="shared" si="323"/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30</v>
      </c>
      <c r="V2092" s="2">
        <f t="shared" si="324"/>
        <v>1</v>
      </c>
      <c r="W2092">
        <v>17.2</v>
      </c>
      <c r="X2092" s="2">
        <f t="shared" si="325"/>
        <v>1</v>
      </c>
      <c r="Y2092">
        <v>198.8</v>
      </c>
      <c r="Z2092" s="2" t="str">
        <f>CHOOSE(MATCH(Y2092,{0;11;80;111;161;191;241;281;341},1),"North","NorthEast","East","SouthEast","South","SouthWest","West","NorthWest","North")</f>
        <v>SouthWest</v>
      </c>
      <c r="AA2092" s="4">
        <f>CHOOSE(MATCH(Z2092,{"South";"SouthEast";"SouthWest";"North";"NorthEast";"East";"West";"NorthWest"},0),1,2,3,4,5,6,7,8)</f>
        <v>3</v>
      </c>
      <c r="AB2092" s="2">
        <f t="shared" si="326"/>
        <v>0</v>
      </c>
      <c r="AC2092">
        <v>1013</v>
      </c>
      <c r="AD2092" t="s">
        <v>2573</v>
      </c>
      <c r="AE2092" s="2">
        <f t="shared" si="327"/>
        <v>1</v>
      </c>
      <c r="AF2092" t="s">
        <v>2856</v>
      </c>
      <c r="AG2092" s="2">
        <f t="shared" si="328"/>
        <v>1</v>
      </c>
      <c r="AH2092" s="2">
        <f t="shared" si="329"/>
        <v>0</v>
      </c>
      <c r="AI2092" s="3">
        <v>53.999999997904517</v>
      </c>
      <c r="AJ2092" s="2">
        <v>0</v>
      </c>
      <c r="AK2092">
        <v>0</v>
      </c>
      <c r="AL2092">
        <v>0.5</v>
      </c>
      <c r="AM2092">
        <v>0</v>
      </c>
      <c r="AN2092" s="2">
        <f>IF((2*G2092+M2092-O2092+3*V2092+2*AB2092+2*AE2092+2*AH2092+3*AJ2092)&gt;=7,1,0)</f>
        <v>0</v>
      </c>
    </row>
    <row r="2093" spans="1:40" x14ac:dyDescent="0.25">
      <c r="A2093" t="s">
        <v>27</v>
      </c>
      <c r="B2093" s="1">
        <v>43103</v>
      </c>
      <c r="C2093" s="6">
        <f t="shared" si="320"/>
        <v>2018</v>
      </c>
      <c r="D2093">
        <v>57.2</v>
      </c>
      <c r="E2093">
        <v>50</v>
      </c>
      <c r="F2093">
        <v>54.5</v>
      </c>
      <c r="G2093" s="2">
        <f t="shared" si="321"/>
        <v>0</v>
      </c>
      <c r="H2093">
        <v>57.2</v>
      </c>
      <c r="I2093">
        <v>50</v>
      </c>
      <c r="J2093">
        <v>54.5</v>
      </c>
      <c r="K2093">
        <v>48.8</v>
      </c>
      <c r="L2093">
        <v>81.3</v>
      </c>
      <c r="M2093" s="2">
        <f t="shared" si="322"/>
        <v>0</v>
      </c>
      <c r="N2093">
        <v>3.1E-2</v>
      </c>
      <c r="O2093" s="2">
        <f t="shared" si="323"/>
        <v>0</v>
      </c>
      <c r="P2093">
        <v>100</v>
      </c>
      <c r="Q2093">
        <v>4.17</v>
      </c>
      <c r="R2093" t="s">
        <v>182</v>
      </c>
      <c r="S2093">
        <v>0</v>
      </c>
      <c r="T2093">
        <v>0</v>
      </c>
      <c r="U2093">
        <v>26.4</v>
      </c>
      <c r="V2093" s="2">
        <f t="shared" si="324"/>
        <v>1</v>
      </c>
      <c r="W2093">
        <v>16.100000000000001</v>
      </c>
      <c r="X2093" s="2">
        <f t="shared" si="325"/>
        <v>1</v>
      </c>
      <c r="Y2093">
        <v>243</v>
      </c>
      <c r="Z2093" s="2" t="str">
        <f>CHOOSE(MATCH(Y2093,{0;11;80;111;161;191;241;281;341},1),"North","NorthEast","East","SouthEast","South","SouthWest","West","NorthWest","North")</f>
        <v>West</v>
      </c>
      <c r="AA2093" s="4">
        <f>CHOOSE(MATCH(Z2093,{"South";"SouthEast";"SouthWest";"North";"NorthEast";"East";"West";"NorthWest"},0),1,2,3,4,5,6,7,8)</f>
        <v>7</v>
      </c>
      <c r="AB2093" s="2">
        <f t="shared" si="326"/>
        <v>0</v>
      </c>
      <c r="AC2093">
        <v>1009.4</v>
      </c>
      <c r="AD2093" t="s">
        <v>1942</v>
      </c>
      <c r="AE2093" s="2">
        <f t="shared" si="327"/>
        <v>1</v>
      </c>
      <c r="AF2093" t="s">
        <v>2857</v>
      </c>
      <c r="AG2093" s="2">
        <f t="shared" si="328"/>
        <v>1</v>
      </c>
      <c r="AH2093" s="2">
        <f t="shared" si="329"/>
        <v>0</v>
      </c>
      <c r="AI2093" s="3">
        <v>46.000000003259629</v>
      </c>
      <c r="AJ2093" s="2">
        <v>0</v>
      </c>
      <c r="AK2093">
        <v>0</v>
      </c>
      <c r="AL2093">
        <v>0.5</v>
      </c>
      <c r="AM2093">
        <v>0</v>
      </c>
      <c r="AN2093" s="2">
        <f>IF((2*G2093+M2093-O2093+3*V2093+2*AB2093+2*AE2093+2*AH2093+3*AJ2093)&gt;=7,1,0)</f>
        <v>0</v>
      </c>
    </row>
    <row r="2094" spans="1:40" x14ac:dyDescent="0.25">
      <c r="A2094" t="s">
        <v>27</v>
      </c>
      <c r="B2094" s="1">
        <v>43121</v>
      </c>
      <c r="C2094" s="6">
        <f t="shared" si="320"/>
        <v>2018</v>
      </c>
      <c r="D2094">
        <v>64.400000000000006</v>
      </c>
      <c r="E2094">
        <v>55.4</v>
      </c>
      <c r="F2094">
        <v>58.9</v>
      </c>
      <c r="G2094" s="2">
        <f t="shared" si="321"/>
        <v>0</v>
      </c>
      <c r="H2094">
        <v>64.400000000000006</v>
      </c>
      <c r="I2094">
        <v>55.4</v>
      </c>
      <c r="J2094">
        <v>58.9</v>
      </c>
      <c r="K2094">
        <v>51.4</v>
      </c>
      <c r="L2094">
        <v>76.5</v>
      </c>
      <c r="M2094" s="2">
        <f t="shared" si="322"/>
        <v>0</v>
      </c>
      <c r="N2094">
        <v>0.02</v>
      </c>
      <c r="O2094" s="2">
        <f t="shared" si="323"/>
        <v>0</v>
      </c>
      <c r="P2094">
        <v>100</v>
      </c>
      <c r="Q2094">
        <v>4.17</v>
      </c>
      <c r="R2094" t="s">
        <v>182</v>
      </c>
      <c r="S2094">
        <v>0</v>
      </c>
      <c r="T2094">
        <v>0</v>
      </c>
      <c r="U2094">
        <v>41.4</v>
      </c>
      <c r="V2094" s="2">
        <f t="shared" si="324"/>
        <v>1</v>
      </c>
      <c r="W2094">
        <v>27.7</v>
      </c>
      <c r="X2094" s="2">
        <f t="shared" si="325"/>
        <v>1</v>
      </c>
      <c r="Y2094">
        <v>174.9</v>
      </c>
      <c r="Z2094" s="2" t="str">
        <f>CHOOSE(MATCH(Y2094,{0;11;80;111;161;191;241;281;341},1),"North","NorthEast","East","SouthEast","South","SouthWest","West","NorthWest","North")</f>
        <v>South</v>
      </c>
      <c r="AA2094" s="4">
        <f>CHOOSE(MATCH(Z2094,{"South";"SouthEast";"SouthWest";"North";"NorthEast";"East";"West";"NorthWest"},0),1,2,3,4,5,6,7,8)</f>
        <v>1</v>
      </c>
      <c r="AB2094" s="2">
        <f t="shared" si="326"/>
        <v>0</v>
      </c>
      <c r="AC2094">
        <v>1008.5</v>
      </c>
      <c r="AD2094" t="s">
        <v>2202</v>
      </c>
      <c r="AE2094" s="2">
        <f t="shared" si="327"/>
        <v>0</v>
      </c>
      <c r="AF2094" t="s">
        <v>2858</v>
      </c>
      <c r="AG2094" s="2">
        <f t="shared" si="328"/>
        <v>1</v>
      </c>
      <c r="AH2094" s="2">
        <f t="shared" si="329"/>
        <v>0</v>
      </c>
      <c r="AI2094" s="3">
        <v>55.000000001164153</v>
      </c>
      <c r="AJ2094" s="2">
        <v>0</v>
      </c>
      <c r="AK2094">
        <v>0</v>
      </c>
      <c r="AL2094">
        <v>0.02</v>
      </c>
      <c r="AM2094">
        <v>0</v>
      </c>
      <c r="AN2094" s="2">
        <f>IF((2*G2094+M2094-O2094+3*V2094+2*AB2094+2*AE2094+2*AH2094+3*AJ2094)&gt;=7,1,0)</f>
        <v>0</v>
      </c>
    </row>
    <row r="2095" spans="1:40" x14ac:dyDescent="0.25">
      <c r="A2095" t="s">
        <v>27</v>
      </c>
      <c r="B2095" s="1">
        <v>43122</v>
      </c>
      <c r="C2095" s="6">
        <f t="shared" si="320"/>
        <v>2018</v>
      </c>
      <c r="D2095">
        <v>60.8</v>
      </c>
      <c r="E2095">
        <v>48.2</v>
      </c>
      <c r="F2095">
        <v>53.3</v>
      </c>
      <c r="G2095" s="2">
        <f t="shared" si="321"/>
        <v>0</v>
      </c>
      <c r="H2095">
        <v>60.8</v>
      </c>
      <c r="I2095">
        <v>46.3</v>
      </c>
      <c r="J2095">
        <v>53.1</v>
      </c>
      <c r="K2095">
        <v>47.8</v>
      </c>
      <c r="L2095">
        <v>81.8</v>
      </c>
      <c r="M2095" s="2">
        <f t="shared" si="322"/>
        <v>0</v>
      </c>
      <c r="N2095">
        <v>5.6000000000000001E-2</v>
      </c>
      <c r="O2095" s="2">
        <f t="shared" si="323"/>
        <v>0</v>
      </c>
      <c r="P2095">
        <v>100</v>
      </c>
      <c r="Q2095">
        <v>12.5</v>
      </c>
      <c r="R2095" t="s">
        <v>182</v>
      </c>
      <c r="S2095">
        <v>0</v>
      </c>
      <c r="T2095">
        <v>0</v>
      </c>
      <c r="U2095">
        <v>45</v>
      </c>
      <c r="V2095" s="2">
        <f t="shared" si="324"/>
        <v>1</v>
      </c>
      <c r="W2095">
        <v>36.9</v>
      </c>
      <c r="X2095" s="2">
        <f t="shared" si="325"/>
        <v>1</v>
      </c>
      <c r="Y2095">
        <v>290.2</v>
      </c>
      <c r="Z2095" s="2" t="str">
        <f>CHOOSE(MATCH(Y2095,{0;11;80;111;161;191;241;281;341},1),"North","NorthEast","East","SouthEast","South","SouthWest","West","NorthWest","North")</f>
        <v>NorthWest</v>
      </c>
      <c r="AA2095" s="4">
        <f>CHOOSE(MATCH(Z2095,{"South";"SouthEast";"SouthWest";"North";"NorthEast";"East";"West";"NorthWest"},0),1,2,3,4,5,6,7,8)</f>
        <v>8</v>
      </c>
      <c r="AB2095" s="2">
        <f t="shared" si="326"/>
        <v>1</v>
      </c>
      <c r="AC2095">
        <v>1002.6</v>
      </c>
      <c r="AD2095" t="s">
        <v>2859</v>
      </c>
      <c r="AE2095" s="2">
        <f t="shared" si="327"/>
        <v>0</v>
      </c>
      <c r="AF2095" t="s">
        <v>2860</v>
      </c>
      <c r="AG2095" s="2">
        <f t="shared" si="328"/>
        <v>1</v>
      </c>
      <c r="AH2095" s="2">
        <f t="shared" si="329"/>
        <v>0</v>
      </c>
      <c r="AI2095" s="3">
        <v>121.9999999995343</v>
      </c>
      <c r="AJ2095" s="2">
        <v>0</v>
      </c>
      <c r="AK2095">
        <v>0</v>
      </c>
      <c r="AL2095">
        <v>1</v>
      </c>
      <c r="AM2095">
        <v>0</v>
      </c>
      <c r="AN2095" s="2">
        <f>IF((2*G2095+M2095-O2095+3*V2095+2*AB2095+2*AE2095+2*AH2095+3*AJ2095)&gt;=7,1,0)</f>
        <v>0</v>
      </c>
    </row>
    <row r="2096" spans="1:40" x14ac:dyDescent="0.25">
      <c r="A2096" t="s">
        <v>27</v>
      </c>
      <c r="B2096" s="1">
        <v>43125</v>
      </c>
      <c r="C2096" s="6">
        <f t="shared" si="320"/>
        <v>2018</v>
      </c>
      <c r="D2096">
        <v>50</v>
      </c>
      <c r="E2096">
        <v>46.4</v>
      </c>
      <c r="F2096">
        <v>48</v>
      </c>
      <c r="G2096" s="2">
        <f t="shared" si="321"/>
        <v>0</v>
      </c>
      <c r="H2096">
        <v>50</v>
      </c>
      <c r="I2096">
        <v>36.9</v>
      </c>
      <c r="J2096">
        <v>40.6</v>
      </c>
      <c r="K2096">
        <v>40.299999999999997</v>
      </c>
      <c r="L2096">
        <v>74.900000000000006</v>
      </c>
      <c r="M2096" s="2">
        <f t="shared" si="322"/>
        <v>0</v>
      </c>
      <c r="N2096">
        <v>8.3000000000000004E-2</v>
      </c>
      <c r="O2096" s="2">
        <f t="shared" si="323"/>
        <v>0</v>
      </c>
      <c r="P2096">
        <v>100</v>
      </c>
      <c r="Q2096">
        <v>8.33</v>
      </c>
      <c r="R2096" t="s">
        <v>182</v>
      </c>
      <c r="S2096">
        <v>0</v>
      </c>
      <c r="T2096">
        <v>0</v>
      </c>
      <c r="U2096">
        <v>55</v>
      </c>
      <c r="V2096" s="2">
        <f t="shared" si="324"/>
        <v>1</v>
      </c>
      <c r="W2096">
        <v>34.299999999999997</v>
      </c>
      <c r="X2096" s="2">
        <f t="shared" si="325"/>
        <v>1</v>
      </c>
      <c r="Y2096">
        <v>326.60000000000002</v>
      </c>
      <c r="Z2096" s="2" t="str">
        <f>CHOOSE(MATCH(Y2096,{0;11;80;111;161;191;241;281;341},1),"North","NorthEast","East","SouthEast","South","SouthWest","West","NorthWest","North")</f>
        <v>NorthWest</v>
      </c>
      <c r="AA2096" s="4">
        <f>CHOOSE(MATCH(Z2096,{"South";"SouthEast";"SouthWest";"North";"NorthEast";"East";"West";"NorthWest"},0),1,2,3,4,5,6,7,8)</f>
        <v>8</v>
      </c>
      <c r="AB2096" s="2">
        <f t="shared" si="326"/>
        <v>1</v>
      </c>
      <c r="AC2096">
        <v>1022</v>
      </c>
      <c r="AD2096" t="s">
        <v>2861</v>
      </c>
      <c r="AE2096" s="2">
        <f t="shared" si="327"/>
        <v>1</v>
      </c>
      <c r="AF2096" t="s">
        <v>2862</v>
      </c>
      <c r="AG2096" s="2">
        <f t="shared" si="328"/>
        <v>1</v>
      </c>
      <c r="AH2096" s="2">
        <f t="shared" si="329"/>
        <v>0</v>
      </c>
      <c r="AI2096" s="3">
        <v>108.99999999906871</v>
      </c>
      <c r="AJ2096" s="2">
        <v>0</v>
      </c>
      <c r="AK2096">
        <v>0</v>
      </c>
      <c r="AL2096">
        <v>5</v>
      </c>
      <c r="AM2096">
        <v>0</v>
      </c>
      <c r="AN2096" s="2">
        <f>IF((2*G2096+M2096-O2096+3*V2096+2*AB2096+2*AE2096+2*AH2096+3*AJ2096)&gt;=7,1,0)</f>
        <v>1</v>
      </c>
    </row>
    <row r="2097" spans="1:40" x14ac:dyDescent="0.25">
      <c r="A2097" t="s">
        <v>27</v>
      </c>
      <c r="B2097" s="1">
        <v>43130</v>
      </c>
      <c r="C2097" s="6">
        <f t="shared" si="320"/>
        <v>2018</v>
      </c>
      <c r="D2097">
        <v>59</v>
      </c>
      <c r="E2097">
        <v>46.4</v>
      </c>
      <c r="F2097">
        <v>52.3</v>
      </c>
      <c r="G2097" s="2">
        <f t="shared" si="321"/>
        <v>0</v>
      </c>
      <c r="H2097">
        <v>59</v>
      </c>
      <c r="I2097">
        <v>42.4</v>
      </c>
      <c r="J2097">
        <v>51.3</v>
      </c>
      <c r="K2097">
        <v>46.2</v>
      </c>
      <c r="L2097">
        <v>80.2</v>
      </c>
      <c r="M2097" s="2">
        <f t="shared" si="322"/>
        <v>0</v>
      </c>
      <c r="N2097">
        <v>0</v>
      </c>
      <c r="O2097" s="2">
        <f t="shared" si="323"/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13.4</v>
      </c>
      <c r="V2097" s="2">
        <f t="shared" si="324"/>
        <v>1</v>
      </c>
      <c r="W2097">
        <v>12.7</v>
      </c>
      <c r="X2097" s="2">
        <f t="shared" si="325"/>
        <v>0</v>
      </c>
      <c r="Y2097">
        <v>204.9</v>
      </c>
      <c r="Z2097" s="2" t="str">
        <f>CHOOSE(MATCH(Y2097,{0;11;80;111;161;191;241;281;341},1),"North","NorthEast","East","SouthEast","South","SouthWest","West","NorthWest","North")</f>
        <v>SouthWest</v>
      </c>
      <c r="AA2097" s="4">
        <f>CHOOSE(MATCH(Z2097,{"South";"SouthEast";"SouthWest";"North";"NorthEast";"East";"West";"NorthWest"},0),1,2,3,4,5,6,7,8)</f>
        <v>3</v>
      </c>
      <c r="AB2097" s="2">
        <f t="shared" si="326"/>
        <v>0</v>
      </c>
      <c r="AC2097">
        <v>1024.5</v>
      </c>
      <c r="AD2097" t="s">
        <v>2863</v>
      </c>
      <c r="AE2097" s="2">
        <f t="shared" si="327"/>
        <v>1</v>
      </c>
      <c r="AF2097" t="s">
        <v>2864</v>
      </c>
      <c r="AG2097" s="2">
        <f t="shared" si="328"/>
        <v>1</v>
      </c>
      <c r="AH2097" s="2">
        <f t="shared" si="329"/>
        <v>0</v>
      </c>
      <c r="AI2097" s="3">
        <v>221.00000000791621</v>
      </c>
      <c r="AJ2097" s="2">
        <v>0</v>
      </c>
      <c r="AK2097">
        <v>0</v>
      </c>
      <c r="AL2097">
        <v>5</v>
      </c>
      <c r="AM2097">
        <v>0</v>
      </c>
      <c r="AN2097" s="2">
        <f>IF((2*G2097+M2097-O2097+3*V2097+2*AB2097+2*AE2097+2*AH2097+3*AJ2097)&gt;=7,1,0)</f>
        <v>0</v>
      </c>
    </row>
    <row r="2098" spans="1:40" x14ac:dyDescent="0.25">
      <c r="A2098" t="s">
        <v>27</v>
      </c>
      <c r="B2098" s="1">
        <v>43131</v>
      </c>
      <c r="C2098" s="6">
        <f t="shared" si="320"/>
        <v>2018</v>
      </c>
      <c r="D2098">
        <v>60.8</v>
      </c>
      <c r="E2098">
        <v>46.4</v>
      </c>
      <c r="F2098">
        <v>52</v>
      </c>
      <c r="G2098" s="2">
        <f t="shared" si="321"/>
        <v>0</v>
      </c>
      <c r="H2098">
        <v>60.8</v>
      </c>
      <c r="I2098">
        <v>42.3</v>
      </c>
      <c r="J2098">
        <v>50.2</v>
      </c>
      <c r="K2098">
        <v>47.1</v>
      </c>
      <c r="L2098">
        <v>83.9</v>
      </c>
      <c r="M2098" s="2">
        <f t="shared" si="322"/>
        <v>0</v>
      </c>
      <c r="N2098">
        <v>0</v>
      </c>
      <c r="O2098" s="2">
        <f t="shared" si="323"/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15</v>
      </c>
      <c r="V2098" s="2">
        <f t="shared" si="324"/>
        <v>1</v>
      </c>
      <c r="W2098">
        <v>11.4</v>
      </c>
      <c r="X2098" s="2">
        <f t="shared" si="325"/>
        <v>0</v>
      </c>
      <c r="Y2098">
        <v>196</v>
      </c>
      <c r="Z2098" s="2" t="str">
        <f>CHOOSE(MATCH(Y2098,{0;11;80;111;161;191;241;281;341},1),"North","NorthEast","East","SouthEast","South","SouthWest","West","NorthWest","North")</f>
        <v>SouthWest</v>
      </c>
      <c r="AA2098" s="4">
        <f>CHOOSE(MATCH(Z2098,{"South";"SouthEast";"SouthWest";"North";"NorthEast";"East";"West";"NorthWest"},0),1,2,3,4,5,6,7,8)</f>
        <v>3</v>
      </c>
      <c r="AB2098" s="2">
        <f t="shared" si="326"/>
        <v>0</v>
      </c>
      <c r="AC2098">
        <v>1023.1</v>
      </c>
      <c r="AD2098" t="s">
        <v>2865</v>
      </c>
      <c r="AE2098" s="2">
        <f t="shared" si="327"/>
        <v>1</v>
      </c>
      <c r="AF2098" t="s">
        <v>2866</v>
      </c>
      <c r="AG2098" s="2">
        <f t="shared" si="328"/>
        <v>1</v>
      </c>
      <c r="AH2098" s="2">
        <f t="shared" si="329"/>
        <v>0</v>
      </c>
      <c r="AI2098" s="3">
        <v>47.999999999301508</v>
      </c>
      <c r="AJ2098" s="2">
        <v>0</v>
      </c>
      <c r="AK2098">
        <v>0</v>
      </c>
      <c r="AL2098">
        <v>0.5</v>
      </c>
      <c r="AM2098">
        <v>0</v>
      </c>
      <c r="AN2098" s="2">
        <f>IF((2*G2098+M2098-O2098+3*V2098+2*AB2098+2*AE2098+2*AH2098+3*AJ2098)&gt;=7,1,0)</f>
        <v>0</v>
      </c>
    </row>
    <row r="2099" spans="1:40" x14ac:dyDescent="0.25">
      <c r="A2099" t="s">
        <v>27</v>
      </c>
      <c r="B2099" s="1">
        <v>43135</v>
      </c>
      <c r="C2099" s="6">
        <f t="shared" si="320"/>
        <v>2018</v>
      </c>
      <c r="D2099">
        <v>66.2</v>
      </c>
      <c r="E2099">
        <v>55.4</v>
      </c>
      <c r="F2099">
        <v>61.3</v>
      </c>
      <c r="G2099" s="2">
        <f t="shared" si="321"/>
        <v>0</v>
      </c>
      <c r="H2099">
        <v>66.2</v>
      </c>
      <c r="I2099">
        <v>55.4</v>
      </c>
      <c r="J2099">
        <v>61.3</v>
      </c>
      <c r="K2099">
        <v>52.1</v>
      </c>
      <c r="L2099">
        <v>71.900000000000006</v>
      </c>
      <c r="M2099" s="2">
        <f t="shared" si="322"/>
        <v>0</v>
      </c>
      <c r="N2099">
        <v>0</v>
      </c>
      <c r="O2099" s="2">
        <f t="shared" si="323"/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41.4</v>
      </c>
      <c r="V2099" s="2">
        <f t="shared" si="324"/>
        <v>1</v>
      </c>
      <c r="W2099">
        <v>33.200000000000003</v>
      </c>
      <c r="X2099" s="2">
        <f t="shared" si="325"/>
        <v>1</v>
      </c>
      <c r="Y2099">
        <v>158.69999999999999</v>
      </c>
      <c r="Z2099" s="2" t="str">
        <f>CHOOSE(MATCH(Y2099,{0;11;80;111;161;191;241;281;341},1),"North","NorthEast","East","SouthEast","South","SouthWest","West","NorthWest","North")</f>
        <v>SouthEast</v>
      </c>
      <c r="AA2099" s="4">
        <f>CHOOSE(MATCH(Z2099,{"South";"SouthEast";"SouthWest";"North";"NorthEast";"East";"West";"NorthWest"},0),1,2,3,4,5,6,7,8)</f>
        <v>2</v>
      </c>
      <c r="AB2099" s="2">
        <f t="shared" si="326"/>
        <v>0</v>
      </c>
      <c r="AC2099">
        <v>1013.9</v>
      </c>
      <c r="AD2099" t="s">
        <v>2867</v>
      </c>
      <c r="AE2099" s="2">
        <f t="shared" si="327"/>
        <v>0</v>
      </c>
      <c r="AF2099" t="s">
        <v>2868</v>
      </c>
      <c r="AG2099" s="2">
        <f t="shared" si="328"/>
        <v>2</v>
      </c>
      <c r="AH2099" s="2">
        <f t="shared" si="329"/>
        <v>0</v>
      </c>
      <c r="AI2099" s="3">
        <v>191.999999997206</v>
      </c>
      <c r="AJ2099" s="2">
        <v>0</v>
      </c>
      <c r="AK2099">
        <v>0</v>
      </c>
      <c r="AL2099">
        <v>2</v>
      </c>
      <c r="AM2099">
        <v>0</v>
      </c>
      <c r="AN2099" s="2">
        <f>IF((2*G2099+M2099-O2099+3*V2099+2*AB2099+2*AE2099+2*AH2099+3*AJ2099)&gt;=7,1,0)</f>
        <v>0</v>
      </c>
    </row>
    <row r="2100" spans="1:40" x14ac:dyDescent="0.25">
      <c r="A2100" t="s">
        <v>27</v>
      </c>
      <c r="B2100" s="1">
        <v>43139</v>
      </c>
      <c r="C2100" s="6">
        <f t="shared" si="320"/>
        <v>2018</v>
      </c>
      <c r="D2100">
        <v>68</v>
      </c>
      <c r="E2100">
        <v>51.8</v>
      </c>
      <c r="F2100">
        <v>61</v>
      </c>
      <c r="G2100" s="2">
        <f t="shared" si="321"/>
        <v>0</v>
      </c>
      <c r="H2100">
        <v>68</v>
      </c>
      <c r="I2100">
        <v>51.8</v>
      </c>
      <c r="J2100">
        <v>61</v>
      </c>
      <c r="K2100">
        <v>50.2</v>
      </c>
      <c r="L2100">
        <v>69.8</v>
      </c>
      <c r="M2100" s="2">
        <f t="shared" si="322"/>
        <v>0</v>
      </c>
      <c r="N2100">
        <v>0</v>
      </c>
      <c r="O2100" s="2">
        <f t="shared" si="323"/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35.799999999999997</v>
      </c>
      <c r="V2100" s="2">
        <f t="shared" si="324"/>
        <v>1</v>
      </c>
      <c r="W2100">
        <v>20.8</v>
      </c>
      <c r="X2100" s="2">
        <f t="shared" si="325"/>
        <v>1</v>
      </c>
      <c r="Y2100">
        <v>247.8</v>
      </c>
      <c r="Z2100" s="2" t="str">
        <f>CHOOSE(MATCH(Y2100,{0;11;80;111;161;191;241;281;341},1),"North","NorthEast","East","SouthEast","South","SouthWest","West","NorthWest","North")</f>
        <v>West</v>
      </c>
      <c r="AA2100" s="4">
        <f>CHOOSE(MATCH(Z2100,{"South";"SouthEast";"SouthWest";"North";"NorthEast";"East";"West";"NorthWest"},0),1,2,3,4,5,6,7,8)</f>
        <v>7</v>
      </c>
      <c r="AB2100" s="2">
        <f t="shared" si="326"/>
        <v>0</v>
      </c>
      <c r="AC2100">
        <v>1015.2</v>
      </c>
      <c r="AD2100" t="s">
        <v>2869</v>
      </c>
      <c r="AE2100" s="2">
        <f t="shared" si="327"/>
        <v>1</v>
      </c>
      <c r="AF2100" t="s">
        <v>2870</v>
      </c>
      <c r="AG2100" s="2">
        <f t="shared" si="328"/>
        <v>2</v>
      </c>
      <c r="AH2100" s="2">
        <f t="shared" si="329"/>
        <v>0</v>
      </c>
      <c r="AI2100" s="3">
        <v>71.999999993713573</v>
      </c>
      <c r="AJ2100" s="2">
        <v>0</v>
      </c>
      <c r="AK2100">
        <v>0</v>
      </c>
      <c r="AL2100">
        <v>0.1</v>
      </c>
      <c r="AM2100">
        <v>0</v>
      </c>
      <c r="AN2100" s="2">
        <f>IF((2*G2100+M2100-O2100+3*V2100+2*AB2100+2*AE2100+2*AH2100+3*AJ2100)&gt;=7,1,0)</f>
        <v>0</v>
      </c>
    </row>
    <row r="2101" spans="1:40" x14ac:dyDescent="0.25">
      <c r="A2101" t="s">
        <v>27</v>
      </c>
      <c r="B2101" s="1">
        <v>43140</v>
      </c>
      <c r="C2101" s="6">
        <f t="shared" si="320"/>
        <v>2018</v>
      </c>
      <c r="D2101">
        <v>59</v>
      </c>
      <c r="E2101">
        <v>48.2</v>
      </c>
      <c r="F2101">
        <v>54.9</v>
      </c>
      <c r="G2101" s="2">
        <f t="shared" si="321"/>
        <v>0</v>
      </c>
      <c r="H2101">
        <v>59</v>
      </c>
      <c r="I2101">
        <v>45.6</v>
      </c>
      <c r="J2101">
        <v>54.7</v>
      </c>
      <c r="K2101">
        <v>47.1</v>
      </c>
      <c r="L2101">
        <v>75.3</v>
      </c>
      <c r="M2101" s="2">
        <f t="shared" si="322"/>
        <v>0</v>
      </c>
      <c r="N2101">
        <v>8.0000000000000002E-3</v>
      </c>
      <c r="O2101" s="2">
        <f t="shared" si="323"/>
        <v>1</v>
      </c>
      <c r="P2101">
        <v>100</v>
      </c>
      <c r="Q2101">
        <v>4.17</v>
      </c>
      <c r="R2101" t="s">
        <v>182</v>
      </c>
      <c r="S2101">
        <v>0</v>
      </c>
      <c r="T2101">
        <v>0</v>
      </c>
      <c r="U2101">
        <v>15</v>
      </c>
      <c r="V2101" s="2">
        <f t="shared" si="324"/>
        <v>1</v>
      </c>
      <c r="W2101">
        <v>8</v>
      </c>
      <c r="X2101" s="2">
        <f t="shared" si="325"/>
        <v>0</v>
      </c>
      <c r="Y2101">
        <v>195.9</v>
      </c>
      <c r="Z2101" s="2" t="str">
        <f>CHOOSE(MATCH(Y2101,{0;11;80;111;161;191;241;281;341},1),"North","NorthEast","East","SouthEast","South","SouthWest","West","NorthWest","North")</f>
        <v>SouthWest</v>
      </c>
      <c r="AA2101" s="4">
        <f>CHOOSE(MATCH(Z2101,{"South";"SouthEast";"SouthWest";"North";"NorthEast";"East";"West";"NorthWest"},0),1,2,3,4,5,6,7,8)</f>
        <v>3</v>
      </c>
      <c r="AB2101" s="2">
        <f t="shared" si="326"/>
        <v>0</v>
      </c>
      <c r="AC2101">
        <v>1015</v>
      </c>
      <c r="AD2101" t="s">
        <v>1119</v>
      </c>
      <c r="AE2101" s="2">
        <f t="shared" si="327"/>
        <v>0</v>
      </c>
      <c r="AF2101" t="s">
        <v>2871</v>
      </c>
      <c r="AG2101" s="2">
        <f t="shared" si="328"/>
        <v>2</v>
      </c>
      <c r="AH2101" s="2">
        <f t="shared" si="329"/>
        <v>0</v>
      </c>
      <c r="AI2101" s="3">
        <v>180</v>
      </c>
      <c r="AJ2101" s="2">
        <v>0</v>
      </c>
      <c r="AK2101">
        <v>0</v>
      </c>
      <c r="AL2101">
        <v>3</v>
      </c>
      <c r="AM2101">
        <v>0</v>
      </c>
      <c r="AN2101" s="2">
        <f>IF((2*G2101+M2101-O2101+3*V2101+2*AB2101+2*AE2101+2*AH2101+3*AJ2101)&gt;=7,1,0)</f>
        <v>0</v>
      </c>
    </row>
    <row r="2102" spans="1:40" x14ac:dyDescent="0.25">
      <c r="A2102" t="s">
        <v>27</v>
      </c>
      <c r="B2102" s="1">
        <v>43141</v>
      </c>
      <c r="C2102" s="6">
        <f t="shared" si="320"/>
        <v>2018</v>
      </c>
      <c r="D2102">
        <v>68</v>
      </c>
      <c r="E2102">
        <v>51.8</v>
      </c>
      <c r="F2102">
        <v>59.9</v>
      </c>
      <c r="G2102" s="2">
        <f t="shared" si="321"/>
        <v>0</v>
      </c>
      <c r="H2102">
        <v>68</v>
      </c>
      <c r="I2102">
        <v>51.8</v>
      </c>
      <c r="J2102">
        <v>59.9</v>
      </c>
      <c r="K2102">
        <v>47.1</v>
      </c>
      <c r="L2102">
        <v>63.5</v>
      </c>
      <c r="M2102" s="2">
        <f t="shared" si="322"/>
        <v>1</v>
      </c>
      <c r="N2102">
        <v>0</v>
      </c>
      <c r="O2102" s="2">
        <f t="shared" si="323"/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40.5</v>
      </c>
      <c r="V2102" s="2">
        <f t="shared" si="324"/>
        <v>1</v>
      </c>
      <c r="W2102">
        <v>24.1</v>
      </c>
      <c r="X2102" s="2">
        <f t="shared" si="325"/>
        <v>1</v>
      </c>
      <c r="Y2102">
        <v>175.4</v>
      </c>
      <c r="Z2102" s="2" t="str">
        <f>CHOOSE(MATCH(Y2102,{0;11;80;111;161;191;241;281;341},1),"North","NorthEast","East","SouthEast","South","SouthWest","West","NorthWest","North")</f>
        <v>South</v>
      </c>
      <c r="AA2102" s="4">
        <f>CHOOSE(MATCH(Z2102,{"South";"SouthEast";"SouthWest";"North";"NorthEast";"East";"West";"NorthWest"},0),1,2,3,4,5,6,7,8)</f>
        <v>1</v>
      </c>
      <c r="AB2102" s="2">
        <f t="shared" si="326"/>
        <v>0</v>
      </c>
      <c r="AC2102">
        <v>1003.8</v>
      </c>
      <c r="AD2102" t="s">
        <v>1906</v>
      </c>
      <c r="AE2102" s="2">
        <f t="shared" si="327"/>
        <v>0</v>
      </c>
      <c r="AF2102" t="s">
        <v>2872</v>
      </c>
      <c r="AG2102" s="2">
        <f t="shared" si="328"/>
        <v>2</v>
      </c>
      <c r="AH2102" s="2">
        <f t="shared" si="329"/>
        <v>0</v>
      </c>
      <c r="AI2102" s="3">
        <v>94.999999995343387</v>
      </c>
      <c r="AJ2102" s="2">
        <v>0</v>
      </c>
      <c r="AK2102">
        <v>0</v>
      </c>
      <c r="AL2102">
        <v>1</v>
      </c>
      <c r="AM2102">
        <v>0</v>
      </c>
      <c r="AN2102" s="2">
        <f>IF((2*G2102+M2102-O2102+3*V2102+2*AB2102+2*AE2102+2*AH2102+3*AJ2102)&gt;=7,1,0)</f>
        <v>0</v>
      </c>
    </row>
    <row r="2103" spans="1:40" x14ac:dyDescent="0.25">
      <c r="A2103" t="s">
        <v>27</v>
      </c>
      <c r="B2103" s="1">
        <v>43141</v>
      </c>
      <c r="C2103" s="6">
        <f t="shared" si="320"/>
        <v>2018</v>
      </c>
      <c r="D2103">
        <v>68</v>
      </c>
      <c r="E2103">
        <v>51.8</v>
      </c>
      <c r="F2103">
        <v>59.9</v>
      </c>
      <c r="G2103" s="2">
        <f t="shared" si="321"/>
        <v>0</v>
      </c>
      <c r="H2103">
        <v>68</v>
      </c>
      <c r="I2103">
        <v>51.8</v>
      </c>
      <c r="J2103">
        <v>59.9</v>
      </c>
      <c r="K2103">
        <v>47.1</v>
      </c>
      <c r="L2103">
        <v>63.5</v>
      </c>
      <c r="M2103" s="2">
        <f t="shared" si="322"/>
        <v>1</v>
      </c>
      <c r="N2103">
        <v>0</v>
      </c>
      <c r="O2103" s="2">
        <f t="shared" si="323"/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40.5</v>
      </c>
      <c r="V2103" s="2">
        <f t="shared" si="324"/>
        <v>1</v>
      </c>
      <c r="W2103">
        <v>24.1</v>
      </c>
      <c r="X2103" s="2">
        <f t="shared" si="325"/>
        <v>1</v>
      </c>
      <c r="Y2103">
        <v>175.4</v>
      </c>
      <c r="Z2103" s="2" t="str">
        <f>CHOOSE(MATCH(Y2103,{0;11;80;111;161;191;241;281;341},1),"North","NorthEast","East","SouthEast","South","SouthWest","West","NorthWest","North")</f>
        <v>South</v>
      </c>
      <c r="AA2103" s="4">
        <f>CHOOSE(MATCH(Z2103,{"South";"SouthEast";"SouthWest";"North";"NorthEast";"East";"West";"NorthWest"},0),1,2,3,4,5,6,7,8)</f>
        <v>1</v>
      </c>
      <c r="AB2103" s="2">
        <f t="shared" si="326"/>
        <v>0</v>
      </c>
      <c r="AC2103">
        <v>1003.8</v>
      </c>
      <c r="AD2103" t="s">
        <v>1951</v>
      </c>
      <c r="AE2103" s="2">
        <f t="shared" si="327"/>
        <v>0</v>
      </c>
      <c r="AF2103" t="s">
        <v>2873</v>
      </c>
      <c r="AG2103" s="2">
        <f t="shared" si="328"/>
        <v>2</v>
      </c>
      <c r="AH2103" s="2">
        <f t="shared" si="329"/>
        <v>0</v>
      </c>
      <c r="AI2103" s="3">
        <v>503.00000000512227</v>
      </c>
      <c r="AJ2103" s="2">
        <v>1</v>
      </c>
      <c r="AK2103">
        <v>0</v>
      </c>
      <c r="AL2103">
        <v>90</v>
      </c>
      <c r="AM2103">
        <v>0</v>
      </c>
      <c r="AN2103" s="2">
        <f>IF((2*G2103+M2103-O2103+3*V2103+2*AB2103+2*AE2103+2*AH2103+3*AJ2103)&gt;=7,1,0)</f>
        <v>0</v>
      </c>
    </row>
    <row r="2104" spans="1:40" x14ac:dyDescent="0.25">
      <c r="A2104" t="s">
        <v>27</v>
      </c>
      <c r="B2104" s="1">
        <v>43160</v>
      </c>
      <c r="C2104" s="6">
        <f t="shared" si="320"/>
        <v>2018</v>
      </c>
      <c r="D2104">
        <v>60.8</v>
      </c>
      <c r="E2104">
        <v>50</v>
      </c>
      <c r="F2104">
        <v>56</v>
      </c>
      <c r="G2104" s="2">
        <f t="shared" si="321"/>
        <v>0</v>
      </c>
      <c r="H2104">
        <v>60.8</v>
      </c>
      <c r="I2104">
        <v>50</v>
      </c>
      <c r="J2104">
        <v>56</v>
      </c>
      <c r="K2104">
        <v>47.8</v>
      </c>
      <c r="L2104">
        <v>74.400000000000006</v>
      </c>
      <c r="M2104" s="2">
        <f t="shared" si="322"/>
        <v>0</v>
      </c>
      <c r="N2104">
        <v>0</v>
      </c>
      <c r="O2104" s="2">
        <f t="shared" si="323"/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17</v>
      </c>
      <c r="V2104" s="2">
        <f t="shared" si="324"/>
        <v>1</v>
      </c>
      <c r="W2104">
        <v>15</v>
      </c>
      <c r="X2104" s="2">
        <f t="shared" si="325"/>
        <v>0</v>
      </c>
      <c r="Y2104">
        <v>281.39999999999998</v>
      </c>
      <c r="Z2104" s="2" t="str">
        <f>CHOOSE(MATCH(Y2104,{0;11;80;111;161;191;241;281;341},1),"North","NorthEast","East","SouthEast","South","SouthWest","West","NorthWest","North")</f>
        <v>NorthWest</v>
      </c>
      <c r="AA2104" s="4">
        <f>CHOOSE(MATCH(Z2104,{"South";"SouthEast";"SouthWest";"North";"NorthEast";"East";"West";"NorthWest"},0),1,2,3,4,5,6,7,8)</f>
        <v>8</v>
      </c>
      <c r="AB2104" s="2">
        <f t="shared" si="326"/>
        <v>1</v>
      </c>
      <c r="AC2104">
        <v>1016.9</v>
      </c>
      <c r="AD2104" t="s">
        <v>2874</v>
      </c>
      <c r="AE2104" s="2">
        <f t="shared" si="327"/>
        <v>1</v>
      </c>
      <c r="AF2104" t="s">
        <v>2875</v>
      </c>
      <c r="AG2104" s="2">
        <f t="shared" si="328"/>
        <v>3</v>
      </c>
      <c r="AH2104" s="2">
        <f t="shared" si="329"/>
        <v>0</v>
      </c>
      <c r="AI2104" s="3">
        <v>56.000000004423782</v>
      </c>
      <c r="AJ2104" s="2">
        <v>0</v>
      </c>
      <c r="AK2104">
        <v>0</v>
      </c>
      <c r="AL2104">
        <v>0.01</v>
      </c>
      <c r="AM2104">
        <v>0</v>
      </c>
      <c r="AN2104" s="2">
        <f>IF((2*G2104+M2104-O2104+3*V2104+2*AB2104+2*AE2104+2*AH2104+3*AJ2104)&gt;=7,1,0)</f>
        <v>0</v>
      </c>
    </row>
    <row r="2105" spans="1:40" x14ac:dyDescent="0.25">
      <c r="A2105" t="s">
        <v>27</v>
      </c>
      <c r="B2105" s="1">
        <v>43164</v>
      </c>
      <c r="C2105" s="6">
        <f t="shared" si="320"/>
        <v>2018</v>
      </c>
      <c r="D2105">
        <v>77</v>
      </c>
      <c r="E2105">
        <v>60.8</v>
      </c>
      <c r="F2105">
        <v>68.3</v>
      </c>
      <c r="G2105" s="2">
        <f t="shared" si="321"/>
        <v>0</v>
      </c>
      <c r="H2105">
        <v>77</v>
      </c>
      <c r="I2105">
        <v>60.8</v>
      </c>
      <c r="J2105">
        <v>68.3</v>
      </c>
      <c r="K2105">
        <v>49.4</v>
      </c>
      <c r="L2105">
        <v>53.3</v>
      </c>
      <c r="M2105" s="2">
        <f t="shared" si="322"/>
        <v>1</v>
      </c>
      <c r="N2105">
        <v>0</v>
      </c>
      <c r="O2105" s="2">
        <f t="shared" si="323"/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31.1</v>
      </c>
      <c r="V2105" s="2">
        <f t="shared" si="324"/>
        <v>1</v>
      </c>
      <c r="W2105">
        <v>28.9</v>
      </c>
      <c r="X2105" s="2">
        <f t="shared" si="325"/>
        <v>1</v>
      </c>
      <c r="Y2105">
        <v>163.69999999999999</v>
      </c>
      <c r="Z2105" s="2" t="str">
        <f>CHOOSE(MATCH(Y2105,{0;11;80;111;161;191;241;281;341},1),"North","NorthEast","East","SouthEast","South","SouthWest","West","NorthWest","North")</f>
        <v>South</v>
      </c>
      <c r="AA2105" s="4">
        <f>CHOOSE(MATCH(Z2105,{"South";"SouthEast";"SouthWest";"North";"NorthEast";"East";"West";"NorthWest"},0),1,2,3,4,5,6,7,8)</f>
        <v>1</v>
      </c>
      <c r="AB2105" s="2">
        <f t="shared" si="326"/>
        <v>0</v>
      </c>
      <c r="AC2105">
        <v>1001.8</v>
      </c>
      <c r="AD2105" t="s">
        <v>2441</v>
      </c>
      <c r="AE2105" s="2">
        <f t="shared" si="327"/>
        <v>1</v>
      </c>
      <c r="AF2105" t="s">
        <v>2876</v>
      </c>
      <c r="AG2105" s="2">
        <f t="shared" si="328"/>
        <v>3</v>
      </c>
      <c r="AH2105" s="2">
        <f t="shared" si="329"/>
        <v>0</v>
      </c>
      <c r="AI2105" s="3">
        <v>66.000000005587935</v>
      </c>
      <c r="AJ2105" s="2">
        <v>0</v>
      </c>
      <c r="AK2105">
        <v>0</v>
      </c>
      <c r="AL2105">
        <v>0.2</v>
      </c>
      <c r="AM2105">
        <v>0</v>
      </c>
      <c r="AN2105" s="2">
        <f>IF((2*G2105+M2105-O2105+3*V2105+2*AB2105+2*AE2105+2*AH2105+3*AJ2105)&gt;=7,1,0)</f>
        <v>0</v>
      </c>
    </row>
    <row r="2106" spans="1:40" x14ac:dyDescent="0.25">
      <c r="A2106" t="s">
        <v>27</v>
      </c>
      <c r="B2106" s="1">
        <v>43165</v>
      </c>
      <c r="C2106" s="6">
        <f t="shared" si="320"/>
        <v>2018</v>
      </c>
      <c r="D2106">
        <v>71.599999999999994</v>
      </c>
      <c r="E2106">
        <v>53.6</v>
      </c>
      <c r="F2106">
        <v>62.4</v>
      </c>
      <c r="G2106" s="2">
        <f t="shared" si="321"/>
        <v>0</v>
      </c>
      <c r="H2106">
        <v>71.599999999999994</v>
      </c>
      <c r="I2106">
        <v>53.6</v>
      </c>
      <c r="J2106">
        <v>62.4</v>
      </c>
      <c r="K2106">
        <v>52.1</v>
      </c>
      <c r="L2106">
        <v>71.2</v>
      </c>
      <c r="M2106" s="2">
        <f t="shared" si="322"/>
        <v>0</v>
      </c>
      <c r="N2106">
        <v>0</v>
      </c>
      <c r="O2106" s="2">
        <f t="shared" si="323"/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30</v>
      </c>
      <c r="V2106" s="2">
        <f t="shared" si="324"/>
        <v>1</v>
      </c>
      <c r="W2106">
        <v>19.7</v>
      </c>
      <c r="X2106" s="2">
        <f t="shared" si="325"/>
        <v>1</v>
      </c>
      <c r="Y2106">
        <v>175.2</v>
      </c>
      <c r="Z2106" s="2" t="str">
        <f>CHOOSE(MATCH(Y2106,{0;11;80;111;161;191;241;281;341},1),"North","NorthEast","East","SouthEast","South","SouthWest","West","NorthWest","North")</f>
        <v>South</v>
      </c>
      <c r="AA2106" s="4">
        <f>CHOOSE(MATCH(Z2106,{"South";"SouthEast";"SouthWest";"North";"NorthEast";"East";"West";"NorthWest"},0),1,2,3,4,5,6,7,8)</f>
        <v>1</v>
      </c>
      <c r="AB2106" s="2">
        <f t="shared" si="326"/>
        <v>0</v>
      </c>
      <c r="AC2106">
        <v>1007.5</v>
      </c>
      <c r="AD2106" t="s">
        <v>1218</v>
      </c>
      <c r="AE2106" s="2">
        <f t="shared" si="327"/>
        <v>0</v>
      </c>
      <c r="AF2106" t="s">
        <v>2877</v>
      </c>
      <c r="AG2106" s="2">
        <f t="shared" si="328"/>
        <v>3</v>
      </c>
      <c r="AH2106" s="2">
        <f t="shared" si="329"/>
        <v>0</v>
      </c>
      <c r="AI2106" s="3">
        <v>135</v>
      </c>
      <c r="AJ2106" s="2">
        <v>0</v>
      </c>
      <c r="AK2106">
        <v>0</v>
      </c>
      <c r="AL2106">
        <v>0.1</v>
      </c>
      <c r="AM2106">
        <v>0</v>
      </c>
      <c r="AN2106" s="2">
        <f>IF((2*G2106+M2106-O2106+3*V2106+2*AB2106+2*AE2106+2*AH2106+3*AJ2106)&gt;=7,1,0)</f>
        <v>0</v>
      </c>
    </row>
    <row r="2107" spans="1:40" x14ac:dyDescent="0.25">
      <c r="A2107" t="s">
        <v>27</v>
      </c>
      <c r="B2107" s="1">
        <v>43166</v>
      </c>
      <c r="C2107" s="6">
        <f t="shared" si="320"/>
        <v>2018</v>
      </c>
      <c r="D2107">
        <v>80.599999999999994</v>
      </c>
      <c r="E2107">
        <v>59</v>
      </c>
      <c r="F2107">
        <v>69</v>
      </c>
      <c r="G2107" s="2">
        <f t="shared" si="321"/>
        <v>0</v>
      </c>
      <c r="H2107">
        <v>80.5</v>
      </c>
      <c r="I2107">
        <v>59</v>
      </c>
      <c r="J2107">
        <v>69</v>
      </c>
      <c r="K2107">
        <v>51.6</v>
      </c>
      <c r="L2107">
        <v>56.4</v>
      </c>
      <c r="M2107" s="2">
        <f t="shared" si="322"/>
        <v>1</v>
      </c>
      <c r="N2107">
        <v>0</v>
      </c>
      <c r="O2107" s="2">
        <f t="shared" si="323"/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34.4</v>
      </c>
      <c r="V2107" s="2">
        <f t="shared" si="324"/>
        <v>1</v>
      </c>
      <c r="W2107">
        <v>23</v>
      </c>
      <c r="X2107" s="2">
        <f t="shared" si="325"/>
        <v>1</v>
      </c>
      <c r="Y2107">
        <v>168.3</v>
      </c>
      <c r="Z2107" s="2" t="str">
        <f>CHOOSE(MATCH(Y2107,{0;11;80;111;161;191;241;281;341},1),"North","NorthEast","East","SouthEast","South","SouthWest","West","NorthWest","North")</f>
        <v>South</v>
      </c>
      <c r="AA2107" s="4">
        <f>CHOOSE(MATCH(Z2107,{"South";"SouthEast";"SouthWest";"North";"NorthEast";"East";"West";"NorthWest"},0),1,2,3,4,5,6,7,8)</f>
        <v>1</v>
      </c>
      <c r="AB2107" s="2">
        <f t="shared" si="326"/>
        <v>0</v>
      </c>
      <c r="AC2107">
        <v>1008.4</v>
      </c>
      <c r="AD2107" t="s">
        <v>1976</v>
      </c>
      <c r="AE2107" s="2">
        <f t="shared" si="327"/>
        <v>0</v>
      </c>
      <c r="AF2107" t="s">
        <v>2878</v>
      </c>
      <c r="AG2107" s="2">
        <f t="shared" si="328"/>
        <v>3</v>
      </c>
      <c r="AH2107" s="2">
        <f t="shared" si="329"/>
        <v>0</v>
      </c>
      <c r="AI2107" s="3">
        <v>734.99999999650754</v>
      </c>
      <c r="AJ2107" s="2">
        <v>1</v>
      </c>
      <c r="AK2107">
        <v>0</v>
      </c>
      <c r="AL2107">
        <v>80</v>
      </c>
      <c r="AM2107">
        <v>0</v>
      </c>
      <c r="AN2107" s="2">
        <f>IF((2*G2107+M2107-O2107+3*V2107+2*AB2107+2*AE2107+2*AH2107+3*AJ2107)&gt;=7,1,0)</f>
        <v>0</v>
      </c>
    </row>
    <row r="2108" spans="1:40" x14ac:dyDescent="0.25">
      <c r="A2108" t="s">
        <v>27</v>
      </c>
      <c r="B2108" s="1">
        <v>43172</v>
      </c>
      <c r="C2108" s="6">
        <f t="shared" si="320"/>
        <v>2018</v>
      </c>
      <c r="D2108">
        <v>71.599999999999994</v>
      </c>
      <c r="E2108">
        <v>55.4</v>
      </c>
      <c r="F2108">
        <v>63</v>
      </c>
      <c r="G2108" s="2">
        <f t="shared" si="321"/>
        <v>0</v>
      </c>
      <c r="H2108">
        <v>71.599999999999994</v>
      </c>
      <c r="I2108">
        <v>55.4</v>
      </c>
      <c r="J2108">
        <v>63</v>
      </c>
      <c r="K2108">
        <v>52.8</v>
      </c>
      <c r="L2108">
        <v>70</v>
      </c>
      <c r="M2108" s="2">
        <f t="shared" si="322"/>
        <v>0</v>
      </c>
      <c r="N2108">
        <v>0</v>
      </c>
      <c r="O2108" s="2">
        <f t="shared" si="323"/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41.4</v>
      </c>
      <c r="V2108" s="2">
        <f t="shared" si="324"/>
        <v>1</v>
      </c>
      <c r="W2108">
        <v>26.4</v>
      </c>
      <c r="X2108" s="2">
        <f t="shared" si="325"/>
        <v>1</v>
      </c>
      <c r="Y2108">
        <v>258.5</v>
      </c>
      <c r="Z2108" s="2" t="str">
        <f>CHOOSE(MATCH(Y2108,{0;11;80;111;161;191;241;281;341},1),"North","NorthEast","East","SouthEast","South","SouthWest","West","NorthWest","North")</f>
        <v>West</v>
      </c>
      <c r="AA2108" s="4">
        <f>CHOOSE(MATCH(Z2108,{"South";"SouthEast";"SouthWest";"North";"NorthEast";"East";"West";"NorthWest"},0),1,2,3,4,5,6,7,8)</f>
        <v>7</v>
      </c>
      <c r="AB2108" s="2">
        <f t="shared" si="326"/>
        <v>0</v>
      </c>
      <c r="AC2108">
        <v>1011.2</v>
      </c>
      <c r="AD2108" t="s">
        <v>1748</v>
      </c>
      <c r="AE2108" s="2">
        <f t="shared" si="327"/>
        <v>1</v>
      </c>
      <c r="AF2108" t="s">
        <v>2879</v>
      </c>
      <c r="AG2108" s="2">
        <f t="shared" si="328"/>
        <v>3</v>
      </c>
      <c r="AH2108" s="2">
        <f t="shared" si="329"/>
        <v>0</v>
      </c>
      <c r="AI2108" s="3">
        <v>219.99999999417921</v>
      </c>
      <c r="AJ2108" s="2">
        <v>0</v>
      </c>
      <c r="AK2108">
        <v>0</v>
      </c>
      <c r="AL2108">
        <v>5</v>
      </c>
      <c r="AM2108">
        <v>0</v>
      </c>
      <c r="AN2108" s="2">
        <f>IF((2*G2108+M2108-O2108+3*V2108+2*AB2108+2*AE2108+2*AH2108+3*AJ2108)&gt;=7,1,0)</f>
        <v>0</v>
      </c>
    </row>
    <row r="2109" spans="1:40" x14ac:dyDescent="0.25">
      <c r="A2109" t="s">
        <v>27</v>
      </c>
      <c r="B2109" s="1">
        <v>43173</v>
      </c>
      <c r="C2109" s="6">
        <f t="shared" si="320"/>
        <v>2018</v>
      </c>
      <c r="D2109">
        <v>66.2</v>
      </c>
      <c r="E2109">
        <v>50</v>
      </c>
      <c r="F2109">
        <v>58.5</v>
      </c>
      <c r="G2109" s="2">
        <f t="shared" si="321"/>
        <v>0</v>
      </c>
      <c r="H2109">
        <v>66.2</v>
      </c>
      <c r="I2109">
        <v>50</v>
      </c>
      <c r="J2109">
        <v>58.5</v>
      </c>
      <c r="K2109">
        <v>47.5</v>
      </c>
      <c r="L2109">
        <v>67.900000000000006</v>
      </c>
      <c r="M2109" s="2">
        <f t="shared" si="322"/>
        <v>0</v>
      </c>
      <c r="N2109">
        <v>0</v>
      </c>
      <c r="O2109" s="2">
        <f t="shared" si="323"/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22.6</v>
      </c>
      <c r="V2109" s="2">
        <f t="shared" si="324"/>
        <v>1</v>
      </c>
      <c r="W2109">
        <v>20.7</v>
      </c>
      <c r="X2109" s="2">
        <f t="shared" si="325"/>
        <v>1</v>
      </c>
      <c r="Y2109">
        <v>242.6</v>
      </c>
      <c r="Z2109" s="2" t="str">
        <f>CHOOSE(MATCH(Y2109,{0;11;80;111;161;191;241;281;341},1),"North","NorthEast","East","SouthEast","South","SouthWest","West","NorthWest","North")</f>
        <v>West</v>
      </c>
      <c r="AA2109" s="4">
        <f>CHOOSE(MATCH(Z2109,{"South";"SouthEast";"SouthWest";"North";"NorthEast";"East";"West";"NorthWest"},0),1,2,3,4,5,6,7,8)</f>
        <v>7</v>
      </c>
      <c r="AB2109" s="2">
        <f t="shared" si="326"/>
        <v>0</v>
      </c>
      <c r="AC2109">
        <v>1012.8</v>
      </c>
      <c r="AD2109" t="s">
        <v>1757</v>
      </c>
      <c r="AE2109" s="2">
        <f t="shared" si="327"/>
        <v>1</v>
      </c>
      <c r="AF2109" t="s">
        <v>2880</v>
      </c>
      <c r="AG2109" s="2">
        <f t="shared" si="328"/>
        <v>3</v>
      </c>
      <c r="AH2109" s="2">
        <f t="shared" si="329"/>
        <v>0</v>
      </c>
      <c r="AI2109" s="3">
        <v>36.000000002095483</v>
      </c>
      <c r="AJ2109" s="2">
        <v>0</v>
      </c>
      <c r="AK2109">
        <v>0</v>
      </c>
      <c r="AL2109">
        <v>0.5</v>
      </c>
      <c r="AM2109">
        <v>0</v>
      </c>
      <c r="AN2109" s="2">
        <f>IF((2*G2109+M2109-O2109+3*V2109+2*AB2109+2*AE2109+2*AH2109+3*AJ2109)&gt;=7,1,0)</f>
        <v>0</v>
      </c>
    </row>
    <row r="2110" spans="1:40" x14ac:dyDescent="0.25">
      <c r="A2110" t="s">
        <v>27</v>
      </c>
      <c r="B2110" s="1">
        <v>43176</v>
      </c>
      <c r="C2110" s="6">
        <f t="shared" si="320"/>
        <v>2018</v>
      </c>
      <c r="D2110">
        <v>78.8</v>
      </c>
      <c r="E2110">
        <v>59</v>
      </c>
      <c r="F2110">
        <v>67.400000000000006</v>
      </c>
      <c r="G2110" s="2">
        <f t="shared" si="321"/>
        <v>0</v>
      </c>
      <c r="H2110">
        <v>78.8</v>
      </c>
      <c r="I2110">
        <v>59</v>
      </c>
      <c r="J2110">
        <v>67.400000000000006</v>
      </c>
      <c r="K2110">
        <v>46.3</v>
      </c>
      <c r="L2110">
        <v>48.7</v>
      </c>
      <c r="M2110" s="2">
        <f t="shared" si="322"/>
        <v>1</v>
      </c>
      <c r="N2110">
        <v>0</v>
      </c>
      <c r="O2110" s="2">
        <f t="shared" si="323"/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57.5</v>
      </c>
      <c r="V2110" s="2">
        <f t="shared" si="324"/>
        <v>1</v>
      </c>
      <c r="W2110">
        <v>42.5</v>
      </c>
      <c r="X2110" s="2">
        <f t="shared" si="325"/>
        <v>1</v>
      </c>
      <c r="Y2110">
        <v>170.4</v>
      </c>
      <c r="Z2110" s="2" t="str">
        <f>CHOOSE(MATCH(Y2110,{0;11;80;111;161;191;241;281;341},1),"North","NorthEast","East","SouthEast","South","SouthWest","West","NorthWest","North")</f>
        <v>South</v>
      </c>
      <c r="AA2110" s="4">
        <f>CHOOSE(MATCH(Z2110,{"South";"SouthEast";"SouthWest";"North";"NorthEast";"East";"West";"NorthWest"},0),1,2,3,4,5,6,7,8)</f>
        <v>1</v>
      </c>
      <c r="AB2110" s="2">
        <f t="shared" si="326"/>
        <v>0</v>
      </c>
      <c r="AC2110">
        <v>1011.6</v>
      </c>
      <c r="AD2110" t="s">
        <v>2018</v>
      </c>
      <c r="AE2110" s="2">
        <f t="shared" si="327"/>
        <v>1</v>
      </c>
      <c r="AF2110" t="s">
        <v>2881</v>
      </c>
      <c r="AG2110" s="2">
        <f t="shared" si="328"/>
        <v>3</v>
      </c>
      <c r="AH2110" s="2">
        <f t="shared" si="329"/>
        <v>0</v>
      </c>
      <c r="AI2110" s="3">
        <v>3116.0000000044238</v>
      </c>
      <c r="AJ2110" s="2">
        <v>1</v>
      </c>
      <c r="AK2110">
        <v>0</v>
      </c>
      <c r="AL2110">
        <v>100</v>
      </c>
      <c r="AM2110">
        <v>0</v>
      </c>
      <c r="AN2110" s="2">
        <f>IF((2*G2110+M2110-O2110+3*V2110+2*AB2110+2*AE2110+2*AH2110+3*AJ2110)&gt;=7,1,0)</f>
        <v>1</v>
      </c>
    </row>
    <row r="2111" spans="1:40" x14ac:dyDescent="0.25">
      <c r="A2111" t="s">
        <v>27</v>
      </c>
      <c r="B2111" s="1">
        <v>43176</v>
      </c>
      <c r="C2111" s="6">
        <f t="shared" si="320"/>
        <v>2018</v>
      </c>
      <c r="D2111">
        <v>78.8</v>
      </c>
      <c r="E2111">
        <v>59</v>
      </c>
      <c r="F2111">
        <v>67.400000000000006</v>
      </c>
      <c r="G2111" s="2">
        <f t="shared" si="321"/>
        <v>0</v>
      </c>
      <c r="H2111">
        <v>78.8</v>
      </c>
      <c r="I2111">
        <v>59</v>
      </c>
      <c r="J2111">
        <v>67.400000000000006</v>
      </c>
      <c r="K2111">
        <v>46.3</v>
      </c>
      <c r="L2111">
        <v>48.7</v>
      </c>
      <c r="M2111" s="2">
        <f t="shared" si="322"/>
        <v>1</v>
      </c>
      <c r="N2111">
        <v>0</v>
      </c>
      <c r="O2111" s="2">
        <f t="shared" si="323"/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57.5</v>
      </c>
      <c r="V2111" s="2">
        <f t="shared" si="324"/>
        <v>1</v>
      </c>
      <c r="W2111">
        <v>42.5</v>
      </c>
      <c r="X2111" s="2">
        <f t="shared" si="325"/>
        <v>1</v>
      </c>
      <c r="Y2111">
        <v>170.4</v>
      </c>
      <c r="Z2111" s="2" t="str">
        <f>CHOOSE(MATCH(Y2111,{0;11;80;111;161;191;241;281;341},1),"North","NorthEast","East","SouthEast","South","SouthWest","West","NorthWest","North")</f>
        <v>South</v>
      </c>
      <c r="AA2111" s="4">
        <f>CHOOSE(MATCH(Z2111,{"South";"SouthEast";"SouthWest";"North";"NorthEast";"East";"West";"NorthWest"},0),1,2,3,4,5,6,7,8)</f>
        <v>1</v>
      </c>
      <c r="AB2111" s="2">
        <f t="shared" si="326"/>
        <v>0</v>
      </c>
      <c r="AC2111">
        <v>1011.6</v>
      </c>
      <c r="AD2111" t="s">
        <v>2882</v>
      </c>
      <c r="AE2111" s="2">
        <f t="shared" si="327"/>
        <v>1</v>
      </c>
      <c r="AF2111" t="s">
        <v>2883</v>
      </c>
      <c r="AG2111" s="2">
        <f t="shared" si="328"/>
        <v>3</v>
      </c>
      <c r="AH2111" s="2">
        <f t="shared" si="329"/>
        <v>0</v>
      </c>
      <c r="AI2111" s="3">
        <v>71.000000000931323</v>
      </c>
      <c r="AJ2111" s="2">
        <v>0</v>
      </c>
      <c r="AK2111">
        <v>0</v>
      </c>
      <c r="AL2111">
        <v>26</v>
      </c>
      <c r="AM2111">
        <v>0</v>
      </c>
      <c r="AN2111" s="2">
        <f>IF((2*G2111+M2111-O2111+3*V2111+2*AB2111+2*AE2111+2*AH2111+3*AJ2111)&gt;=7,1,0)</f>
        <v>0</v>
      </c>
    </row>
    <row r="2112" spans="1:40" x14ac:dyDescent="0.25">
      <c r="A2112" t="s">
        <v>27</v>
      </c>
      <c r="B2112" s="1">
        <v>43176</v>
      </c>
      <c r="C2112" s="6">
        <f t="shared" si="320"/>
        <v>2018</v>
      </c>
      <c r="D2112">
        <v>78.8</v>
      </c>
      <c r="E2112">
        <v>59</v>
      </c>
      <c r="F2112">
        <v>67.400000000000006</v>
      </c>
      <c r="G2112" s="2">
        <f t="shared" si="321"/>
        <v>0</v>
      </c>
      <c r="H2112">
        <v>78.8</v>
      </c>
      <c r="I2112">
        <v>59</v>
      </c>
      <c r="J2112">
        <v>67.400000000000006</v>
      </c>
      <c r="K2112">
        <v>46.3</v>
      </c>
      <c r="L2112">
        <v>48.7</v>
      </c>
      <c r="M2112" s="2">
        <f t="shared" si="322"/>
        <v>1</v>
      </c>
      <c r="N2112">
        <v>0</v>
      </c>
      <c r="O2112" s="2">
        <f t="shared" si="323"/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57.5</v>
      </c>
      <c r="V2112" s="2">
        <f t="shared" si="324"/>
        <v>1</v>
      </c>
      <c r="W2112">
        <v>42.5</v>
      </c>
      <c r="X2112" s="2">
        <f t="shared" si="325"/>
        <v>1</v>
      </c>
      <c r="Y2112">
        <v>170.4</v>
      </c>
      <c r="Z2112" s="2" t="str">
        <f>CHOOSE(MATCH(Y2112,{0;11;80;111;161;191;241;281;341},1),"North","NorthEast","East","SouthEast","South","SouthWest","West","NorthWest","North")</f>
        <v>South</v>
      </c>
      <c r="AA2112" s="4">
        <f>CHOOSE(MATCH(Z2112,{"South";"SouthEast";"SouthWest";"North";"NorthEast";"East";"West";"NorthWest"},0),1,2,3,4,5,6,7,8)</f>
        <v>1</v>
      </c>
      <c r="AB2112" s="2">
        <f t="shared" si="326"/>
        <v>0</v>
      </c>
      <c r="AC2112">
        <v>1011.6</v>
      </c>
      <c r="AD2112" t="s">
        <v>2884</v>
      </c>
      <c r="AE2112" s="2">
        <f t="shared" si="327"/>
        <v>1</v>
      </c>
      <c r="AF2112" t="s">
        <v>2885</v>
      </c>
      <c r="AG2112" s="2">
        <f t="shared" si="328"/>
        <v>3</v>
      </c>
      <c r="AH2112" s="2">
        <f t="shared" si="329"/>
        <v>0</v>
      </c>
      <c r="AI2112" s="3">
        <v>61.999999992549419</v>
      </c>
      <c r="AJ2112" s="2">
        <v>0</v>
      </c>
      <c r="AK2112">
        <v>0</v>
      </c>
      <c r="AL2112">
        <v>0.5</v>
      </c>
      <c r="AM2112">
        <v>0</v>
      </c>
      <c r="AN2112" s="2">
        <f>IF((2*G2112+M2112-O2112+3*V2112+2*AB2112+2*AE2112+2*AH2112+3*AJ2112)&gt;=7,1,0)</f>
        <v>0</v>
      </c>
    </row>
    <row r="2113" spans="1:40" x14ac:dyDescent="0.25">
      <c r="A2113" t="s">
        <v>27</v>
      </c>
      <c r="B2113" s="1">
        <v>43176</v>
      </c>
      <c r="C2113" s="6">
        <f t="shared" si="320"/>
        <v>2018</v>
      </c>
      <c r="D2113">
        <v>78.8</v>
      </c>
      <c r="E2113">
        <v>59</v>
      </c>
      <c r="F2113">
        <v>67.400000000000006</v>
      </c>
      <c r="G2113" s="2">
        <f t="shared" si="321"/>
        <v>0</v>
      </c>
      <c r="H2113">
        <v>78.8</v>
      </c>
      <c r="I2113">
        <v>59</v>
      </c>
      <c r="J2113">
        <v>67.400000000000006</v>
      </c>
      <c r="K2113">
        <v>46.3</v>
      </c>
      <c r="L2113">
        <v>48.7</v>
      </c>
      <c r="M2113" s="2">
        <f t="shared" si="322"/>
        <v>1</v>
      </c>
      <c r="N2113">
        <v>0</v>
      </c>
      <c r="O2113" s="2">
        <f t="shared" si="323"/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57.5</v>
      </c>
      <c r="V2113" s="2">
        <f t="shared" si="324"/>
        <v>1</v>
      </c>
      <c r="W2113">
        <v>42.5</v>
      </c>
      <c r="X2113" s="2">
        <f t="shared" si="325"/>
        <v>1</v>
      </c>
      <c r="Y2113">
        <v>170.4</v>
      </c>
      <c r="Z2113" s="2" t="str">
        <f>CHOOSE(MATCH(Y2113,{0;11;80;111;161;191;241;281;341},1),"North","NorthEast","East","SouthEast","South","SouthWest","West","NorthWest","North")</f>
        <v>South</v>
      </c>
      <c r="AA2113" s="4">
        <f>CHOOSE(MATCH(Z2113,{"South";"SouthEast";"SouthWest";"North";"NorthEast";"East";"West";"NorthWest"},0),1,2,3,4,5,6,7,8)</f>
        <v>1</v>
      </c>
      <c r="AB2113" s="2">
        <f t="shared" si="326"/>
        <v>0</v>
      </c>
      <c r="AC2113">
        <v>1011.6</v>
      </c>
      <c r="AD2113" t="s">
        <v>1182</v>
      </c>
      <c r="AE2113" s="2">
        <f t="shared" si="327"/>
        <v>1</v>
      </c>
      <c r="AF2113" t="s">
        <v>2886</v>
      </c>
      <c r="AG2113" s="2">
        <f t="shared" si="328"/>
        <v>3</v>
      </c>
      <c r="AH2113" s="2">
        <f t="shared" si="329"/>
        <v>0</v>
      </c>
      <c r="AI2113" s="3">
        <v>745.00000000814907</v>
      </c>
      <c r="AJ2113" s="2">
        <v>1</v>
      </c>
      <c r="AK2113">
        <v>0</v>
      </c>
      <c r="AL2113">
        <v>2</v>
      </c>
      <c r="AM2113">
        <v>0</v>
      </c>
      <c r="AN2113" s="2">
        <f>IF((2*G2113+M2113-O2113+3*V2113+2*AB2113+2*AE2113+2*AH2113+3*AJ2113)&gt;=7,1,0)</f>
        <v>1</v>
      </c>
    </row>
    <row r="2114" spans="1:40" x14ac:dyDescent="0.25">
      <c r="A2114" t="s">
        <v>27</v>
      </c>
      <c r="B2114" s="1">
        <v>43179</v>
      </c>
      <c r="C2114" s="6">
        <f t="shared" si="320"/>
        <v>2018</v>
      </c>
      <c r="D2114">
        <v>64.400000000000006</v>
      </c>
      <c r="E2114">
        <v>50</v>
      </c>
      <c r="F2114">
        <v>60.3</v>
      </c>
      <c r="G2114" s="2">
        <f t="shared" si="321"/>
        <v>0</v>
      </c>
      <c r="H2114">
        <v>64.400000000000006</v>
      </c>
      <c r="I2114">
        <v>50</v>
      </c>
      <c r="J2114">
        <v>60.3</v>
      </c>
      <c r="K2114">
        <v>47.9</v>
      </c>
      <c r="L2114">
        <v>65.3</v>
      </c>
      <c r="M2114" s="2">
        <f t="shared" si="322"/>
        <v>1</v>
      </c>
      <c r="N2114">
        <v>0</v>
      </c>
      <c r="O2114" s="2">
        <f t="shared" si="323"/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24.2</v>
      </c>
      <c r="V2114" s="2">
        <f t="shared" si="324"/>
        <v>1</v>
      </c>
      <c r="W2114">
        <v>17.2</v>
      </c>
      <c r="X2114" s="2">
        <f t="shared" si="325"/>
        <v>1</v>
      </c>
      <c r="Y2114">
        <v>283.3</v>
      </c>
      <c r="Z2114" s="2" t="str">
        <f>CHOOSE(MATCH(Y2114,{0;11;80;111;161;191;241;281;341},1),"North","NorthEast","East","SouthEast","South","SouthWest","West","NorthWest","North")</f>
        <v>NorthWest</v>
      </c>
      <c r="AA2114" s="4">
        <f>CHOOSE(MATCH(Z2114,{"South";"SouthEast";"SouthWest";"North";"NorthEast";"East";"West";"NorthWest"},0),1,2,3,4,5,6,7,8)</f>
        <v>8</v>
      </c>
      <c r="AB2114" s="2">
        <f t="shared" si="326"/>
        <v>1</v>
      </c>
      <c r="AC2114">
        <v>1011.2</v>
      </c>
      <c r="AD2114" t="s">
        <v>1866</v>
      </c>
      <c r="AE2114" s="2">
        <f t="shared" si="327"/>
        <v>1</v>
      </c>
      <c r="AF2114" t="s">
        <v>2887</v>
      </c>
      <c r="AG2114" s="2">
        <f t="shared" si="328"/>
        <v>3</v>
      </c>
      <c r="AH2114" s="2">
        <f t="shared" si="329"/>
        <v>0</v>
      </c>
      <c r="AI2114" s="3">
        <v>104.9999999965075</v>
      </c>
      <c r="AJ2114" s="2">
        <v>0</v>
      </c>
      <c r="AK2114">
        <v>0</v>
      </c>
      <c r="AL2114">
        <v>1.5</v>
      </c>
      <c r="AM2114">
        <v>0</v>
      </c>
      <c r="AN2114" s="2">
        <f>IF((2*G2114+M2114-O2114+3*V2114+2*AB2114+2*AE2114+2*AH2114+3*AJ2114)&gt;=7,1,0)</f>
        <v>1</v>
      </c>
    </row>
    <row r="2115" spans="1:40" x14ac:dyDescent="0.25">
      <c r="A2115" t="s">
        <v>27</v>
      </c>
      <c r="B2115" s="1">
        <v>43179</v>
      </c>
      <c r="C2115" s="6">
        <f t="shared" ref="C2115:C2178" si="330">YEAR(B2115)</f>
        <v>2018</v>
      </c>
      <c r="D2115">
        <v>64.400000000000006</v>
      </c>
      <c r="E2115">
        <v>50</v>
      </c>
      <c r="F2115">
        <v>60.3</v>
      </c>
      <c r="G2115" s="2">
        <f t="shared" ref="G2115:G2178" si="331">IF(F2115&lt;=70,0,1)</f>
        <v>0</v>
      </c>
      <c r="H2115">
        <v>64.400000000000006</v>
      </c>
      <c r="I2115">
        <v>50</v>
      </c>
      <c r="J2115">
        <v>60.3</v>
      </c>
      <c r="K2115">
        <v>47.9</v>
      </c>
      <c r="L2115">
        <v>65.3</v>
      </c>
      <c r="M2115" s="2">
        <f t="shared" ref="M2115:M2178" si="332">IF(L2115&lt;=66,1,0)</f>
        <v>1</v>
      </c>
      <c r="N2115">
        <v>0</v>
      </c>
      <c r="O2115" s="2">
        <f t="shared" ref="O2115:O2178" si="333">IF(N2115&lt;=0.01,1,0)</f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24.2</v>
      </c>
      <c r="V2115" s="2">
        <f t="shared" ref="V2115:V2178" si="334">IF(U2115&lt;=9,0,1)</f>
        <v>1</v>
      </c>
      <c r="W2115">
        <v>17.2</v>
      </c>
      <c r="X2115" s="2">
        <f t="shared" ref="X2115:X2178" si="335">IF(W2115&gt;=16,1,0)</f>
        <v>1</v>
      </c>
      <c r="Y2115">
        <v>283.3</v>
      </c>
      <c r="Z2115" s="2" t="str">
        <f>CHOOSE(MATCH(Y2115,{0;11;80;111;161;191;241;281;341},1),"North","NorthEast","East","SouthEast","South","SouthWest","West","NorthWest","North")</f>
        <v>NorthWest</v>
      </c>
      <c r="AA2115" s="4">
        <f>CHOOSE(MATCH(Z2115,{"South";"SouthEast";"SouthWest";"North";"NorthEast";"East";"West";"NorthWest"},0),1,2,3,4,5,6,7,8)</f>
        <v>8</v>
      </c>
      <c r="AB2115" s="2">
        <f t="shared" ref="AB2115:AB2178" si="336">IF(OR(AA2115=4,AA2115=5,AA2115=8),1,0)</f>
        <v>1</v>
      </c>
      <c r="AC2115">
        <v>1011.2</v>
      </c>
      <c r="AD2115" t="s">
        <v>2298</v>
      </c>
      <c r="AE2115" s="2">
        <f t="shared" ref="AE2115:AE2178" si="337">IF(TIMEVALUE(AD2115)&lt;=TIME(12,30,0),0,1)</f>
        <v>1</v>
      </c>
      <c r="AF2115" t="s">
        <v>2888</v>
      </c>
      <c r="AG2115" s="2">
        <f t="shared" ref="AG2115:AG2178" si="338">MONTH(AF2115)</f>
        <v>3</v>
      </c>
      <c r="AH2115" s="2">
        <f t="shared" ref="AH2115:AH2178" si="339">IF(OR(AG2115=6,AG2115=7,AG2115=8),1,0)</f>
        <v>0</v>
      </c>
      <c r="AI2115" s="3">
        <v>844.99999999883585</v>
      </c>
      <c r="AJ2115" s="2">
        <v>1</v>
      </c>
      <c r="AK2115">
        <v>0</v>
      </c>
      <c r="AL2115">
        <v>10</v>
      </c>
      <c r="AM2115">
        <v>0</v>
      </c>
      <c r="AN2115" s="2">
        <f>IF((2*G2115+M2115-O2115+3*V2115+2*AB2115+2*AE2115+2*AH2115+3*AJ2115)&gt;=7,1,0)</f>
        <v>1</v>
      </c>
    </row>
    <row r="2116" spans="1:40" x14ac:dyDescent="0.25">
      <c r="A2116" t="s">
        <v>27</v>
      </c>
      <c r="B2116" s="1">
        <v>43179</v>
      </c>
      <c r="C2116" s="6">
        <f t="shared" si="330"/>
        <v>2018</v>
      </c>
      <c r="D2116">
        <v>64.400000000000006</v>
      </c>
      <c r="E2116">
        <v>50</v>
      </c>
      <c r="F2116">
        <v>60.3</v>
      </c>
      <c r="G2116" s="2">
        <f t="shared" si="331"/>
        <v>0</v>
      </c>
      <c r="H2116">
        <v>64.400000000000006</v>
      </c>
      <c r="I2116">
        <v>50</v>
      </c>
      <c r="J2116">
        <v>60.3</v>
      </c>
      <c r="K2116">
        <v>47.9</v>
      </c>
      <c r="L2116">
        <v>65.3</v>
      </c>
      <c r="M2116" s="2">
        <f t="shared" si="332"/>
        <v>1</v>
      </c>
      <c r="N2116">
        <v>0</v>
      </c>
      <c r="O2116" s="2">
        <f t="shared" si="333"/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24.2</v>
      </c>
      <c r="V2116" s="2">
        <f t="shared" si="334"/>
        <v>1</v>
      </c>
      <c r="W2116">
        <v>17.2</v>
      </c>
      <c r="X2116" s="2">
        <f t="shared" si="335"/>
        <v>1</v>
      </c>
      <c r="Y2116">
        <v>283.3</v>
      </c>
      <c r="Z2116" s="2" t="str">
        <f>CHOOSE(MATCH(Y2116,{0;11;80;111;161;191;241;281;341},1),"North","NorthEast","East","SouthEast","South","SouthWest","West","NorthWest","North")</f>
        <v>NorthWest</v>
      </c>
      <c r="AA2116" s="4">
        <f>CHOOSE(MATCH(Z2116,{"South";"SouthEast";"SouthWest";"North";"NorthEast";"East";"West";"NorthWest"},0),1,2,3,4,5,6,7,8)</f>
        <v>8</v>
      </c>
      <c r="AB2116" s="2">
        <f t="shared" si="336"/>
        <v>1</v>
      </c>
      <c r="AC2116">
        <v>1011.2</v>
      </c>
      <c r="AD2116" t="s">
        <v>2805</v>
      </c>
      <c r="AE2116" s="2">
        <f t="shared" si="337"/>
        <v>0</v>
      </c>
      <c r="AF2116" t="s">
        <v>2889</v>
      </c>
      <c r="AG2116" s="2">
        <f t="shared" si="338"/>
        <v>3</v>
      </c>
      <c r="AH2116" s="2">
        <f t="shared" si="339"/>
        <v>0</v>
      </c>
      <c r="AI2116" s="3">
        <v>235.00000000116421</v>
      </c>
      <c r="AJ2116" s="2">
        <v>0</v>
      </c>
      <c r="AK2116">
        <v>0</v>
      </c>
      <c r="AL2116">
        <v>1</v>
      </c>
      <c r="AM2116">
        <v>0</v>
      </c>
      <c r="AN2116" s="2">
        <f>IF((2*G2116+M2116-O2116+3*V2116+2*AB2116+2*AE2116+2*AH2116+3*AJ2116)&gt;=7,1,0)</f>
        <v>0</v>
      </c>
    </row>
    <row r="2117" spans="1:40" x14ac:dyDescent="0.25">
      <c r="A2117" t="s">
        <v>27</v>
      </c>
      <c r="B2117" s="1">
        <v>43180</v>
      </c>
      <c r="C2117" s="6">
        <f t="shared" si="330"/>
        <v>2018</v>
      </c>
      <c r="D2117">
        <v>75.2</v>
      </c>
      <c r="E2117">
        <v>48.2</v>
      </c>
      <c r="F2117">
        <v>62.1</v>
      </c>
      <c r="G2117" s="2">
        <f t="shared" si="331"/>
        <v>0</v>
      </c>
      <c r="H2117">
        <v>75.2</v>
      </c>
      <c r="I2117">
        <v>45.1</v>
      </c>
      <c r="J2117">
        <v>61.6</v>
      </c>
      <c r="K2117">
        <v>43.7</v>
      </c>
      <c r="L2117">
        <v>54.8</v>
      </c>
      <c r="M2117" s="2">
        <f t="shared" si="332"/>
        <v>1</v>
      </c>
      <c r="N2117">
        <v>0</v>
      </c>
      <c r="O2117" s="2">
        <f t="shared" si="333"/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31.1</v>
      </c>
      <c r="V2117" s="2">
        <f t="shared" si="334"/>
        <v>1</v>
      </c>
      <c r="W2117">
        <v>25.2</v>
      </c>
      <c r="X2117" s="2">
        <f t="shared" si="335"/>
        <v>1</v>
      </c>
      <c r="Y2117">
        <v>159.9</v>
      </c>
      <c r="Z2117" s="2" t="str">
        <f>CHOOSE(MATCH(Y2117,{0;11;80;111;161;191;241;281;341},1),"North","NorthEast","East","SouthEast","South","SouthWest","West","NorthWest","North")</f>
        <v>SouthEast</v>
      </c>
      <c r="AA2117" s="4">
        <f>CHOOSE(MATCH(Z2117,{"South";"SouthEast";"SouthWest";"North";"NorthEast";"East";"West";"NorthWest"},0),1,2,3,4,5,6,7,8)</f>
        <v>2</v>
      </c>
      <c r="AB2117" s="2">
        <f t="shared" si="336"/>
        <v>0</v>
      </c>
      <c r="AC2117">
        <v>1015.1</v>
      </c>
      <c r="AD2117" t="s">
        <v>2890</v>
      </c>
      <c r="AE2117" s="2">
        <f t="shared" si="337"/>
        <v>1</v>
      </c>
      <c r="AF2117" t="s">
        <v>2891</v>
      </c>
      <c r="AG2117" s="2">
        <f t="shared" si="338"/>
        <v>3</v>
      </c>
      <c r="AH2117" s="2">
        <f t="shared" si="339"/>
        <v>0</v>
      </c>
      <c r="AI2117" s="3">
        <v>52.999999994644902</v>
      </c>
      <c r="AJ2117" s="2">
        <v>0</v>
      </c>
      <c r="AK2117">
        <v>0</v>
      </c>
      <c r="AL2117">
        <v>0.4</v>
      </c>
      <c r="AM2117">
        <v>0</v>
      </c>
      <c r="AN2117" s="2">
        <f>IF((2*G2117+M2117-O2117+3*V2117+2*AB2117+2*AE2117+2*AH2117+3*AJ2117)&gt;=7,1,0)</f>
        <v>0</v>
      </c>
    </row>
    <row r="2118" spans="1:40" x14ac:dyDescent="0.25">
      <c r="A2118" t="s">
        <v>27</v>
      </c>
      <c r="B2118" s="1">
        <v>43181</v>
      </c>
      <c r="C2118" s="6">
        <f t="shared" si="330"/>
        <v>2018</v>
      </c>
      <c r="D2118">
        <v>80.599999999999994</v>
      </c>
      <c r="E2118">
        <v>62.6</v>
      </c>
      <c r="F2118">
        <v>71.7</v>
      </c>
      <c r="G2118" s="2">
        <f t="shared" si="331"/>
        <v>1</v>
      </c>
      <c r="H2118">
        <v>79.400000000000006</v>
      </c>
      <c r="I2118">
        <v>62.6</v>
      </c>
      <c r="J2118">
        <v>71.599999999999994</v>
      </c>
      <c r="K2118">
        <v>48.3</v>
      </c>
      <c r="L2118">
        <v>45.8</v>
      </c>
      <c r="M2118" s="2">
        <f t="shared" si="332"/>
        <v>1</v>
      </c>
      <c r="N2118">
        <v>0</v>
      </c>
      <c r="O2118" s="2">
        <f t="shared" si="333"/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55.4</v>
      </c>
      <c r="V2118" s="2">
        <f t="shared" si="334"/>
        <v>1</v>
      </c>
      <c r="W2118">
        <v>43.7</v>
      </c>
      <c r="X2118" s="2">
        <f t="shared" si="335"/>
        <v>1</v>
      </c>
      <c r="Y2118">
        <v>182.6</v>
      </c>
      <c r="Z2118" s="2" t="str">
        <f>CHOOSE(MATCH(Y2118,{0;11;80;111;161;191;241;281;341},1),"North","NorthEast","East","SouthEast","South","SouthWest","West","NorthWest","North")</f>
        <v>South</v>
      </c>
      <c r="AA2118" s="4">
        <f>CHOOSE(MATCH(Z2118,{"South";"SouthEast";"SouthWest";"North";"NorthEast";"East";"West";"NorthWest"},0),1,2,3,4,5,6,7,8)</f>
        <v>1</v>
      </c>
      <c r="AB2118" s="2">
        <f t="shared" si="336"/>
        <v>0</v>
      </c>
      <c r="AC2118">
        <v>1002.8</v>
      </c>
      <c r="AD2118" t="s">
        <v>2892</v>
      </c>
      <c r="AE2118" s="2">
        <f t="shared" si="337"/>
        <v>1</v>
      </c>
      <c r="AF2118" t="s">
        <v>2893</v>
      </c>
      <c r="AG2118" s="2">
        <f t="shared" si="338"/>
        <v>3</v>
      </c>
      <c r="AH2118" s="2">
        <f t="shared" si="339"/>
        <v>0</v>
      </c>
      <c r="AI2118" s="3">
        <v>225.99999999278231</v>
      </c>
      <c r="AJ2118" s="2">
        <v>0</v>
      </c>
      <c r="AK2118">
        <v>0</v>
      </c>
      <c r="AL2118">
        <v>2</v>
      </c>
      <c r="AM2118">
        <v>0</v>
      </c>
      <c r="AN2118" s="2">
        <f>IF((2*G2118+M2118-O2118+3*V2118+2*AB2118+2*AE2118+2*AH2118+3*AJ2118)&gt;=7,1,0)</f>
        <v>1</v>
      </c>
    </row>
    <row r="2119" spans="1:40" x14ac:dyDescent="0.25">
      <c r="A2119" t="s">
        <v>27</v>
      </c>
      <c r="B2119" s="1">
        <v>43181</v>
      </c>
      <c r="C2119" s="6">
        <f t="shared" si="330"/>
        <v>2018</v>
      </c>
      <c r="D2119">
        <v>80.599999999999994</v>
      </c>
      <c r="E2119">
        <v>62.6</v>
      </c>
      <c r="F2119">
        <v>71.7</v>
      </c>
      <c r="G2119" s="2">
        <f t="shared" si="331"/>
        <v>1</v>
      </c>
      <c r="H2119">
        <v>79.400000000000006</v>
      </c>
      <c r="I2119">
        <v>62.6</v>
      </c>
      <c r="J2119">
        <v>71.599999999999994</v>
      </c>
      <c r="K2119">
        <v>48.3</v>
      </c>
      <c r="L2119">
        <v>45.8</v>
      </c>
      <c r="M2119" s="2">
        <f t="shared" si="332"/>
        <v>1</v>
      </c>
      <c r="N2119">
        <v>0</v>
      </c>
      <c r="O2119" s="2">
        <f t="shared" si="333"/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55.4</v>
      </c>
      <c r="V2119" s="2">
        <f t="shared" si="334"/>
        <v>1</v>
      </c>
      <c r="W2119">
        <v>43.7</v>
      </c>
      <c r="X2119" s="2">
        <f t="shared" si="335"/>
        <v>1</v>
      </c>
      <c r="Y2119">
        <v>182.6</v>
      </c>
      <c r="Z2119" s="2" t="str">
        <f>CHOOSE(MATCH(Y2119,{0;11;80;111;161;191;241;281;341},1),"North","NorthEast","East","SouthEast","South","SouthWest","West","NorthWest","North")</f>
        <v>South</v>
      </c>
      <c r="AA2119" s="4">
        <f>CHOOSE(MATCH(Z2119,{"South";"SouthEast";"SouthWest";"North";"NorthEast";"East";"West";"NorthWest"},0),1,2,3,4,5,6,7,8)</f>
        <v>1</v>
      </c>
      <c r="AB2119" s="2">
        <f t="shared" si="336"/>
        <v>0</v>
      </c>
      <c r="AC2119">
        <v>1002.8</v>
      </c>
      <c r="AD2119" t="s">
        <v>2894</v>
      </c>
      <c r="AE2119" s="2">
        <f t="shared" si="337"/>
        <v>0</v>
      </c>
      <c r="AF2119" t="s">
        <v>2895</v>
      </c>
      <c r="AG2119" s="2">
        <f t="shared" si="338"/>
        <v>3</v>
      </c>
      <c r="AH2119" s="2">
        <f t="shared" si="339"/>
        <v>0</v>
      </c>
      <c r="AI2119" s="3">
        <v>291.99999999837019</v>
      </c>
      <c r="AJ2119" s="2">
        <v>0</v>
      </c>
      <c r="AK2119">
        <v>0</v>
      </c>
      <c r="AL2119">
        <v>1.5</v>
      </c>
      <c r="AM2119">
        <v>0</v>
      </c>
      <c r="AN2119" s="2">
        <f>IF((2*G2119+M2119-O2119+3*V2119+2*AB2119+2*AE2119+2*AH2119+3*AJ2119)&gt;=7,1,0)</f>
        <v>0</v>
      </c>
    </row>
    <row r="2120" spans="1:40" x14ac:dyDescent="0.25">
      <c r="A2120" t="s">
        <v>27</v>
      </c>
      <c r="B2120" s="1">
        <v>43181</v>
      </c>
      <c r="C2120" s="6">
        <f t="shared" si="330"/>
        <v>2018</v>
      </c>
      <c r="D2120">
        <v>80.599999999999994</v>
      </c>
      <c r="E2120">
        <v>62.6</v>
      </c>
      <c r="F2120">
        <v>71.7</v>
      </c>
      <c r="G2120" s="2">
        <f t="shared" si="331"/>
        <v>1</v>
      </c>
      <c r="H2120">
        <v>79.400000000000006</v>
      </c>
      <c r="I2120">
        <v>62.6</v>
      </c>
      <c r="J2120">
        <v>71.599999999999994</v>
      </c>
      <c r="K2120">
        <v>48.3</v>
      </c>
      <c r="L2120">
        <v>45.8</v>
      </c>
      <c r="M2120" s="2">
        <f t="shared" si="332"/>
        <v>1</v>
      </c>
      <c r="N2120">
        <v>0</v>
      </c>
      <c r="O2120" s="2">
        <f t="shared" si="333"/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55.4</v>
      </c>
      <c r="V2120" s="2">
        <f t="shared" si="334"/>
        <v>1</v>
      </c>
      <c r="W2120">
        <v>43.7</v>
      </c>
      <c r="X2120" s="2">
        <f t="shared" si="335"/>
        <v>1</v>
      </c>
      <c r="Y2120">
        <v>182.6</v>
      </c>
      <c r="Z2120" s="2" t="str">
        <f>CHOOSE(MATCH(Y2120,{0;11;80;111;161;191;241;281;341},1),"North","NorthEast","East","SouthEast","South","SouthWest","West","NorthWest","North")</f>
        <v>South</v>
      </c>
      <c r="AA2120" s="4">
        <f>CHOOSE(MATCH(Z2120,{"South";"SouthEast";"SouthWest";"North";"NorthEast";"East";"West";"NorthWest"},0),1,2,3,4,5,6,7,8)</f>
        <v>1</v>
      </c>
      <c r="AB2120" s="2">
        <f t="shared" si="336"/>
        <v>0</v>
      </c>
      <c r="AC2120">
        <v>1002.8</v>
      </c>
      <c r="AD2120" t="s">
        <v>2896</v>
      </c>
      <c r="AE2120" s="2">
        <f t="shared" si="337"/>
        <v>0</v>
      </c>
      <c r="AF2120" t="s">
        <v>2897</v>
      </c>
      <c r="AG2120" s="2">
        <f t="shared" si="338"/>
        <v>3</v>
      </c>
      <c r="AH2120" s="2">
        <f t="shared" si="339"/>
        <v>0</v>
      </c>
      <c r="AI2120" s="3">
        <v>881.00000000093132</v>
      </c>
      <c r="AJ2120" s="2">
        <v>1</v>
      </c>
      <c r="AK2120">
        <v>0</v>
      </c>
      <c r="AL2120">
        <v>15</v>
      </c>
      <c r="AM2120">
        <v>0</v>
      </c>
      <c r="AN2120" s="2">
        <f>IF((2*G2120+M2120-O2120+3*V2120+2*AB2120+2*AE2120+2*AH2120+3*AJ2120)&gt;=7,1,0)</f>
        <v>1</v>
      </c>
    </row>
    <row r="2121" spans="1:40" x14ac:dyDescent="0.25">
      <c r="A2121" t="s">
        <v>27</v>
      </c>
      <c r="B2121" s="1">
        <v>43182</v>
      </c>
      <c r="C2121" s="6">
        <f t="shared" si="330"/>
        <v>2018</v>
      </c>
      <c r="D2121">
        <v>66.2</v>
      </c>
      <c r="E2121">
        <v>57.2</v>
      </c>
      <c r="F2121">
        <v>61.1</v>
      </c>
      <c r="G2121" s="2">
        <f t="shared" si="331"/>
        <v>0</v>
      </c>
      <c r="H2121">
        <v>66.2</v>
      </c>
      <c r="I2121">
        <v>57.2</v>
      </c>
      <c r="J2121">
        <v>61.1</v>
      </c>
      <c r="K2121">
        <v>49.5</v>
      </c>
      <c r="L2121">
        <v>66.8</v>
      </c>
      <c r="M2121" s="2">
        <f t="shared" si="332"/>
        <v>0</v>
      </c>
      <c r="N2121">
        <v>0</v>
      </c>
      <c r="O2121" s="2">
        <f t="shared" si="333"/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39.4</v>
      </c>
      <c r="V2121" s="2">
        <f t="shared" si="334"/>
        <v>1</v>
      </c>
      <c r="W2121">
        <v>19.7</v>
      </c>
      <c r="X2121" s="2">
        <f t="shared" si="335"/>
        <v>1</v>
      </c>
      <c r="Y2121">
        <v>294.10000000000002</v>
      </c>
      <c r="Z2121" s="2" t="str">
        <f>CHOOSE(MATCH(Y2121,{0;11;80;111;161;191;241;281;341},1),"North","NorthEast","East","SouthEast","South","SouthWest","West","NorthWest","North")</f>
        <v>NorthWest</v>
      </c>
      <c r="AA2121" s="4">
        <f>CHOOSE(MATCH(Z2121,{"South";"SouthEast";"SouthWest";"North";"NorthEast";"East";"West";"NorthWest"},0),1,2,3,4,5,6,7,8)</f>
        <v>8</v>
      </c>
      <c r="AB2121" s="2">
        <f t="shared" si="336"/>
        <v>1</v>
      </c>
      <c r="AC2121">
        <v>1002.4</v>
      </c>
      <c r="AD2121" t="s">
        <v>1834</v>
      </c>
      <c r="AE2121" s="2">
        <f t="shared" si="337"/>
        <v>1</v>
      </c>
      <c r="AF2121" t="s">
        <v>2898</v>
      </c>
      <c r="AG2121" s="2">
        <f t="shared" si="338"/>
        <v>3</v>
      </c>
      <c r="AH2121" s="2">
        <f t="shared" si="339"/>
        <v>0</v>
      </c>
      <c r="AI2121" s="3">
        <v>235.00000000116421</v>
      </c>
      <c r="AJ2121" s="2">
        <v>0</v>
      </c>
      <c r="AK2121">
        <v>0</v>
      </c>
      <c r="AL2121">
        <v>2.5</v>
      </c>
      <c r="AM2121">
        <v>0</v>
      </c>
      <c r="AN2121" s="2">
        <f>IF((2*G2121+M2121-O2121+3*V2121+2*AB2121+2*AE2121+2*AH2121+3*AJ2121)&gt;=7,1,0)</f>
        <v>0</v>
      </c>
    </row>
    <row r="2122" spans="1:40" x14ac:dyDescent="0.25">
      <c r="A2122" t="s">
        <v>27</v>
      </c>
      <c r="B2122" s="1">
        <v>43189</v>
      </c>
      <c r="C2122" s="6">
        <f t="shared" si="330"/>
        <v>2018</v>
      </c>
      <c r="D2122">
        <v>64.400000000000006</v>
      </c>
      <c r="E2122">
        <v>48.2</v>
      </c>
      <c r="F2122">
        <v>57.6</v>
      </c>
      <c r="G2122" s="2">
        <f t="shared" si="331"/>
        <v>0</v>
      </c>
      <c r="H2122">
        <v>64.400000000000006</v>
      </c>
      <c r="I2122">
        <v>44.5</v>
      </c>
      <c r="J2122">
        <v>57.4</v>
      </c>
      <c r="K2122">
        <v>48.9</v>
      </c>
      <c r="L2122">
        <v>73.2</v>
      </c>
      <c r="M2122" s="2">
        <f t="shared" si="332"/>
        <v>0</v>
      </c>
      <c r="N2122">
        <v>0</v>
      </c>
      <c r="O2122" s="2">
        <f t="shared" si="333"/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19</v>
      </c>
      <c r="V2122" s="2">
        <f t="shared" si="334"/>
        <v>1</v>
      </c>
      <c r="W2122">
        <v>11.4</v>
      </c>
      <c r="X2122" s="2">
        <f t="shared" si="335"/>
        <v>0</v>
      </c>
      <c r="Y2122">
        <v>249</v>
      </c>
      <c r="Z2122" s="2" t="str">
        <f>CHOOSE(MATCH(Y2122,{0;11;80;111;161;191;241;281;341},1),"North","NorthEast","East","SouthEast","South","SouthWest","West","NorthWest","North")</f>
        <v>West</v>
      </c>
      <c r="AA2122" s="4">
        <f>CHOOSE(MATCH(Z2122,{"South";"SouthEast";"SouthWest";"North";"NorthEast";"East";"West";"NorthWest"},0),1,2,3,4,5,6,7,8)</f>
        <v>7</v>
      </c>
      <c r="AB2122" s="2">
        <f t="shared" si="336"/>
        <v>0</v>
      </c>
      <c r="AC2122">
        <v>1019</v>
      </c>
      <c r="AD2122" t="s">
        <v>2343</v>
      </c>
      <c r="AE2122" s="2">
        <f t="shared" si="337"/>
        <v>0</v>
      </c>
      <c r="AF2122" t="s">
        <v>2899</v>
      </c>
      <c r="AG2122" s="2">
        <f t="shared" si="338"/>
        <v>3</v>
      </c>
      <c r="AH2122" s="2">
        <f t="shared" si="339"/>
        <v>0</v>
      </c>
      <c r="AI2122" s="3">
        <v>734.99999999650754</v>
      </c>
      <c r="AJ2122" s="2">
        <v>1</v>
      </c>
      <c r="AK2122">
        <v>0</v>
      </c>
      <c r="AL2122">
        <v>10</v>
      </c>
      <c r="AM2122">
        <v>0</v>
      </c>
      <c r="AN2122" s="2">
        <f>IF((2*G2122+M2122-O2122+3*V2122+2*AB2122+2*AE2122+2*AH2122+3*AJ2122)&gt;=7,1,0)</f>
        <v>0</v>
      </c>
    </row>
    <row r="2123" spans="1:40" x14ac:dyDescent="0.25">
      <c r="A2123" t="s">
        <v>27</v>
      </c>
      <c r="B2123" s="1">
        <v>43193</v>
      </c>
      <c r="C2123" s="6">
        <f t="shared" si="330"/>
        <v>2018</v>
      </c>
      <c r="D2123">
        <v>64.400000000000006</v>
      </c>
      <c r="E2123">
        <v>48.2</v>
      </c>
      <c r="F2123">
        <v>58.4</v>
      </c>
      <c r="G2123" s="2">
        <f t="shared" si="331"/>
        <v>0</v>
      </c>
      <c r="H2123">
        <v>64.400000000000006</v>
      </c>
      <c r="I2123">
        <v>45.6</v>
      </c>
      <c r="J2123">
        <v>58.2</v>
      </c>
      <c r="K2123">
        <v>48.9</v>
      </c>
      <c r="L2123">
        <v>71.7</v>
      </c>
      <c r="M2123" s="2">
        <f t="shared" si="332"/>
        <v>0</v>
      </c>
      <c r="N2123">
        <v>0</v>
      </c>
      <c r="O2123" s="2">
        <f t="shared" si="333"/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25.5</v>
      </c>
      <c r="V2123" s="2">
        <f t="shared" si="334"/>
        <v>1</v>
      </c>
      <c r="W2123">
        <v>10.3</v>
      </c>
      <c r="X2123" s="2">
        <f t="shared" si="335"/>
        <v>0</v>
      </c>
      <c r="Y2123">
        <v>301</v>
      </c>
      <c r="Z2123" s="2" t="str">
        <f>CHOOSE(MATCH(Y2123,{0;11;80;111;161;191;241;281;341},1),"North","NorthEast","East","SouthEast","South","SouthWest","West","NorthWest","North")</f>
        <v>NorthWest</v>
      </c>
      <c r="AA2123" s="4">
        <f>CHOOSE(MATCH(Z2123,{"South";"SouthEast";"SouthWest";"North";"NorthEast";"East";"West";"NorthWest"},0),1,2,3,4,5,6,7,8)</f>
        <v>8</v>
      </c>
      <c r="AB2123" s="2">
        <f t="shared" si="336"/>
        <v>1</v>
      </c>
      <c r="AC2123">
        <v>1020</v>
      </c>
      <c r="AD2123" t="s">
        <v>2527</v>
      </c>
      <c r="AE2123" s="2">
        <f t="shared" si="337"/>
        <v>1</v>
      </c>
      <c r="AF2123" t="s">
        <v>2900</v>
      </c>
      <c r="AG2123" s="2">
        <f t="shared" si="338"/>
        <v>4</v>
      </c>
      <c r="AH2123" s="2">
        <f t="shared" si="339"/>
        <v>0</v>
      </c>
      <c r="AI2123" s="3">
        <v>124.9999999988358</v>
      </c>
      <c r="AJ2123" s="2">
        <v>0</v>
      </c>
      <c r="AK2123">
        <v>0</v>
      </c>
      <c r="AL2123">
        <v>4.5</v>
      </c>
      <c r="AM2123">
        <v>0</v>
      </c>
      <c r="AN2123" s="2">
        <f>IF((2*G2123+M2123-O2123+3*V2123+2*AB2123+2*AE2123+2*AH2123+3*AJ2123)&gt;=7,1,0)</f>
        <v>0</v>
      </c>
    </row>
    <row r="2124" spans="1:40" x14ac:dyDescent="0.25">
      <c r="A2124" t="s">
        <v>27</v>
      </c>
      <c r="B2124" s="1">
        <v>43193</v>
      </c>
      <c r="C2124" s="6">
        <f t="shared" si="330"/>
        <v>2018</v>
      </c>
      <c r="D2124">
        <v>64.400000000000006</v>
      </c>
      <c r="E2124">
        <v>48.2</v>
      </c>
      <c r="F2124">
        <v>58.4</v>
      </c>
      <c r="G2124" s="2">
        <f t="shared" si="331"/>
        <v>0</v>
      </c>
      <c r="H2124">
        <v>64.400000000000006</v>
      </c>
      <c r="I2124">
        <v>45.6</v>
      </c>
      <c r="J2124">
        <v>58.2</v>
      </c>
      <c r="K2124">
        <v>48.9</v>
      </c>
      <c r="L2124">
        <v>71.7</v>
      </c>
      <c r="M2124" s="2">
        <f t="shared" si="332"/>
        <v>0</v>
      </c>
      <c r="N2124">
        <v>0</v>
      </c>
      <c r="O2124" s="2">
        <f t="shared" si="333"/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25.5</v>
      </c>
      <c r="V2124" s="2">
        <f t="shared" si="334"/>
        <v>1</v>
      </c>
      <c r="W2124">
        <v>10.3</v>
      </c>
      <c r="X2124" s="2">
        <f t="shared" si="335"/>
        <v>0</v>
      </c>
      <c r="Y2124">
        <v>301</v>
      </c>
      <c r="Z2124" s="2" t="str">
        <f>CHOOSE(MATCH(Y2124,{0;11;80;111;161;191;241;281;341},1),"North","NorthEast","East","SouthEast","South","SouthWest","West","NorthWest","North")</f>
        <v>NorthWest</v>
      </c>
      <c r="AA2124" s="4">
        <f>CHOOSE(MATCH(Z2124,{"South";"SouthEast";"SouthWest";"North";"NorthEast";"East";"West";"NorthWest"},0),1,2,3,4,5,6,7,8)</f>
        <v>8</v>
      </c>
      <c r="AB2124" s="2">
        <f t="shared" si="336"/>
        <v>1</v>
      </c>
      <c r="AC2124">
        <v>1020</v>
      </c>
      <c r="AD2124" t="s">
        <v>1779</v>
      </c>
      <c r="AE2124" s="2">
        <f t="shared" si="337"/>
        <v>1</v>
      </c>
      <c r="AF2124" t="s">
        <v>2901</v>
      </c>
      <c r="AG2124" s="2">
        <f t="shared" si="338"/>
        <v>4</v>
      </c>
      <c r="AH2124" s="2">
        <f t="shared" si="339"/>
        <v>0</v>
      </c>
      <c r="AI2124" s="3">
        <v>464.99999999650748</v>
      </c>
      <c r="AJ2124" s="2">
        <v>1</v>
      </c>
      <c r="AK2124">
        <v>0</v>
      </c>
      <c r="AL2124">
        <v>20</v>
      </c>
      <c r="AM2124">
        <v>0</v>
      </c>
      <c r="AN2124" s="2">
        <f>IF((2*G2124+M2124-O2124+3*V2124+2*AB2124+2*AE2124+2*AH2124+3*AJ2124)&gt;=7,1,0)</f>
        <v>1</v>
      </c>
    </row>
    <row r="2125" spans="1:40" x14ac:dyDescent="0.25">
      <c r="A2125" t="s">
        <v>27</v>
      </c>
      <c r="B2125" s="1">
        <v>43194</v>
      </c>
      <c r="C2125" s="6">
        <f t="shared" si="330"/>
        <v>2018</v>
      </c>
      <c r="D2125">
        <v>66.2</v>
      </c>
      <c r="E2125">
        <v>48.2</v>
      </c>
      <c r="F2125">
        <v>57.4</v>
      </c>
      <c r="G2125" s="2">
        <f t="shared" si="331"/>
        <v>0</v>
      </c>
      <c r="H2125">
        <v>66.2</v>
      </c>
      <c r="I2125">
        <v>45.1</v>
      </c>
      <c r="J2125">
        <v>57.1</v>
      </c>
      <c r="K2125">
        <v>49.6</v>
      </c>
      <c r="L2125">
        <v>75.7</v>
      </c>
      <c r="M2125" s="2">
        <f t="shared" si="332"/>
        <v>0</v>
      </c>
      <c r="N2125">
        <v>0</v>
      </c>
      <c r="O2125" s="2">
        <f t="shared" si="333"/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19.899999999999999</v>
      </c>
      <c r="V2125" s="2">
        <f t="shared" si="334"/>
        <v>1</v>
      </c>
      <c r="W2125">
        <v>8.1</v>
      </c>
      <c r="X2125" s="2">
        <f t="shared" si="335"/>
        <v>0</v>
      </c>
      <c r="Y2125">
        <v>265</v>
      </c>
      <c r="Z2125" s="2" t="str">
        <f>CHOOSE(MATCH(Y2125,{0;11;80;111;161;191;241;281;341},1),"North","NorthEast","East","SouthEast","South","SouthWest","West","NorthWest","North")</f>
        <v>West</v>
      </c>
      <c r="AA2125" s="4">
        <f>CHOOSE(MATCH(Z2125,{"South";"SouthEast";"SouthWest";"North";"NorthEast";"East";"West";"NorthWest"},0),1,2,3,4,5,6,7,8)</f>
        <v>7</v>
      </c>
      <c r="AB2125" s="2">
        <f t="shared" si="336"/>
        <v>0</v>
      </c>
      <c r="AC2125">
        <v>1019.8</v>
      </c>
      <c r="AD2125" t="s">
        <v>1266</v>
      </c>
      <c r="AE2125" s="2">
        <f t="shared" si="337"/>
        <v>1</v>
      </c>
      <c r="AF2125" t="s">
        <v>2902</v>
      </c>
      <c r="AG2125" s="2">
        <f t="shared" si="338"/>
        <v>4</v>
      </c>
      <c r="AH2125" s="2">
        <f t="shared" si="339"/>
        <v>0</v>
      </c>
      <c r="AI2125" s="3">
        <v>1689.9999999976719</v>
      </c>
      <c r="AJ2125" s="2">
        <v>1</v>
      </c>
      <c r="AK2125">
        <v>0</v>
      </c>
      <c r="AL2125">
        <v>1</v>
      </c>
      <c r="AM2125">
        <v>0</v>
      </c>
      <c r="AN2125" s="2">
        <f>IF((2*G2125+M2125-O2125+3*V2125+2*AB2125+2*AE2125+2*AH2125+3*AJ2125)&gt;=7,1,0)</f>
        <v>1</v>
      </c>
    </row>
    <row r="2126" spans="1:40" x14ac:dyDescent="0.25">
      <c r="A2126" t="s">
        <v>27</v>
      </c>
      <c r="B2126" s="1">
        <v>43194</v>
      </c>
      <c r="C2126" s="6">
        <f t="shared" si="330"/>
        <v>2018</v>
      </c>
      <c r="D2126">
        <v>66.2</v>
      </c>
      <c r="E2126">
        <v>48.2</v>
      </c>
      <c r="F2126">
        <v>57.4</v>
      </c>
      <c r="G2126" s="2">
        <f t="shared" si="331"/>
        <v>0</v>
      </c>
      <c r="H2126">
        <v>66.2</v>
      </c>
      <c r="I2126">
        <v>45.1</v>
      </c>
      <c r="J2126">
        <v>57.1</v>
      </c>
      <c r="K2126">
        <v>49.6</v>
      </c>
      <c r="L2126">
        <v>75.7</v>
      </c>
      <c r="M2126" s="2">
        <f t="shared" si="332"/>
        <v>0</v>
      </c>
      <c r="N2126">
        <v>0</v>
      </c>
      <c r="O2126" s="2">
        <f t="shared" si="333"/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19.899999999999999</v>
      </c>
      <c r="V2126" s="2">
        <f t="shared" si="334"/>
        <v>1</v>
      </c>
      <c r="W2126">
        <v>8.1</v>
      </c>
      <c r="X2126" s="2">
        <f t="shared" si="335"/>
        <v>0</v>
      </c>
      <c r="Y2126">
        <v>265</v>
      </c>
      <c r="Z2126" s="2" t="str">
        <f>CHOOSE(MATCH(Y2126,{0;11;80;111;161;191;241;281;341},1),"North","NorthEast","East","SouthEast","South","SouthWest","West","NorthWest","North")</f>
        <v>West</v>
      </c>
      <c r="AA2126" s="4">
        <f>CHOOSE(MATCH(Z2126,{"South";"SouthEast";"SouthWest";"North";"NorthEast";"East";"West";"NorthWest"},0),1,2,3,4,5,6,7,8)</f>
        <v>7</v>
      </c>
      <c r="AB2126" s="2">
        <f t="shared" si="336"/>
        <v>0</v>
      </c>
      <c r="AC2126">
        <v>1019.8</v>
      </c>
      <c r="AD2126" t="s">
        <v>1093</v>
      </c>
      <c r="AE2126" s="2">
        <f t="shared" si="337"/>
        <v>1</v>
      </c>
      <c r="AF2126" t="s">
        <v>2903</v>
      </c>
      <c r="AG2126" s="2">
        <f t="shared" si="338"/>
        <v>4</v>
      </c>
      <c r="AH2126" s="2">
        <f t="shared" si="339"/>
        <v>0</v>
      </c>
      <c r="AI2126" s="3">
        <v>90</v>
      </c>
      <c r="AJ2126" s="2">
        <v>0</v>
      </c>
      <c r="AK2126">
        <v>0</v>
      </c>
      <c r="AL2126">
        <v>0.05</v>
      </c>
      <c r="AM2126">
        <v>0</v>
      </c>
      <c r="AN2126" s="2">
        <f>IF((2*G2126+M2126-O2126+3*V2126+2*AB2126+2*AE2126+2*AH2126+3*AJ2126)&gt;=7,1,0)</f>
        <v>0</v>
      </c>
    </row>
    <row r="2127" spans="1:40" x14ac:dyDescent="0.25">
      <c r="A2127" t="s">
        <v>27</v>
      </c>
      <c r="B2127" s="1">
        <v>43195</v>
      </c>
      <c r="C2127" s="6">
        <f t="shared" si="330"/>
        <v>2018</v>
      </c>
      <c r="D2127">
        <v>68.099999999999994</v>
      </c>
      <c r="E2127">
        <v>50</v>
      </c>
      <c r="F2127">
        <v>58.9</v>
      </c>
      <c r="G2127" s="2">
        <f t="shared" si="331"/>
        <v>0</v>
      </c>
      <c r="H2127">
        <v>68.099999999999994</v>
      </c>
      <c r="I2127">
        <v>46.7</v>
      </c>
      <c r="J2127">
        <v>58.7</v>
      </c>
      <c r="K2127">
        <v>46.3</v>
      </c>
      <c r="L2127">
        <v>63.8</v>
      </c>
      <c r="M2127" s="2">
        <f t="shared" si="332"/>
        <v>1</v>
      </c>
      <c r="N2127">
        <v>0</v>
      </c>
      <c r="O2127" s="2">
        <f t="shared" si="333"/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13.6</v>
      </c>
      <c r="V2127" s="2">
        <f t="shared" si="334"/>
        <v>1</v>
      </c>
      <c r="W2127">
        <v>8.1</v>
      </c>
      <c r="X2127" s="2">
        <f t="shared" si="335"/>
        <v>0</v>
      </c>
      <c r="Y2127">
        <v>148.69999999999999</v>
      </c>
      <c r="Z2127" s="2" t="str">
        <f>CHOOSE(MATCH(Y2127,{0;11;80;111;161;191;241;281;341},1),"North","NorthEast","East","SouthEast","South","SouthWest","West","NorthWest","North")</f>
        <v>SouthEast</v>
      </c>
      <c r="AA2127" s="4">
        <f>CHOOSE(MATCH(Z2127,{"South";"SouthEast";"SouthWest";"North";"NorthEast";"East";"West";"NorthWest"},0),1,2,3,4,5,6,7,8)</f>
        <v>2</v>
      </c>
      <c r="AB2127" s="2">
        <f t="shared" si="336"/>
        <v>0</v>
      </c>
      <c r="AC2127">
        <v>1014.5</v>
      </c>
      <c r="AD2127" t="s">
        <v>2892</v>
      </c>
      <c r="AE2127" s="2">
        <f t="shared" si="337"/>
        <v>1</v>
      </c>
      <c r="AF2127" t="s">
        <v>2904</v>
      </c>
      <c r="AG2127" s="2">
        <f t="shared" si="338"/>
        <v>4</v>
      </c>
      <c r="AH2127" s="2">
        <f t="shared" si="339"/>
        <v>0</v>
      </c>
      <c r="AI2127" s="3">
        <v>65.999999995110556</v>
      </c>
      <c r="AJ2127" s="2">
        <v>0</v>
      </c>
      <c r="AK2127">
        <v>0</v>
      </c>
      <c r="AL2127">
        <v>0.1</v>
      </c>
      <c r="AM2127">
        <v>0</v>
      </c>
      <c r="AN2127" s="2">
        <f>IF((2*G2127+M2127-O2127+3*V2127+2*AB2127+2*AE2127+2*AH2127+3*AJ2127)&gt;=7,1,0)</f>
        <v>0</v>
      </c>
    </row>
    <row r="2128" spans="1:40" x14ac:dyDescent="0.25">
      <c r="A2128" t="s">
        <v>27</v>
      </c>
      <c r="B2128" s="1">
        <v>43201</v>
      </c>
      <c r="C2128" s="6">
        <f t="shared" si="330"/>
        <v>2018</v>
      </c>
      <c r="D2128">
        <v>66.099999999999994</v>
      </c>
      <c r="E2128">
        <v>55.4</v>
      </c>
      <c r="F2128">
        <v>61.3</v>
      </c>
      <c r="G2128" s="2">
        <f t="shared" si="331"/>
        <v>0</v>
      </c>
      <c r="H2128">
        <v>66.099999999999994</v>
      </c>
      <c r="I2128">
        <v>55.4</v>
      </c>
      <c r="J2128">
        <v>61.3</v>
      </c>
      <c r="K2128">
        <v>54.9</v>
      </c>
      <c r="L2128">
        <v>81.7</v>
      </c>
      <c r="M2128" s="2">
        <f t="shared" si="332"/>
        <v>0</v>
      </c>
      <c r="N2128">
        <v>0</v>
      </c>
      <c r="O2128" s="2">
        <f t="shared" si="333"/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19.7</v>
      </c>
      <c r="V2128" s="2">
        <f t="shared" si="334"/>
        <v>1</v>
      </c>
      <c r="W2128">
        <v>13.9</v>
      </c>
      <c r="X2128" s="2">
        <f t="shared" si="335"/>
        <v>0</v>
      </c>
      <c r="Y2128">
        <v>187.6</v>
      </c>
      <c r="Z2128" s="2" t="str">
        <f>CHOOSE(MATCH(Y2128,{0;11;80;111;161;191;241;281;341},1),"North","NorthEast","East","SouthEast","South","SouthWest","West","NorthWest","North")</f>
        <v>South</v>
      </c>
      <c r="AA2128" s="4">
        <f>CHOOSE(MATCH(Z2128,{"South";"SouthEast";"SouthWest";"North";"NorthEast";"East";"West";"NorthWest"},0),1,2,3,4,5,6,7,8)</f>
        <v>1</v>
      </c>
      <c r="AB2128" s="2">
        <f t="shared" si="336"/>
        <v>0</v>
      </c>
      <c r="AC2128">
        <v>1010.3</v>
      </c>
      <c r="AD2128" t="s">
        <v>2905</v>
      </c>
      <c r="AE2128" s="2">
        <f t="shared" si="337"/>
        <v>1</v>
      </c>
      <c r="AF2128" t="s">
        <v>2906</v>
      </c>
      <c r="AG2128" s="2">
        <f t="shared" si="338"/>
        <v>4</v>
      </c>
      <c r="AH2128" s="2">
        <f t="shared" si="339"/>
        <v>0</v>
      </c>
      <c r="AI2128" s="3">
        <v>36.000000002095483</v>
      </c>
      <c r="AJ2128" s="2">
        <v>0</v>
      </c>
      <c r="AK2128">
        <v>0</v>
      </c>
      <c r="AL2128">
        <v>0.05</v>
      </c>
      <c r="AM2128">
        <v>0</v>
      </c>
      <c r="AN2128" s="2">
        <f>IF((2*G2128+M2128-O2128+3*V2128+2*AB2128+2*AE2128+2*AH2128+3*AJ2128)&gt;=7,1,0)</f>
        <v>0</v>
      </c>
    </row>
    <row r="2129" spans="1:40" x14ac:dyDescent="0.25">
      <c r="A2129" t="s">
        <v>27</v>
      </c>
      <c r="B2129" s="1">
        <v>43201</v>
      </c>
      <c r="C2129" s="6">
        <f t="shared" si="330"/>
        <v>2018</v>
      </c>
      <c r="D2129">
        <v>66.099999999999994</v>
      </c>
      <c r="E2129">
        <v>55.4</v>
      </c>
      <c r="F2129">
        <v>61.3</v>
      </c>
      <c r="G2129" s="2">
        <f t="shared" si="331"/>
        <v>0</v>
      </c>
      <c r="H2129">
        <v>66.099999999999994</v>
      </c>
      <c r="I2129">
        <v>55.4</v>
      </c>
      <c r="J2129">
        <v>61.3</v>
      </c>
      <c r="K2129">
        <v>54.9</v>
      </c>
      <c r="L2129">
        <v>81.7</v>
      </c>
      <c r="M2129" s="2">
        <f t="shared" si="332"/>
        <v>0</v>
      </c>
      <c r="N2129">
        <v>0</v>
      </c>
      <c r="O2129" s="2">
        <f t="shared" si="333"/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19.7</v>
      </c>
      <c r="V2129" s="2">
        <f t="shared" si="334"/>
        <v>1</v>
      </c>
      <c r="W2129">
        <v>13.9</v>
      </c>
      <c r="X2129" s="2">
        <f t="shared" si="335"/>
        <v>0</v>
      </c>
      <c r="Y2129">
        <v>187.6</v>
      </c>
      <c r="Z2129" s="2" t="str">
        <f>CHOOSE(MATCH(Y2129,{0;11;80;111;161;191;241;281;341},1),"North","NorthEast","East","SouthEast","South","SouthWest","West","NorthWest","North")</f>
        <v>South</v>
      </c>
      <c r="AA2129" s="4">
        <f>CHOOSE(MATCH(Z2129,{"South";"SouthEast";"SouthWest";"North";"NorthEast";"East";"West";"NorthWest"},0),1,2,3,4,5,6,7,8)</f>
        <v>1</v>
      </c>
      <c r="AB2129" s="2">
        <f t="shared" si="336"/>
        <v>0</v>
      </c>
      <c r="AC2129">
        <v>1010.3</v>
      </c>
      <c r="AD2129" t="s">
        <v>2907</v>
      </c>
      <c r="AE2129" s="2">
        <f t="shared" si="337"/>
        <v>1</v>
      </c>
      <c r="AF2129" t="s">
        <v>2908</v>
      </c>
      <c r="AG2129" s="2">
        <f t="shared" si="338"/>
        <v>4</v>
      </c>
      <c r="AH2129" s="2">
        <f t="shared" si="339"/>
        <v>0</v>
      </c>
      <c r="AI2129" s="3">
        <v>29.000000000232831</v>
      </c>
      <c r="AJ2129" s="2">
        <v>0</v>
      </c>
      <c r="AK2129">
        <v>0</v>
      </c>
      <c r="AL2129">
        <v>0.01</v>
      </c>
      <c r="AM2129">
        <v>0</v>
      </c>
      <c r="AN2129" s="2">
        <f>IF((2*G2129+M2129-O2129+3*V2129+2*AB2129+2*AE2129+2*AH2129+3*AJ2129)&gt;=7,1,0)</f>
        <v>0</v>
      </c>
    </row>
    <row r="2130" spans="1:40" x14ac:dyDescent="0.25">
      <c r="A2130" t="s">
        <v>27</v>
      </c>
      <c r="B2130" s="1">
        <v>43202</v>
      </c>
      <c r="C2130" s="6">
        <f t="shared" si="330"/>
        <v>2018</v>
      </c>
      <c r="D2130">
        <v>80.599999999999994</v>
      </c>
      <c r="E2130">
        <v>53.6</v>
      </c>
      <c r="F2130">
        <v>69</v>
      </c>
      <c r="G2130" s="2">
        <f t="shared" si="331"/>
        <v>0</v>
      </c>
      <c r="H2130">
        <v>79.7</v>
      </c>
      <c r="I2130">
        <v>53.6</v>
      </c>
      <c r="J2130">
        <v>68.8</v>
      </c>
      <c r="K2130">
        <v>50.6</v>
      </c>
      <c r="L2130">
        <v>57.2</v>
      </c>
      <c r="M2130" s="2">
        <f t="shared" si="332"/>
        <v>1</v>
      </c>
      <c r="N2130">
        <v>0</v>
      </c>
      <c r="O2130" s="2">
        <f t="shared" si="333"/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27.7</v>
      </c>
      <c r="V2130" s="2">
        <f t="shared" si="334"/>
        <v>1</v>
      </c>
      <c r="W2130">
        <v>17.2</v>
      </c>
      <c r="X2130" s="2">
        <f t="shared" si="335"/>
        <v>1</v>
      </c>
      <c r="Y2130">
        <v>161.69999999999999</v>
      </c>
      <c r="Z2130" s="2" t="str">
        <f>CHOOSE(MATCH(Y2130,{0;11;80;111;161;191;241;281;341},1),"North","NorthEast","East","SouthEast","South","SouthWest","West","NorthWest","North")</f>
        <v>South</v>
      </c>
      <c r="AA2130" s="4">
        <f>CHOOSE(MATCH(Z2130,{"South";"SouthEast";"SouthWest";"North";"NorthEast";"East";"West";"NorthWest"},0),1,2,3,4,5,6,7,8)</f>
        <v>1</v>
      </c>
      <c r="AB2130" s="2">
        <f t="shared" si="336"/>
        <v>0</v>
      </c>
      <c r="AC2130">
        <v>1008.9</v>
      </c>
      <c r="AD2130" t="s">
        <v>1980</v>
      </c>
      <c r="AE2130" s="2">
        <f t="shared" si="337"/>
        <v>1</v>
      </c>
      <c r="AF2130" t="s">
        <v>2909</v>
      </c>
      <c r="AG2130" s="2">
        <f t="shared" si="338"/>
        <v>4</v>
      </c>
      <c r="AH2130" s="2">
        <f t="shared" si="339"/>
        <v>0</v>
      </c>
      <c r="AI2130" s="3">
        <v>135</v>
      </c>
      <c r="AJ2130" s="2">
        <v>0</v>
      </c>
      <c r="AK2130">
        <v>0</v>
      </c>
      <c r="AL2130">
        <v>1</v>
      </c>
      <c r="AM2130">
        <v>0</v>
      </c>
      <c r="AN2130" s="2">
        <f>IF((2*G2130+M2130-O2130+3*V2130+2*AB2130+2*AE2130+2*AH2130+3*AJ2130)&gt;=7,1,0)</f>
        <v>0</v>
      </c>
    </row>
    <row r="2131" spans="1:40" x14ac:dyDescent="0.25">
      <c r="A2131" t="s">
        <v>27</v>
      </c>
      <c r="B2131" s="1">
        <v>43203</v>
      </c>
      <c r="C2131" s="6">
        <f t="shared" si="330"/>
        <v>2018</v>
      </c>
      <c r="D2131">
        <v>75.2</v>
      </c>
      <c r="E2131">
        <v>59</v>
      </c>
      <c r="F2131">
        <v>66.5</v>
      </c>
      <c r="G2131" s="2">
        <f t="shared" si="331"/>
        <v>0</v>
      </c>
      <c r="H2131">
        <v>75.2</v>
      </c>
      <c r="I2131">
        <v>59</v>
      </c>
      <c r="J2131">
        <v>66.5</v>
      </c>
      <c r="K2131">
        <v>57.4</v>
      </c>
      <c r="L2131">
        <v>75.2</v>
      </c>
      <c r="M2131" s="2">
        <f t="shared" si="332"/>
        <v>0</v>
      </c>
      <c r="N2131">
        <v>0</v>
      </c>
      <c r="O2131" s="2">
        <f t="shared" si="333"/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18.3</v>
      </c>
      <c r="V2131" s="2">
        <f t="shared" si="334"/>
        <v>1</v>
      </c>
      <c r="W2131">
        <v>10.3</v>
      </c>
      <c r="X2131" s="2">
        <f t="shared" si="335"/>
        <v>0</v>
      </c>
      <c r="Y2131">
        <v>338.4</v>
      </c>
      <c r="Z2131" s="2" t="str">
        <f>CHOOSE(MATCH(Y2131,{0;11;80;111;161;191;241;281;341},1),"North","NorthEast","East","SouthEast","South","SouthWest","West","NorthWest","North")</f>
        <v>NorthWest</v>
      </c>
      <c r="AA2131" s="4">
        <f>CHOOSE(MATCH(Z2131,{"South";"SouthEast";"SouthWest";"North";"NorthEast";"East";"West";"NorthWest"},0),1,2,3,4,5,6,7,8)</f>
        <v>8</v>
      </c>
      <c r="AB2131" s="2">
        <f t="shared" si="336"/>
        <v>1</v>
      </c>
      <c r="AC2131">
        <v>1011.8</v>
      </c>
      <c r="AD2131" t="s">
        <v>2338</v>
      </c>
      <c r="AE2131" s="2">
        <f t="shared" si="337"/>
        <v>1</v>
      </c>
      <c r="AF2131" t="s">
        <v>2910</v>
      </c>
      <c r="AG2131" s="2">
        <f t="shared" si="338"/>
        <v>4</v>
      </c>
      <c r="AH2131" s="2">
        <f t="shared" si="339"/>
        <v>0</v>
      </c>
      <c r="AI2131" s="3">
        <v>60.999999999767169</v>
      </c>
      <c r="AJ2131" s="2">
        <v>0</v>
      </c>
      <c r="AK2131">
        <v>0</v>
      </c>
      <c r="AL2131">
        <v>0.03</v>
      </c>
      <c r="AM2131">
        <v>0</v>
      </c>
      <c r="AN2131" s="2">
        <f>IF((2*G2131+M2131-O2131+3*V2131+2*AB2131+2*AE2131+2*AH2131+3*AJ2131)&gt;=7,1,0)</f>
        <v>0</v>
      </c>
    </row>
    <row r="2132" spans="1:40" x14ac:dyDescent="0.25">
      <c r="A2132" t="s">
        <v>27</v>
      </c>
      <c r="B2132" s="1">
        <v>43209</v>
      </c>
      <c r="C2132" s="6">
        <f t="shared" si="330"/>
        <v>2018</v>
      </c>
      <c r="D2132">
        <v>69.8</v>
      </c>
      <c r="E2132">
        <v>55.4</v>
      </c>
      <c r="F2132">
        <v>63</v>
      </c>
      <c r="G2132" s="2">
        <f t="shared" si="331"/>
        <v>0</v>
      </c>
      <c r="H2132">
        <v>69.8</v>
      </c>
      <c r="I2132">
        <v>55.4</v>
      </c>
      <c r="J2132">
        <v>63</v>
      </c>
      <c r="K2132">
        <v>55.7</v>
      </c>
      <c r="L2132">
        <v>78.7</v>
      </c>
      <c r="M2132" s="2">
        <f t="shared" si="332"/>
        <v>0</v>
      </c>
      <c r="N2132">
        <v>0</v>
      </c>
      <c r="O2132" s="2">
        <f t="shared" si="333"/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29.3</v>
      </c>
      <c r="V2132" s="2">
        <f t="shared" si="334"/>
        <v>1</v>
      </c>
      <c r="W2132">
        <v>23</v>
      </c>
      <c r="X2132" s="2">
        <f t="shared" si="335"/>
        <v>1</v>
      </c>
      <c r="Y2132">
        <v>296.39999999999998</v>
      </c>
      <c r="Z2132" s="2" t="str">
        <f>CHOOSE(MATCH(Y2132,{0;11;80;111;161;191;241;281;341},1),"North","NorthEast","East","SouthEast","South","SouthWest","West","NorthWest","North")</f>
        <v>NorthWest</v>
      </c>
      <c r="AA2132" s="4">
        <f>CHOOSE(MATCH(Z2132,{"South";"SouthEast";"SouthWest";"North";"NorthEast";"East";"West";"NorthWest"},0),1,2,3,4,5,6,7,8)</f>
        <v>8</v>
      </c>
      <c r="AB2132" s="2">
        <f t="shared" si="336"/>
        <v>1</v>
      </c>
      <c r="AC2132">
        <v>1018.7</v>
      </c>
      <c r="AD2132" t="s">
        <v>1201</v>
      </c>
      <c r="AE2132" s="2">
        <f t="shared" si="337"/>
        <v>1</v>
      </c>
      <c r="AF2132" t="s">
        <v>2911</v>
      </c>
      <c r="AG2132" s="2">
        <f t="shared" si="338"/>
        <v>4</v>
      </c>
      <c r="AH2132" s="2">
        <f t="shared" si="339"/>
        <v>0</v>
      </c>
      <c r="AI2132" s="3">
        <v>1679.999999996508</v>
      </c>
      <c r="AJ2132" s="2">
        <v>1</v>
      </c>
      <c r="AK2132">
        <v>0</v>
      </c>
      <c r="AL2132">
        <v>15</v>
      </c>
      <c r="AM2132">
        <v>0</v>
      </c>
      <c r="AN2132" s="2">
        <f>IF((2*G2132+M2132-O2132+3*V2132+2*AB2132+2*AE2132+2*AH2132+3*AJ2132)&gt;=7,1,0)</f>
        <v>1</v>
      </c>
    </row>
    <row r="2133" spans="1:40" x14ac:dyDescent="0.25">
      <c r="A2133" t="s">
        <v>27</v>
      </c>
      <c r="B2133" s="1">
        <v>43215</v>
      </c>
      <c r="C2133" s="6">
        <f t="shared" si="330"/>
        <v>2018</v>
      </c>
      <c r="D2133">
        <v>77</v>
      </c>
      <c r="E2133">
        <v>55.4</v>
      </c>
      <c r="F2133">
        <v>66.5</v>
      </c>
      <c r="G2133" s="2">
        <f t="shared" si="331"/>
        <v>0</v>
      </c>
      <c r="H2133">
        <v>77</v>
      </c>
      <c r="I2133">
        <v>55.4</v>
      </c>
      <c r="J2133">
        <v>66.5</v>
      </c>
      <c r="K2133">
        <v>51.7</v>
      </c>
      <c r="L2133">
        <v>61.1</v>
      </c>
      <c r="M2133" s="2">
        <f t="shared" si="332"/>
        <v>1</v>
      </c>
      <c r="N2133">
        <v>0</v>
      </c>
      <c r="O2133" s="2">
        <f t="shared" si="333"/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23.9</v>
      </c>
      <c r="V2133" s="2">
        <f t="shared" si="334"/>
        <v>1</v>
      </c>
      <c r="W2133">
        <v>9.1999999999999993</v>
      </c>
      <c r="X2133" s="2">
        <f t="shared" si="335"/>
        <v>0</v>
      </c>
      <c r="Y2133">
        <v>165.9</v>
      </c>
      <c r="Z2133" s="2" t="str">
        <f>CHOOSE(MATCH(Y2133,{0;11;80;111;161;191;241;281;341},1),"North","NorthEast","East","SouthEast","South","SouthWest","West","NorthWest","North")</f>
        <v>South</v>
      </c>
      <c r="AA2133" s="4">
        <f>CHOOSE(MATCH(Z2133,{"South";"SouthEast";"SouthWest";"North";"NorthEast";"East";"West";"NorthWest"},0),1,2,3,4,5,6,7,8)</f>
        <v>1</v>
      </c>
      <c r="AB2133" s="2">
        <f t="shared" si="336"/>
        <v>0</v>
      </c>
      <c r="AC2133">
        <v>1014.7</v>
      </c>
      <c r="AD2133" t="s">
        <v>2912</v>
      </c>
      <c r="AE2133" s="2">
        <f t="shared" si="337"/>
        <v>0</v>
      </c>
      <c r="AF2133" t="s">
        <v>2913</v>
      </c>
      <c r="AG2133" s="2">
        <f t="shared" si="338"/>
        <v>4</v>
      </c>
      <c r="AH2133" s="2">
        <f t="shared" si="339"/>
        <v>0</v>
      </c>
      <c r="AI2133" s="3">
        <v>113.0000000016298</v>
      </c>
      <c r="AJ2133" s="2">
        <v>0</v>
      </c>
      <c r="AK2133">
        <v>0</v>
      </c>
      <c r="AL2133">
        <v>6</v>
      </c>
      <c r="AM2133">
        <v>0</v>
      </c>
      <c r="AN2133" s="2">
        <f>IF((2*G2133+M2133-O2133+3*V2133+2*AB2133+2*AE2133+2*AH2133+3*AJ2133)&gt;=7,1,0)</f>
        <v>0</v>
      </c>
    </row>
    <row r="2134" spans="1:40" x14ac:dyDescent="0.25">
      <c r="A2134" t="s">
        <v>27</v>
      </c>
      <c r="B2134" s="1">
        <v>43217</v>
      </c>
      <c r="C2134" s="6">
        <f t="shared" si="330"/>
        <v>2018</v>
      </c>
      <c r="D2134">
        <v>75.3</v>
      </c>
      <c r="E2134">
        <v>57.2</v>
      </c>
      <c r="F2134">
        <v>66.900000000000006</v>
      </c>
      <c r="G2134" s="2">
        <f t="shared" si="331"/>
        <v>0</v>
      </c>
      <c r="H2134">
        <v>75.3</v>
      </c>
      <c r="I2134">
        <v>57.2</v>
      </c>
      <c r="J2134">
        <v>66.900000000000006</v>
      </c>
      <c r="K2134">
        <v>59</v>
      </c>
      <c r="L2134">
        <v>76.2</v>
      </c>
      <c r="M2134" s="2">
        <f t="shared" si="332"/>
        <v>0</v>
      </c>
      <c r="N2134">
        <v>0</v>
      </c>
      <c r="O2134" s="2">
        <f t="shared" si="333"/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21.9</v>
      </c>
      <c r="V2134" s="2">
        <f t="shared" si="334"/>
        <v>1</v>
      </c>
      <c r="W2134">
        <v>8.1</v>
      </c>
      <c r="X2134" s="2">
        <f t="shared" si="335"/>
        <v>0</v>
      </c>
      <c r="Y2134">
        <v>207</v>
      </c>
      <c r="Z2134" s="2" t="str">
        <f>CHOOSE(MATCH(Y2134,{0;11;80;111;161;191;241;281;341},1),"North","NorthEast","East","SouthEast","South","SouthWest","West","NorthWest","North")</f>
        <v>SouthWest</v>
      </c>
      <c r="AA2134" s="4">
        <f>CHOOSE(MATCH(Z2134,{"South";"SouthEast";"SouthWest";"North";"NorthEast";"East";"West";"NorthWest"},0),1,2,3,4,5,6,7,8)</f>
        <v>3</v>
      </c>
      <c r="AB2134" s="2">
        <f t="shared" si="336"/>
        <v>0</v>
      </c>
      <c r="AC2134">
        <v>1011.5</v>
      </c>
      <c r="AD2134" t="s">
        <v>1866</v>
      </c>
      <c r="AE2134" s="2">
        <f t="shared" si="337"/>
        <v>1</v>
      </c>
      <c r="AF2134" t="s">
        <v>2914</v>
      </c>
      <c r="AG2134" s="2">
        <f t="shared" si="338"/>
        <v>4</v>
      </c>
      <c r="AH2134" s="2">
        <f t="shared" si="339"/>
        <v>0</v>
      </c>
      <c r="AI2134" s="3">
        <v>364.99999999534339</v>
      </c>
      <c r="AJ2134" s="2">
        <v>1</v>
      </c>
      <c r="AK2134">
        <v>0</v>
      </c>
      <c r="AL2134">
        <v>3</v>
      </c>
      <c r="AM2134">
        <v>0</v>
      </c>
      <c r="AN2134" s="2">
        <f>IF((2*G2134+M2134-O2134+3*V2134+2*AB2134+2*AE2134+2*AH2134+3*AJ2134)&gt;=7,1,0)</f>
        <v>1</v>
      </c>
    </row>
    <row r="2135" spans="1:40" x14ac:dyDescent="0.25">
      <c r="A2135" t="s">
        <v>27</v>
      </c>
      <c r="B2135" s="1">
        <v>43218</v>
      </c>
      <c r="C2135" s="6">
        <f t="shared" si="330"/>
        <v>2018</v>
      </c>
      <c r="D2135">
        <v>77</v>
      </c>
      <c r="E2135">
        <v>54.8</v>
      </c>
      <c r="F2135">
        <v>68.900000000000006</v>
      </c>
      <c r="G2135" s="2">
        <f t="shared" si="331"/>
        <v>0</v>
      </c>
      <c r="H2135">
        <v>77</v>
      </c>
      <c r="I2135">
        <v>54.8</v>
      </c>
      <c r="J2135">
        <v>68.900000000000006</v>
      </c>
      <c r="K2135">
        <v>60</v>
      </c>
      <c r="L2135">
        <v>73.900000000000006</v>
      </c>
      <c r="M2135" s="2">
        <f t="shared" si="332"/>
        <v>0</v>
      </c>
      <c r="N2135">
        <v>0</v>
      </c>
      <c r="O2135" s="2">
        <f t="shared" si="333"/>
        <v>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18.3</v>
      </c>
      <c r="V2135" s="2">
        <f t="shared" si="334"/>
        <v>1</v>
      </c>
      <c r="W2135">
        <v>9.1999999999999993</v>
      </c>
      <c r="X2135" s="2">
        <f t="shared" si="335"/>
        <v>0</v>
      </c>
      <c r="Y2135">
        <v>134</v>
      </c>
      <c r="Z2135" s="2" t="str">
        <f>CHOOSE(MATCH(Y2135,{0;11;80;111;161;191;241;281;341},1),"North","NorthEast","East","SouthEast","South","SouthWest","West","NorthWest","North")</f>
        <v>SouthEast</v>
      </c>
      <c r="AA2135" s="4">
        <f>CHOOSE(MATCH(Z2135,{"South";"SouthEast";"SouthWest";"North";"NorthEast";"East";"West";"NorthWest"},0),1,2,3,4,5,6,7,8)</f>
        <v>2</v>
      </c>
      <c r="AB2135" s="2">
        <f t="shared" si="336"/>
        <v>0</v>
      </c>
      <c r="AC2135">
        <v>1012.7</v>
      </c>
      <c r="AD2135" t="s">
        <v>2400</v>
      </c>
      <c r="AE2135" s="2">
        <f t="shared" si="337"/>
        <v>1</v>
      </c>
      <c r="AF2135" t="s">
        <v>2915</v>
      </c>
      <c r="AG2135" s="2">
        <f t="shared" si="338"/>
        <v>4</v>
      </c>
      <c r="AH2135" s="2">
        <f t="shared" si="339"/>
        <v>0</v>
      </c>
      <c r="AI2135" s="3">
        <v>125.9999999916181</v>
      </c>
      <c r="AJ2135" s="2">
        <v>0</v>
      </c>
      <c r="AK2135">
        <v>0</v>
      </c>
      <c r="AL2135">
        <v>1</v>
      </c>
      <c r="AM2135">
        <v>0</v>
      </c>
      <c r="AN2135" s="2">
        <f>IF((2*G2135+M2135-O2135+3*V2135+2*AB2135+2*AE2135+2*AH2135+3*AJ2135)&gt;=7,1,0)</f>
        <v>0</v>
      </c>
    </row>
    <row r="2136" spans="1:40" x14ac:dyDescent="0.25">
      <c r="A2136" t="s">
        <v>27</v>
      </c>
      <c r="B2136" s="1">
        <v>43221</v>
      </c>
      <c r="C2136" s="6">
        <f t="shared" si="330"/>
        <v>2018</v>
      </c>
      <c r="D2136">
        <v>75.2</v>
      </c>
      <c r="E2136">
        <v>59</v>
      </c>
      <c r="F2136">
        <v>67.900000000000006</v>
      </c>
      <c r="G2136" s="2">
        <f t="shared" si="331"/>
        <v>0</v>
      </c>
      <c r="H2136">
        <v>75.2</v>
      </c>
      <c r="I2136">
        <v>59</v>
      </c>
      <c r="J2136">
        <v>67.900000000000006</v>
      </c>
      <c r="K2136">
        <v>63.5</v>
      </c>
      <c r="L2136">
        <v>86</v>
      </c>
      <c r="M2136" s="2">
        <f t="shared" si="332"/>
        <v>0</v>
      </c>
      <c r="N2136">
        <v>0</v>
      </c>
      <c r="O2136" s="2">
        <f t="shared" si="333"/>
        <v>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16.100000000000001</v>
      </c>
      <c r="V2136" s="2">
        <f t="shared" si="334"/>
        <v>1</v>
      </c>
      <c r="W2136">
        <v>8.1</v>
      </c>
      <c r="X2136" s="2">
        <f t="shared" si="335"/>
        <v>0</v>
      </c>
      <c r="Y2136">
        <v>87</v>
      </c>
      <c r="Z2136" s="2" t="str">
        <f>CHOOSE(MATCH(Y2136,{0;11;80;111;161;191;241;281;341},1),"North","NorthEast","East","SouthEast","South","SouthWest","West","NorthWest","North")</f>
        <v>East</v>
      </c>
      <c r="AA2136" s="4">
        <f>CHOOSE(MATCH(Z2136,{"South";"SouthEast";"SouthWest";"North";"NorthEast";"East";"West";"NorthWest"},0),1,2,3,4,5,6,7,8)</f>
        <v>6</v>
      </c>
      <c r="AB2136" s="2">
        <f t="shared" si="336"/>
        <v>0</v>
      </c>
      <c r="AC2136">
        <v>1011</v>
      </c>
      <c r="AD2136" t="s">
        <v>2335</v>
      </c>
      <c r="AE2136" s="2">
        <f t="shared" si="337"/>
        <v>1</v>
      </c>
      <c r="AF2136" t="s">
        <v>2916</v>
      </c>
      <c r="AG2136" s="2">
        <f t="shared" si="338"/>
        <v>5</v>
      </c>
      <c r="AH2136" s="2">
        <f t="shared" si="339"/>
        <v>0</v>
      </c>
      <c r="AI2136" s="3">
        <v>220.99999999743889</v>
      </c>
      <c r="AJ2136" s="2">
        <v>0</v>
      </c>
      <c r="AK2136">
        <v>0</v>
      </c>
      <c r="AL2136">
        <v>0.5</v>
      </c>
      <c r="AM2136">
        <v>0</v>
      </c>
      <c r="AN2136" s="2">
        <f>IF((2*G2136+M2136-O2136+3*V2136+2*AB2136+2*AE2136+2*AH2136+3*AJ2136)&gt;=7,1,0)</f>
        <v>0</v>
      </c>
    </row>
    <row r="2137" spans="1:40" x14ac:dyDescent="0.25">
      <c r="A2137" t="s">
        <v>27</v>
      </c>
      <c r="B2137" s="1">
        <v>43226</v>
      </c>
      <c r="C2137" s="6">
        <f t="shared" si="330"/>
        <v>2018</v>
      </c>
      <c r="D2137">
        <v>71.599999999999994</v>
      </c>
      <c r="E2137">
        <v>59</v>
      </c>
      <c r="F2137">
        <v>66.7</v>
      </c>
      <c r="G2137" s="2">
        <f t="shared" si="331"/>
        <v>0</v>
      </c>
      <c r="H2137">
        <v>71.599999999999994</v>
      </c>
      <c r="I2137">
        <v>59</v>
      </c>
      <c r="J2137">
        <v>66.7</v>
      </c>
      <c r="K2137">
        <v>61.9</v>
      </c>
      <c r="L2137">
        <v>84.7</v>
      </c>
      <c r="M2137" s="2">
        <f t="shared" si="332"/>
        <v>0</v>
      </c>
      <c r="N2137">
        <v>0</v>
      </c>
      <c r="O2137" s="2">
        <f t="shared" si="333"/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21.9</v>
      </c>
      <c r="V2137" s="2">
        <f t="shared" si="334"/>
        <v>1</v>
      </c>
      <c r="W2137">
        <v>17.2</v>
      </c>
      <c r="X2137" s="2">
        <f t="shared" si="335"/>
        <v>1</v>
      </c>
      <c r="Y2137">
        <v>303.8</v>
      </c>
      <c r="Z2137" s="2" t="str">
        <f>CHOOSE(MATCH(Y2137,{0;11;80;111;161;191;241;281;341},1),"North","NorthEast","East","SouthEast","South","SouthWest","West","NorthWest","North")</f>
        <v>NorthWest</v>
      </c>
      <c r="AA2137" s="4">
        <f>CHOOSE(MATCH(Z2137,{"South";"SouthEast";"SouthWest";"North";"NorthEast";"East";"West";"NorthWest"},0),1,2,3,4,5,6,7,8)</f>
        <v>8</v>
      </c>
      <c r="AB2137" s="2">
        <f t="shared" si="336"/>
        <v>1</v>
      </c>
      <c r="AC2137">
        <v>1009.7</v>
      </c>
      <c r="AD2137" t="s">
        <v>1787</v>
      </c>
      <c r="AE2137" s="2">
        <f t="shared" si="337"/>
        <v>0</v>
      </c>
      <c r="AF2137" t="s">
        <v>2917</v>
      </c>
      <c r="AG2137" s="2">
        <f t="shared" si="338"/>
        <v>5</v>
      </c>
      <c r="AH2137" s="2">
        <f t="shared" si="339"/>
        <v>0</v>
      </c>
      <c r="AI2137" s="3">
        <v>454.00000000256108</v>
      </c>
      <c r="AJ2137" s="2">
        <v>1</v>
      </c>
      <c r="AK2137">
        <v>3</v>
      </c>
      <c r="AL2137">
        <v>0</v>
      </c>
      <c r="AM2137">
        <v>0</v>
      </c>
      <c r="AN2137" s="2">
        <f>IF((2*G2137+M2137-O2137+3*V2137+2*AB2137+2*AE2137+2*AH2137+3*AJ2137)&gt;=7,1,0)</f>
        <v>1</v>
      </c>
    </row>
    <row r="2138" spans="1:40" x14ac:dyDescent="0.25">
      <c r="A2138" t="s">
        <v>27</v>
      </c>
      <c r="B2138" s="1">
        <v>43246</v>
      </c>
      <c r="C2138" s="6">
        <f t="shared" si="330"/>
        <v>2018</v>
      </c>
      <c r="D2138">
        <v>75.2</v>
      </c>
      <c r="E2138">
        <v>69.8</v>
      </c>
      <c r="F2138">
        <v>72.3</v>
      </c>
      <c r="G2138" s="2">
        <f t="shared" si="331"/>
        <v>1</v>
      </c>
      <c r="H2138">
        <v>75.2</v>
      </c>
      <c r="I2138">
        <v>69.8</v>
      </c>
      <c r="J2138">
        <v>72.3</v>
      </c>
      <c r="K2138">
        <v>67</v>
      </c>
      <c r="L2138">
        <v>83.7</v>
      </c>
      <c r="M2138" s="2">
        <f t="shared" si="332"/>
        <v>0</v>
      </c>
      <c r="N2138">
        <v>4.0000000000000001E-3</v>
      </c>
      <c r="O2138" s="2">
        <f t="shared" si="333"/>
        <v>1</v>
      </c>
      <c r="P2138">
        <v>100</v>
      </c>
      <c r="Q2138">
        <v>4.17</v>
      </c>
      <c r="R2138" t="s">
        <v>182</v>
      </c>
      <c r="S2138">
        <v>0</v>
      </c>
      <c r="T2138">
        <v>0</v>
      </c>
      <c r="U2138">
        <v>33.799999999999997</v>
      </c>
      <c r="V2138" s="2">
        <f t="shared" si="334"/>
        <v>1</v>
      </c>
      <c r="W2138">
        <v>19.7</v>
      </c>
      <c r="X2138" s="2">
        <f t="shared" si="335"/>
        <v>1</v>
      </c>
      <c r="Y2138">
        <v>302.89999999999998</v>
      </c>
      <c r="Z2138" s="2" t="str">
        <f>CHOOSE(MATCH(Y2138,{0;11;80;111;161;191;241;281;341},1),"North","NorthEast","East","SouthEast","South","SouthWest","West","NorthWest","North")</f>
        <v>NorthWest</v>
      </c>
      <c r="AA2138" s="4">
        <f>CHOOSE(MATCH(Z2138,{"South";"SouthEast";"SouthWest";"North";"NorthEast";"East";"West";"NorthWest"},0),1,2,3,4,5,6,7,8)</f>
        <v>8</v>
      </c>
      <c r="AB2138" s="2">
        <f t="shared" si="336"/>
        <v>1</v>
      </c>
      <c r="AC2138">
        <v>1010.8</v>
      </c>
      <c r="AD2138" t="s">
        <v>1885</v>
      </c>
      <c r="AE2138" s="2">
        <f t="shared" si="337"/>
        <v>1</v>
      </c>
      <c r="AF2138" t="s">
        <v>2918</v>
      </c>
      <c r="AG2138" s="2">
        <f t="shared" si="338"/>
        <v>5</v>
      </c>
      <c r="AH2138" s="2">
        <f t="shared" si="339"/>
        <v>0</v>
      </c>
      <c r="AI2138" s="3">
        <v>155.00000000232831</v>
      </c>
      <c r="AJ2138" s="2">
        <v>0</v>
      </c>
      <c r="AK2138">
        <v>0</v>
      </c>
      <c r="AL2138">
        <v>0.6</v>
      </c>
      <c r="AM2138">
        <v>0</v>
      </c>
      <c r="AN2138" s="2">
        <f>IF((2*G2138+M2138-O2138+3*V2138+2*AB2138+2*AE2138+2*AH2138+3*AJ2138)&gt;=7,1,0)</f>
        <v>1</v>
      </c>
    </row>
    <row r="2139" spans="1:40" x14ac:dyDescent="0.25">
      <c r="A2139" t="s">
        <v>27</v>
      </c>
      <c r="B2139" s="1">
        <v>43249</v>
      </c>
      <c r="C2139" s="6">
        <f t="shared" si="330"/>
        <v>2018</v>
      </c>
      <c r="D2139">
        <v>75.2</v>
      </c>
      <c r="E2139">
        <v>69.8</v>
      </c>
      <c r="F2139">
        <v>72.3</v>
      </c>
      <c r="G2139" s="2">
        <f t="shared" si="331"/>
        <v>1</v>
      </c>
      <c r="H2139">
        <v>75.2</v>
      </c>
      <c r="I2139">
        <v>69.8</v>
      </c>
      <c r="J2139">
        <v>72.3</v>
      </c>
      <c r="K2139">
        <v>64.3</v>
      </c>
      <c r="L2139">
        <v>76.3</v>
      </c>
      <c r="M2139" s="2">
        <f t="shared" si="332"/>
        <v>0</v>
      </c>
      <c r="N2139">
        <v>0</v>
      </c>
      <c r="O2139" s="2">
        <f t="shared" si="333"/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37.1</v>
      </c>
      <c r="V2139" s="2">
        <f t="shared" si="334"/>
        <v>1</v>
      </c>
      <c r="W2139">
        <v>20.8</v>
      </c>
      <c r="X2139" s="2">
        <f t="shared" si="335"/>
        <v>1</v>
      </c>
      <c r="Y2139">
        <v>302.8</v>
      </c>
      <c r="Z2139" s="2" t="str">
        <f>CHOOSE(MATCH(Y2139,{0;11;80;111;161;191;241;281;341},1),"North","NorthEast","East","SouthEast","South","SouthWest","West","NorthWest","North")</f>
        <v>NorthWest</v>
      </c>
      <c r="AA2139" s="4">
        <f>CHOOSE(MATCH(Z2139,{"South";"SouthEast";"SouthWest";"North";"NorthEast";"East";"West";"NorthWest"},0),1,2,3,4,5,6,7,8)</f>
        <v>8</v>
      </c>
      <c r="AB2139" s="2">
        <f t="shared" si="336"/>
        <v>1</v>
      </c>
      <c r="AC2139">
        <v>1013</v>
      </c>
      <c r="AD2139" t="s">
        <v>2919</v>
      </c>
      <c r="AE2139" s="2">
        <f t="shared" si="337"/>
        <v>0</v>
      </c>
      <c r="AF2139" t="s">
        <v>2920</v>
      </c>
      <c r="AG2139" s="2">
        <f t="shared" si="338"/>
        <v>5</v>
      </c>
      <c r="AH2139" s="2">
        <f t="shared" si="339"/>
        <v>0</v>
      </c>
      <c r="AI2139" s="3">
        <v>3079.9999999918509</v>
      </c>
      <c r="AJ2139" s="2">
        <v>1</v>
      </c>
      <c r="AK2139">
        <v>0</v>
      </c>
      <c r="AL2139">
        <v>70</v>
      </c>
      <c r="AM2139">
        <v>0</v>
      </c>
      <c r="AN2139" s="2">
        <f>IF((2*G2139+M2139-O2139+3*V2139+2*AB2139+2*AE2139+2*AH2139+3*AJ2139)&gt;=7,1,0)</f>
        <v>1</v>
      </c>
    </row>
    <row r="2140" spans="1:40" x14ac:dyDescent="0.25">
      <c r="A2140" t="s">
        <v>27</v>
      </c>
      <c r="B2140" s="1">
        <v>43254</v>
      </c>
      <c r="C2140" s="6">
        <f t="shared" si="330"/>
        <v>2018</v>
      </c>
      <c r="D2140">
        <v>82.4</v>
      </c>
      <c r="E2140">
        <v>68</v>
      </c>
      <c r="F2140">
        <v>76.2</v>
      </c>
      <c r="G2140" s="2">
        <f t="shared" si="331"/>
        <v>1</v>
      </c>
      <c r="H2140">
        <v>86.2</v>
      </c>
      <c r="I2140">
        <v>68</v>
      </c>
      <c r="J2140">
        <v>77</v>
      </c>
      <c r="K2140">
        <v>65.400000000000006</v>
      </c>
      <c r="L2140">
        <v>70.2</v>
      </c>
      <c r="M2140" s="2">
        <f t="shared" si="332"/>
        <v>0</v>
      </c>
      <c r="N2140">
        <v>0</v>
      </c>
      <c r="O2140" s="2">
        <f t="shared" si="333"/>
        <v>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30.6</v>
      </c>
      <c r="V2140" s="2">
        <f t="shared" si="334"/>
        <v>1</v>
      </c>
      <c r="W2140">
        <v>20.8</v>
      </c>
      <c r="X2140" s="2">
        <f t="shared" si="335"/>
        <v>1</v>
      </c>
      <c r="Y2140">
        <v>298.89999999999998</v>
      </c>
      <c r="Z2140" s="2" t="str">
        <f>CHOOSE(MATCH(Y2140,{0;11;80;111;161;191;241;281;341},1),"North","NorthEast","East","SouthEast","South","SouthWest","West","NorthWest","North")</f>
        <v>NorthWest</v>
      </c>
      <c r="AA2140" s="4">
        <f>CHOOSE(MATCH(Z2140,{"South";"SouthEast";"SouthWest";"North";"NorthEast";"East";"West";"NorthWest"},0),1,2,3,4,5,6,7,8)</f>
        <v>8</v>
      </c>
      <c r="AB2140" s="2">
        <f t="shared" si="336"/>
        <v>1</v>
      </c>
      <c r="AC2140">
        <v>1012.5</v>
      </c>
      <c r="AD2140" t="s">
        <v>2921</v>
      </c>
      <c r="AE2140" s="2">
        <f t="shared" si="337"/>
        <v>1</v>
      </c>
      <c r="AF2140" t="s">
        <v>2922</v>
      </c>
      <c r="AG2140" s="2">
        <f t="shared" si="338"/>
        <v>6</v>
      </c>
      <c r="AH2140" s="2">
        <f t="shared" si="339"/>
        <v>1</v>
      </c>
      <c r="AI2140" s="3">
        <v>378.00000000628643</v>
      </c>
      <c r="AJ2140" s="2">
        <v>1</v>
      </c>
      <c r="AK2140">
        <v>0</v>
      </c>
      <c r="AL2140">
        <v>1</v>
      </c>
      <c r="AM2140">
        <v>0</v>
      </c>
      <c r="AN2140" s="2">
        <f>IF((2*G2140+M2140-O2140+3*V2140+2*AB2140+2*AE2140+2*AH2140+3*AJ2140)&gt;=7,1,0)</f>
        <v>1</v>
      </c>
    </row>
    <row r="2141" spans="1:40" x14ac:dyDescent="0.25">
      <c r="A2141" t="s">
        <v>27</v>
      </c>
      <c r="B2141" s="1">
        <v>43257</v>
      </c>
      <c r="C2141" s="6">
        <f t="shared" si="330"/>
        <v>2018</v>
      </c>
      <c r="D2141">
        <v>89.6</v>
      </c>
      <c r="E2141">
        <v>68</v>
      </c>
      <c r="F2141">
        <v>80.400000000000006</v>
      </c>
      <c r="G2141" s="2">
        <f t="shared" si="331"/>
        <v>1</v>
      </c>
      <c r="H2141">
        <v>91.3</v>
      </c>
      <c r="I2141">
        <v>68</v>
      </c>
      <c r="J2141">
        <v>81</v>
      </c>
      <c r="K2141">
        <v>62.9</v>
      </c>
      <c r="L2141">
        <v>58.5</v>
      </c>
      <c r="M2141" s="2">
        <f t="shared" si="332"/>
        <v>1</v>
      </c>
      <c r="N2141">
        <v>0</v>
      </c>
      <c r="O2141" s="2">
        <f t="shared" si="333"/>
        <v>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18.600000000000001</v>
      </c>
      <c r="V2141" s="2">
        <f t="shared" si="334"/>
        <v>1</v>
      </c>
      <c r="W2141">
        <v>11.4</v>
      </c>
      <c r="X2141" s="2">
        <f t="shared" si="335"/>
        <v>0</v>
      </c>
      <c r="Y2141">
        <v>144</v>
      </c>
      <c r="Z2141" s="2" t="str">
        <f>CHOOSE(MATCH(Y2141,{0;11;80;111;161;191;241;281;341},1),"North","NorthEast","East","SouthEast","South","SouthWest","West","NorthWest","North")</f>
        <v>SouthEast</v>
      </c>
      <c r="AA2141" s="4">
        <f>CHOOSE(MATCH(Z2141,{"South";"SouthEast";"SouthWest";"North";"NorthEast";"East";"West";"NorthWest"},0),1,2,3,4,5,6,7,8)</f>
        <v>2</v>
      </c>
      <c r="AB2141" s="2">
        <f t="shared" si="336"/>
        <v>0</v>
      </c>
      <c r="AC2141">
        <v>1012.1</v>
      </c>
      <c r="AD2141" t="s">
        <v>2923</v>
      </c>
      <c r="AE2141" s="2">
        <f t="shared" si="337"/>
        <v>0</v>
      </c>
      <c r="AF2141" t="s">
        <v>2924</v>
      </c>
      <c r="AG2141" s="2">
        <f t="shared" si="338"/>
        <v>6</v>
      </c>
      <c r="AH2141" s="2">
        <f t="shared" si="339"/>
        <v>1</v>
      </c>
      <c r="AI2141" s="3">
        <v>50.999999998603023</v>
      </c>
      <c r="AJ2141" s="2">
        <v>0</v>
      </c>
      <c r="AK2141">
        <v>0</v>
      </c>
      <c r="AL2141">
        <v>0</v>
      </c>
      <c r="AM2141">
        <v>0.1</v>
      </c>
      <c r="AN2141" s="2">
        <f>IF((2*G2141+M2141-O2141+3*V2141+2*AB2141+2*AE2141+2*AH2141+3*AJ2141)&gt;=7,1,0)</f>
        <v>1</v>
      </c>
    </row>
    <row r="2142" spans="1:40" x14ac:dyDescent="0.25">
      <c r="A2142" t="s">
        <v>27</v>
      </c>
      <c r="B2142" s="1">
        <v>43257</v>
      </c>
      <c r="C2142" s="6">
        <f t="shared" si="330"/>
        <v>2018</v>
      </c>
      <c r="D2142">
        <v>89.6</v>
      </c>
      <c r="E2142">
        <v>68</v>
      </c>
      <c r="F2142">
        <v>80.400000000000006</v>
      </c>
      <c r="G2142" s="2">
        <f t="shared" si="331"/>
        <v>1</v>
      </c>
      <c r="H2142">
        <v>91.3</v>
      </c>
      <c r="I2142">
        <v>68</v>
      </c>
      <c r="J2142">
        <v>81</v>
      </c>
      <c r="K2142">
        <v>62.9</v>
      </c>
      <c r="L2142">
        <v>58.5</v>
      </c>
      <c r="M2142" s="2">
        <f t="shared" si="332"/>
        <v>1</v>
      </c>
      <c r="N2142">
        <v>0</v>
      </c>
      <c r="O2142" s="2">
        <f t="shared" si="333"/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18.600000000000001</v>
      </c>
      <c r="V2142" s="2">
        <f t="shared" si="334"/>
        <v>1</v>
      </c>
      <c r="W2142">
        <v>11.4</v>
      </c>
      <c r="X2142" s="2">
        <f t="shared" si="335"/>
        <v>0</v>
      </c>
      <c r="Y2142">
        <v>144</v>
      </c>
      <c r="Z2142" s="2" t="str">
        <f>CHOOSE(MATCH(Y2142,{0;11;80;111;161;191;241;281;341},1),"North","NorthEast","East","SouthEast","South","SouthWest","West","NorthWest","North")</f>
        <v>SouthEast</v>
      </c>
      <c r="AA2142" s="4">
        <f>CHOOSE(MATCH(Z2142,{"South";"SouthEast";"SouthWest";"North";"NorthEast";"East";"West";"NorthWest"},0),1,2,3,4,5,6,7,8)</f>
        <v>2</v>
      </c>
      <c r="AB2142" s="2">
        <f t="shared" si="336"/>
        <v>0</v>
      </c>
      <c r="AC2142">
        <v>1012.1</v>
      </c>
      <c r="AD2142" t="s">
        <v>2925</v>
      </c>
      <c r="AE2142" s="2">
        <f t="shared" si="337"/>
        <v>1</v>
      </c>
      <c r="AF2142" t="s">
        <v>2926</v>
      </c>
      <c r="AG2142" s="2">
        <f t="shared" si="338"/>
        <v>6</v>
      </c>
      <c r="AH2142" s="2">
        <f t="shared" si="339"/>
        <v>1</v>
      </c>
      <c r="AI2142" s="3">
        <v>1647.999999996973</v>
      </c>
      <c r="AJ2142" s="2">
        <v>1</v>
      </c>
      <c r="AK2142">
        <v>0.5</v>
      </c>
      <c r="AL2142">
        <v>0</v>
      </c>
      <c r="AM2142">
        <v>0</v>
      </c>
      <c r="AN2142" s="2">
        <f>IF((2*G2142+M2142-O2142+3*V2142+2*AB2142+2*AE2142+2*AH2142+3*AJ2142)&gt;=7,1,0)</f>
        <v>1</v>
      </c>
    </row>
    <row r="2143" spans="1:40" x14ac:dyDescent="0.25">
      <c r="A2143" t="s">
        <v>27</v>
      </c>
      <c r="B2143" s="1">
        <v>43257</v>
      </c>
      <c r="C2143" s="6">
        <f t="shared" si="330"/>
        <v>2018</v>
      </c>
      <c r="D2143">
        <v>89.6</v>
      </c>
      <c r="E2143">
        <v>68</v>
      </c>
      <c r="F2143">
        <v>80.400000000000006</v>
      </c>
      <c r="G2143" s="2">
        <f t="shared" si="331"/>
        <v>1</v>
      </c>
      <c r="H2143">
        <v>91.3</v>
      </c>
      <c r="I2143">
        <v>68</v>
      </c>
      <c r="J2143">
        <v>81</v>
      </c>
      <c r="K2143">
        <v>62.9</v>
      </c>
      <c r="L2143">
        <v>58.5</v>
      </c>
      <c r="M2143" s="2">
        <f t="shared" si="332"/>
        <v>1</v>
      </c>
      <c r="N2143">
        <v>0</v>
      </c>
      <c r="O2143" s="2">
        <f t="shared" si="333"/>
        <v>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18.600000000000001</v>
      </c>
      <c r="V2143" s="2">
        <f t="shared" si="334"/>
        <v>1</v>
      </c>
      <c r="W2143">
        <v>11.4</v>
      </c>
      <c r="X2143" s="2">
        <f t="shared" si="335"/>
        <v>0</v>
      </c>
      <c r="Y2143">
        <v>144</v>
      </c>
      <c r="Z2143" s="2" t="str">
        <f>CHOOSE(MATCH(Y2143,{0;11;80;111;161;191;241;281;341},1),"North","NorthEast","East","SouthEast","South","SouthWest","West","NorthWest","North")</f>
        <v>SouthEast</v>
      </c>
      <c r="AA2143" s="4">
        <f>CHOOSE(MATCH(Z2143,{"South";"SouthEast";"SouthWest";"North";"NorthEast";"East";"West";"NorthWest"},0),1,2,3,4,5,6,7,8)</f>
        <v>2</v>
      </c>
      <c r="AB2143" s="2">
        <f t="shared" si="336"/>
        <v>0</v>
      </c>
      <c r="AC2143">
        <v>1012.1</v>
      </c>
      <c r="AD2143" t="s">
        <v>2113</v>
      </c>
      <c r="AE2143" s="2">
        <f t="shared" si="337"/>
        <v>1</v>
      </c>
      <c r="AF2143" t="s">
        <v>2927</v>
      </c>
      <c r="AG2143" s="2">
        <f t="shared" si="338"/>
        <v>6</v>
      </c>
      <c r="AH2143" s="2">
        <f t="shared" si="339"/>
        <v>1</v>
      </c>
      <c r="AI2143" s="3">
        <v>1058.00000000163</v>
      </c>
      <c r="AJ2143" s="2">
        <v>1</v>
      </c>
      <c r="AK2143">
        <v>0</v>
      </c>
      <c r="AL2143">
        <v>20</v>
      </c>
      <c r="AM2143">
        <v>0</v>
      </c>
      <c r="AN2143" s="2">
        <f>IF((2*G2143+M2143-O2143+3*V2143+2*AB2143+2*AE2143+2*AH2143+3*AJ2143)&gt;=7,1,0)</f>
        <v>1</v>
      </c>
    </row>
    <row r="2144" spans="1:40" x14ac:dyDescent="0.25">
      <c r="A2144" t="s">
        <v>27</v>
      </c>
      <c r="B2144" s="1">
        <v>43261</v>
      </c>
      <c r="C2144" s="6">
        <f t="shared" si="330"/>
        <v>2018</v>
      </c>
      <c r="D2144">
        <v>80.599999999999994</v>
      </c>
      <c r="E2144">
        <v>71.599999999999994</v>
      </c>
      <c r="F2144">
        <v>76.2</v>
      </c>
      <c r="G2144" s="2">
        <f t="shared" si="331"/>
        <v>1</v>
      </c>
      <c r="H2144">
        <v>83.3</v>
      </c>
      <c r="I2144">
        <v>71.599999999999994</v>
      </c>
      <c r="J2144">
        <v>76.400000000000006</v>
      </c>
      <c r="K2144">
        <v>66.8</v>
      </c>
      <c r="L2144">
        <v>73.3</v>
      </c>
      <c r="M2144" s="2">
        <f t="shared" si="332"/>
        <v>0</v>
      </c>
      <c r="N2144">
        <v>0</v>
      </c>
      <c r="O2144" s="2">
        <f t="shared" si="333"/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29.8</v>
      </c>
      <c r="V2144" s="2">
        <f t="shared" si="334"/>
        <v>1</v>
      </c>
      <c r="W2144">
        <v>28.9</v>
      </c>
      <c r="X2144" s="2">
        <f t="shared" si="335"/>
        <v>1</v>
      </c>
      <c r="Y2144">
        <v>285.7</v>
      </c>
      <c r="Z2144" s="2" t="str">
        <f>CHOOSE(MATCH(Y2144,{0;11;80;111;161;191;241;281;341},1),"North","NorthEast","East","SouthEast","South","SouthWest","West","NorthWest","North")</f>
        <v>NorthWest</v>
      </c>
      <c r="AA2144" s="4">
        <f>CHOOSE(MATCH(Z2144,{"South";"SouthEast";"SouthWest";"North";"NorthEast";"East";"West";"NorthWest"},0),1,2,3,4,5,6,7,8)</f>
        <v>8</v>
      </c>
      <c r="AB2144" s="2">
        <f t="shared" si="336"/>
        <v>1</v>
      </c>
      <c r="AC2144">
        <v>1007</v>
      </c>
      <c r="AD2144" t="s">
        <v>2928</v>
      </c>
      <c r="AE2144" s="2">
        <f t="shared" si="337"/>
        <v>0</v>
      </c>
      <c r="AF2144" t="s">
        <v>2929</v>
      </c>
      <c r="AG2144" s="2">
        <f t="shared" si="338"/>
        <v>6</v>
      </c>
      <c r="AH2144" s="2">
        <f t="shared" si="339"/>
        <v>1</v>
      </c>
      <c r="AI2144" s="3">
        <v>170104.99999999531</v>
      </c>
      <c r="AJ2144" s="2">
        <v>1</v>
      </c>
      <c r="AK2144">
        <v>0.03</v>
      </c>
      <c r="AL2144">
        <v>0</v>
      </c>
      <c r="AM2144">
        <v>0</v>
      </c>
      <c r="AN2144" s="2">
        <f>IF((2*G2144+M2144-O2144+3*V2144+2*AB2144+2*AE2144+2*AH2144+3*AJ2144)&gt;=7,1,0)</f>
        <v>1</v>
      </c>
    </row>
    <row r="2145" spans="1:40" x14ac:dyDescent="0.25">
      <c r="A2145" t="s">
        <v>27</v>
      </c>
      <c r="B2145" s="1">
        <v>43263</v>
      </c>
      <c r="C2145" s="6">
        <f t="shared" si="330"/>
        <v>2018</v>
      </c>
      <c r="D2145">
        <v>80.599999999999994</v>
      </c>
      <c r="E2145">
        <v>75.2</v>
      </c>
      <c r="F2145">
        <v>78.099999999999994</v>
      </c>
      <c r="G2145" s="2">
        <f t="shared" si="331"/>
        <v>1</v>
      </c>
      <c r="H2145">
        <v>83.3</v>
      </c>
      <c r="I2145">
        <v>75.2</v>
      </c>
      <c r="J2145">
        <v>78.7</v>
      </c>
      <c r="K2145">
        <v>64.7</v>
      </c>
      <c r="L2145">
        <v>63.8</v>
      </c>
      <c r="M2145" s="2">
        <f t="shared" si="332"/>
        <v>1</v>
      </c>
      <c r="N2145">
        <v>0</v>
      </c>
      <c r="O2145" s="2">
        <f t="shared" si="333"/>
        <v>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33.1</v>
      </c>
      <c r="V2145" s="2">
        <f t="shared" si="334"/>
        <v>1</v>
      </c>
      <c r="W2145">
        <v>21.9</v>
      </c>
      <c r="X2145" s="2">
        <f t="shared" si="335"/>
        <v>1</v>
      </c>
      <c r="Y2145">
        <v>299.8</v>
      </c>
      <c r="Z2145" s="2" t="str">
        <f>CHOOSE(MATCH(Y2145,{0;11;80;111;161;191;241;281;341},1),"North","NorthEast","East","SouthEast","South","SouthWest","West","NorthWest","North")</f>
        <v>NorthWest</v>
      </c>
      <c r="AA2145" s="4">
        <f>CHOOSE(MATCH(Z2145,{"South";"SouthEast";"SouthWest";"North";"NorthEast";"East";"West";"NorthWest"},0),1,2,3,4,5,6,7,8)</f>
        <v>8</v>
      </c>
      <c r="AB2145" s="2">
        <f t="shared" si="336"/>
        <v>1</v>
      </c>
      <c r="AC2145">
        <v>1006.9</v>
      </c>
      <c r="AD2145" t="s">
        <v>1093</v>
      </c>
      <c r="AE2145" s="2">
        <f t="shared" si="337"/>
        <v>1</v>
      </c>
      <c r="AF2145" t="s">
        <v>2930</v>
      </c>
      <c r="AG2145" s="2">
        <f t="shared" si="338"/>
        <v>6</v>
      </c>
      <c r="AH2145" s="2">
        <f t="shared" si="339"/>
        <v>1</v>
      </c>
      <c r="AI2145" s="3">
        <v>0</v>
      </c>
      <c r="AJ2145" s="2">
        <v>0</v>
      </c>
      <c r="AK2145">
        <v>0.02</v>
      </c>
      <c r="AL2145">
        <v>0</v>
      </c>
      <c r="AM2145">
        <v>0</v>
      </c>
      <c r="AN2145" s="2">
        <f>IF((2*G2145+M2145-O2145+3*V2145+2*AB2145+2*AE2145+2*AH2145+3*AJ2145)&gt;=7,1,0)</f>
        <v>1</v>
      </c>
    </row>
    <row r="2146" spans="1:40" x14ac:dyDescent="0.25">
      <c r="A2146" t="s">
        <v>27</v>
      </c>
      <c r="B2146" s="1">
        <v>43265</v>
      </c>
      <c r="C2146" s="6">
        <f t="shared" si="330"/>
        <v>2018</v>
      </c>
      <c r="D2146">
        <v>87.8</v>
      </c>
      <c r="E2146">
        <v>71.599999999999994</v>
      </c>
      <c r="F2146">
        <v>79.900000000000006</v>
      </c>
      <c r="G2146" s="2">
        <f t="shared" si="331"/>
        <v>1</v>
      </c>
      <c r="H2146">
        <v>94.2</v>
      </c>
      <c r="I2146">
        <v>71.599999999999994</v>
      </c>
      <c r="J2146">
        <v>81.7</v>
      </c>
      <c r="K2146">
        <v>65.3</v>
      </c>
      <c r="L2146">
        <v>61.7</v>
      </c>
      <c r="M2146" s="2">
        <f t="shared" si="332"/>
        <v>1</v>
      </c>
      <c r="N2146">
        <v>0</v>
      </c>
      <c r="O2146" s="2">
        <f t="shared" si="333"/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19</v>
      </c>
      <c r="V2146" s="2">
        <f t="shared" si="334"/>
        <v>1</v>
      </c>
      <c r="W2146">
        <v>12.7</v>
      </c>
      <c r="X2146" s="2">
        <f t="shared" si="335"/>
        <v>0</v>
      </c>
      <c r="Y2146">
        <v>115.6</v>
      </c>
      <c r="Z2146" s="2" t="str">
        <f>CHOOSE(MATCH(Y2146,{0;11;80;111;161;191;241;281;341},1),"North","NorthEast","East","SouthEast","South","SouthWest","West","NorthWest","North")</f>
        <v>SouthEast</v>
      </c>
      <c r="AA2146" s="4">
        <f>CHOOSE(MATCH(Z2146,{"South";"SouthEast";"SouthWest";"North";"NorthEast";"East";"West";"NorthWest"},0),1,2,3,4,5,6,7,8)</f>
        <v>2</v>
      </c>
      <c r="AB2146" s="2">
        <f t="shared" si="336"/>
        <v>0</v>
      </c>
      <c r="AC2146">
        <v>1004.1</v>
      </c>
      <c r="AD2146" t="s">
        <v>1983</v>
      </c>
      <c r="AE2146" s="2">
        <f t="shared" si="337"/>
        <v>1</v>
      </c>
      <c r="AF2146" t="s">
        <v>2931</v>
      </c>
      <c r="AG2146" s="2">
        <f t="shared" si="338"/>
        <v>6</v>
      </c>
      <c r="AH2146" s="2">
        <f t="shared" si="339"/>
        <v>1</v>
      </c>
      <c r="AI2146" s="3">
        <v>55.000000001164153</v>
      </c>
      <c r="AJ2146" s="2">
        <v>0</v>
      </c>
      <c r="AK2146">
        <v>0.01</v>
      </c>
      <c r="AL2146">
        <v>0</v>
      </c>
      <c r="AM2146">
        <v>0</v>
      </c>
      <c r="AN2146" s="2">
        <f>IF((2*G2146+M2146-O2146+3*V2146+2*AB2146+2*AE2146+2*AH2146+3*AJ2146)&gt;=7,1,0)</f>
        <v>1</v>
      </c>
    </row>
    <row r="2147" spans="1:40" x14ac:dyDescent="0.25">
      <c r="A2147" t="s">
        <v>27</v>
      </c>
      <c r="B2147" s="1">
        <v>43283</v>
      </c>
      <c r="C2147" s="6">
        <f t="shared" si="330"/>
        <v>2018</v>
      </c>
      <c r="D2147">
        <v>84.2</v>
      </c>
      <c r="E2147">
        <v>68</v>
      </c>
      <c r="F2147">
        <v>77.3</v>
      </c>
      <c r="G2147" s="2">
        <f t="shared" si="331"/>
        <v>1</v>
      </c>
      <c r="H2147">
        <v>88.5</v>
      </c>
      <c r="I2147">
        <v>68</v>
      </c>
      <c r="J2147">
        <v>78.8</v>
      </c>
      <c r="K2147">
        <v>67</v>
      </c>
      <c r="L2147">
        <v>71.599999999999994</v>
      </c>
      <c r="M2147" s="2">
        <f t="shared" si="332"/>
        <v>0</v>
      </c>
      <c r="N2147">
        <v>0</v>
      </c>
      <c r="O2147" s="2">
        <f t="shared" si="333"/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26.6</v>
      </c>
      <c r="V2147" s="2">
        <f t="shared" si="334"/>
        <v>1</v>
      </c>
      <c r="W2147">
        <v>16.100000000000001</v>
      </c>
      <c r="X2147" s="2">
        <f t="shared" si="335"/>
        <v>1</v>
      </c>
      <c r="Y2147">
        <v>299.39999999999998</v>
      </c>
      <c r="Z2147" s="2" t="str">
        <f>CHOOSE(MATCH(Y2147,{0;11;80;111;161;191;241;281;341},1),"North","NorthEast","East","SouthEast","South","SouthWest","West","NorthWest","North")</f>
        <v>NorthWest</v>
      </c>
      <c r="AA2147" s="4">
        <f>CHOOSE(MATCH(Z2147,{"South";"SouthEast";"SouthWest";"North";"NorthEast";"East";"West";"NorthWest"},0),1,2,3,4,5,6,7,8)</f>
        <v>8</v>
      </c>
      <c r="AB2147" s="2">
        <f t="shared" si="336"/>
        <v>1</v>
      </c>
      <c r="AC2147">
        <v>1013</v>
      </c>
      <c r="AD2147" t="s">
        <v>2932</v>
      </c>
      <c r="AE2147" s="2">
        <f t="shared" si="337"/>
        <v>1</v>
      </c>
      <c r="AF2147" t="s">
        <v>2933</v>
      </c>
      <c r="AG2147" s="2">
        <f t="shared" si="338"/>
        <v>7</v>
      </c>
      <c r="AH2147" s="2">
        <f t="shared" si="339"/>
        <v>1</v>
      </c>
      <c r="AI2147" s="3">
        <v>950.00000000582077</v>
      </c>
      <c r="AJ2147" s="2">
        <v>1</v>
      </c>
      <c r="AK2147">
        <v>0</v>
      </c>
      <c r="AL2147">
        <v>34</v>
      </c>
      <c r="AM2147">
        <v>0</v>
      </c>
      <c r="AN2147" s="2">
        <f>IF((2*G2147+M2147-O2147+3*V2147+2*AB2147+2*AE2147+2*AH2147+3*AJ2147)&gt;=7,1,0)</f>
        <v>1</v>
      </c>
    </row>
    <row r="2148" spans="1:40" x14ac:dyDescent="0.25">
      <c r="A2148" t="s">
        <v>27</v>
      </c>
      <c r="B2148" s="1">
        <v>43284</v>
      </c>
      <c r="C2148" s="6">
        <f t="shared" si="330"/>
        <v>2018</v>
      </c>
      <c r="D2148">
        <v>86</v>
      </c>
      <c r="E2148">
        <v>69.8</v>
      </c>
      <c r="F2148">
        <v>79.7</v>
      </c>
      <c r="G2148" s="2">
        <f t="shared" si="331"/>
        <v>1</v>
      </c>
      <c r="H2148">
        <v>88.4</v>
      </c>
      <c r="I2148">
        <v>69.8</v>
      </c>
      <c r="J2148">
        <v>80.8</v>
      </c>
      <c r="K2148">
        <v>64.5</v>
      </c>
      <c r="L2148">
        <v>61</v>
      </c>
      <c r="M2148" s="2">
        <f t="shared" si="332"/>
        <v>1</v>
      </c>
      <c r="N2148">
        <v>0</v>
      </c>
      <c r="O2148" s="2">
        <f t="shared" si="333"/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28.9</v>
      </c>
      <c r="V2148" s="2">
        <f t="shared" si="334"/>
        <v>1</v>
      </c>
      <c r="W2148">
        <v>17.2</v>
      </c>
      <c r="X2148" s="2">
        <f t="shared" si="335"/>
        <v>1</v>
      </c>
      <c r="Y2148">
        <v>297.7</v>
      </c>
      <c r="Z2148" s="2" t="str">
        <f>CHOOSE(MATCH(Y2148,{0;11;80;111;161;191;241;281;341},1),"North","NorthEast","East","SouthEast","South","SouthWest","West","NorthWest","North")</f>
        <v>NorthWest</v>
      </c>
      <c r="AA2148" s="4">
        <f>CHOOSE(MATCH(Z2148,{"South";"SouthEast";"SouthWest";"North";"NorthEast";"East";"West";"NorthWest"},0),1,2,3,4,5,6,7,8)</f>
        <v>8</v>
      </c>
      <c r="AB2148" s="2">
        <f t="shared" si="336"/>
        <v>1</v>
      </c>
      <c r="AC2148">
        <v>1012.4</v>
      </c>
      <c r="AD2148" t="s">
        <v>2102</v>
      </c>
      <c r="AE2148" s="2">
        <f t="shared" si="337"/>
        <v>0</v>
      </c>
      <c r="AF2148" t="s">
        <v>2934</v>
      </c>
      <c r="AG2148" s="2">
        <f t="shared" si="338"/>
        <v>7</v>
      </c>
      <c r="AH2148" s="2">
        <f t="shared" si="339"/>
        <v>1</v>
      </c>
      <c r="AI2148" s="3">
        <v>377.99999999580899</v>
      </c>
      <c r="AJ2148" s="2">
        <v>1</v>
      </c>
      <c r="AK2148">
        <v>0</v>
      </c>
      <c r="AL2148">
        <v>3</v>
      </c>
      <c r="AM2148">
        <v>0</v>
      </c>
      <c r="AN2148" s="2">
        <f>IF((2*G2148+M2148-O2148+3*V2148+2*AB2148+2*AE2148+2*AH2148+3*AJ2148)&gt;=7,1,0)</f>
        <v>1</v>
      </c>
    </row>
    <row r="2149" spans="1:40" x14ac:dyDescent="0.25">
      <c r="A2149" t="s">
        <v>27</v>
      </c>
      <c r="B2149" s="1">
        <v>43284</v>
      </c>
      <c r="C2149" s="6">
        <f t="shared" si="330"/>
        <v>2018</v>
      </c>
      <c r="D2149">
        <v>86</v>
      </c>
      <c r="E2149">
        <v>69.8</v>
      </c>
      <c r="F2149">
        <v>79.7</v>
      </c>
      <c r="G2149" s="2">
        <f t="shared" si="331"/>
        <v>1</v>
      </c>
      <c r="H2149">
        <v>88.4</v>
      </c>
      <c r="I2149">
        <v>69.8</v>
      </c>
      <c r="J2149">
        <v>80.8</v>
      </c>
      <c r="K2149">
        <v>64.5</v>
      </c>
      <c r="L2149">
        <v>61</v>
      </c>
      <c r="M2149" s="2">
        <f t="shared" si="332"/>
        <v>1</v>
      </c>
      <c r="N2149">
        <v>0</v>
      </c>
      <c r="O2149" s="2">
        <f t="shared" si="333"/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28.9</v>
      </c>
      <c r="V2149" s="2">
        <f t="shared" si="334"/>
        <v>1</v>
      </c>
      <c r="W2149">
        <v>17.2</v>
      </c>
      <c r="X2149" s="2">
        <f t="shared" si="335"/>
        <v>1</v>
      </c>
      <c r="Y2149">
        <v>297.7</v>
      </c>
      <c r="Z2149" s="2" t="str">
        <f>CHOOSE(MATCH(Y2149,{0;11;80;111;161;191;241;281;341},1),"North","NorthEast","East","SouthEast","South","SouthWest","West","NorthWest","North")</f>
        <v>NorthWest</v>
      </c>
      <c r="AA2149" s="4">
        <f>CHOOSE(MATCH(Z2149,{"South";"SouthEast";"SouthWest";"North";"NorthEast";"East";"West";"NorthWest"},0),1,2,3,4,5,6,7,8)</f>
        <v>8</v>
      </c>
      <c r="AB2149" s="2">
        <f t="shared" si="336"/>
        <v>1</v>
      </c>
      <c r="AC2149">
        <v>1012.4</v>
      </c>
      <c r="AD2149" t="s">
        <v>2193</v>
      </c>
      <c r="AE2149" s="2">
        <f t="shared" si="337"/>
        <v>1</v>
      </c>
      <c r="AF2149" t="s">
        <v>2935</v>
      </c>
      <c r="AG2149" s="2">
        <f t="shared" si="338"/>
        <v>7</v>
      </c>
      <c r="AH2149" s="2">
        <f t="shared" si="339"/>
        <v>1</v>
      </c>
      <c r="AI2149" s="3">
        <v>2570.0000000058212</v>
      </c>
      <c r="AJ2149" s="2">
        <v>1</v>
      </c>
      <c r="AK2149">
        <v>0</v>
      </c>
      <c r="AL2149">
        <v>5</v>
      </c>
      <c r="AM2149">
        <v>0</v>
      </c>
      <c r="AN2149" s="2">
        <f>IF((2*G2149+M2149-O2149+3*V2149+2*AB2149+2*AE2149+2*AH2149+3*AJ2149)&gt;=7,1,0)</f>
        <v>1</v>
      </c>
    </row>
    <row r="2150" spans="1:40" x14ac:dyDescent="0.25">
      <c r="A2150" t="s">
        <v>27</v>
      </c>
      <c r="B2150" s="1">
        <v>43285</v>
      </c>
      <c r="C2150" s="6">
        <f t="shared" si="330"/>
        <v>2018</v>
      </c>
      <c r="D2150">
        <v>87.8</v>
      </c>
      <c r="E2150">
        <v>71.599999999999994</v>
      </c>
      <c r="F2150">
        <v>80.8</v>
      </c>
      <c r="G2150" s="2">
        <f t="shared" si="331"/>
        <v>1</v>
      </c>
      <c r="H2150">
        <v>91.4</v>
      </c>
      <c r="I2150">
        <v>71.599999999999994</v>
      </c>
      <c r="J2150">
        <v>82.3</v>
      </c>
      <c r="K2150">
        <v>64</v>
      </c>
      <c r="L2150">
        <v>57.3</v>
      </c>
      <c r="M2150" s="2">
        <f t="shared" si="332"/>
        <v>1</v>
      </c>
      <c r="N2150">
        <v>0</v>
      </c>
      <c r="O2150" s="2">
        <f t="shared" si="333"/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25.3</v>
      </c>
      <c r="V2150" s="2">
        <f t="shared" si="334"/>
        <v>1</v>
      </c>
      <c r="W2150">
        <v>18.3</v>
      </c>
      <c r="X2150" s="2">
        <f t="shared" si="335"/>
        <v>1</v>
      </c>
      <c r="Y2150">
        <v>292</v>
      </c>
      <c r="Z2150" s="2" t="str">
        <f>CHOOSE(MATCH(Y2150,{0;11;80;111;161;191;241;281;341},1),"North","NorthEast","East","SouthEast","South","SouthWest","West","NorthWest","North")</f>
        <v>NorthWest</v>
      </c>
      <c r="AA2150" s="4">
        <f>CHOOSE(MATCH(Z2150,{"South";"SouthEast";"SouthWest";"North";"NorthEast";"East";"West";"NorthWest"},0),1,2,3,4,5,6,7,8)</f>
        <v>8</v>
      </c>
      <c r="AB2150" s="2">
        <f t="shared" si="336"/>
        <v>1</v>
      </c>
      <c r="AC2150">
        <v>1010.8</v>
      </c>
      <c r="AD2150" t="s">
        <v>1226</v>
      </c>
      <c r="AE2150" s="2">
        <f t="shared" si="337"/>
        <v>1</v>
      </c>
      <c r="AF2150" t="s">
        <v>2936</v>
      </c>
      <c r="AG2150" s="2">
        <f t="shared" si="338"/>
        <v>7</v>
      </c>
      <c r="AH2150" s="2">
        <f t="shared" si="339"/>
        <v>1</v>
      </c>
      <c r="AI2150" s="3">
        <v>1511.0000000009311</v>
      </c>
      <c r="AJ2150" s="2">
        <v>1</v>
      </c>
      <c r="AK2150">
        <v>0</v>
      </c>
      <c r="AL2150">
        <v>2</v>
      </c>
      <c r="AM2150">
        <v>0</v>
      </c>
      <c r="AN2150" s="2">
        <f>IF((2*G2150+M2150-O2150+3*V2150+2*AB2150+2*AE2150+2*AH2150+3*AJ2150)&gt;=7,1,0)</f>
        <v>1</v>
      </c>
    </row>
    <row r="2151" spans="1:40" x14ac:dyDescent="0.25">
      <c r="A2151" t="s">
        <v>27</v>
      </c>
      <c r="B2151" s="1">
        <v>43286</v>
      </c>
      <c r="C2151" s="6">
        <f t="shared" si="330"/>
        <v>2018</v>
      </c>
      <c r="D2151">
        <v>89.6</v>
      </c>
      <c r="E2151">
        <v>73.400000000000006</v>
      </c>
      <c r="F2151">
        <v>80.900000000000006</v>
      </c>
      <c r="G2151" s="2">
        <f t="shared" si="331"/>
        <v>1</v>
      </c>
      <c r="H2151">
        <v>94.2</v>
      </c>
      <c r="I2151">
        <v>73.400000000000006</v>
      </c>
      <c r="J2151">
        <v>83.6</v>
      </c>
      <c r="K2151">
        <v>67.599999999999994</v>
      </c>
      <c r="L2151">
        <v>64.7</v>
      </c>
      <c r="M2151" s="2">
        <f t="shared" si="332"/>
        <v>1</v>
      </c>
      <c r="N2151">
        <v>0</v>
      </c>
      <c r="O2151" s="2">
        <f t="shared" si="333"/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27.3</v>
      </c>
      <c r="V2151" s="2">
        <f t="shared" si="334"/>
        <v>1</v>
      </c>
      <c r="W2151">
        <v>18.3</v>
      </c>
      <c r="X2151" s="2">
        <f t="shared" si="335"/>
        <v>1</v>
      </c>
      <c r="Y2151">
        <v>294.3</v>
      </c>
      <c r="Z2151" s="2" t="str">
        <f>CHOOSE(MATCH(Y2151,{0;11;80;111;161;191;241;281;341},1),"North","NorthEast","East","SouthEast","South","SouthWest","West","NorthWest","North")</f>
        <v>NorthWest</v>
      </c>
      <c r="AA2151" s="4">
        <f>CHOOSE(MATCH(Z2151,{"South";"SouthEast";"SouthWest";"North";"NorthEast";"East";"West";"NorthWest"},0),1,2,3,4,5,6,7,8)</f>
        <v>8</v>
      </c>
      <c r="AB2151" s="2">
        <f t="shared" si="336"/>
        <v>1</v>
      </c>
      <c r="AC2151">
        <v>1009.7</v>
      </c>
      <c r="AD2151" t="s">
        <v>2937</v>
      </c>
      <c r="AE2151" s="2">
        <f t="shared" si="337"/>
        <v>1</v>
      </c>
      <c r="AF2151" t="s">
        <v>2938</v>
      </c>
      <c r="AG2151" s="2">
        <f t="shared" si="338"/>
        <v>7</v>
      </c>
      <c r="AH2151" s="2">
        <f t="shared" si="339"/>
        <v>1</v>
      </c>
      <c r="AI2151" s="3">
        <v>6658.0000000039581</v>
      </c>
      <c r="AJ2151" s="2">
        <v>1</v>
      </c>
      <c r="AK2151">
        <v>0</v>
      </c>
      <c r="AL2151">
        <v>40</v>
      </c>
      <c r="AM2151">
        <v>0</v>
      </c>
      <c r="AN2151" s="2">
        <f>IF((2*G2151+M2151-O2151+3*V2151+2*AB2151+2*AE2151+2*AH2151+3*AJ2151)&gt;=7,1,0)</f>
        <v>1</v>
      </c>
    </row>
    <row r="2152" spans="1:40" x14ac:dyDescent="0.25">
      <c r="A2152" t="s">
        <v>27</v>
      </c>
      <c r="B2152" s="1">
        <v>43293</v>
      </c>
      <c r="C2152" s="6">
        <f t="shared" si="330"/>
        <v>2018</v>
      </c>
      <c r="D2152">
        <v>84.2</v>
      </c>
      <c r="E2152">
        <v>69.8</v>
      </c>
      <c r="F2152">
        <v>79.7</v>
      </c>
      <c r="G2152" s="2">
        <f t="shared" si="331"/>
        <v>1</v>
      </c>
      <c r="H2152">
        <v>89.6</v>
      </c>
      <c r="I2152">
        <v>69.8</v>
      </c>
      <c r="J2152">
        <v>82</v>
      </c>
      <c r="K2152">
        <v>69</v>
      </c>
      <c r="L2152">
        <v>71.099999999999994</v>
      </c>
      <c r="M2152" s="2">
        <f t="shared" si="332"/>
        <v>0</v>
      </c>
      <c r="N2152">
        <v>0</v>
      </c>
      <c r="O2152" s="2">
        <f t="shared" si="333"/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32.9</v>
      </c>
      <c r="V2152" s="2">
        <f t="shared" si="334"/>
        <v>1</v>
      </c>
      <c r="W2152">
        <v>19.7</v>
      </c>
      <c r="X2152" s="2">
        <f t="shared" si="335"/>
        <v>1</v>
      </c>
      <c r="Y2152">
        <v>295.8</v>
      </c>
      <c r="Z2152" s="2" t="str">
        <f>CHOOSE(MATCH(Y2152,{0;11;80;111;161;191;241;281;341},1),"North","NorthEast","East","SouthEast","South","SouthWest","West","NorthWest","North")</f>
        <v>NorthWest</v>
      </c>
      <c r="AA2152" s="4">
        <f>CHOOSE(MATCH(Z2152,{"South";"SouthEast";"SouthWest";"North";"NorthEast";"East";"West";"NorthWest"},0),1,2,3,4,5,6,7,8)</f>
        <v>8</v>
      </c>
      <c r="AB2152" s="2">
        <f t="shared" si="336"/>
        <v>1</v>
      </c>
      <c r="AC2152">
        <v>1011.3</v>
      </c>
      <c r="AD2152" t="s">
        <v>1085</v>
      </c>
      <c r="AE2152" s="2">
        <f t="shared" si="337"/>
        <v>1</v>
      </c>
      <c r="AF2152" t="s">
        <v>2939</v>
      </c>
      <c r="AG2152" s="2">
        <f t="shared" si="338"/>
        <v>7</v>
      </c>
      <c r="AH2152" s="2">
        <f t="shared" si="339"/>
        <v>1</v>
      </c>
      <c r="AI2152" s="3">
        <v>1249.9999999988361</v>
      </c>
      <c r="AJ2152" s="2">
        <v>1</v>
      </c>
      <c r="AK2152">
        <v>0</v>
      </c>
      <c r="AL2152">
        <v>3</v>
      </c>
      <c r="AM2152">
        <v>0</v>
      </c>
      <c r="AN2152" s="2">
        <f>IF((2*G2152+M2152-O2152+3*V2152+2*AB2152+2*AE2152+2*AH2152+3*AJ2152)&gt;=7,1,0)</f>
        <v>1</v>
      </c>
    </row>
    <row r="2153" spans="1:40" x14ac:dyDescent="0.25">
      <c r="A2153" t="s">
        <v>27</v>
      </c>
      <c r="B2153" s="1">
        <v>43296</v>
      </c>
      <c r="C2153" s="6">
        <f t="shared" si="330"/>
        <v>2018</v>
      </c>
      <c r="D2153">
        <v>84.2</v>
      </c>
      <c r="E2153">
        <v>78.8</v>
      </c>
      <c r="F2153">
        <v>81.7</v>
      </c>
      <c r="G2153" s="2">
        <f t="shared" si="331"/>
        <v>1</v>
      </c>
      <c r="H2153">
        <v>89.6</v>
      </c>
      <c r="I2153">
        <v>78.8</v>
      </c>
      <c r="J2153">
        <v>84.9</v>
      </c>
      <c r="K2153">
        <v>69.900000000000006</v>
      </c>
      <c r="L2153">
        <v>67.900000000000006</v>
      </c>
      <c r="M2153" s="2">
        <f t="shared" si="332"/>
        <v>0</v>
      </c>
      <c r="N2153">
        <v>0</v>
      </c>
      <c r="O2153" s="2">
        <f t="shared" si="333"/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40.299999999999997</v>
      </c>
      <c r="V2153" s="2">
        <f t="shared" si="334"/>
        <v>1</v>
      </c>
      <c r="W2153">
        <v>21.9</v>
      </c>
      <c r="X2153" s="2">
        <f t="shared" si="335"/>
        <v>1</v>
      </c>
      <c r="Y2153">
        <v>304.7</v>
      </c>
      <c r="Z2153" s="2" t="str">
        <f>CHOOSE(MATCH(Y2153,{0;11;80;111;161;191;241;281;341},1),"North","NorthEast","East","SouthEast","South","SouthWest","West","NorthWest","North")</f>
        <v>NorthWest</v>
      </c>
      <c r="AA2153" s="4">
        <f>CHOOSE(MATCH(Z2153,{"South";"SouthEast";"SouthWest";"North";"NorthEast";"East";"West";"NorthWest"},0),1,2,3,4,5,6,7,8)</f>
        <v>8</v>
      </c>
      <c r="AB2153" s="2">
        <f t="shared" si="336"/>
        <v>1</v>
      </c>
      <c r="AC2153">
        <v>1009.3</v>
      </c>
      <c r="AD2153" t="s">
        <v>2571</v>
      </c>
      <c r="AE2153" s="2">
        <f t="shared" si="337"/>
        <v>1</v>
      </c>
      <c r="AF2153" t="s">
        <v>2940</v>
      </c>
      <c r="AG2153" s="2">
        <f t="shared" si="338"/>
        <v>7</v>
      </c>
      <c r="AH2153" s="2">
        <f t="shared" si="339"/>
        <v>1</v>
      </c>
      <c r="AI2153" s="3">
        <v>1774.9999999918509</v>
      </c>
      <c r="AJ2153" s="2">
        <v>1</v>
      </c>
      <c r="AK2153">
        <v>0</v>
      </c>
      <c r="AL2153">
        <v>1</v>
      </c>
      <c r="AM2153">
        <v>0</v>
      </c>
      <c r="AN2153" s="2">
        <f>IF((2*G2153+M2153-O2153+3*V2153+2*AB2153+2*AE2153+2*AH2153+3*AJ2153)&gt;=7,1,0)</f>
        <v>1</v>
      </c>
    </row>
    <row r="2154" spans="1:40" x14ac:dyDescent="0.25">
      <c r="A2154" t="s">
        <v>27</v>
      </c>
      <c r="B2154" s="1">
        <v>43296</v>
      </c>
      <c r="C2154" s="6">
        <f t="shared" si="330"/>
        <v>2018</v>
      </c>
      <c r="D2154">
        <v>84.2</v>
      </c>
      <c r="E2154">
        <v>78.8</v>
      </c>
      <c r="F2154">
        <v>81.7</v>
      </c>
      <c r="G2154" s="2">
        <f t="shared" si="331"/>
        <v>1</v>
      </c>
      <c r="H2154">
        <v>89.6</v>
      </c>
      <c r="I2154">
        <v>78.8</v>
      </c>
      <c r="J2154">
        <v>84.9</v>
      </c>
      <c r="K2154">
        <v>69.900000000000006</v>
      </c>
      <c r="L2154">
        <v>67.900000000000006</v>
      </c>
      <c r="M2154" s="2">
        <f t="shared" si="332"/>
        <v>0</v>
      </c>
      <c r="N2154">
        <v>0</v>
      </c>
      <c r="O2154" s="2">
        <f t="shared" si="333"/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40.299999999999997</v>
      </c>
      <c r="V2154" s="2">
        <f t="shared" si="334"/>
        <v>1</v>
      </c>
      <c r="W2154">
        <v>21.9</v>
      </c>
      <c r="X2154" s="2">
        <f t="shared" si="335"/>
        <v>1</v>
      </c>
      <c r="Y2154">
        <v>304.7</v>
      </c>
      <c r="Z2154" s="2" t="str">
        <f>CHOOSE(MATCH(Y2154,{0;11;80;111;161;191;241;281;341},1),"North","NorthEast","East","SouthEast","South","SouthWest","West","NorthWest","North")</f>
        <v>NorthWest</v>
      </c>
      <c r="AA2154" s="4">
        <f>CHOOSE(MATCH(Z2154,{"South";"SouthEast";"SouthWest";"North";"NorthEast";"East";"West";"NorthWest"},0),1,2,3,4,5,6,7,8)</f>
        <v>8</v>
      </c>
      <c r="AB2154" s="2">
        <f t="shared" si="336"/>
        <v>1</v>
      </c>
      <c r="AC2154">
        <v>1009.3</v>
      </c>
      <c r="AD2154" t="s">
        <v>1073</v>
      </c>
      <c r="AE2154" s="2">
        <f t="shared" si="337"/>
        <v>1</v>
      </c>
      <c r="AF2154" t="s">
        <v>2941</v>
      </c>
      <c r="AG2154" s="2">
        <f t="shared" si="338"/>
        <v>7</v>
      </c>
      <c r="AH2154" s="2">
        <f t="shared" si="339"/>
        <v>1</v>
      </c>
      <c r="AI2154" s="3">
        <v>2904.9999999976721</v>
      </c>
      <c r="AJ2154" s="2">
        <v>1</v>
      </c>
      <c r="AK2154">
        <v>0</v>
      </c>
      <c r="AL2154">
        <v>25</v>
      </c>
      <c r="AM2154">
        <v>0</v>
      </c>
      <c r="AN2154" s="2">
        <f>IF((2*G2154+M2154-O2154+3*V2154+2*AB2154+2*AE2154+2*AH2154+3*AJ2154)&gt;=7,1,0)</f>
        <v>1</v>
      </c>
    </row>
    <row r="2155" spans="1:40" x14ac:dyDescent="0.25">
      <c r="A2155" t="s">
        <v>27</v>
      </c>
      <c r="B2155" s="1">
        <v>43297</v>
      </c>
      <c r="C2155" s="6">
        <f t="shared" si="330"/>
        <v>2018</v>
      </c>
      <c r="D2155">
        <v>86</v>
      </c>
      <c r="E2155">
        <v>78.8</v>
      </c>
      <c r="F2155">
        <v>82.3</v>
      </c>
      <c r="G2155" s="2">
        <f t="shared" si="331"/>
        <v>1</v>
      </c>
      <c r="H2155">
        <v>87.5</v>
      </c>
      <c r="I2155">
        <v>78.8</v>
      </c>
      <c r="J2155">
        <v>84.1</v>
      </c>
      <c r="K2155">
        <v>66.5</v>
      </c>
      <c r="L2155">
        <v>59.6</v>
      </c>
      <c r="M2155" s="2">
        <f t="shared" si="332"/>
        <v>1</v>
      </c>
      <c r="N2155">
        <v>0</v>
      </c>
      <c r="O2155" s="2">
        <f t="shared" si="333"/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33.1</v>
      </c>
      <c r="V2155" s="2">
        <f t="shared" si="334"/>
        <v>1</v>
      </c>
      <c r="W2155">
        <v>18.3</v>
      </c>
      <c r="X2155" s="2">
        <f t="shared" si="335"/>
        <v>1</v>
      </c>
      <c r="Y2155">
        <v>305.2</v>
      </c>
      <c r="Z2155" s="2" t="str">
        <f>CHOOSE(MATCH(Y2155,{0;11;80;111;161;191;241;281;341},1),"North","NorthEast","East","SouthEast","South","SouthWest","West","NorthWest","North")</f>
        <v>NorthWest</v>
      </c>
      <c r="AA2155" s="4">
        <f>CHOOSE(MATCH(Z2155,{"South";"SouthEast";"SouthWest";"North";"NorthEast";"East";"West";"NorthWest"},0),1,2,3,4,5,6,7,8)</f>
        <v>8</v>
      </c>
      <c r="AB2155" s="2">
        <f t="shared" si="336"/>
        <v>1</v>
      </c>
      <c r="AC2155">
        <v>1010.3</v>
      </c>
      <c r="AD2155" t="s">
        <v>1935</v>
      </c>
      <c r="AE2155" s="2">
        <f t="shared" si="337"/>
        <v>1</v>
      </c>
      <c r="AF2155" t="s">
        <v>2942</v>
      </c>
      <c r="AG2155" s="2">
        <f t="shared" si="338"/>
        <v>7</v>
      </c>
      <c r="AH2155" s="2">
        <f t="shared" si="339"/>
        <v>1</v>
      </c>
      <c r="AI2155" s="3">
        <v>29.999999993015081</v>
      </c>
      <c r="AJ2155" s="2">
        <v>0</v>
      </c>
      <c r="AK2155">
        <v>0</v>
      </c>
      <c r="AL2155">
        <v>0.1</v>
      </c>
      <c r="AM2155">
        <v>0</v>
      </c>
      <c r="AN2155" s="2">
        <f>IF((2*G2155+M2155-O2155+3*V2155+2*AB2155+2*AE2155+2*AH2155+3*AJ2155)&gt;=7,1,0)</f>
        <v>1</v>
      </c>
    </row>
    <row r="2156" spans="1:40" x14ac:dyDescent="0.25">
      <c r="A2156" t="s">
        <v>27</v>
      </c>
      <c r="B2156" s="1">
        <v>43297</v>
      </c>
      <c r="C2156" s="6">
        <f t="shared" si="330"/>
        <v>2018</v>
      </c>
      <c r="D2156">
        <v>86</v>
      </c>
      <c r="E2156">
        <v>78.8</v>
      </c>
      <c r="F2156">
        <v>82.3</v>
      </c>
      <c r="G2156" s="2">
        <f t="shared" si="331"/>
        <v>1</v>
      </c>
      <c r="H2156">
        <v>87.5</v>
      </c>
      <c r="I2156">
        <v>78.8</v>
      </c>
      <c r="J2156">
        <v>84.1</v>
      </c>
      <c r="K2156">
        <v>66.5</v>
      </c>
      <c r="L2156">
        <v>59.6</v>
      </c>
      <c r="M2156" s="2">
        <f t="shared" si="332"/>
        <v>1</v>
      </c>
      <c r="N2156">
        <v>0</v>
      </c>
      <c r="O2156" s="2">
        <f t="shared" si="333"/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33.1</v>
      </c>
      <c r="V2156" s="2">
        <f t="shared" si="334"/>
        <v>1</v>
      </c>
      <c r="W2156">
        <v>18.3</v>
      </c>
      <c r="X2156" s="2">
        <f t="shared" si="335"/>
        <v>1</v>
      </c>
      <c r="Y2156">
        <v>305.2</v>
      </c>
      <c r="Z2156" s="2" t="str">
        <f>CHOOSE(MATCH(Y2156,{0;11;80;111;161;191;241;281;341},1),"North","NorthEast","East","SouthEast","South","SouthWest","West","NorthWest","North")</f>
        <v>NorthWest</v>
      </c>
      <c r="AA2156" s="4">
        <f>CHOOSE(MATCH(Z2156,{"South";"SouthEast";"SouthWest";"North";"NorthEast";"East";"West";"NorthWest"},0),1,2,3,4,5,6,7,8)</f>
        <v>8</v>
      </c>
      <c r="AB2156" s="2">
        <f t="shared" si="336"/>
        <v>1</v>
      </c>
      <c r="AC2156">
        <v>1010.3</v>
      </c>
      <c r="AD2156" t="s">
        <v>2840</v>
      </c>
      <c r="AE2156" s="2">
        <f t="shared" si="337"/>
        <v>1</v>
      </c>
      <c r="AF2156" t="s">
        <v>2943</v>
      </c>
      <c r="AG2156" s="2">
        <f t="shared" si="338"/>
        <v>7</v>
      </c>
      <c r="AH2156" s="2">
        <f t="shared" si="339"/>
        <v>1</v>
      </c>
      <c r="AI2156" s="3">
        <v>946.99999999604188</v>
      </c>
      <c r="AJ2156" s="2">
        <v>1</v>
      </c>
      <c r="AK2156">
        <v>0</v>
      </c>
      <c r="AL2156">
        <v>5</v>
      </c>
      <c r="AM2156">
        <v>0</v>
      </c>
      <c r="AN2156" s="2">
        <f>IF((2*G2156+M2156-O2156+3*V2156+2*AB2156+2*AE2156+2*AH2156+3*AJ2156)&gt;=7,1,0)</f>
        <v>1</v>
      </c>
    </row>
    <row r="2157" spans="1:40" x14ac:dyDescent="0.25">
      <c r="A2157" t="s">
        <v>27</v>
      </c>
      <c r="B2157" s="1">
        <v>43297</v>
      </c>
      <c r="C2157" s="6">
        <f t="shared" si="330"/>
        <v>2018</v>
      </c>
      <c r="D2157">
        <v>86</v>
      </c>
      <c r="E2157">
        <v>78.8</v>
      </c>
      <c r="F2157">
        <v>82.3</v>
      </c>
      <c r="G2157" s="2">
        <f t="shared" si="331"/>
        <v>1</v>
      </c>
      <c r="H2157">
        <v>87.5</v>
      </c>
      <c r="I2157">
        <v>78.8</v>
      </c>
      <c r="J2157">
        <v>84.1</v>
      </c>
      <c r="K2157">
        <v>66.5</v>
      </c>
      <c r="L2157">
        <v>59.6</v>
      </c>
      <c r="M2157" s="2">
        <f t="shared" si="332"/>
        <v>1</v>
      </c>
      <c r="N2157">
        <v>0</v>
      </c>
      <c r="O2157" s="2">
        <f t="shared" si="333"/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33.1</v>
      </c>
      <c r="V2157" s="2">
        <f t="shared" si="334"/>
        <v>1</v>
      </c>
      <c r="W2157">
        <v>18.3</v>
      </c>
      <c r="X2157" s="2">
        <f t="shared" si="335"/>
        <v>1</v>
      </c>
      <c r="Y2157">
        <v>305.2</v>
      </c>
      <c r="Z2157" s="2" t="str">
        <f>CHOOSE(MATCH(Y2157,{0;11;80;111;161;191;241;281;341},1),"North","NorthEast","East","SouthEast","South","SouthWest","West","NorthWest","North")</f>
        <v>NorthWest</v>
      </c>
      <c r="AA2157" s="4">
        <f>CHOOSE(MATCH(Z2157,{"South";"SouthEast";"SouthWest";"North";"NorthEast";"East";"West";"NorthWest"},0),1,2,3,4,5,6,7,8)</f>
        <v>8</v>
      </c>
      <c r="AB2157" s="2">
        <f t="shared" si="336"/>
        <v>1</v>
      </c>
      <c r="AC2157">
        <v>1010.3</v>
      </c>
      <c r="AD2157" t="s">
        <v>2210</v>
      </c>
      <c r="AE2157" s="2">
        <f t="shared" si="337"/>
        <v>1</v>
      </c>
      <c r="AF2157" t="s">
        <v>2944</v>
      </c>
      <c r="AG2157" s="2">
        <f t="shared" si="338"/>
        <v>7</v>
      </c>
      <c r="AH2157" s="2">
        <f t="shared" si="339"/>
        <v>1</v>
      </c>
      <c r="AI2157" s="3">
        <v>1339.9999999988361</v>
      </c>
      <c r="AJ2157" s="2">
        <v>1</v>
      </c>
      <c r="AK2157">
        <v>20</v>
      </c>
      <c r="AL2157">
        <v>0</v>
      </c>
      <c r="AM2157">
        <v>0</v>
      </c>
      <c r="AN2157" s="2">
        <f>IF((2*G2157+M2157-O2157+3*V2157+2*AB2157+2*AE2157+2*AH2157+3*AJ2157)&gt;=7,1,0)</f>
        <v>1</v>
      </c>
    </row>
    <row r="2158" spans="1:40" x14ac:dyDescent="0.25">
      <c r="A2158" t="s">
        <v>27</v>
      </c>
      <c r="B2158" s="1">
        <v>43302</v>
      </c>
      <c r="C2158" s="6">
        <f t="shared" si="330"/>
        <v>2018</v>
      </c>
      <c r="D2158">
        <v>86</v>
      </c>
      <c r="E2158">
        <v>78.8</v>
      </c>
      <c r="F2158">
        <v>82.6</v>
      </c>
      <c r="G2158" s="2">
        <f t="shared" si="331"/>
        <v>1</v>
      </c>
      <c r="H2158">
        <v>92</v>
      </c>
      <c r="I2158">
        <v>78.8</v>
      </c>
      <c r="J2158">
        <v>86</v>
      </c>
      <c r="K2158">
        <v>70.599999999999994</v>
      </c>
      <c r="L2158">
        <v>67.7</v>
      </c>
      <c r="M2158" s="2">
        <f t="shared" si="332"/>
        <v>0</v>
      </c>
      <c r="N2158">
        <v>0</v>
      </c>
      <c r="O2158" s="2">
        <f t="shared" si="333"/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28</v>
      </c>
      <c r="V2158" s="2">
        <f t="shared" si="334"/>
        <v>1</v>
      </c>
      <c r="W2158">
        <v>18.3</v>
      </c>
      <c r="X2158" s="2">
        <f t="shared" si="335"/>
        <v>1</v>
      </c>
      <c r="Y2158">
        <v>301.3</v>
      </c>
      <c r="Z2158" s="2" t="str">
        <f>CHOOSE(MATCH(Y2158,{0;11;80;111;161;191;241;281;341},1),"North","NorthEast","East","SouthEast","South","SouthWest","West","NorthWest","North")</f>
        <v>NorthWest</v>
      </c>
      <c r="AA2158" s="4">
        <f>CHOOSE(MATCH(Z2158,{"South";"SouthEast";"SouthWest";"North";"NorthEast";"East";"West";"NorthWest"},0),1,2,3,4,5,6,7,8)</f>
        <v>8</v>
      </c>
      <c r="AB2158" s="2">
        <f t="shared" si="336"/>
        <v>1</v>
      </c>
      <c r="AC2158">
        <v>1010.3</v>
      </c>
      <c r="AD2158" t="s">
        <v>2731</v>
      </c>
      <c r="AE2158" s="2">
        <f t="shared" si="337"/>
        <v>1</v>
      </c>
      <c r="AF2158" t="s">
        <v>2945</v>
      </c>
      <c r="AG2158" s="2">
        <f t="shared" si="338"/>
        <v>7</v>
      </c>
      <c r="AH2158" s="2">
        <f t="shared" si="339"/>
        <v>1</v>
      </c>
      <c r="AI2158" s="3">
        <v>1897.9999999946449</v>
      </c>
      <c r="AJ2158" s="2">
        <v>1</v>
      </c>
      <c r="AK2158">
        <v>0</v>
      </c>
      <c r="AL2158">
        <v>15</v>
      </c>
      <c r="AM2158">
        <v>0</v>
      </c>
      <c r="AN2158" s="2">
        <f>IF((2*G2158+M2158-O2158+3*V2158+2*AB2158+2*AE2158+2*AH2158+3*AJ2158)&gt;=7,1,0)</f>
        <v>1</v>
      </c>
    </row>
    <row r="2159" spans="1:40" x14ac:dyDescent="0.25">
      <c r="A2159" t="s">
        <v>27</v>
      </c>
      <c r="B2159" s="1">
        <v>43305</v>
      </c>
      <c r="C2159" s="6">
        <f t="shared" si="330"/>
        <v>2018</v>
      </c>
      <c r="D2159">
        <v>86</v>
      </c>
      <c r="E2159">
        <v>78.8</v>
      </c>
      <c r="F2159">
        <v>82.5</v>
      </c>
      <c r="G2159" s="2">
        <f t="shared" si="331"/>
        <v>1</v>
      </c>
      <c r="H2159">
        <v>93.5</v>
      </c>
      <c r="I2159">
        <v>78.8</v>
      </c>
      <c r="J2159">
        <v>86.9</v>
      </c>
      <c r="K2159">
        <v>70.7</v>
      </c>
      <c r="L2159">
        <v>68.099999999999994</v>
      </c>
      <c r="M2159" s="2">
        <f t="shared" si="332"/>
        <v>0</v>
      </c>
      <c r="N2159">
        <v>0</v>
      </c>
      <c r="O2159" s="2">
        <f t="shared" si="333"/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28.2</v>
      </c>
      <c r="V2159" s="2">
        <f t="shared" si="334"/>
        <v>1</v>
      </c>
      <c r="W2159">
        <v>23</v>
      </c>
      <c r="X2159" s="2">
        <f t="shared" si="335"/>
        <v>1</v>
      </c>
      <c r="Y2159">
        <v>308.3</v>
      </c>
      <c r="Z2159" s="2" t="str">
        <f>CHOOSE(MATCH(Y2159,{0;11;80;111;161;191;241;281;341},1),"North","NorthEast","East","SouthEast","South","SouthWest","West","NorthWest","North")</f>
        <v>NorthWest</v>
      </c>
      <c r="AA2159" s="4">
        <f>CHOOSE(MATCH(Z2159,{"South";"SouthEast";"SouthWest";"North";"NorthEast";"East";"West";"NorthWest"},0),1,2,3,4,5,6,7,8)</f>
        <v>8</v>
      </c>
      <c r="AB2159" s="2">
        <f t="shared" si="336"/>
        <v>1</v>
      </c>
      <c r="AC2159">
        <v>1002.1</v>
      </c>
      <c r="AD2159" t="s">
        <v>2946</v>
      </c>
      <c r="AE2159" s="2">
        <f t="shared" si="337"/>
        <v>1</v>
      </c>
      <c r="AF2159" t="s">
        <v>2947</v>
      </c>
      <c r="AG2159" s="2">
        <f t="shared" si="338"/>
        <v>7</v>
      </c>
      <c r="AH2159" s="2">
        <f t="shared" si="339"/>
        <v>1</v>
      </c>
      <c r="AI2159" s="3">
        <v>46.999999996041879</v>
      </c>
      <c r="AJ2159" s="2">
        <v>0</v>
      </c>
      <c r="AK2159">
        <v>0</v>
      </c>
      <c r="AL2159">
        <v>0.01</v>
      </c>
      <c r="AM2159">
        <v>0</v>
      </c>
      <c r="AN2159" s="2">
        <f>IF((2*G2159+M2159-O2159+3*V2159+2*AB2159+2*AE2159+2*AH2159+3*AJ2159)&gt;=7,1,0)</f>
        <v>1</v>
      </c>
    </row>
    <row r="2160" spans="1:40" x14ac:dyDescent="0.25">
      <c r="A2160" t="s">
        <v>27</v>
      </c>
      <c r="B2160" s="1">
        <v>43305</v>
      </c>
      <c r="C2160" s="6">
        <f t="shared" si="330"/>
        <v>2018</v>
      </c>
      <c r="D2160">
        <v>86</v>
      </c>
      <c r="E2160">
        <v>78.8</v>
      </c>
      <c r="F2160">
        <v>82.5</v>
      </c>
      <c r="G2160" s="2">
        <f t="shared" si="331"/>
        <v>1</v>
      </c>
      <c r="H2160">
        <v>93.5</v>
      </c>
      <c r="I2160">
        <v>78.8</v>
      </c>
      <c r="J2160">
        <v>86.9</v>
      </c>
      <c r="K2160">
        <v>70.7</v>
      </c>
      <c r="L2160">
        <v>68.099999999999994</v>
      </c>
      <c r="M2160" s="2">
        <f t="shared" si="332"/>
        <v>0</v>
      </c>
      <c r="N2160">
        <v>0</v>
      </c>
      <c r="O2160" s="2">
        <f t="shared" si="333"/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28.2</v>
      </c>
      <c r="V2160" s="2">
        <f t="shared" si="334"/>
        <v>1</v>
      </c>
      <c r="W2160">
        <v>23</v>
      </c>
      <c r="X2160" s="2">
        <f t="shared" si="335"/>
        <v>1</v>
      </c>
      <c r="Y2160">
        <v>308.3</v>
      </c>
      <c r="Z2160" s="2" t="str">
        <f>CHOOSE(MATCH(Y2160,{0;11;80;111;161;191;241;281;341},1),"North","NorthEast","East","SouthEast","South","SouthWest","West","NorthWest","North")</f>
        <v>NorthWest</v>
      </c>
      <c r="AA2160" s="4">
        <f>CHOOSE(MATCH(Z2160,{"South";"SouthEast";"SouthWest";"North";"NorthEast";"East";"West";"NorthWest"},0),1,2,3,4,5,6,7,8)</f>
        <v>8</v>
      </c>
      <c r="AB2160" s="2">
        <f t="shared" si="336"/>
        <v>1</v>
      </c>
      <c r="AC2160">
        <v>1002.1</v>
      </c>
      <c r="AD2160" t="s">
        <v>2948</v>
      </c>
      <c r="AE2160" s="2">
        <f t="shared" si="337"/>
        <v>1</v>
      </c>
      <c r="AF2160" t="s">
        <v>2949</v>
      </c>
      <c r="AG2160" s="2">
        <f t="shared" si="338"/>
        <v>7</v>
      </c>
      <c r="AH2160" s="2">
        <f t="shared" si="339"/>
        <v>1</v>
      </c>
      <c r="AI2160" s="3">
        <v>284.00000000372529</v>
      </c>
      <c r="AJ2160" s="2">
        <v>0</v>
      </c>
      <c r="AK2160">
        <v>0</v>
      </c>
      <c r="AL2160">
        <v>4</v>
      </c>
      <c r="AM2160">
        <v>0</v>
      </c>
      <c r="AN2160" s="2">
        <f>IF((2*G2160+M2160-O2160+3*V2160+2*AB2160+2*AE2160+2*AH2160+3*AJ2160)&gt;=7,1,0)</f>
        <v>1</v>
      </c>
    </row>
    <row r="2161" spans="1:40" x14ac:dyDescent="0.25">
      <c r="A2161" t="s">
        <v>27</v>
      </c>
      <c r="B2161" s="1">
        <v>43309</v>
      </c>
      <c r="C2161" s="6">
        <f t="shared" si="330"/>
        <v>2018</v>
      </c>
      <c r="D2161">
        <v>84.2</v>
      </c>
      <c r="E2161">
        <v>71.599999999999994</v>
      </c>
      <c r="F2161">
        <v>79.5</v>
      </c>
      <c r="G2161" s="2">
        <f t="shared" si="331"/>
        <v>1</v>
      </c>
      <c r="H2161">
        <v>90.9</v>
      </c>
      <c r="I2161">
        <v>71.599999999999994</v>
      </c>
      <c r="J2161">
        <v>81.8</v>
      </c>
      <c r="K2161">
        <v>70.8</v>
      </c>
      <c r="L2161">
        <v>75.3</v>
      </c>
      <c r="M2161" s="2">
        <f t="shared" si="332"/>
        <v>0</v>
      </c>
      <c r="N2161">
        <v>0</v>
      </c>
      <c r="O2161" s="2">
        <f t="shared" si="333"/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23</v>
      </c>
      <c r="V2161" s="2">
        <f t="shared" si="334"/>
        <v>1</v>
      </c>
      <c r="W2161">
        <v>19.7</v>
      </c>
      <c r="X2161" s="2">
        <f t="shared" si="335"/>
        <v>1</v>
      </c>
      <c r="Y2161">
        <v>312.5</v>
      </c>
      <c r="Z2161" s="2" t="str">
        <f>CHOOSE(MATCH(Y2161,{0;11;80;111;161;191;241;281;341},1),"North","NorthEast","East","SouthEast","South","SouthWest","West","NorthWest","North")</f>
        <v>NorthWest</v>
      </c>
      <c r="AA2161" s="4">
        <f>CHOOSE(MATCH(Z2161,{"South";"SouthEast";"SouthWest";"North";"NorthEast";"East";"West";"NorthWest"},0),1,2,3,4,5,6,7,8)</f>
        <v>8</v>
      </c>
      <c r="AB2161" s="2">
        <f t="shared" si="336"/>
        <v>1</v>
      </c>
      <c r="AC2161">
        <v>1009.2</v>
      </c>
      <c r="AD2161" t="s">
        <v>2338</v>
      </c>
      <c r="AE2161" s="2">
        <f t="shared" si="337"/>
        <v>1</v>
      </c>
      <c r="AF2161" t="s">
        <v>2950</v>
      </c>
      <c r="AG2161" s="2">
        <f t="shared" si="338"/>
        <v>7</v>
      </c>
      <c r="AH2161" s="2">
        <f t="shared" si="339"/>
        <v>1</v>
      </c>
      <c r="AI2161" s="3">
        <v>1075.9999999974391</v>
      </c>
      <c r="AJ2161" s="2">
        <v>1</v>
      </c>
      <c r="AK2161">
        <v>0</v>
      </c>
      <c r="AL2161">
        <v>1</v>
      </c>
      <c r="AM2161">
        <v>0</v>
      </c>
      <c r="AN2161" s="2">
        <f>IF((2*G2161+M2161-O2161+3*V2161+2*AB2161+2*AE2161+2*AH2161+3*AJ2161)&gt;=7,1,0)</f>
        <v>1</v>
      </c>
    </row>
    <row r="2162" spans="1:40" x14ac:dyDescent="0.25">
      <c r="A2162" t="s">
        <v>27</v>
      </c>
      <c r="B2162" s="1">
        <v>43320</v>
      </c>
      <c r="C2162" s="6">
        <f t="shared" si="330"/>
        <v>2018</v>
      </c>
      <c r="D2162">
        <v>87.8</v>
      </c>
      <c r="E2162">
        <v>75.2</v>
      </c>
      <c r="F2162">
        <v>82.3</v>
      </c>
      <c r="G2162" s="2">
        <f t="shared" si="331"/>
        <v>1</v>
      </c>
      <c r="H2162">
        <v>94.1</v>
      </c>
      <c r="I2162">
        <v>75.2</v>
      </c>
      <c r="J2162">
        <v>84.9</v>
      </c>
      <c r="K2162">
        <v>68.2</v>
      </c>
      <c r="L2162">
        <v>63.3</v>
      </c>
      <c r="M2162" s="2">
        <f t="shared" si="332"/>
        <v>1</v>
      </c>
      <c r="N2162">
        <v>0</v>
      </c>
      <c r="O2162" s="2">
        <f t="shared" si="333"/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33.6</v>
      </c>
      <c r="V2162" s="2">
        <f t="shared" si="334"/>
        <v>1</v>
      </c>
      <c r="W2162">
        <v>21.9</v>
      </c>
      <c r="X2162" s="2">
        <f t="shared" si="335"/>
        <v>1</v>
      </c>
      <c r="Y2162">
        <v>294</v>
      </c>
      <c r="Z2162" s="2" t="str">
        <f>CHOOSE(MATCH(Y2162,{0;11;80;111;161;191;241;281;341},1),"North","NorthEast","East","SouthEast","South","SouthWest","West","NorthWest","North")</f>
        <v>NorthWest</v>
      </c>
      <c r="AA2162" s="4">
        <f>CHOOSE(MATCH(Z2162,{"South";"SouthEast";"SouthWest";"North";"NorthEast";"East";"West";"NorthWest"},0),1,2,3,4,5,6,7,8)</f>
        <v>8</v>
      </c>
      <c r="AB2162" s="2">
        <f t="shared" si="336"/>
        <v>1</v>
      </c>
      <c r="AC2162">
        <v>1011.5</v>
      </c>
      <c r="AD2162" t="s">
        <v>1254</v>
      </c>
      <c r="AE2162" s="2">
        <f t="shared" si="337"/>
        <v>1</v>
      </c>
      <c r="AF2162" t="s">
        <v>2951</v>
      </c>
      <c r="AG2162" s="2">
        <f t="shared" si="338"/>
        <v>8</v>
      </c>
      <c r="AH2162" s="2">
        <f t="shared" si="339"/>
        <v>1</v>
      </c>
      <c r="AI2162" s="3">
        <v>509.00000000372529</v>
      </c>
      <c r="AJ2162" s="2">
        <v>1</v>
      </c>
      <c r="AK2162">
        <v>0</v>
      </c>
      <c r="AL2162">
        <v>3</v>
      </c>
      <c r="AM2162">
        <v>0</v>
      </c>
      <c r="AN2162" s="2">
        <f>IF((2*G2162+M2162-O2162+3*V2162+2*AB2162+2*AE2162+2*AH2162+3*AJ2162)&gt;=7,1,0)</f>
        <v>1</v>
      </c>
    </row>
    <row r="2163" spans="1:40" x14ac:dyDescent="0.25">
      <c r="A2163" t="s">
        <v>27</v>
      </c>
      <c r="B2163" s="1">
        <v>43323</v>
      </c>
      <c r="C2163" s="6">
        <f t="shared" si="330"/>
        <v>2018</v>
      </c>
      <c r="D2163">
        <v>82.4</v>
      </c>
      <c r="E2163">
        <v>78.8</v>
      </c>
      <c r="F2163">
        <v>80.099999999999994</v>
      </c>
      <c r="G2163" s="2">
        <f t="shared" si="331"/>
        <v>1</v>
      </c>
      <c r="H2163">
        <v>86.2</v>
      </c>
      <c r="I2163">
        <v>78.8</v>
      </c>
      <c r="J2163">
        <v>82</v>
      </c>
      <c r="K2163">
        <v>69.7</v>
      </c>
      <c r="L2163">
        <v>70.900000000000006</v>
      </c>
      <c r="M2163" s="2">
        <f t="shared" si="332"/>
        <v>0</v>
      </c>
      <c r="N2163">
        <v>0</v>
      </c>
      <c r="O2163" s="2">
        <f t="shared" si="333"/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32.9</v>
      </c>
      <c r="V2163" s="2">
        <f t="shared" si="334"/>
        <v>1</v>
      </c>
      <c r="W2163">
        <v>19.7</v>
      </c>
      <c r="X2163" s="2">
        <f t="shared" si="335"/>
        <v>1</v>
      </c>
      <c r="Y2163">
        <v>303.3</v>
      </c>
      <c r="Z2163" s="2" t="str">
        <f>CHOOSE(MATCH(Y2163,{0;11;80;111;161;191;241;281;341},1),"North","NorthEast","East","SouthEast","South","SouthWest","West","NorthWest","North")</f>
        <v>NorthWest</v>
      </c>
      <c r="AA2163" s="4">
        <f>CHOOSE(MATCH(Z2163,{"South";"SouthEast";"SouthWest";"North";"NorthEast";"East";"West";"NorthWest"},0),1,2,3,4,5,6,7,8)</f>
        <v>8</v>
      </c>
      <c r="AB2163" s="2">
        <f t="shared" si="336"/>
        <v>1</v>
      </c>
      <c r="AC2163">
        <v>1012.7</v>
      </c>
      <c r="AD2163" t="s">
        <v>2952</v>
      </c>
      <c r="AE2163" s="2">
        <f t="shared" si="337"/>
        <v>0</v>
      </c>
      <c r="AF2163" t="s">
        <v>2953</v>
      </c>
      <c r="AG2163" s="2">
        <f t="shared" si="338"/>
        <v>8</v>
      </c>
      <c r="AH2163" s="2">
        <f t="shared" si="339"/>
        <v>1</v>
      </c>
      <c r="AI2163" s="3">
        <v>2129.0000000037248</v>
      </c>
      <c r="AJ2163" s="2">
        <v>1</v>
      </c>
      <c r="AK2163">
        <v>0</v>
      </c>
      <c r="AL2163">
        <v>3</v>
      </c>
      <c r="AM2163">
        <v>0</v>
      </c>
      <c r="AN2163" s="2">
        <f>IF((2*G2163+M2163-O2163+3*V2163+2*AB2163+2*AE2163+2*AH2163+3*AJ2163)&gt;=7,1,0)</f>
        <v>1</v>
      </c>
    </row>
    <row r="2164" spans="1:40" x14ac:dyDescent="0.25">
      <c r="A2164" t="s">
        <v>27</v>
      </c>
      <c r="B2164" s="1">
        <v>43328</v>
      </c>
      <c r="C2164" s="6">
        <f t="shared" si="330"/>
        <v>2018</v>
      </c>
      <c r="D2164">
        <v>86</v>
      </c>
      <c r="E2164">
        <v>71.599999999999994</v>
      </c>
      <c r="F2164">
        <v>80.3</v>
      </c>
      <c r="G2164" s="2">
        <f t="shared" si="331"/>
        <v>1</v>
      </c>
      <c r="H2164">
        <v>93.5</v>
      </c>
      <c r="I2164">
        <v>71.599999999999994</v>
      </c>
      <c r="J2164">
        <v>83.4</v>
      </c>
      <c r="K2164">
        <v>70.2</v>
      </c>
      <c r="L2164">
        <v>71.8</v>
      </c>
      <c r="M2164" s="2">
        <f t="shared" si="332"/>
        <v>0</v>
      </c>
      <c r="N2164">
        <v>0</v>
      </c>
      <c r="O2164" s="2">
        <f t="shared" si="333"/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26.6</v>
      </c>
      <c r="V2164" s="2">
        <f t="shared" si="334"/>
        <v>1</v>
      </c>
      <c r="W2164">
        <v>12.8</v>
      </c>
      <c r="X2164" s="2">
        <f t="shared" si="335"/>
        <v>0</v>
      </c>
      <c r="Y2164">
        <v>319.10000000000002</v>
      </c>
      <c r="Z2164" s="2" t="str">
        <f>CHOOSE(MATCH(Y2164,{0;11;80;111;161;191;241;281;341},1),"North","NorthEast","East","SouthEast","South","SouthWest","West","NorthWest","North")</f>
        <v>NorthWest</v>
      </c>
      <c r="AA2164" s="4">
        <f>CHOOSE(MATCH(Z2164,{"South";"SouthEast";"SouthWest";"North";"NorthEast";"East";"West";"NorthWest"},0),1,2,3,4,5,6,7,8)</f>
        <v>8</v>
      </c>
      <c r="AB2164" s="2">
        <f t="shared" si="336"/>
        <v>1</v>
      </c>
      <c r="AC2164">
        <v>1010.2</v>
      </c>
      <c r="AD2164" t="s">
        <v>1091</v>
      </c>
      <c r="AE2164" s="2">
        <f t="shared" si="337"/>
        <v>1</v>
      </c>
      <c r="AF2164" t="s">
        <v>2954</v>
      </c>
      <c r="AG2164" s="2">
        <f t="shared" si="338"/>
        <v>8</v>
      </c>
      <c r="AH2164" s="2">
        <f t="shared" si="339"/>
        <v>1</v>
      </c>
      <c r="AI2164" s="3">
        <v>959.99999999650754</v>
      </c>
      <c r="AJ2164" s="2">
        <v>1</v>
      </c>
      <c r="AK2164">
        <v>2</v>
      </c>
      <c r="AL2164">
        <v>0</v>
      </c>
      <c r="AM2164">
        <v>0</v>
      </c>
      <c r="AN2164" s="2">
        <f>IF((2*G2164+M2164-O2164+3*V2164+2*AB2164+2*AE2164+2*AH2164+3*AJ2164)&gt;=7,1,0)</f>
        <v>1</v>
      </c>
    </row>
    <row r="2165" spans="1:40" x14ac:dyDescent="0.25">
      <c r="A2165" t="s">
        <v>27</v>
      </c>
      <c r="B2165" s="1">
        <v>43328</v>
      </c>
      <c r="C2165" s="6">
        <f t="shared" si="330"/>
        <v>2018</v>
      </c>
      <c r="D2165">
        <v>86</v>
      </c>
      <c r="E2165">
        <v>71.599999999999994</v>
      </c>
      <c r="F2165">
        <v>80.3</v>
      </c>
      <c r="G2165" s="2">
        <f t="shared" si="331"/>
        <v>1</v>
      </c>
      <c r="H2165">
        <v>93.5</v>
      </c>
      <c r="I2165">
        <v>71.599999999999994</v>
      </c>
      <c r="J2165">
        <v>83.4</v>
      </c>
      <c r="K2165">
        <v>70.2</v>
      </c>
      <c r="L2165">
        <v>71.8</v>
      </c>
      <c r="M2165" s="2">
        <f t="shared" si="332"/>
        <v>0</v>
      </c>
      <c r="N2165">
        <v>0</v>
      </c>
      <c r="O2165" s="2">
        <f t="shared" si="333"/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26.6</v>
      </c>
      <c r="V2165" s="2">
        <f t="shared" si="334"/>
        <v>1</v>
      </c>
      <c r="W2165">
        <v>12.8</v>
      </c>
      <c r="X2165" s="2">
        <f t="shared" si="335"/>
        <v>0</v>
      </c>
      <c r="Y2165">
        <v>319.10000000000002</v>
      </c>
      <c r="Z2165" s="2" t="str">
        <f>CHOOSE(MATCH(Y2165,{0;11;80;111;161;191;241;281;341},1),"North","NorthEast","East","SouthEast","South","SouthWest","West","NorthWest","North")</f>
        <v>NorthWest</v>
      </c>
      <c r="AA2165" s="4">
        <f>CHOOSE(MATCH(Z2165,{"South";"SouthEast";"SouthWest";"North";"NorthEast";"East";"West";"NorthWest"},0),1,2,3,4,5,6,7,8)</f>
        <v>8</v>
      </c>
      <c r="AB2165" s="2">
        <f t="shared" si="336"/>
        <v>1</v>
      </c>
      <c r="AC2165">
        <v>1010.2</v>
      </c>
      <c r="AD2165" t="s">
        <v>2955</v>
      </c>
      <c r="AE2165" s="2">
        <f t="shared" si="337"/>
        <v>0</v>
      </c>
      <c r="AF2165" t="s">
        <v>2956</v>
      </c>
      <c r="AG2165" s="2">
        <f t="shared" si="338"/>
        <v>8</v>
      </c>
      <c r="AH2165" s="2">
        <f t="shared" si="339"/>
        <v>1</v>
      </c>
      <c r="AI2165" s="3">
        <v>200.00000000232831</v>
      </c>
      <c r="AJ2165" s="2">
        <v>0</v>
      </c>
      <c r="AK2165">
        <v>0</v>
      </c>
      <c r="AL2165">
        <v>0.5</v>
      </c>
      <c r="AM2165">
        <v>0</v>
      </c>
      <c r="AN2165" s="2">
        <f>IF((2*G2165+M2165-O2165+3*V2165+2*AB2165+2*AE2165+2*AH2165+3*AJ2165)&gt;=7,1,0)</f>
        <v>1</v>
      </c>
    </row>
    <row r="2166" spans="1:40" x14ac:dyDescent="0.25">
      <c r="A2166" t="s">
        <v>27</v>
      </c>
      <c r="B2166" s="1">
        <v>43333</v>
      </c>
      <c r="C2166" s="6">
        <f t="shared" si="330"/>
        <v>2018</v>
      </c>
      <c r="D2166">
        <v>84.3</v>
      </c>
      <c r="E2166">
        <v>75.2</v>
      </c>
      <c r="F2166">
        <v>79.5</v>
      </c>
      <c r="G2166" s="2">
        <f t="shared" si="331"/>
        <v>1</v>
      </c>
      <c r="H2166">
        <v>88.6</v>
      </c>
      <c r="I2166">
        <v>75.2</v>
      </c>
      <c r="J2166">
        <v>81.400000000000006</v>
      </c>
      <c r="K2166">
        <v>69.400000000000006</v>
      </c>
      <c r="L2166">
        <v>71.5</v>
      </c>
      <c r="M2166" s="2">
        <f t="shared" si="332"/>
        <v>0</v>
      </c>
      <c r="N2166">
        <v>0</v>
      </c>
      <c r="O2166" s="2">
        <f t="shared" si="333"/>
        <v>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27.1</v>
      </c>
      <c r="V2166" s="2">
        <f t="shared" si="334"/>
        <v>1</v>
      </c>
      <c r="W2166">
        <v>20.8</v>
      </c>
      <c r="X2166" s="2">
        <f t="shared" si="335"/>
        <v>1</v>
      </c>
      <c r="Y2166">
        <v>310.7</v>
      </c>
      <c r="Z2166" s="2" t="str">
        <f>CHOOSE(MATCH(Y2166,{0;11;80;111;161;191;241;281;341},1),"North","NorthEast","East","SouthEast","South","SouthWest","West","NorthWest","North")</f>
        <v>NorthWest</v>
      </c>
      <c r="AA2166" s="4">
        <f>CHOOSE(MATCH(Z2166,{"South";"SouthEast";"SouthWest";"North";"NorthEast";"East";"West";"NorthWest"},0),1,2,3,4,5,6,7,8)</f>
        <v>8</v>
      </c>
      <c r="AB2166" s="2">
        <f t="shared" si="336"/>
        <v>1</v>
      </c>
      <c r="AC2166">
        <v>1010.8</v>
      </c>
      <c r="AD2166" t="s">
        <v>2957</v>
      </c>
      <c r="AE2166" s="2">
        <f t="shared" si="337"/>
        <v>1</v>
      </c>
      <c r="AF2166" t="s">
        <v>2958</v>
      </c>
      <c r="AG2166" s="2">
        <f t="shared" si="338"/>
        <v>8</v>
      </c>
      <c r="AH2166" s="2">
        <f t="shared" si="339"/>
        <v>1</v>
      </c>
      <c r="AI2166" s="3">
        <v>1413.9999999990689</v>
      </c>
      <c r="AJ2166" s="2">
        <v>1</v>
      </c>
      <c r="AK2166">
        <v>0</v>
      </c>
      <c r="AL2166">
        <v>0.2</v>
      </c>
      <c r="AM2166">
        <v>0</v>
      </c>
      <c r="AN2166" s="2">
        <f>IF((2*G2166+M2166-O2166+3*V2166+2*AB2166+2*AE2166+2*AH2166+3*AJ2166)&gt;=7,1,0)</f>
        <v>1</v>
      </c>
    </row>
    <row r="2167" spans="1:40" x14ac:dyDescent="0.25">
      <c r="A2167" t="s">
        <v>27</v>
      </c>
      <c r="B2167" s="1">
        <v>43335</v>
      </c>
      <c r="C2167" s="6">
        <f t="shared" si="330"/>
        <v>2018</v>
      </c>
      <c r="D2167">
        <v>82.4</v>
      </c>
      <c r="E2167">
        <v>71.599999999999994</v>
      </c>
      <c r="F2167">
        <v>78.599999999999994</v>
      </c>
      <c r="G2167" s="2">
        <f t="shared" si="331"/>
        <v>1</v>
      </c>
      <c r="H2167">
        <v>87.2</v>
      </c>
      <c r="I2167">
        <v>71.599999999999994</v>
      </c>
      <c r="J2167">
        <v>80.3</v>
      </c>
      <c r="K2167">
        <v>67.900000000000006</v>
      </c>
      <c r="L2167">
        <v>70</v>
      </c>
      <c r="M2167" s="2">
        <f t="shared" si="332"/>
        <v>0</v>
      </c>
      <c r="N2167">
        <v>0</v>
      </c>
      <c r="O2167" s="2">
        <f t="shared" si="333"/>
        <v>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26.4</v>
      </c>
      <c r="V2167" s="2">
        <f t="shared" si="334"/>
        <v>1</v>
      </c>
      <c r="W2167">
        <v>19.600000000000001</v>
      </c>
      <c r="X2167" s="2">
        <f t="shared" si="335"/>
        <v>1</v>
      </c>
      <c r="Y2167">
        <v>308.8</v>
      </c>
      <c r="Z2167" s="2" t="str">
        <f>CHOOSE(MATCH(Y2167,{0;11;80;111;161;191;241;281;341},1),"North","NorthEast","East","SouthEast","South","SouthWest","West","NorthWest","North")</f>
        <v>NorthWest</v>
      </c>
      <c r="AA2167" s="4">
        <f>CHOOSE(MATCH(Z2167,{"South";"SouthEast";"SouthWest";"North";"NorthEast";"East";"West";"NorthWest"},0),1,2,3,4,5,6,7,8)</f>
        <v>8</v>
      </c>
      <c r="AB2167" s="2">
        <f t="shared" si="336"/>
        <v>1</v>
      </c>
      <c r="AC2167">
        <v>1010.7</v>
      </c>
      <c r="AD2167" t="s">
        <v>2959</v>
      </c>
      <c r="AE2167" s="2">
        <f t="shared" si="337"/>
        <v>1</v>
      </c>
      <c r="AF2167" t="s">
        <v>2960</v>
      </c>
      <c r="AG2167" s="2">
        <f t="shared" si="338"/>
        <v>8</v>
      </c>
      <c r="AH2167" s="2">
        <f t="shared" si="339"/>
        <v>1</v>
      </c>
      <c r="AI2167" s="3">
        <v>1948.0000000004659</v>
      </c>
      <c r="AJ2167" s="2">
        <v>1</v>
      </c>
      <c r="AK2167">
        <v>0</v>
      </c>
      <c r="AL2167">
        <v>3</v>
      </c>
      <c r="AM2167">
        <v>0</v>
      </c>
      <c r="AN2167" s="2">
        <f>IF((2*G2167+M2167-O2167+3*V2167+2*AB2167+2*AE2167+2*AH2167+3*AJ2167)&gt;=7,1,0)</f>
        <v>1</v>
      </c>
    </row>
    <row r="2168" spans="1:40" x14ac:dyDescent="0.25">
      <c r="A2168" t="s">
        <v>27</v>
      </c>
      <c r="B2168" s="1">
        <v>43338</v>
      </c>
      <c r="C2168" s="6">
        <f t="shared" si="330"/>
        <v>2018</v>
      </c>
      <c r="D2168">
        <v>86</v>
      </c>
      <c r="E2168">
        <v>75.2</v>
      </c>
      <c r="F2168">
        <v>80.5</v>
      </c>
      <c r="G2168" s="2">
        <f t="shared" si="331"/>
        <v>1</v>
      </c>
      <c r="H2168">
        <v>93.5</v>
      </c>
      <c r="I2168">
        <v>75.2</v>
      </c>
      <c r="J2168">
        <v>83.8</v>
      </c>
      <c r="K2168">
        <v>71.599999999999994</v>
      </c>
      <c r="L2168">
        <v>75</v>
      </c>
      <c r="M2168" s="2">
        <f t="shared" si="332"/>
        <v>0</v>
      </c>
      <c r="N2168">
        <v>0</v>
      </c>
      <c r="O2168" s="2">
        <f t="shared" si="333"/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27.7</v>
      </c>
      <c r="V2168" s="2">
        <f t="shared" si="334"/>
        <v>1</v>
      </c>
      <c r="W2168">
        <v>25.3</v>
      </c>
      <c r="X2168" s="2">
        <f t="shared" si="335"/>
        <v>1</v>
      </c>
      <c r="Y2168">
        <v>288.89999999999998</v>
      </c>
      <c r="Z2168" s="2" t="str">
        <f>CHOOSE(MATCH(Y2168,{0;11;80;111;161;191;241;281;341},1),"North","NorthEast","East","SouthEast","South","SouthWest","West","NorthWest","North")</f>
        <v>NorthWest</v>
      </c>
      <c r="AA2168" s="4">
        <f>CHOOSE(MATCH(Z2168,{"South";"SouthEast";"SouthWest";"North";"NorthEast";"East";"West";"NorthWest"},0),1,2,3,4,5,6,7,8)</f>
        <v>8</v>
      </c>
      <c r="AB2168" s="2">
        <f t="shared" si="336"/>
        <v>1</v>
      </c>
      <c r="AC2168">
        <v>1008.1</v>
      </c>
      <c r="AD2168" t="s">
        <v>1779</v>
      </c>
      <c r="AE2168" s="2">
        <f t="shared" si="337"/>
        <v>1</v>
      </c>
      <c r="AF2168" t="s">
        <v>2961</v>
      </c>
      <c r="AG2168" s="2">
        <f t="shared" si="338"/>
        <v>8</v>
      </c>
      <c r="AH2168" s="2">
        <f t="shared" si="339"/>
        <v>1</v>
      </c>
      <c r="AI2168" s="3">
        <v>374.99999999650748</v>
      </c>
      <c r="AJ2168" s="2">
        <v>1</v>
      </c>
      <c r="AK2168">
        <v>0</v>
      </c>
      <c r="AL2168">
        <v>1</v>
      </c>
      <c r="AM2168">
        <v>0</v>
      </c>
      <c r="AN2168" s="2">
        <f>IF((2*G2168+M2168-O2168+3*V2168+2*AB2168+2*AE2168+2*AH2168+3*AJ2168)&gt;=7,1,0)</f>
        <v>1</v>
      </c>
    </row>
    <row r="2169" spans="1:40" x14ac:dyDescent="0.25">
      <c r="A2169" t="s">
        <v>27</v>
      </c>
      <c r="B2169" s="1">
        <v>43346</v>
      </c>
      <c r="C2169" s="6">
        <f t="shared" si="330"/>
        <v>2018</v>
      </c>
      <c r="D2169">
        <v>86</v>
      </c>
      <c r="E2169">
        <v>75.2</v>
      </c>
      <c r="F2169">
        <v>80.5</v>
      </c>
      <c r="G2169" s="2">
        <f t="shared" si="331"/>
        <v>1</v>
      </c>
      <c r="H2169">
        <v>90.6</v>
      </c>
      <c r="I2169">
        <v>75.2</v>
      </c>
      <c r="J2169">
        <v>82.9</v>
      </c>
      <c r="K2169">
        <v>68.400000000000006</v>
      </c>
      <c r="L2169">
        <v>67.099999999999994</v>
      </c>
      <c r="M2169" s="2">
        <f t="shared" si="332"/>
        <v>0</v>
      </c>
      <c r="N2169">
        <v>0</v>
      </c>
      <c r="O2169" s="2">
        <f t="shared" si="333"/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24.2</v>
      </c>
      <c r="V2169" s="2">
        <f t="shared" si="334"/>
        <v>1</v>
      </c>
      <c r="W2169">
        <v>18.3</v>
      </c>
      <c r="X2169" s="2">
        <f t="shared" si="335"/>
        <v>1</v>
      </c>
      <c r="Y2169">
        <v>302.8</v>
      </c>
      <c r="Z2169" s="2" t="str">
        <f>CHOOSE(MATCH(Y2169,{0;11;80;111;161;191;241;281;341},1),"North","NorthEast","East","SouthEast","South","SouthWest","West","NorthWest","North")</f>
        <v>NorthWest</v>
      </c>
      <c r="AA2169" s="4">
        <f>CHOOSE(MATCH(Z2169,{"South";"SouthEast";"SouthWest";"North";"NorthEast";"East";"West";"NorthWest"},0),1,2,3,4,5,6,7,8)</f>
        <v>8</v>
      </c>
      <c r="AB2169" s="2">
        <f t="shared" si="336"/>
        <v>1</v>
      </c>
      <c r="AC2169">
        <v>1009.9</v>
      </c>
      <c r="AD2169" t="s">
        <v>2313</v>
      </c>
      <c r="AE2169" s="2">
        <f t="shared" si="337"/>
        <v>1</v>
      </c>
      <c r="AF2169" t="s">
        <v>2962</v>
      </c>
      <c r="AG2169" s="2">
        <f t="shared" si="338"/>
        <v>9</v>
      </c>
      <c r="AH2169" s="2">
        <f t="shared" si="339"/>
        <v>0</v>
      </c>
      <c r="AI2169" s="3">
        <v>987.00000000069849</v>
      </c>
      <c r="AJ2169" s="2">
        <v>1</v>
      </c>
      <c r="AK2169">
        <v>0</v>
      </c>
      <c r="AL2169">
        <v>2</v>
      </c>
      <c r="AM2169">
        <v>0</v>
      </c>
      <c r="AN2169" s="2">
        <f>IF((2*G2169+M2169-O2169+3*V2169+2*AB2169+2*AE2169+2*AH2169+3*AJ2169)&gt;=7,1,0)</f>
        <v>1</v>
      </c>
    </row>
    <row r="2170" spans="1:40" x14ac:dyDescent="0.25">
      <c r="A2170" t="s">
        <v>27</v>
      </c>
      <c r="B2170" s="1">
        <v>43347</v>
      </c>
      <c r="C2170" s="6">
        <f t="shared" si="330"/>
        <v>2018</v>
      </c>
      <c r="D2170">
        <v>87.8</v>
      </c>
      <c r="E2170">
        <v>71.599999999999994</v>
      </c>
      <c r="F2170">
        <v>79.099999999999994</v>
      </c>
      <c r="G2170" s="2">
        <f t="shared" si="331"/>
        <v>1</v>
      </c>
      <c r="H2170">
        <v>92</v>
      </c>
      <c r="I2170">
        <v>71.599999999999994</v>
      </c>
      <c r="J2170">
        <v>81.099999999999994</v>
      </c>
      <c r="K2170">
        <v>68.099999999999994</v>
      </c>
      <c r="L2170">
        <v>70.400000000000006</v>
      </c>
      <c r="M2170" s="2">
        <f t="shared" si="332"/>
        <v>0</v>
      </c>
      <c r="N2170">
        <v>0</v>
      </c>
      <c r="O2170" s="2">
        <f t="shared" si="333"/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23.3</v>
      </c>
      <c r="V2170" s="2">
        <f t="shared" si="334"/>
        <v>1</v>
      </c>
      <c r="W2170">
        <v>21.9</v>
      </c>
      <c r="X2170" s="2">
        <f t="shared" si="335"/>
        <v>1</v>
      </c>
      <c r="Y2170">
        <v>296.89999999999998</v>
      </c>
      <c r="Z2170" s="2" t="str">
        <f>CHOOSE(MATCH(Y2170,{0;11;80;111;161;191;241;281;341},1),"North","NorthEast","East","SouthEast","South","SouthWest","West","NorthWest","North")</f>
        <v>NorthWest</v>
      </c>
      <c r="AA2170" s="4">
        <f>CHOOSE(MATCH(Z2170,{"South";"SouthEast";"SouthWest";"North";"NorthEast";"East";"West";"NorthWest"},0),1,2,3,4,5,6,7,8)</f>
        <v>8</v>
      </c>
      <c r="AB2170" s="2">
        <f t="shared" si="336"/>
        <v>1</v>
      </c>
      <c r="AC2170">
        <v>1008.9</v>
      </c>
      <c r="AD2170" t="s">
        <v>2963</v>
      </c>
      <c r="AE2170" s="2">
        <f t="shared" si="337"/>
        <v>1</v>
      </c>
      <c r="AF2170" t="s">
        <v>2964</v>
      </c>
      <c r="AG2170" s="2">
        <f t="shared" si="338"/>
        <v>9</v>
      </c>
      <c r="AH2170" s="2">
        <f t="shared" si="339"/>
        <v>0</v>
      </c>
      <c r="AI2170" s="3">
        <v>2055.9999999962752</v>
      </c>
      <c r="AJ2170" s="2">
        <v>1</v>
      </c>
      <c r="AK2170">
        <v>0</v>
      </c>
      <c r="AL2170">
        <v>80</v>
      </c>
      <c r="AM2170">
        <v>0</v>
      </c>
      <c r="AN2170" s="2">
        <f>IF((2*G2170+M2170-O2170+3*V2170+2*AB2170+2*AE2170+2*AH2170+3*AJ2170)&gt;=7,1,0)</f>
        <v>1</v>
      </c>
    </row>
    <row r="2171" spans="1:40" x14ac:dyDescent="0.25">
      <c r="A2171" t="s">
        <v>27</v>
      </c>
      <c r="B2171" s="1">
        <v>43348</v>
      </c>
      <c r="C2171" s="6">
        <f t="shared" si="330"/>
        <v>2018</v>
      </c>
      <c r="D2171">
        <v>84.2</v>
      </c>
      <c r="E2171">
        <v>71.599999999999994</v>
      </c>
      <c r="F2171">
        <v>78.7</v>
      </c>
      <c r="G2171" s="2">
        <f t="shared" si="331"/>
        <v>1</v>
      </c>
      <c r="H2171">
        <v>89.6</v>
      </c>
      <c r="I2171">
        <v>71.599999999999994</v>
      </c>
      <c r="J2171">
        <v>81.099999999999994</v>
      </c>
      <c r="K2171">
        <v>68.400000000000006</v>
      </c>
      <c r="L2171">
        <v>71.400000000000006</v>
      </c>
      <c r="M2171" s="2">
        <f t="shared" si="332"/>
        <v>0</v>
      </c>
      <c r="N2171">
        <v>0</v>
      </c>
      <c r="O2171" s="2">
        <f t="shared" si="333"/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24.4</v>
      </c>
      <c r="V2171" s="2">
        <f t="shared" si="334"/>
        <v>1</v>
      </c>
      <c r="W2171">
        <v>20.8</v>
      </c>
      <c r="X2171" s="2">
        <f t="shared" si="335"/>
        <v>1</v>
      </c>
      <c r="Y2171">
        <v>291.2</v>
      </c>
      <c r="Z2171" s="2" t="str">
        <f>CHOOSE(MATCH(Y2171,{0;11;80;111;161;191;241;281;341},1),"North","NorthEast","East","SouthEast","South","SouthWest","West","NorthWest","North")</f>
        <v>NorthWest</v>
      </c>
      <c r="AA2171" s="4">
        <f>CHOOSE(MATCH(Z2171,{"South";"SouthEast";"SouthWest";"North";"NorthEast";"East";"West";"NorthWest"},0),1,2,3,4,5,6,7,8)</f>
        <v>8</v>
      </c>
      <c r="AB2171" s="2">
        <f t="shared" si="336"/>
        <v>1</v>
      </c>
      <c r="AC2171">
        <v>1008.7</v>
      </c>
      <c r="AD2171" t="s">
        <v>2697</v>
      </c>
      <c r="AE2171" s="2">
        <f t="shared" si="337"/>
        <v>1</v>
      </c>
      <c r="AF2171" t="s">
        <v>2965</v>
      </c>
      <c r="AG2171" s="2">
        <f t="shared" si="338"/>
        <v>9</v>
      </c>
      <c r="AH2171" s="2">
        <f t="shared" si="339"/>
        <v>0</v>
      </c>
      <c r="AI2171" s="3">
        <v>1933.0000000039579</v>
      </c>
      <c r="AJ2171" s="2">
        <v>1</v>
      </c>
      <c r="AK2171">
        <v>0</v>
      </c>
      <c r="AL2171">
        <v>25</v>
      </c>
      <c r="AM2171">
        <v>0</v>
      </c>
      <c r="AN2171" s="2">
        <f>IF((2*G2171+M2171-O2171+3*V2171+2*AB2171+2*AE2171+2*AH2171+3*AJ2171)&gt;=7,1,0)</f>
        <v>1</v>
      </c>
    </row>
    <row r="2172" spans="1:40" x14ac:dyDescent="0.25">
      <c r="A2172" t="s">
        <v>27</v>
      </c>
      <c r="B2172" s="1">
        <v>43348</v>
      </c>
      <c r="C2172" s="6">
        <f t="shared" si="330"/>
        <v>2018</v>
      </c>
      <c r="D2172">
        <v>84.2</v>
      </c>
      <c r="E2172">
        <v>71.599999999999994</v>
      </c>
      <c r="F2172">
        <v>78.7</v>
      </c>
      <c r="G2172" s="2">
        <f t="shared" si="331"/>
        <v>1</v>
      </c>
      <c r="H2172">
        <v>89.6</v>
      </c>
      <c r="I2172">
        <v>71.599999999999994</v>
      </c>
      <c r="J2172">
        <v>81.099999999999994</v>
      </c>
      <c r="K2172">
        <v>68.400000000000006</v>
      </c>
      <c r="L2172">
        <v>71.400000000000006</v>
      </c>
      <c r="M2172" s="2">
        <f t="shared" si="332"/>
        <v>0</v>
      </c>
      <c r="N2172">
        <v>0</v>
      </c>
      <c r="O2172" s="2">
        <f t="shared" si="333"/>
        <v>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24.4</v>
      </c>
      <c r="V2172" s="2">
        <f t="shared" si="334"/>
        <v>1</v>
      </c>
      <c r="W2172">
        <v>20.8</v>
      </c>
      <c r="X2172" s="2">
        <f t="shared" si="335"/>
        <v>1</v>
      </c>
      <c r="Y2172">
        <v>291.2</v>
      </c>
      <c r="Z2172" s="2" t="str">
        <f>CHOOSE(MATCH(Y2172,{0;11;80;111;161;191;241;281;341},1),"North","NorthEast","East","SouthEast","South","SouthWest","West","NorthWest","North")</f>
        <v>NorthWest</v>
      </c>
      <c r="AA2172" s="4">
        <f>CHOOSE(MATCH(Z2172,{"South";"SouthEast";"SouthWest";"North";"NorthEast";"East";"West";"NorthWest"},0),1,2,3,4,5,6,7,8)</f>
        <v>8</v>
      </c>
      <c r="AB2172" s="2">
        <f t="shared" si="336"/>
        <v>1</v>
      </c>
      <c r="AC2172">
        <v>1008.7</v>
      </c>
      <c r="AD2172" t="s">
        <v>2966</v>
      </c>
      <c r="AE2172" s="2">
        <f t="shared" si="337"/>
        <v>1</v>
      </c>
      <c r="AF2172" t="s">
        <v>2967</v>
      </c>
      <c r="AG2172" s="2">
        <f t="shared" si="338"/>
        <v>9</v>
      </c>
      <c r="AH2172" s="2">
        <f t="shared" si="339"/>
        <v>0</v>
      </c>
      <c r="AI2172" s="3">
        <v>697.99999999115244</v>
      </c>
      <c r="AJ2172" s="2">
        <v>1</v>
      </c>
      <c r="AK2172">
        <v>0</v>
      </c>
      <c r="AL2172">
        <v>0.1</v>
      </c>
      <c r="AM2172">
        <v>0</v>
      </c>
      <c r="AN2172" s="2">
        <f>IF((2*G2172+M2172-O2172+3*V2172+2*AB2172+2*AE2172+2*AH2172+3*AJ2172)&gt;=7,1,0)</f>
        <v>1</v>
      </c>
    </row>
    <row r="2173" spans="1:40" x14ac:dyDescent="0.25">
      <c r="A2173" t="s">
        <v>27</v>
      </c>
      <c r="B2173" s="1">
        <v>43349</v>
      </c>
      <c r="C2173" s="6">
        <f t="shared" si="330"/>
        <v>2018</v>
      </c>
      <c r="D2173">
        <v>84.2</v>
      </c>
      <c r="E2173">
        <v>75.2</v>
      </c>
      <c r="F2173">
        <v>80</v>
      </c>
      <c r="G2173" s="2">
        <f t="shared" si="331"/>
        <v>1</v>
      </c>
      <c r="H2173">
        <v>89.6</v>
      </c>
      <c r="I2173">
        <v>75.2</v>
      </c>
      <c r="J2173">
        <v>81.900000000000006</v>
      </c>
      <c r="K2173">
        <v>68.900000000000006</v>
      </c>
      <c r="L2173">
        <v>69.099999999999994</v>
      </c>
      <c r="M2173" s="2">
        <f t="shared" si="332"/>
        <v>0</v>
      </c>
      <c r="N2173">
        <v>0</v>
      </c>
      <c r="O2173" s="2">
        <f t="shared" si="333"/>
        <v>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22.1</v>
      </c>
      <c r="V2173" s="2">
        <f t="shared" si="334"/>
        <v>1</v>
      </c>
      <c r="W2173">
        <v>18.3</v>
      </c>
      <c r="X2173" s="2">
        <f t="shared" si="335"/>
        <v>1</v>
      </c>
      <c r="Y2173">
        <v>294.3</v>
      </c>
      <c r="Z2173" s="2" t="str">
        <f>CHOOSE(MATCH(Y2173,{0;11;80;111;161;191;241;281;341},1),"North","NorthEast","East","SouthEast","South","SouthWest","West","NorthWest","North")</f>
        <v>NorthWest</v>
      </c>
      <c r="AA2173" s="4">
        <f>CHOOSE(MATCH(Z2173,{"South";"SouthEast";"SouthWest";"North";"NorthEast";"East";"West";"NorthWest"},0),1,2,3,4,5,6,7,8)</f>
        <v>8</v>
      </c>
      <c r="AB2173" s="2">
        <f t="shared" si="336"/>
        <v>1</v>
      </c>
      <c r="AC2173">
        <v>1009.3</v>
      </c>
      <c r="AD2173" t="s">
        <v>2340</v>
      </c>
      <c r="AE2173" s="2">
        <f t="shared" si="337"/>
        <v>0</v>
      </c>
      <c r="AF2173" t="s">
        <v>2968</v>
      </c>
      <c r="AG2173" s="2">
        <f t="shared" si="338"/>
        <v>9</v>
      </c>
      <c r="AH2173" s="2">
        <f t="shared" si="339"/>
        <v>0</v>
      </c>
      <c r="AI2173" s="3">
        <v>2020.9999999974391</v>
      </c>
      <c r="AJ2173" s="2">
        <v>1</v>
      </c>
      <c r="AK2173">
        <v>0</v>
      </c>
      <c r="AL2173">
        <v>2</v>
      </c>
      <c r="AM2173">
        <v>0</v>
      </c>
      <c r="AN2173" s="2">
        <f>IF((2*G2173+M2173-O2173+3*V2173+2*AB2173+2*AE2173+2*AH2173+3*AJ2173)&gt;=7,1,0)</f>
        <v>1</v>
      </c>
    </row>
    <row r="2174" spans="1:40" x14ac:dyDescent="0.25">
      <c r="A2174" t="s">
        <v>27</v>
      </c>
      <c r="B2174" s="1">
        <v>43358</v>
      </c>
      <c r="C2174" s="6">
        <f t="shared" si="330"/>
        <v>2018</v>
      </c>
      <c r="D2174">
        <v>80.599999999999994</v>
      </c>
      <c r="E2174">
        <v>66.2</v>
      </c>
      <c r="F2174">
        <v>73.900000000000006</v>
      </c>
      <c r="G2174" s="2">
        <f t="shared" si="331"/>
        <v>1</v>
      </c>
      <c r="H2174">
        <v>84.6</v>
      </c>
      <c r="I2174">
        <v>66.2</v>
      </c>
      <c r="J2174">
        <v>74.2</v>
      </c>
      <c r="K2174">
        <v>68.5</v>
      </c>
      <c r="L2174">
        <v>83.8</v>
      </c>
      <c r="M2174" s="2">
        <f t="shared" si="332"/>
        <v>0</v>
      </c>
      <c r="N2174">
        <v>0</v>
      </c>
      <c r="O2174" s="2">
        <f t="shared" si="333"/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23</v>
      </c>
      <c r="V2174" s="2">
        <f t="shared" si="334"/>
        <v>1</v>
      </c>
      <c r="W2174">
        <v>10.3</v>
      </c>
      <c r="X2174" s="2">
        <f t="shared" si="335"/>
        <v>0</v>
      </c>
      <c r="Y2174">
        <v>302.5</v>
      </c>
      <c r="Z2174" s="2" t="str">
        <f>CHOOSE(MATCH(Y2174,{0;11;80;111;161;191;241;281;341},1),"North","NorthEast","East","SouthEast","South","SouthWest","West","NorthWest","North")</f>
        <v>NorthWest</v>
      </c>
      <c r="AA2174" s="4">
        <f>CHOOSE(MATCH(Z2174,{"South";"SouthEast";"SouthWest";"North";"NorthEast";"East";"West";"NorthWest"},0),1,2,3,4,5,6,7,8)</f>
        <v>8</v>
      </c>
      <c r="AB2174" s="2">
        <f t="shared" si="336"/>
        <v>1</v>
      </c>
      <c r="AC2174">
        <v>1015.8</v>
      </c>
      <c r="AD2174" t="s">
        <v>2379</v>
      </c>
      <c r="AE2174" s="2">
        <f t="shared" si="337"/>
        <v>1</v>
      </c>
      <c r="AF2174" t="s">
        <v>2969</v>
      </c>
      <c r="AG2174" s="2">
        <f t="shared" si="338"/>
        <v>9</v>
      </c>
      <c r="AH2174" s="2">
        <f t="shared" si="339"/>
        <v>0</v>
      </c>
      <c r="AI2174" s="3">
        <v>24.99999999767169</v>
      </c>
      <c r="AJ2174" s="2">
        <v>0</v>
      </c>
      <c r="AK2174">
        <v>0</v>
      </c>
      <c r="AL2174">
        <v>0.1</v>
      </c>
      <c r="AM2174">
        <v>0</v>
      </c>
      <c r="AN2174" s="2">
        <f>IF((2*G2174+M2174-O2174+3*V2174+2*AB2174+2*AE2174+2*AH2174+3*AJ2174)&gt;=7,1,0)</f>
        <v>1</v>
      </c>
    </row>
    <row r="2175" spans="1:40" x14ac:dyDescent="0.25">
      <c r="A2175" t="s">
        <v>27</v>
      </c>
      <c r="B2175" s="1">
        <v>43359</v>
      </c>
      <c r="C2175" s="6">
        <f t="shared" si="330"/>
        <v>2018</v>
      </c>
      <c r="D2175">
        <v>80.599999999999994</v>
      </c>
      <c r="E2175">
        <v>68</v>
      </c>
      <c r="F2175">
        <v>75.599999999999994</v>
      </c>
      <c r="G2175" s="2">
        <f t="shared" si="331"/>
        <v>1</v>
      </c>
      <c r="H2175">
        <v>85.4</v>
      </c>
      <c r="I2175">
        <v>68</v>
      </c>
      <c r="J2175">
        <v>76.900000000000006</v>
      </c>
      <c r="K2175">
        <v>68.5</v>
      </c>
      <c r="L2175">
        <v>78.900000000000006</v>
      </c>
      <c r="M2175" s="2">
        <f t="shared" si="332"/>
        <v>0</v>
      </c>
      <c r="N2175">
        <v>0</v>
      </c>
      <c r="O2175" s="2">
        <f t="shared" si="333"/>
        <v>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28.2</v>
      </c>
      <c r="V2175" s="2">
        <f t="shared" si="334"/>
        <v>1</v>
      </c>
      <c r="W2175">
        <v>16.100000000000001</v>
      </c>
      <c r="X2175" s="2">
        <f t="shared" si="335"/>
        <v>1</v>
      </c>
      <c r="Y2175">
        <v>295.8</v>
      </c>
      <c r="Z2175" s="2" t="str">
        <f>CHOOSE(MATCH(Y2175,{0;11;80;111;161;191;241;281;341},1),"North","NorthEast","East","SouthEast","South","SouthWest","West","NorthWest","North")</f>
        <v>NorthWest</v>
      </c>
      <c r="AA2175" s="4">
        <f>CHOOSE(MATCH(Z2175,{"South";"SouthEast";"SouthWest";"North";"NorthEast";"East";"West";"NorthWest"},0),1,2,3,4,5,6,7,8)</f>
        <v>8</v>
      </c>
      <c r="AB2175" s="2">
        <f t="shared" si="336"/>
        <v>1</v>
      </c>
      <c r="AC2175">
        <v>1016.5</v>
      </c>
      <c r="AD2175" t="s">
        <v>2510</v>
      </c>
      <c r="AE2175" s="2">
        <f t="shared" si="337"/>
        <v>1</v>
      </c>
      <c r="AF2175" t="s">
        <v>2970</v>
      </c>
      <c r="AG2175" s="2">
        <f t="shared" si="338"/>
        <v>9</v>
      </c>
      <c r="AH2175" s="2">
        <f t="shared" si="339"/>
        <v>0</v>
      </c>
      <c r="AI2175" s="3">
        <v>267.99999999348069</v>
      </c>
      <c r="AJ2175" s="2">
        <v>0</v>
      </c>
      <c r="AK2175">
        <v>0.1</v>
      </c>
      <c r="AL2175">
        <v>0</v>
      </c>
      <c r="AM2175">
        <v>0</v>
      </c>
      <c r="AN2175" s="2">
        <f>IF((2*G2175+M2175-O2175+3*V2175+2*AB2175+2*AE2175+2*AH2175+3*AJ2175)&gt;=7,1,0)</f>
        <v>1</v>
      </c>
    </row>
    <row r="2176" spans="1:40" x14ac:dyDescent="0.25">
      <c r="A2176" t="s">
        <v>27</v>
      </c>
      <c r="B2176" s="1">
        <v>43368</v>
      </c>
      <c r="C2176" s="6">
        <f t="shared" si="330"/>
        <v>2018</v>
      </c>
      <c r="D2176">
        <v>80.599999999999994</v>
      </c>
      <c r="E2176">
        <v>66.2</v>
      </c>
      <c r="F2176">
        <v>73.3</v>
      </c>
      <c r="G2176" s="2">
        <f t="shared" si="331"/>
        <v>1</v>
      </c>
      <c r="H2176">
        <v>85.4</v>
      </c>
      <c r="I2176">
        <v>66.2</v>
      </c>
      <c r="J2176">
        <v>74</v>
      </c>
      <c r="K2176">
        <v>66.099999999999994</v>
      </c>
      <c r="L2176">
        <v>78.2</v>
      </c>
      <c r="M2176" s="2">
        <f t="shared" si="332"/>
        <v>0</v>
      </c>
      <c r="N2176">
        <v>0</v>
      </c>
      <c r="O2176" s="2">
        <f t="shared" si="333"/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32.700000000000003</v>
      </c>
      <c r="V2176" s="2">
        <f t="shared" si="334"/>
        <v>1</v>
      </c>
      <c r="W2176">
        <v>21.9</v>
      </c>
      <c r="X2176" s="2">
        <f t="shared" si="335"/>
        <v>1</v>
      </c>
      <c r="Y2176">
        <v>314</v>
      </c>
      <c r="Z2176" s="2" t="str">
        <f>CHOOSE(MATCH(Y2176,{0;11;80;111;161;191;241;281;341},1),"North","NorthEast","East","SouthEast","South","SouthWest","West","NorthWest","North")</f>
        <v>NorthWest</v>
      </c>
      <c r="AA2176" s="4">
        <f>CHOOSE(MATCH(Z2176,{"South";"SouthEast";"SouthWest";"North";"NorthEast";"East";"West";"NorthWest"},0),1,2,3,4,5,6,7,8)</f>
        <v>8</v>
      </c>
      <c r="AB2176" s="2">
        <f t="shared" si="336"/>
        <v>1</v>
      </c>
      <c r="AC2176">
        <v>1014.2</v>
      </c>
      <c r="AD2176" t="s">
        <v>2971</v>
      </c>
      <c r="AE2176" s="2">
        <f t="shared" si="337"/>
        <v>1</v>
      </c>
      <c r="AF2176" t="s">
        <v>2972</v>
      </c>
      <c r="AG2176" s="2">
        <f t="shared" si="338"/>
        <v>9</v>
      </c>
      <c r="AH2176" s="2">
        <f t="shared" si="339"/>
        <v>0</v>
      </c>
      <c r="AI2176" s="3">
        <v>2040.9999999997669</v>
      </c>
      <c r="AJ2176" s="2">
        <v>1</v>
      </c>
      <c r="AK2176">
        <v>0</v>
      </c>
      <c r="AL2176">
        <v>30</v>
      </c>
      <c r="AM2176">
        <v>0</v>
      </c>
      <c r="AN2176" s="2">
        <f>IF((2*G2176+M2176-O2176+3*V2176+2*AB2176+2*AE2176+2*AH2176+3*AJ2176)&gt;=7,1,0)</f>
        <v>1</v>
      </c>
    </row>
    <row r="2177" spans="1:40" x14ac:dyDescent="0.25">
      <c r="A2177" t="s">
        <v>27</v>
      </c>
      <c r="B2177" s="1">
        <v>43368</v>
      </c>
      <c r="C2177" s="6">
        <f t="shared" si="330"/>
        <v>2018</v>
      </c>
      <c r="D2177">
        <v>80.599999999999994</v>
      </c>
      <c r="E2177">
        <v>66.2</v>
      </c>
      <c r="F2177">
        <v>73.3</v>
      </c>
      <c r="G2177" s="2">
        <f t="shared" si="331"/>
        <v>1</v>
      </c>
      <c r="H2177">
        <v>85.4</v>
      </c>
      <c r="I2177">
        <v>66.2</v>
      </c>
      <c r="J2177">
        <v>74</v>
      </c>
      <c r="K2177">
        <v>66.099999999999994</v>
      </c>
      <c r="L2177">
        <v>78.2</v>
      </c>
      <c r="M2177" s="2">
        <f t="shared" si="332"/>
        <v>0</v>
      </c>
      <c r="N2177">
        <v>0</v>
      </c>
      <c r="O2177" s="2">
        <f t="shared" si="333"/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32.700000000000003</v>
      </c>
      <c r="V2177" s="2">
        <f t="shared" si="334"/>
        <v>1</v>
      </c>
      <c r="W2177">
        <v>21.9</v>
      </c>
      <c r="X2177" s="2">
        <f t="shared" si="335"/>
        <v>1</v>
      </c>
      <c r="Y2177">
        <v>314</v>
      </c>
      <c r="Z2177" s="2" t="str">
        <f>CHOOSE(MATCH(Y2177,{0;11;80;111;161;191;241;281;341},1),"North","NorthEast","East","SouthEast","South","SouthWest","West","NorthWest","North")</f>
        <v>NorthWest</v>
      </c>
      <c r="AA2177" s="4">
        <f>CHOOSE(MATCH(Z2177,{"South";"SouthEast";"SouthWest";"North";"NorthEast";"East";"West";"NorthWest"},0),1,2,3,4,5,6,7,8)</f>
        <v>8</v>
      </c>
      <c r="AB2177" s="2">
        <f t="shared" si="336"/>
        <v>1</v>
      </c>
      <c r="AC2177">
        <v>1014.2</v>
      </c>
      <c r="AD2177" t="s">
        <v>2952</v>
      </c>
      <c r="AE2177" s="2">
        <f t="shared" si="337"/>
        <v>0</v>
      </c>
      <c r="AF2177" t="s">
        <v>2973</v>
      </c>
      <c r="AG2177" s="2">
        <f t="shared" si="338"/>
        <v>9</v>
      </c>
      <c r="AH2177" s="2">
        <f t="shared" si="339"/>
        <v>0</v>
      </c>
      <c r="AI2177" s="3">
        <v>239.00000000372529</v>
      </c>
      <c r="AJ2177" s="2">
        <v>0</v>
      </c>
      <c r="AK2177">
        <v>0</v>
      </c>
      <c r="AL2177">
        <v>0.5</v>
      </c>
      <c r="AM2177">
        <v>0</v>
      </c>
      <c r="AN2177" s="2">
        <f>IF((2*G2177+M2177-O2177+3*V2177+2*AB2177+2*AE2177+2*AH2177+3*AJ2177)&gt;=7,1,0)</f>
        <v>0</v>
      </c>
    </row>
    <row r="2178" spans="1:40" x14ac:dyDescent="0.25">
      <c r="A2178" t="s">
        <v>27</v>
      </c>
      <c r="B2178" s="1">
        <v>43369</v>
      </c>
      <c r="C2178" s="6">
        <f t="shared" si="330"/>
        <v>2018</v>
      </c>
      <c r="D2178">
        <v>71.599999999999994</v>
      </c>
      <c r="E2178">
        <v>66.2</v>
      </c>
      <c r="F2178">
        <v>69.2</v>
      </c>
      <c r="G2178" s="2">
        <f t="shared" si="331"/>
        <v>0</v>
      </c>
      <c r="H2178">
        <v>71.599999999999994</v>
      </c>
      <c r="I2178">
        <v>66.2</v>
      </c>
      <c r="J2178">
        <v>69.2</v>
      </c>
      <c r="K2178">
        <v>61.2</v>
      </c>
      <c r="L2178">
        <v>75.900000000000006</v>
      </c>
      <c r="M2178" s="2">
        <f t="shared" si="332"/>
        <v>0</v>
      </c>
      <c r="N2178">
        <v>0</v>
      </c>
      <c r="O2178" s="2">
        <f t="shared" si="333"/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41.2</v>
      </c>
      <c r="V2178" s="2">
        <f t="shared" si="334"/>
        <v>1</v>
      </c>
      <c r="W2178">
        <v>24.2</v>
      </c>
      <c r="X2178" s="2">
        <f t="shared" si="335"/>
        <v>1</v>
      </c>
      <c r="Y2178">
        <v>327.3</v>
      </c>
      <c r="Z2178" s="2" t="str">
        <f>CHOOSE(MATCH(Y2178,{0;11;80;111;161;191;241;281;341},1),"North","NorthEast","East","SouthEast","South","SouthWest","West","NorthWest","North")</f>
        <v>NorthWest</v>
      </c>
      <c r="AA2178" s="4">
        <f>CHOOSE(MATCH(Z2178,{"South";"SouthEast";"SouthWest";"North";"NorthEast";"East";"West";"NorthWest"},0),1,2,3,4,5,6,7,8)</f>
        <v>8</v>
      </c>
      <c r="AB2178" s="2">
        <f t="shared" si="336"/>
        <v>1</v>
      </c>
      <c r="AC2178">
        <v>1018.3</v>
      </c>
      <c r="AD2178" t="s">
        <v>2974</v>
      </c>
      <c r="AE2178" s="2">
        <f t="shared" si="337"/>
        <v>1</v>
      </c>
      <c r="AF2178" t="s">
        <v>2975</v>
      </c>
      <c r="AG2178" s="2">
        <f t="shared" si="338"/>
        <v>9</v>
      </c>
      <c r="AH2178" s="2">
        <f t="shared" si="339"/>
        <v>0</v>
      </c>
      <c r="AI2178" s="3">
        <v>997.00000000186265</v>
      </c>
      <c r="AJ2178" s="2">
        <v>1</v>
      </c>
      <c r="AK2178">
        <v>0</v>
      </c>
      <c r="AL2178">
        <v>10</v>
      </c>
      <c r="AM2178">
        <v>0</v>
      </c>
      <c r="AN2178" s="2">
        <f>IF((2*G2178+M2178-O2178+3*V2178+2*AB2178+2*AE2178+2*AH2178+3*AJ2178)&gt;=7,1,0)</f>
        <v>1</v>
      </c>
    </row>
    <row r="2179" spans="1:40" x14ac:dyDescent="0.25">
      <c r="A2179" t="s">
        <v>27</v>
      </c>
      <c r="B2179" s="1">
        <v>43370</v>
      </c>
      <c r="C2179" s="6">
        <f t="shared" ref="C2179:C2242" si="340">YEAR(B2179)</f>
        <v>2018</v>
      </c>
      <c r="D2179">
        <v>71.599999999999994</v>
      </c>
      <c r="E2179">
        <v>68</v>
      </c>
      <c r="F2179">
        <v>69.400000000000006</v>
      </c>
      <c r="G2179" s="2">
        <f t="shared" ref="G2179:G2242" si="341">IF(F2179&lt;=70,0,1)</f>
        <v>0</v>
      </c>
      <c r="H2179">
        <v>71.599999999999994</v>
      </c>
      <c r="I2179">
        <v>68</v>
      </c>
      <c r="J2179">
        <v>69.400000000000006</v>
      </c>
      <c r="K2179">
        <v>61.3</v>
      </c>
      <c r="L2179">
        <v>75.8</v>
      </c>
      <c r="M2179" s="2">
        <f t="shared" ref="M2179:M2242" si="342">IF(L2179&lt;=66,1,0)</f>
        <v>0</v>
      </c>
      <c r="N2179">
        <v>0</v>
      </c>
      <c r="O2179" s="2">
        <f t="shared" ref="O2179:O2242" si="343">IF(N2179&lt;=0.01,1,0)</f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28</v>
      </c>
      <c r="V2179" s="2">
        <f t="shared" ref="V2179:V2242" si="344">IF(U2179&lt;=9,0,1)</f>
        <v>1</v>
      </c>
      <c r="W2179">
        <v>20.8</v>
      </c>
      <c r="X2179" s="2">
        <f t="shared" ref="X2179:X2242" si="345">IF(W2179&gt;=16,1,0)</f>
        <v>1</v>
      </c>
      <c r="Y2179">
        <v>337.8</v>
      </c>
      <c r="Z2179" s="2" t="str">
        <f>CHOOSE(MATCH(Y2179,{0;11;80;111;161;191;241;281;341},1),"North","NorthEast","East","SouthEast","South","SouthWest","West","NorthWest","North")</f>
        <v>NorthWest</v>
      </c>
      <c r="AA2179" s="4">
        <f>CHOOSE(MATCH(Z2179,{"South";"SouthEast";"SouthWest";"North";"NorthEast";"East";"West";"NorthWest"},0),1,2,3,4,5,6,7,8)</f>
        <v>8</v>
      </c>
      <c r="AB2179" s="2">
        <f t="shared" ref="AB2179:AB2242" si="346">IF(OR(AA2179=4,AA2179=5,AA2179=8),1,0)</f>
        <v>1</v>
      </c>
      <c r="AC2179">
        <v>1015.1</v>
      </c>
      <c r="AD2179" t="s">
        <v>2008</v>
      </c>
      <c r="AE2179" s="2">
        <f t="shared" ref="AE2179:AE2242" si="347">IF(TIMEVALUE(AD2179)&lt;=TIME(12,30,0),0,1)</f>
        <v>1</v>
      </c>
      <c r="AF2179" t="s">
        <v>2976</v>
      </c>
      <c r="AG2179" s="2">
        <f t="shared" ref="AG2179:AG2242" si="348">MONTH(AF2179)</f>
        <v>9</v>
      </c>
      <c r="AH2179" s="2">
        <f t="shared" ref="AH2179:AH2242" si="349">IF(OR(AG2179=6,AG2179=7,AG2179=8),1,0)</f>
        <v>0</v>
      </c>
      <c r="AI2179" s="3">
        <v>209.99999999301511</v>
      </c>
      <c r="AJ2179" s="2">
        <v>0</v>
      </c>
      <c r="AK2179">
        <v>0</v>
      </c>
      <c r="AL2179">
        <v>0.05</v>
      </c>
      <c r="AM2179">
        <v>0</v>
      </c>
      <c r="AN2179" s="2">
        <f>IF((2*G2179+M2179-O2179+3*V2179+2*AB2179+2*AE2179+2*AH2179+3*AJ2179)&gt;=7,1,0)</f>
        <v>0</v>
      </c>
    </row>
    <row r="2180" spans="1:40" x14ac:dyDescent="0.25">
      <c r="A2180" t="s">
        <v>27</v>
      </c>
      <c r="B2180" s="1">
        <v>43370</v>
      </c>
      <c r="C2180" s="6">
        <f t="shared" si="340"/>
        <v>2018</v>
      </c>
      <c r="D2180">
        <v>71.599999999999994</v>
      </c>
      <c r="E2180">
        <v>68</v>
      </c>
      <c r="F2180">
        <v>69.400000000000006</v>
      </c>
      <c r="G2180" s="2">
        <f t="shared" si="341"/>
        <v>0</v>
      </c>
      <c r="H2180">
        <v>71.599999999999994</v>
      </c>
      <c r="I2180">
        <v>68</v>
      </c>
      <c r="J2180">
        <v>69.400000000000006</v>
      </c>
      <c r="K2180">
        <v>61.3</v>
      </c>
      <c r="L2180">
        <v>75.8</v>
      </c>
      <c r="M2180" s="2">
        <f t="shared" si="342"/>
        <v>0</v>
      </c>
      <c r="N2180">
        <v>0</v>
      </c>
      <c r="O2180" s="2">
        <f t="shared" si="343"/>
        <v>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28</v>
      </c>
      <c r="V2180" s="2">
        <f t="shared" si="344"/>
        <v>1</v>
      </c>
      <c r="W2180">
        <v>20.8</v>
      </c>
      <c r="X2180" s="2">
        <f t="shared" si="345"/>
        <v>1</v>
      </c>
      <c r="Y2180">
        <v>337.8</v>
      </c>
      <c r="Z2180" s="2" t="str">
        <f>CHOOSE(MATCH(Y2180,{0;11;80;111;161;191;241;281;341},1),"North","NorthEast","East","SouthEast","South","SouthWest","West","NorthWest","North")</f>
        <v>NorthWest</v>
      </c>
      <c r="AA2180" s="4">
        <f>CHOOSE(MATCH(Z2180,{"South";"SouthEast";"SouthWest";"North";"NorthEast";"East";"West";"NorthWest"},0),1,2,3,4,5,6,7,8)</f>
        <v>8</v>
      </c>
      <c r="AB2180" s="2">
        <f t="shared" si="346"/>
        <v>1</v>
      </c>
      <c r="AC2180">
        <v>1015.1</v>
      </c>
      <c r="AD2180" t="s">
        <v>1800</v>
      </c>
      <c r="AE2180" s="2">
        <f t="shared" si="347"/>
        <v>1</v>
      </c>
      <c r="AF2180" t="s">
        <v>2977</v>
      </c>
      <c r="AG2180" s="2">
        <f t="shared" si="348"/>
        <v>9</v>
      </c>
      <c r="AH2180" s="2">
        <f t="shared" si="349"/>
        <v>0</v>
      </c>
      <c r="AI2180" s="3">
        <v>270</v>
      </c>
      <c r="AJ2180" s="2">
        <v>0</v>
      </c>
      <c r="AK2180">
        <v>0</v>
      </c>
      <c r="AL2180">
        <v>2</v>
      </c>
      <c r="AM2180">
        <v>0</v>
      </c>
      <c r="AN2180" s="2">
        <f>IF((2*G2180+M2180-O2180+3*V2180+2*AB2180+2*AE2180+2*AH2180+3*AJ2180)&gt;=7,1,0)</f>
        <v>0</v>
      </c>
    </row>
    <row r="2181" spans="1:40" x14ac:dyDescent="0.25">
      <c r="A2181" t="s">
        <v>27</v>
      </c>
      <c r="B2181" s="1">
        <v>43370</v>
      </c>
      <c r="C2181" s="6">
        <f t="shared" si="340"/>
        <v>2018</v>
      </c>
      <c r="D2181">
        <v>71.599999999999994</v>
      </c>
      <c r="E2181">
        <v>68</v>
      </c>
      <c r="F2181">
        <v>69.400000000000006</v>
      </c>
      <c r="G2181" s="2">
        <f t="shared" si="341"/>
        <v>0</v>
      </c>
      <c r="H2181">
        <v>71.599999999999994</v>
      </c>
      <c r="I2181">
        <v>68</v>
      </c>
      <c r="J2181">
        <v>69.400000000000006</v>
      </c>
      <c r="K2181">
        <v>61.3</v>
      </c>
      <c r="L2181">
        <v>75.8</v>
      </c>
      <c r="M2181" s="2">
        <f t="shared" si="342"/>
        <v>0</v>
      </c>
      <c r="N2181">
        <v>0</v>
      </c>
      <c r="O2181" s="2">
        <f t="shared" si="343"/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28</v>
      </c>
      <c r="V2181" s="2">
        <f t="shared" si="344"/>
        <v>1</v>
      </c>
      <c r="W2181">
        <v>20.8</v>
      </c>
      <c r="X2181" s="2">
        <f t="shared" si="345"/>
        <v>1</v>
      </c>
      <c r="Y2181">
        <v>337.8</v>
      </c>
      <c r="Z2181" s="2" t="str">
        <f>CHOOSE(MATCH(Y2181,{0;11;80;111;161;191;241;281;341},1),"North","NorthEast","East","SouthEast","South","SouthWest","West","NorthWest","North")</f>
        <v>NorthWest</v>
      </c>
      <c r="AA2181" s="4">
        <f>CHOOSE(MATCH(Z2181,{"South";"SouthEast";"SouthWest";"North";"NorthEast";"East";"West";"NorthWest"},0),1,2,3,4,5,6,7,8)</f>
        <v>8</v>
      </c>
      <c r="AB2181" s="2">
        <f t="shared" si="346"/>
        <v>1</v>
      </c>
      <c r="AC2181">
        <v>1015.1</v>
      </c>
      <c r="AD2181" t="s">
        <v>1193</v>
      </c>
      <c r="AE2181" s="2">
        <f t="shared" si="347"/>
        <v>1</v>
      </c>
      <c r="AF2181" t="s">
        <v>2978</v>
      </c>
      <c r="AG2181" s="2">
        <f t="shared" si="348"/>
        <v>9</v>
      </c>
      <c r="AH2181" s="2">
        <f t="shared" si="349"/>
        <v>0</v>
      </c>
      <c r="AI2181" s="3">
        <v>634.99999999534339</v>
      </c>
      <c r="AJ2181" s="2">
        <v>1</v>
      </c>
      <c r="AK2181">
        <v>0</v>
      </c>
      <c r="AL2181">
        <v>100</v>
      </c>
      <c r="AM2181">
        <v>0</v>
      </c>
      <c r="AN2181" s="2">
        <f>IF((2*G2181+M2181-O2181+3*V2181+2*AB2181+2*AE2181+2*AH2181+3*AJ2181)&gt;=7,1,0)</f>
        <v>1</v>
      </c>
    </row>
    <row r="2182" spans="1:40" x14ac:dyDescent="0.25">
      <c r="A2182" t="s">
        <v>27</v>
      </c>
      <c r="B2182" s="1">
        <v>43379</v>
      </c>
      <c r="C2182" s="6">
        <f t="shared" si="340"/>
        <v>2018</v>
      </c>
      <c r="D2182">
        <v>73.400000000000006</v>
      </c>
      <c r="E2182">
        <v>68</v>
      </c>
      <c r="F2182">
        <v>70.099999999999994</v>
      </c>
      <c r="G2182" s="2">
        <f t="shared" si="341"/>
        <v>1</v>
      </c>
      <c r="H2182">
        <v>73.400000000000006</v>
      </c>
      <c r="I2182">
        <v>68</v>
      </c>
      <c r="J2182">
        <v>70.099999999999994</v>
      </c>
      <c r="K2182">
        <v>62.4</v>
      </c>
      <c r="L2182">
        <v>76.900000000000006</v>
      </c>
      <c r="M2182" s="2">
        <f t="shared" si="342"/>
        <v>0</v>
      </c>
      <c r="N2182">
        <v>0</v>
      </c>
      <c r="O2182" s="2">
        <f t="shared" si="343"/>
        <v>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28.9</v>
      </c>
      <c r="V2182" s="2">
        <f t="shared" si="344"/>
        <v>1</v>
      </c>
      <c r="W2182">
        <v>18.3</v>
      </c>
      <c r="X2182" s="2">
        <f t="shared" si="345"/>
        <v>1</v>
      </c>
      <c r="Y2182">
        <v>312.7</v>
      </c>
      <c r="Z2182" s="2" t="str">
        <f>CHOOSE(MATCH(Y2182,{0;11;80;111;161;191;241;281;341},1),"North","NorthEast","East","SouthEast","South","SouthWest","West","NorthWest","North")</f>
        <v>NorthWest</v>
      </c>
      <c r="AA2182" s="4">
        <f>CHOOSE(MATCH(Z2182,{"South";"SouthEast";"SouthWest";"North";"NorthEast";"East";"West";"NorthWest"},0),1,2,3,4,5,6,7,8)</f>
        <v>8</v>
      </c>
      <c r="AB2182" s="2">
        <f t="shared" si="346"/>
        <v>1</v>
      </c>
      <c r="AC2182">
        <v>1020.4</v>
      </c>
      <c r="AD2182" t="s">
        <v>2202</v>
      </c>
      <c r="AE2182" s="2">
        <f t="shared" si="347"/>
        <v>0</v>
      </c>
      <c r="AF2182" t="s">
        <v>2979</v>
      </c>
      <c r="AG2182" s="2">
        <f t="shared" si="348"/>
        <v>10</v>
      </c>
      <c r="AH2182" s="2">
        <f t="shared" si="349"/>
        <v>0</v>
      </c>
      <c r="AI2182" s="3">
        <v>1779.9999999976719</v>
      </c>
      <c r="AJ2182" s="2">
        <v>1</v>
      </c>
      <c r="AK2182">
        <v>10</v>
      </c>
      <c r="AL2182">
        <v>0</v>
      </c>
      <c r="AM2182">
        <v>0</v>
      </c>
      <c r="AN2182" s="2">
        <f>IF((2*G2182+M2182-O2182+3*V2182+2*AB2182+2*AE2182+2*AH2182+3*AJ2182)&gt;=7,1,0)</f>
        <v>1</v>
      </c>
    </row>
    <row r="2183" spans="1:40" x14ac:dyDescent="0.25">
      <c r="A2183" t="s">
        <v>27</v>
      </c>
      <c r="B2183" s="1">
        <v>43399</v>
      </c>
      <c r="C2183" s="6">
        <f t="shared" si="340"/>
        <v>2018</v>
      </c>
      <c r="D2183">
        <v>68</v>
      </c>
      <c r="E2183">
        <v>51.8</v>
      </c>
      <c r="F2183">
        <v>61.4</v>
      </c>
      <c r="G2183" s="2">
        <f t="shared" si="341"/>
        <v>0</v>
      </c>
      <c r="H2183">
        <v>68</v>
      </c>
      <c r="I2183">
        <v>51.8</v>
      </c>
      <c r="J2183">
        <v>61.4</v>
      </c>
      <c r="K2183">
        <v>51.9</v>
      </c>
      <c r="L2183">
        <v>71.400000000000006</v>
      </c>
      <c r="M2183" s="2">
        <f t="shared" si="342"/>
        <v>0</v>
      </c>
      <c r="N2183">
        <v>0</v>
      </c>
      <c r="O2183" s="2">
        <f t="shared" si="343"/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19.7</v>
      </c>
      <c r="V2183" s="2">
        <f t="shared" si="344"/>
        <v>1</v>
      </c>
      <c r="W2183">
        <v>15</v>
      </c>
      <c r="X2183" s="2">
        <f t="shared" si="345"/>
        <v>0</v>
      </c>
      <c r="Y2183">
        <v>305.3</v>
      </c>
      <c r="Z2183" s="2" t="str">
        <f>CHOOSE(MATCH(Y2183,{0;11;80;111;161;191;241;281;341},1),"North","NorthEast","East","SouthEast","South","SouthWest","West","NorthWest","North")</f>
        <v>NorthWest</v>
      </c>
      <c r="AA2183" s="4">
        <f>CHOOSE(MATCH(Z2183,{"South";"SouthEast";"SouthWest";"North";"NorthEast";"East";"West";"NorthWest"},0),1,2,3,4,5,6,7,8)</f>
        <v>8</v>
      </c>
      <c r="AB2183" s="2">
        <f t="shared" si="346"/>
        <v>1</v>
      </c>
      <c r="AC2183">
        <v>1019.3</v>
      </c>
      <c r="AD2183" t="s">
        <v>1091</v>
      </c>
      <c r="AE2183" s="2">
        <f t="shared" si="347"/>
        <v>1</v>
      </c>
      <c r="AF2183" t="s">
        <v>2980</v>
      </c>
      <c r="AG2183" s="2">
        <f t="shared" si="348"/>
        <v>10</v>
      </c>
      <c r="AH2183" s="2">
        <f t="shared" si="349"/>
        <v>0</v>
      </c>
      <c r="AI2183" s="3">
        <v>79.999999998835847</v>
      </c>
      <c r="AJ2183" s="2">
        <v>0</v>
      </c>
      <c r="AK2183">
        <v>0.1</v>
      </c>
      <c r="AL2183">
        <v>0</v>
      </c>
      <c r="AM2183">
        <v>0</v>
      </c>
      <c r="AN2183" s="2">
        <f>IF((2*G2183+M2183-O2183+3*V2183+2*AB2183+2*AE2183+2*AH2183+3*AJ2183)&gt;=7,1,0)</f>
        <v>0</v>
      </c>
    </row>
    <row r="2184" spans="1:40" x14ac:dyDescent="0.25">
      <c r="A2184" t="s">
        <v>27</v>
      </c>
      <c r="B2184" s="1">
        <v>43405</v>
      </c>
      <c r="C2184" s="6">
        <f t="shared" si="340"/>
        <v>2018</v>
      </c>
      <c r="D2184">
        <v>73.400000000000006</v>
      </c>
      <c r="E2184">
        <v>62.6</v>
      </c>
      <c r="F2184">
        <v>68.599999999999994</v>
      </c>
      <c r="G2184" s="2">
        <f t="shared" si="341"/>
        <v>0</v>
      </c>
      <c r="H2184">
        <v>73.400000000000006</v>
      </c>
      <c r="I2184">
        <v>62.6</v>
      </c>
      <c r="J2184">
        <v>68.599999999999994</v>
      </c>
      <c r="K2184">
        <v>66.599999999999994</v>
      </c>
      <c r="L2184">
        <v>93.6</v>
      </c>
      <c r="M2184" s="2">
        <f t="shared" si="342"/>
        <v>0</v>
      </c>
      <c r="N2184">
        <v>0</v>
      </c>
      <c r="O2184" s="2">
        <f t="shared" si="343"/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20.8</v>
      </c>
      <c r="V2184" s="2">
        <f t="shared" si="344"/>
        <v>1</v>
      </c>
      <c r="W2184">
        <v>9.1999999999999993</v>
      </c>
      <c r="X2184" s="2">
        <f t="shared" si="345"/>
        <v>0</v>
      </c>
      <c r="Y2184">
        <v>288.39999999999998</v>
      </c>
      <c r="Z2184" s="2" t="str">
        <f>CHOOSE(MATCH(Y2184,{0;11;80;111;161;191;241;281;341},1),"North","NorthEast","East","SouthEast","South","SouthWest","West","NorthWest","North")</f>
        <v>NorthWest</v>
      </c>
      <c r="AA2184" s="4">
        <f>CHOOSE(MATCH(Z2184,{"South";"SouthEast";"SouthWest";"North";"NorthEast";"East";"West";"NorthWest"},0),1,2,3,4,5,6,7,8)</f>
        <v>8</v>
      </c>
      <c r="AB2184" s="2">
        <f t="shared" si="346"/>
        <v>1</v>
      </c>
      <c r="AC2184">
        <v>1022.4</v>
      </c>
      <c r="AD2184" t="s">
        <v>1861</v>
      </c>
      <c r="AE2184" s="2">
        <f t="shared" si="347"/>
        <v>0</v>
      </c>
      <c r="AF2184" t="s">
        <v>2981</v>
      </c>
      <c r="AG2184" s="2">
        <f t="shared" si="348"/>
        <v>11</v>
      </c>
      <c r="AH2184" s="2">
        <f t="shared" si="349"/>
        <v>0</v>
      </c>
      <c r="AI2184" s="3">
        <v>1845</v>
      </c>
      <c r="AJ2184" s="2">
        <v>1</v>
      </c>
      <c r="AK2184">
        <v>0</v>
      </c>
      <c r="AL2184">
        <v>18</v>
      </c>
      <c r="AM2184">
        <v>0</v>
      </c>
      <c r="AN2184" s="2">
        <f>IF((2*G2184+M2184-O2184+3*V2184+2*AB2184+2*AE2184+2*AH2184+3*AJ2184)&gt;=7,1,0)</f>
        <v>1</v>
      </c>
    </row>
    <row r="2185" spans="1:40" x14ac:dyDescent="0.25">
      <c r="A2185" t="s">
        <v>27</v>
      </c>
      <c r="B2185" s="1">
        <v>43409</v>
      </c>
      <c r="C2185" s="6">
        <f t="shared" si="340"/>
        <v>2018</v>
      </c>
      <c r="D2185">
        <v>71.599999999999994</v>
      </c>
      <c r="E2185">
        <v>57.2</v>
      </c>
      <c r="F2185">
        <v>64.2</v>
      </c>
      <c r="G2185" s="2">
        <f t="shared" si="341"/>
        <v>0</v>
      </c>
      <c r="H2185">
        <v>71.599999999999994</v>
      </c>
      <c r="I2185">
        <v>57.2</v>
      </c>
      <c r="J2185">
        <v>64.2</v>
      </c>
      <c r="K2185">
        <v>58.8</v>
      </c>
      <c r="L2185">
        <v>83.3</v>
      </c>
      <c r="M2185" s="2">
        <f t="shared" si="342"/>
        <v>0</v>
      </c>
      <c r="N2185">
        <v>0</v>
      </c>
      <c r="O2185" s="2">
        <f t="shared" si="343"/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20.8</v>
      </c>
      <c r="V2185" s="2">
        <f t="shared" si="344"/>
        <v>1</v>
      </c>
      <c r="W2185">
        <v>12.8</v>
      </c>
      <c r="X2185" s="2">
        <f t="shared" si="345"/>
        <v>0</v>
      </c>
      <c r="Y2185">
        <v>272.5</v>
      </c>
      <c r="Z2185" s="2" t="str">
        <f>CHOOSE(MATCH(Y2185,{0;11;80;111;161;191;241;281;341},1),"North","NorthEast","East","SouthEast","South","SouthWest","West","NorthWest","North")</f>
        <v>West</v>
      </c>
      <c r="AA2185" s="4">
        <f>CHOOSE(MATCH(Z2185,{"South";"SouthEast";"SouthWest";"North";"NorthEast";"East";"West";"NorthWest"},0),1,2,3,4,5,6,7,8)</f>
        <v>7</v>
      </c>
      <c r="AB2185" s="2">
        <f t="shared" si="346"/>
        <v>0</v>
      </c>
      <c r="AC2185">
        <v>1017.2</v>
      </c>
      <c r="AD2185" t="s">
        <v>2805</v>
      </c>
      <c r="AE2185" s="2">
        <f t="shared" si="347"/>
        <v>0</v>
      </c>
      <c r="AF2185" t="s">
        <v>2982</v>
      </c>
      <c r="AG2185" s="2">
        <f t="shared" si="348"/>
        <v>11</v>
      </c>
      <c r="AH2185" s="2">
        <f t="shared" si="349"/>
        <v>0</v>
      </c>
      <c r="AI2185" s="3">
        <v>300.00000000349252</v>
      </c>
      <c r="AJ2185" s="2">
        <v>0</v>
      </c>
      <c r="AK2185">
        <v>0</v>
      </c>
      <c r="AL2185">
        <v>2</v>
      </c>
      <c r="AM2185">
        <v>0</v>
      </c>
      <c r="AN2185" s="2">
        <f>IF((2*G2185+M2185-O2185+3*V2185+2*AB2185+2*AE2185+2*AH2185+3*AJ2185)&gt;=7,1,0)</f>
        <v>0</v>
      </c>
    </row>
    <row r="2186" spans="1:40" x14ac:dyDescent="0.25">
      <c r="A2186" t="s">
        <v>27</v>
      </c>
      <c r="B2186" s="1">
        <v>43410</v>
      </c>
      <c r="C2186" s="6">
        <f t="shared" si="340"/>
        <v>2018</v>
      </c>
      <c r="D2186">
        <v>69.8</v>
      </c>
      <c r="E2186">
        <v>64.400000000000006</v>
      </c>
      <c r="F2186">
        <v>66.900000000000006</v>
      </c>
      <c r="G2186" s="2">
        <f t="shared" si="341"/>
        <v>0</v>
      </c>
      <c r="H2186">
        <v>69.8</v>
      </c>
      <c r="I2186">
        <v>64.400000000000006</v>
      </c>
      <c r="J2186">
        <v>66.900000000000006</v>
      </c>
      <c r="K2186">
        <v>60.6</v>
      </c>
      <c r="L2186">
        <v>80.5</v>
      </c>
      <c r="M2186" s="2">
        <f t="shared" si="342"/>
        <v>0</v>
      </c>
      <c r="N2186">
        <v>0</v>
      </c>
      <c r="O2186" s="2">
        <f t="shared" si="343"/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25.7</v>
      </c>
      <c r="V2186" s="2">
        <f t="shared" si="344"/>
        <v>1</v>
      </c>
      <c r="W2186">
        <v>12.8</v>
      </c>
      <c r="X2186" s="2">
        <f t="shared" si="345"/>
        <v>0</v>
      </c>
      <c r="Y2186">
        <v>323.2</v>
      </c>
      <c r="Z2186" s="2" t="str">
        <f>CHOOSE(MATCH(Y2186,{0;11;80;111;161;191;241;281;341},1),"North","NorthEast","East","SouthEast","South","SouthWest","West","NorthWest","North")</f>
        <v>NorthWest</v>
      </c>
      <c r="AA2186" s="4">
        <f>CHOOSE(MATCH(Z2186,{"South";"SouthEast";"SouthWest";"North";"NorthEast";"East";"West";"NorthWest"},0),1,2,3,4,5,6,7,8)</f>
        <v>8</v>
      </c>
      <c r="AB2186" s="2">
        <f t="shared" si="346"/>
        <v>1</v>
      </c>
      <c r="AC2186">
        <v>1016.5</v>
      </c>
      <c r="AD2186" t="s">
        <v>2274</v>
      </c>
      <c r="AE2186" s="2">
        <f t="shared" si="347"/>
        <v>1</v>
      </c>
      <c r="AF2186" t="s">
        <v>2983</v>
      </c>
      <c r="AG2186" s="2">
        <f t="shared" si="348"/>
        <v>11</v>
      </c>
      <c r="AH2186" s="2">
        <f t="shared" si="349"/>
        <v>0</v>
      </c>
      <c r="AI2186" s="3">
        <v>124.9999999988358</v>
      </c>
      <c r="AJ2186" s="2">
        <v>0</v>
      </c>
      <c r="AK2186">
        <v>0</v>
      </c>
      <c r="AL2186">
        <v>0.01</v>
      </c>
      <c r="AM2186">
        <v>0</v>
      </c>
      <c r="AN2186" s="2">
        <f>IF((2*G2186+M2186-O2186+3*V2186+2*AB2186+2*AE2186+2*AH2186+3*AJ2186)&gt;=7,1,0)</f>
        <v>0</v>
      </c>
    </row>
    <row r="2187" spans="1:40" x14ac:dyDescent="0.25">
      <c r="A2187" t="s">
        <v>27</v>
      </c>
      <c r="B2187" s="1">
        <v>43410</v>
      </c>
      <c r="C2187" s="6">
        <f t="shared" si="340"/>
        <v>2018</v>
      </c>
      <c r="D2187">
        <v>69.8</v>
      </c>
      <c r="E2187">
        <v>64.400000000000006</v>
      </c>
      <c r="F2187">
        <v>66.900000000000006</v>
      </c>
      <c r="G2187" s="2">
        <f t="shared" si="341"/>
        <v>0</v>
      </c>
      <c r="H2187">
        <v>69.8</v>
      </c>
      <c r="I2187">
        <v>64.400000000000006</v>
      </c>
      <c r="J2187">
        <v>66.900000000000006</v>
      </c>
      <c r="K2187">
        <v>60.6</v>
      </c>
      <c r="L2187">
        <v>80.5</v>
      </c>
      <c r="M2187" s="2">
        <f t="shared" si="342"/>
        <v>0</v>
      </c>
      <c r="N2187">
        <v>0</v>
      </c>
      <c r="O2187" s="2">
        <f t="shared" si="343"/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25.7</v>
      </c>
      <c r="V2187" s="2">
        <f t="shared" si="344"/>
        <v>1</v>
      </c>
      <c r="W2187">
        <v>12.8</v>
      </c>
      <c r="X2187" s="2">
        <f t="shared" si="345"/>
        <v>0</v>
      </c>
      <c r="Y2187">
        <v>323.2</v>
      </c>
      <c r="Z2187" s="2" t="str">
        <f>CHOOSE(MATCH(Y2187,{0;11;80;111;161;191;241;281;341},1),"North","NorthEast","East","SouthEast","South","SouthWest","West","NorthWest","North")</f>
        <v>NorthWest</v>
      </c>
      <c r="AA2187" s="4">
        <f>CHOOSE(MATCH(Z2187,{"South";"SouthEast";"SouthWest";"North";"NorthEast";"East";"West";"NorthWest"},0),1,2,3,4,5,6,7,8)</f>
        <v>8</v>
      </c>
      <c r="AB2187" s="2">
        <f t="shared" si="346"/>
        <v>1</v>
      </c>
      <c r="AC2187">
        <v>1016.5</v>
      </c>
      <c r="AD2187" t="s">
        <v>2588</v>
      </c>
      <c r="AE2187" s="2">
        <f t="shared" si="347"/>
        <v>1</v>
      </c>
      <c r="AF2187" t="s">
        <v>2984</v>
      </c>
      <c r="AG2187" s="2">
        <f t="shared" si="348"/>
        <v>11</v>
      </c>
      <c r="AH2187" s="2">
        <f t="shared" si="349"/>
        <v>0</v>
      </c>
      <c r="AI2187" s="3">
        <v>329.00000000372529</v>
      </c>
      <c r="AJ2187" s="2">
        <v>0</v>
      </c>
      <c r="AK2187">
        <v>0</v>
      </c>
      <c r="AL2187">
        <v>10</v>
      </c>
      <c r="AM2187">
        <v>0</v>
      </c>
      <c r="AN2187" s="2">
        <f>IF((2*G2187+M2187-O2187+3*V2187+2*AB2187+2*AE2187+2*AH2187+3*AJ2187)&gt;=7,1,0)</f>
        <v>0</v>
      </c>
    </row>
    <row r="2188" spans="1:40" x14ac:dyDescent="0.25">
      <c r="A2188" t="s">
        <v>27</v>
      </c>
      <c r="B2188" s="1">
        <v>43417</v>
      </c>
      <c r="C2188" s="6">
        <f t="shared" si="340"/>
        <v>2018</v>
      </c>
      <c r="D2188">
        <v>66.2</v>
      </c>
      <c r="E2188">
        <v>64.400000000000006</v>
      </c>
      <c r="F2188">
        <v>64.7</v>
      </c>
      <c r="G2188" s="2">
        <f t="shared" si="341"/>
        <v>0</v>
      </c>
      <c r="H2188">
        <v>66.2</v>
      </c>
      <c r="I2188">
        <v>64.400000000000006</v>
      </c>
      <c r="J2188">
        <v>64.7</v>
      </c>
      <c r="K2188">
        <v>56.5</v>
      </c>
      <c r="L2188">
        <v>75</v>
      </c>
      <c r="M2188" s="2">
        <f t="shared" si="342"/>
        <v>0</v>
      </c>
      <c r="N2188">
        <v>0</v>
      </c>
      <c r="O2188" s="2">
        <f t="shared" si="343"/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38.700000000000003</v>
      </c>
      <c r="V2188" s="2">
        <f t="shared" si="344"/>
        <v>1</v>
      </c>
      <c r="W2188">
        <v>25.3</v>
      </c>
      <c r="X2188" s="2">
        <f t="shared" si="345"/>
        <v>1</v>
      </c>
      <c r="Y2188">
        <v>333.9</v>
      </c>
      <c r="Z2188" s="2" t="str">
        <f>CHOOSE(MATCH(Y2188,{0;11;80;111;161;191;241;281;341},1),"North","NorthEast","East","SouthEast","South","SouthWest","West","NorthWest","North")</f>
        <v>NorthWest</v>
      </c>
      <c r="AA2188" s="4">
        <f>CHOOSE(MATCH(Z2188,{"South";"SouthEast";"SouthWest";"North";"NorthEast";"East";"West";"NorthWest"},0),1,2,3,4,5,6,7,8)</f>
        <v>8</v>
      </c>
      <c r="AB2188" s="2">
        <f t="shared" si="346"/>
        <v>1</v>
      </c>
      <c r="AC2188">
        <v>1021</v>
      </c>
      <c r="AD2188" t="s">
        <v>1844</v>
      </c>
      <c r="AE2188" s="2">
        <f t="shared" si="347"/>
        <v>1</v>
      </c>
      <c r="AF2188" t="s">
        <v>2985</v>
      </c>
      <c r="AG2188" s="2">
        <f t="shared" si="348"/>
        <v>11</v>
      </c>
      <c r="AH2188" s="2">
        <f t="shared" si="349"/>
        <v>0</v>
      </c>
      <c r="AI2188" s="3">
        <v>204.99999999767169</v>
      </c>
      <c r="AJ2188" s="2">
        <v>0</v>
      </c>
      <c r="AK2188">
        <v>0</v>
      </c>
      <c r="AL2188">
        <v>1</v>
      </c>
      <c r="AM2188">
        <v>0</v>
      </c>
      <c r="AN2188" s="2">
        <f>IF((2*G2188+M2188-O2188+3*V2188+2*AB2188+2*AE2188+2*AH2188+3*AJ2188)&gt;=7,1,0)</f>
        <v>0</v>
      </c>
    </row>
    <row r="2189" spans="1:40" x14ac:dyDescent="0.25">
      <c r="A2189" t="s">
        <v>27</v>
      </c>
      <c r="B2189" s="1">
        <v>43418</v>
      </c>
      <c r="C2189" s="6">
        <f t="shared" si="340"/>
        <v>2018</v>
      </c>
      <c r="D2189">
        <v>64.400000000000006</v>
      </c>
      <c r="E2189">
        <v>60.8</v>
      </c>
      <c r="F2189">
        <v>62.6</v>
      </c>
      <c r="G2189" s="2">
        <f t="shared" si="341"/>
        <v>0</v>
      </c>
      <c r="H2189">
        <v>64.400000000000006</v>
      </c>
      <c r="I2189">
        <v>60.8</v>
      </c>
      <c r="J2189">
        <v>62.6</v>
      </c>
      <c r="K2189">
        <v>54.7</v>
      </c>
      <c r="L2189">
        <v>75.5</v>
      </c>
      <c r="M2189" s="2">
        <f t="shared" si="342"/>
        <v>0</v>
      </c>
      <c r="N2189">
        <v>0</v>
      </c>
      <c r="O2189" s="2">
        <f t="shared" si="343"/>
        <v>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36</v>
      </c>
      <c r="V2189" s="2">
        <f t="shared" si="344"/>
        <v>1</v>
      </c>
      <c r="W2189">
        <v>24.2</v>
      </c>
      <c r="X2189" s="2">
        <f t="shared" si="345"/>
        <v>1</v>
      </c>
      <c r="Y2189">
        <v>328.8</v>
      </c>
      <c r="Z2189" s="2" t="str">
        <f>CHOOSE(MATCH(Y2189,{0;11;80;111;161;191;241;281;341},1),"North","NorthEast","East","SouthEast","South","SouthWest","West","NorthWest","North")</f>
        <v>NorthWest</v>
      </c>
      <c r="AA2189" s="4">
        <f>CHOOSE(MATCH(Z2189,{"South";"SouthEast";"SouthWest";"North";"NorthEast";"East";"West";"NorthWest"},0),1,2,3,4,5,6,7,8)</f>
        <v>8</v>
      </c>
      <c r="AB2189" s="2">
        <f t="shared" si="346"/>
        <v>1</v>
      </c>
      <c r="AC2189">
        <v>1019.1</v>
      </c>
      <c r="AD2189" t="s">
        <v>2986</v>
      </c>
      <c r="AE2189" s="2">
        <f t="shared" si="347"/>
        <v>1</v>
      </c>
      <c r="AF2189" t="s">
        <v>2987</v>
      </c>
      <c r="AG2189" s="2">
        <f t="shared" si="348"/>
        <v>11</v>
      </c>
      <c r="AH2189" s="2">
        <f t="shared" si="349"/>
        <v>0</v>
      </c>
      <c r="AI2189" s="3">
        <v>281.99999999720598</v>
      </c>
      <c r="AJ2189" s="2">
        <v>0</v>
      </c>
      <c r="AK2189">
        <v>0</v>
      </c>
      <c r="AL2189">
        <v>4</v>
      </c>
      <c r="AM2189">
        <v>0</v>
      </c>
      <c r="AN2189" s="2">
        <f>IF((2*G2189+M2189-O2189+3*V2189+2*AB2189+2*AE2189+2*AH2189+3*AJ2189)&gt;=7,1,0)</f>
        <v>0</v>
      </c>
    </row>
    <row r="2190" spans="1:40" x14ac:dyDescent="0.25">
      <c r="A2190" t="s">
        <v>27</v>
      </c>
      <c r="B2190" s="1">
        <v>43419</v>
      </c>
      <c r="C2190" s="6">
        <f t="shared" si="340"/>
        <v>2018</v>
      </c>
      <c r="D2190">
        <v>64.400000000000006</v>
      </c>
      <c r="E2190">
        <v>60.8</v>
      </c>
      <c r="F2190">
        <v>62.1</v>
      </c>
      <c r="G2190" s="2">
        <f t="shared" si="341"/>
        <v>0</v>
      </c>
      <c r="H2190">
        <v>64.400000000000006</v>
      </c>
      <c r="I2190">
        <v>60.8</v>
      </c>
      <c r="J2190">
        <v>62.1</v>
      </c>
      <c r="K2190">
        <v>54.7</v>
      </c>
      <c r="L2190">
        <v>77</v>
      </c>
      <c r="M2190" s="2">
        <f t="shared" si="342"/>
        <v>0</v>
      </c>
      <c r="N2190">
        <v>0</v>
      </c>
      <c r="O2190" s="2">
        <f t="shared" si="343"/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38.5</v>
      </c>
      <c r="V2190" s="2">
        <f t="shared" si="344"/>
        <v>1</v>
      </c>
      <c r="W2190">
        <v>24.2</v>
      </c>
      <c r="X2190" s="2">
        <f t="shared" si="345"/>
        <v>1</v>
      </c>
      <c r="Y2190">
        <v>333.5</v>
      </c>
      <c r="Z2190" s="2" t="str">
        <f>CHOOSE(MATCH(Y2190,{0;11;80;111;161;191;241;281;341},1),"North","NorthEast","East","SouthEast","South","SouthWest","West","NorthWest","North")</f>
        <v>NorthWest</v>
      </c>
      <c r="AA2190" s="4">
        <f>CHOOSE(MATCH(Z2190,{"South";"SouthEast";"SouthWest";"North";"NorthEast";"East";"West";"NorthWest"},0),1,2,3,4,5,6,7,8)</f>
        <v>8</v>
      </c>
      <c r="AB2190" s="2">
        <f t="shared" si="346"/>
        <v>1</v>
      </c>
      <c r="AC2190">
        <v>1017.9</v>
      </c>
      <c r="AD2190" t="s">
        <v>2669</v>
      </c>
      <c r="AE2190" s="2">
        <f t="shared" si="347"/>
        <v>1</v>
      </c>
      <c r="AF2190" t="s">
        <v>2988</v>
      </c>
      <c r="AG2190" s="2">
        <f t="shared" si="348"/>
        <v>11</v>
      </c>
      <c r="AH2190" s="2">
        <f t="shared" si="349"/>
        <v>0</v>
      </c>
      <c r="AI2190" s="3">
        <v>114.99999999767169</v>
      </c>
      <c r="AJ2190" s="2">
        <v>0</v>
      </c>
      <c r="AK2190">
        <v>0</v>
      </c>
      <c r="AL2190">
        <v>0.02</v>
      </c>
      <c r="AM2190">
        <v>0</v>
      </c>
      <c r="AN2190" s="2">
        <f>IF((2*G2190+M2190-O2190+3*V2190+2*AB2190+2*AE2190+2*AH2190+3*AJ2190)&gt;=7,1,0)</f>
        <v>0</v>
      </c>
    </row>
    <row r="2191" spans="1:40" x14ac:dyDescent="0.25">
      <c r="A2191" t="s">
        <v>27</v>
      </c>
      <c r="B2191" s="1">
        <v>43422</v>
      </c>
      <c r="C2191" s="6">
        <f t="shared" si="340"/>
        <v>2018</v>
      </c>
      <c r="D2191">
        <v>71.599999999999994</v>
      </c>
      <c r="E2191">
        <v>59</v>
      </c>
      <c r="F2191">
        <v>65.599999999999994</v>
      </c>
      <c r="G2191" s="2">
        <f t="shared" si="341"/>
        <v>0</v>
      </c>
      <c r="H2191">
        <v>71.599999999999994</v>
      </c>
      <c r="I2191">
        <v>59</v>
      </c>
      <c r="J2191">
        <v>65.599999999999994</v>
      </c>
      <c r="K2191">
        <v>59</v>
      </c>
      <c r="L2191">
        <v>79.900000000000006</v>
      </c>
      <c r="M2191" s="2">
        <f t="shared" si="342"/>
        <v>0</v>
      </c>
      <c r="N2191">
        <v>0</v>
      </c>
      <c r="O2191" s="2">
        <f t="shared" si="343"/>
        <v>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30</v>
      </c>
      <c r="V2191" s="2">
        <f t="shared" si="344"/>
        <v>1</v>
      </c>
      <c r="W2191">
        <v>15</v>
      </c>
      <c r="X2191" s="2">
        <f t="shared" si="345"/>
        <v>0</v>
      </c>
      <c r="Y2191">
        <v>175.1</v>
      </c>
      <c r="Z2191" s="2" t="str">
        <f>CHOOSE(MATCH(Y2191,{0;11;80;111;161;191;241;281;341},1),"North","NorthEast","East","SouthEast","South","SouthWest","West","NorthWest","North")</f>
        <v>South</v>
      </c>
      <c r="AA2191" s="4">
        <f>CHOOSE(MATCH(Z2191,{"South";"SouthEast";"SouthWest";"North";"NorthEast";"East";"West";"NorthWest"},0),1,2,3,4,5,6,7,8)</f>
        <v>1</v>
      </c>
      <c r="AB2191" s="2">
        <f t="shared" si="346"/>
        <v>0</v>
      </c>
      <c r="AC2191">
        <v>1013.9</v>
      </c>
      <c r="AD2191" t="s">
        <v>2571</v>
      </c>
      <c r="AE2191" s="2">
        <f t="shared" si="347"/>
        <v>1</v>
      </c>
      <c r="AF2191" t="s">
        <v>2989</v>
      </c>
      <c r="AG2191" s="2">
        <f t="shared" si="348"/>
        <v>11</v>
      </c>
      <c r="AH2191" s="2">
        <f t="shared" si="349"/>
        <v>0</v>
      </c>
      <c r="AI2191" s="3">
        <v>378.99999999906868</v>
      </c>
      <c r="AJ2191" s="2">
        <v>1</v>
      </c>
      <c r="AK2191">
        <v>0</v>
      </c>
      <c r="AL2191">
        <v>50</v>
      </c>
      <c r="AM2191">
        <v>0</v>
      </c>
      <c r="AN2191" s="2">
        <f>IF((2*G2191+M2191-O2191+3*V2191+2*AB2191+2*AE2191+2*AH2191+3*AJ2191)&gt;=7,1,0)</f>
        <v>1</v>
      </c>
    </row>
    <row r="2192" spans="1:40" x14ac:dyDescent="0.25">
      <c r="A2192" t="s">
        <v>27</v>
      </c>
      <c r="B2192" s="1">
        <v>43441</v>
      </c>
      <c r="C2192" s="6">
        <f t="shared" si="340"/>
        <v>2018</v>
      </c>
      <c r="D2192">
        <v>55.4</v>
      </c>
      <c r="E2192">
        <v>51.8</v>
      </c>
      <c r="F2192">
        <v>53.5</v>
      </c>
      <c r="G2192" s="2">
        <f t="shared" si="341"/>
        <v>0</v>
      </c>
      <c r="H2192">
        <v>55.4</v>
      </c>
      <c r="I2192">
        <v>51.8</v>
      </c>
      <c r="J2192">
        <v>53.5</v>
      </c>
      <c r="K2192">
        <v>45.7</v>
      </c>
      <c r="L2192">
        <v>75.099999999999994</v>
      </c>
      <c r="M2192" s="2">
        <f t="shared" si="342"/>
        <v>0</v>
      </c>
      <c r="N2192">
        <v>0</v>
      </c>
      <c r="O2192" s="2">
        <f t="shared" si="343"/>
        <v>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42.7</v>
      </c>
      <c r="V2192" s="2">
        <f t="shared" si="344"/>
        <v>1</v>
      </c>
      <c r="W2192">
        <v>31.1</v>
      </c>
      <c r="X2192" s="2">
        <f t="shared" si="345"/>
        <v>1</v>
      </c>
      <c r="Y2192">
        <v>324.7</v>
      </c>
      <c r="Z2192" s="2" t="str">
        <f>CHOOSE(MATCH(Y2192,{0;11;80;111;161;191;241;281;341},1),"North","NorthEast","East","SouthEast","South","SouthWest","West","NorthWest","North")</f>
        <v>NorthWest</v>
      </c>
      <c r="AA2192" s="4">
        <f>CHOOSE(MATCH(Z2192,{"South";"SouthEast";"SouthWest";"North";"NorthEast";"East";"West";"NorthWest"},0),1,2,3,4,5,6,7,8)</f>
        <v>8</v>
      </c>
      <c r="AB2192" s="2">
        <f t="shared" si="346"/>
        <v>1</v>
      </c>
      <c r="AC2192">
        <v>1018.3</v>
      </c>
      <c r="AD2192" t="s">
        <v>2560</v>
      </c>
      <c r="AE2192" s="2">
        <f t="shared" si="347"/>
        <v>1</v>
      </c>
      <c r="AF2192" t="s">
        <v>2990</v>
      </c>
      <c r="AG2192" s="2">
        <f t="shared" si="348"/>
        <v>12</v>
      </c>
      <c r="AH2192" s="2">
        <f t="shared" si="349"/>
        <v>0</v>
      </c>
      <c r="AI2192" s="3">
        <v>110.9999999951106</v>
      </c>
      <c r="AJ2192" s="2">
        <v>0</v>
      </c>
      <c r="AK2192">
        <v>0</v>
      </c>
      <c r="AL2192">
        <v>100</v>
      </c>
      <c r="AM2192">
        <v>0</v>
      </c>
      <c r="AN2192" s="2">
        <f>IF((2*G2192+M2192-O2192+3*V2192+2*AB2192+2*AE2192+2*AH2192+3*AJ2192)&gt;=7,1,0)</f>
        <v>0</v>
      </c>
    </row>
    <row r="2193" spans="1:40" x14ac:dyDescent="0.25">
      <c r="A2193" t="s">
        <v>27</v>
      </c>
      <c r="B2193" s="1">
        <v>43460</v>
      </c>
      <c r="C2193" s="6">
        <f t="shared" si="340"/>
        <v>2018</v>
      </c>
      <c r="D2193">
        <v>53.6</v>
      </c>
      <c r="E2193">
        <v>50</v>
      </c>
      <c r="F2193">
        <v>50.6</v>
      </c>
      <c r="G2193" s="2">
        <f t="shared" si="341"/>
        <v>0</v>
      </c>
      <c r="H2193">
        <v>53.6</v>
      </c>
      <c r="I2193">
        <v>42.7</v>
      </c>
      <c r="J2193">
        <v>48.6</v>
      </c>
      <c r="K2193">
        <v>42.6</v>
      </c>
      <c r="L2193">
        <v>74.2</v>
      </c>
      <c r="M2193" s="2">
        <f t="shared" si="342"/>
        <v>0</v>
      </c>
      <c r="N2193">
        <v>0.11799999999999999</v>
      </c>
      <c r="O2193" s="2">
        <f t="shared" si="343"/>
        <v>0</v>
      </c>
      <c r="P2193">
        <v>100</v>
      </c>
      <c r="Q2193">
        <v>4.17</v>
      </c>
      <c r="R2193" t="s">
        <v>182</v>
      </c>
      <c r="S2193">
        <v>0</v>
      </c>
      <c r="T2193">
        <v>0</v>
      </c>
      <c r="U2193">
        <v>41.8</v>
      </c>
      <c r="V2193" s="2">
        <f t="shared" si="344"/>
        <v>1</v>
      </c>
      <c r="W2193">
        <v>28.9</v>
      </c>
      <c r="X2193" s="2">
        <f t="shared" si="345"/>
        <v>1</v>
      </c>
      <c r="Y2193">
        <v>354.7</v>
      </c>
      <c r="Z2193" s="2" t="str">
        <f>CHOOSE(MATCH(Y2193,{0;11;80;111;161;191;241;281;341},1),"North","NorthEast","East","SouthEast","South","SouthWest","West","NorthWest","North")</f>
        <v>North</v>
      </c>
      <c r="AA2193" s="4">
        <f>CHOOSE(MATCH(Z2193,{"South";"SouthEast";"SouthWest";"North";"NorthEast";"East";"West";"NorthWest"},0),1,2,3,4,5,6,7,8)</f>
        <v>4</v>
      </c>
      <c r="AB2193" s="2">
        <f t="shared" si="346"/>
        <v>1</v>
      </c>
      <c r="AC2193">
        <v>1018.5</v>
      </c>
      <c r="AD2193" t="s">
        <v>1205</v>
      </c>
      <c r="AE2193" s="2">
        <f t="shared" si="347"/>
        <v>1</v>
      </c>
      <c r="AF2193" t="s">
        <v>2991</v>
      </c>
      <c r="AG2193" s="2">
        <f t="shared" si="348"/>
        <v>12</v>
      </c>
      <c r="AH2193" s="2">
        <f t="shared" si="349"/>
        <v>0</v>
      </c>
      <c r="AI2193" s="3">
        <v>90</v>
      </c>
      <c r="AJ2193" s="2">
        <v>0</v>
      </c>
      <c r="AK2193">
        <v>0</v>
      </c>
      <c r="AL2193">
        <v>0.5</v>
      </c>
      <c r="AM2193">
        <v>0</v>
      </c>
      <c r="AN2193" s="2">
        <f>IF((2*G2193+M2193-O2193+3*V2193+2*AB2193+2*AE2193+2*AH2193+3*AJ2193)&gt;=7,1,0)</f>
        <v>1</v>
      </c>
    </row>
    <row r="2194" spans="1:40" x14ac:dyDescent="0.25">
      <c r="A2194" t="s">
        <v>27</v>
      </c>
      <c r="B2194" s="1">
        <v>43462</v>
      </c>
      <c r="C2194" s="6">
        <f t="shared" si="340"/>
        <v>2018</v>
      </c>
      <c r="D2194">
        <v>53.6</v>
      </c>
      <c r="E2194">
        <v>51.8</v>
      </c>
      <c r="F2194">
        <v>53.3</v>
      </c>
      <c r="G2194" s="2">
        <f t="shared" si="341"/>
        <v>0</v>
      </c>
      <c r="H2194">
        <v>53.6</v>
      </c>
      <c r="I2194">
        <v>51.8</v>
      </c>
      <c r="J2194">
        <v>53.3</v>
      </c>
      <c r="K2194">
        <v>45.7</v>
      </c>
      <c r="L2194">
        <v>75.3</v>
      </c>
      <c r="M2194" s="2">
        <f t="shared" si="342"/>
        <v>0</v>
      </c>
      <c r="N2194">
        <v>0</v>
      </c>
      <c r="O2194" s="2">
        <f t="shared" si="343"/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27.1</v>
      </c>
      <c r="V2194" s="2">
        <f t="shared" si="344"/>
        <v>1</v>
      </c>
      <c r="W2194">
        <v>19.600000000000001</v>
      </c>
      <c r="X2194" s="2">
        <f t="shared" si="345"/>
        <v>1</v>
      </c>
      <c r="Y2194">
        <v>335.2</v>
      </c>
      <c r="Z2194" s="2" t="str">
        <f>CHOOSE(MATCH(Y2194,{0;11;80;111;161;191;241;281;341},1),"North","NorthEast","East","SouthEast","South","SouthWest","West","NorthWest","North")</f>
        <v>NorthWest</v>
      </c>
      <c r="AA2194" s="4">
        <f>CHOOSE(MATCH(Z2194,{"South";"SouthEast";"SouthWest";"North";"NorthEast";"East";"West";"NorthWest"},0),1,2,3,4,5,6,7,8)</f>
        <v>8</v>
      </c>
      <c r="AB2194" s="2">
        <f t="shared" si="346"/>
        <v>1</v>
      </c>
      <c r="AC2194">
        <v>1020.8</v>
      </c>
      <c r="AD2194" t="s">
        <v>2905</v>
      </c>
      <c r="AE2194" s="2">
        <f t="shared" si="347"/>
        <v>1</v>
      </c>
      <c r="AF2194" t="s">
        <v>2992</v>
      </c>
      <c r="AG2194" s="2">
        <f t="shared" si="348"/>
        <v>12</v>
      </c>
      <c r="AH2194" s="2">
        <f t="shared" si="349"/>
        <v>0</v>
      </c>
      <c r="AI2194" s="3">
        <v>75.99999999627471</v>
      </c>
      <c r="AJ2194" s="2">
        <v>0</v>
      </c>
      <c r="AK2194">
        <v>0</v>
      </c>
      <c r="AL2194">
        <v>0.1</v>
      </c>
      <c r="AM2194">
        <v>0</v>
      </c>
      <c r="AN2194" s="2">
        <f>IF((2*G2194+M2194-O2194+3*V2194+2*AB2194+2*AE2194+2*AH2194+3*AJ2194)&gt;=7,1,0)</f>
        <v>0</v>
      </c>
    </row>
    <row r="2195" spans="1:40" x14ac:dyDescent="0.25">
      <c r="A2195" t="s">
        <v>27</v>
      </c>
      <c r="B2195" s="1">
        <v>43500</v>
      </c>
      <c r="C2195" s="6">
        <f t="shared" si="340"/>
        <v>2019</v>
      </c>
      <c r="D2195">
        <v>64.400000000000006</v>
      </c>
      <c r="E2195">
        <v>50</v>
      </c>
      <c r="F2195">
        <v>58.3</v>
      </c>
      <c r="G2195" s="2">
        <f t="shared" si="341"/>
        <v>0</v>
      </c>
      <c r="H2195">
        <v>64.400000000000006</v>
      </c>
      <c r="I2195">
        <v>50</v>
      </c>
      <c r="J2195">
        <v>58.3</v>
      </c>
      <c r="K2195">
        <v>48.2</v>
      </c>
      <c r="L2195">
        <v>69.599999999999994</v>
      </c>
      <c r="M2195" s="2">
        <f t="shared" si="342"/>
        <v>0</v>
      </c>
      <c r="N2195">
        <v>0</v>
      </c>
      <c r="O2195" s="2">
        <f t="shared" si="343"/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28.4</v>
      </c>
      <c r="V2195" s="2">
        <f t="shared" si="344"/>
        <v>1</v>
      </c>
      <c r="W2195">
        <v>20.8</v>
      </c>
      <c r="X2195" s="2">
        <f t="shared" si="345"/>
        <v>1</v>
      </c>
      <c r="Y2195">
        <v>153.69999999999999</v>
      </c>
      <c r="Z2195" s="2" t="str">
        <f>CHOOSE(MATCH(Y2195,{0;11;80;111;161;191;241;281;341},1),"North","NorthEast","East","SouthEast","South","SouthWest","West","NorthWest","North")</f>
        <v>SouthEast</v>
      </c>
      <c r="AA2195" s="4">
        <f>CHOOSE(MATCH(Z2195,{"South";"SouthEast";"SouthWest";"North";"NorthEast";"East";"West";"NorthWest"},0),1,2,3,4,5,6,7,8)</f>
        <v>2</v>
      </c>
      <c r="AB2195" s="2">
        <f t="shared" si="346"/>
        <v>0</v>
      </c>
      <c r="AC2195">
        <v>1014.8</v>
      </c>
      <c r="AD2195" t="s">
        <v>2338</v>
      </c>
      <c r="AE2195" s="2">
        <f t="shared" si="347"/>
        <v>1</v>
      </c>
      <c r="AF2195" t="s">
        <v>2993</v>
      </c>
      <c r="AG2195" s="2">
        <f t="shared" si="348"/>
        <v>2</v>
      </c>
      <c r="AH2195" s="2">
        <f t="shared" si="349"/>
        <v>0</v>
      </c>
      <c r="AI2195" s="3">
        <v>61.999999992549419</v>
      </c>
      <c r="AJ2195" s="2">
        <v>0</v>
      </c>
      <c r="AK2195">
        <v>0</v>
      </c>
      <c r="AL2195">
        <v>2</v>
      </c>
      <c r="AM2195">
        <v>0</v>
      </c>
      <c r="AN2195" s="2">
        <f>IF((2*G2195+M2195-O2195+3*V2195+2*AB2195+2*AE2195+2*AH2195+3*AJ2195)&gt;=7,1,0)</f>
        <v>0</v>
      </c>
    </row>
    <row r="2196" spans="1:40" x14ac:dyDescent="0.25">
      <c r="A2196" t="s">
        <v>27</v>
      </c>
      <c r="B2196" s="1">
        <v>43507</v>
      </c>
      <c r="C2196" s="6">
        <f t="shared" si="340"/>
        <v>2019</v>
      </c>
      <c r="D2196">
        <v>62.6</v>
      </c>
      <c r="E2196">
        <v>46.4</v>
      </c>
      <c r="F2196">
        <v>55.1</v>
      </c>
      <c r="G2196" s="2">
        <f t="shared" si="341"/>
        <v>0</v>
      </c>
      <c r="H2196">
        <v>62.6</v>
      </c>
      <c r="I2196">
        <v>42.9</v>
      </c>
      <c r="J2196">
        <v>54.4</v>
      </c>
      <c r="K2196">
        <v>45</v>
      </c>
      <c r="L2196">
        <v>69.2</v>
      </c>
      <c r="M2196" s="2">
        <f t="shared" si="342"/>
        <v>0</v>
      </c>
      <c r="N2196">
        <v>0</v>
      </c>
      <c r="O2196" s="2">
        <f t="shared" si="343"/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24.2</v>
      </c>
      <c r="V2196" s="2">
        <f t="shared" si="344"/>
        <v>1</v>
      </c>
      <c r="W2196">
        <v>11.4</v>
      </c>
      <c r="X2196" s="2">
        <f t="shared" si="345"/>
        <v>0</v>
      </c>
      <c r="Y2196">
        <v>183.9</v>
      </c>
      <c r="Z2196" s="2" t="str">
        <f>CHOOSE(MATCH(Y2196,{0;11;80;111;161;191;241;281;341},1),"North","NorthEast","East","SouthEast","South","SouthWest","West","NorthWest","North")</f>
        <v>South</v>
      </c>
      <c r="AA2196" s="4">
        <f>CHOOSE(MATCH(Z2196,{"South";"SouthEast";"SouthWest";"North";"NorthEast";"East";"West";"NorthWest"},0),1,2,3,4,5,6,7,8)</f>
        <v>1</v>
      </c>
      <c r="AB2196" s="2">
        <f t="shared" si="346"/>
        <v>0</v>
      </c>
      <c r="AC2196">
        <v>1019.2</v>
      </c>
      <c r="AD2196" t="s">
        <v>1897</v>
      </c>
      <c r="AE2196" s="2">
        <f t="shared" si="347"/>
        <v>1</v>
      </c>
      <c r="AF2196" t="s">
        <v>2994</v>
      </c>
      <c r="AG2196" s="2">
        <f t="shared" si="348"/>
        <v>2</v>
      </c>
      <c r="AH2196" s="2">
        <f t="shared" si="349"/>
        <v>0</v>
      </c>
      <c r="AI2196" s="3">
        <v>200.00000000232831</v>
      </c>
      <c r="AJ2196" s="2">
        <v>0</v>
      </c>
      <c r="AK2196">
        <v>0</v>
      </c>
      <c r="AL2196">
        <v>2</v>
      </c>
      <c r="AM2196">
        <v>0</v>
      </c>
      <c r="AN2196" s="2">
        <f>IF((2*G2196+M2196-O2196+3*V2196+2*AB2196+2*AE2196+2*AH2196+3*AJ2196)&gt;=7,1,0)</f>
        <v>0</v>
      </c>
    </row>
    <row r="2197" spans="1:40" x14ac:dyDescent="0.25">
      <c r="A2197" t="s">
        <v>27</v>
      </c>
      <c r="B2197" s="1">
        <v>43513</v>
      </c>
      <c r="C2197" s="6">
        <f t="shared" si="340"/>
        <v>2019</v>
      </c>
      <c r="D2197">
        <v>53.6</v>
      </c>
      <c r="E2197">
        <v>48.2</v>
      </c>
      <c r="F2197">
        <v>51.1</v>
      </c>
      <c r="G2197" s="2">
        <f t="shared" si="341"/>
        <v>0</v>
      </c>
      <c r="H2197">
        <v>53.6</v>
      </c>
      <c r="I2197">
        <v>44.1</v>
      </c>
      <c r="J2197">
        <v>50.2</v>
      </c>
      <c r="K2197">
        <v>47.1</v>
      </c>
      <c r="L2197">
        <v>86.3</v>
      </c>
      <c r="M2197" s="2">
        <f t="shared" si="342"/>
        <v>0</v>
      </c>
      <c r="N2197">
        <v>1.859</v>
      </c>
      <c r="O2197" s="2">
        <f t="shared" si="343"/>
        <v>0</v>
      </c>
      <c r="P2197">
        <v>100</v>
      </c>
      <c r="Q2197">
        <v>16.670000000000002</v>
      </c>
      <c r="R2197" t="s">
        <v>182</v>
      </c>
      <c r="S2197">
        <v>0</v>
      </c>
      <c r="T2197">
        <v>0</v>
      </c>
      <c r="U2197">
        <v>25.3</v>
      </c>
      <c r="V2197" s="2">
        <f t="shared" si="344"/>
        <v>1</v>
      </c>
      <c r="W2197">
        <v>17.2</v>
      </c>
      <c r="X2197" s="2">
        <f t="shared" si="345"/>
        <v>1</v>
      </c>
      <c r="Y2197">
        <v>355.4</v>
      </c>
      <c r="Z2197" s="2" t="str">
        <f>CHOOSE(MATCH(Y2197,{0;11;80;111;161;191;241;281;341},1),"North","NorthEast","East","SouthEast","South","SouthWest","West","NorthWest","North")</f>
        <v>North</v>
      </c>
      <c r="AA2197" s="4">
        <f>CHOOSE(MATCH(Z2197,{"South";"SouthEast";"SouthWest";"North";"NorthEast";"East";"West";"NorthWest"},0),1,2,3,4,5,6,7,8)</f>
        <v>4</v>
      </c>
      <c r="AB2197" s="2">
        <f t="shared" si="346"/>
        <v>1</v>
      </c>
      <c r="AC2197">
        <v>1021.2</v>
      </c>
      <c r="AD2197" t="s">
        <v>2362</v>
      </c>
      <c r="AE2197" s="2">
        <f t="shared" si="347"/>
        <v>1</v>
      </c>
      <c r="AF2197" t="s">
        <v>2995</v>
      </c>
      <c r="AG2197" s="2">
        <f t="shared" si="348"/>
        <v>2</v>
      </c>
      <c r="AH2197" s="2">
        <f t="shared" si="349"/>
        <v>0</v>
      </c>
      <c r="AI2197" s="3">
        <v>104.0000000037253</v>
      </c>
      <c r="AJ2197" s="2">
        <v>0</v>
      </c>
      <c r="AK2197">
        <v>0</v>
      </c>
      <c r="AL2197">
        <v>0.3</v>
      </c>
      <c r="AM2197">
        <v>0</v>
      </c>
      <c r="AN2197" s="2">
        <f>IF((2*G2197+M2197-O2197+3*V2197+2*AB2197+2*AE2197+2*AH2197+3*AJ2197)&gt;=7,1,0)</f>
        <v>1</v>
      </c>
    </row>
    <row r="2198" spans="1:40" x14ac:dyDescent="0.25">
      <c r="A2198" t="s">
        <v>27</v>
      </c>
      <c r="B2198" s="1">
        <v>43514</v>
      </c>
      <c r="C2198" s="6">
        <f t="shared" si="340"/>
        <v>2019</v>
      </c>
      <c r="D2198">
        <v>57.2</v>
      </c>
      <c r="E2198">
        <v>48.2</v>
      </c>
      <c r="F2198">
        <v>53</v>
      </c>
      <c r="G2198" s="2">
        <f t="shared" si="341"/>
        <v>0</v>
      </c>
      <c r="H2198">
        <v>57.2</v>
      </c>
      <c r="I2198">
        <v>44.5</v>
      </c>
      <c r="J2198">
        <v>52.7</v>
      </c>
      <c r="K2198">
        <v>42.9</v>
      </c>
      <c r="L2198">
        <v>68.900000000000006</v>
      </c>
      <c r="M2198" s="2">
        <f t="shared" si="342"/>
        <v>0</v>
      </c>
      <c r="N2198">
        <v>1E-3</v>
      </c>
      <c r="O2198" s="2">
        <f t="shared" si="343"/>
        <v>1</v>
      </c>
      <c r="P2198">
        <v>100</v>
      </c>
      <c r="Q2198">
        <v>4.17</v>
      </c>
      <c r="R2198" t="s">
        <v>182</v>
      </c>
      <c r="S2198">
        <v>0</v>
      </c>
      <c r="T2198">
        <v>0</v>
      </c>
      <c r="U2198">
        <v>20.8</v>
      </c>
      <c r="V2198" s="2">
        <f t="shared" si="344"/>
        <v>1</v>
      </c>
      <c r="W2198">
        <v>16.100000000000001</v>
      </c>
      <c r="X2198" s="2">
        <f t="shared" si="345"/>
        <v>1</v>
      </c>
      <c r="Y2198">
        <v>285.8</v>
      </c>
      <c r="Z2198" s="2" t="str">
        <f>CHOOSE(MATCH(Y2198,{0;11;80;111;161;191;241;281;341},1),"North","NorthEast","East","SouthEast","South","SouthWest","West","NorthWest","North")</f>
        <v>NorthWest</v>
      </c>
      <c r="AA2198" s="4">
        <f>CHOOSE(MATCH(Z2198,{"South";"SouthEast";"SouthWest";"North";"NorthEast";"East";"West";"NorthWest"},0),1,2,3,4,5,6,7,8)</f>
        <v>8</v>
      </c>
      <c r="AB2198" s="2">
        <f t="shared" si="346"/>
        <v>1</v>
      </c>
      <c r="AC2198">
        <v>1022.7</v>
      </c>
      <c r="AD2198" t="s">
        <v>1844</v>
      </c>
      <c r="AE2198" s="2">
        <f t="shared" si="347"/>
        <v>1</v>
      </c>
      <c r="AF2198" t="s">
        <v>2996</v>
      </c>
      <c r="AG2198" s="2">
        <f t="shared" si="348"/>
        <v>2</v>
      </c>
      <c r="AH2198" s="2">
        <f t="shared" si="349"/>
        <v>0</v>
      </c>
      <c r="AI2198" s="3">
        <v>45</v>
      </c>
      <c r="AJ2198" s="2">
        <v>0</v>
      </c>
      <c r="AK2198">
        <v>0</v>
      </c>
      <c r="AL2198">
        <v>0.05</v>
      </c>
      <c r="AM2198">
        <v>0</v>
      </c>
      <c r="AN2198" s="2">
        <f>IF((2*G2198+M2198-O2198+3*V2198+2*AB2198+2*AE2198+2*AH2198+3*AJ2198)&gt;=7,1,0)</f>
        <v>0</v>
      </c>
    </row>
    <row r="2199" spans="1:40" x14ac:dyDescent="0.25">
      <c r="A2199" t="s">
        <v>27</v>
      </c>
      <c r="B2199" s="1">
        <v>43524</v>
      </c>
      <c r="C2199" s="6">
        <f t="shared" si="340"/>
        <v>2019</v>
      </c>
      <c r="D2199">
        <v>55.4</v>
      </c>
      <c r="E2199">
        <v>48.2</v>
      </c>
      <c r="F2199">
        <v>51.3</v>
      </c>
      <c r="G2199" s="2">
        <f t="shared" si="341"/>
        <v>0</v>
      </c>
      <c r="H2199">
        <v>55.4</v>
      </c>
      <c r="I2199">
        <v>42.2</v>
      </c>
      <c r="J2199">
        <v>49.8</v>
      </c>
      <c r="K2199">
        <v>35</v>
      </c>
      <c r="L2199">
        <v>54.5</v>
      </c>
      <c r="M2199" s="2">
        <f t="shared" si="342"/>
        <v>1</v>
      </c>
      <c r="N2199">
        <v>1E-3</v>
      </c>
      <c r="O2199" s="2">
        <f t="shared" si="343"/>
        <v>1</v>
      </c>
      <c r="P2199">
        <v>100</v>
      </c>
      <c r="Q2199">
        <v>4.17</v>
      </c>
      <c r="R2199" t="s">
        <v>182</v>
      </c>
      <c r="S2199">
        <v>0</v>
      </c>
      <c r="T2199">
        <v>0</v>
      </c>
      <c r="U2199">
        <v>40</v>
      </c>
      <c r="V2199" s="2">
        <f t="shared" si="344"/>
        <v>1</v>
      </c>
      <c r="W2199">
        <v>28.9</v>
      </c>
      <c r="X2199" s="2">
        <f t="shared" si="345"/>
        <v>1</v>
      </c>
      <c r="Y2199">
        <v>327.60000000000002</v>
      </c>
      <c r="Z2199" s="2" t="str">
        <f>CHOOSE(MATCH(Y2199,{0;11;80;111;161;191;241;281;341},1),"North","NorthEast","East","SouthEast","South","SouthWest","West","NorthWest","North")</f>
        <v>NorthWest</v>
      </c>
      <c r="AA2199" s="4">
        <f>CHOOSE(MATCH(Z2199,{"South";"SouthEast";"SouthWest";"North";"NorthEast";"East";"West";"NorthWest"},0),1,2,3,4,5,6,7,8)</f>
        <v>8</v>
      </c>
      <c r="AB2199" s="2">
        <f t="shared" si="346"/>
        <v>1</v>
      </c>
      <c r="AC2199">
        <v>1017.5</v>
      </c>
      <c r="AD2199" t="s">
        <v>1113</v>
      </c>
      <c r="AE2199" s="2">
        <f t="shared" si="347"/>
        <v>1</v>
      </c>
      <c r="AF2199" t="s">
        <v>2997</v>
      </c>
      <c r="AG2199" s="2">
        <f t="shared" si="348"/>
        <v>2</v>
      </c>
      <c r="AH2199" s="2">
        <f t="shared" si="349"/>
        <v>0</v>
      </c>
      <c r="AI2199" s="3">
        <v>52.999999994644902</v>
      </c>
      <c r="AJ2199" s="2">
        <v>0</v>
      </c>
      <c r="AK2199">
        <v>0</v>
      </c>
      <c r="AL2199">
        <v>1</v>
      </c>
      <c r="AM2199">
        <v>0</v>
      </c>
      <c r="AN2199" s="2">
        <f>IF((2*G2199+M2199-O2199+3*V2199+2*AB2199+2*AE2199+2*AH2199+3*AJ2199)&gt;=7,1,0)</f>
        <v>1</v>
      </c>
    </row>
    <row r="2200" spans="1:40" x14ac:dyDescent="0.25">
      <c r="A2200" t="s">
        <v>27</v>
      </c>
      <c r="B2200" s="1">
        <v>43530</v>
      </c>
      <c r="C2200" s="6">
        <f t="shared" si="340"/>
        <v>2019</v>
      </c>
      <c r="D2200">
        <v>64.400000000000006</v>
      </c>
      <c r="E2200">
        <v>50</v>
      </c>
      <c r="F2200">
        <v>56.8</v>
      </c>
      <c r="G2200" s="2">
        <f t="shared" si="341"/>
        <v>0</v>
      </c>
      <c r="H2200">
        <v>64.400000000000006</v>
      </c>
      <c r="I2200">
        <v>50</v>
      </c>
      <c r="J2200">
        <v>56.8</v>
      </c>
      <c r="K2200">
        <v>50.2</v>
      </c>
      <c r="L2200">
        <v>79</v>
      </c>
      <c r="M2200" s="2">
        <f t="shared" si="342"/>
        <v>0</v>
      </c>
      <c r="N2200">
        <v>0</v>
      </c>
      <c r="O2200" s="2">
        <f t="shared" si="343"/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23.1</v>
      </c>
      <c r="V2200" s="2">
        <f t="shared" si="344"/>
        <v>1</v>
      </c>
      <c r="W2200">
        <v>11.4</v>
      </c>
      <c r="X2200" s="2">
        <f t="shared" si="345"/>
        <v>0</v>
      </c>
      <c r="Y2200">
        <v>145.5</v>
      </c>
      <c r="Z2200" s="2" t="str">
        <f>CHOOSE(MATCH(Y2200,{0;11;80;111;161;191;241;281;341},1),"North","NorthEast","East","SouthEast","South","SouthWest","West","NorthWest","North")</f>
        <v>SouthEast</v>
      </c>
      <c r="AA2200" s="4">
        <f>CHOOSE(MATCH(Z2200,{"South";"SouthEast";"SouthWest";"North";"NorthEast";"East";"West";"NorthWest"},0),1,2,3,4,5,6,7,8)</f>
        <v>2</v>
      </c>
      <c r="AB2200" s="2">
        <f t="shared" si="346"/>
        <v>0</v>
      </c>
      <c r="AC2200">
        <v>1020.8</v>
      </c>
      <c r="AD2200" t="s">
        <v>2998</v>
      </c>
      <c r="AE2200" s="2">
        <f t="shared" si="347"/>
        <v>1</v>
      </c>
      <c r="AF2200" t="s">
        <v>2999</v>
      </c>
      <c r="AG2200" s="2">
        <f t="shared" si="348"/>
        <v>3</v>
      </c>
      <c r="AH2200" s="2">
        <f t="shared" si="349"/>
        <v>0</v>
      </c>
      <c r="AI2200" s="3">
        <v>78.999999995576218</v>
      </c>
      <c r="AJ2200" s="2">
        <v>0</v>
      </c>
      <c r="AK2200">
        <v>0</v>
      </c>
      <c r="AL2200">
        <v>0.2</v>
      </c>
      <c r="AM2200">
        <v>0</v>
      </c>
      <c r="AN2200" s="2">
        <f>IF((2*G2200+M2200-O2200+3*V2200+2*AB2200+2*AE2200+2*AH2200+3*AJ2200)&gt;=7,1,0)</f>
        <v>0</v>
      </c>
    </row>
    <row r="2201" spans="1:40" x14ac:dyDescent="0.25">
      <c r="A2201" t="s">
        <v>27</v>
      </c>
      <c r="B2201" s="1">
        <v>43532</v>
      </c>
      <c r="C2201" s="6">
        <f t="shared" si="340"/>
        <v>2019</v>
      </c>
      <c r="D2201">
        <v>64.400000000000006</v>
      </c>
      <c r="E2201">
        <v>48.1</v>
      </c>
      <c r="F2201">
        <v>56.4</v>
      </c>
      <c r="G2201" s="2">
        <f t="shared" si="341"/>
        <v>0</v>
      </c>
      <c r="H2201">
        <v>64.400000000000006</v>
      </c>
      <c r="I2201">
        <v>43.3</v>
      </c>
      <c r="J2201">
        <v>55.8</v>
      </c>
      <c r="K2201">
        <v>48.4</v>
      </c>
      <c r="L2201">
        <v>75.400000000000006</v>
      </c>
      <c r="M2201" s="2">
        <f t="shared" si="342"/>
        <v>0</v>
      </c>
      <c r="N2201">
        <v>0</v>
      </c>
      <c r="O2201" s="2">
        <f t="shared" si="343"/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12.8</v>
      </c>
      <c r="V2201" s="2">
        <f t="shared" si="344"/>
        <v>1</v>
      </c>
      <c r="W2201">
        <v>11.4</v>
      </c>
      <c r="X2201" s="2">
        <f t="shared" si="345"/>
        <v>0</v>
      </c>
      <c r="Y2201">
        <v>156.80000000000001</v>
      </c>
      <c r="Z2201" s="2" t="str">
        <f>CHOOSE(MATCH(Y2201,{0;11;80;111;161;191;241;281;341},1),"North","NorthEast","East","SouthEast","South","SouthWest","West","NorthWest","North")</f>
        <v>SouthEast</v>
      </c>
      <c r="AA2201" s="4">
        <f>CHOOSE(MATCH(Z2201,{"South";"SouthEast";"SouthWest";"North";"NorthEast";"East";"West";"NorthWest"},0),1,2,3,4,5,6,7,8)</f>
        <v>2</v>
      </c>
      <c r="AB2201" s="2">
        <f t="shared" si="346"/>
        <v>0</v>
      </c>
      <c r="AC2201">
        <v>1023</v>
      </c>
      <c r="AD2201" t="s">
        <v>3000</v>
      </c>
      <c r="AE2201" s="2">
        <f t="shared" si="347"/>
        <v>1</v>
      </c>
      <c r="AF2201" t="s">
        <v>3001</v>
      </c>
      <c r="AG2201" s="2">
        <f t="shared" si="348"/>
        <v>3</v>
      </c>
      <c r="AH2201" s="2">
        <f t="shared" si="349"/>
        <v>0</v>
      </c>
      <c r="AI2201" s="3">
        <v>94.999999995343387</v>
      </c>
      <c r="AJ2201" s="2">
        <v>0</v>
      </c>
      <c r="AK2201">
        <v>0</v>
      </c>
      <c r="AL2201">
        <v>0.5</v>
      </c>
      <c r="AM2201">
        <v>0</v>
      </c>
      <c r="AN2201" s="2">
        <f>IF((2*G2201+M2201-O2201+3*V2201+2*AB2201+2*AE2201+2*AH2201+3*AJ2201)&gt;=7,1,0)</f>
        <v>0</v>
      </c>
    </row>
    <row r="2202" spans="1:40" x14ac:dyDescent="0.25">
      <c r="A2202" t="s">
        <v>27</v>
      </c>
      <c r="B2202" s="1">
        <v>43533</v>
      </c>
      <c r="C2202" s="6">
        <f t="shared" si="340"/>
        <v>2019</v>
      </c>
      <c r="D2202">
        <v>68</v>
      </c>
      <c r="E2202">
        <v>48.2</v>
      </c>
      <c r="F2202">
        <v>59.2</v>
      </c>
      <c r="G2202" s="2">
        <f t="shared" si="341"/>
        <v>0</v>
      </c>
      <c r="H2202">
        <v>68</v>
      </c>
      <c r="I2202">
        <v>42.6</v>
      </c>
      <c r="J2202">
        <v>58.8</v>
      </c>
      <c r="K2202">
        <v>43.1</v>
      </c>
      <c r="L2202">
        <v>56.9</v>
      </c>
      <c r="M2202" s="2">
        <f t="shared" si="342"/>
        <v>1</v>
      </c>
      <c r="N2202">
        <v>0</v>
      </c>
      <c r="O2202" s="2">
        <f t="shared" si="343"/>
        <v>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17.2</v>
      </c>
      <c r="V2202" s="2">
        <f t="shared" si="344"/>
        <v>1</v>
      </c>
      <c r="W2202">
        <v>13.9</v>
      </c>
      <c r="X2202" s="2">
        <f t="shared" si="345"/>
        <v>0</v>
      </c>
      <c r="Y2202">
        <v>181.9</v>
      </c>
      <c r="Z2202" s="2" t="str">
        <f>CHOOSE(MATCH(Y2202,{0;11;80;111;161;191;241;281;341},1),"North","NorthEast","East","SouthEast","South","SouthWest","West","NorthWest","North")</f>
        <v>South</v>
      </c>
      <c r="AA2202" s="4">
        <f>CHOOSE(MATCH(Z2202,{"South";"SouthEast";"SouthWest";"North";"NorthEast";"East";"West";"NorthWest"},0),1,2,3,4,5,6,7,8)</f>
        <v>1</v>
      </c>
      <c r="AB2202" s="2">
        <f t="shared" si="346"/>
        <v>0</v>
      </c>
      <c r="AC2202">
        <v>1024.0999999999999</v>
      </c>
      <c r="AD2202" t="s">
        <v>3002</v>
      </c>
      <c r="AE2202" s="2">
        <f t="shared" si="347"/>
        <v>1</v>
      </c>
      <c r="AF2202" t="s">
        <v>3003</v>
      </c>
      <c r="AG2202" s="2">
        <f t="shared" si="348"/>
        <v>3</v>
      </c>
      <c r="AH2202" s="2">
        <f t="shared" si="349"/>
        <v>0</v>
      </c>
      <c r="AI2202" s="3">
        <v>326.00000000442378</v>
      </c>
      <c r="AJ2202" s="2">
        <v>0</v>
      </c>
      <c r="AK2202">
        <v>0</v>
      </c>
      <c r="AL2202">
        <v>4</v>
      </c>
      <c r="AM2202">
        <v>0</v>
      </c>
      <c r="AN2202" s="2">
        <f>IF((2*G2202+M2202-O2202+3*V2202+2*AB2202+2*AE2202+2*AH2202+3*AJ2202)&gt;=7,1,0)</f>
        <v>0</v>
      </c>
    </row>
    <row r="2203" spans="1:40" x14ac:dyDescent="0.25">
      <c r="A2203" t="s">
        <v>27</v>
      </c>
      <c r="B2203" s="1">
        <v>43534</v>
      </c>
      <c r="C2203" s="6">
        <f t="shared" si="340"/>
        <v>2019</v>
      </c>
      <c r="D2203">
        <v>71.599999999999994</v>
      </c>
      <c r="E2203">
        <v>55.4</v>
      </c>
      <c r="F2203">
        <v>63.3</v>
      </c>
      <c r="G2203" s="2">
        <f t="shared" si="341"/>
        <v>0</v>
      </c>
      <c r="H2203">
        <v>71.599999999999994</v>
      </c>
      <c r="I2203">
        <v>55.4</v>
      </c>
      <c r="J2203">
        <v>63.3</v>
      </c>
      <c r="K2203">
        <v>41.9</v>
      </c>
      <c r="L2203">
        <v>46.3</v>
      </c>
      <c r="M2203" s="2">
        <f t="shared" si="342"/>
        <v>1</v>
      </c>
      <c r="N2203">
        <v>0</v>
      </c>
      <c r="O2203" s="2">
        <f t="shared" si="343"/>
        <v>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26.4</v>
      </c>
      <c r="V2203" s="2">
        <f t="shared" si="344"/>
        <v>1</v>
      </c>
      <c r="W2203">
        <v>17.2</v>
      </c>
      <c r="X2203" s="2">
        <f t="shared" si="345"/>
        <v>1</v>
      </c>
      <c r="Y2203">
        <v>265.3</v>
      </c>
      <c r="Z2203" s="2" t="str">
        <f>CHOOSE(MATCH(Y2203,{0;11;80;111;161;191;241;281;341},1),"North","NorthEast","East","SouthEast","South","SouthWest","West","NorthWest","North")</f>
        <v>West</v>
      </c>
      <c r="AA2203" s="4">
        <f>CHOOSE(MATCH(Z2203,{"South";"SouthEast";"SouthWest";"North";"NorthEast";"East";"West";"NorthWest"},0),1,2,3,4,5,6,7,8)</f>
        <v>7</v>
      </c>
      <c r="AB2203" s="2">
        <f t="shared" si="346"/>
        <v>0</v>
      </c>
      <c r="AC2203">
        <v>1022.1</v>
      </c>
      <c r="AD2203" t="s">
        <v>1159</v>
      </c>
      <c r="AE2203" s="2">
        <f t="shared" si="347"/>
        <v>1</v>
      </c>
      <c r="AF2203" t="s">
        <v>3004</v>
      </c>
      <c r="AG2203" s="2">
        <f t="shared" si="348"/>
        <v>3</v>
      </c>
      <c r="AH2203" s="2">
        <f t="shared" si="349"/>
        <v>0</v>
      </c>
      <c r="AI2203" s="3">
        <v>1190.999999995111</v>
      </c>
      <c r="AJ2203" s="2">
        <v>1</v>
      </c>
      <c r="AK2203">
        <v>0</v>
      </c>
      <c r="AL2203">
        <v>2.5</v>
      </c>
      <c r="AM2203">
        <v>0</v>
      </c>
      <c r="AN2203" s="2">
        <f>IF((2*G2203+M2203-O2203+3*V2203+2*AB2203+2*AE2203+2*AH2203+3*AJ2203)&gt;=7,1,0)</f>
        <v>1</v>
      </c>
    </row>
    <row r="2204" spans="1:40" x14ac:dyDescent="0.25">
      <c r="A2204" t="s">
        <v>27</v>
      </c>
      <c r="B2204" s="1">
        <v>43542</v>
      </c>
      <c r="C2204" s="6">
        <f t="shared" si="340"/>
        <v>2019</v>
      </c>
      <c r="D2204">
        <v>62.6</v>
      </c>
      <c r="E2204">
        <v>51.7</v>
      </c>
      <c r="F2204">
        <v>57.1</v>
      </c>
      <c r="G2204" s="2">
        <f t="shared" si="341"/>
        <v>0</v>
      </c>
      <c r="H2204">
        <v>62.6</v>
      </c>
      <c r="I2204">
        <v>51.7</v>
      </c>
      <c r="J2204">
        <v>57.1</v>
      </c>
      <c r="K2204">
        <v>51.1</v>
      </c>
      <c r="L2204">
        <v>80.599999999999994</v>
      </c>
      <c r="M2204" s="2">
        <f t="shared" si="342"/>
        <v>0</v>
      </c>
      <c r="N2204">
        <v>0</v>
      </c>
      <c r="O2204" s="2">
        <f t="shared" si="343"/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20.8</v>
      </c>
      <c r="V2204" s="2">
        <f t="shared" si="344"/>
        <v>1</v>
      </c>
      <c r="W2204">
        <v>12.8</v>
      </c>
      <c r="X2204" s="2">
        <f t="shared" si="345"/>
        <v>0</v>
      </c>
      <c r="Y2204">
        <v>147.1</v>
      </c>
      <c r="Z2204" s="2" t="str">
        <f>CHOOSE(MATCH(Y2204,{0;11;80;111;161;191;241;281;341},1),"North","NorthEast","East","SouthEast","South","SouthWest","West","NorthWest","North")</f>
        <v>SouthEast</v>
      </c>
      <c r="AA2204" s="4">
        <f>CHOOSE(MATCH(Z2204,{"South";"SouthEast";"SouthWest";"North";"NorthEast";"East";"West";"NorthWest"},0),1,2,3,4,5,6,7,8)</f>
        <v>2</v>
      </c>
      <c r="AB2204" s="2">
        <f t="shared" si="346"/>
        <v>0</v>
      </c>
      <c r="AC2204">
        <v>1017.8</v>
      </c>
      <c r="AD2204" t="s">
        <v>3005</v>
      </c>
      <c r="AE2204" s="2">
        <f t="shared" si="347"/>
        <v>1</v>
      </c>
      <c r="AF2204" t="s">
        <v>3006</v>
      </c>
      <c r="AG2204" s="2">
        <f t="shared" si="348"/>
        <v>3</v>
      </c>
      <c r="AH2204" s="2">
        <f t="shared" si="349"/>
        <v>0</v>
      </c>
      <c r="AI2204" s="3">
        <v>127.9999999981374</v>
      </c>
      <c r="AJ2204" s="2">
        <v>0</v>
      </c>
      <c r="AK2204">
        <v>0</v>
      </c>
      <c r="AL2204">
        <v>0.5</v>
      </c>
      <c r="AM2204">
        <v>0</v>
      </c>
      <c r="AN2204" s="2">
        <f>IF((2*G2204+M2204-O2204+3*V2204+2*AB2204+2*AE2204+2*AH2204+3*AJ2204)&gt;=7,1,0)</f>
        <v>0</v>
      </c>
    </row>
    <row r="2205" spans="1:40" x14ac:dyDescent="0.25">
      <c r="A2205" t="s">
        <v>27</v>
      </c>
      <c r="B2205" s="1">
        <v>43542</v>
      </c>
      <c r="C2205" s="6">
        <f t="shared" si="340"/>
        <v>2019</v>
      </c>
      <c r="D2205">
        <v>62.6</v>
      </c>
      <c r="E2205">
        <v>51.7</v>
      </c>
      <c r="F2205">
        <v>57.1</v>
      </c>
      <c r="G2205" s="2">
        <f t="shared" si="341"/>
        <v>0</v>
      </c>
      <c r="H2205">
        <v>62.6</v>
      </c>
      <c r="I2205">
        <v>51.7</v>
      </c>
      <c r="J2205">
        <v>57.1</v>
      </c>
      <c r="K2205">
        <v>51.1</v>
      </c>
      <c r="L2205">
        <v>80.599999999999994</v>
      </c>
      <c r="M2205" s="2">
        <f t="shared" si="342"/>
        <v>0</v>
      </c>
      <c r="N2205">
        <v>0</v>
      </c>
      <c r="O2205" s="2">
        <f t="shared" si="343"/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20.8</v>
      </c>
      <c r="V2205" s="2">
        <f t="shared" si="344"/>
        <v>1</v>
      </c>
      <c r="W2205">
        <v>12.8</v>
      </c>
      <c r="X2205" s="2">
        <f t="shared" si="345"/>
        <v>0</v>
      </c>
      <c r="Y2205">
        <v>147.1</v>
      </c>
      <c r="Z2205" s="2" t="str">
        <f>CHOOSE(MATCH(Y2205,{0;11;80;111;161;191;241;281;341},1),"North","NorthEast","East","SouthEast","South","SouthWest","West","NorthWest","North")</f>
        <v>SouthEast</v>
      </c>
      <c r="AA2205" s="4">
        <f>CHOOSE(MATCH(Z2205,{"South";"SouthEast";"SouthWest";"North";"NorthEast";"East";"West";"NorthWest"},0),1,2,3,4,5,6,7,8)</f>
        <v>2</v>
      </c>
      <c r="AB2205" s="2">
        <f t="shared" si="346"/>
        <v>0</v>
      </c>
      <c r="AC2205">
        <v>1017.8</v>
      </c>
      <c r="AD2205" t="s">
        <v>3007</v>
      </c>
      <c r="AE2205" s="2">
        <f t="shared" si="347"/>
        <v>1</v>
      </c>
      <c r="AF2205" t="s">
        <v>3008</v>
      </c>
      <c r="AG2205" s="2">
        <f t="shared" si="348"/>
        <v>3</v>
      </c>
      <c r="AH2205" s="2">
        <f t="shared" si="349"/>
        <v>0</v>
      </c>
      <c r="AI2205" s="3">
        <v>1207.0000000053551</v>
      </c>
      <c r="AJ2205" s="2">
        <v>1</v>
      </c>
      <c r="AK2205">
        <v>0</v>
      </c>
      <c r="AL2205">
        <v>15</v>
      </c>
      <c r="AM2205">
        <v>0</v>
      </c>
      <c r="AN2205" s="2">
        <f>IF((2*G2205+M2205-O2205+3*V2205+2*AB2205+2*AE2205+2*AH2205+3*AJ2205)&gt;=7,1,0)</f>
        <v>1</v>
      </c>
    </row>
    <row r="2206" spans="1:40" x14ac:dyDescent="0.25">
      <c r="A2206" t="s">
        <v>27</v>
      </c>
      <c r="B2206" s="1">
        <v>43547</v>
      </c>
      <c r="C2206" s="6">
        <f t="shared" si="340"/>
        <v>2019</v>
      </c>
      <c r="D2206">
        <v>62.6</v>
      </c>
      <c r="E2206">
        <v>57.2</v>
      </c>
      <c r="F2206">
        <v>59.2</v>
      </c>
      <c r="G2206" s="2">
        <f t="shared" si="341"/>
        <v>0</v>
      </c>
      <c r="H2206">
        <v>62.6</v>
      </c>
      <c r="I2206">
        <v>57.2</v>
      </c>
      <c r="J2206">
        <v>59.2</v>
      </c>
      <c r="K2206">
        <v>48.9</v>
      </c>
      <c r="L2206">
        <v>69.099999999999994</v>
      </c>
      <c r="M2206" s="2">
        <f t="shared" si="342"/>
        <v>0</v>
      </c>
      <c r="N2206">
        <v>0</v>
      </c>
      <c r="O2206" s="2">
        <f t="shared" si="343"/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25.7</v>
      </c>
      <c r="V2206" s="2">
        <f t="shared" si="344"/>
        <v>1</v>
      </c>
      <c r="W2206">
        <v>17.2</v>
      </c>
      <c r="X2206" s="2">
        <f t="shared" si="345"/>
        <v>1</v>
      </c>
      <c r="Y2206">
        <v>307.2</v>
      </c>
      <c r="Z2206" s="2" t="str">
        <f>CHOOSE(MATCH(Y2206,{0;11;80;111;161;191;241;281;341},1),"North","NorthEast","East","SouthEast","South","SouthWest","West","NorthWest","North")</f>
        <v>NorthWest</v>
      </c>
      <c r="AA2206" s="4">
        <f>CHOOSE(MATCH(Z2206,{"South";"SouthEast";"SouthWest";"North";"NorthEast";"East";"West";"NorthWest"},0),1,2,3,4,5,6,7,8)</f>
        <v>8</v>
      </c>
      <c r="AB2206" s="2">
        <f t="shared" si="346"/>
        <v>1</v>
      </c>
      <c r="AC2206">
        <v>1016.6</v>
      </c>
      <c r="AD2206" t="s">
        <v>3009</v>
      </c>
      <c r="AE2206" s="2">
        <f t="shared" si="347"/>
        <v>1</v>
      </c>
      <c r="AF2206" t="s">
        <v>3010</v>
      </c>
      <c r="AG2206" s="2">
        <f t="shared" si="348"/>
        <v>3</v>
      </c>
      <c r="AH2206" s="2">
        <f t="shared" si="349"/>
        <v>0</v>
      </c>
      <c r="AI2206" s="3">
        <v>121.9999999995343</v>
      </c>
      <c r="AJ2206" s="2">
        <v>0</v>
      </c>
      <c r="AK2206">
        <v>0</v>
      </c>
      <c r="AL2206">
        <v>0.5</v>
      </c>
      <c r="AM2206">
        <v>0</v>
      </c>
      <c r="AN2206" s="2">
        <f>IF((2*G2206+M2206-O2206+3*V2206+2*AB2206+2*AE2206+2*AH2206+3*AJ2206)&gt;=7,1,0)</f>
        <v>0</v>
      </c>
    </row>
    <row r="2207" spans="1:40" x14ac:dyDescent="0.25">
      <c r="A2207" t="s">
        <v>27</v>
      </c>
      <c r="B2207" s="1">
        <v>43548</v>
      </c>
      <c r="C2207" s="6">
        <f t="shared" si="340"/>
        <v>2019</v>
      </c>
      <c r="D2207">
        <v>60.8</v>
      </c>
      <c r="E2207">
        <v>57.2</v>
      </c>
      <c r="F2207">
        <v>59.2</v>
      </c>
      <c r="G2207" s="2">
        <f t="shared" si="341"/>
        <v>0</v>
      </c>
      <c r="H2207">
        <v>60.8</v>
      </c>
      <c r="I2207">
        <v>57.2</v>
      </c>
      <c r="J2207">
        <v>59.2</v>
      </c>
      <c r="K2207">
        <v>42.7</v>
      </c>
      <c r="L2207">
        <v>55.5</v>
      </c>
      <c r="M2207" s="2">
        <f t="shared" si="342"/>
        <v>1</v>
      </c>
      <c r="N2207">
        <v>0</v>
      </c>
      <c r="O2207" s="2">
        <f t="shared" si="343"/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44.3</v>
      </c>
      <c r="V2207" s="2">
        <f t="shared" si="344"/>
        <v>1</v>
      </c>
      <c r="W2207">
        <v>25.3</v>
      </c>
      <c r="X2207" s="2">
        <f t="shared" si="345"/>
        <v>1</v>
      </c>
      <c r="Y2207">
        <v>327.2</v>
      </c>
      <c r="Z2207" s="2" t="str">
        <f>CHOOSE(MATCH(Y2207,{0;11;80;111;161;191;241;281;341},1),"North","NorthEast","East","SouthEast","South","SouthWest","West","NorthWest","North")</f>
        <v>NorthWest</v>
      </c>
      <c r="AA2207" s="4">
        <f>CHOOSE(MATCH(Z2207,{"South";"SouthEast";"SouthWest";"North";"NorthEast";"East";"West";"NorthWest"},0),1,2,3,4,5,6,7,8)</f>
        <v>8</v>
      </c>
      <c r="AB2207" s="2">
        <f t="shared" si="346"/>
        <v>1</v>
      </c>
      <c r="AC2207">
        <v>1014.6</v>
      </c>
      <c r="AD2207" t="s">
        <v>2849</v>
      </c>
      <c r="AE2207" s="2">
        <f t="shared" si="347"/>
        <v>0</v>
      </c>
      <c r="AF2207" t="s">
        <v>3011</v>
      </c>
      <c r="AG2207" s="2">
        <f t="shared" si="348"/>
        <v>3</v>
      </c>
      <c r="AH2207" s="2">
        <f t="shared" si="349"/>
        <v>0</v>
      </c>
      <c r="AI2207" s="3">
        <v>75.00000000349246</v>
      </c>
      <c r="AJ2207" s="2">
        <v>0</v>
      </c>
      <c r="AK2207">
        <v>0</v>
      </c>
      <c r="AL2207">
        <v>0.3</v>
      </c>
      <c r="AM2207">
        <v>0</v>
      </c>
      <c r="AN2207" s="2">
        <f>IF((2*G2207+M2207-O2207+3*V2207+2*AB2207+2*AE2207+2*AH2207+3*AJ2207)&gt;=7,1,0)</f>
        <v>0</v>
      </c>
    </row>
    <row r="2208" spans="1:40" x14ac:dyDescent="0.25">
      <c r="A2208" t="s">
        <v>27</v>
      </c>
      <c r="B2208" s="1">
        <v>43550</v>
      </c>
      <c r="C2208" s="6">
        <f t="shared" si="340"/>
        <v>2019</v>
      </c>
      <c r="D2208">
        <v>66.2</v>
      </c>
      <c r="E2208">
        <v>48.2</v>
      </c>
      <c r="F2208">
        <v>57.9</v>
      </c>
      <c r="G2208" s="2">
        <f t="shared" si="341"/>
        <v>0</v>
      </c>
      <c r="H2208">
        <v>66.2</v>
      </c>
      <c r="I2208">
        <v>43</v>
      </c>
      <c r="J2208">
        <v>57</v>
      </c>
      <c r="K2208">
        <v>44.2</v>
      </c>
      <c r="L2208">
        <v>61</v>
      </c>
      <c r="M2208" s="2">
        <f t="shared" si="342"/>
        <v>1</v>
      </c>
      <c r="N2208">
        <v>0</v>
      </c>
      <c r="O2208" s="2">
        <f t="shared" si="343"/>
        <v>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24.6</v>
      </c>
      <c r="V2208" s="2">
        <f t="shared" si="344"/>
        <v>1</v>
      </c>
      <c r="W2208">
        <v>21.9</v>
      </c>
      <c r="X2208" s="2">
        <f t="shared" si="345"/>
        <v>1</v>
      </c>
      <c r="Y2208">
        <v>271.8</v>
      </c>
      <c r="Z2208" s="2" t="str">
        <f>CHOOSE(MATCH(Y2208,{0;11;80;111;161;191;241;281;341},1),"North","NorthEast","East","SouthEast","South","SouthWest","West","NorthWest","North")</f>
        <v>West</v>
      </c>
      <c r="AA2208" s="4">
        <f>CHOOSE(MATCH(Z2208,{"South";"SouthEast";"SouthWest";"North";"NorthEast";"East";"West";"NorthWest"},0),1,2,3,4,5,6,7,8)</f>
        <v>7</v>
      </c>
      <c r="AB2208" s="2">
        <f t="shared" si="346"/>
        <v>0</v>
      </c>
      <c r="AC2208">
        <v>1010.3</v>
      </c>
      <c r="AD2208" t="s">
        <v>1085</v>
      </c>
      <c r="AE2208" s="2">
        <f t="shared" si="347"/>
        <v>1</v>
      </c>
      <c r="AF2208" t="s">
        <v>3012</v>
      </c>
      <c r="AG2208" s="2">
        <f t="shared" si="348"/>
        <v>3</v>
      </c>
      <c r="AH2208" s="2">
        <f t="shared" si="349"/>
        <v>0</v>
      </c>
      <c r="AI2208" s="3">
        <v>49.000000002561137</v>
      </c>
      <c r="AJ2208" s="2">
        <v>0</v>
      </c>
      <c r="AK2208">
        <v>0</v>
      </c>
      <c r="AL2208">
        <v>0.4</v>
      </c>
      <c r="AM2208">
        <v>0</v>
      </c>
      <c r="AN2208" s="2">
        <f>IF((2*G2208+M2208-O2208+3*V2208+2*AB2208+2*AE2208+2*AH2208+3*AJ2208)&gt;=7,1,0)</f>
        <v>0</v>
      </c>
    </row>
    <row r="2209" spans="1:40" x14ac:dyDescent="0.25">
      <c r="A2209" t="s">
        <v>27</v>
      </c>
      <c r="B2209" s="1">
        <v>43550</v>
      </c>
      <c r="C2209" s="6">
        <f t="shared" si="340"/>
        <v>2019</v>
      </c>
      <c r="D2209">
        <v>66.2</v>
      </c>
      <c r="E2209">
        <v>48.2</v>
      </c>
      <c r="F2209">
        <v>57.9</v>
      </c>
      <c r="G2209" s="2">
        <f t="shared" si="341"/>
        <v>0</v>
      </c>
      <c r="H2209">
        <v>66.2</v>
      </c>
      <c r="I2209">
        <v>43</v>
      </c>
      <c r="J2209">
        <v>57</v>
      </c>
      <c r="K2209">
        <v>44.2</v>
      </c>
      <c r="L2209">
        <v>61</v>
      </c>
      <c r="M2209" s="2">
        <f t="shared" si="342"/>
        <v>1</v>
      </c>
      <c r="N2209">
        <v>0</v>
      </c>
      <c r="O2209" s="2">
        <f t="shared" si="343"/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24.6</v>
      </c>
      <c r="V2209" s="2">
        <f t="shared" si="344"/>
        <v>1</v>
      </c>
      <c r="W2209">
        <v>21.9</v>
      </c>
      <c r="X2209" s="2">
        <f t="shared" si="345"/>
        <v>1</v>
      </c>
      <c r="Y2209">
        <v>271.8</v>
      </c>
      <c r="Z2209" s="2" t="str">
        <f>CHOOSE(MATCH(Y2209,{0;11;80;111;161;191;241;281;341},1),"North","NorthEast","East","SouthEast","South","SouthWest","West","NorthWest","North")</f>
        <v>West</v>
      </c>
      <c r="AA2209" s="4">
        <f>CHOOSE(MATCH(Z2209,{"South";"SouthEast";"SouthWest";"North";"NorthEast";"East";"West";"NorthWest"},0),1,2,3,4,5,6,7,8)</f>
        <v>7</v>
      </c>
      <c r="AB2209" s="2">
        <f t="shared" si="346"/>
        <v>0</v>
      </c>
      <c r="AC2209">
        <v>1010.3</v>
      </c>
      <c r="AD2209" t="s">
        <v>2078</v>
      </c>
      <c r="AE2209" s="2">
        <f t="shared" si="347"/>
        <v>0</v>
      </c>
      <c r="AF2209" t="s">
        <v>3013</v>
      </c>
      <c r="AG2209" s="2">
        <f t="shared" si="348"/>
        <v>3</v>
      </c>
      <c r="AH2209" s="2">
        <f t="shared" si="349"/>
        <v>0</v>
      </c>
      <c r="AI2209" s="3">
        <v>140.00000000582079</v>
      </c>
      <c r="AJ2209" s="2">
        <v>0</v>
      </c>
      <c r="AK2209">
        <v>0</v>
      </c>
      <c r="AL2209">
        <v>0.15</v>
      </c>
      <c r="AM2209">
        <v>0</v>
      </c>
      <c r="AN2209" s="2">
        <f>IF((2*G2209+M2209-O2209+3*V2209+2*AB2209+2*AE2209+2*AH2209+3*AJ2209)&gt;=7,1,0)</f>
        <v>0</v>
      </c>
    </row>
    <row r="2210" spans="1:40" x14ac:dyDescent="0.25">
      <c r="A2210" t="s">
        <v>27</v>
      </c>
      <c r="B2210" s="1">
        <v>43560</v>
      </c>
      <c r="C2210" s="6">
        <f t="shared" si="340"/>
        <v>2019</v>
      </c>
      <c r="D2210">
        <v>62.6</v>
      </c>
      <c r="E2210">
        <v>51.8</v>
      </c>
      <c r="F2210">
        <v>57.4</v>
      </c>
      <c r="G2210" s="2">
        <f t="shared" si="341"/>
        <v>0</v>
      </c>
      <c r="H2210">
        <v>62.6</v>
      </c>
      <c r="I2210">
        <v>51.8</v>
      </c>
      <c r="J2210">
        <v>57.4</v>
      </c>
      <c r="K2210">
        <v>50.4</v>
      </c>
      <c r="L2210">
        <v>78.3</v>
      </c>
      <c r="M2210" s="2">
        <f t="shared" si="342"/>
        <v>0</v>
      </c>
      <c r="N2210">
        <v>0</v>
      </c>
      <c r="O2210" s="2">
        <f t="shared" si="343"/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28.4</v>
      </c>
      <c r="V2210" s="2">
        <f t="shared" si="344"/>
        <v>1</v>
      </c>
      <c r="W2210">
        <v>21.8</v>
      </c>
      <c r="X2210" s="2">
        <f t="shared" si="345"/>
        <v>1</v>
      </c>
      <c r="Y2210">
        <v>170.9</v>
      </c>
      <c r="Z2210" s="2" t="str">
        <f>CHOOSE(MATCH(Y2210,{0;11;80;111;161;191;241;281;341},1),"North","NorthEast","East","SouthEast","South","SouthWest","West","NorthWest","North")</f>
        <v>South</v>
      </c>
      <c r="AA2210" s="4">
        <f>CHOOSE(MATCH(Z2210,{"South";"SouthEast";"SouthWest";"North";"NorthEast";"East";"West";"NorthWest"},0),1,2,3,4,5,6,7,8)</f>
        <v>1</v>
      </c>
      <c r="AB2210" s="2">
        <f t="shared" si="346"/>
        <v>0</v>
      </c>
      <c r="AC2210">
        <v>1011.8</v>
      </c>
      <c r="AD2210" t="s">
        <v>3014</v>
      </c>
      <c r="AE2210" s="2">
        <f t="shared" si="347"/>
        <v>1</v>
      </c>
      <c r="AF2210" t="s">
        <v>3015</v>
      </c>
      <c r="AG2210" s="2">
        <f t="shared" si="348"/>
        <v>4</v>
      </c>
      <c r="AH2210" s="2">
        <f t="shared" si="349"/>
        <v>0</v>
      </c>
      <c r="AI2210" s="3">
        <v>36.000000002095483</v>
      </c>
      <c r="AJ2210" s="2">
        <v>0</v>
      </c>
      <c r="AK2210">
        <v>0</v>
      </c>
      <c r="AL2210">
        <v>0.01</v>
      </c>
      <c r="AM2210">
        <v>0</v>
      </c>
      <c r="AN2210" s="2">
        <f>IF((2*G2210+M2210-O2210+3*V2210+2*AB2210+2*AE2210+2*AH2210+3*AJ2210)&gt;=7,1,0)</f>
        <v>0</v>
      </c>
    </row>
    <row r="2211" spans="1:40" x14ac:dyDescent="0.25">
      <c r="A2211" t="s">
        <v>27</v>
      </c>
      <c r="B2211" s="1">
        <v>43560</v>
      </c>
      <c r="C2211" s="6">
        <f t="shared" si="340"/>
        <v>2019</v>
      </c>
      <c r="D2211">
        <v>62.6</v>
      </c>
      <c r="E2211">
        <v>51.8</v>
      </c>
      <c r="F2211">
        <v>57.4</v>
      </c>
      <c r="G2211" s="2">
        <f t="shared" si="341"/>
        <v>0</v>
      </c>
      <c r="H2211">
        <v>62.6</v>
      </c>
      <c r="I2211">
        <v>51.8</v>
      </c>
      <c r="J2211">
        <v>57.4</v>
      </c>
      <c r="K2211">
        <v>50.4</v>
      </c>
      <c r="L2211">
        <v>78.3</v>
      </c>
      <c r="M2211" s="2">
        <f t="shared" si="342"/>
        <v>0</v>
      </c>
      <c r="N2211">
        <v>0</v>
      </c>
      <c r="O2211" s="2">
        <f t="shared" si="343"/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28.4</v>
      </c>
      <c r="V2211" s="2">
        <f t="shared" si="344"/>
        <v>1</v>
      </c>
      <c r="W2211">
        <v>21.8</v>
      </c>
      <c r="X2211" s="2">
        <f t="shared" si="345"/>
        <v>1</v>
      </c>
      <c r="Y2211">
        <v>170.9</v>
      </c>
      <c r="Z2211" s="2" t="str">
        <f>CHOOSE(MATCH(Y2211,{0;11;80;111;161;191;241;281;341},1),"North","NorthEast","East","SouthEast","South","SouthWest","West","NorthWest","North")</f>
        <v>South</v>
      </c>
      <c r="AA2211" s="4">
        <f>CHOOSE(MATCH(Z2211,{"South";"SouthEast";"SouthWest";"North";"NorthEast";"East";"West";"NorthWest"},0),1,2,3,4,5,6,7,8)</f>
        <v>1</v>
      </c>
      <c r="AB2211" s="2">
        <f t="shared" si="346"/>
        <v>0</v>
      </c>
      <c r="AC2211">
        <v>1011.8</v>
      </c>
      <c r="AD2211" t="s">
        <v>3016</v>
      </c>
      <c r="AE2211" s="2">
        <f t="shared" si="347"/>
        <v>0</v>
      </c>
      <c r="AF2211" t="s">
        <v>3017</v>
      </c>
      <c r="AG2211" s="2">
        <f t="shared" si="348"/>
        <v>4</v>
      </c>
      <c r="AH2211" s="2">
        <f t="shared" si="349"/>
        <v>0</v>
      </c>
      <c r="AI2211" s="3">
        <v>69.999999997671694</v>
      </c>
      <c r="AJ2211" s="2">
        <v>0</v>
      </c>
      <c r="AK2211">
        <v>0</v>
      </c>
      <c r="AL2211">
        <v>0</v>
      </c>
      <c r="AM2211">
        <v>0.1</v>
      </c>
      <c r="AN2211" s="2">
        <f>IF((2*G2211+M2211-O2211+3*V2211+2*AB2211+2*AE2211+2*AH2211+3*AJ2211)&gt;=7,1,0)</f>
        <v>0</v>
      </c>
    </row>
    <row r="2212" spans="1:40" x14ac:dyDescent="0.25">
      <c r="A2212" t="s">
        <v>27</v>
      </c>
      <c r="B2212" s="1">
        <v>43575</v>
      </c>
      <c r="C2212" s="6">
        <f t="shared" si="340"/>
        <v>2019</v>
      </c>
      <c r="D2212">
        <v>62.6</v>
      </c>
      <c r="E2212">
        <v>55.4</v>
      </c>
      <c r="F2212">
        <v>59.1</v>
      </c>
      <c r="G2212" s="2">
        <f t="shared" si="341"/>
        <v>0</v>
      </c>
      <c r="H2212">
        <v>62.6</v>
      </c>
      <c r="I2212">
        <v>55.4</v>
      </c>
      <c r="J2212">
        <v>59.1</v>
      </c>
      <c r="K2212">
        <v>46.3</v>
      </c>
      <c r="L2212">
        <v>62.7</v>
      </c>
      <c r="M2212" s="2">
        <f t="shared" si="342"/>
        <v>1</v>
      </c>
      <c r="N2212">
        <v>0</v>
      </c>
      <c r="O2212" s="2">
        <f t="shared" si="343"/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30.6</v>
      </c>
      <c r="V2212" s="2">
        <f t="shared" si="344"/>
        <v>1</v>
      </c>
      <c r="W2212">
        <v>20.8</v>
      </c>
      <c r="X2212" s="2">
        <f t="shared" si="345"/>
        <v>1</v>
      </c>
      <c r="Y2212">
        <v>327.60000000000002</v>
      </c>
      <c r="Z2212" s="2" t="str">
        <f>CHOOSE(MATCH(Y2212,{0;11;80;111;161;191;241;281;341},1),"North","NorthEast","East","SouthEast","South","SouthWest","West","NorthWest","North")</f>
        <v>NorthWest</v>
      </c>
      <c r="AA2212" s="4">
        <f>CHOOSE(MATCH(Z2212,{"South";"SouthEast";"SouthWest";"North";"NorthEast";"East";"West";"NorthWest"},0),1,2,3,4,5,6,7,8)</f>
        <v>8</v>
      </c>
      <c r="AB2212" s="2">
        <f t="shared" si="346"/>
        <v>1</v>
      </c>
      <c r="AC2212">
        <v>1021.8</v>
      </c>
      <c r="AD2212" t="s">
        <v>2008</v>
      </c>
      <c r="AE2212" s="2">
        <f t="shared" si="347"/>
        <v>1</v>
      </c>
      <c r="AF2212" t="s">
        <v>3018</v>
      </c>
      <c r="AG2212" s="2">
        <f t="shared" si="348"/>
        <v>4</v>
      </c>
      <c r="AH2212" s="2">
        <f t="shared" si="349"/>
        <v>0</v>
      </c>
      <c r="AI2212" s="3">
        <v>109.9999999918509</v>
      </c>
      <c r="AJ2212" s="2">
        <v>0</v>
      </c>
      <c r="AK2212">
        <v>0</v>
      </c>
      <c r="AL2212">
        <v>0.6</v>
      </c>
      <c r="AM2212">
        <v>0</v>
      </c>
      <c r="AN2212" s="2">
        <f>IF((2*G2212+M2212-O2212+3*V2212+2*AB2212+2*AE2212+2*AH2212+3*AJ2212)&gt;=7,1,0)</f>
        <v>1</v>
      </c>
    </row>
    <row r="2213" spans="1:40" x14ac:dyDescent="0.25">
      <c r="A2213" t="s">
        <v>27</v>
      </c>
      <c r="B2213" s="1">
        <v>43576</v>
      </c>
      <c r="C2213" s="6">
        <f t="shared" si="340"/>
        <v>2019</v>
      </c>
      <c r="D2213">
        <v>60.8</v>
      </c>
      <c r="E2213">
        <v>53.6</v>
      </c>
      <c r="F2213">
        <v>58</v>
      </c>
      <c r="G2213" s="2">
        <f t="shared" si="341"/>
        <v>0</v>
      </c>
      <c r="H2213">
        <v>60.8</v>
      </c>
      <c r="I2213">
        <v>53.6</v>
      </c>
      <c r="J2213">
        <v>58</v>
      </c>
      <c r="K2213">
        <v>41.4</v>
      </c>
      <c r="L2213">
        <v>54.3</v>
      </c>
      <c r="M2213" s="2">
        <f t="shared" si="342"/>
        <v>1</v>
      </c>
      <c r="N2213">
        <v>0</v>
      </c>
      <c r="O2213" s="2">
        <f t="shared" si="343"/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33.6</v>
      </c>
      <c r="V2213" s="2">
        <f t="shared" si="344"/>
        <v>1</v>
      </c>
      <c r="W2213">
        <v>23</v>
      </c>
      <c r="X2213" s="2">
        <f t="shared" si="345"/>
        <v>1</v>
      </c>
      <c r="Y2213">
        <v>337.5</v>
      </c>
      <c r="Z2213" s="2" t="str">
        <f>CHOOSE(MATCH(Y2213,{0;11;80;111;161;191;241;281;341},1),"North","NorthEast","East","SouthEast","South","SouthWest","West","NorthWest","North")</f>
        <v>NorthWest</v>
      </c>
      <c r="AA2213" s="4">
        <f>CHOOSE(MATCH(Z2213,{"South";"SouthEast";"SouthWest";"North";"NorthEast";"East";"West";"NorthWest"},0),1,2,3,4,5,6,7,8)</f>
        <v>8</v>
      </c>
      <c r="AB2213" s="2">
        <f t="shared" si="346"/>
        <v>1</v>
      </c>
      <c r="AC2213">
        <v>1023.1</v>
      </c>
      <c r="AD2213" t="s">
        <v>3019</v>
      </c>
      <c r="AE2213" s="2">
        <f t="shared" si="347"/>
        <v>0</v>
      </c>
      <c r="AF2213" t="s">
        <v>3020</v>
      </c>
      <c r="AG2213" s="2">
        <f t="shared" si="348"/>
        <v>4</v>
      </c>
      <c r="AH2213" s="2">
        <f t="shared" si="349"/>
        <v>0</v>
      </c>
      <c r="AI2213" s="3">
        <v>229.99999999534339</v>
      </c>
      <c r="AJ2213" s="2">
        <v>0</v>
      </c>
      <c r="AK2213">
        <v>0</v>
      </c>
      <c r="AL2213">
        <v>6</v>
      </c>
      <c r="AM2213">
        <v>0</v>
      </c>
      <c r="AN2213" s="2">
        <f>IF((2*G2213+M2213-O2213+3*V2213+2*AB2213+2*AE2213+2*AH2213+3*AJ2213)&gt;=7,1,0)</f>
        <v>0</v>
      </c>
    </row>
    <row r="2214" spans="1:40" x14ac:dyDescent="0.25">
      <c r="A2214" t="s">
        <v>27</v>
      </c>
      <c r="B2214" s="1">
        <v>43576</v>
      </c>
      <c r="C2214" s="6">
        <f t="shared" si="340"/>
        <v>2019</v>
      </c>
      <c r="D2214">
        <v>60.8</v>
      </c>
      <c r="E2214">
        <v>53.6</v>
      </c>
      <c r="F2214">
        <v>58</v>
      </c>
      <c r="G2214" s="2">
        <f t="shared" si="341"/>
        <v>0</v>
      </c>
      <c r="H2214">
        <v>60.8</v>
      </c>
      <c r="I2214">
        <v>53.6</v>
      </c>
      <c r="J2214">
        <v>58</v>
      </c>
      <c r="K2214">
        <v>41.4</v>
      </c>
      <c r="L2214">
        <v>54.3</v>
      </c>
      <c r="M2214" s="2">
        <f t="shared" si="342"/>
        <v>1</v>
      </c>
      <c r="N2214">
        <v>0</v>
      </c>
      <c r="O2214" s="2">
        <f t="shared" si="343"/>
        <v>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33.6</v>
      </c>
      <c r="V2214" s="2">
        <f t="shared" si="344"/>
        <v>1</v>
      </c>
      <c r="W2214">
        <v>23</v>
      </c>
      <c r="X2214" s="2">
        <f t="shared" si="345"/>
        <v>1</v>
      </c>
      <c r="Y2214">
        <v>337.5</v>
      </c>
      <c r="Z2214" s="2" t="str">
        <f>CHOOSE(MATCH(Y2214,{0;11;80;111;161;191;241;281;341},1),"North","NorthEast","East","SouthEast","South","SouthWest","West","NorthWest","North")</f>
        <v>NorthWest</v>
      </c>
      <c r="AA2214" s="4">
        <f>CHOOSE(MATCH(Z2214,{"South";"SouthEast";"SouthWest";"North";"NorthEast";"East";"West";"NorthWest"},0),1,2,3,4,5,6,7,8)</f>
        <v>8</v>
      </c>
      <c r="AB2214" s="2">
        <f t="shared" si="346"/>
        <v>1</v>
      </c>
      <c r="AC2214">
        <v>1023.1</v>
      </c>
      <c r="AD2214" t="s">
        <v>2530</v>
      </c>
      <c r="AE2214" s="2">
        <f t="shared" si="347"/>
        <v>0</v>
      </c>
      <c r="AF2214" t="s">
        <v>3021</v>
      </c>
      <c r="AG2214" s="2">
        <f t="shared" si="348"/>
        <v>4</v>
      </c>
      <c r="AH2214" s="2">
        <f t="shared" si="349"/>
        <v>0</v>
      </c>
      <c r="AI2214" s="3">
        <v>50.000000005820773</v>
      </c>
      <c r="AJ2214" s="2">
        <v>0</v>
      </c>
      <c r="AK2214">
        <v>0</v>
      </c>
      <c r="AL2214">
        <v>0.1</v>
      </c>
      <c r="AM2214">
        <v>0</v>
      </c>
      <c r="AN2214" s="2">
        <f>IF((2*G2214+M2214-O2214+3*V2214+2*AB2214+2*AE2214+2*AH2214+3*AJ2214)&gt;=7,1,0)</f>
        <v>0</v>
      </c>
    </row>
    <row r="2215" spans="1:40" x14ac:dyDescent="0.25">
      <c r="A2215" t="s">
        <v>27</v>
      </c>
      <c r="B2215" s="1">
        <v>43590</v>
      </c>
      <c r="C2215" s="6">
        <f t="shared" si="340"/>
        <v>2019</v>
      </c>
      <c r="D2215">
        <v>78.8</v>
      </c>
      <c r="E2215">
        <v>64.400000000000006</v>
      </c>
      <c r="F2215">
        <v>72.400000000000006</v>
      </c>
      <c r="G2215" s="2">
        <f t="shared" si="341"/>
        <v>1</v>
      </c>
      <c r="H2215">
        <v>78.8</v>
      </c>
      <c r="I2215">
        <v>64.400000000000006</v>
      </c>
      <c r="J2215">
        <v>72.400000000000006</v>
      </c>
      <c r="K2215">
        <v>43.9</v>
      </c>
      <c r="L2215">
        <v>39.200000000000003</v>
      </c>
      <c r="M2215" s="2">
        <f t="shared" si="342"/>
        <v>1</v>
      </c>
      <c r="N2215">
        <v>0</v>
      </c>
      <c r="O2215" s="2">
        <f t="shared" si="343"/>
        <v>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45.1</v>
      </c>
      <c r="V2215" s="2">
        <f t="shared" si="344"/>
        <v>1</v>
      </c>
      <c r="W2215">
        <v>33.299999999999997</v>
      </c>
      <c r="X2215" s="2">
        <f t="shared" si="345"/>
        <v>1</v>
      </c>
      <c r="Y2215">
        <v>170.7</v>
      </c>
      <c r="Z2215" s="2" t="str">
        <f>CHOOSE(MATCH(Y2215,{0;11;80;111;161;191;241;281;341},1),"North","NorthEast","East","SouthEast","South","SouthWest","West","NorthWest","North")</f>
        <v>South</v>
      </c>
      <c r="AA2215" s="4">
        <f>CHOOSE(MATCH(Z2215,{"South";"SouthEast";"SouthWest";"North";"NorthEast";"East";"West";"NorthWest"},0),1,2,3,4,5,6,7,8)</f>
        <v>1</v>
      </c>
      <c r="AB2215" s="2">
        <f t="shared" si="346"/>
        <v>0</v>
      </c>
      <c r="AC2215">
        <v>1006.8</v>
      </c>
      <c r="AD2215" t="s">
        <v>1101</v>
      </c>
      <c r="AE2215" s="2">
        <f t="shared" si="347"/>
        <v>1</v>
      </c>
      <c r="AF2215" t="s">
        <v>3022</v>
      </c>
      <c r="AG2215" s="2">
        <f t="shared" si="348"/>
        <v>5</v>
      </c>
      <c r="AH2215" s="2">
        <f t="shared" si="349"/>
        <v>0</v>
      </c>
      <c r="AI2215" s="3">
        <v>445.00000000465661</v>
      </c>
      <c r="AJ2215" s="2">
        <v>1</v>
      </c>
      <c r="AK2215">
        <v>0</v>
      </c>
      <c r="AL2215">
        <v>1</v>
      </c>
      <c r="AM2215">
        <v>0</v>
      </c>
      <c r="AN2215" s="2">
        <f>IF((2*G2215+M2215-O2215+3*V2215+2*AB2215+2*AE2215+2*AH2215+3*AJ2215)&gt;=7,1,0)</f>
        <v>1</v>
      </c>
    </row>
    <row r="2216" spans="1:40" x14ac:dyDescent="0.25">
      <c r="A2216" t="s">
        <v>27</v>
      </c>
      <c r="B2216" s="1">
        <v>43593</v>
      </c>
      <c r="C2216" s="6">
        <f t="shared" si="340"/>
        <v>2019</v>
      </c>
      <c r="D2216">
        <v>68</v>
      </c>
      <c r="E2216">
        <v>50</v>
      </c>
      <c r="F2216">
        <v>60.9</v>
      </c>
      <c r="G2216" s="2">
        <f t="shared" si="341"/>
        <v>0</v>
      </c>
      <c r="H2216">
        <v>68</v>
      </c>
      <c r="I2216">
        <v>46</v>
      </c>
      <c r="J2216">
        <v>60.7</v>
      </c>
      <c r="K2216">
        <v>53.1</v>
      </c>
      <c r="L2216">
        <v>76</v>
      </c>
      <c r="M2216" s="2">
        <f t="shared" si="342"/>
        <v>0</v>
      </c>
      <c r="N2216">
        <v>0</v>
      </c>
      <c r="O2216" s="2">
        <f t="shared" si="343"/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19.899999999999999</v>
      </c>
      <c r="V2216" s="2">
        <f t="shared" si="344"/>
        <v>1</v>
      </c>
      <c r="W2216">
        <v>16</v>
      </c>
      <c r="X2216" s="2">
        <f t="shared" si="345"/>
        <v>1</v>
      </c>
      <c r="Y2216">
        <v>296</v>
      </c>
      <c r="Z2216" s="2" t="str">
        <f>CHOOSE(MATCH(Y2216,{0;11;80;111;161;191;241;281;341},1),"North","NorthEast","East","SouthEast","South","SouthWest","West","NorthWest","North")</f>
        <v>NorthWest</v>
      </c>
      <c r="AA2216" s="4">
        <f>CHOOSE(MATCH(Z2216,{"South";"SouthEast";"SouthWest";"North";"NorthEast";"East";"West";"NorthWest"},0),1,2,3,4,5,6,7,8)</f>
        <v>8</v>
      </c>
      <c r="AB2216" s="2">
        <f t="shared" si="346"/>
        <v>1</v>
      </c>
      <c r="AC2216">
        <v>1015.4</v>
      </c>
      <c r="AD2216" t="s">
        <v>3023</v>
      </c>
      <c r="AE2216" s="2">
        <f t="shared" si="347"/>
        <v>1</v>
      </c>
      <c r="AF2216" t="s">
        <v>3024</v>
      </c>
      <c r="AG2216" s="2">
        <f t="shared" si="348"/>
        <v>5</v>
      </c>
      <c r="AH2216" s="2">
        <f t="shared" si="349"/>
        <v>0</v>
      </c>
      <c r="AI2216" s="3">
        <v>47.999999999301508</v>
      </c>
      <c r="AJ2216" s="2">
        <v>0</v>
      </c>
      <c r="AK2216">
        <v>0</v>
      </c>
      <c r="AL2216">
        <v>0.02</v>
      </c>
      <c r="AM2216">
        <v>0</v>
      </c>
      <c r="AN2216" s="2">
        <f>IF((2*G2216+M2216-O2216+3*V2216+2*AB2216+2*AE2216+2*AH2216+3*AJ2216)&gt;=7,1,0)</f>
        <v>0</v>
      </c>
    </row>
    <row r="2217" spans="1:40" x14ac:dyDescent="0.25">
      <c r="A2217" t="s">
        <v>27</v>
      </c>
      <c r="B2217" s="1">
        <v>43595</v>
      </c>
      <c r="C2217" s="6">
        <f t="shared" si="340"/>
        <v>2019</v>
      </c>
      <c r="D2217">
        <v>71.599999999999994</v>
      </c>
      <c r="E2217">
        <v>55.4</v>
      </c>
      <c r="F2217">
        <v>64</v>
      </c>
      <c r="G2217" s="2">
        <f t="shared" si="341"/>
        <v>0</v>
      </c>
      <c r="H2217">
        <v>71.599999999999994</v>
      </c>
      <c r="I2217">
        <v>55.4</v>
      </c>
      <c r="J2217">
        <v>64</v>
      </c>
      <c r="K2217">
        <v>57.2</v>
      </c>
      <c r="L2217">
        <v>79.2</v>
      </c>
      <c r="M2217" s="2">
        <f t="shared" si="342"/>
        <v>0</v>
      </c>
      <c r="N2217">
        <v>0</v>
      </c>
      <c r="O2217" s="2">
        <f t="shared" si="343"/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23</v>
      </c>
      <c r="V2217" s="2">
        <f t="shared" si="344"/>
        <v>1</v>
      </c>
      <c r="W2217">
        <v>13.9</v>
      </c>
      <c r="X2217" s="2">
        <f t="shared" si="345"/>
        <v>0</v>
      </c>
      <c r="Y2217">
        <v>106</v>
      </c>
      <c r="Z2217" s="2" t="str">
        <f>CHOOSE(MATCH(Y2217,{0;11;80;111;161;191;241;281;341},1),"North","NorthEast","East","SouthEast","South","SouthWest","West","NorthWest","North")</f>
        <v>East</v>
      </c>
      <c r="AA2217" s="4">
        <f>CHOOSE(MATCH(Z2217,{"South";"SouthEast";"SouthWest";"North";"NorthEast";"East";"West";"NorthWest"},0),1,2,3,4,5,6,7,8)</f>
        <v>6</v>
      </c>
      <c r="AB2217" s="2">
        <f t="shared" si="346"/>
        <v>0</v>
      </c>
      <c r="AC2217">
        <v>1011.2</v>
      </c>
      <c r="AD2217" t="s">
        <v>3025</v>
      </c>
      <c r="AE2217" s="2">
        <f t="shared" si="347"/>
        <v>1</v>
      </c>
      <c r="AF2217" t="s">
        <v>3026</v>
      </c>
      <c r="AG2217" s="2">
        <f t="shared" si="348"/>
        <v>5</v>
      </c>
      <c r="AH2217" s="2">
        <f t="shared" si="349"/>
        <v>0</v>
      </c>
      <c r="AI2217" s="3">
        <v>30.99999999627471</v>
      </c>
      <c r="AJ2217" s="2">
        <v>0</v>
      </c>
      <c r="AK2217">
        <v>0</v>
      </c>
      <c r="AL2217">
        <v>0.02</v>
      </c>
      <c r="AM2217">
        <v>0</v>
      </c>
      <c r="AN2217" s="2">
        <f>IF((2*G2217+M2217-O2217+3*V2217+2*AB2217+2*AE2217+2*AH2217+3*AJ2217)&gt;=7,1,0)</f>
        <v>0</v>
      </c>
    </row>
    <row r="2218" spans="1:40" x14ac:dyDescent="0.25">
      <c r="A2218" t="s">
        <v>27</v>
      </c>
      <c r="B2218" s="1">
        <v>43616</v>
      </c>
      <c r="C2218" s="6">
        <f t="shared" si="340"/>
        <v>2019</v>
      </c>
      <c r="D2218">
        <v>78.8</v>
      </c>
      <c r="E2218">
        <v>62.6</v>
      </c>
      <c r="F2218">
        <v>71.8</v>
      </c>
      <c r="G2218" s="2">
        <f t="shared" si="341"/>
        <v>1</v>
      </c>
      <c r="H2218">
        <v>78.8</v>
      </c>
      <c r="I2218">
        <v>62.6</v>
      </c>
      <c r="J2218">
        <v>71.8</v>
      </c>
      <c r="K2218">
        <v>61.6</v>
      </c>
      <c r="L2218">
        <v>70.599999999999994</v>
      </c>
      <c r="M2218" s="2">
        <f t="shared" si="342"/>
        <v>0</v>
      </c>
      <c r="N2218">
        <v>0</v>
      </c>
      <c r="O2218" s="2">
        <f t="shared" si="343"/>
        <v>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19.899999999999999</v>
      </c>
      <c r="V2218" s="2">
        <f t="shared" si="344"/>
        <v>1</v>
      </c>
      <c r="W2218">
        <v>9.1999999999999993</v>
      </c>
      <c r="X2218" s="2">
        <f t="shared" si="345"/>
        <v>0</v>
      </c>
      <c r="Y2218">
        <v>246.1</v>
      </c>
      <c r="Z2218" s="2" t="str">
        <f>CHOOSE(MATCH(Y2218,{0;11;80;111;161;191;241;281;341},1),"North","NorthEast","East","SouthEast","South","SouthWest","West","NorthWest","North")</f>
        <v>West</v>
      </c>
      <c r="AA2218" s="4">
        <f>CHOOSE(MATCH(Z2218,{"South";"SouthEast";"SouthWest";"North";"NorthEast";"East";"West";"NorthWest"},0),1,2,3,4,5,6,7,8)</f>
        <v>7</v>
      </c>
      <c r="AB2218" s="2">
        <f t="shared" si="346"/>
        <v>0</v>
      </c>
      <c r="AC2218">
        <v>1014.7</v>
      </c>
      <c r="AD2218" t="s">
        <v>1111</v>
      </c>
      <c r="AE2218" s="2">
        <f t="shared" si="347"/>
        <v>1</v>
      </c>
      <c r="AF2218" t="s">
        <v>3027</v>
      </c>
      <c r="AG2218" s="2">
        <f t="shared" si="348"/>
        <v>5</v>
      </c>
      <c r="AH2218" s="2">
        <f t="shared" si="349"/>
        <v>0</v>
      </c>
      <c r="AI2218" s="3">
        <v>55.000000001164153</v>
      </c>
      <c r="AJ2218" s="2">
        <v>0</v>
      </c>
      <c r="AK2218">
        <v>0</v>
      </c>
      <c r="AL2218">
        <v>0.02</v>
      </c>
      <c r="AM2218">
        <v>0</v>
      </c>
      <c r="AN2218" s="2">
        <f>IF((2*G2218+M2218-O2218+3*V2218+2*AB2218+2*AE2218+2*AH2218+3*AJ2218)&gt;=7,1,0)</f>
        <v>0</v>
      </c>
    </row>
    <row r="2219" spans="1:40" x14ac:dyDescent="0.25">
      <c r="A2219" t="s">
        <v>27</v>
      </c>
      <c r="B2219" s="1">
        <v>43624</v>
      </c>
      <c r="C2219" s="6">
        <f t="shared" si="340"/>
        <v>2019</v>
      </c>
      <c r="D2219">
        <v>82.4</v>
      </c>
      <c r="E2219">
        <v>69.8</v>
      </c>
      <c r="F2219">
        <v>77.7</v>
      </c>
      <c r="G2219" s="2">
        <f t="shared" si="341"/>
        <v>1</v>
      </c>
      <c r="H2219">
        <v>84</v>
      </c>
      <c r="I2219">
        <v>69.8</v>
      </c>
      <c r="J2219">
        <v>78.2</v>
      </c>
      <c r="K2219">
        <v>62.5</v>
      </c>
      <c r="L2219">
        <v>60.2</v>
      </c>
      <c r="M2219" s="2">
        <f t="shared" si="342"/>
        <v>1</v>
      </c>
      <c r="N2219">
        <v>0</v>
      </c>
      <c r="O2219" s="2">
        <f t="shared" si="343"/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34.200000000000003</v>
      </c>
      <c r="V2219" s="2">
        <f t="shared" si="344"/>
        <v>1</v>
      </c>
      <c r="W2219">
        <v>19.7</v>
      </c>
      <c r="X2219" s="2">
        <f t="shared" si="345"/>
        <v>1</v>
      </c>
      <c r="Y2219">
        <v>299</v>
      </c>
      <c r="Z2219" s="2" t="str">
        <f>CHOOSE(MATCH(Y2219,{0;11;80;111;161;191;241;281;341},1),"North","NorthEast","East","SouthEast","South","SouthWest","West","NorthWest","North")</f>
        <v>NorthWest</v>
      </c>
      <c r="AA2219" s="4">
        <f>CHOOSE(MATCH(Z2219,{"South";"SouthEast";"SouthWest";"North";"NorthEast";"East";"West";"NorthWest"},0),1,2,3,4,5,6,7,8)</f>
        <v>8</v>
      </c>
      <c r="AB2219" s="2">
        <f t="shared" si="346"/>
        <v>1</v>
      </c>
      <c r="AC2219">
        <v>1015.3</v>
      </c>
      <c r="AD2219" t="s">
        <v>3002</v>
      </c>
      <c r="AE2219" s="2">
        <f t="shared" si="347"/>
        <v>1</v>
      </c>
      <c r="AF2219" t="s">
        <v>3028</v>
      </c>
      <c r="AG2219" s="2">
        <f t="shared" si="348"/>
        <v>6</v>
      </c>
      <c r="AH2219" s="2">
        <f t="shared" si="349"/>
        <v>1</v>
      </c>
      <c r="AI2219" s="3">
        <v>116.00000000093129</v>
      </c>
      <c r="AJ2219" s="2">
        <v>0</v>
      </c>
      <c r="AK2219">
        <v>0</v>
      </c>
      <c r="AL2219">
        <v>0.5</v>
      </c>
      <c r="AM2219">
        <v>0</v>
      </c>
      <c r="AN2219" s="2">
        <f>IF((2*G2219+M2219-O2219+3*V2219+2*AB2219+2*AE2219+2*AH2219+3*AJ2219)&gt;=7,1,0)</f>
        <v>1</v>
      </c>
    </row>
    <row r="2220" spans="1:40" x14ac:dyDescent="0.25">
      <c r="A2220" t="s">
        <v>27</v>
      </c>
      <c r="B2220" s="1">
        <v>43631</v>
      </c>
      <c r="C2220" s="6">
        <f t="shared" si="340"/>
        <v>2019</v>
      </c>
      <c r="D2220">
        <v>82.4</v>
      </c>
      <c r="E2220">
        <v>75.2</v>
      </c>
      <c r="F2220">
        <v>79.7</v>
      </c>
      <c r="G2220" s="2">
        <f t="shared" si="341"/>
        <v>1</v>
      </c>
      <c r="H2220">
        <v>85.4</v>
      </c>
      <c r="I2220">
        <v>75.2</v>
      </c>
      <c r="J2220">
        <v>80.900000000000006</v>
      </c>
      <c r="K2220">
        <v>65.5</v>
      </c>
      <c r="L2220">
        <v>62.2</v>
      </c>
      <c r="M2220" s="2">
        <f t="shared" si="342"/>
        <v>1</v>
      </c>
      <c r="N2220">
        <v>0</v>
      </c>
      <c r="O2220" s="2">
        <f t="shared" si="343"/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37.6</v>
      </c>
      <c r="V2220" s="2">
        <f t="shared" si="344"/>
        <v>1</v>
      </c>
      <c r="W2220">
        <v>19.7</v>
      </c>
      <c r="X2220" s="2">
        <f t="shared" si="345"/>
        <v>1</v>
      </c>
      <c r="Y2220">
        <v>296.7</v>
      </c>
      <c r="Z2220" s="2" t="str">
        <f>CHOOSE(MATCH(Y2220,{0;11;80;111;161;191;241;281;341},1),"North","NorthEast","East","SouthEast","South","SouthWest","West","NorthWest","North")</f>
        <v>NorthWest</v>
      </c>
      <c r="AA2220" s="4">
        <f>CHOOSE(MATCH(Z2220,{"South";"SouthEast";"SouthWest";"North";"NorthEast";"East";"West";"NorthWest"},0),1,2,3,4,5,6,7,8)</f>
        <v>8</v>
      </c>
      <c r="AB2220" s="2">
        <f t="shared" si="346"/>
        <v>1</v>
      </c>
      <c r="AC2220">
        <v>1010</v>
      </c>
      <c r="AD2220" t="s">
        <v>1069</v>
      </c>
      <c r="AE2220" s="2">
        <f t="shared" si="347"/>
        <v>1</v>
      </c>
      <c r="AF2220" t="s">
        <v>3029</v>
      </c>
      <c r="AG2220" s="2">
        <f t="shared" si="348"/>
        <v>6</v>
      </c>
      <c r="AH2220" s="2">
        <f t="shared" si="349"/>
        <v>1</v>
      </c>
      <c r="AI2220" s="3">
        <v>72.999999996973202</v>
      </c>
      <c r="AJ2220" s="2">
        <v>0</v>
      </c>
      <c r="AK2220">
        <v>0</v>
      </c>
      <c r="AL2220">
        <v>0.3</v>
      </c>
      <c r="AM2220">
        <v>0</v>
      </c>
      <c r="AN2220" s="2">
        <f>IF((2*G2220+M2220-O2220+3*V2220+2*AB2220+2*AE2220+2*AH2220+3*AJ2220)&gt;=7,1,0)</f>
        <v>1</v>
      </c>
    </row>
    <row r="2221" spans="1:40" x14ac:dyDescent="0.25">
      <c r="A2221" t="s">
        <v>27</v>
      </c>
      <c r="B2221" s="1">
        <v>43631</v>
      </c>
      <c r="C2221" s="6">
        <f t="shared" si="340"/>
        <v>2019</v>
      </c>
      <c r="D2221">
        <v>82.4</v>
      </c>
      <c r="E2221">
        <v>75.2</v>
      </c>
      <c r="F2221">
        <v>79.7</v>
      </c>
      <c r="G2221" s="2">
        <f t="shared" si="341"/>
        <v>1</v>
      </c>
      <c r="H2221">
        <v>85.4</v>
      </c>
      <c r="I2221">
        <v>75.2</v>
      </c>
      <c r="J2221">
        <v>80.900000000000006</v>
      </c>
      <c r="K2221">
        <v>65.5</v>
      </c>
      <c r="L2221">
        <v>62.2</v>
      </c>
      <c r="M2221" s="2">
        <f t="shared" si="342"/>
        <v>1</v>
      </c>
      <c r="N2221">
        <v>0</v>
      </c>
      <c r="O2221" s="2">
        <f t="shared" si="343"/>
        <v>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37.6</v>
      </c>
      <c r="V2221" s="2">
        <f t="shared" si="344"/>
        <v>1</v>
      </c>
      <c r="W2221">
        <v>19.7</v>
      </c>
      <c r="X2221" s="2">
        <f t="shared" si="345"/>
        <v>1</v>
      </c>
      <c r="Y2221">
        <v>296.7</v>
      </c>
      <c r="Z2221" s="2" t="str">
        <f>CHOOSE(MATCH(Y2221,{0;11;80;111;161;191;241;281;341},1),"North","NorthEast","East","SouthEast","South","SouthWest","West","NorthWest","North")</f>
        <v>NorthWest</v>
      </c>
      <c r="AA2221" s="4">
        <f>CHOOSE(MATCH(Z2221,{"South";"SouthEast";"SouthWest";"North";"NorthEast";"East";"West";"NorthWest"},0),1,2,3,4,5,6,7,8)</f>
        <v>8</v>
      </c>
      <c r="AB2221" s="2">
        <f t="shared" si="346"/>
        <v>1</v>
      </c>
      <c r="AC2221">
        <v>1010</v>
      </c>
      <c r="AD2221" t="s">
        <v>2882</v>
      </c>
      <c r="AE2221" s="2">
        <f t="shared" si="347"/>
        <v>1</v>
      </c>
      <c r="AF2221" t="s">
        <v>3030</v>
      </c>
      <c r="AG2221" s="2">
        <f t="shared" si="348"/>
        <v>6</v>
      </c>
      <c r="AH2221" s="2">
        <f t="shared" si="349"/>
        <v>1</v>
      </c>
      <c r="AI2221" s="3">
        <v>161.00000000093129</v>
      </c>
      <c r="AJ2221" s="2">
        <v>0</v>
      </c>
      <c r="AK2221">
        <v>0</v>
      </c>
      <c r="AL2221">
        <v>6</v>
      </c>
      <c r="AM2221">
        <v>0</v>
      </c>
      <c r="AN2221" s="2">
        <f>IF((2*G2221+M2221-O2221+3*V2221+2*AB2221+2*AE2221+2*AH2221+3*AJ2221)&gt;=7,1,0)</f>
        <v>1</v>
      </c>
    </row>
    <row r="2222" spans="1:40" x14ac:dyDescent="0.25">
      <c r="A2222" t="s">
        <v>27</v>
      </c>
      <c r="B2222" s="1">
        <v>43634</v>
      </c>
      <c r="C2222" s="6">
        <f t="shared" si="340"/>
        <v>2019</v>
      </c>
      <c r="D2222">
        <v>84.2</v>
      </c>
      <c r="E2222">
        <v>69.8</v>
      </c>
      <c r="F2222">
        <v>78.7</v>
      </c>
      <c r="G2222" s="2">
        <f t="shared" si="341"/>
        <v>1</v>
      </c>
      <c r="H2222">
        <v>86.4</v>
      </c>
      <c r="I2222">
        <v>69.8</v>
      </c>
      <c r="J2222">
        <v>79.5</v>
      </c>
      <c r="K2222">
        <v>64.2</v>
      </c>
      <c r="L2222">
        <v>61.9</v>
      </c>
      <c r="M2222" s="2">
        <f t="shared" si="342"/>
        <v>1</v>
      </c>
      <c r="N2222">
        <v>0</v>
      </c>
      <c r="O2222" s="2">
        <f t="shared" si="343"/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30.2</v>
      </c>
      <c r="V2222" s="2">
        <f t="shared" si="344"/>
        <v>1</v>
      </c>
      <c r="W2222">
        <v>17.2</v>
      </c>
      <c r="X2222" s="2">
        <f t="shared" si="345"/>
        <v>1</v>
      </c>
      <c r="Y2222">
        <v>296.39999999999998</v>
      </c>
      <c r="Z2222" s="2" t="str">
        <f>CHOOSE(MATCH(Y2222,{0;11;80;111;161;191;241;281;341},1),"North","NorthEast","East","SouthEast","South","SouthWest","West","NorthWest","North")</f>
        <v>NorthWest</v>
      </c>
      <c r="AA2222" s="4">
        <f>CHOOSE(MATCH(Z2222,{"South";"SouthEast";"SouthWest";"North";"NorthEast";"East";"West";"NorthWest"},0),1,2,3,4,5,6,7,8)</f>
        <v>8</v>
      </c>
      <c r="AB2222" s="2">
        <f t="shared" si="346"/>
        <v>1</v>
      </c>
      <c r="AC2222">
        <v>1011.3</v>
      </c>
      <c r="AD2222" t="s">
        <v>3031</v>
      </c>
      <c r="AE2222" s="2">
        <f t="shared" si="347"/>
        <v>1</v>
      </c>
      <c r="AF2222" t="s">
        <v>3032</v>
      </c>
      <c r="AG2222" s="2">
        <f t="shared" si="348"/>
        <v>6</v>
      </c>
      <c r="AH2222" s="2">
        <f t="shared" si="349"/>
        <v>1</v>
      </c>
      <c r="AI2222" s="3">
        <v>1143.9999999990689</v>
      </c>
      <c r="AJ2222" s="2">
        <v>1</v>
      </c>
      <c r="AK2222">
        <v>0</v>
      </c>
      <c r="AL2222">
        <v>0.1</v>
      </c>
      <c r="AM2222">
        <v>0</v>
      </c>
      <c r="AN2222" s="2">
        <f>IF((2*G2222+M2222-O2222+3*V2222+2*AB2222+2*AE2222+2*AH2222+3*AJ2222)&gt;=7,1,0)</f>
        <v>1</v>
      </c>
    </row>
    <row r="2223" spans="1:40" x14ac:dyDescent="0.25">
      <c r="A2223" t="s">
        <v>27</v>
      </c>
      <c r="B2223" s="1">
        <v>43636</v>
      </c>
      <c r="C2223" s="6">
        <f t="shared" si="340"/>
        <v>2019</v>
      </c>
      <c r="D2223">
        <v>82.4</v>
      </c>
      <c r="E2223">
        <v>68</v>
      </c>
      <c r="F2223">
        <v>77.5</v>
      </c>
      <c r="G2223" s="2">
        <f t="shared" si="341"/>
        <v>1</v>
      </c>
      <c r="H2223">
        <v>87.2</v>
      </c>
      <c r="I2223">
        <v>68</v>
      </c>
      <c r="J2223">
        <v>79.2</v>
      </c>
      <c r="K2223">
        <v>65.3</v>
      </c>
      <c r="L2223">
        <v>66.5</v>
      </c>
      <c r="M2223" s="2">
        <f t="shared" si="342"/>
        <v>0</v>
      </c>
      <c r="N2223">
        <v>0</v>
      </c>
      <c r="O2223" s="2">
        <f t="shared" si="343"/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23.7</v>
      </c>
      <c r="V2223" s="2">
        <f t="shared" si="344"/>
        <v>1</v>
      </c>
      <c r="W2223">
        <v>9.1999999999999993</v>
      </c>
      <c r="X2223" s="2">
        <f t="shared" si="345"/>
        <v>0</v>
      </c>
      <c r="Y2223">
        <v>318.8</v>
      </c>
      <c r="Z2223" s="2" t="str">
        <f>CHOOSE(MATCH(Y2223,{0;11;80;111;161;191;241;281;341},1),"North","NorthEast","East","SouthEast","South","SouthWest","West","NorthWest","North")</f>
        <v>NorthWest</v>
      </c>
      <c r="AA2223" s="4">
        <f>CHOOSE(MATCH(Z2223,{"South";"SouthEast";"SouthWest";"North";"NorthEast";"East";"West";"NorthWest"},0),1,2,3,4,5,6,7,8)</f>
        <v>8</v>
      </c>
      <c r="AB2223" s="2">
        <f t="shared" si="346"/>
        <v>1</v>
      </c>
      <c r="AC2223">
        <v>1010.8</v>
      </c>
      <c r="AD2223" t="s">
        <v>3033</v>
      </c>
      <c r="AE2223" s="2">
        <f t="shared" si="347"/>
        <v>0</v>
      </c>
      <c r="AF2223" t="s">
        <v>3034</v>
      </c>
      <c r="AG2223" s="2">
        <f t="shared" si="348"/>
        <v>6</v>
      </c>
      <c r="AH2223" s="2">
        <f t="shared" si="349"/>
        <v>1</v>
      </c>
      <c r="AI2223" s="3">
        <v>1624.9999999953429</v>
      </c>
      <c r="AJ2223" s="2">
        <v>1</v>
      </c>
      <c r="AK2223">
        <v>0</v>
      </c>
      <c r="AL2223">
        <v>4.5</v>
      </c>
      <c r="AM2223">
        <v>0</v>
      </c>
      <c r="AN2223" s="2">
        <f>IF((2*G2223+M2223-O2223+3*V2223+2*AB2223+2*AE2223+2*AH2223+3*AJ2223)&gt;=7,1,0)</f>
        <v>1</v>
      </c>
    </row>
    <row r="2224" spans="1:40" x14ac:dyDescent="0.25">
      <c r="A2224" t="s">
        <v>27</v>
      </c>
      <c r="B2224" s="1">
        <v>43644</v>
      </c>
      <c r="C2224" s="6">
        <f t="shared" si="340"/>
        <v>2019</v>
      </c>
      <c r="D2224">
        <v>86</v>
      </c>
      <c r="E2224">
        <v>78.8</v>
      </c>
      <c r="F2224">
        <v>82.5</v>
      </c>
      <c r="G2224" s="2">
        <f t="shared" si="341"/>
        <v>1</v>
      </c>
      <c r="H2224">
        <v>88.4</v>
      </c>
      <c r="I2224">
        <v>78.8</v>
      </c>
      <c r="J2224">
        <v>84</v>
      </c>
      <c r="K2224">
        <v>66</v>
      </c>
      <c r="L2224">
        <v>58</v>
      </c>
      <c r="M2224" s="2">
        <f t="shared" si="342"/>
        <v>1</v>
      </c>
      <c r="N2224">
        <v>0</v>
      </c>
      <c r="O2224" s="2">
        <f t="shared" si="343"/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33.6</v>
      </c>
      <c r="V2224" s="2">
        <f t="shared" si="344"/>
        <v>1</v>
      </c>
      <c r="W2224">
        <v>19.7</v>
      </c>
      <c r="X2224" s="2">
        <f t="shared" si="345"/>
        <v>1</v>
      </c>
      <c r="Y2224">
        <v>293.5</v>
      </c>
      <c r="Z2224" s="2" t="str">
        <f>CHOOSE(MATCH(Y2224,{0;11;80;111;161;191;241;281;341},1),"North","NorthEast","East","SouthEast","South","SouthWest","West","NorthWest","North")</f>
        <v>NorthWest</v>
      </c>
      <c r="AA2224" s="4">
        <f>CHOOSE(MATCH(Z2224,{"South";"SouthEast";"SouthWest";"North";"NorthEast";"East";"West";"NorthWest"},0),1,2,3,4,5,6,7,8)</f>
        <v>8</v>
      </c>
      <c r="AB2224" s="2">
        <f t="shared" si="346"/>
        <v>1</v>
      </c>
      <c r="AC2224">
        <v>1008.2</v>
      </c>
      <c r="AD2224" t="s">
        <v>3035</v>
      </c>
      <c r="AE2224" s="2">
        <f t="shared" si="347"/>
        <v>1</v>
      </c>
      <c r="AF2224" t="s">
        <v>3036</v>
      </c>
      <c r="AG2224" s="2">
        <f t="shared" si="348"/>
        <v>6</v>
      </c>
      <c r="AH2224" s="2">
        <f t="shared" si="349"/>
        <v>1</v>
      </c>
      <c r="AI2224" s="3">
        <v>95.000000005820766</v>
      </c>
      <c r="AJ2224" s="2">
        <v>0</v>
      </c>
      <c r="AK2224">
        <v>0</v>
      </c>
      <c r="AL2224">
        <v>0.2</v>
      </c>
      <c r="AM2224">
        <v>0</v>
      </c>
      <c r="AN2224" s="2">
        <f>IF((2*G2224+M2224-O2224+3*V2224+2*AB2224+2*AE2224+2*AH2224+3*AJ2224)&gt;=7,1,0)</f>
        <v>1</v>
      </c>
    </row>
    <row r="2225" spans="1:40" x14ac:dyDescent="0.25">
      <c r="A2225" t="s">
        <v>27</v>
      </c>
      <c r="B2225" s="1">
        <v>43653</v>
      </c>
      <c r="C2225" s="6">
        <f t="shared" si="340"/>
        <v>2019</v>
      </c>
      <c r="D2225">
        <v>86</v>
      </c>
      <c r="E2225">
        <v>78.8</v>
      </c>
      <c r="F2225">
        <v>82.6</v>
      </c>
      <c r="G2225" s="2">
        <f t="shared" si="341"/>
        <v>1</v>
      </c>
      <c r="H2225">
        <v>89.4</v>
      </c>
      <c r="I2225">
        <v>78.8</v>
      </c>
      <c r="J2225">
        <v>84.4</v>
      </c>
      <c r="K2225">
        <v>66</v>
      </c>
      <c r="L2225">
        <v>57.7</v>
      </c>
      <c r="M2225" s="2">
        <f t="shared" si="342"/>
        <v>1</v>
      </c>
      <c r="N2225">
        <v>0</v>
      </c>
      <c r="O2225" s="2">
        <f t="shared" si="343"/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32.9</v>
      </c>
      <c r="V2225" s="2">
        <f t="shared" si="344"/>
        <v>1</v>
      </c>
      <c r="W2225">
        <v>19.7</v>
      </c>
      <c r="X2225" s="2">
        <f t="shared" si="345"/>
        <v>1</v>
      </c>
      <c r="Y2225">
        <v>302.10000000000002</v>
      </c>
      <c r="Z2225" s="2" t="str">
        <f>CHOOSE(MATCH(Y2225,{0;11;80;111;161;191;241;281;341},1),"North","NorthEast","East","SouthEast","South","SouthWest","West","NorthWest","North")</f>
        <v>NorthWest</v>
      </c>
      <c r="AA2225" s="4">
        <f>CHOOSE(MATCH(Z2225,{"South";"SouthEast";"SouthWest";"North";"NorthEast";"East";"West";"NorthWest"},0),1,2,3,4,5,6,7,8)</f>
        <v>8</v>
      </c>
      <c r="AB2225" s="2">
        <f t="shared" si="346"/>
        <v>1</v>
      </c>
      <c r="AC2225">
        <v>1009.3</v>
      </c>
      <c r="AD2225" t="s">
        <v>1201</v>
      </c>
      <c r="AE2225" s="2">
        <f t="shared" si="347"/>
        <v>1</v>
      </c>
      <c r="AF2225" t="s">
        <v>3037</v>
      </c>
      <c r="AG2225" s="2">
        <f t="shared" si="348"/>
        <v>7</v>
      </c>
      <c r="AH2225" s="2">
        <f t="shared" si="349"/>
        <v>1</v>
      </c>
      <c r="AI2225" s="3">
        <v>2373.000000002794</v>
      </c>
      <c r="AJ2225" s="2">
        <v>1</v>
      </c>
      <c r="AK2225">
        <v>0</v>
      </c>
      <c r="AL2225">
        <v>110</v>
      </c>
      <c r="AM2225">
        <v>0</v>
      </c>
      <c r="AN2225" s="2">
        <f>IF((2*G2225+M2225-O2225+3*V2225+2*AB2225+2*AE2225+2*AH2225+3*AJ2225)&gt;=7,1,0)</f>
        <v>1</v>
      </c>
    </row>
    <row r="2226" spans="1:40" x14ac:dyDescent="0.25">
      <c r="A2226" t="s">
        <v>27</v>
      </c>
      <c r="B2226" s="1">
        <v>43656</v>
      </c>
      <c r="C2226" s="6">
        <f t="shared" si="340"/>
        <v>2019</v>
      </c>
      <c r="D2226">
        <v>87.8</v>
      </c>
      <c r="E2226">
        <v>73.400000000000006</v>
      </c>
      <c r="F2226">
        <v>82.4</v>
      </c>
      <c r="G2226" s="2">
        <f t="shared" si="341"/>
        <v>1</v>
      </c>
      <c r="H2226">
        <v>97.8</v>
      </c>
      <c r="I2226">
        <v>73.400000000000006</v>
      </c>
      <c r="J2226">
        <v>86.3</v>
      </c>
      <c r="K2226">
        <v>69</v>
      </c>
      <c r="L2226">
        <v>64.7</v>
      </c>
      <c r="M2226" s="2">
        <f t="shared" si="342"/>
        <v>1</v>
      </c>
      <c r="N2226">
        <v>0</v>
      </c>
      <c r="O2226" s="2">
        <f t="shared" si="343"/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26.2</v>
      </c>
      <c r="V2226" s="2">
        <f t="shared" si="344"/>
        <v>1</v>
      </c>
      <c r="W2226">
        <v>14.9</v>
      </c>
      <c r="X2226" s="2">
        <f t="shared" si="345"/>
        <v>0</v>
      </c>
      <c r="Y2226">
        <v>271.39999999999998</v>
      </c>
      <c r="Z2226" s="2" t="str">
        <f>CHOOSE(MATCH(Y2226,{0;11;80;111;161;191;241;281;341},1),"North","NorthEast","East","SouthEast","South","SouthWest","West","NorthWest","North")</f>
        <v>West</v>
      </c>
      <c r="AA2226" s="4">
        <f>CHOOSE(MATCH(Z2226,{"South";"SouthEast";"SouthWest";"North";"NorthEast";"East";"West";"NorthWest"},0),1,2,3,4,5,6,7,8)</f>
        <v>7</v>
      </c>
      <c r="AB2226" s="2">
        <f t="shared" si="346"/>
        <v>0</v>
      </c>
      <c r="AC2226">
        <v>1008.3</v>
      </c>
      <c r="AD2226" t="s">
        <v>3038</v>
      </c>
      <c r="AE2226" s="2">
        <f t="shared" si="347"/>
        <v>1</v>
      </c>
      <c r="AF2226" t="s">
        <v>3039</v>
      </c>
      <c r="AG2226" s="2">
        <f t="shared" si="348"/>
        <v>7</v>
      </c>
      <c r="AH2226" s="2">
        <f t="shared" si="349"/>
        <v>1</v>
      </c>
      <c r="AI2226" s="3">
        <v>3764.9999999930151</v>
      </c>
      <c r="AJ2226" s="2">
        <v>1</v>
      </c>
      <c r="AK2226">
        <v>0</v>
      </c>
      <c r="AL2226">
        <v>1000</v>
      </c>
      <c r="AM2226">
        <v>0</v>
      </c>
      <c r="AN2226" s="2">
        <f>IF((2*G2226+M2226-O2226+3*V2226+2*AB2226+2*AE2226+2*AH2226+3*AJ2226)&gt;=7,1,0)</f>
        <v>1</v>
      </c>
    </row>
    <row r="2227" spans="1:40" x14ac:dyDescent="0.25">
      <c r="A2227" t="s">
        <v>27</v>
      </c>
      <c r="B2227" s="1">
        <v>43656</v>
      </c>
      <c r="C2227" s="6">
        <f t="shared" si="340"/>
        <v>2019</v>
      </c>
      <c r="D2227">
        <v>87.8</v>
      </c>
      <c r="E2227">
        <v>73.400000000000006</v>
      </c>
      <c r="F2227">
        <v>82.4</v>
      </c>
      <c r="G2227" s="2">
        <f t="shared" si="341"/>
        <v>1</v>
      </c>
      <c r="H2227">
        <v>97.8</v>
      </c>
      <c r="I2227">
        <v>73.400000000000006</v>
      </c>
      <c r="J2227">
        <v>86.3</v>
      </c>
      <c r="K2227">
        <v>69</v>
      </c>
      <c r="L2227">
        <v>64.7</v>
      </c>
      <c r="M2227" s="2">
        <f t="shared" si="342"/>
        <v>1</v>
      </c>
      <c r="N2227">
        <v>0</v>
      </c>
      <c r="O2227" s="2">
        <f t="shared" si="343"/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26.2</v>
      </c>
      <c r="V2227" s="2">
        <f t="shared" si="344"/>
        <v>1</v>
      </c>
      <c r="W2227">
        <v>14.9</v>
      </c>
      <c r="X2227" s="2">
        <f t="shared" si="345"/>
        <v>0</v>
      </c>
      <c r="Y2227">
        <v>271.39999999999998</v>
      </c>
      <c r="Z2227" s="2" t="str">
        <f>CHOOSE(MATCH(Y2227,{0;11;80;111;161;191;241;281;341},1),"North","NorthEast","East","SouthEast","South","SouthWest","West","NorthWest","North")</f>
        <v>West</v>
      </c>
      <c r="AA2227" s="4">
        <f>CHOOSE(MATCH(Z2227,{"South";"SouthEast";"SouthWest";"North";"NorthEast";"East";"West";"NorthWest"},0),1,2,3,4,5,6,7,8)</f>
        <v>7</v>
      </c>
      <c r="AB2227" s="2">
        <f t="shared" si="346"/>
        <v>0</v>
      </c>
      <c r="AC2227">
        <v>1008.3</v>
      </c>
      <c r="AD2227" t="s">
        <v>3040</v>
      </c>
      <c r="AE2227" s="2">
        <f t="shared" si="347"/>
        <v>1</v>
      </c>
      <c r="AF2227" t="s">
        <v>3041</v>
      </c>
      <c r="AG2227" s="2">
        <f t="shared" si="348"/>
        <v>7</v>
      </c>
      <c r="AH2227" s="2">
        <f t="shared" si="349"/>
        <v>1</v>
      </c>
      <c r="AI2227" s="3">
        <v>654.99999999767169</v>
      </c>
      <c r="AJ2227" s="2">
        <v>1</v>
      </c>
      <c r="AK2227">
        <v>0</v>
      </c>
      <c r="AL2227">
        <v>5</v>
      </c>
      <c r="AM2227">
        <v>0</v>
      </c>
      <c r="AN2227" s="2">
        <f>IF((2*G2227+M2227-O2227+3*V2227+2*AB2227+2*AE2227+2*AH2227+3*AJ2227)&gt;=7,1,0)</f>
        <v>1</v>
      </c>
    </row>
    <row r="2228" spans="1:40" x14ac:dyDescent="0.25">
      <c r="A2228" t="s">
        <v>27</v>
      </c>
      <c r="B2228" s="1">
        <v>43657</v>
      </c>
      <c r="C2228" s="6">
        <f t="shared" si="340"/>
        <v>2019</v>
      </c>
      <c r="D2228">
        <v>91.4</v>
      </c>
      <c r="E2228">
        <v>77</v>
      </c>
      <c r="F2228">
        <v>84.1</v>
      </c>
      <c r="G2228" s="2">
        <f t="shared" si="341"/>
        <v>1</v>
      </c>
      <c r="H2228">
        <v>95.9</v>
      </c>
      <c r="I2228">
        <v>77</v>
      </c>
      <c r="J2228">
        <v>85.9</v>
      </c>
      <c r="K2228">
        <v>64.2</v>
      </c>
      <c r="L2228">
        <v>53</v>
      </c>
      <c r="M2228" s="2">
        <f t="shared" si="342"/>
        <v>1</v>
      </c>
      <c r="N2228">
        <v>0</v>
      </c>
      <c r="O2228" s="2">
        <f t="shared" si="343"/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36.5</v>
      </c>
      <c r="V2228" s="2">
        <f t="shared" si="344"/>
        <v>1</v>
      </c>
      <c r="W2228">
        <v>26.3</v>
      </c>
      <c r="X2228" s="2">
        <f t="shared" si="345"/>
        <v>1</v>
      </c>
      <c r="Y2228">
        <v>300.2</v>
      </c>
      <c r="Z2228" s="2" t="str">
        <f>CHOOSE(MATCH(Y2228,{0;11;80;111;161;191;241;281;341},1),"North","NorthEast","East","SouthEast","South","SouthWest","West","NorthWest","North")</f>
        <v>NorthWest</v>
      </c>
      <c r="AA2228" s="4">
        <f>CHOOSE(MATCH(Z2228,{"South";"SouthEast";"SouthWest";"North";"NorthEast";"East";"West";"NorthWest"},0),1,2,3,4,5,6,7,8)</f>
        <v>8</v>
      </c>
      <c r="AB2228" s="2">
        <f t="shared" si="346"/>
        <v>1</v>
      </c>
      <c r="AC2228">
        <v>1005.6</v>
      </c>
      <c r="AD2228" t="s">
        <v>1243</v>
      </c>
      <c r="AE2228" s="2">
        <f t="shared" si="347"/>
        <v>1</v>
      </c>
      <c r="AF2228" t="s">
        <v>3042</v>
      </c>
      <c r="AG2228" s="2">
        <f t="shared" si="348"/>
        <v>7</v>
      </c>
      <c r="AH2228" s="2">
        <f t="shared" si="349"/>
        <v>1</v>
      </c>
      <c r="AI2228" s="3">
        <v>149.99999999650751</v>
      </c>
      <c r="AJ2228" s="2">
        <v>0</v>
      </c>
      <c r="AK2228">
        <v>0</v>
      </c>
      <c r="AL2228">
        <v>0.2</v>
      </c>
      <c r="AM2228">
        <v>0</v>
      </c>
      <c r="AN2228" s="2">
        <f>IF((2*G2228+M2228-O2228+3*V2228+2*AB2228+2*AE2228+2*AH2228+3*AJ2228)&gt;=7,1,0)</f>
        <v>1</v>
      </c>
    </row>
    <row r="2229" spans="1:40" x14ac:dyDescent="0.25">
      <c r="A2229" t="s">
        <v>27</v>
      </c>
      <c r="B2229" s="1">
        <v>43661</v>
      </c>
      <c r="C2229" s="6">
        <f t="shared" si="340"/>
        <v>2019</v>
      </c>
      <c r="D2229">
        <v>82.4</v>
      </c>
      <c r="E2229">
        <v>75.2</v>
      </c>
      <c r="F2229">
        <v>78.599999999999994</v>
      </c>
      <c r="G2229" s="2">
        <f t="shared" si="341"/>
        <v>1</v>
      </c>
      <c r="H2229">
        <v>84.7</v>
      </c>
      <c r="I2229">
        <v>75.2</v>
      </c>
      <c r="J2229">
        <v>79.5</v>
      </c>
      <c r="K2229">
        <v>67.599999999999994</v>
      </c>
      <c r="L2229">
        <v>69.099999999999994</v>
      </c>
      <c r="M2229" s="2">
        <f t="shared" si="342"/>
        <v>0</v>
      </c>
      <c r="N2229">
        <v>0</v>
      </c>
      <c r="O2229" s="2">
        <f t="shared" si="343"/>
        <v>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18.3</v>
      </c>
      <c r="V2229" s="2">
        <f t="shared" si="344"/>
        <v>1</v>
      </c>
      <c r="W2229">
        <v>11.4</v>
      </c>
      <c r="X2229" s="2">
        <f t="shared" si="345"/>
        <v>0</v>
      </c>
      <c r="Y2229">
        <v>20</v>
      </c>
      <c r="Z2229" s="2" t="str">
        <f>CHOOSE(MATCH(Y2229,{0;11;80;111;161;191;241;281;341},1),"North","NorthEast","East","SouthEast","South","SouthWest","West","NorthWest","North")</f>
        <v>NorthEast</v>
      </c>
      <c r="AA2229" s="4">
        <f>CHOOSE(MATCH(Z2229,{"South";"SouthEast";"SouthWest";"North";"NorthEast";"East";"West";"NorthWest"},0),1,2,3,4,5,6,7,8)</f>
        <v>5</v>
      </c>
      <c r="AB2229" s="2">
        <f t="shared" si="346"/>
        <v>1</v>
      </c>
      <c r="AC2229">
        <v>1007.2</v>
      </c>
      <c r="AD2229" t="s">
        <v>1781</v>
      </c>
      <c r="AE2229" s="2">
        <f t="shared" si="347"/>
        <v>1</v>
      </c>
      <c r="AF2229" t="s">
        <v>3043</v>
      </c>
      <c r="AG2229" s="2">
        <f t="shared" si="348"/>
        <v>7</v>
      </c>
      <c r="AH2229" s="2">
        <f t="shared" si="349"/>
        <v>1</v>
      </c>
      <c r="AI2229" s="3">
        <v>299.99999999301508</v>
      </c>
      <c r="AJ2229" s="2">
        <v>0</v>
      </c>
      <c r="AK2229">
        <v>0</v>
      </c>
      <c r="AL2229">
        <v>15</v>
      </c>
      <c r="AM2229">
        <v>0</v>
      </c>
      <c r="AN2229" s="2">
        <f>IF((2*G2229+M2229-O2229+3*V2229+2*AB2229+2*AE2229+2*AH2229+3*AJ2229)&gt;=7,1,0)</f>
        <v>1</v>
      </c>
    </row>
    <row r="2230" spans="1:40" x14ac:dyDescent="0.25">
      <c r="A2230" t="s">
        <v>27</v>
      </c>
      <c r="B2230" s="1">
        <v>43669</v>
      </c>
      <c r="C2230" s="6">
        <f t="shared" si="340"/>
        <v>2019</v>
      </c>
      <c r="D2230">
        <v>84.2</v>
      </c>
      <c r="E2230">
        <v>77</v>
      </c>
      <c r="F2230">
        <v>80.8</v>
      </c>
      <c r="G2230" s="2">
        <f t="shared" si="341"/>
        <v>1</v>
      </c>
      <c r="H2230">
        <v>85.7</v>
      </c>
      <c r="I2230">
        <v>77</v>
      </c>
      <c r="J2230">
        <v>81.8</v>
      </c>
      <c r="K2230">
        <v>61.2</v>
      </c>
      <c r="L2230">
        <v>53.3</v>
      </c>
      <c r="M2230" s="2">
        <f t="shared" si="342"/>
        <v>1</v>
      </c>
      <c r="N2230">
        <v>0</v>
      </c>
      <c r="O2230" s="2">
        <f t="shared" si="343"/>
        <v>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26.4</v>
      </c>
      <c r="V2230" s="2">
        <f t="shared" si="344"/>
        <v>1</v>
      </c>
      <c r="W2230">
        <v>19.7</v>
      </c>
      <c r="X2230" s="2">
        <f t="shared" si="345"/>
        <v>1</v>
      </c>
      <c r="Y2230">
        <v>295</v>
      </c>
      <c r="Z2230" s="2" t="str">
        <f>CHOOSE(MATCH(Y2230,{0;11;80;111;161;191;241;281;341},1),"North","NorthEast","East","SouthEast","South","SouthWest","West","NorthWest","North")</f>
        <v>NorthWest</v>
      </c>
      <c r="AA2230" s="4">
        <f>CHOOSE(MATCH(Z2230,{"South";"SouthEast";"SouthWest";"North";"NorthEast";"East";"West";"NorthWest"},0),1,2,3,4,5,6,7,8)</f>
        <v>8</v>
      </c>
      <c r="AB2230" s="2">
        <f t="shared" si="346"/>
        <v>1</v>
      </c>
      <c r="AC2230">
        <v>1009.7</v>
      </c>
      <c r="AD2230" t="s">
        <v>2274</v>
      </c>
      <c r="AE2230" s="2">
        <f t="shared" si="347"/>
        <v>1</v>
      </c>
      <c r="AF2230" t="s">
        <v>3044</v>
      </c>
      <c r="AG2230" s="2">
        <f t="shared" si="348"/>
        <v>7</v>
      </c>
      <c r="AH2230" s="2">
        <f t="shared" si="349"/>
        <v>1</v>
      </c>
      <c r="AI2230" s="3">
        <v>1209.000000001397</v>
      </c>
      <c r="AJ2230" s="2">
        <v>1</v>
      </c>
      <c r="AK2230">
        <v>0</v>
      </c>
      <c r="AL2230">
        <v>0.5</v>
      </c>
      <c r="AM2230">
        <v>0</v>
      </c>
      <c r="AN2230" s="2">
        <f>IF((2*G2230+M2230-O2230+3*V2230+2*AB2230+2*AE2230+2*AH2230+3*AJ2230)&gt;=7,1,0)</f>
        <v>1</v>
      </c>
    </row>
    <row r="2231" spans="1:40" x14ac:dyDescent="0.25">
      <c r="A2231" t="s">
        <v>27</v>
      </c>
      <c r="B2231" s="1">
        <v>43683</v>
      </c>
      <c r="C2231" s="6">
        <f t="shared" si="340"/>
        <v>2019</v>
      </c>
      <c r="D2231">
        <v>84.2</v>
      </c>
      <c r="E2231">
        <v>77</v>
      </c>
      <c r="F2231">
        <v>80.099999999999994</v>
      </c>
      <c r="G2231" s="2">
        <f t="shared" si="341"/>
        <v>1</v>
      </c>
      <c r="H2231">
        <v>83.9</v>
      </c>
      <c r="I2231">
        <v>77</v>
      </c>
      <c r="J2231">
        <v>80.2</v>
      </c>
      <c r="K2231">
        <v>60.8</v>
      </c>
      <c r="L2231">
        <v>52.3</v>
      </c>
      <c r="M2231" s="2">
        <f t="shared" si="342"/>
        <v>1</v>
      </c>
      <c r="N2231">
        <v>0</v>
      </c>
      <c r="O2231" s="2">
        <f t="shared" si="343"/>
        <v>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40.700000000000003</v>
      </c>
      <c r="V2231" s="2">
        <f t="shared" si="344"/>
        <v>1</v>
      </c>
      <c r="W2231">
        <v>24.1</v>
      </c>
      <c r="X2231" s="2">
        <f t="shared" si="345"/>
        <v>1</v>
      </c>
      <c r="Y2231">
        <v>315.39999999999998</v>
      </c>
      <c r="Z2231" s="2" t="str">
        <f>CHOOSE(MATCH(Y2231,{0;11;80;111;161;191;241;281;341},1),"North","NorthEast","East","SouthEast","South","SouthWest","West","NorthWest","North")</f>
        <v>NorthWest</v>
      </c>
      <c r="AA2231" s="4">
        <f>CHOOSE(MATCH(Z2231,{"South";"SouthEast";"SouthWest";"North";"NorthEast";"East";"West";"NorthWest"},0),1,2,3,4,5,6,7,8)</f>
        <v>8</v>
      </c>
      <c r="AB2231" s="2">
        <f t="shared" si="346"/>
        <v>1</v>
      </c>
      <c r="AC2231">
        <v>1011.9</v>
      </c>
      <c r="AD2231" t="s">
        <v>3045</v>
      </c>
      <c r="AE2231" s="2">
        <f t="shared" si="347"/>
        <v>1</v>
      </c>
      <c r="AF2231" t="s">
        <v>3046</v>
      </c>
      <c r="AG2231" s="2">
        <f t="shared" si="348"/>
        <v>8</v>
      </c>
      <c r="AH2231" s="2">
        <f t="shared" si="349"/>
        <v>1</v>
      </c>
      <c r="AI2231" s="3">
        <v>618.00000000279397</v>
      </c>
      <c r="AJ2231" s="2">
        <v>1</v>
      </c>
      <c r="AK2231">
        <v>0</v>
      </c>
      <c r="AL2231">
        <v>0.3</v>
      </c>
      <c r="AM2231">
        <v>0</v>
      </c>
      <c r="AN2231" s="2">
        <f>IF((2*G2231+M2231-O2231+3*V2231+2*AB2231+2*AE2231+2*AH2231+3*AJ2231)&gt;=7,1,0)</f>
        <v>1</v>
      </c>
    </row>
    <row r="2232" spans="1:40" x14ac:dyDescent="0.25">
      <c r="A2232" t="s">
        <v>27</v>
      </c>
      <c r="B2232" s="1">
        <v>43683</v>
      </c>
      <c r="C2232" s="6">
        <f t="shared" si="340"/>
        <v>2019</v>
      </c>
      <c r="D2232">
        <v>84.2</v>
      </c>
      <c r="E2232">
        <v>77</v>
      </c>
      <c r="F2232">
        <v>80.099999999999994</v>
      </c>
      <c r="G2232" s="2">
        <f t="shared" si="341"/>
        <v>1</v>
      </c>
      <c r="H2232">
        <v>83.9</v>
      </c>
      <c r="I2232">
        <v>77</v>
      </c>
      <c r="J2232">
        <v>80.2</v>
      </c>
      <c r="K2232">
        <v>60.8</v>
      </c>
      <c r="L2232">
        <v>52.3</v>
      </c>
      <c r="M2232" s="2">
        <f t="shared" si="342"/>
        <v>1</v>
      </c>
      <c r="N2232">
        <v>0</v>
      </c>
      <c r="O2232" s="2">
        <f t="shared" si="343"/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40.700000000000003</v>
      </c>
      <c r="V2232" s="2">
        <f t="shared" si="344"/>
        <v>1</v>
      </c>
      <c r="W2232">
        <v>24.1</v>
      </c>
      <c r="X2232" s="2">
        <f t="shared" si="345"/>
        <v>1</v>
      </c>
      <c r="Y2232">
        <v>315.39999999999998</v>
      </c>
      <c r="Z2232" s="2" t="str">
        <f>CHOOSE(MATCH(Y2232,{0;11;80;111;161;191;241;281;341},1),"North","NorthEast","East","SouthEast","South","SouthWest","West","NorthWest","North")</f>
        <v>NorthWest</v>
      </c>
      <c r="AA2232" s="4">
        <f>CHOOSE(MATCH(Z2232,{"South";"SouthEast";"SouthWest";"North";"NorthEast";"East";"West";"NorthWest"},0),1,2,3,4,5,6,7,8)</f>
        <v>8</v>
      </c>
      <c r="AB2232" s="2">
        <f t="shared" si="346"/>
        <v>1</v>
      </c>
      <c r="AC2232">
        <v>1011.9</v>
      </c>
      <c r="AD2232" t="s">
        <v>3047</v>
      </c>
      <c r="AE2232" s="2">
        <f t="shared" si="347"/>
        <v>1</v>
      </c>
      <c r="AF2232" t="s">
        <v>3048</v>
      </c>
      <c r="AG2232" s="2">
        <f t="shared" si="348"/>
        <v>8</v>
      </c>
      <c r="AH2232" s="2">
        <f t="shared" si="349"/>
        <v>1</v>
      </c>
      <c r="AI2232" s="3">
        <v>4306.9999999995343</v>
      </c>
      <c r="AJ2232" s="2">
        <v>1</v>
      </c>
      <c r="AK2232">
        <v>3</v>
      </c>
      <c r="AL2232">
        <v>0</v>
      </c>
      <c r="AM2232">
        <v>0</v>
      </c>
      <c r="AN2232" s="2">
        <f>IF((2*G2232+M2232-O2232+3*V2232+2*AB2232+2*AE2232+2*AH2232+3*AJ2232)&gt;=7,1,0)</f>
        <v>1</v>
      </c>
    </row>
    <row r="2233" spans="1:40" x14ac:dyDescent="0.25">
      <c r="A2233" t="s">
        <v>27</v>
      </c>
      <c r="B2233" s="1">
        <v>43683</v>
      </c>
      <c r="C2233" s="6">
        <f t="shared" si="340"/>
        <v>2019</v>
      </c>
      <c r="D2233">
        <v>84.2</v>
      </c>
      <c r="E2233">
        <v>77</v>
      </c>
      <c r="F2233">
        <v>80.099999999999994</v>
      </c>
      <c r="G2233" s="2">
        <f t="shared" si="341"/>
        <v>1</v>
      </c>
      <c r="H2233">
        <v>83.9</v>
      </c>
      <c r="I2233">
        <v>77</v>
      </c>
      <c r="J2233">
        <v>80.2</v>
      </c>
      <c r="K2233">
        <v>60.8</v>
      </c>
      <c r="L2233">
        <v>52.3</v>
      </c>
      <c r="M2233" s="2">
        <f t="shared" si="342"/>
        <v>1</v>
      </c>
      <c r="N2233">
        <v>0</v>
      </c>
      <c r="O2233" s="2">
        <f t="shared" si="343"/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40.700000000000003</v>
      </c>
      <c r="V2233" s="2">
        <f t="shared" si="344"/>
        <v>1</v>
      </c>
      <c r="W2233">
        <v>24.1</v>
      </c>
      <c r="X2233" s="2">
        <f t="shared" si="345"/>
        <v>1</v>
      </c>
      <c r="Y2233">
        <v>315.39999999999998</v>
      </c>
      <c r="Z2233" s="2" t="str">
        <f>CHOOSE(MATCH(Y2233,{0;11;80;111;161;191;241;281;341},1),"North","NorthEast","East","SouthEast","South","SouthWest","West","NorthWest","North")</f>
        <v>NorthWest</v>
      </c>
      <c r="AA2233" s="4">
        <f>CHOOSE(MATCH(Z2233,{"South";"SouthEast";"SouthWest";"North";"NorthEast";"East";"West";"NorthWest"},0),1,2,3,4,5,6,7,8)</f>
        <v>8</v>
      </c>
      <c r="AB2233" s="2">
        <f t="shared" si="346"/>
        <v>1</v>
      </c>
      <c r="AC2233">
        <v>1011.9</v>
      </c>
      <c r="AD2233" t="s">
        <v>3049</v>
      </c>
      <c r="AE2233" s="2">
        <f t="shared" si="347"/>
        <v>1</v>
      </c>
      <c r="AF2233" t="s">
        <v>3050</v>
      </c>
      <c r="AG2233" s="2">
        <f t="shared" si="348"/>
        <v>8</v>
      </c>
      <c r="AH2233" s="2">
        <f t="shared" si="349"/>
        <v>1</v>
      </c>
      <c r="AI2233" s="3">
        <v>2842.0000000018631</v>
      </c>
      <c r="AJ2233" s="2">
        <v>1</v>
      </c>
      <c r="AK2233">
        <v>0</v>
      </c>
      <c r="AL2233">
        <v>2</v>
      </c>
      <c r="AM2233">
        <v>0</v>
      </c>
      <c r="AN2233" s="2">
        <f>IF((2*G2233+M2233-O2233+3*V2233+2*AB2233+2*AE2233+2*AH2233+3*AJ2233)&gt;=7,1,0)</f>
        <v>1</v>
      </c>
    </row>
    <row r="2234" spans="1:40" x14ac:dyDescent="0.25">
      <c r="A2234" t="s">
        <v>27</v>
      </c>
      <c r="B2234" s="1">
        <v>43687</v>
      </c>
      <c r="C2234" s="6">
        <f t="shared" si="340"/>
        <v>2019</v>
      </c>
      <c r="D2234">
        <v>86</v>
      </c>
      <c r="E2234">
        <v>75.2</v>
      </c>
      <c r="F2234">
        <v>81</v>
      </c>
      <c r="G2234" s="2">
        <f t="shared" si="341"/>
        <v>1</v>
      </c>
      <c r="H2234">
        <v>90.6</v>
      </c>
      <c r="I2234">
        <v>75.2</v>
      </c>
      <c r="J2234">
        <v>83</v>
      </c>
      <c r="K2234">
        <v>66.400000000000006</v>
      </c>
      <c r="L2234">
        <v>61.7</v>
      </c>
      <c r="M2234" s="2">
        <f t="shared" si="342"/>
        <v>1</v>
      </c>
      <c r="N2234">
        <v>0</v>
      </c>
      <c r="O2234" s="2">
        <f t="shared" si="343"/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24.8</v>
      </c>
      <c r="V2234" s="2">
        <f t="shared" si="344"/>
        <v>1</v>
      </c>
      <c r="W2234">
        <v>21.9</v>
      </c>
      <c r="X2234" s="2">
        <f t="shared" si="345"/>
        <v>1</v>
      </c>
      <c r="Y2234">
        <v>299.39999999999998</v>
      </c>
      <c r="Z2234" s="2" t="str">
        <f>CHOOSE(MATCH(Y2234,{0;11;80;111;161;191;241;281;341},1),"North","NorthEast","East","SouthEast","South","SouthWest","West","NorthWest","North")</f>
        <v>NorthWest</v>
      </c>
      <c r="AA2234" s="4">
        <f>CHOOSE(MATCH(Z2234,{"South";"SouthEast";"SouthWest";"North";"NorthEast";"East";"West";"NorthWest"},0),1,2,3,4,5,6,7,8)</f>
        <v>8</v>
      </c>
      <c r="AB2234" s="2">
        <f t="shared" si="346"/>
        <v>1</v>
      </c>
      <c r="AC2234">
        <v>1008.1</v>
      </c>
      <c r="AD2234" t="s">
        <v>3051</v>
      </c>
      <c r="AE2234" s="2">
        <f t="shared" si="347"/>
        <v>0</v>
      </c>
      <c r="AF2234" t="s">
        <v>3052</v>
      </c>
      <c r="AG2234" s="2">
        <f t="shared" si="348"/>
        <v>8</v>
      </c>
      <c r="AH2234" s="2">
        <f t="shared" si="349"/>
        <v>1</v>
      </c>
      <c r="AI2234" s="3">
        <v>7404.9999999976717</v>
      </c>
      <c r="AJ2234" s="2">
        <v>1</v>
      </c>
      <c r="AK2234">
        <v>0</v>
      </c>
      <c r="AL2234">
        <v>3700</v>
      </c>
      <c r="AM2234">
        <v>0</v>
      </c>
      <c r="AN2234" s="2">
        <f>IF((2*G2234+M2234-O2234+3*V2234+2*AB2234+2*AE2234+2*AH2234+3*AJ2234)&gt;=7,1,0)</f>
        <v>1</v>
      </c>
    </row>
    <row r="2235" spans="1:40" x14ac:dyDescent="0.25">
      <c r="A2235" t="s">
        <v>27</v>
      </c>
      <c r="B2235" s="1">
        <v>43690</v>
      </c>
      <c r="C2235" s="6">
        <f t="shared" si="340"/>
        <v>2019</v>
      </c>
      <c r="D2235">
        <v>84.2</v>
      </c>
      <c r="E2235">
        <v>71.599999999999994</v>
      </c>
      <c r="F2235">
        <v>79.5</v>
      </c>
      <c r="G2235" s="2">
        <f t="shared" si="341"/>
        <v>1</v>
      </c>
      <c r="H2235">
        <v>89.6</v>
      </c>
      <c r="I2235">
        <v>71.599999999999994</v>
      </c>
      <c r="J2235">
        <v>81.599999999999994</v>
      </c>
      <c r="K2235">
        <v>68.3</v>
      </c>
      <c r="L2235">
        <v>69.2</v>
      </c>
      <c r="M2235" s="2">
        <f t="shared" si="342"/>
        <v>0</v>
      </c>
      <c r="N2235">
        <v>0</v>
      </c>
      <c r="O2235" s="2">
        <f t="shared" si="343"/>
        <v>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22.8</v>
      </c>
      <c r="V2235" s="2">
        <f t="shared" si="344"/>
        <v>1</v>
      </c>
      <c r="W2235">
        <v>18.3</v>
      </c>
      <c r="X2235" s="2">
        <f t="shared" si="345"/>
        <v>1</v>
      </c>
      <c r="Y2235">
        <v>311.10000000000002</v>
      </c>
      <c r="Z2235" s="2" t="str">
        <f>CHOOSE(MATCH(Y2235,{0;11;80;111;161;191;241;281;341},1),"North","NorthEast","East","SouthEast","South","SouthWest","West","NorthWest","North")</f>
        <v>NorthWest</v>
      </c>
      <c r="AA2235" s="4">
        <f>CHOOSE(MATCH(Z2235,{"South";"SouthEast";"SouthWest";"North";"NorthEast";"East";"West";"NorthWest"},0),1,2,3,4,5,6,7,8)</f>
        <v>8</v>
      </c>
      <c r="AB2235" s="2">
        <f t="shared" si="346"/>
        <v>1</v>
      </c>
      <c r="AC2235">
        <v>1007.1</v>
      </c>
      <c r="AD2235" t="s">
        <v>3053</v>
      </c>
      <c r="AE2235" s="2">
        <f t="shared" si="347"/>
        <v>1</v>
      </c>
      <c r="AF2235" t="s">
        <v>3054</v>
      </c>
      <c r="AG2235" s="2">
        <f t="shared" si="348"/>
        <v>8</v>
      </c>
      <c r="AH2235" s="2">
        <f t="shared" si="349"/>
        <v>1</v>
      </c>
      <c r="AI2235" s="3">
        <v>20.99999999511056</v>
      </c>
      <c r="AJ2235" s="2">
        <v>0</v>
      </c>
      <c r="AK2235">
        <v>0</v>
      </c>
      <c r="AL2235">
        <v>0.1</v>
      </c>
      <c r="AM2235">
        <v>0</v>
      </c>
      <c r="AN2235" s="2">
        <f>IF((2*G2235+M2235-O2235+3*V2235+2*AB2235+2*AE2235+2*AH2235+3*AJ2235)&gt;=7,1,0)</f>
        <v>1</v>
      </c>
    </row>
    <row r="2236" spans="1:40" x14ac:dyDescent="0.25">
      <c r="A2236" t="s">
        <v>27</v>
      </c>
      <c r="B2236" s="1">
        <v>43690</v>
      </c>
      <c r="C2236" s="6">
        <f t="shared" si="340"/>
        <v>2019</v>
      </c>
      <c r="D2236">
        <v>84.2</v>
      </c>
      <c r="E2236">
        <v>71.599999999999994</v>
      </c>
      <c r="F2236">
        <v>79.5</v>
      </c>
      <c r="G2236" s="2">
        <f t="shared" si="341"/>
        <v>1</v>
      </c>
      <c r="H2236">
        <v>89.6</v>
      </c>
      <c r="I2236">
        <v>71.599999999999994</v>
      </c>
      <c r="J2236">
        <v>81.599999999999994</v>
      </c>
      <c r="K2236">
        <v>68.3</v>
      </c>
      <c r="L2236">
        <v>69.2</v>
      </c>
      <c r="M2236" s="2">
        <f t="shared" si="342"/>
        <v>0</v>
      </c>
      <c r="N2236">
        <v>0</v>
      </c>
      <c r="O2236" s="2">
        <f t="shared" si="343"/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22.8</v>
      </c>
      <c r="V2236" s="2">
        <f t="shared" si="344"/>
        <v>1</v>
      </c>
      <c r="W2236">
        <v>18.3</v>
      </c>
      <c r="X2236" s="2">
        <f t="shared" si="345"/>
        <v>1</v>
      </c>
      <c r="Y2236">
        <v>311.10000000000002</v>
      </c>
      <c r="Z2236" s="2" t="str">
        <f>CHOOSE(MATCH(Y2236,{0;11;80;111;161;191;241;281;341},1),"North","NorthEast","East","SouthEast","South","SouthWest","West","NorthWest","North")</f>
        <v>NorthWest</v>
      </c>
      <c r="AA2236" s="4">
        <f>CHOOSE(MATCH(Z2236,{"South";"SouthEast";"SouthWest";"North";"NorthEast";"East";"West";"NorthWest"},0),1,2,3,4,5,6,7,8)</f>
        <v>8</v>
      </c>
      <c r="AB2236" s="2">
        <f t="shared" si="346"/>
        <v>1</v>
      </c>
      <c r="AC2236">
        <v>1007.1</v>
      </c>
      <c r="AD2236" t="s">
        <v>2269</v>
      </c>
      <c r="AE2236" s="2">
        <f t="shared" si="347"/>
        <v>1</v>
      </c>
      <c r="AF2236" t="s">
        <v>3055</v>
      </c>
      <c r="AG2236" s="2">
        <f t="shared" si="348"/>
        <v>8</v>
      </c>
      <c r="AH2236" s="2">
        <f t="shared" si="349"/>
        <v>1</v>
      </c>
      <c r="AI2236" s="3">
        <v>1418.00000000163</v>
      </c>
      <c r="AJ2236" s="2">
        <v>1</v>
      </c>
      <c r="AK2236">
        <v>0</v>
      </c>
      <c r="AL2236">
        <v>4</v>
      </c>
      <c r="AM2236">
        <v>0</v>
      </c>
      <c r="AN2236" s="2">
        <f>IF((2*G2236+M2236-O2236+3*V2236+2*AB2236+2*AE2236+2*AH2236+3*AJ2236)&gt;=7,1,0)</f>
        <v>1</v>
      </c>
    </row>
    <row r="2237" spans="1:40" x14ac:dyDescent="0.25">
      <c r="A2237" t="s">
        <v>27</v>
      </c>
      <c r="B2237" s="1">
        <v>43692</v>
      </c>
      <c r="C2237" s="6">
        <f t="shared" si="340"/>
        <v>2019</v>
      </c>
      <c r="D2237">
        <v>87.8</v>
      </c>
      <c r="E2237">
        <v>69.8</v>
      </c>
      <c r="F2237">
        <v>79.5</v>
      </c>
      <c r="G2237" s="2">
        <f t="shared" si="341"/>
        <v>1</v>
      </c>
      <c r="H2237">
        <v>100</v>
      </c>
      <c r="I2237">
        <v>69.8</v>
      </c>
      <c r="J2237">
        <v>83.6</v>
      </c>
      <c r="K2237">
        <v>68.2</v>
      </c>
      <c r="L2237">
        <v>68.599999999999994</v>
      </c>
      <c r="M2237" s="2">
        <f t="shared" si="342"/>
        <v>0</v>
      </c>
      <c r="N2237">
        <v>0</v>
      </c>
      <c r="O2237" s="2">
        <f t="shared" si="343"/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19</v>
      </c>
      <c r="V2237" s="2">
        <f t="shared" si="344"/>
        <v>1</v>
      </c>
      <c r="W2237">
        <v>10.199999999999999</v>
      </c>
      <c r="X2237" s="2">
        <f t="shared" si="345"/>
        <v>0</v>
      </c>
      <c r="Y2237">
        <v>202.4</v>
      </c>
      <c r="Z2237" s="2" t="str">
        <f>CHOOSE(MATCH(Y2237,{0;11;80;111;161;191;241;281;341},1),"North","NorthEast","East","SouthEast","South","SouthWest","West","NorthWest","North")</f>
        <v>SouthWest</v>
      </c>
      <c r="AA2237" s="4">
        <f>CHOOSE(MATCH(Z2237,{"South";"SouthEast";"SouthWest";"North";"NorthEast";"East";"West";"NorthWest"},0),1,2,3,4,5,6,7,8)</f>
        <v>3</v>
      </c>
      <c r="AB2237" s="2">
        <f t="shared" si="346"/>
        <v>0</v>
      </c>
      <c r="AC2237">
        <v>1006.9</v>
      </c>
      <c r="AD2237" t="s">
        <v>1254</v>
      </c>
      <c r="AE2237" s="2">
        <f t="shared" si="347"/>
        <v>1</v>
      </c>
      <c r="AF2237" t="s">
        <v>3056</v>
      </c>
      <c r="AG2237" s="2">
        <f t="shared" si="348"/>
        <v>8</v>
      </c>
      <c r="AH2237" s="2">
        <f t="shared" si="349"/>
        <v>1</v>
      </c>
      <c r="AI2237" s="3">
        <v>480.00000000349252</v>
      </c>
      <c r="AJ2237" s="2">
        <v>1</v>
      </c>
      <c r="AK2237">
        <v>0</v>
      </c>
      <c r="AL2237">
        <v>0.5</v>
      </c>
      <c r="AM2237">
        <v>0</v>
      </c>
      <c r="AN2237" s="2">
        <f>IF((2*G2237+M2237-O2237+3*V2237+2*AB2237+2*AE2237+2*AH2237+3*AJ2237)&gt;=7,1,0)</f>
        <v>1</v>
      </c>
    </row>
    <row r="2238" spans="1:40" x14ac:dyDescent="0.25">
      <c r="A2238" t="s">
        <v>27</v>
      </c>
      <c r="B2238" s="1">
        <v>43702</v>
      </c>
      <c r="C2238" s="6">
        <f t="shared" si="340"/>
        <v>2019</v>
      </c>
      <c r="D2238">
        <v>84.2</v>
      </c>
      <c r="E2238">
        <v>73.400000000000006</v>
      </c>
      <c r="F2238">
        <v>79.599999999999994</v>
      </c>
      <c r="G2238" s="2">
        <f t="shared" si="341"/>
        <v>1</v>
      </c>
      <c r="H2238">
        <v>91</v>
      </c>
      <c r="I2238">
        <v>73.400000000000006</v>
      </c>
      <c r="J2238">
        <v>82.3</v>
      </c>
      <c r="K2238">
        <v>69.099999999999994</v>
      </c>
      <c r="L2238">
        <v>70.7</v>
      </c>
      <c r="M2238" s="2">
        <f t="shared" si="342"/>
        <v>0</v>
      </c>
      <c r="N2238">
        <v>0</v>
      </c>
      <c r="O2238" s="2">
        <f t="shared" si="343"/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23.3</v>
      </c>
      <c r="V2238" s="2">
        <f t="shared" si="344"/>
        <v>1</v>
      </c>
      <c r="W2238">
        <v>21.9</v>
      </c>
      <c r="X2238" s="2">
        <f t="shared" si="345"/>
        <v>1</v>
      </c>
      <c r="Y2238">
        <v>301.8</v>
      </c>
      <c r="Z2238" s="2" t="str">
        <f>CHOOSE(MATCH(Y2238,{0;11;80;111;161;191;241;281;341},1),"North","NorthEast","East","SouthEast","South","SouthWest","West","NorthWest","North")</f>
        <v>NorthWest</v>
      </c>
      <c r="AA2238" s="4">
        <f>CHOOSE(MATCH(Z2238,{"South";"SouthEast";"SouthWest";"North";"NorthEast";"East";"West";"NorthWest"},0),1,2,3,4,5,6,7,8)</f>
        <v>8</v>
      </c>
      <c r="AB2238" s="2">
        <f t="shared" si="346"/>
        <v>1</v>
      </c>
      <c r="AC2238">
        <v>1011</v>
      </c>
      <c r="AD2238" t="s">
        <v>3057</v>
      </c>
      <c r="AE2238" s="2">
        <f t="shared" si="347"/>
        <v>1</v>
      </c>
      <c r="AF2238" t="s">
        <v>3058</v>
      </c>
      <c r="AG2238" s="2">
        <f t="shared" si="348"/>
        <v>8</v>
      </c>
      <c r="AH2238" s="2">
        <f t="shared" si="349"/>
        <v>1</v>
      </c>
      <c r="AI2238" s="3">
        <v>969.00000000488944</v>
      </c>
      <c r="AJ2238" s="2">
        <v>1</v>
      </c>
      <c r="AK2238">
        <v>0</v>
      </c>
      <c r="AL2238">
        <v>4</v>
      </c>
      <c r="AM2238">
        <v>0</v>
      </c>
      <c r="AN2238" s="2">
        <f>IF((2*G2238+M2238-O2238+3*V2238+2*AB2238+2*AE2238+2*AH2238+3*AJ2238)&gt;=7,1,0)</f>
        <v>1</v>
      </c>
    </row>
    <row r="2239" spans="1:40" x14ac:dyDescent="0.25">
      <c r="A2239" t="s">
        <v>27</v>
      </c>
      <c r="B2239" s="1">
        <v>43707</v>
      </c>
      <c r="C2239" s="6">
        <f t="shared" si="340"/>
        <v>2019</v>
      </c>
      <c r="D2239">
        <v>82.4</v>
      </c>
      <c r="E2239">
        <v>71.599999999999994</v>
      </c>
      <c r="F2239">
        <v>77.8</v>
      </c>
      <c r="G2239" s="2">
        <f t="shared" si="341"/>
        <v>1</v>
      </c>
      <c r="H2239">
        <v>84.7</v>
      </c>
      <c r="I2239">
        <v>71.599999999999994</v>
      </c>
      <c r="J2239">
        <v>78.599999999999994</v>
      </c>
      <c r="K2239">
        <v>65.7</v>
      </c>
      <c r="L2239">
        <v>66.7</v>
      </c>
      <c r="M2239" s="2">
        <f t="shared" si="342"/>
        <v>0</v>
      </c>
      <c r="N2239">
        <v>0</v>
      </c>
      <c r="O2239" s="2">
        <f t="shared" si="343"/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30.2</v>
      </c>
      <c r="V2239" s="2">
        <f t="shared" si="344"/>
        <v>1</v>
      </c>
      <c r="W2239">
        <v>19.7</v>
      </c>
      <c r="X2239" s="2">
        <f t="shared" si="345"/>
        <v>1</v>
      </c>
      <c r="Y2239">
        <v>301.3</v>
      </c>
      <c r="Z2239" s="2" t="str">
        <f>CHOOSE(MATCH(Y2239,{0;11;80;111;161;191;241;281;341},1),"North","NorthEast","East","SouthEast","South","SouthWest","West","NorthWest","North")</f>
        <v>NorthWest</v>
      </c>
      <c r="AA2239" s="4">
        <f>CHOOSE(MATCH(Z2239,{"South";"SouthEast";"SouthWest";"North";"NorthEast";"East";"West";"NorthWest"},0),1,2,3,4,5,6,7,8)</f>
        <v>8</v>
      </c>
      <c r="AB2239" s="2">
        <f t="shared" si="346"/>
        <v>1</v>
      </c>
      <c r="AC2239">
        <v>1013.2</v>
      </c>
      <c r="AD2239" t="s">
        <v>3059</v>
      </c>
      <c r="AE2239" s="2">
        <f t="shared" si="347"/>
        <v>1</v>
      </c>
      <c r="AF2239" t="s">
        <v>3060</v>
      </c>
      <c r="AG2239" s="2">
        <f t="shared" si="348"/>
        <v>8</v>
      </c>
      <c r="AH2239" s="2">
        <f t="shared" si="349"/>
        <v>1</v>
      </c>
      <c r="AI2239" s="3">
        <v>3481.999999992549</v>
      </c>
      <c r="AJ2239" s="2">
        <v>1</v>
      </c>
      <c r="AK2239">
        <v>0</v>
      </c>
      <c r="AL2239">
        <v>50</v>
      </c>
      <c r="AM2239">
        <v>0</v>
      </c>
      <c r="AN2239" s="2">
        <f>IF((2*G2239+M2239-O2239+3*V2239+2*AB2239+2*AE2239+2*AH2239+3*AJ2239)&gt;=7,1,0)</f>
        <v>1</v>
      </c>
    </row>
    <row r="2240" spans="1:40" x14ac:dyDescent="0.25">
      <c r="A2240" t="s">
        <v>27</v>
      </c>
      <c r="B2240" s="1">
        <v>43714</v>
      </c>
      <c r="C2240" s="6">
        <f t="shared" si="340"/>
        <v>2019</v>
      </c>
      <c r="D2240">
        <v>80.599999999999994</v>
      </c>
      <c r="E2240">
        <v>69.8</v>
      </c>
      <c r="F2240">
        <v>76.2</v>
      </c>
      <c r="G2240" s="2">
        <f t="shared" si="341"/>
        <v>1</v>
      </c>
      <c r="H2240">
        <v>84.6</v>
      </c>
      <c r="I2240">
        <v>69.8</v>
      </c>
      <c r="J2240">
        <v>77.2</v>
      </c>
      <c r="K2240">
        <v>68.2</v>
      </c>
      <c r="L2240">
        <v>76.8</v>
      </c>
      <c r="M2240" s="2">
        <f t="shared" si="342"/>
        <v>0</v>
      </c>
      <c r="N2240">
        <v>0</v>
      </c>
      <c r="O2240" s="2">
        <f t="shared" si="343"/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24.8</v>
      </c>
      <c r="V2240" s="2">
        <f t="shared" si="344"/>
        <v>1</v>
      </c>
      <c r="W2240">
        <v>17.2</v>
      </c>
      <c r="X2240" s="2">
        <f t="shared" si="345"/>
        <v>1</v>
      </c>
      <c r="Y2240">
        <v>306.7</v>
      </c>
      <c r="Z2240" s="2" t="str">
        <f>CHOOSE(MATCH(Y2240,{0;11;80;111;161;191;241;281;341},1),"North","NorthEast","East","SouthEast","South","SouthWest","West","NorthWest","North")</f>
        <v>NorthWest</v>
      </c>
      <c r="AA2240" s="4">
        <f>CHOOSE(MATCH(Z2240,{"South";"SouthEast";"SouthWest";"North";"NorthEast";"East";"West";"NorthWest"},0),1,2,3,4,5,6,7,8)</f>
        <v>8</v>
      </c>
      <c r="AB2240" s="2">
        <f t="shared" si="346"/>
        <v>1</v>
      </c>
      <c r="AC2240">
        <v>1011.2</v>
      </c>
      <c r="AD2240" t="s">
        <v>1919</v>
      </c>
      <c r="AE2240" s="2">
        <f t="shared" si="347"/>
        <v>1</v>
      </c>
      <c r="AF2240" t="s">
        <v>3061</v>
      </c>
      <c r="AG2240" s="2">
        <f t="shared" si="348"/>
        <v>9</v>
      </c>
      <c r="AH2240" s="2">
        <f t="shared" si="349"/>
        <v>0</v>
      </c>
      <c r="AI2240" s="3">
        <v>1727.999999995809</v>
      </c>
      <c r="AJ2240" s="2">
        <v>1</v>
      </c>
      <c r="AK2240">
        <v>0</v>
      </c>
      <c r="AL2240">
        <v>4</v>
      </c>
      <c r="AM2240">
        <v>0</v>
      </c>
      <c r="AN2240" s="2">
        <f>IF((2*G2240+M2240-O2240+3*V2240+2*AB2240+2*AE2240+2*AH2240+3*AJ2240)&gt;=7,1,0)</f>
        <v>1</v>
      </c>
    </row>
    <row r="2241" spans="1:40" x14ac:dyDescent="0.25">
      <c r="A2241" t="s">
        <v>27</v>
      </c>
      <c r="B2241" s="1">
        <v>43716</v>
      </c>
      <c r="C2241" s="6">
        <f t="shared" si="340"/>
        <v>2019</v>
      </c>
      <c r="D2241">
        <v>82.4</v>
      </c>
      <c r="E2241">
        <v>75.2</v>
      </c>
      <c r="F2241">
        <v>78.5</v>
      </c>
      <c r="G2241" s="2">
        <f t="shared" si="341"/>
        <v>1</v>
      </c>
      <c r="H2241">
        <v>84</v>
      </c>
      <c r="I2241">
        <v>75.2</v>
      </c>
      <c r="J2241">
        <v>79</v>
      </c>
      <c r="K2241">
        <v>62.5</v>
      </c>
      <c r="L2241">
        <v>58.3</v>
      </c>
      <c r="M2241" s="2">
        <f t="shared" si="342"/>
        <v>1</v>
      </c>
      <c r="N2241">
        <v>0</v>
      </c>
      <c r="O2241" s="2">
        <f t="shared" si="343"/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33.299999999999997</v>
      </c>
      <c r="V2241" s="2">
        <f t="shared" si="344"/>
        <v>1</v>
      </c>
      <c r="W2241">
        <v>19.7</v>
      </c>
      <c r="X2241" s="2">
        <f t="shared" si="345"/>
        <v>1</v>
      </c>
      <c r="Y2241">
        <v>299.39999999999998</v>
      </c>
      <c r="Z2241" s="2" t="str">
        <f>CHOOSE(MATCH(Y2241,{0;11;80;111;161;191;241;281;341},1),"North","NorthEast","East","SouthEast","South","SouthWest","West","NorthWest","North")</f>
        <v>NorthWest</v>
      </c>
      <c r="AA2241" s="4">
        <f>CHOOSE(MATCH(Z2241,{"South";"SouthEast";"SouthWest";"North";"NorthEast";"East";"West";"NorthWest"},0),1,2,3,4,5,6,7,8)</f>
        <v>8</v>
      </c>
      <c r="AB2241" s="2">
        <f t="shared" si="346"/>
        <v>1</v>
      </c>
      <c r="AC2241">
        <v>1013.9</v>
      </c>
      <c r="AD2241" t="s">
        <v>2333</v>
      </c>
      <c r="AE2241" s="2">
        <f t="shared" si="347"/>
        <v>1</v>
      </c>
      <c r="AF2241" t="s">
        <v>3062</v>
      </c>
      <c r="AG2241" s="2">
        <f t="shared" si="348"/>
        <v>9</v>
      </c>
      <c r="AH2241" s="2">
        <f t="shared" si="349"/>
        <v>0</v>
      </c>
      <c r="AI2241" s="3">
        <v>5311.9999999960419</v>
      </c>
      <c r="AJ2241" s="2">
        <v>1</v>
      </c>
      <c r="AK2241">
        <v>0</v>
      </c>
      <c r="AL2241">
        <v>80</v>
      </c>
      <c r="AM2241">
        <v>0</v>
      </c>
      <c r="AN2241" s="2">
        <f>IF((2*G2241+M2241-O2241+3*V2241+2*AB2241+2*AE2241+2*AH2241+3*AJ2241)&gt;=7,1,0)</f>
        <v>1</v>
      </c>
    </row>
    <row r="2242" spans="1:40" x14ac:dyDescent="0.25">
      <c r="A2242" t="s">
        <v>27</v>
      </c>
      <c r="B2242" s="1">
        <v>43722</v>
      </c>
      <c r="C2242" s="6">
        <f t="shared" si="340"/>
        <v>2019</v>
      </c>
      <c r="D2242">
        <v>77</v>
      </c>
      <c r="E2242">
        <v>73.400000000000006</v>
      </c>
      <c r="F2242">
        <v>75.400000000000006</v>
      </c>
      <c r="G2242" s="2">
        <f t="shared" si="341"/>
        <v>1</v>
      </c>
      <c r="H2242">
        <v>77</v>
      </c>
      <c r="I2242">
        <v>73.400000000000006</v>
      </c>
      <c r="J2242">
        <v>75.400000000000006</v>
      </c>
      <c r="K2242">
        <v>61.9</v>
      </c>
      <c r="L2242">
        <v>63.3</v>
      </c>
      <c r="M2242" s="2">
        <f t="shared" si="342"/>
        <v>1</v>
      </c>
      <c r="N2242">
        <v>0</v>
      </c>
      <c r="O2242" s="2">
        <f t="shared" si="343"/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37.1</v>
      </c>
      <c r="V2242" s="2">
        <f t="shared" si="344"/>
        <v>1</v>
      </c>
      <c r="W2242">
        <v>23</v>
      </c>
      <c r="X2242" s="2">
        <f t="shared" si="345"/>
        <v>1</v>
      </c>
      <c r="Y2242">
        <v>318.39999999999998</v>
      </c>
      <c r="Z2242" s="2" t="str">
        <f>CHOOSE(MATCH(Y2242,{0;11;80;111;161;191;241;281;341},1),"North","NorthEast","East","SouthEast","South","SouthWest","West","NorthWest","North")</f>
        <v>NorthWest</v>
      </c>
      <c r="AA2242" s="4">
        <f>CHOOSE(MATCH(Z2242,{"South";"SouthEast";"SouthWest";"North";"NorthEast";"East";"West";"NorthWest"},0),1,2,3,4,5,6,7,8)</f>
        <v>8</v>
      </c>
      <c r="AB2242" s="2">
        <f t="shared" si="346"/>
        <v>1</v>
      </c>
      <c r="AC2242">
        <v>1014</v>
      </c>
      <c r="AD2242" t="s">
        <v>3063</v>
      </c>
      <c r="AE2242" s="2">
        <f t="shared" si="347"/>
        <v>1</v>
      </c>
      <c r="AF2242" t="s">
        <v>3064</v>
      </c>
      <c r="AG2242" s="2">
        <f t="shared" si="348"/>
        <v>9</v>
      </c>
      <c r="AH2242" s="2">
        <f t="shared" si="349"/>
        <v>0</v>
      </c>
      <c r="AI2242" s="3">
        <v>966.00000000558794</v>
      </c>
      <c r="AJ2242" s="2">
        <v>1</v>
      </c>
      <c r="AK2242">
        <v>0</v>
      </c>
      <c r="AL2242">
        <v>0.2</v>
      </c>
      <c r="AM2242">
        <v>0</v>
      </c>
      <c r="AN2242" s="2">
        <f>IF((2*G2242+M2242-O2242+3*V2242+2*AB2242+2*AE2242+2*AH2242+3*AJ2242)&gt;=7,1,0)</f>
        <v>1</v>
      </c>
    </row>
    <row r="2243" spans="1:40" x14ac:dyDescent="0.25">
      <c r="A2243" t="s">
        <v>27</v>
      </c>
      <c r="B2243" s="1">
        <v>43728</v>
      </c>
      <c r="C2243" s="6">
        <f t="shared" ref="C2243:C2306" si="350">YEAR(B2243)</f>
        <v>2019</v>
      </c>
      <c r="D2243">
        <v>80.599999999999994</v>
      </c>
      <c r="E2243">
        <v>66.2</v>
      </c>
      <c r="F2243">
        <v>74.099999999999994</v>
      </c>
      <c r="G2243" s="2">
        <f t="shared" ref="G2243:G2306" si="351">IF(F2243&lt;=70,0,1)</f>
        <v>1</v>
      </c>
      <c r="H2243">
        <v>84.6</v>
      </c>
      <c r="I2243">
        <v>66.2</v>
      </c>
      <c r="J2243">
        <v>74.7</v>
      </c>
      <c r="K2243">
        <v>67.3</v>
      </c>
      <c r="L2243">
        <v>80.099999999999994</v>
      </c>
      <c r="M2243" s="2">
        <f t="shared" ref="M2243:M2306" si="352">IF(L2243&lt;=66,1,0)</f>
        <v>0</v>
      </c>
      <c r="N2243">
        <v>0</v>
      </c>
      <c r="O2243" s="2">
        <f t="shared" ref="O2243:O2306" si="353">IF(N2243&lt;=0.01,1,0)</f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22.8</v>
      </c>
      <c r="V2243" s="2">
        <f t="shared" ref="V2243:V2306" si="354">IF(U2243&lt;=9,0,1)</f>
        <v>1</v>
      </c>
      <c r="W2243">
        <v>20.7</v>
      </c>
      <c r="X2243" s="2">
        <f t="shared" ref="X2243:X2306" si="355">IF(W2243&gt;=16,1,0)</f>
        <v>1</v>
      </c>
      <c r="Y2243">
        <v>301.2</v>
      </c>
      <c r="Z2243" s="2" t="str">
        <f>CHOOSE(MATCH(Y2243,{0;11;80;111;161;191;241;281;341},1),"North","NorthEast","East","SouthEast","South","SouthWest","West","NorthWest","North")</f>
        <v>NorthWest</v>
      </c>
      <c r="AA2243" s="4">
        <f>CHOOSE(MATCH(Z2243,{"South";"SouthEast";"SouthWest";"North";"NorthEast";"East";"West";"NorthWest"},0),1,2,3,4,5,6,7,8)</f>
        <v>8</v>
      </c>
      <c r="AB2243" s="2">
        <f t="shared" ref="AB2243:AB2306" si="356">IF(OR(AA2243=4,AA2243=5,AA2243=8),1,0)</f>
        <v>1</v>
      </c>
      <c r="AC2243">
        <v>1014.4</v>
      </c>
      <c r="AD2243" t="s">
        <v>2686</v>
      </c>
      <c r="AE2243" s="2">
        <f t="shared" ref="AE2243:AE2306" si="357">IF(TIMEVALUE(AD2243)&lt;=TIME(12,30,0),0,1)</f>
        <v>0</v>
      </c>
      <c r="AF2243" t="s">
        <v>3065</v>
      </c>
      <c r="AG2243" s="2">
        <f t="shared" ref="AG2243:AG2306" si="358">MONTH(AF2243)</f>
        <v>9</v>
      </c>
      <c r="AH2243" s="2">
        <f t="shared" ref="AH2243:AH2306" si="359">IF(OR(AG2243=6,AG2243=7,AG2243=8),1,0)</f>
        <v>0</v>
      </c>
      <c r="AI2243" s="3">
        <v>175.99999999743889</v>
      </c>
      <c r="AJ2243" s="2">
        <v>0</v>
      </c>
      <c r="AK2243">
        <v>0</v>
      </c>
      <c r="AL2243">
        <v>0.5</v>
      </c>
      <c r="AM2243">
        <v>0</v>
      </c>
      <c r="AN2243" s="2">
        <f>IF((2*G2243+M2243-O2243+3*V2243+2*AB2243+2*AE2243+2*AH2243+3*AJ2243)&gt;=7,1,0)</f>
        <v>0</v>
      </c>
    </row>
    <row r="2244" spans="1:40" x14ac:dyDescent="0.25">
      <c r="A2244" t="s">
        <v>27</v>
      </c>
      <c r="B2244" s="1">
        <v>43730</v>
      </c>
      <c r="C2244" s="6">
        <f t="shared" si="350"/>
        <v>2019</v>
      </c>
      <c r="D2244">
        <v>73.400000000000006</v>
      </c>
      <c r="E2244">
        <v>68</v>
      </c>
      <c r="F2244">
        <v>70.900000000000006</v>
      </c>
      <c r="G2244" s="2">
        <f t="shared" si="351"/>
        <v>1</v>
      </c>
      <c r="H2244">
        <v>73.400000000000006</v>
      </c>
      <c r="I2244">
        <v>68</v>
      </c>
      <c r="J2244">
        <v>70.900000000000006</v>
      </c>
      <c r="K2244">
        <v>54.1</v>
      </c>
      <c r="L2244">
        <v>55.3</v>
      </c>
      <c r="M2244" s="2">
        <f t="shared" si="352"/>
        <v>1</v>
      </c>
      <c r="N2244">
        <v>0</v>
      </c>
      <c r="O2244" s="2">
        <f t="shared" si="353"/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34.700000000000003</v>
      </c>
      <c r="V2244" s="2">
        <f t="shared" si="354"/>
        <v>1</v>
      </c>
      <c r="W2244">
        <v>21.9</v>
      </c>
      <c r="X2244" s="2">
        <f t="shared" si="355"/>
        <v>1</v>
      </c>
      <c r="Y2244">
        <v>318.60000000000002</v>
      </c>
      <c r="Z2244" s="2" t="str">
        <f>CHOOSE(MATCH(Y2244,{0;11;80;111;161;191;241;281;341},1),"North","NorthEast","East","SouthEast","South","SouthWest","West","NorthWest","North")</f>
        <v>NorthWest</v>
      </c>
      <c r="AA2244" s="4">
        <f>CHOOSE(MATCH(Z2244,{"South";"SouthEast";"SouthWest";"North";"NorthEast";"East";"West";"NorthWest"},0),1,2,3,4,5,6,7,8)</f>
        <v>8</v>
      </c>
      <c r="AB2244" s="2">
        <f t="shared" si="356"/>
        <v>1</v>
      </c>
      <c r="AC2244">
        <v>1019</v>
      </c>
      <c r="AD2244" t="s">
        <v>3066</v>
      </c>
      <c r="AE2244" s="2">
        <f t="shared" si="357"/>
        <v>1</v>
      </c>
      <c r="AF2244" t="s">
        <v>3067</v>
      </c>
      <c r="AG2244" s="2">
        <f t="shared" si="358"/>
        <v>9</v>
      </c>
      <c r="AH2244" s="2">
        <f t="shared" si="359"/>
        <v>0</v>
      </c>
      <c r="AI2244" s="3">
        <v>2717.0000000030268</v>
      </c>
      <c r="AJ2244" s="2">
        <v>1</v>
      </c>
      <c r="AK2244">
        <v>0</v>
      </c>
      <c r="AL2244">
        <v>20</v>
      </c>
      <c r="AM2244">
        <v>0</v>
      </c>
      <c r="AN2244" s="2">
        <f>IF((2*G2244+M2244-O2244+3*V2244+2*AB2244+2*AE2244+2*AH2244+3*AJ2244)&gt;=7,1,0)</f>
        <v>1</v>
      </c>
    </row>
    <row r="2245" spans="1:40" x14ac:dyDescent="0.25">
      <c r="A2245" t="s">
        <v>27</v>
      </c>
      <c r="B2245" s="1">
        <v>43731</v>
      </c>
      <c r="C2245" s="6">
        <f t="shared" si="350"/>
        <v>2019</v>
      </c>
      <c r="D2245">
        <v>78.8</v>
      </c>
      <c r="E2245">
        <v>62.6</v>
      </c>
      <c r="F2245">
        <v>70.900000000000006</v>
      </c>
      <c r="G2245" s="2">
        <f t="shared" si="351"/>
        <v>1</v>
      </c>
      <c r="H2245">
        <v>78.8</v>
      </c>
      <c r="I2245">
        <v>62.6</v>
      </c>
      <c r="J2245">
        <v>70.900000000000006</v>
      </c>
      <c r="K2245">
        <v>58.6</v>
      </c>
      <c r="L2245">
        <v>65.5</v>
      </c>
      <c r="M2245" s="2">
        <f t="shared" si="352"/>
        <v>1</v>
      </c>
      <c r="N2245">
        <v>0</v>
      </c>
      <c r="O2245" s="2">
        <f t="shared" si="353"/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17.2</v>
      </c>
      <c r="V2245" s="2">
        <f t="shared" si="354"/>
        <v>1</v>
      </c>
      <c r="W2245">
        <v>9.1999999999999993</v>
      </c>
      <c r="X2245" s="2">
        <f t="shared" si="355"/>
        <v>0</v>
      </c>
      <c r="Y2245">
        <v>309.60000000000002</v>
      </c>
      <c r="Z2245" s="2" t="str">
        <f>CHOOSE(MATCH(Y2245,{0;11;80;111;161;191;241;281;341},1),"North","NorthEast","East","SouthEast","South","SouthWest","West","NorthWest","North")</f>
        <v>NorthWest</v>
      </c>
      <c r="AA2245" s="4">
        <f>CHOOSE(MATCH(Z2245,{"South";"SouthEast";"SouthWest";"North";"NorthEast";"East";"West";"NorthWest"},0),1,2,3,4,5,6,7,8)</f>
        <v>8</v>
      </c>
      <c r="AB2245" s="2">
        <f t="shared" si="356"/>
        <v>1</v>
      </c>
      <c r="AC2245">
        <v>1016.9</v>
      </c>
      <c r="AD2245" t="s">
        <v>1274</v>
      </c>
      <c r="AE2245" s="2">
        <f t="shared" si="357"/>
        <v>1</v>
      </c>
      <c r="AF2245" t="s">
        <v>3068</v>
      </c>
      <c r="AG2245" s="2">
        <f t="shared" si="358"/>
        <v>9</v>
      </c>
      <c r="AH2245" s="2">
        <f t="shared" si="359"/>
        <v>0</v>
      </c>
      <c r="AI2245" s="3">
        <v>36.000000002095483</v>
      </c>
      <c r="AJ2245" s="2">
        <v>0</v>
      </c>
      <c r="AK2245">
        <v>0</v>
      </c>
      <c r="AL2245">
        <v>0.04</v>
      </c>
      <c r="AM2245">
        <v>0</v>
      </c>
      <c r="AN2245" s="2">
        <f>IF((2*G2245+M2245-O2245+3*V2245+2*AB2245+2*AE2245+2*AH2245+3*AJ2245)&gt;=7,1,0)</f>
        <v>1</v>
      </c>
    </row>
    <row r="2246" spans="1:40" x14ac:dyDescent="0.25">
      <c r="A2246" t="s">
        <v>27</v>
      </c>
      <c r="B2246" s="1">
        <v>43737</v>
      </c>
      <c r="C2246" s="6">
        <f t="shared" si="350"/>
        <v>2019</v>
      </c>
      <c r="D2246">
        <v>78.8</v>
      </c>
      <c r="E2246">
        <v>64.400000000000006</v>
      </c>
      <c r="F2246">
        <v>71.7</v>
      </c>
      <c r="G2246" s="2">
        <f t="shared" si="351"/>
        <v>1</v>
      </c>
      <c r="H2246">
        <v>78.8</v>
      </c>
      <c r="I2246">
        <v>64.400000000000006</v>
      </c>
      <c r="J2246">
        <v>71.7</v>
      </c>
      <c r="K2246">
        <v>62.4</v>
      </c>
      <c r="L2246">
        <v>73.3</v>
      </c>
      <c r="M2246" s="2">
        <f t="shared" si="352"/>
        <v>0</v>
      </c>
      <c r="N2246">
        <v>0</v>
      </c>
      <c r="O2246" s="2">
        <f t="shared" si="353"/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24.4</v>
      </c>
      <c r="V2246" s="2">
        <f t="shared" si="354"/>
        <v>1</v>
      </c>
      <c r="W2246">
        <v>12.8</v>
      </c>
      <c r="X2246" s="2">
        <f t="shared" si="355"/>
        <v>0</v>
      </c>
      <c r="Y2246">
        <v>289.8</v>
      </c>
      <c r="Z2246" s="2" t="str">
        <f>CHOOSE(MATCH(Y2246,{0;11;80;111;161;191;241;281;341},1),"North","NorthEast","East","SouthEast","South","SouthWest","West","NorthWest","North")</f>
        <v>NorthWest</v>
      </c>
      <c r="AA2246" s="4">
        <f>CHOOSE(MATCH(Z2246,{"South";"SouthEast";"SouthWest";"North";"NorthEast";"East";"West";"NorthWest"},0),1,2,3,4,5,6,7,8)</f>
        <v>8</v>
      </c>
      <c r="AB2246" s="2">
        <f t="shared" si="356"/>
        <v>1</v>
      </c>
      <c r="AC2246">
        <v>1015.3</v>
      </c>
      <c r="AD2246" t="s">
        <v>1847</v>
      </c>
      <c r="AE2246" s="2">
        <f t="shared" si="357"/>
        <v>1</v>
      </c>
      <c r="AF2246" t="s">
        <v>3069</v>
      </c>
      <c r="AG2246" s="2">
        <f t="shared" si="358"/>
        <v>9</v>
      </c>
      <c r="AH2246" s="2">
        <f t="shared" si="359"/>
        <v>0</v>
      </c>
      <c r="AI2246" s="3">
        <v>3029.999999996508</v>
      </c>
      <c r="AJ2246" s="2">
        <v>1</v>
      </c>
      <c r="AK2246">
        <v>0</v>
      </c>
      <c r="AL2246">
        <v>3</v>
      </c>
      <c r="AM2246">
        <v>0</v>
      </c>
      <c r="AN2246" s="2">
        <f>IF((2*G2246+M2246-O2246+3*V2246+2*AB2246+2*AE2246+2*AH2246+3*AJ2246)&gt;=7,1,0)</f>
        <v>1</v>
      </c>
    </row>
    <row r="2247" spans="1:40" x14ac:dyDescent="0.25">
      <c r="A2247" t="s">
        <v>27</v>
      </c>
      <c r="B2247" s="1">
        <v>43741</v>
      </c>
      <c r="C2247" s="6">
        <f t="shared" si="350"/>
        <v>2019</v>
      </c>
      <c r="D2247">
        <v>87.8</v>
      </c>
      <c r="E2247">
        <v>68</v>
      </c>
      <c r="F2247">
        <v>77.099999999999994</v>
      </c>
      <c r="G2247" s="2">
        <f t="shared" si="351"/>
        <v>1</v>
      </c>
      <c r="H2247">
        <v>87.8</v>
      </c>
      <c r="I2247">
        <v>68</v>
      </c>
      <c r="J2247">
        <v>77.099999999999994</v>
      </c>
      <c r="K2247">
        <v>62.7</v>
      </c>
      <c r="L2247">
        <v>64.8</v>
      </c>
      <c r="M2247" s="2">
        <f t="shared" si="352"/>
        <v>1</v>
      </c>
      <c r="N2247">
        <v>0</v>
      </c>
      <c r="O2247" s="2">
        <f t="shared" si="353"/>
        <v>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30</v>
      </c>
      <c r="V2247" s="2">
        <f t="shared" si="354"/>
        <v>1</v>
      </c>
      <c r="W2247">
        <v>20.8</v>
      </c>
      <c r="X2247" s="2">
        <f t="shared" si="355"/>
        <v>1</v>
      </c>
      <c r="Y2247">
        <v>175.9</v>
      </c>
      <c r="Z2247" s="2" t="str">
        <f>CHOOSE(MATCH(Y2247,{0;11;80;111;161;191;241;281;341},1),"North","NorthEast","East","SouthEast","South","SouthWest","West","NorthWest","North")</f>
        <v>South</v>
      </c>
      <c r="AA2247" s="4">
        <f>CHOOSE(MATCH(Z2247,{"South";"SouthEast";"SouthWest";"North";"NorthEast";"East";"West";"NorthWest"},0),1,2,3,4,5,6,7,8)</f>
        <v>1</v>
      </c>
      <c r="AB2247" s="2">
        <f t="shared" si="356"/>
        <v>0</v>
      </c>
      <c r="AC2247">
        <v>1010.5</v>
      </c>
      <c r="AD2247" t="s">
        <v>1759</v>
      </c>
      <c r="AE2247" s="2">
        <f t="shared" si="357"/>
        <v>1</v>
      </c>
      <c r="AF2247" t="s">
        <v>3070</v>
      </c>
      <c r="AG2247" s="2">
        <f t="shared" si="358"/>
        <v>10</v>
      </c>
      <c r="AH2247" s="2">
        <f t="shared" si="359"/>
        <v>0</v>
      </c>
      <c r="AI2247" s="3">
        <v>130.00000000465661</v>
      </c>
      <c r="AJ2247" s="2">
        <v>0</v>
      </c>
      <c r="AK2247">
        <v>0</v>
      </c>
      <c r="AL2247">
        <v>0.03</v>
      </c>
      <c r="AM2247">
        <v>0</v>
      </c>
      <c r="AN2247" s="2">
        <f>IF((2*G2247+M2247-O2247+3*V2247+2*AB2247+2*AE2247+2*AH2247+3*AJ2247)&gt;=7,1,0)</f>
        <v>1</v>
      </c>
    </row>
    <row r="2248" spans="1:40" x14ac:dyDescent="0.25">
      <c r="A2248" t="s">
        <v>27</v>
      </c>
      <c r="B2248" s="1">
        <v>43742</v>
      </c>
      <c r="C2248" s="6">
        <f t="shared" si="350"/>
        <v>2019</v>
      </c>
      <c r="D2248">
        <v>91.4</v>
      </c>
      <c r="E2248">
        <v>73.400000000000006</v>
      </c>
      <c r="F2248">
        <v>80.3</v>
      </c>
      <c r="G2248" s="2">
        <f t="shared" si="351"/>
        <v>1</v>
      </c>
      <c r="H2248">
        <v>90.7</v>
      </c>
      <c r="I2248">
        <v>73.400000000000006</v>
      </c>
      <c r="J2248">
        <v>80.2</v>
      </c>
      <c r="K2248">
        <v>61.3</v>
      </c>
      <c r="L2248">
        <v>54.3</v>
      </c>
      <c r="M2248" s="2">
        <f t="shared" si="352"/>
        <v>1</v>
      </c>
      <c r="N2248">
        <v>0</v>
      </c>
      <c r="O2248" s="2">
        <f t="shared" si="353"/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46.1</v>
      </c>
      <c r="V2248" s="2">
        <f t="shared" si="354"/>
        <v>1</v>
      </c>
      <c r="W2248">
        <v>33.299999999999997</v>
      </c>
      <c r="X2248" s="2">
        <f t="shared" si="355"/>
        <v>1</v>
      </c>
      <c r="Y2248">
        <v>172.6</v>
      </c>
      <c r="Z2248" s="2" t="str">
        <f>CHOOSE(MATCH(Y2248,{0;11;80;111;161;191;241;281;341},1),"North","NorthEast","East","SouthEast","South","SouthWest","West","NorthWest","North")</f>
        <v>South</v>
      </c>
      <c r="AA2248" s="4">
        <f>CHOOSE(MATCH(Z2248,{"South";"SouthEast";"SouthWest";"North";"NorthEast";"East";"West";"NorthWest"},0),1,2,3,4,5,6,7,8)</f>
        <v>1</v>
      </c>
      <c r="AB2248" s="2">
        <f t="shared" si="356"/>
        <v>0</v>
      </c>
      <c r="AC2248">
        <v>1008.1</v>
      </c>
      <c r="AD2248" t="s">
        <v>3071</v>
      </c>
      <c r="AE2248" s="2">
        <f t="shared" si="357"/>
        <v>1</v>
      </c>
      <c r="AF2248" t="s">
        <v>3072</v>
      </c>
      <c r="AG2248" s="2">
        <f t="shared" si="358"/>
        <v>10</v>
      </c>
      <c r="AH2248" s="2">
        <f t="shared" si="359"/>
        <v>0</v>
      </c>
      <c r="AI2248" s="3">
        <v>3328.9999999967399</v>
      </c>
      <c r="AJ2248" s="2">
        <v>1</v>
      </c>
      <c r="AK2248">
        <v>0</v>
      </c>
      <c r="AL2248">
        <v>10</v>
      </c>
      <c r="AM2248">
        <v>0</v>
      </c>
      <c r="AN2248" s="2">
        <f>IF((2*G2248+M2248-O2248+3*V2248+2*AB2248+2*AE2248+2*AH2248+3*AJ2248)&gt;=7,1,0)</f>
        <v>1</v>
      </c>
    </row>
    <row r="2249" spans="1:40" x14ac:dyDescent="0.25">
      <c r="A2249" t="s">
        <v>27</v>
      </c>
      <c r="B2249" s="1">
        <v>43759</v>
      </c>
      <c r="C2249" s="6">
        <f t="shared" si="350"/>
        <v>2019</v>
      </c>
      <c r="D2249">
        <v>75.2</v>
      </c>
      <c r="E2249">
        <v>62.6</v>
      </c>
      <c r="F2249">
        <v>69.2</v>
      </c>
      <c r="G2249" s="2">
        <f t="shared" si="351"/>
        <v>0</v>
      </c>
      <c r="H2249">
        <v>75.2</v>
      </c>
      <c r="I2249">
        <v>62.6</v>
      </c>
      <c r="J2249">
        <v>69.2</v>
      </c>
      <c r="K2249">
        <v>63.1</v>
      </c>
      <c r="L2249">
        <v>81.599999999999994</v>
      </c>
      <c r="M2249" s="2">
        <f t="shared" si="352"/>
        <v>0</v>
      </c>
      <c r="N2249">
        <v>0</v>
      </c>
      <c r="O2249" s="2">
        <f t="shared" si="353"/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23</v>
      </c>
      <c r="V2249" s="2">
        <f t="shared" si="354"/>
        <v>1</v>
      </c>
      <c r="W2249">
        <v>18.3</v>
      </c>
      <c r="X2249" s="2">
        <f t="shared" si="355"/>
        <v>1</v>
      </c>
      <c r="Y2249">
        <v>303.7</v>
      </c>
      <c r="Z2249" s="2" t="str">
        <f>CHOOSE(MATCH(Y2249,{0;11;80;111;161;191;241;281;341},1),"North","NorthEast","East","SouthEast","South","SouthWest","West","NorthWest","North")</f>
        <v>NorthWest</v>
      </c>
      <c r="AA2249" s="4">
        <f>CHOOSE(MATCH(Z2249,{"South";"SouthEast";"SouthWest";"North";"NorthEast";"East";"West";"NorthWest"},0),1,2,3,4,5,6,7,8)</f>
        <v>8</v>
      </c>
      <c r="AB2249" s="2">
        <f t="shared" si="356"/>
        <v>1</v>
      </c>
      <c r="AC2249">
        <v>1018.2</v>
      </c>
      <c r="AD2249" t="s">
        <v>3073</v>
      </c>
      <c r="AE2249" s="2">
        <f t="shared" si="357"/>
        <v>0</v>
      </c>
      <c r="AF2249" t="s">
        <v>3074</v>
      </c>
      <c r="AG2249" s="2">
        <f t="shared" si="358"/>
        <v>10</v>
      </c>
      <c r="AH2249" s="2">
        <f t="shared" si="359"/>
        <v>0</v>
      </c>
      <c r="AI2249" s="3">
        <v>85.000000004656613</v>
      </c>
      <c r="AJ2249" s="2">
        <v>0</v>
      </c>
      <c r="AK2249">
        <v>0</v>
      </c>
      <c r="AL2249">
        <v>0.1</v>
      </c>
      <c r="AM2249">
        <v>0</v>
      </c>
      <c r="AN2249" s="2">
        <f>IF((2*G2249+M2249-O2249+3*V2249+2*AB2249+2*AE2249+2*AH2249+3*AJ2249)&gt;=7,1,0)</f>
        <v>0</v>
      </c>
    </row>
    <row r="2250" spans="1:40" x14ac:dyDescent="0.25">
      <c r="A2250" t="s">
        <v>27</v>
      </c>
      <c r="B2250" s="1">
        <v>43761</v>
      </c>
      <c r="C2250" s="6">
        <f t="shared" si="350"/>
        <v>2019</v>
      </c>
      <c r="D2250">
        <v>73.400000000000006</v>
      </c>
      <c r="E2250">
        <v>66.2</v>
      </c>
      <c r="F2250">
        <v>70.7</v>
      </c>
      <c r="G2250" s="2">
        <f t="shared" si="351"/>
        <v>1</v>
      </c>
      <c r="H2250">
        <v>73.400000000000006</v>
      </c>
      <c r="I2250">
        <v>66.2</v>
      </c>
      <c r="J2250">
        <v>70.7</v>
      </c>
      <c r="K2250">
        <v>63</v>
      </c>
      <c r="L2250">
        <v>76.7</v>
      </c>
      <c r="M2250" s="2">
        <f t="shared" si="352"/>
        <v>0</v>
      </c>
      <c r="N2250">
        <v>0</v>
      </c>
      <c r="O2250" s="2">
        <f t="shared" si="353"/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22.8</v>
      </c>
      <c r="V2250" s="2">
        <f t="shared" si="354"/>
        <v>1</v>
      </c>
      <c r="W2250">
        <v>16.100000000000001</v>
      </c>
      <c r="X2250" s="2">
        <f t="shared" si="355"/>
        <v>1</v>
      </c>
      <c r="Y2250">
        <v>317.5</v>
      </c>
      <c r="Z2250" s="2" t="str">
        <f>CHOOSE(MATCH(Y2250,{0;11;80;111;161;191;241;281;341},1),"North","NorthEast","East","SouthEast","South","SouthWest","West","NorthWest","North")</f>
        <v>NorthWest</v>
      </c>
      <c r="AA2250" s="4">
        <f>CHOOSE(MATCH(Z2250,{"South";"SouthEast";"SouthWest";"North";"NorthEast";"East";"West";"NorthWest"},0),1,2,3,4,5,6,7,8)</f>
        <v>8</v>
      </c>
      <c r="AB2250" s="2">
        <f t="shared" si="356"/>
        <v>1</v>
      </c>
      <c r="AC2250">
        <v>1015.8</v>
      </c>
      <c r="AD2250" t="s">
        <v>1772</v>
      </c>
      <c r="AE2250" s="2">
        <f t="shared" si="357"/>
        <v>0</v>
      </c>
      <c r="AF2250" t="s">
        <v>3075</v>
      </c>
      <c r="AG2250" s="2">
        <f t="shared" si="358"/>
        <v>10</v>
      </c>
      <c r="AH2250" s="2">
        <f t="shared" si="359"/>
        <v>0</v>
      </c>
      <c r="AI2250" s="3">
        <v>345.00000000349252</v>
      </c>
      <c r="AJ2250" s="2">
        <v>0</v>
      </c>
      <c r="AK2250">
        <v>0</v>
      </c>
      <c r="AL2250">
        <v>4</v>
      </c>
      <c r="AM2250">
        <v>0</v>
      </c>
      <c r="AN2250" s="2">
        <f>IF((2*G2250+M2250-O2250+3*V2250+2*AB2250+2*AE2250+2*AH2250+3*AJ2250)&gt;=7,1,0)</f>
        <v>0</v>
      </c>
    </row>
    <row r="2251" spans="1:40" x14ac:dyDescent="0.25">
      <c r="A2251" t="s">
        <v>27</v>
      </c>
      <c r="B2251" s="1">
        <v>43761</v>
      </c>
      <c r="C2251" s="6">
        <f t="shared" si="350"/>
        <v>2019</v>
      </c>
      <c r="D2251">
        <v>73.400000000000006</v>
      </c>
      <c r="E2251">
        <v>66.2</v>
      </c>
      <c r="F2251">
        <v>70.7</v>
      </c>
      <c r="G2251" s="2">
        <f t="shared" si="351"/>
        <v>1</v>
      </c>
      <c r="H2251">
        <v>73.400000000000006</v>
      </c>
      <c r="I2251">
        <v>66.2</v>
      </c>
      <c r="J2251">
        <v>70.7</v>
      </c>
      <c r="K2251">
        <v>63</v>
      </c>
      <c r="L2251">
        <v>76.7</v>
      </c>
      <c r="M2251" s="2">
        <f t="shared" si="352"/>
        <v>0</v>
      </c>
      <c r="N2251">
        <v>0</v>
      </c>
      <c r="O2251" s="2">
        <f t="shared" si="353"/>
        <v>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22.8</v>
      </c>
      <c r="V2251" s="2">
        <f t="shared" si="354"/>
        <v>1</v>
      </c>
      <c r="W2251">
        <v>16.100000000000001</v>
      </c>
      <c r="X2251" s="2">
        <f t="shared" si="355"/>
        <v>1</v>
      </c>
      <c r="Y2251">
        <v>317.5</v>
      </c>
      <c r="Z2251" s="2" t="str">
        <f>CHOOSE(MATCH(Y2251,{0;11;80;111;161;191;241;281;341},1),"North","NorthEast","East","SouthEast","South","SouthWest","West","NorthWest","North")</f>
        <v>NorthWest</v>
      </c>
      <c r="AA2251" s="4">
        <f>CHOOSE(MATCH(Z2251,{"South";"SouthEast";"SouthWest";"North";"NorthEast";"East";"West";"NorthWest"},0),1,2,3,4,5,6,7,8)</f>
        <v>8</v>
      </c>
      <c r="AB2251" s="2">
        <f t="shared" si="356"/>
        <v>1</v>
      </c>
      <c r="AC2251">
        <v>1015.8</v>
      </c>
      <c r="AD2251" t="s">
        <v>3076</v>
      </c>
      <c r="AE2251" s="2">
        <f t="shared" si="357"/>
        <v>0</v>
      </c>
      <c r="AF2251" t="s">
        <v>3077</v>
      </c>
      <c r="AG2251" s="2">
        <f t="shared" si="358"/>
        <v>10</v>
      </c>
      <c r="AH2251" s="2">
        <f t="shared" si="359"/>
        <v>0</v>
      </c>
      <c r="AI2251" s="3">
        <v>58.000000000465661</v>
      </c>
      <c r="AJ2251" s="2">
        <v>0</v>
      </c>
      <c r="AK2251">
        <v>0.5</v>
      </c>
      <c r="AL2251">
        <v>0</v>
      </c>
      <c r="AM2251">
        <v>0</v>
      </c>
      <c r="AN2251" s="2">
        <f>IF((2*G2251+M2251-O2251+3*V2251+2*AB2251+2*AE2251+2*AH2251+3*AJ2251)&gt;=7,1,0)</f>
        <v>0</v>
      </c>
    </row>
    <row r="2252" spans="1:40" x14ac:dyDescent="0.25">
      <c r="A2252" t="s">
        <v>27</v>
      </c>
      <c r="B2252" s="1">
        <v>43770</v>
      </c>
      <c r="C2252" s="6">
        <f t="shared" si="350"/>
        <v>2019</v>
      </c>
      <c r="D2252">
        <v>71.599999999999994</v>
      </c>
      <c r="E2252">
        <v>62.6</v>
      </c>
      <c r="F2252">
        <v>66.400000000000006</v>
      </c>
      <c r="G2252" s="2">
        <f t="shared" si="351"/>
        <v>0</v>
      </c>
      <c r="H2252">
        <v>71.599999999999994</v>
      </c>
      <c r="I2252">
        <v>62.6</v>
      </c>
      <c r="J2252">
        <v>66.400000000000006</v>
      </c>
      <c r="K2252">
        <v>58.9</v>
      </c>
      <c r="L2252">
        <v>77.2</v>
      </c>
      <c r="M2252" s="2">
        <f t="shared" si="352"/>
        <v>0</v>
      </c>
      <c r="N2252">
        <v>6.0000000000000001E-3</v>
      </c>
      <c r="O2252" s="2">
        <f t="shared" si="353"/>
        <v>1</v>
      </c>
      <c r="P2252">
        <v>100</v>
      </c>
      <c r="Q2252">
        <v>4.17</v>
      </c>
      <c r="R2252" t="s">
        <v>182</v>
      </c>
      <c r="S2252">
        <v>0</v>
      </c>
      <c r="T2252">
        <v>0</v>
      </c>
      <c r="U2252">
        <v>25.3</v>
      </c>
      <c r="V2252" s="2">
        <f t="shared" si="354"/>
        <v>1</v>
      </c>
      <c r="W2252">
        <v>13.9</v>
      </c>
      <c r="X2252" s="2">
        <f t="shared" si="355"/>
        <v>0</v>
      </c>
      <c r="Y2252">
        <v>263.8</v>
      </c>
      <c r="Z2252" s="2" t="str">
        <f>CHOOSE(MATCH(Y2252,{0;11;80;111;161;191;241;281;341},1),"North","NorthEast","East","SouthEast","South","SouthWest","West","NorthWest","North")</f>
        <v>West</v>
      </c>
      <c r="AA2252" s="4">
        <f>CHOOSE(MATCH(Z2252,{"South";"SouthEast";"SouthWest";"North";"NorthEast";"East";"West";"NorthWest"},0),1,2,3,4,5,6,7,8)</f>
        <v>7</v>
      </c>
      <c r="AB2252" s="2">
        <f t="shared" si="356"/>
        <v>0</v>
      </c>
      <c r="AC2252">
        <v>1014.5</v>
      </c>
      <c r="AD2252" t="s">
        <v>3078</v>
      </c>
      <c r="AE2252" s="2">
        <f t="shared" si="357"/>
        <v>1</v>
      </c>
      <c r="AF2252" t="s">
        <v>3079</v>
      </c>
      <c r="AG2252" s="2">
        <f t="shared" si="358"/>
        <v>11</v>
      </c>
      <c r="AH2252" s="2">
        <f t="shared" si="359"/>
        <v>0</v>
      </c>
      <c r="AI2252" s="3">
        <v>521.99999999371357</v>
      </c>
      <c r="AJ2252" s="2">
        <v>1</v>
      </c>
      <c r="AK2252">
        <v>0</v>
      </c>
      <c r="AL2252">
        <v>200</v>
      </c>
      <c r="AM2252">
        <v>0</v>
      </c>
      <c r="AN2252" s="2">
        <f>IF((2*G2252+M2252-O2252+3*V2252+2*AB2252+2*AE2252+2*AH2252+3*AJ2252)&gt;=7,1,0)</f>
        <v>1</v>
      </c>
    </row>
    <row r="2253" spans="1:40" x14ac:dyDescent="0.25">
      <c r="A2253" t="s">
        <v>27</v>
      </c>
      <c r="B2253" s="1">
        <v>43773</v>
      </c>
      <c r="C2253" s="6">
        <f t="shared" si="350"/>
        <v>2019</v>
      </c>
      <c r="D2253">
        <v>80.599999999999994</v>
      </c>
      <c r="E2253">
        <v>63.6</v>
      </c>
      <c r="F2253">
        <v>72.2</v>
      </c>
      <c r="G2253" s="2">
        <f t="shared" si="351"/>
        <v>1</v>
      </c>
      <c r="H2253">
        <v>81.099999999999994</v>
      </c>
      <c r="I2253">
        <v>63.6</v>
      </c>
      <c r="J2253">
        <v>72.3</v>
      </c>
      <c r="K2253">
        <v>60.7</v>
      </c>
      <c r="L2253">
        <v>68.400000000000006</v>
      </c>
      <c r="M2253" s="2">
        <f t="shared" si="352"/>
        <v>0</v>
      </c>
      <c r="N2253">
        <v>0</v>
      </c>
      <c r="O2253" s="2">
        <f t="shared" si="353"/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43.8</v>
      </c>
      <c r="V2253" s="2">
        <f t="shared" si="354"/>
        <v>1</v>
      </c>
      <c r="W2253">
        <v>19.7</v>
      </c>
      <c r="X2253" s="2">
        <f t="shared" si="355"/>
        <v>1</v>
      </c>
      <c r="Y2253">
        <v>172.4</v>
      </c>
      <c r="Z2253" s="2" t="str">
        <f>CHOOSE(MATCH(Y2253,{0;11;80;111;161;191;241;281;341},1),"North","NorthEast","East","SouthEast","South","SouthWest","West","NorthWest","North")</f>
        <v>South</v>
      </c>
      <c r="AA2253" s="4">
        <f>CHOOSE(MATCH(Z2253,{"South";"SouthEast";"SouthWest";"North";"NorthEast";"East";"West";"NorthWest"},0),1,2,3,4,5,6,7,8)</f>
        <v>1</v>
      </c>
      <c r="AB2253" s="2">
        <f t="shared" si="356"/>
        <v>0</v>
      </c>
      <c r="AC2253">
        <v>1015.1</v>
      </c>
      <c r="AD2253" t="s">
        <v>3080</v>
      </c>
      <c r="AE2253" s="2">
        <f t="shared" si="357"/>
        <v>1</v>
      </c>
      <c r="AF2253" t="s">
        <v>3081</v>
      </c>
      <c r="AG2253" s="2">
        <f t="shared" si="358"/>
        <v>11</v>
      </c>
      <c r="AH2253" s="2">
        <f t="shared" si="359"/>
        <v>0</v>
      </c>
      <c r="AI2253" s="3">
        <v>323.99999999790452</v>
      </c>
      <c r="AJ2253" s="2">
        <v>0</v>
      </c>
      <c r="AK2253">
        <v>0</v>
      </c>
      <c r="AL2253">
        <v>1</v>
      </c>
      <c r="AM2253">
        <v>0</v>
      </c>
      <c r="AN2253" s="2">
        <f>IF((2*G2253+M2253-O2253+3*V2253+2*AB2253+2*AE2253+2*AH2253+3*AJ2253)&gt;=7,1,0)</f>
        <v>0</v>
      </c>
    </row>
    <row r="2254" spans="1:40" x14ac:dyDescent="0.25">
      <c r="A2254" t="s">
        <v>27</v>
      </c>
      <c r="B2254" s="1">
        <v>43775</v>
      </c>
      <c r="C2254" s="6">
        <f t="shared" si="350"/>
        <v>2019</v>
      </c>
      <c r="D2254">
        <v>84.2</v>
      </c>
      <c r="E2254">
        <v>68</v>
      </c>
      <c r="F2254">
        <v>74.099999999999994</v>
      </c>
      <c r="G2254" s="2">
        <f t="shared" si="351"/>
        <v>1</v>
      </c>
      <c r="H2254">
        <v>83.9</v>
      </c>
      <c r="I2254">
        <v>68</v>
      </c>
      <c r="J2254">
        <v>74.099999999999994</v>
      </c>
      <c r="K2254">
        <v>60.9</v>
      </c>
      <c r="L2254">
        <v>64.900000000000006</v>
      </c>
      <c r="M2254" s="2">
        <f t="shared" si="352"/>
        <v>1</v>
      </c>
      <c r="N2254">
        <v>0</v>
      </c>
      <c r="O2254" s="2">
        <f t="shared" si="353"/>
        <v>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24.2</v>
      </c>
      <c r="V2254" s="2">
        <f t="shared" si="354"/>
        <v>1</v>
      </c>
      <c r="W2254">
        <v>19.7</v>
      </c>
      <c r="X2254" s="2">
        <f t="shared" si="355"/>
        <v>1</v>
      </c>
      <c r="Y2254">
        <v>178.7</v>
      </c>
      <c r="Z2254" s="2" t="str">
        <f>CHOOSE(MATCH(Y2254,{0;11;80;111;161;191;241;281;341},1),"North","NorthEast","East","SouthEast","South","SouthWest","West","NorthWest","North")</f>
        <v>South</v>
      </c>
      <c r="AA2254" s="4">
        <f>CHOOSE(MATCH(Z2254,{"South";"SouthEast";"SouthWest";"North";"NorthEast";"East";"West";"NorthWest"},0),1,2,3,4,5,6,7,8)</f>
        <v>1</v>
      </c>
      <c r="AB2254" s="2">
        <f t="shared" si="356"/>
        <v>0</v>
      </c>
      <c r="AC2254">
        <v>1013.8</v>
      </c>
      <c r="AD2254" t="s">
        <v>3082</v>
      </c>
      <c r="AE2254" s="2">
        <f t="shared" si="357"/>
        <v>0</v>
      </c>
      <c r="AF2254" t="s">
        <v>3083</v>
      </c>
      <c r="AG2254" s="2">
        <f t="shared" si="358"/>
        <v>11</v>
      </c>
      <c r="AH2254" s="2">
        <f t="shared" si="359"/>
        <v>0</v>
      </c>
      <c r="AI2254" s="3">
        <v>296.00000000093132</v>
      </c>
      <c r="AJ2254" s="2">
        <v>0</v>
      </c>
      <c r="AK2254">
        <v>0</v>
      </c>
      <c r="AL2254">
        <v>1.5</v>
      </c>
      <c r="AM2254">
        <v>0</v>
      </c>
      <c r="AN2254" s="2">
        <f>IF((2*G2254+M2254-O2254+3*V2254+2*AB2254+2*AE2254+2*AH2254+3*AJ2254)&gt;=7,1,0)</f>
        <v>0</v>
      </c>
    </row>
    <row r="2255" spans="1:40" x14ac:dyDescent="0.25">
      <c r="A2255" t="s">
        <v>27</v>
      </c>
      <c r="B2255" s="1">
        <v>43779</v>
      </c>
      <c r="C2255" s="6">
        <f t="shared" si="350"/>
        <v>2019</v>
      </c>
      <c r="D2255">
        <v>78.8</v>
      </c>
      <c r="E2255">
        <v>64.400000000000006</v>
      </c>
      <c r="F2255">
        <v>71.599999999999994</v>
      </c>
      <c r="G2255" s="2">
        <f t="shared" si="351"/>
        <v>1</v>
      </c>
      <c r="H2255">
        <v>78.8</v>
      </c>
      <c r="I2255">
        <v>64.400000000000006</v>
      </c>
      <c r="J2255">
        <v>71.599999999999994</v>
      </c>
      <c r="K2255">
        <v>61.5</v>
      </c>
      <c r="L2255">
        <v>71.599999999999994</v>
      </c>
      <c r="M2255" s="2">
        <f t="shared" si="352"/>
        <v>0</v>
      </c>
      <c r="N2255">
        <v>0</v>
      </c>
      <c r="O2255" s="2">
        <f t="shared" si="353"/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19.7</v>
      </c>
      <c r="V2255" s="2">
        <f t="shared" si="354"/>
        <v>1</v>
      </c>
      <c r="W2255">
        <v>12.7</v>
      </c>
      <c r="X2255" s="2">
        <f t="shared" si="355"/>
        <v>0</v>
      </c>
      <c r="Y2255">
        <v>197.3</v>
      </c>
      <c r="Z2255" s="2" t="str">
        <f>CHOOSE(MATCH(Y2255,{0;11;80;111;161;191;241;281;341},1),"North","NorthEast","East","SouthEast","South","SouthWest","West","NorthWest","North")</f>
        <v>SouthWest</v>
      </c>
      <c r="AA2255" s="4">
        <f>CHOOSE(MATCH(Z2255,{"South";"SouthEast";"SouthWest";"North";"NorthEast";"East";"West";"NorthWest"},0),1,2,3,4,5,6,7,8)</f>
        <v>3</v>
      </c>
      <c r="AB2255" s="2">
        <f t="shared" si="356"/>
        <v>0</v>
      </c>
      <c r="AC2255">
        <v>1014</v>
      </c>
      <c r="AD2255" t="s">
        <v>3082</v>
      </c>
      <c r="AE2255" s="2">
        <f t="shared" si="357"/>
        <v>0</v>
      </c>
      <c r="AF2255" t="s">
        <v>3084</v>
      </c>
      <c r="AG2255" s="2">
        <f t="shared" si="358"/>
        <v>11</v>
      </c>
      <c r="AH2255" s="2">
        <f t="shared" si="359"/>
        <v>0</v>
      </c>
      <c r="AI2255" s="3">
        <v>422.99999999580899</v>
      </c>
      <c r="AJ2255" s="2">
        <v>1</v>
      </c>
      <c r="AK2255">
        <v>2</v>
      </c>
      <c r="AL2255">
        <v>0</v>
      </c>
      <c r="AM2255">
        <v>0</v>
      </c>
      <c r="AN2255" s="2">
        <f>IF((2*G2255+M2255-O2255+3*V2255+2*AB2255+2*AE2255+2*AH2255+3*AJ2255)&gt;=7,1,0)</f>
        <v>1</v>
      </c>
    </row>
    <row r="2256" spans="1:40" x14ac:dyDescent="0.25">
      <c r="A2256" t="s">
        <v>27</v>
      </c>
      <c r="B2256" s="1">
        <v>43779</v>
      </c>
      <c r="C2256" s="6">
        <f t="shared" si="350"/>
        <v>2019</v>
      </c>
      <c r="D2256">
        <v>78.8</v>
      </c>
      <c r="E2256">
        <v>64.400000000000006</v>
      </c>
      <c r="F2256">
        <v>71.599999999999994</v>
      </c>
      <c r="G2256" s="2">
        <f t="shared" si="351"/>
        <v>1</v>
      </c>
      <c r="H2256">
        <v>78.8</v>
      </c>
      <c r="I2256">
        <v>64.400000000000006</v>
      </c>
      <c r="J2256">
        <v>71.599999999999994</v>
      </c>
      <c r="K2256">
        <v>61.5</v>
      </c>
      <c r="L2256">
        <v>71.599999999999994</v>
      </c>
      <c r="M2256" s="2">
        <f t="shared" si="352"/>
        <v>0</v>
      </c>
      <c r="N2256">
        <v>0</v>
      </c>
      <c r="O2256" s="2">
        <f t="shared" si="353"/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19.7</v>
      </c>
      <c r="V2256" s="2">
        <f t="shared" si="354"/>
        <v>1</v>
      </c>
      <c r="W2256">
        <v>12.7</v>
      </c>
      <c r="X2256" s="2">
        <f t="shared" si="355"/>
        <v>0</v>
      </c>
      <c r="Y2256">
        <v>197.3</v>
      </c>
      <c r="Z2256" s="2" t="str">
        <f>CHOOSE(MATCH(Y2256,{0;11;80;111;161;191;241;281;341},1),"North","NorthEast","East","SouthEast","South","SouthWest","West","NorthWest","North")</f>
        <v>SouthWest</v>
      </c>
      <c r="AA2256" s="4">
        <f>CHOOSE(MATCH(Z2256,{"South";"SouthEast";"SouthWest";"North";"NorthEast";"East";"West";"NorthWest"},0),1,2,3,4,5,6,7,8)</f>
        <v>3</v>
      </c>
      <c r="AB2256" s="2">
        <f t="shared" si="356"/>
        <v>0</v>
      </c>
      <c r="AC2256">
        <v>1014</v>
      </c>
      <c r="AD2256" t="s">
        <v>2986</v>
      </c>
      <c r="AE2256" s="2">
        <f t="shared" si="357"/>
        <v>1</v>
      </c>
      <c r="AF2256" t="s">
        <v>3085</v>
      </c>
      <c r="AG2256" s="2">
        <f t="shared" si="358"/>
        <v>11</v>
      </c>
      <c r="AH2256" s="2">
        <f t="shared" si="359"/>
        <v>0</v>
      </c>
      <c r="AI2256" s="3">
        <v>251.9999999937136</v>
      </c>
      <c r="AJ2256" s="2">
        <v>0</v>
      </c>
      <c r="AK2256">
        <v>0</v>
      </c>
      <c r="AL2256">
        <v>0.1</v>
      </c>
      <c r="AM2256">
        <v>0</v>
      </c>
      <c r="AN2256" s="2">
        <f>IF((2*G2256+M2256-O2256+3*V2256+2*AB2256+2*AE2256+2*AH2256+3*AJ2256)&gt;=7,1,0)</f>
        <v>0</v>
      </c>
    </row>
    <row r="2257" spans="1:40" x14ac:dyDescent="0.25">
      <c r="A2257" t="s">
        <v>27</v>
      </c>
      <c r="B2257" s="1">
        <v>43788</v>
      </c>
      <c r="C2257" s="6">
        <f t="shared" si="350"/>
        <v>2019</v>
      </c>
      <c r="D2257">
        <v>77</v>
      </c>
      <c r="E2257">
        <v>62.5</v>
      </c>
      <c r="F2257">
        <v>68</v>
      </c>
      <c r="G2257" s="2">
        <f t="shared" si="351"/>
        <v>0</v>
      </c>
      <c r="H2257">
        <v>77</v>
      </c>
      <c r="I2257">
        <v>62.5</v>
      </c>
      <c r="J2257">
        <v>68</v>
      </c>
      <c r="K2257">
        <v>56.2</v>
      </c>
      <c r="L2257">
        <v>67.599999999999994</v>
      </c>
      <c r="M2257" s="2">
        <f t="shared" si="352"/>
        <v>0</v>
      </c>
      <c r="N2257">
        <v>0</v>
      </c>
      <c r="O2257" s="2">
        <f t="shared" si="353"/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20.8</v>
      </c>
      <c r="V2257" s="2">
        <f t="shared" si="354"/>
        <v>1</v>
      </c>
      <c r="W2257">
        <v>11.4</v>
      </c>
      <c r="X2257" s="2">
        <f t="shared" si="355"/>
        <v>0</v>
      </c>
      <c r="Y2257">
        <v>157.6</v>
      </c>
      <c r="Z2257" s="2" t="str">
        <f>CHOOSE(MATCH(Y2257,{0;11;80;111;161;191;241;281;341},1),"North","NorthEast","East","SouthEast","South","SouthWest","West","NorthWest","North")</f>
        <v>SouthEast</v>
      </c>
      <c r="AA2257" s="4">
        <f>CHOOSE(MATCH(Z2257,{"South";"SouthEast";"SouthWest";"North";"NorthEast";"East";"West";"NorthWest"},0),1,2,3,4,5,6,7,8)</f>
        <v>2</v>
      </c>
      <c r="AB2257" s="2">
        <f t="shared" si="356"/>
        <v>0</v>
      </c>
      <c r="AC2257">
        <v>1019.5</v>
      </c>
      <c r="AD2257" t="s">
        <v>1988</v>
      </c>
      <c r="AE2257" s="2">
        <f t="shared" si="357"/>
        <v>0</v>
      </c>
      <c r="AF2257" t="s">
        <v>3086</v>
      </c>
      <c r="AG2257" s="2">
        <f t="shared" si="358"/>
        <v>11</v>
      </c>
      <c r="AH2257" s="2">
        <f t="shared" si="359"/>
        <v>0</v>
      </c>
      <c r="AI2257" s="3">
        <v>75.00000000349246</v>
      </c>
      <c r="AJ2257" s="2">
        <v>0</v>
      </c>
      <c r="AK2257">
        <v>0</v>
      </c>
      <c r="AL2257">
        <v>0.1</v>
      </c>
      <c r="AM2257">
        <v>0</v>
      </c>
      <c r="AN2257" s="2">
        <f>IF((2*G2257+M2257-O2257+3*V2257+2*AB2257+2*AE2257+2*AH2257+3*AJ2257)&gt;=7,1,0)</f>
        <v>0</v>
      </c>
    </row>
    <row r="2258" spans="1:40" x14ac:dyDescent="0.25">
      <c r="A2258" t="s">
        <v>27</v>
      </c>
      <c r="B2258" s="1">
        <v>43800</v>
      </c>
      <c r="C2258" s="6">
        <f t="shared" si="350"/>
        <v>2019</v>
      </c>
      <c r="D2258">
        <v>64.400000000000006</v>
      </c>
      <c r="E2258">
        <v>59</v>
      </c>
      <c r="F2258">
        <v>62.9</v>
      </c>
      <c r="G2258" s="2">
        <f t="shared" si="351"/>
        <v>0</v>
      </c>
      <c r="H2258">
        <v>64.400000000000006</v>
      </c>
      <c r="I2258">
        <v>59</v>
      </c>
      <c r="J2258">
        <v>62.9</v>
      </c>
      <c r="K2258">
        <v>52.5</v>
      </c>
      <c r="L2258">
        <v>69.2</v>
      </c>
      <c r="M2258" s="2">
        <f t="shared" si="352"/>
        <v>0</v>
      </c>
      <c r="N2258">
        <v>4.7E-2</v>
      </c>
      <c r="O2258" s="2">
        <f t="shared" si="353"/>
        <v>0</v>
      </c>
      <c r="P2258">
        <v>100</v>
      </c>
      <c r="Q2258">
        <v>8.33</v>
      </c>
      <c r="R2258" t="s">
        <v>182</v>
      </c>
      <c r="S2258">
        <v>0</v>
      </c>
      <c r="T2258">
        <v>0</v>
      </c>
      <c r="U2258">
        <v>26.8</v>
      </c>
      <c r="V2258" s="2">
        <f t="shared" si="354"/>
        <v>1</v>
      </c>
      <c r="W2258">
        <v>20.8</v>
      </c>
      <c r="X2258" s="2">
        <f t="shared" si="355"/>
        <v>1</v>
      </c>
      <c r="Y2258">
        <v>349.3</v>
      </c>
      <c r="Z2258" s="2" t="str">
        <f>CHOOSE(MATCH(Y2258,{0;11;80;111;161;191;241;281;341},1),"North","NorthEast","East","SouthEast","South","SouthWest","West","NorthWest","North")</f>
        <v>North</v>
      </c>
      <c r="AA2258" s="4">
        <f>CHOOSE(MATCH(Z2258,{"South";"SouthEast";"SouthWest";"North";"NorthEast";"East";"West";"NorthWest"},0),1,2,3,4,5,6,7,8)</f>
        <v>4</v>
      </c>
      <c r="AB2258" s="2">
        <f t="shared" si="356"/>
        <v>1</v>
      </c>
      <c r="AC2258">
        <v>1018.1</v>
      </c>
      <c r="AD2258" t="s">
        <v>1864</v>
      </c>
      <c r="AE2258" s="2">
        <f t="shared" si="357"/>
        <v>1</v>
      </c>
      <c r="AF2258" t="s">
        <v>3087</v>
      </c>
      <c r="AG2258" s="2">
        <f t="shared" si="358"/>
        <v>12</v>
      </c>
      <c r="AH2258" s="2">
        <f t="shared" si="359"/>
        <v>0</v>
      </c>
      <c r="AI2258" s="3">
        <v>0</v>
      </c>
      <c r="AJ2258" s="2">
        <v>0</v>
      </c>
      <c r="AK2258">
        <v>0</v>
      </c>
      <c r="AL2258">
        <v>0.01</v>
      </c>
      <c r="AM2258">
        <v>0</v>
      </c>
      <c r="AN2258" s="2">
        <f>IF((2*G2258+M2258-O2258+3*V2258+2*AB2258+2*AE2258+2*AH2258+3*AJ2258)&gt;=7,1,0)</f>
        <v>1</v>
      </c>
    </row>
    <row r="2259" spans="1:40" x14ac:dyDescent="0.25">
      <c r="A2259" t="s">
        <v>27</v>
      </c>
      <c r="B2259" s="1">
        <v>43801</v>
      </c>
      <c r="C2259" s="6">
        <f t="shared" si="350"/>
        <v>2019</v>
      </c>
      <c r="D2259">
        <v>62.6</v>
      </c>
      <c r="E2259">
        <v>51.2</v>
      </c>
      <c r="F2259">
        <v>58.5</v>
      </c>
      <c r="G2259" s="2">
        <f t="shared" si="351"/>
        <v>0</v>
      </c>
      <c r="H2259">
        <v>62.6</v>
      </c>
      <c r="I2259">
        <v>51.2</v>
      </c>
      <c r="J2259">
        <v>58.5</v>
      </c>
      <c r="K2259">
        <v>45.5</v>
      </c>
      <c r="L2259">
        <v>62.1</v>
      </c>
      <c r="M2259" s="2">
        <f t="shared" si="352"/>
        <v>1</v>
      </c>
      <c r="N2259">
        <v>0</v>
      </c>
      <c r="O2259" s="2">
        <f t="shared" si="353"/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22.8</v>
      </c>
      <c r="V2259" s="2">
        <f t="shared" si="354"/>
        <v>1</v>
      </c>
      <c r="W2259">
        <v>16.100000000000001</v>
      </c>
      <c r="X2259" s="2">
        <f t="shared" si="355"/>
        <v>1</v>
      </c>
      <c r="Y2259">
        <v>326.8</v>
      </c>
      <c r="Z2259" s="2" t="str">
        <f>CHOOSE(MATCH(Y2259,{0;11;80;111;161;191;241;281;341},1),"North","NorthEast","East","SouthEast","South","SouthWest","West","NorthWest","North")</f>
        <v>NorthWest</v>
      </c>
      <c r="AA2259" s="4">
        <f>CHOOSE(MATCH(Z2259,{"South";"SouthEast";"SouthWest";"North";"NorthEast";"East";"West";"NorthWest"},0),1,2,3,4,5,6,7,8)</f>
        <v>8</v>
      </c>
      <c r="AB2259" s="2">
        <f t="shared" si="356"/>
        <v>1</v>
      </c>
      <c r="AC2259">
        <v>1022.2</v>
      </c>
      <c r="AD2259" t="s">
        <v>3088</v>
      </c>
      <c r="AE2259" s="2">
        <f t="shared" si="357"/>
        <v>1</v>
      </c>
      <c r="AF2259" t="s">
        <v>3089</v>
      </c>
      <c r="AG2259" s="2">
        <f t="shared" si="358"/>
        <v>12</v>
      </c>
      <c r="AH2259" s="2">
        <f t="shared" si="359"/>
        <v>0</v>
      </c>
      <c r="AI2259" s="3">
        <v>52.999999994644902</v>
      </c>
      <c r="AJ2259" s="2">
        <v>0</v>
      </c>
      <c r="AK2259">
        <v>0</v>
      </c>
      <c r="AL2259">
        <v>1</v>
      </c>
      <c r="AM2259">
        <v>0</v>
      </c>
      <c r="AN2259" s="2">
        <f>IF((2*G2259+M2259-O2259+3*V2259+2*AB2259+2*AE2259+2*AH2259+3*AJ2259)&gt;=7,1,0)</f>
        <v>1</v>
      </c>
    </row>
    <row r="2260" spans="1:40" x14ac:dyDescent="0.25">
      <c r="A2260" t="s">
        <v>27</v>
      </c>
      <c r="B2260" s="1">
        <v>43803</v>
      </c>
      <c r="C2260" s="6">
        <f t="shared" si="350"/>
        <v>2019</v>
      </c>
      <c r="D2260">
        <v>69.8</v>
      </c>
      <c r="E2260">
        <v>51.8</v>
      </c>
      <c r="F2260">
        <v>60.6</v>
      </c>
      <c r="G2260" s="2">
        <f t="shared" si="351"/>
        <v>0</v>
      </c>
      <c r="H2260">
        <v>69.8</v>
      </c>
      <c r="I2260">
        <v>51.8</v>
      </c>
      <c r="J2260">
        <v>60.6</v>
      </c>
      <c r="K2260">
        <v>53.2</v>
      </c>
      <c r="L2260">
        <v>77.5</v>
      </c>
      <c r="M2260" s="2">
        <f t="shared" si="352"/>
        <v>0</v>
      </c>
      <c r="N2260">
        <v>8.0000000000000002E-3</v>
      </c>
      <c r="O2260" s="2">
        <f t="shared" si="353"/>
        <v>1</v>
      </c>
      <c r="P2260">
        <v>100</v>
      </c>
      <c r="Q2260">
        <v>4.17</v>
      </c>
      <c r="R2260" t="s">
        <v>182</v>
      </c>
      <c r="S2260">
        <v>0</v>
      </c>
      <c r="T2260">
        <v>0</v>
      </c>
      <c r="U2260">
        <v>21.9</v>
      </c>
      <c r="V2260" s="2">
        <f t="shared" si="354"/>
        <v>1</v>
      </c>
      <c r="W2260">
        <v>23</v>
      </c>
      <c r="X2260" s="2">
        <f t="shared" si="355"/>
        <v>1</v>
      </c>
      <c r="Y2260">
        <v>47.1</v>
      </c>
      <c r="Z2260" s="2" t="str">
        <f>CHOOSE(MATCH(Y2260,{0;11;80;111;161;191;241;281;341},1),"North","NorthEast","East","SouthEast","South","SouthWest","West","NorthWest","North")</f>
        <v>NorthEast</v>
      </c>
      <c r="AA2260" s="4">
        <f>CHOOSE(MATCH(Z2260,{"South";"SouthEast";"SouthWest";"North";"NorthEast";"East";"West";"NorthWest"},0),1,2,3,4,5,6,7,8)</f>
        <v>5</v>
      </c>
      <c r="AB2260" s="2">
        <f t="shared" si="356"/>
        <v>1</v>
      </c>
      <c r="AC2260">
        <v>1017.5</v>
      </c>
      <c r="AD2260" t="s">
        <v>3090</v>
      </c>
      <c r="AE2260" s="2">
        <f t="shared" si="357"/>
        <v>1</v>
      </c>
      <c r="AF2260" t="s">
        <v>3091</v>
      </c>
      <c r="AG2260" s="2">
        <f t="shared" si="358"/>
        <v>12</v>
      </c>
      <c r="AH2260" s="2">
        <f t="shared" si="359"/>
        <v>0</v>
      </c>
      <c r="AI2260" s="3">
        <v>1.9999999960418791</v>
      </c>
      <c r="AJ2260" s="2">
        <v>0</v>
      </c>
      <c r="AK2260">
        <v>0</v>
      </c>
      <c r="AL2260">
        <v>5</v>
      </c>
      <c r="AM2260">
        <v>0</v>
      </c>
      <c r="AN2260" s="2">
        <f>IF((2*G2260+M2260-O2260+3*V2260+2*AB2260+2*AE2260+2*AH2260+3*AJ2260)&gt;=7,1,0)</f>
        <v>0</v>
      </c>
    </row>
    <row r="2261" spans="1:40" x14ac:dyDescent="0.25">
      <c r="A2261" t="s">
        <v>27</v>
      </c>
      <c r="B2261" s="1">
        <v>43804</v>
      </c>
      <c r="C2261" s="6">
        <f t="shared" si="350"/>
        <v>2019</v>
      </c>
      <c r="D2261">
        <v>60.8</v>
      </c>
      <c r="E2261">
        <v>57.2</v>
      </c>
      <c r="F2261">
        <v>59.6</v>
      </c>
      <c r="G2261" s="2">
        <f t="shared" si="351"/>
        <v>0</v>
      </c>
      <c r="H2261">
        <v>60.8</v>
      </c>
      <c r="I2261">
        <v>57.2</v>
      </c>
      <c r="J2261">
        <v>59.6</v>
      </c>
      <c r="K2261">
        <v>47.6</v>
      </c>
      <c r="L2261">
        <v>64.8</v>
      </c>
      <c r="M2261" s="2">
        <f t="shared" si="352"/>
        <v>1</v>
      </c>
      <c r="N2261">
        <v>0.77900000000000003</v>
      </c>
      <c r="O2261" s="2">
        <f t="shared" si="353"/>
        <v>0</v>
      </c>
      <c r="P2261">
        <v>100</v>
      </c>
      <c r="Q2261">
        <v>4.17</v>
      </c>
      <c r="R2261" t="s">
        <v>182</v>
      </c>
      <c r="S2261">
        <v>0</v>
      </c>
      <c r="T2261">
        <v>0</v>
      </c>
      <c r="U2261">
        <v>30</v>
      </c>
      <c r="V2261" s="2">
        <f t="shared" si="354"/>
        <v>1</v>
      </c>
      <c r="W2261">
        <v>19.600000000000001</v>
      </c>
      <c r="X2261" s="2">
        <f t="shared" si="355"/>
        <v>1</v>
      </c>
      <c r="Y2261">
        <v>337.3</v>
      </c>
      <c r="Z2261" s="2" t="str">
        <f>CHOOSE(MATCH(Y2261,{0;11;80;111;161;191;241;281;341},1),"North","NorthEast","East","SouthEast","South","SouthWest","West","NorthWest","North")</f>
        <v>NorthWest</v>
      </c>
      <c r="AA2261" s="4">
        <f>CHOOSE(MATCH(Z2261,{"South";"SouthEast";"SouthWest";"North";"NorthEast";"East";"West";"NorthWest"},0),1,2,3,4,5,6,7,8)</f>
        <v>8</v>
      </c>
      <c r="AB2261" s="2">
        <f t="shared" si="356"/>
        <v>1</v>
      </c>
      <c r="AC2261">
        <v>1023.7</v>
      </c>
      <c r="AD2261" t="s">
        <v>1069</v>
      </c>
      <c r="AE2261" s="2">
        <f t="shared" si="357"/>
        <v>1</v>
      </c>
      <c r="AF2261" t="s">
        <v>3092</v>
      </c>
      <c r="AG2261" s="2">
        <f t="shared" si="358"/>
        <v>12</v>
      </c>
      <c r="AH2261" s="2">
        <f t="shared" si="359"/>
        <v>0</v>
      </c>
      <c r="AI2261" s="3">
        <v>194.99999999650751</v>
      </c>
      <c r="AJ2261" s="2">
        <v>0</v>
      </c>
      <c r="AK2261">
        <v>0</v>
      </c>
      <c r="AL2261">
        <v>0.01</v>
      </c>
      <c r="AM2261">
        <v>0</v>
      </c>
      <c r="AN2261" s="2">
        <f>IF((2*G2261+M2261-O2261+3*V2261+2*AB2261+2*AE2261+2*AH2261+3*AJ2261)&gt;=7,1,0)</f>
        <v>1</v>
      </c>
    </row>
    <row r="2262" spans="1:40" x14ac:dyDescent="0.25">
      <c r="A2262" t="s">
        <v>27</v>
      </c>
      <c r="B2262" s="1">
        <v>43806</v>
      </c>
      <c r="C2262" s="6">
        <f t="shared" si="350"/>
        <v>2019</v>
      </c>
      <c r="D2262">
        <v>68</v>
      </c>
      <c r="E2262">
        <v>57.2</v>
      </c>
      <c r="F2262">
        <v>62</v>
      </c>
      <c r="G2262" s="2">
        <f t="shared" si="351"/>
        <v>0</v>
      </c>
      <c r="H2262">
        <v>68</v>
      </c>
      <c r="I2262">
        <v>57.2</v>
      </c>
      <c r="J2262">
        <v>62</v>
      </c>
      <c r="K2262">
        <v>53.1</v>
      </c>
      <c r="L2262">
        <v>72.7</v>
      </c>
      <c r="M2262" s="2">
        <f t="shared" si="352"/>
        <v>0</v>
      </c>
      <c r="N2262">
        <v>0</v>
      </c>
      <c r="O2262" s="2">
        <f t="shared" si="353"/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16.100000000000001</v>
      </c>
      <c r="V2262" s="2">
        <f t="shared" si="354"/>
        <v>1</v>
      </c>
      <c r="W2262">
        <v>11.4</v>
      </c>
      <c r="X2262" s="2">
        <f t="shared" si="355"/>
        <v>0</v>
      </c>
      <c r="Y2262">
        <v>253.8</v>
      </c>
      <c r="Z2262" s="2" t="str">
        <f>CHOOSE(MATCH(Y2262,{0;11;80;111;161;191;241;281;341},1),"North","NorthEast","East","SouthEast","South","SouthWest","West","NorthWest","North")</f>
        <v>West</v>
      </c>
      <c r="AA2262" s="4">
        <f>CHOOSE(MATCH(Z2262,{"South";"SouthEast";"SouthWest";"North";"NorthEast";"East";"West";"NorthWest"},0),1,2,3,4,5,6,7,8)</f>
        <v>7</v>
      </c>
      <c r="AB2262" s="2">
        <f t="shared" si="356"/>
        <v>0</v>
      </c>
      <c r="AC2262">
        <v>1019.8</v>
      </c>
      <c r="AD2262" t="s">
        <v>2078</v>
      </c>
      <c r="AE2262" s="2">
        <f t="shared" si="357"/>
        <v>0</v>
      </c>
      <c r="AF2262" t="s">
        <v>3093</v>
      </c>
      <c r="AG2262" s="2">
        <f t="shared" si="358"/>
        <v>12</v>
      </c>
      <c r="AH2262" s="2">
        <f t="shared" si="359"/>
        <v>0</v>
      </c>
      <c r="AI2262" s="3">
        <v>159.99999999767169</v>
      </c>
      <c r="AJ2262" s="2">
        <v>0</v>
      </c>
      <c r="AK2262">
        <v>0</v>
      </c>
      <c r="AL2262">
        <v>1</v>
      </c>
      <c r="AM2262">
        <v>0</v>
      </c>
      <c r="AN2262" s="2">
        <f>IF((2*G2262+M2262-O2262+3*V2262+2*AB2262+2*AE2262+2*AH2262+3*AJ2262)&gt;=7,1,0)</f>
        <v>0</v>
      </c>
    </row>
    <row r="2263" spans="1:40" x14ac:dyDescent="0.25">
      <c r="A2263" t="s">
        <v>27</v>
      </c>
      <c r="B2263" s="1">
        <v>43818</v>
      </c>
      <c r="C2263" s="6">
        <f t="shared" si="350"/>
        <v>2019</v>
      </c>
      <c r="D2263">
        <v>71.599999999999994</v>
      </c>
      <c r="E2263">
        <v>51.8</v>
      </c>
      <c r="F2263">
        <v>59.8</v>
      </c>
      <c r="G2263" s="2">
        <f t="shared" si="351"/>
        <v>0</v>
      </c>
      <c r="H2263">
        <v>71.599999999999994</v>
      </c>
      <c r="I2263">
        <v>51.8</v>
      </c>
      <c r="J2263">
        <v>59.8</v>
      </c>
      <c r="K2263">
        <v>53.9</v>
      </c>
      <c r="L2263">
        <v>81.599999999999994</v>
      </c>
      <c r="M2263" s="2">
        <f t="shared" si="352"/>
        <v>0</v>
      </c>
      <c r="N2263">
        <v>0</v>
      </c>
      <c r="O2263" s="2">
        <f t="shared" si="353"/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21.9</v>
      </c>
      <c r="V2263" s="2">
        <f t="shared" si="354"/>
        <v>1</v>
      </c>
      <c r="W2263">
        <v>11.4</v>
      </c>
      <c r="X2263" s="2">
        <f t="shared" si="355"/>
        <v>0</v>
      </c>
      <c r="Y2263">
        <v>169.2</v>
      </c>
      <c r="Z2263" s="2" t="str">
        <f>CHOOSE(MATCH(Y2263,{0;11;80;111;161;191;241;281;341},1),"North","NorthEast","East","SouthEast","South","SouthWest","West","NorthWest","North")</f>
        <v>South</v>
      </c>
      <c r="AA2263" s="4">
        <f>CHOOSE(MATCH(Z2263,{"South";"SouthEast";"SouthWest";"North";"NorthEast";"East";"West";"NorthWest"},0),1,2,3,4,5,6,7,8)</f>
        <v>1</v>
      </c>
      <c r="AB2263" s="2">
        <f t="shared" si="356"/>
        <v>0</v>
      </c>
      <c r="AC2263">
        <v>1027.4000000000001</v>
      </c>
      <c r="AD2263" t="s">
        <v>3094</v>
      </c>
      <c r="AE2263" s="2">
        <f t="shared" si="357"/>
        <v>1</v>
      </c>
      <c r="AF2263" t="s">
        <v>3095</v>
      </c>
      <c r="AG2263" s="2">
        <f t="shared" si="358"/>
        <v>12</v>
      </c>
      <c r="AH2263" s="2">
        <f t="shared" si="359"/>
        <v>0</v>
      </c>
      <c r="AI2263" s="3">
        <v>158.00000000162979</v>
      </c>
      <c r="AJ2263" s="2">
        <v>0</v>
      </c>
      <c r="AK2263">
        <v>0</v>
      </c>
      <c r="AL2263">
        <v>2</v>
      </c>
      <c r="AM2263">
        <v>0</v>
      </c>
      <c r="AN2263" s="2">
        <f>IF((2*G2263+M2263-O2263+3*V2263+2*AB2263+2*AE2263+2*AH2263+3*AJ2263)&gt;=7,1,0)</f>
        <v>0</v>
      </c>
    </row>
    <row r="2264" spans="1:40" x14ac:dyDescent="0.25">
      <c r="A2264" t="s">
        <v>27</v>
      </c>
      <c r="B2264" s="1">
        <v>43821</v>
      </c>
      <c r="C2264" s="6">
        <f t="shared" si="350"/>
        <v>2019</v>
      </c>
      <c r="D2264">
        <v>66.2</v>
      </c>
      <c r="E2264">
        <v>57.2</v>
      </c>
      <c r="F2264">
        <v>61.6</v>
      </c>
      <c r="G2264" s="2">
        <f t="shared" si="351"/>
        <v>0</v>
      </c>
      <c r="H2264">
        <v>66.2</v>
      </c>
      <c r="I2264">
        <v>57.2</v>
      </c>
      <c r="J2264">
        <v>61.6</v>
      </c>
      <c r="K2264">
        <v>49.9</v>
      </c>
      <c r="L2264">
        <v>66</v>
      </c>
      <c r="M2264" s="2">
        <f t="shared" si="352"/>
        <v>1</v>
      </c>
      <c r="N2264">
        <v>0</v>
      </c>
      <c r="O2264" s="2">
        <f t="shared" si="353"/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47.2</v>
      </c>
      <c r="V2264" s="2">
        <f t="shared" si="354"/>
        <v>1</v>
      </c>
      <c r="W2264">
        <v>35.799999999999997</v>
      </c>
      <c r="X2264" s="2">
        <f t="shared" si="355"/>
        <v>1</v>
      </c>
      <c r="Y2264">
        <v>172.4</v>
      </c>
      <c r="Z2264" s="2" t="str">
        <f>CHOOSE(MATCH(Y2264,{0;11;80;111;161;191;241;281;341},1),"North","NorthEast","East","SouthEast","South","SouthWest","West","NorthWest","North")</f>
        <v>South</v>
      </c>
      <c r="AA2264" s="4">
        <f>CHOOSE(MATCH(Z2264,{"South";"SouthEast";"SouthWest";"North";"NorthEast";"East";"West";"NorthWest"},0),1,2,3,4,5,6,7,8)</f>
        <v>1</v>
      </c>
      <c r="AB2264" s="2">
        <f t="shared" si="356"/>
        <v>0</v>
      </c>
      <c r="AC2264">
        <v>1013.4</v>
      </c>
      <c r="AD2264" t="s">
        <v>1866</v>
      </c>
      <c r="AE2264" s="2">
        <f t="shared" si="357"/>
        <v>1</v>
      </c>
      <c r="AF2264" t="s">
        <v>3096</v>
      </c>
      <c r="AG2264" s="2">
        <f t="shared" si="358"/>
        <v>12</v>
      </c>
      <c r="AH2264" s="2">
        <f t="shared" si="359"/>
        <v>0</v>
      </c>
      <c r="AI2264" s="3">
        <v>64.999999991850927</v>
      </c>
      <c r="AJ2264" s="2">
        <v>0</v>
      </c>
      <c r="AK2264">
        <v>0</v>
      </c>
      <c r="AL2264">
        <v>1</v>
      </c>
      <c r="AM2264">
        <v>0</v>
      </c>
      <c r="AN2264" s="2">
        <f>IF((2*G2264+M2264-O2264+3*V2264+2*AB2264+2*AE2264+2*AH2264+3*AJ2264)&gt;=7,1,0)</f>
        <v>0</v>
      </c>
    </row>
    <row r="2265" spans="1:40" x14ac:dyDescent="0.25">
      <c r="A2265" t="s">
        <v>27</v>
      </c>
      <c r="B2265" s="1">
        <v>43833</v>
      </c>
      <c r="C2265" s="6">
        <f t="shared" si="350"/>
        <v>2020</v>
      </c>
      <c r="D2265">
        <v>55.4</v>
      </c>
      <c r="E2265">
        <v>50</v>
      </c>
      <c r="F2265">
        <v>52.8</v>
      </c>
      <c r="G2265" s="2">
        <f t="shared" si="351"/>
        <v>0</v>
      </c>
      <c r="H2265">
        <v>55.4</v>
      </c>
      <c r="I2265">
        <v>43.5</v>
      </c>
      <c r="J2265">
        <v>52.6</v>
      </c>
      <c r="K2265">
        <v>41.5</v>
      </c>
      <c r="L2265">
        <v>65.8</v>
      </c>
      <c r="M2265" s="2">
        <f t="shared" si="352"/>
        <v>1</v>
      </c>
      <c r="N2265">
        <v>0.22500000000000001</v>
      </c>
      <c r="O2265" s="2">
        <f t="shared" si="353"/>
        <v>0</v>
      </c>
      <c r="P2265">
        <v>100</v>
      </c>
      <c r="Q2265">
        <v>16.670000000000002</v>
      </c>
      <c r="R2265" t="s">
        <v>182</v>
      </c>
      <c r="S2265">
        <v>0</v>
      </c>
      <c r="T2265">
        <v>0</v>
      </c>
      <c r="U2265">
        <v>43.6</v>
      </c>
      <c r="V2265" s="2">
        <f t="shared" si="354"/>
        <v>1</v>
      </c>
      <c r="W2265">
        <v>33.299999999999997</v>
      </c>
      <c r="X2265" s="2">
        <f t="shared" si="355"/>
        <v>1</v>
      </c>
      <c r="Y2265">
        <v>337.4</v>
      </c>
      <c r="Z2265" s="2" t="str">
        <f>CHOOSE(MATCH(Y2265,{0;11;80;111;161;191;241;281;341},1),"North","NorthEast","East","SouthEast","South","SouthWest","West","NorthWest","North")</f>
        <v>NorthWest</v>
      </c>
      <c r="AA2265" s="4">
        <f>CHOOSE(MATCH(Z2265,{"South";"SouthEast";"SouthWest";"North";"NorthEast";"East";"West";"NorthWest"},0),1,2,3,4,5,6,7,8)</f>
        <v>8</v>
      </c>
      <c r="AB2265" s="2">
        <f t="shared" si="356"/>
        <v>1</v>
      </c>
      <c r="AC2265">
        <v>1017.5</v>
      </c>
      <c r="AD2265" t="s">
        <v>1201</v>
      </c>
      <c r="AE2265" s="2">
        <f t="shared" si="357"/>
        <v>1</v>
      </c>
      <c r="AF2265" t="s">
        <v>3097</v>
      </c>
      <c r="AG2265" s="2">
        <f t="shared" si="358"/>
        <v>1</v>
      </c>
      <c r="AH2265" s="2">
        <f t="shared" si="359"/>
        <v>0</v>
      </c>
      <c r="AI2265" s="3">
        <v>120.0000000034925</v>
      </c>
      <c r="AJ2265" s="2">
        <v>0</v>
      </c>
      <c r="AK2265">
        <v>0</v>
      </c>
      <c r="AL2265">
        <v>1.5</v>
      </c>
      <c r="AM2265">
        <v>0</v>
      </c>
      <c r="AN2265" s="2">
        <f>IF((2*G2265+M2265-O2265+3*V2265+2*AB2265+2*AE2265+2*AH2265+3*AJ2265)&gt;=7,1,0)</f>
        <v>1</v>
      </c>
    </row>
    <row r="2266" spans="1:40" x14ac:dyDescent="0.25">
      <c r="A2266" t="s">
        <v>27</v>
      </c>
      <c r="B2266" s="1">
        <v>43856</v>
      </c>
      <c r="C2266" s="6">
        <f t="shared" si="350"/>
        <v>2020</v>
      </c>
      <c r="D2266">
        <v>66.2</v>
      </c>
      <c r="E2266">
        <v>44.6</v>
      </c>
      <c r="F2266">
        <v>55.6</v>
      </c>
      <c r="G2266" s="2">
        <f t="shared" si="351"/>
        <v>0</v>
      </c>
      <c r="H2266">
        <v>66.2</v>
      </c>
      <c r="I2266">
        <v>44.1</v>
      </c>
      <c r="J2266">
        <v>55.3</v>
      </c>
      <c r="K2266">
        <v>46.4</v>
      </c>
      <c r="L2266">
        <v>72.7</v>
      </c>
      <c r="M2266" s="2">
        <f t="shared" si="352"/>
        <v>0</v>
      </c>
      <c r="N2266">
        <v>0</v>
      </c>
      <c r="O2266" s="2">
        <f t="shared" si="353"/>
        <v>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23</v>
      </c>
      <c r="V2266" s="2">
        <f t="shared" si="354"/>
        <v>1</v>
      </c>
      <c r="W2266">
        <v>11.4</v>
      </c>
      <c r="X2266" s="2">
        <f t="shared" si="355"/>
        <v>0</v>
      </c>
      <c r="Y2266">
        <v>173.7</v>
      </c>
      <c r="Z2266" s="2" t="str">
        <f>CHOOSE(MATCH(Y2266,{0;11;80;111;161;191;241;281;341},1),"North","NorthEast","East","SouthEast","South","SouthWest","West","NorthWest","North")</f>
        <v>South</v>
      </c>
      <c r="AA2266" s="4">
        <f>CHOOSE(MATCH(Z2266,{"South";"SouthEast";"SouthWest";"North";"NorthEast";"East";"West";"NorthWest"},0),1,2,3,4,5,6,7,8)</f>
        <v>1</v>
      </c>
      <c r="AB2266" s="2">
        <f t="shared" si="356"/>
        <v>0</v>
      </c>
      <c r="AC2266">
        <v>1026.2</v>
      </c>
      <c r="AD2266" t="s">
        <v>3098</v>
      </c>
      <c r="AE2266" s="2">
        <f t="shared" si="357"/>
        <v>1</v>
      </c>
      <c r="AF2266" t="s">
        <v>3099</v>
      </c>
      <c r="AG2266" s="2">
        <f t="shared" si="358"/>
        <v>1</v>
      </c>
      <c r="AH2266" s="2">
        <f t="shared" si="359"/>
        <v>0</v>
      </c>
      <c r="AI2266" s="3">
        <v>174.00000000139701</v>
      </c>
      <c r="AJ2266" s="2">
        <v>0</v>
      </c>
      <c r="AK2266">
        <v>0</v>
      </c>
      <c r="AL2266">
        <v>0.5</v>
      </c>
      <c r="AM2266">
        <v>0</v>
      </c>
      <c r="AN2266" s="2">
        <f>IF((2*G2266+M2266-O2266+3*V2266+2*AB2266+2*AE2266+2*AH2266+3*AJ2266)&gt;=7,1,0)</f>
        <v>0</v>
      </c>
    </row>
    <row r="2267" spans="1:40" x14ac:dyDescent="0.25">
      <c r="A2267" t="s">
        <v>27</v>
      </c>
      <c r="B2267" s="1">
        <v>43859</v>
      </c>
      <c r="C2267" s="6">
        <f t="shared" si="350"/>
        <v>2020</v>
      </c>
      <c r="D2267">
        <v>64.400000000000006</v>
      </c>
      <c r="E2267">
        <v>47.2</v>
      </c>
      <c r="F2267">
        <v>57.8</v>
      </c>
      <c r="G2267" s="2">
        <f t="shared" si="351"/>
        <v>0</v>
      </c>
      <c r="H2267">
        <v>64.400000000000006</v>
      </c>
      <c r="I2267">
        <v>44.8</v>
      </c>
      <c r="J2267">
        <v>57.7</v>
      </c>
      <c r="K2267">
        <v>47.6</v>
      </c>
      <c r="L2267">
        <v>69.3</v>
      </c>
      <c r="M2267" s="2">
        <f t="shared" si="352"/>
        <v>0</v>
      </c>
      <c r="N2267">
        <v>0</v>
      </c>
      <c r="O2267" s="2">
        <f t="shared" si="353"/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23.7</v>
      </c>
      <c r="V2267" s="2">
        <f t="shared" si="354"/>
        <v>1</v>
      </c>
      <c r="W2267">
        <v>13.9</v>
      </c>
      <c r="X2267" s="2">
        <f t="shared" si="355"/>
        <v>0</v>
      </c>
      <c r="Y2267">
        <v>222</v>
      </c>
      <c r="Z2267" s="2" t="str">
        <f>CHOOSE(MATCH(Y2267,{0;11;80;111;161;191;241;281;341},1),"North","NorthEast","East","SouthEast","South","SouthWest","West","NorthWest","North")</f>
        <v>SouthWest</v>
      </c>
      <c r="AA2267" s="4">
        <f>CHOOSE(MATCH(Z2267,{"South";"SouthEast";"SouthWest";"North";"NorthEast";"East";"West";"NorthWest"},0),1,2,3,4,5,6,7,8)</f>
        <v>3</v>
      </c>
      <c r="AB2267" s="2">
        <f t="shared" si="356"/>
        <v>0</v>
      </c>
      <c r="AC2267">
        <v>1017.7</v>
      </c>
      <c r="AD2267" t="s">
        <v>3100</v>
      </c>
      <c r="AE2267" s="2">
        <f t="shared" si="357"/>
        <v>1</v>
      </c>
      <c r="AF2267" t="s">
        <v>3101</v>
      </c>
      <c r="AG2267" s="2">
        <f t="shared" si="358"/>
        <v>1</v>
      </c>
      <c r="AH2267" s="2">
        <f t="shared" si="359"/>
        <v>0</v>
      </c>
      <c r="AI2267" s="3">
        <v>940.99999999743886</v>
      </c>
      <c r="AJ2267" s="2">
        <v>1</v>
      </c>
      <c r="AK2267">
        <v>0</v>
      </c>
      <c r="AL2267">
        <v>20</v>
      </c>
      <c r="AM2267">
        <v>0</v>
      </c>
      <c r="AN2267" s="2">
        <f>IF((2*G2267+M2267-O2267+3*V2267+2*AB2267+2*AE2267+2*AH2267+3*AJ2267)&gt;=7,1,0)</f>
        <v>1</v>
      </c>
    </row>
    <row r="2268" spans="1:40" x14ac:dyDescent="0.25">
      <c r="A2268" t="s">
        <v>27</v>
      </c>
      <c r="B2268" s="1">
        <v>43865</v>
      </c>
      <c r="C2268" s="6">
        <f t="shared" si="350"/>
        <v>2020</v>
      </c>
      <c r="D2268">
        <v>64.400000000000006</v>
      </c>
      <c r="E2268">
        <v>51.8</v>
      </c>
      <c r="F2268">
        <v>58.2</v>
      </c>
      <c r="G2268" s="2">
        <f t="shared" si="351"/>
        <v>0</v>
      </c>
      <c r="H2268">
        <v>64.400000000000006</v>
      </c>
      <c r="I2268">
        <v>51.8</v>
      </c>
      <c r="J2268">
        <v>58.2</v>
      </c>
      <c r="K2268">
        <v>51.3</v>
      </c>
      <c r="L2268">
        <v>78</v>
      </c>
      <c r="M2268" s="2">
        <f t="shared" si="352"/>
        <v>0</v>
      </c>
      <c r="N2268">
        <v>0</v>
      </c>
      <c r="O2268" s="2">
        <f t="shared" si="353"/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34.4</v>
      </c>
      <c r="V2268" s="2">
        <f t="shared" si="354"/>
        <v>1</v>
      </c>
      <c r="W2268">
        <v>13.9</v>
      </c>
      <c r="X2268" s="2">
        <f t="shared" si="355"/>
        <v>0</v>
      </c>
      <c r="Y2268">
        <v>153.1</v>
      </c>
      <c r="Z2268" s="2" t="str">
        <f>CHOOSE(MATCH(Y2268,{0;11;80;111;161;191;241;281;341},1),"North","NorthEast","East","SouthEast","South","SouthWest","West","NorthWest","North")</f>
        <v>SouthEast</v>
      </c>
      <c r="AA2268" s="4">
        <f>CHOOSE(MATCH(Z2268,{"South";"SouthEast";"SouthWest";"North";"NorthEast";"East";"West";"NorthWest"},0),1,2,3,4,5,6,7,8)</f>
        <v>2</v>
      </c>
      <c r="AB2268" s="2">
        <f t="shared" si="356"/>
        <v>0</v>
      </c>
      <c r="AC2268">
        <v>1013.3</v>
      </c>
      <c r="AD2268" t="s">
        <v>1804</v>
      </c>
      <c r="AE2268" s="2">
        <f t="shared" si="357"/>
        <v>0</v>
      </c>
      <c r="AF2268" t="s">
        <v>3102</v>
      </c>
      <c r="AG2268" s="2">
        <f t="shared" si="358"/>
        <v>2</v>
      </c>
      <c r="AH2268" s="2">
        <f t="shared" si="359"/>
        <v>0</v>
      </c>
      <c r="AI2268" s="3">
        <v>598.99999999324791</v>
      </c>
      <c r="AJ2268" s="2">
        <v>1</v>
      </c>
      <c r="AK2268">
        <v>0</v>
      </c>
      <c r="AL2268">
        <v>3</v>
      </c>
      <c r="AM2268">
        <v>0</v>
      </c>
      <c r="AN2268" s="2">
        <f>IF((2*G2268+M2268-O2268+3*V2268+2*AB2268+2*AE2268+2*AH2268+3*AJ2268)&gt;=7,1,0)</f>
        <v>0</v>
      </c>
    </row>
    <row r="2269" spans="1:40" x14ac:dyDescent="0.25">
      <c r="A2269" t="s">
        <v>27</v>
      </c>
      <c r="B2269" s="1">
        <v>43891</v>
      </c>
      <c r="C2269" s="6">
        <f t="shared" si="350"/>
        <v>2020</v>
      </c>
      <c r="D2269">
        <v>60.8</v>
      </c>
      <c r="E2269">
        <v>46.4</v>
      </c>
      <c r="F2269">
        <v>53.4</v>
      </c>
      <c r="G2269" s="2">
        <f t="shared" si="351"/>
        <v>0</v>
      </c>
      <c r="H2269">
        <v>60.8</v>
      </c>
      <c r="I2269">
        <v>42.9</v>
      </c>
      <c r="J2269">
        <v>52.6</v>
      </c>
      <c r="K2269">
        <v>42.4</v>
      </c>
      <c r="L2269">
        <v>67</v>
      </c>
      <c r="M2269" s="2">
        <f t="shared" si="352"/>
        <v>0</v>
      </c>
      <c r="N2269">
        <v>1.6E-2</v>
      </c>
      <c r="O2269" s="2">
        <f t="shared" si="353"/>
        <v>0</v>
      </c>
      <c r="P2269">
        <v>100</v>
      </c>
      <c r="Q2269">
        <v>4.17</v>
      </c>
      <c r="R2269" t="s">
        <v>182</v>
      </c>
      <c r="S2269">
        <v>0</v>
      </c>
      <c r="T2269">
        <v>0</v>
      </c>
      <c r="U2269">
        <v>17.399999999999999</v>
      </c>
      <c r="V2269" s="2">
        <f t="shared" si="354"/>
        <v>1</v>
      </c>
      <c r="W2269">
        <v>11.4</v>
      </c>
      <c r="X2269" s="2">
        <f t="shared" si="355"/>
        <v>0</v>
      </c>
      <c r="Y2269">
        <v>295.10000000000002</v>
      </c>
      <c r="Z2269" s="2" t="str">
        <f>CHOOSE(MATCH(Y2269,{0;11;80;111;161;191;241;281;341},1),"North","NorthEast","East","SouthEast","South","SouthWest","West","NorthWest","North")</f>
        <v>NorthWest</v>
      </c>
      <c r="AA2269" s="4">
        <f>CHOOSE(MATCH(Z2269,{"South";"SouthEast";"SouthWest";"North";"NorthEast";"East";"West";"NorthWest"},0),1,2,3,4,5,6,7,8)</f>
        <v>8</v>
      </c>
      <c r="AB2269" s="2">
        <f t="shared" si="356"/>
        <v>1</v>
      </c>
      <c r="AC2269">
        <v>1019.8</v>
      </c>
      <c r="AD2269" t="s">
        <v>1254</v>
      </c>
      <c r="AE2269" s="2">
        <f t="shared" si="357"/>
        <v>1</v>
      </c>
      <c r="AF2269" t="s">
        <v>3103</v>
      </c>
      <c r="AG2269" s="2">
        <f t="shared" si="358"/>
        <v>3</v>
      </c>
      <c r="AH2269" s="2">
        <f t="shared" si="359"/>
        <v>0</v>
      </c>
      <c r="AI2269" s="3">
        <v>1383.000000002794</v>
      </c>
      <c r="AJ2269" s="2">
        <v>1</v>
      </c>
      <c r="AK2269">
        <v>0</v>
      </c>
      <c r="AL2269">
        <v>14</v>
      </c>
      <c r="AM2269">
        <v>0</v>
      </c>
      <c r="AN2269" s="2">
        <f>IF((2*G2269+M2269-O2269+3*V2269+2*AB2269+2*AE2269+2*AH2269+3*AJ2269)&gt;=7,1,0)</f>
        <v>1</v>
      </c>
    </row>
    <row r="2270" spans="1:40" x14ac:dyDescent="0.25">
      <c r="A2270" t="s">
        <v>27</v>
      </c>
      <c r="B2270" s="1">
        <v>43891</v>
      </c>
      <c r="C2270" s="6">
        <f t="shared" si="350"/>
        <v>2020</v>
      </c>
      <c r="D2270">
        <v>60.8</v>
      </c>
      <c r="E2270">
        <v>46.4</v>
      </c>
      <c r="F2270">
        <v>53.4</v>
      </c>
      <c r="G2270" s="2">
        <f t="shared" si="351"/>
        <v>0</v>
      </c>
      <c r="H2270">
        <v>60.8</v>
      </c>
      <c r="I2270">
        <v>42.9</v>
      </c>
      <c r="J2270">
        <v>52.6</v>
      </c>
      <c r="K2270">
        <v>42.4</v>
      </c>
      <c r="L2270">
        <v>67</v>
      </c>
      <c r="M2270" s="2">
        <f t="shared" si="352"/>
        <v>0</v>
      </c>
      <c r="N2270">
        <v>1.6E-2</v>
      </c>
      <c r="O2270" s="2">
        <f t="shared" si="353"/>
        <v>0</v>
      </c>
      <c r="P2270">
        <v>100</v>
      </c>
      <c r="Q2270">
        <v>4.17</v>
      </c>
      <c r="R2270" t="s">
        <v>182</v>
      </c>
      <c r="S2270">
        <v>0</v>
      </c>
      <c r="T2270">
        <v>0</v>
      </c>
      <c r="U2270">
        <v>17.399999999999999</v>
      </c>
      <c r="V2270" s="2">
        <f t="shared" si="354"/>
        <v>1</v>
      </c>
      <c r="W2270">
        <v>11.4</v>
      </c>
      <c r="X2270" s="2">
        <f t="shared" si="355"/>
        <v>0</v>
      </c>
      <c r="Y2270">
        <v>295.10000000000002</v>
      </c>
      <c r="Z2270" s="2" t="str">
        <f>CHOOSE(MATCH(Y2270,{0;11;80;111;161;191;241;281;341},1),"North","NorthEast","East","SouthEast","South","SouthWest","West","NorthWest","North")</f>
        <v>NorthWest</v>
      </c>
      <c r="AA2270" s="4">
        <f>CHOOSE(MATCH(Z2270,{"South";"SouthEast";"SouthWest";"North";"NorthEast";"East";"West";"NorthWest"},0),1,2,3,4,5,6,7,8)</f>
        <v>8</v>
      </c>
      <c r="AB2270" s="2">
        <f t="shared" si="356"/>
        <v>1</v>
      </c>
      <c r="AC2270">
        <v>1019.8</v>
      </c>
      <c r="AD2270" t="s">
        <v>2214</v>
      </c>
      <c r="AE2270" s="2">
        <f t="shared" si="357"/>
        <v>1</v>
      </c>
      <c r="AF2270" t="s">
        <v>3104</v>
      </c>
      <c r="AG2270" s="2">
        <f t="shared" si="358"/>
        <v>3</v>
      </c>
      <c r="AH2270" s="2">
        <f t="shared" si="359"/>
        <v>0</v>
      </c>
      <c r="AI2270" s="3">
        <v>206.00000000093129</v>
      </c>
      <c r="AJ2270" s="2">
        <v>0</v>
      </c>
      <c r="AK2270">
        <v>0</v>
      </c>
      <c r="AL2270">
        <v>0.5</v>
      </c>
      <c r="AM2270">
        <v>0</v>
      </c>
      <c r="AN2270" s="2">
        <f>IF((2*G2270+M2270-O2270+3*V2270+2*AB2270+2*AE2270+2*AH2270+3*AJ2270)&gt;=7,1,0)</f>
        <v>1</v>
      </c>
    </row>
    <row r="2271" spans="1:40" x14ac:dyDescent="0.25">
      <c r="A2271" t="s">
        <v>27</v>
      </c>
      <c r="B2271" s="1">
        <v>43891</v>
      </c>
      <c r="C2271" s="6">
        <f t="shared" si="350"/>
        <v>2020</v>
      </c>
      <c r="D2271">
        <v>60.8</v>
      </c>
      <c r="E2271">
        <v>46.4</v>
      </c>
      <c r="F2271">
        <v>53.4</v>
      </c>
      <c r="G2271" s="2">
        <f t="shared" si="351"/>
        <v>0</v>
      </c>
      <c r="H2271">
        <v>60.8</v>
      </c>
      <c r="I2271">
        <v>42.9</v>
      </c>
      <c r="J2271">
        <v>52.6</v>
      </c>
      <c r="K2271">
        <v>42.4</v>
      </c>
      <c r="L2271">
        <v>67</v>
      </c>
      <c r="M2271" s="2">
        <f t="shared" si="352"/>
        <v>0</v>
      </c>
      <c r="N2271">
        <v>1.6E-2</v>
      </c>
      <c r="O2271" s="2">
        <f t="shared" si="353"/>
        <v>0</v>
      </c>
      <c r="P2271">
        <v>100</v>
      </c>
      <c r="Q2271">
        <v>4.17</v>
      </c>
      <c r="R2271" t="s">
        <v>182</v>
      </c>
      <c r="S2271">
        <v>0</v>
      </c>
      <c r="T2271">
        <v>0</v>
      </c>
      <c r="U2271">
        <v>17.399999999999999</v>
      </c>
      <c r="V2271" s="2">
        <f t="shared" si="354"/>
        <v>1</v>
      </c>
      <c r="W2271">
        <v>11.4</v>
      </c>
      <c r="X2271" s="2">
        <f t="shared" si="355"/>
        <v>0</v>
      </c>
      <c r="Y2271">
        <v>295.10000000000002</v>
      </c>
      <c r="Z2271" s="2" t="str">
        <f>CHOOSE(MATCH(Y2271,{0;11;80;111;161;191;241;281;341},1),"North","NorthEast","East","SouthEast","South","SouthWest","West","NorthWest","North")</f>
        <v>NorthWest</v>
      </c>
      <c r="AA2271" s="4">
        <f>CHOOSE(MATCH(Z2271,{"South";"SouthEast";"SouthWest";"North";"NorthEast";"East";"West";"NorthWest"},0),1,2,3,4,5,6,7,8)</f>
        <v>8</v>
      </c>
      <c r="AB2271" s="2">
        <f t="shared" si="356"/>
        <v>1</v>
      </c>
      <c r="AC2271">
        <v>1019.8</v>
      </c>
      <c r="AD2271" t="s">
        <v>2400</v>
      </c>
      <c r="AE2271" s="2">
        <f t="shared" si="357"/>
        <v>1</v>
      </c>
      <c r="AF2271" t="s">
        <v>3105</v>
      </c>
      <c r="AG2271" s="2">
        <f t="shared" si="358"/>
        <v>3</v>
      </c>
      <c r="AH2271" s="2">
        <f t="shared" si="359"/>
        <v>0</v>
      </c>
      <c r="AI2271" s="3">
        <v>255.99999999627471</v>
      </c>
      <c r="AJ2271" s="2">
        <v>0</v>
      </c>
      <c r="AK2271">
        <v>0</v>
      </c>
      <c r="AL2271">
        <v>5</v>
      </c>
      <c r="AM2271">
        <v>0</v>
      </c>
      <c r="AN2271" s="2">
        <f>IF((2*G2271+M2271-O2271+3*V2271+2*AB2271+2*AE2271+2*AH2271+3*AJ2271)&gt;=7,1,0)</f>
        <v>1</v>
      </c>
    </row>
    <row r="2272" spans="1:40" x14ac:dyDescent="0.25">
      <c r="A2272" t="s">
        <v>27</v>
      </c>
      <c r="B2272" s="1">
        <v>43893</v>
      </c>
      <c r="C2272" s="6">
        <f t="shared" si="350"/>
        <v>2020</v>
      </c>
      <c r="D2272">
        <v>68</v>
      </c>
      <c r="E2272">
        <v>57.2</v>
      </c>
      <c r="F2272">
        <v>61.5</v>
      </c>
      <c r="G2272" s="2">
        <f t="shared" si="351"/>
        <v>0</v>
      </c>
      <c r="H2272">
        <v>68</v>
      </c>
      <c r="I2272">
        <v>57.2</v>
      </c>
      <c r="J2272">
        <v>61.5</v>
      </c>
      <c r="K2272">
        <v>45.7</v>
      </c>
      <c r="L2272">
        <v>57.1</v>
      </c>
      <c r="M2272" s="2">
        <f t="shared" si="352"/>
        <v>1</v>
      </c>
      <c r="N2272">
        <v>0</v>
      </c>
      <c r="O2272" s="2">
        <f t="shared" si="353"/>
        <v>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34.4</v>
      </c>
      <c r="V2272" s="2">
        <f t="shared" si="354"/>
        <v>1</v>
      </c>
      <c r="W2272">
        <v>24.2</v>
      </c>
      <c r="X2272" s="2">
        <f t="shared" si="355"/>
        <v>1</v>
      </c>
      <c r="Y2272">
        <v>164.5</v>
      </c>
      <c r="Z2272" s="2" t="str">
        <f>CHOOSE(MATCH(Y2272,{0;11;80;111;161;191;241;281;341},1),"North","NorthEast","East","SouthEast","South","SouthWest","West","NorthWest","North")</f>
        <v>South</v>
      </c>
      <c r="AA2272" s="4">
        <f>CHOOSE(MATCH(Z2272,{"South";"SouthEast";"SouthWest";"North";"NorthEast";"East";"West";"NorthWest"},0),1,2,3,4,5,6,7,8)</f>
        <v>1</v>
      </c>
      <c r="AB2272" s="2">
        <f t="shared" si="356"/>
        <v>0</v>
      </c>
      <c r="AC2272">
        <v>1015.8</v>
      </c>
      <c r="AD2272" t="s">
        <v>1215</v>
      </c>
      <c r="AE2272" s="2">
        <f t="shared" si="357"/>
        <v>1</v>
      </c>
      <c r="AF2272" t="s">
        <v>3106</v>
      </c>
      <c r="AG2272" s="2">
        <f t="shared" si="358"/>
        <v>3</v>
      </c>
      <c r="AH2272" s="2">
        <f t="shared" si="359"/>
        <v>0</v>
      </c>
      <c r="AI2272" s="3">
        <v>779.99999999650754</v>
      </c>
      <c r="AJ2272" s="2">
        <v>1</v>
      </c>
      <c r="AK2272">
        <v>0</v>
      </c>
      <c r="AL2272">
        <v>86.3</v>
      </c>
      <c r="AM2272">
        <v>0</v>
      </c>
      <c r="AN2272" s="2">
        <f>IF((2*G2272+M2272-O2272+3*V2272+2*AB2272+2*AE2272+2*AH2272+3*AJ2272)&gt;=7,1,0)</f>
        <v>1</v>
      </c>
    </row>
    <row r="2273" spans="1:40" x14ac:dyDescent="0.25">
      <c r="A2273" t="s">
        <v>27</v>
      </c>
      <c r="B2273" s="1">
        <v>43893</v>
      </c>
      <c r="C2273" s="6">
        <f t="shared" si="350"/>
        <v>2020</v>
      </c>
      <c r="D2273">
        <v>68</v>
      </c>
      <c r="E2273">
        <v>57.2</v>
      </c>
      <c r="F2273">
        <v>61.5</v>
      </c>
      <c r="G2273" s="2">
        <f t="shared" si="351"/>
        <v>0</v>
      </c>
      <c r="H2273">
        <v>68</v>
      </c>
      <c r="I2273">
        <v>57.2</v>
      </c>
      <c r="J2273">
        <v>61.5</v>
      </c>
      <c r="K2273">
        <v>45.7</v>
      </c>
      <c r="L2273">
        <v>57.1</v>
      </c>
      <c r="M2273" s="2">
        <f t="shared" si="352"/>
        <v>1</v>
      </c>
      <c r="N2273">
        <v>0</v>
      </c>
      <c r="O2273" s="2">
        <f t="shared" si="353"/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34.4</v>
      </c>
      <c r="V2273" s="2">
        <f t="shared" si="354"/>
        <v>1</v>
      </c>
      <c r="W2273">
        <v>24.2</v>
      </c>
      <c r="X2273" s="2">
        <f t="shared" si="355"/>
        <v>1</v>
      </c>
      <c r="Y2273">
        <v>164.5</v>
      </c>
      <c r="Z2273" s="2" t="str">
        <f>CHOOSE(MATCH(Y2273,{0;11;80;111;161;191;241;281;341},1),"North","NorthEast","East","SouthEast","South","SouthWest","West","NorthWest","North")</f>
        <v>South</v>
      </c>
      <c r="AA2273" s="4">
        <f>CHOOSE(MATCH(Z2273,{"South";"SouthEast";"SouthWest";"North";"NorthEast";"East";"West";"NorthWest"},0),1,2,3,4,5,6,7,8)</f>
        <v>1</v>
      </c>
      <c r="AB2273" s="2">
        <f t="shared" si="356"/>
        <v>0</v>
      </c>
      <c r="AC2273">
        <v>1015.8</v>
      </c>
      <c r="AD2273" t="s">
        <v>2748</v>
      </c>
      <c r="AE2273" s="2">
        <f t="shared" si="357"/>
        <v>1</v>
      </c>
      <c r="AF2273" t="s">
        <v>3107</v>
      </c>
      <c r="AG2273" s="2">
        <f t="shared" si="358"/>
        <v>3</v>
      </c>
      <c r="AH2273" s="2">
        <f t="shared" si="359"/>
        <v>0</v>
      </c>
      <c r="AI2273" s="3">
        <v>1496.999999997206</v>
      </c>
      <c r="AJ2273" s="2">
        <v>1</v>
      </c>
      <c r="AK2273">
        <v>0</v>
      </c>
      <c r="AL2273">
        <v>15</v>
      </c>
      <c r="AM2273">
        <v>0</v>
      </c>
      <c r="AN2273" s="2">
        <f>IF((2*G2273+M2273-O2273+3*V2273+2*AB2273+2*AE2273+2*AH2273+3*AJ2273)&gt;=7,1,0)</f>
        <v>1</v>
      </c>
    </row>
    <row r="2274" spans="1:40" x14ac:dyDescent="0.25">
      <c r="A2274" t="s">
        <v>27</v>
      </c>
      <c r="B2274" s="1">
        <v>43896</v>
      </c>
      <c r="C2274" s="6">
        <f t="shared" si="350"/>
        <v>2020</v>
      </c>
      <c r="D2274">
        <v>62.6</v>
      </c>
      <c r="E2274">
        <v>44.5</v>
      </c>
      <c r="F2274">
        <v>55</v>
      </c>
      <c r="G2274" s="2">
        <f t="shared" si="351"/>
        <v>0</v>
      </c>
      <c r="H2274">
        <v>62.6</v>
      </c>
      <c r="I2274">
        <v>42.2</v>
      </c>
      <c r="J2274">
        <v>54.3</v>
      </c>
      <c r="K2274">
        <v>46.7</v>
      </c>
      <c r="L2274">
        <v>74.900000000000006</v>
      </c>
      <c r="M2274" s="2">
        <f t="shared" si="352"/>
        <v>0</v>
      </c>
      <c r="N2274">
        <v>3.0000000000000001E-3</v>
      </c>
      <c r="O2274" s="2">
        <f t="shared" si="353"/>
        <v>1</v>
      </c>
      <c r="P2274">
        <v>100</v>
      </c>
      <c r="Q2274">
        <v>4.17</v>
      </c>
      <c r="R2274" t="s">
        <v>182</v>
      </c>
      <c r="S2274">
        <v>0</v>
      </c>
      <c r="T2274">
        <v>0</v>
      </c>
      <c r="U2274">
        <v>15.7</v>
      </c>
      <c r="V2274" s="2">
        <f t="shared" si="354"/>
        <v>1</v>
      </c>
      <c r="W2274">
        <v>15</v>
      </c>
      <c r="X2274" s="2">
        <f t="shared" si="355"/>
        <v>0</v>
      </c>
      <c r="Y2274">
        <v>255.8</v>
      </c>
      <c r="Z2274" s="2" t="str">
        <f>CHOOSE(MATCH(Y2274,{0;11;80;111;161;191;241;281;341},1),"North","NorthEast","East","SouthEast","South","SouthWest","West","NorthWest","North")</f>
        <v>West</v>
      </c>
      <c r="AA2274" s="4">
        <f>CHOOSE(MATCH(Z2274,{"South";"SouthEast";"SouthWest";"North";"NorthEast";"East";"West";"NorthWest"},0),1,2,3,4,5,6,7,8)</f>
        <v>7</v>
      </c>
      <c r="AB2274" s="2">
        <f t="shared" si="356"/>
        <v>0</v>
      </c>
      <c r="AC2274">
        <v>1012.3</v>
      </c>
      <c r="AD2274" t="s">
        <v>2508</v>
      </c>
      <c r="AE2274" s="2">
        <f t="shared" si="357"/>
        <v>0</v>
      </c>
      <c r="AF2274" t="s">
        <v>3108</v>
      </c>
      <c r="AG2274" s="2">
        <f t="shared" si="358"/>
        <v>3</v>
      </c>
      <c r="AH2274" s="2">
        <f t="shared" si="359"/>
        <v>0</v>
      </c>
      <c r="AI2274" s="3">
        <v>36.000000002095483</v>
      </c>
      <c r="AJ2274" s="2">
        <v>0</v>
      </c>
      <c r="AK2274">
        <v>0</v>
      </c>
      <c r="AL2274">
        <v>0.2</v>
      </c>
      <c r="AM2274">
        <v>0</v>
      </c>
      <c r="AN2274" s="2">
        <f>IF((2*G2274+M2274-O2274+3*V2274+2*AB2274+2*AE2274+2*AH2274+3*AJ2274)&gt;=7,1,0)</f>
        <v>0</v>
      </c>
    </row>
    <row r="2275" spans="1:40" x14ac:dyDescent="0.25">
      <c r="A2275" t="s">
        <v>27</v>
      </c>
      <c r="B2275" s="1">
        <v>43897</v>
      </c>
      <c r="C2275" s="6">
        <f t="shared" si="350"/>
        <v>2020</v>
      </c>
      <c r="D2275">
        <v>71.599999999999994</v>
      </c>
      <c r="E2275">
        <v>50</v>
      </c>
      <c r="F2275">
        <v>60.7</v>
      </c>
      <c r="G2275" s="2">
        <f t="shared" si="351"/>
        <v>0</v>
      </c>
      <c r="H2275">
        <v>71.599999999999994</v>
      </c>
      <c r="I2275">
        <v>50</v>
      </c>
      <c r="J2275">
        <v>60.7</v>
      </c>
      <c r="K2275">
        <v>46.5</v>
      </c>
      <c r="L2275">
        <v>62.7</v>
      </c>
      <c r="M2275" s="2">
        <f t="shared" si="352"/>
        <v>1</v>
      </c>
      <c r="N2275">
        <v>0</v>
      </c>
      <c r="O2275" s="2">
        <f t="shared" si="353"/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48.3</v>
      </c>
      <c r="V2275" s="2">
        <f t="shared" si="354"/>
        <v>1</v>
      </c>
      <c r="W2275">
        <v>38</v>
      </c>
      <c r="X2275" s="2">
        <f t="shared" si="355"/>
        <v>1</v>
      </c>
      <c r="Y2275">
        <v>169.3</v>
      </c>
      <c r="Z2275" s="2" t="str">
        <f>CHOOSE(MATCH(Y2275,{0;11;80;111;161;191;241;281;341},1),"North","NorthEast","East","SouthEast","South","SouthWest","West","NorthWest","North")</f>
        <v>South</v>
      </c>
      <c r="AA2275" s="4">
        <f>CHOOSE(MATCH(Z2275,{"South";"SouthEast";"SouthWest";"North";"NorthEast";"East";"West";"NorthWest"},0),1,2,3,4,5,6,7,8)</f>
        <v>1</v>
      </c>
      <c r="AB2275" s="2">
        <f t="shared" si="356"/>
        <v>0</v>
      </c>
      <c r="AC2275">
        <v>1013.5</v>
      </c>
      <c r="AD2275" t="s">
        <v>3109</v>
      </c>
      <c r="AE2275" s="2">
        <f t="shared" si="357"/>
        <v>1</v>
      </c>
      <c r="AF2275" t="s">
        <v>3110</v>
      </c>
      <c r="AG2275" s="2">
        <f t="shared" si="358"/>
        <v>3</v>
      </c>
      <c r="AH2275" s="2">
        <f t="shared" si="359"/>
        <v>0</v>
      </c>
      <c r="AI2275" s="3">
        <v>232.00000000186259</v>
      </c>
      <c r="AJ2275" s="2">
        <v>0</v>
      </c>
      <c r="AK2275">
        <v>0</v>
      </c>
      <c r="AL2275">
        <v>0.5</v>
      </c>
      <c r="AM2275">
        <v>0</v>
      </c>
      <c r="AN2275" s="2">
        <f>IF((2*G2275+M2275-O2275+3*V2275+2*AB2275+2*AE2275+2*AH2275+3*AJ2275)&gt;=7,1,0)</f>
        <v>0</v>
      </c>
    </row>
    <row r="2276" spans="1:40" x14ac:dyDescent="0.25">
      <c r="A2276" t="s">
        <v>27</v>
      </c>
      <c r="B2276" s="1">
        <v>43898</v>
      </c>
      <c r="C2276" s="6">
        <f t="shared" si="350"/>
        <v>2020</v>
      </c>
      <c r="D2276">
        <v>68</v>
      </c>
      <c r="E2276">
        <v>60.7</v>
      </c>
      <c r="F2276">
        <v>65.400000000000006</v>
      </c>
      <c r="G2276" s="2">
        <f t="shared" si="351"/>
        <v>0</v>
      </c>
      <c r="H2276">
        <v>68</v>
      </c>
      <c r="I2276">
        <v>60.7</v>
      </c>
      <c r="J2276">
        <v>65.400000000000006</v>
      </c>
      <c r="K2276">
        <v>46.7</v>
      </c>
      <c r="L2276">
        <v>51.6</v>
      </c>
      <c r="M2276" s="2">
        <f t="shared" si="352"/>
        <v>1</v>
      </c>
      <c r="N2276">
        <v>0</v>
      </c>
      <c r="O2276" s="2">
        <f t="shared" si="353"/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40.299999999999997</v>
      </c>
      <c r="V2276" s="2">
        <f t="shared" si="354"/>
        <v>1</v>
      </c>
      <c r="W2276">
        <v>26.4</v>
      </c>
      <c r="X2276" s="2">
        <f t="shared" si="355"/>
        <v>1</v>
      </c>
      <c r="Y2276">
        <v>172.3</v>
      </c>
      <c r="Z2276" s="2" t="str">
        <f>CHOOSE(MATCH(Y2276,{0;11;80;111;161;191;241;281;341},1),"North","NorthEast","East","SouthEast","South","SouthWest","West","NorthWest","North")</f>
        <v>South</v>
      </c>
      <c r="AA2276" s="4">
        <f>CHOOSE(MATCH(Z2276,{"South";"SouthEast";"SouthWest";"North";"NorthEast";"East";"West";"NorthWest"},0),1,2,3,4,5,6,7,8)</f>
        <v>1</v>
      </c>
      <c r="AB2276" s="2">
        <f t="shared" si="356"/>
        <v>0</v>
      </c>
      <c r="AC2276">
        <v>1014.8</v>
      </c>
      <c r="AD2276" t="s">
        <v>1834</v>
      </c>
      <c r="AE2276" s="2">
        <f t="shared" si="357"/>
        <v>1</v>
      </c>
      <c r="AF2276" t="s">
        <v>3111</v>
      </c>
      <c r="AG2276" s="2">
        <f t="shared" si="358"/>
        <v>3</v>
      </c>
      <c r="AH2276" s="2">
        <f t="shared" si="359"/>
        <v>0</v>
      </c>
      <c r="AI2276" s="3">
        <v>130.00000000465661</v>
      </c>
      <c r="AJ2276" s="2">
        <v>0</v>
      </c>
      <c r="AK2276">
        <v>0</v>
      </c>
      <c r="AL2276">
        <v>0.5</v>
      </c>
      <c r="AM2276">
        <v>0</v>
      </c>
      <c r="AN2276" s="2">
        <f>IF((2*G2276+M2276-O2276+3*V2276+2*AB2276+2*AE2276+2*AH2276+3*AJ2276)&gt;=7,1,0)</f>
        <v>0</v>
      </c>
    </row>
    <row r="2277" spans="1:40" x14ac:dyDescent="0.25">
      <c r="A2277" t="s">
        <v>27</v>
      </c>
      <c r="B2277" s="1">
        <v>43902</v>
      </c>
      <c r="C2277" s="6">
        <f t="shared" si="350"/>
        <v>2020</v>
      </c>
      <c r="D2277">
        <v>62.6</v>
      </c>
      <c r="E2277">
        <v>48.2</v>
      </c>
      <c r="F2277">
        <v>57.1</v>
      </c>
      <c r="G2277" s="2">
        <f t="shared" si="351"/>
        <v>0</v>
      </c>
      <c r="H2277">
        <v>62.6</v>
      </c>
      <c r="I2277">
        <v>46.3</v>
      </c>
      <c r="J2277">
        <v>56.9</v>
      </c>
      <c r="K2277">
        <v>49.1</v>
      </c>
      <c r="L2277">
        <v>75</v>
      </c>
      <c r="M2277" s="2">
        <f t="shared" si="352"/>
        <v>0</v>
      </c>
      <c r="N2277">
        <v>0</v>
      </c>
      <c r="O2277" s="2">
        <f t="shared" si="353"/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37.1</v>
      </c>
      <c r="V2277" s="2">
        <f t="shared" si="354"/>
        <v>1</v>
      </c>
      <c r="W2277">
        <v>20.8</v>
      </c>
      <c r="X2277" s="2">
        <f t="shared" si="355"/>
        <v>1</v>
      </c>
      <c r="Y2277">
        <v>310.7</v>
      </c>
      <c r="Z2277" s="2" t="str">
        <f>CHOOSE(MATCH(Y2277,{0;11;80;111;161;191;241;281;341},1),"North","NorthEast","East","SouthEast","South","SouthWest","West","NorthWest","North")</f>
        <v>NorthWest</v>
      </c>
      <c r="AA2277" s="4">
        <f>CHOOSE(MATCH(Z2277,{"South";"SouthEast";"SouthWest";"North";"NorthEast";"East";"West";"NorthWest"},0),1,2,3,4,5,6,7,8)</f>
        <v>8</v>
      </c>
      <c r="AB2277" s="2">
        <f t="shared" si="356"/>
        <v>1</v>
      </c>
      <c r="AC2277">
        <v>1014.9</v>
      </c>
      <c r="AD2277" t="s">
        <v>1207</v>
      </c>
      <c r="AE2277" s="2">
        <f t="shared" si="357"/>
        <v>1</v>
      </c>
      <c r="AF2277" t="s">
        <v>3112</v>
      </c>
      <c r="AG2277" s="2">
        <f t="shared" si="358"/>
        <v>3</v>
      </c>
      <c r="AH2277" s="2">
        <f t="shared" si="359"/>
        <v>0</v>
      </c>
      <c r="AI2277" s="3">
        <v>182.99999999930151</v>
      </c>
      <c r="AJ2277" s="2">
        <v>0</v>
      </c>
      <c r="AK2277">
        <v>0</v>
      </c>
      <c r="AL2277">
        <v>0.5</v>
      </c>
      <c r="AM2277">
        <v>0</v>
      </c>
      <c r="AN2277" s="2">
        <f>IF((2*G2277+M2277-O2277+3*V2277+2*AB2277+2*AE2277+2*AH2277+3*AJ2277)&gt;=7,1,0)</f>
        <v>0</v>
      </c>
    </row>
    <row r="2278" spans="1:40" x14ac:dyDescent="0.25">
      <c r="A2278" t="s">
        <v>27</v>
      </c>
      <c r="B2278" s="1">
        <v>43903</v>
      </c>
      <c r="C2278" s="6">
        <f t="shared" si="350"/>
        <v>2020</v>
      </c>
      <c r="D2278">
        <v>66.2</v>
      </c>
      <c r="E2278">
        <v>57.2</v>
      </c>
      <c r="F2278">
        <v>61.1</v>
      </c>
      <c r="G2278" s="2">
        <f t="shared" si="351"/>
        <v>0</v>
      </c>
      <c r="H2278">
        <v>66.2</v>
      </c>
      <c r="I2278">
        <v>57.2</v>
      </c>
      <c r="J2278">
        <v>61.1</v>
      </c>
      <c r="K2278">
        <v>49.7</v>
      </c>
      <c r="L2278">
        <v>66.599999999999994</v>
      </c>
      <c r="M2278" s="2">
        <f t="shared" si="352"/>
        <v>0</v>
      </c>
      <c r="N2278">
        <v>0</v>
      </c>
      <c r="O2278" s="2">
        <f t="shared" si="353"/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38.9</v>
      </c>
      <c r="V2278" s="2">
        <f t="shared" si="354"/>
        <v>1</v>
      </c>
      <c r="W2278">
        <v>26.4</v>
      </c>
      <c r="X2278" s="2">
        <f t="shared" si="355"/>
        <v>1</v>
      </c>
      <c r="Y2278">
        <v>292.60000000000002</v>
      </c>
      <c r="Z2278" s="2" t="str">
        <f>CHOOSE(MATCH(Y2278,{0;11;80;111;161;191;241;281;341},1),"North","NorthEast","East","SouthEast","South","SouthWest","West","NorthWest","North")</f>
        <v>NorthWest</v>
      </c>
      <c r="AA2278" s="4">
        <f>CHOOSE(MATCH(Z2278,{"South";"SouthEast";"SouthWest";"North";"NorthEast";"East";"West";"NorthWest"},0),1,2,3,4,5,6,7,8)</f>
        <v>8</v>
      </c>
      <c r="AB2278" s="2">
        <f t="shared" si="356"/>
        <v>1</v>
      </c>
      <c r="AC2278">
        <v>1009</v>
      </c>
      <c r="AD2278" t="s">
        <v>1985</v>
      </c>
      <c r="AE2278" s="2">
        <f t="shared" si="357"/>
        <v>0</v>
      </c>
      <c r="AF2278" t="s">
        <v>3113</v>
      </c>
      <c r="AG2278" s="2">
        <f t="shared" si="358"/>
        <v>3</v>
      </c>
      <c r="AH2278" s="2">
        <f t="shared" si="359"/>
        <v>0</v>
      </c>
      <c r="AI2278" s="3">
        <v>390.99999999627471</v>
      </c>
      <c r="AJ2278" s="2">
        <v>1</v>
      </c>
      <c r="AK2278">
        <v>0</v>
      </c>
      <c r="AL2278">
        <v>0.3</v>
      </c>
      <c r="AM2278">
        <v>0</v>
      </c>
      <c r="AN2278" s="2">
        <f>IF((2*G2278+M2278-O2278+3*V2278+2*AB2278+2*AE2278+2*AH2278+3*AJ2278)&gt;=7,1,0)</f>
        <v>1</v>
      </c>
    </row>
    <row r="2279" spans="1:40" x14ac:dyDescent="0.25">
      <c r="A2279" t="s">
        <v>27</v>
      </c>
      <c r="B2279" s="1">
        <v>43907</v>
      </c>
      <c r="C2279" s="6">
        <f t="shared" si="350"/>
        <v>2020</v>
      </c>
      <c r="D2279">
        <v>57.2</v>
      </c>
      <c r="E2279">
        <v>51.8</v>
      </c>
      <c r="F2279">
        <v>54.1</v>
      </c>
      <c r="G2279" s="2">
        <f t="shared" si="351"/>
        <v>0</v>
      </c>
      <c r="H2279">
        <v>57.2</v>
      </c>
      <c r="I2279">
        <v>51.8</v>
      </c>
      <c r="J2279">
        <v>54.1</v>
      </c>
      <c r="K2279">
        <v>37.299999999999997</v>
      </c>
      <c r="L2279">
        <v>53.1</v>
      </c>
      <c r="M2279" s="2">
        <f t="shared" si="352"/>
        <v>1</v>
      </c>
      <c r="N2279">
        <v>0</v>
      </c>
      <c r="O2279" s="2">
        <f t="shared" si="353"/>
        <v>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47.2</v>
      </c>
      <c r="V2279" s="2">
        <f t="shared" si="354"/>
        <v>1</v>
      </c>
      <c r="W2279">
        <v>31.1</v>
      </c>
      <c r="X2279" s="2">
        <f t="shared" si="355"/>
        <v>1</v>
      </c>
      <c r="Y2279">
        <v>330.2</v>
      </c>
      <c r="Z2279" s="2" t="str">
        <f>CHOOSE(MATCH(Y2279,{0;11;80;111;161;191;241;281;341},1),"North","NorthEast","East","SouthEast","South","SouthWest","West","NorthWest","North")</f>
        <v>NorthWest</v>
      </c>
      <c r="AA2279" s="4">
        <f>CHOOSE(MATCH(Z2279,{"South";"SouthEast";"SouthWest";"North";"NorthEast";"East";"West";"NorthWest"},0),1,2,3,4,5,6,7,8)</f>
        <v>8</v>
      </c>
      <c r="AB2279" s="2">
        <f t="shared" si="356"/>
        <v>1</v>
      </c>
      <c r="AC2279">
        <v>1024.0999999999999</v>
      </c>
      <c r="AD2279" t="s">
        <v>3073</v>
      </c>
      <c r="AE2279" s="2">
        <f t="shared" si="357"/>
        <v>0</v>
      </c>
      <c r="AF2279" t="s">
        <v>3114</v>
      </c>
      <c r="AG2279" s="2">
        <f t="shared" si="358"/>
        <v>3</v>
      </c>
      <c r="AH2279" s="2">
        <f t="shared" si="359"/>
        <v>0</v>
      </c>
      <c r="AI2279" s="3">
        <v>2110.0000000046571</v>
      </c>
      <c r="AJ2279" s="2">
        <v>1</v>
      </c>
      <c r="AK2279">
        <v>3</v>
      </c>
      <c r="AL2279">
        <v>0</v>
      </c>
      <c r="AM2279">
        <v>0</v>
      </c>
      <c r="AN2279" s="2">
        <f>IF((2*G2279+M2279-O2279+3*V2279+2*AB2279+2*AE2279+2*AH2279+3*AJ2279)&gt;=7,1,0)</f>
        <v>1</v>
      </c>
    </row>
    <row r="2280" spans="1:40" x14ac:dyDescent="0.25">
      <c r="A2280" t="s">
        <v>27</v>
      </c>
      <c r="B2280" s="1">
        <v>43909</v>
      </c>
      <c r="C2280" s="6">
        <f t="shared" si="350"/>
        <v>2020</v>
      </c>
      <c r="D2280">
        <v>57.2</v>
      </c>
      <c r="E2280">
        <v>51.8</v>
      </c>
      <c r="F2280">
        <v>53.8</v>
      </c>
      <c r="G2280" s="2">
        <f t="shared" si="351"/>
        <v>0</v>
      </c>
      <c r="H2280">
        <v>57.2</v>
      </c>
      <c r="I2280">
        <v>51.8</v>
      </c>
      <c r="J2280">
        <v>53.8</v>
      </c>
      <c r="K2280">
        <v>36.1</v>
      </c>
      <c r="L2280">
        <v>51.3</v>
      </c>
      <c r="M2280" s="2">
        <f t="shared" si="352"/>
        <v>1</v>
      </c>
      <c r="N2280">
        <v>0</v>
      </c>
      <c r="O2280" s="2">
        <f t="shared" si="353"/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46.8</v>
      </c>
      <c r="V2280" s="2">
        <f t="shared" si="354"/>
        <v>1</v>
      </c>
      <c r="W2280">
        <v>30</v>
      </c>
      <c r="X2280" s="2">
        <f t="shared" si="355"/>
        <v>1</v>
      </c>
      <c r="Y2280">
        <v>334.1</v>
      </c>
      <c r="Z2280" s="2" t="str">
        <f>CHOOSE(MATCH(Y2280,{0;11;80;111;161;191;241;281;341},1),"North","NorthEast","East","SouthEast","South","SouthWest","West","NorthWest","North")</f>
        <v>NorthWest</v>
      </c>
      <c r="AA2280" s="4">
        <f>CHOOSE(MATCH(Z2280,{"South";"SouthEast";"SouthWest";"North";"NorthEast";"East";"West";"NorthWest"},0),1,2,3,4,5,6,7,8)</f>
        <v>8</v>
      </c>
      <c r="AB2280" s="2">
        <f t="shared" si="356"/>
        <v>1</v>
      </c>
      <c r="AC2280">
        <v>1022</v>
      </c>
      <c r="AD2280" t="s">
        <v>1071</v>
      </c>
      <c r="AE2280" s="2">
        <f t="shared" si="357"/>
        <v>0</v>
      </c>
      <c r="AF2280" t="s">
        <v>3115</v>
      </c>
      <c r="AG2280" s="2">
        <f t="shared" si="358"/>
        <v>3</v>
      </c>
      <c r="AH2280" s="2">
        <f t="shared" si="359"/>
        <v>0</v>
      </c>
      <c r="AI2280" s="3">
        <v>415.00000000116421</v>
      </c>
      <c r="AJ2280" s="2">
        <v>1</v>
      </c>
      <c r="AK2280">
        <v>0</v>
      </c>
      <c r="AL2280">
        <v>0.1</v>
      </c>
      <c r="AM2280">
        <v>0</v>
      </c>
      <c r="AN2280" s="2">
        <f>IF((2*G2280+M2280-O2280+3*V2280+2*AB2280+2*AE2280+2*AH2280+3*AJ2280)&gt;=7,1,0)</f>
        <v>1</v>
      </c>
    </row>
    <row r="2281" spans="1:40" x14ac:dyDescent="0.25">
      <c r="A2281" t="s">
        <v>27</v>
      </c>
      <c r="B2281" s="1">
        <v>43910</v>
      </c>
      <c r="C2281" s="6">
        <f t="shared" si="350"/>
        <v>2020</v>
      </c>
      <c r="D2281">
        <v>60.8</v>
      </c>
      <c r="E2281">
        <v>53.6</v>
      </c>
      <c r="F2281">
        <v>56.8</v>
      </c>
      <c r="G2281" s="2">
        <f t="shared" si="351"/>
        <v>0</v>
      </c>
      <c r="H2281">
        <v>60.8</v>
      </c>
      <c r="I2281">
        <v>53.6</v>
      </c>
      <c r="J2281">
        <v>56.8</v>
      </c>
      <c r="K2281">
        <v>40.1</v>
      </c>
      <c r="L2281">
        <v>53.9</v>
      </c>
      <c r="M2281" s="2">
        <f t="shared" si="352"/>
        <v>1</v>
      </c>
      <c r="N2281">
        <v>0</v>
      </c>
      <c r="O2281" s="2">
        <f t="shared" si="353"/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45</v>
      </c>
      <c r="V2281" s="2">
        <f t="shared" si="354"/>
        <v>1</v>
      </c>
      <c r="W2281">
        <v>24.2</v>
      </c>
      <c r="X2281" s="2">
        <f t="shared" si="355"/>
        <v>1</v>
      </c>
      <c r="Y2281">
        <v>323.5</v>
      </c>
      <c r="Z2281" s="2" t="str">
        <f>CHOOSE(MATCH(Y2281,{0;11;80;111;161;191;241;281;341},1),"North","NorthEast","East","SouthEast","South","SouthWest","West","NorthWest","North")</f>
        <v>NorthWest</v>
      </c>
      <c r="AA2281" s="4">
        <f>CHOOSE(MATCH(Z2281,{"South";"SouthEast";"SouthWest";"North";"NorthEast";"East";"West";"NorthWest"},0),1,2,3,4,5,6,7,8)</f>
        <v>8</v>
      </c>
      <c r="AB2281" s="2">
        <f t="shared" si="356"/>
        <v>1</v>
      </c>
      <c r="AC2281">
        <v>1019</v>
      </c>
      <c r="AD2281" t="s">
        <v>2188</v>
      </c>
      <c r="AE2281" s="2">
        <f t="shared" si="357"/>
        <v>1</v>
      </c>
      <c r="AF2281" t="s">
        <v>3116</v>
      </c>
      <c r="AG2281" s="2">
        <f t="shared" si="358"/>
        <v>3</v>
      </c>
      <c r="AH2281" s="2">
        <f t="shared" si="359"/>
        <v>0</v>
      </c>
      <c r="AI2281" s="3">
        <v>403.00000000395812</v>
      </c>
      <c r="AJ2281" s="2">
        <v>1</v>
      </c>
      <c r="AK2281">
        <v>0</v>
      </c>
      <c r="AL2281">
        <v>1</v>
      </c>
      <c r="AM2281">
        <v>0</v>
      </c>
      <c r="AN2281" s="2">
        <f>IF((2*G2281+M2281-O2281+3*V2281+2*AB2281+2*AE2281+2*AH2281+3*AJ2281)&gt;=7,1,0)</f>
        <v>1</v>
      </c>
    </row>
    <row r="2282" spans="1:40" x14ac:dyDescent="0.25">
      <c r="A2282" t="s">
        <v>27</v>
      </c>
      <c r="B2282" s="1">
        <v>43910</v>
      </c>
      <c r="C2282" s="6">
        <f t="shared" si="350"/>
        <v>2020</v>
      </c>
      <c r="D2282">
        <v>60.8</v>
      </c>
      <c r="E2282">
        <v>53.6</v>
      </c>
      <c r="F2282">
        <v>56.8</v>
      </c>
      <c r="G2282" s="2">
        <f t="shared" si="351"/>
        <v>0</v>
      </c>
      <c r="H2282">
        <v>60.8</v>
      </c>
      <c r="I2282">
        <v>53.6</v>
      </c>
      <c r="J2282">
        <v>56.8</v>
      </c>
      <c r="K2282">
        <v>40.1</v>
      </c>
      <c r="L2282">
        <v>53.9</v>
      </c>
      <c r="M2282" s="2">
        <f t="shared" si="352"/>
        <v>1</v>
      </c>
      <c r="N2282">
        <v>0</v>
      </c>
      <c r="O2282" s="2">
        <f t="shared" si="353"/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45</v>
      </c>
      <c r="V2282" s="2">
        <f t="shared" si="354"/>
        <v>1</v>
      </c>
      <c r="W2282">
        <v>24.2</v>
      </c>
      <c r="X2282" s="2">
        <f t="shared" si="355"/>
        <v>1</v>
      </c>
      <c r="Y2282">
        <v>323.5</v>
      </c>
      <c r="Z2282" s="2" t="str">
        <f>CHOOSE(MATCH(Y2282,{0;11;80;111;161;191;241;281;341},1),"North","NorthEast","East","SouthEast","South","SouthWest","West","NorthWest","North")</f>
        <v>NorthWest</v>
      </c>
      <c r="AA2282" s="4">
        <f>CHOOSE(MATCH(Z2282,{"South";"SouthEast";"SouthWest";"North";"NorthEast";"East";"West";"NorthWest"},0),1,2,3,4,5,6,7,8)</f>
        <v>8</v>
      </c>
      <c r="AB2282" s="2">
        <f t="shared" si="356"/>
        <v>1</v>
      </c>
      <c r="AC2282">
        <v>1019</v>
      </c>
      <c r="AD2282" t="s">
        <v>2571</v>
      </c>
      <c r="AE2282" s="2">
        <f t="shared" si="357"/>
        <v>1</v>
      </c>
      <c r="AF2282" t="s">
        <v>3117</v>
      </c>
      <c r="AG2282" s="2">
        <f t="shared" si="358"/>
        <v>3</v>
      </c>
      <c r="AH2282" s="2">
        <f t="shared" si="359"/>
        <v>0</v>
      </c>
      <c r="AI2282" s="3">
        <v>236.999999997206</v>
      </c>
      <c r="AJ2282" s="2">
        <v>0</v>
      </c>
      <c r="AK2282">
        <v>0</v>
      </c>
      <c r="AL2282">
        <v>1</v>
      </c>
      <c r="AM2282">
        <v>0</v>
      </c>
      <c r="AN2282" s="2">
        <f>IF((2*G2282+M2282-O2282+3*V2282+2*AB2282+2*AE2282+2*AH2282+3*AJ2282)&gt;=7,1,0)</f>
        <v>1</v>
      </c>
    </row>
    <row r="2283" spans="1:40" x14ac:dyDescent="0.25">
      <c r="A2283" t="s">
        <v>27</v>
      </c>
      <c r="B2283" s="1">
        <v>43910</v>
      </c>
      <c r="C2283" s="6">
        <f t="shared" si="350"/>
        <v>2020</v>
      </c>
      <c r="D2283">
        <v>60.8</v>
      </c>
      <c r="E2283">
        <v>53.6</v>
      </c>
      <c r="F2283">
        <v>56.8</v>
      </c>
      <c r="G2283" s="2">
        <f t="shared" si="351"/>
        <v>0</v>
      </c>
      <c r="H2283">
        <v>60.8</v>
      </c>
      <c r="I2283">
        <v>53.6</v>
      </c>
      <c r="J2283">
        <v>56.8</v>
      </c>
      <c r="K2283">
        <v>40.1</v>
      </c>
      <c r="L2283">
        <v>53.9</v>
      </c>
      <c r="M2283" s="2">
        <f t="shared" si="352"/>
        <v>1</v>
      </c>
      <c r="N2283">
        <v>0</v>
      </c>
      <c r="O2283" s="2">
        <f t="shared" si="353"/>
        <v>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45</v>
      </c>
      <c r="V2283" s="2">
        <f t="shared" si="354"/>
        <v>1</v>
      </c>
      <c r="W2283">
        <v>24.2</v>
      </c>
      <c r="X2283" s="2">
        <f t="shared" si="355"/>
        <v>1</v>
      </c>
      <c r="Y2283">
        <v>323.5</v>
      </c>
      <c r="Z2283" s="2" t="str">
        <f>CHOOSE(MATCH(Y2283,{0;11;80;111;161;191;241;281;341},1),"North","NorthEast","East","SouthEast","South","SouthWest","West","NorthWest","North")</f>
        <v>NorthWest</v>
      </c>
      <c r="AA2283" s="4">
        <f>CHOOSE(MATCH(Z2283,{"South";"SouthEast";"SouthWest";"North";"NorthEast";"East";"West";"NorthWest"},0),1,2,3,4,5,6,7,8)</f>
        <v>8</v>
      </c>
      <c r="AB2283" s="2">
        <f t="shared" si="356"/>
        <v>1</v>
      </c>
      <c r="AC2283">
        <v>1019</v>
      </c>
      <c r="AD2283" t="s">
        <v>1097</v>
      </c>
      <c r="AE2283" s="2">
        <f t="shared" si="357"/>
        <v>1</v>
      </c>
      <c r="AF2283" t="s">
        <v>3118</v>
      </c>
      <c r="AG2283" s="2">
        <f t="shared" si="358"/>
        <v>3</v>
      </c>
      <c r="AH2283" s="2">
        <f t="shared" si="359"/>
        <v>0</v>
      </c>
      <c r="AI2283" s="3">
        <v>94.999999995343387</v>
      </c>
      <c r="AJ2283" s="2">
        <v>0</v>
      </c>
      <c r="AK2283">
        <v>0</v>
      </c>
      <c r="AL2283">
        <v>0.05</v>
      </c>
      <c r="AM2283">
        <v>0</v>
      </c>
      <c r="AN2283" s="2">
        <f>IF((2*G2283+M2283-O2283+3*V2283+2*AB2283+2*AE2283+2*AH2283+3*AJ2283)&gt;=7,1,0)</f>
        <v>1</v>
      </c>
    </row>
    <row r="2284" spans="1:40" x14ac:dyDescent="0.25">
      <c r="A2284" t="s">
        <v>27</v>
      </c>
      <c r="B2284" s="1">
        <v>43911</v>
      </c>
      <c r="C2284" s="6">
        <f t="shared" si="350"/>
        <v>2020</v>
      </c>
      <c r="D2284">
        <v>64.400000000000006</v>
      </c>
      <c r="E2284">
        <v>50</v>
      </c>
      <c r="F2284">
        <v>58.8</v>
      </c>
      <c r="G2284" s="2">
        <f t="shared" si="351"/>
        <v>0</v>
      </c>
      <c r="H2284">
        <v>64.400000000000006</v>
      </c>
      <c r="I2284">
        <v>50</v>
      </c>
      <c r="J2284">
        <v>58.8</v>
      </c>
      <c r="K2284">
        <v>46.8</v>
      </c>
      <c r="L2284">
        <v>65</v>
      </c>
      <c r="M2284" s="2">
        <f t="shared" si="352"/>
        <v>1</v>
      </c>
      <c r="N2284">
        <v>0</v>
      </c>
      <c r="O2284" s="2">
        <f t="shared" si="353"/>
        <v>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29.5</v>
      </c>
      <c r="V2284" s="2">
        <f t="shared" si="354"/>
        <v>1</v>
      </c>
      <c r="W2284">
        <v>16.100000000000001</v>
      </c>
      <c r="X2284" s="2">
        <f t="shared" si="355"/>
        <v>1</v>
      </c>
      <c r="Y2284">
        <v>322</v>
      </c>
      <c r="Z2284" s="2" t="str">
        <f>CHOOSE(MATCH(Y2284,{0;11;80;111;161;191;241;281;341},1),"North","NorthEast","East","SouthEast","South","SouthWest","West","NorthWest","North")</f>
        <v>NorthWest</v>
      </c>
      <c r="AA2284" s="4">
        <f>CHOOSE(MATCH(Z2284,{"South";"SouthEast";"SouthWest";"North";"NorthEast";"East";"West";"NorthWest"},0),1,2,3,4,5,6,7,8)</f>
        <v>8</v>
      </c>
      <c r="AB2284" s="2">
        <f t="shared" si="356"/>
        <v>1</v>
      </c>
      <c r="AC2284">
        <v>1016.5</v>
      </c>
      <c r="AD2284" t="s">
        <v>1085</v>
      </c>
      <c r="AE2284" s="2">
        <f t="shared" si="357"/>
        <v>1</v>
      </c>
      <c r="AF2284" t="s">
        <v>3119</v>
      </c>
      <c r="AG2284" s="2">
        <f t="shared" si="358"/>
        <v>3</v>
      </c>
      <c r="AH2284" s="2">
        <f t="shared" si="359"/>
        <v>0</v>
      </c>
      <c r="AI2284" s="3">
        <v>240.00000000698489</v>
      </c>
      <c r="AJ2284" s="2">
        <v>0</v>
      </c>
      <c r="AK2284">
        <v>0</v>
      </c>
      <c r="AL2284">
        <v>1.5</v>
      </c>
      <c r="AM2284">
        <v>0</v>
      </c>
      <c r="AN2284" s="2">
        <f>IF((2*G2284+M2284-O2284+3*V2284+2*AB2284+2*AE2284+2*AH2284+3*AJ2284)&gt;=7,1,0)</f>
        <v>1</v>
      </c>
    </row>
    <row r="2285" spans="1:40" x14ac:dyDescent="0.25">
      <c r="A2285" t="s">
        <v>27</v>
      </c>
      <c r="B2285" s="1">
        <v>43911</v>
      </c>
      <c r="C2285" s="6">
        <f t="shared" si="350"/>
        <v>2020</v>
      </c>
      <c r="D2285">
        <v>64.400000000000006</v>
      </c>
      <c r="E2285">
        <v>50</v>
      </c>
      <c r="F2285">
        <v>58.8</v>
      </c>
      <c r="G2285" s="2">
        <f t="shared" si="351"/>
        <v>0</v>
      </c>
      <c r="H2285">
        <v>64.400000000000006</v>
      </c>
      <c r="I2285">
        <v>50</v>
      </c>
      <c r="J2285">
        <v>58.8</v>
      </c>
      <c r="K2285">
        <v>46.8</v>
      </c>
      <c r="L2285">
        <v>65</v>
      </c>
      <c r="M2285" s="2">
        <f t="shared" si="352"/>
        <v>1</v>
      </c>
      <c r="N2285">
        <v>0</v>
      </c>
      <c r="O2285" s="2">
        <f t="shared" si="353"/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29.5</v>
      </c>
      <c r="V2285" s="2">
        <f t="shared" si="354"/>
        <v>1</v>
      </c>
      <c r="W2285">
        <v>16.100000000000001</v>
      </c>
      <c r="X2285" s="2">
        <f t="shared" si="355"/>
        <v>1</v>
      </c>
      <c r="Y2285">
        <v>322</v>
      </c>
      <c r="Z2285" s="2" t="str">
        <f>CHOOSE(MATCH(Y2285,{0;11;80;111;161;191;241;281;341},1),"North","NorthEast","East","SouthEast","South","SouthWest","West","NorthWest","North")</f>
        <v>NorthWest</v>
      </c>
      <c r="AA2285" s="4">
        <f>CHOOSE(MATCH(Z2285,{"South";"SouthEast";"SouthWest";"North";"NorthEast";"East";"West";"NorthWest"},0),1,2,3,4,5,6,7,8)</f>
        <v>8</v>
      </c>
      <c r="AB2285" s="2">
        <f t="shared" si="356"/>
        <v>1</v>
      </c>
      <c r="AC2285">
        <v>1016.5</v>
      </c>
      <c r="AD2285" t="s">
        <v>3098</v>
      </c>
      <c r="AE2285" s="2">
        <f t="shared" si="357"/>
        <v>1</v>
      </c>
      <c r="AF2285" t="s">
        <v>3120</v>
      </c>
      <c r="AG2285" s="2">
        <f t="shared" si="358"/>
        <v>3</v>
      </c>
      <c r="AH2285" s="2">
        <f t="shared" si="359"/>
        <v>0</v>
      </c>
      <c r="AI2285" s="3">
        <v>284.99999999650748</v>
      </c>
      <c r="AJ2285" s="2">
        <v>0</v>
      </c>
      <c r="AK2285">
        <v>1</v>
      </c>
      <c r="AL2285">
        <v>0</v>
      </c>
      <c r="AM2285">
        <v>0</v>
      </c>
      <c r="AN2285" s="2">
        <f>IF((2*G2285+M2285-O2285+3*V2285+2*AB2285+2*AE2285+2*AH2285+3*AJ2285)&gt;=7,1,0)</f>
        <v>1</v>
      </c>
    </row>
    <row r="2286" spans="1:40" x14ac:dyDescent="0.25">
      <c r="A2286" t="s">
        <v>27</v>
      </c>
      <c r="B2286" s="1">
        <v>43911</v>
      </c>
      <c r="C2286" s="6">
        <f t="shared" si="350"/>
        <v>2020</v>
      </c>
      <c r="D2286">
        <v>64.400000000000006</v>
      </c>
      <c r="E2286">
        <v>50</v>
      </c>
      <c r="F2286">
        <v>58.8</v>
      </c>
      <c r="G2286" s="2">
        <f t="shared" si="351"/>
        <v>0</v>
      </c>
      <c r="H2286">
        <v>64.400000000000006</v>
      </c>
      <c r="I2286">
        <v>50</v>
      </c>
      <c r="J2286">
        <v>58.8</v>
      </c>
      <c r="K2286">
        <v>46.8</v>
      </c>
      <c r="L2286">
        <v>65</v>
      </c>
      <c r="M2286" s="2">
        <f t="shared" si="352"/>
        <v>1</v>
      </c>
      <c r="N2286">
        <v>0</v>
      </c>
      <c r="O2286" s="2">
        <f t="shared" si="353"/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29.5</v>
      </c>
      <c r="V2286" s="2">
        <f t="shared" si="354"/>
        <v>1</v>
      </c>
      <c r="W2286">
        <v>16.100000000000001</v>
      </c>
      <c r="X2286" s="2">
        <f t="shared" si="355"/>
        <v>1</v>
      </c>
      <c r="Y2286">
        <v>322</v>
      </c>
      <c r="Z2286" s="2" t="str">
        <f>CHOOSE(MATCH(Y2286,{0;11;80;111;161;191;241;281;341},1),"North","NorthEast","East","SouthEast","South","SouthWest","West","NorthWest","North")</f>
        <v>NorthWest</v>
      </c>
      <c r="AA2286" s="4">
        <f>CHOOSE(MATCH(Z2286,{"South";"SouthEast";"SouthWest";"North";"NorthEast";"East";"West";"NorthWest"},0),1,2,3,4,5,6,7,8)</f>
        <v>8</v>
      </c>
      <c r="AB2286" s="2">
        <f t="shared" si="356"/>
        <v>1</v>
      </c>
      <c r="AC2286">
        <v>1016.5</v>
      </c>
      <c r="AD2286" t="s">
        <v>3121</v>
      </c>
      <c r="AE2286" s="2">
        <f t="shared" si="357"/>
        <v>1</v>
      </c>
      <c r="AF2286" t="s">
        <v>3122</v>
      </c>
      <c r="AG2286" s="2">
        <f t="shared" si="358"/>
        <v>3</v>
      </c>
      <c r="AH2286" s="2">
        <f t="shared" si="359"/>
        <v>0</v>
      </c>
      <c r="AI2286" s="3">
        <v>113.99999999441209</v>
      </c>
      <c r="AJ2286" s="2">
        <v>0</v>
      </c>
      <c r="AK2286">
        <v>3</v>
      </c>
      <c r="AL2286">
        <v>0</v>
      </c>
      <c r="AM2286">
        <v>0</v>
      </c>
      <c r="AN2286" s="2">
        <f>IF((2*G2286+M2286-O2286+3*V2286+2*AB2286+2*AE2286+2*AH2286+3*AJ2286)&gt;=7,1,0)</f>
        <v>1</v>
      </c>
    </row>
    <row r="2287" spans="1:40" x14ac:dyDescent="0.25">
      <c r="A2287" t="s">
        <v>27</v>
      </c>
      <c r="B2287" s="1">
        <v>43913</v>
      </c>
      <c r="C2287" s="6">
        <f t="shared" si="350"/>
        <v>2020</v>
      </c>
      <c r="D2287">
        <v>66.2</v>
      </c>
      <c r="E2287">
        <v>51.8</v>
      </c>
      <c r="F2287">
        <v>59.2</v>
      </c>
      <c r="G2287" s="2">
        <f t="shared" si="351"/>
        <v>0</v>
      </c>
      <c r="H2287">
        <v>66.2</v>
      </c>
      <c r="I2287">
        <v>51.8</v>
      </c>
      <c r="J2287">
        <v>59.2</v>
      </c>
      <c r="K2287">
        <v>50.4</v>
      </c>
      <c r="L2287">
        <v>73.5</v>
      </c>
      <c r="M2287" s="2">
        <f t="shared" si="352"/>
        <v>0</v>
      </c>
      <c r="N2287">
        <v>0</v>
      </c>
      <c r="O2287" s="2">
        <f t="shared" si="353"/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23</v>
      </c>
      <c r="V2287" s="2">
        <f t="shared" si="354"/>
        <v>1</v>
      </c>
      <c r="W2287">
        <v>8.1</v>
      </c>
      <c r="X2287" s="2">
        <f t="shared" si="355"/>
        <v>0</v>
      </c>
      <c r="Y2287">
        <v>119.2</v>
      </c>
      <c r="Z2287" s="2" t="str">
        <f>CHOOSE(MATCH(Y2287,{0;11;80;111;161;191;241;281;341},1),"North","NorthEast","East","SouthEast","South","SouthWest","West","NorthWest","North")</f>
        <v>SouthEast</v>
      </c>
      <c r="AA2287" s="4">
        <f>CHOOSE(MATCH(Z2287,{"South";"SouthEast";"SouthWest";"North";"NorthEast";"East";"West";"NorthWest"},0),1,2,3,4,5,6,7,8)</f>
        <v>2</v>
      </c>
      <c r="AB2287" s="2">
        <f t="shared" si="356"/>
        <v>0</v>
      </c>
      <c r="AC2287">
        <v>1010.1</v>
      </c>
      <c r="AD2287" t="s">
        <v>2375</v>
      </c>
      <c r="AE2287" s="2">
        <f t="shared" si="357"/>
        <v>1</v>
      </c>
      <c r="AF2287" t="s">
        <v>3123</v>
      </c>
      <c r="AG2287" s="2">
        <f t="shared" si="358"/>
        <v>3</v>
      </c>
      <c r="AH2287" s="2">
        <f t="shared" si="359"/>
        <v>0</v>
      </c>
      <c r="AI2287" s="3">
        <v>71.000000000931323</v>
      </c>
      <c r="AJ2287" s="2">
        <v>0</v>
      </c>
      <c r="AK2287">
        <v>0</v>
      </c>
      <c r="AL2287">
        <v>1</v>
      </c>
      <c r="AM2287">
        <v>0</v>
      </c>
      <c r="AN2287" s="2">
        <f>IF((2*G2287+M2287-O2287+3*V2287+2*AB2287+2*AE2287+2*AH2287+3*AJ2287)&gt;=7,1,0)</f>
        <v>0</v>
      </c>
    </row>
    <row r="2288" spans="1:40" x14ac:dyDescent="0.25">
      <c r="A2288" t="s">
        <v>27</v>
      </c>
      <c r="B2288" s="1">
        <v>43914</v>
      </c>
      <c r="C2288" s="6">
        <f t="shared" si="350"/>
        <v>2020</v>
      </c>
      <c r="D2288">
        <v>64.400000000000006</v>
      </c>
      <c r="E2288">
        <v>50</v>
      </c>
      <c r="F2288">
        <v>57.7</v>
      </c>
      <c r="G2288" s="2">
        <f t="shared" si="351"/>
        <v>0</v>
      </c>
      <c r="H2288">
        <v>64.400000000000006</v>
      </c>
      <c r="I2288">
        <v>47.2</v>
      </c>
      <c r="J2288">
        <v>57.5</v>
      </c>
      <c r="K2288">
        <v>52</v>
      </c>
      <c r="L2288">
        <v>81.7</v>
      </c>
      <c r="M2288" s="2">
        <f t="shared" si="352"/>
        <v>0</v>
      </c>
      <c r="N2288">
        <v>0</v>
      </c>
      <c r="O2288" s="2">
        <f t="shared" si="353"/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18.600000000000001</v>
      </c>
      <c r="V2288" s="2">
        <f t="shared" si="354"/>
        <v>1</v>
      </c>
      <c r="W2288">
        <v>10.3</v>
      </c>
      <c r="X2288" s="2">
        <f t="shared" si="355"/>
        <v>0</v>
      </c>
      <c r="Y2288">
        <v>309.5</v>
      </c>
      <c r="Z2288" s="2" t="str">
        <f>CHOOSE(MATCH(Y2288,{0;11;80;111;161;191;241;281;341},1),"North","NorthEast","East","SouthEast","South","SouthWest","West","NorthWest","North")</f>
        <v>NorthWest</v>
      </c>
      <c r="AA2288" s="4">
        <f>CHOOSE(MATCH(Z2288,{"South";"SouthEast";"SouthWest";"North";"NorthEast";"East";"West";"NorthWest"},0),1,2,3,4,5,6,7,8)</f>
        <v>8</v>
      </c>
      <c r="AB2288" s="2">
        <f t="shared" si="356"/>
        <v>1</v>
      </c>
      <c r="AC2288">
        <v>1012.2</v>
      </c>
      <c r="AD2288" t="s">
        <v>3124</v>
      </c>
      <c r="AE2288" s="2">
        <f t="shared" si="357"/>
        <v>1</v>
      </c>
      <c r="AF2288" t="s">
        <v>3125</v>
      </c>
      <c r="AG2288" s="2">
        <f t="shared" si="358"/>
        <v>3</v>
      </c>
      <c r="AH2288" s="2">
        <f t="shared" si="359"/>
        <v>0</v>
      </c>
      <c r="AI2288" s="3">
        <v>216.9999999948777</v>
      </c>
      <c r="AJ2288" s="2">
        <v>0</v>
      </c>
      <c r="AK2288">
        <v>0</v>
      </c>
      <c r="AL2288">
        <v>1</v>
      </c>
      <c r="AM2288">
        <v>0</v>
      </c>
      <c r="AN2288" s="2">
        <f>IF((2*G2288+M2288-O2288+3*V2288+2*AB2288+2*AE2288+2*AH2288+3*AJ2288)&gt;=7,1,0)</f>
        <v>0</v>
      </c>
    </row>
    <row r="2289" spans="1:40" x14ac:dyDescent="0.25">
      <c r="A2289" t="s">
        <v>27</v>
      </c>
      <c r="B2289" s="1">
        <v>43914</v>
      </c>
      <c r="C2289" s="6">
        <f t="shared" si="350"/>
        <v>2020</v>
      </c>
      <c r="D2289">
        <v>64.400000000000006</v>
      </c>
      <c r="E2289">
        <v>50</v>
      </c>
      <c r="F2289">
        <v>57.7</v>
      </c>
      <c r="G2289" s="2">
        <f t="shared" si="351"/>
        <v>0</v>
      </c>
      <c r="H2289">
        <v>64.400000000000006</v>
      </c>
      <c r="I2289">
        <v>47.2</v>
      </c>
      <c r="J2289">
        <v>57.5</v>
      </c>
      <c r="K2289">
        <v>52</v>
      </c>
      <c r="L2289">
        <v>81.7</v>
      </c>
      <c r="M2289" s="2">
        <f t="shared" si="352"/>
        <v>0</v>
      </c>
      <c r="N2289">
        <v>0</v>
      </c>
      <c r="O2289" s="2">
        <f t="shared" si="353"/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18.600000000000001</v>
      </c>
      <c r="V2289" s="2">
        <f t="shared" si="354"/>
        <v>1</v>
      </c>
      <c r="W2289">
        <v>10.3</v>
      </c>
      <c r="X2289" s="2">
        <f t="shared" si="355"/>
        <v>0</v>
      </c>
      <c r="Y2289">
        <v>309.5</v>
      </c>
      <c r="Z2289" s="2" t="str">
        <f>CHOOSE(MATCH(Y2289,{0;11;80;111;161;191;241;281;341},1),"North","NorthEast","East","SouthEast","South","SouthWest","West","NorthWest","North")</f>
        <v>NorthWest</v>
      </c>
      <c r="AA2289" s="4">
        <f>CHOOSE(MATCH(Z2289,{"South";"SouthEast";"SouthWest";"North";"NorthEast";"East";"West";"NorthWest"},0),1,2,3,4,5,6,7,8)</f>
        <v>8</v>
      </c>
      <c r="AB2289" s="2">
        <f t="shared" si="356"/>
        <v>1</v>
      </c>
      <c r="AC2289">
        <v>1012.2</v>
      </c>
      <c r="AD2289" t="s">
        <v>2269</v>
      </c>
      <c r="AE2289" s="2">
        <f t="shared" si="357"/>
        <v>1</v>
      </c>
      <c r="AF2289" t="s">
        <v>3126</v>
      </c>
      <c r="AG2289" s="2">
        <f t="shared" si="358"/>
        <v>3</v>
      </c>
      <c r="AH2289" s="2">
        <f t="shared" si="359"/>
        <v>0</v>
      </c>
      <c r="AI2289" s="3">
        <v>74.999999993015081</v>
      </c>
      <c r="AJ2289" s="2">
        <v>0</v>
      </c>
      <c r="AK2289">
        <v>0</v>
      </c>
      <c r="AL2289">
        <v>0.02</v>
      </c>
      <c r="AM2289">
        <v>0</v>
      </c>
      <c r="AN2289" s="2">
        <f>IF((2*G2289+M2289-O2289+3*V2289+2*AB2289+2*AE2289+2*AH2289+3*AJ2289)&gt;=7,1,0)</f>
        <v>0</v>
      </c>
    </row>
    <row r="2290" spans="1:40" x14ac:dyDescent="0.25">
      <c r="A2290" t="s">
        <v>27</v>
      </c>
      <c r="B2290" s="1">
        <v>43914</v>
      </c>
      <c r="C2290" s="6">
        <f t="shared" si="350"/>
        <v>2020</v>
      </c>
      <c r="D2290">
        <v>64.400000000000006</v>
      </c>
      <c r="E2290">
        <v>50</v>
      </c>
      <c r="F2290">
        <v>57.7</v>
      </c>
      <c r="G2290" s="2">
        <f t="shared" si="351"/>
        <v>0</v>
      </c>
      <c r="H2290">
        <v>64.400000000000006</v>
      </c>
      <c r="I2290">
        <v>47.2</v>
      </c>
      <c r="J2290">
        <v>57.5</v>
      </c>
      <c r="K2290">
        <v>52</v>
      </c>
      <c r="L2290">
        <v>81.7</v>
      </c>
      <c r="M2290" s="2">
        <f t="shared" si="352"/>
        <v>0</v>
      </c>
      <c r="N2290">
        <v>0</v>
      </c>
      <c r="O2290" s="2">
        <f t="shared" si="353"/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18.600000000000001</v>
      </c>
      <c r="V2290" s="2">
        <f t="shared" si="354"/>
        <v>1</v>
      </c>
      <c r="W2290">
        <v>10.3</v>
      </c>
      <c r="X2290" s="2">
        <f t="shared" si="355"/>
        <v>0</v>
      </c>
      <c r="Y2290">
        <v>309.5</v>
      </c>
      <c r="Z2290" s="2" t="str">
        <f>CHOOSE(MATCH(Y2290,{0;11;80;111;161;191;241;281;341},1),"North","NorthEast","East","SouthEast","South","SouthWest","West","NorthWest","North")</f>
        <v>NorthWest</v>
      </c>
      <c r="AA2290" s="4">
        <f>CHOOSE(MATCH(Z2290,{"South";"SouthEast";"SouthWest";"North";"NorthEast";"East";"West";"NorthWest"},0),1,2,3,4,5,6,7,8)</f>
        <v>8</v>
      </c>
      <c r="AB2290" s="2">
        <f t="shared" si="356"/>
        <v>1</v>
      </c>
      <c r="AC2290">
        <v>1012.2</v>
      </c>
      <c r="AD2290" t="s">
        <v>1748</v>
      </c>
      <c r="AE2290" s="2">
        <f t="shared" si="357"/>
        <v>1</v>
      </c>
      <c r="AF2290" t="s">
        <v>3127</v>
      </c>
      <c r="AG2290" s="2">
        <f t="shared" si="358"/>
        <v>3</v>
      </c>
      <c r="AH2290" s="2">
        <f t="shared" si="359"/>
        <v>0</v>
      </c>
      <c r="AI2290" s="3">
        <v>166.99999999953431</v>
      </c>
      <c r="AJ2290" s="2">
        <v>0</v>
      </c>
      <c r="AK2290">
        <v>0</v>
      </c>
      <c r="AL2290">
        <v>0.5</v>
      </c>
      <c r="AM2290">
        <v>0</v>
      </c>
      <c r="AN2290" s="2">
        <f>IF((2*G2290+M2290-O2290+3*V2290+2*AB2290+2*AE2290+2*AH2290+3*AJ2290)&gt;=7,1,0)</f>
        <v>0</v>
      </c>
    </row>
    <row r="2291" spans="1:40" x14ac:dyDescent="0.25">
      <c r="A2291" t="s">
        <v>27</v>
      </c>
      <c r="B2291" s="1">
        <v>43927</v>
      </c>
      <c r="C2291" s="6">
        <f t="shared" si="350"/>
        <v>2020</v>
      </c>
      <c r="D2291">
        <v>60.8</v>
      </c>
      <c r="E2291">
        <v>55.4</v>
      </c>
      <c r="F2291">
        <v>57.8</v>
      </c>
      <c r="G2291" s="2">
        <f t="shared" si="351"/>
        <v>0</v>
      </c>
      <c r="H2291">
        <v>60.8</v>
      </c>
      <c r="I2291">
        <v>55.4</v>
      </c>
      <c r="J2291">
        <v>57.8</v>
      </c>
      <c r="K2291">
        <v>50.6</v>
      </c>
      <c r="L2291">
        <v>77</v>
      </c>
      <c r="M2291" s="2">
        <f t="shared" si="352"/>
        <v>0</v>
      </c>
      <c r="N2291">
        <v>2E-3</v>
      </c>
      <c r="O2291" s="2">
        <f t="shared" si="353"/>
        <v>1</v>
      </c>
      <c r="P2291">
        <v>100</v>
      </c>
      <c r="Q2291">
        <v>8.33</v>
      </c>
      <c r="R2291" t="s">
        <v>182</v>
      </c>
      <c r="S2291">
        <v>0</v>
      </c>
      <c r="T2291">
        <v>0</v>
      </c>
      <c r="U2291">
        <v>24.6</v>
      </c>
      <c r="V2291" s="2">
        <f t="shared" si="354"/>
        <v>1</v>
      </c>
      <c r="W2291">
        <v>20.8</v>
      </c>
      <c r="X2291" s="2">
        <f t="shared" si="355"/>
        <v>1</v>
      </c>
      <c r="Y2291">
        <v>304.2</v>
      </c>
      <c r="Z2291" s="2" t="str">
        <f>CHOOSE(MATCH(Y2291,{0;11;80;111;161;191;241;281;341},1),"North","NorthEast","East","SouthEast","South","SouthWest","West","NorthWest","North")</f>
        <v>NorthWest</v>
      </c>
      <c r="AA2291" s="4">
        <f>CHOOSE(MATCH(Z2291,{"South";"SouthEast";"SouthWest";"North";"NorthEast";"East";"West";"NorthWest"},0),1,2,3,4,5,6,7,8)</f>
        <v>8</v>
      </c>
      <c r="AB2291" s="2">
        <f t="shared" si="356"/>
        <v>1</v>
      </c>
      <c r="AC2291">
        <v>1016.5</v>
      </c>
      <c r="AD2291" t="s">
        <v>1129</v>
      </c>
      <c r="AE2291" s="2">
        <f t="shared" si="357"/>
        <v>1</v>
      </c>
      <c r="AF2291" t="s">
        <v>3128</v>
      </c>
      <c r="AG2291" s="2">
        <f t="shared" si="358"/>
        <v>4</v>
      </c>
      <c r="AH2291" s="2">
        <f t="shared" si="359"/>
        <v>0</v>
      </c>
      <c r="AI2291" s="3">
        <v>140.00000000582079</v>
      </c>
      <c r="AJ2291" s="2">
        <v>0</v>
      </c>
      <c r="AK2291">
        <v>0</v>
      </c>
      <c r="AL2291">
        <v>0.5</v>
      </c>
      <c r="AM2291">
        <v>0</v>
      </c>
      <c r="AN2291" s="2">
        <f>IF((2*G2291+M2291-O2291+3*V2291+2*AB2291+2*AE2291+2*AH2291+3*AJ2291)&gt;=7,1,0)</f>
        <v>0</v>
      </c>
    </row>
    <row r="2292" spans="1:40" x14ac:dyDescent="0.25">
      <c r="A2292" t="s">
        <v>27</v>
      </c>
      <c r="B2292" s="1">
        <v>43930</v>
      </c>
      <c r="C2292" s="6">
        <f t="shared" si="350"/>
        <v>2020</v>
      </c>
      <c r="D2292">
        <v>60.8</v>
      </c>
      <c r="E2292">
        <v>53.6</v>
      </c>
      <c r="F2292">
        <v>56.8</v>
      </c>
      <c r="G2292" s="2">
        <f t="shared" si="351"/>
        <v>0</v>
      </c>
      <c r="H2292">
        <v>60.8</v>
      </c>
      <c r="I2292">
        <v>53.6</v>
      </c>
      <c r="J2292">
        <v>56.8</v>
      </c>
      <c r="K2292">
        <v>45.7</v>
      </c>
      <c r="L2292">
        <v>66.599999999999994</v>
      </c>
      <c r="M2292" s="2">
        <f t="shared" si="352"/>
        <v>0</v>
      </c>
      <c r="N2292">
        <v>0</v>
      </c>
      <c r="O2292" s="2">
        <f t="shared" si="353"/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30.9</v>
      </c>
      <c r="V2292" s="2">
        <f t="shared" si="354"/>
        <v>1</v>
      </c>
      <c r="W2292">
        <v>21.9</v>
      </c>
      <c r="X2292" s="2">
        <f t="shared" si="355"/>
        <v>1</v>
      </c>
      <c r="Y2292">
        <v>300.3</v>
      </c>
      <c r="Z2292" s="2" t="str">
        <f>CHOOSE(MATCH(Y2292,{0;11;80;111;161;191;241;281;341},1),"North","NorthEast","East","SouthEast","South","SouthWest","West","NorthWest","North")</f>
        <v>NorthWest</v>
      </c>
      <c r="AA2292" s="4">
        <f>CHOOSE(MATCH(Z2292,{"South";"SouthEast";"SouthWest";"North";"NorthEast";"East";"West";"NorthWest"},0),1,2,3,4,5,6,7,8)</f>
        <v>8</v>
      </c>
      <c r="AB2292" s="2">
        <f t="shared" si="356"/>
        <v>1</v>
      </c>
      <c r="AC2292">
        <v>1015.8</v>
      </c>
      <c r="AD2292" t="s">
        <v>1861</v>
      </c>
      <c r="AE2292" s="2">
        <f t="shared" si="357"/>
        <v>0</v>
      </c>
      <c r="AF2292" t="s">
        <v>3129</v>
      </c>
      <c r="AG2292" s="2">
        <f t="shared" si="358"/>
        <v>4</v>
      </c>
      <c r="AH2292" s="2">
        <f t="shared" si="359"/>
        <v>0</v>
      </c>
      <c r="AI2292" s="3">
        <v>139.00000000256111</v>
      </c>
      <c r="AJ2292" s="2">
        <v>0</v>
      </c>
      <c r="AK2292">
        <v>0</v>
      </c>
      <c r="AL2292">
        <v>2</v>
      </c>
      <c r="AM2292">
        <v>0</v>
      </c>
      <c r="AN2292" s="2">
        <f>IF((2*G2292+M2292-O2292+3*V2292+2*AB2292+2*AE2292+2*AH2292+3*AJ2292)&gt;=7,1,0)</f>
        <v>0</v>
      </c>
    </row>
    <row r="2293" spans="1:40" x14ac:dyDescent="0.25">
      <c r="A2293" t="s">
        <v>27</v>
      </c>
      <c r="B2293" s="1">
        <v>43931</v>
      </c>
      <c r="C2293" s="6">
        <f t="shared" si="350"/>
        <v>2020</v>
      </c>
      <c r="D2293">
        <v>66.2</v>
      </c>
      <c r="E2293">
        <v>49.7</v>
      </c>
      <c r="F2293">
        <v>59.2</v>
      </c>
      <c r="G2293" s="2">
        <f t="shared" si="351"/>
        <v>0</v>
      </c>
      <c r="H2293">
        <v>66.2</v>
      </c>
      <c r="I2293">
        <v>46.5</v>
      </c>
      <c r="J2293">
        <v>59.1</v>
      </c>
      <c r="K2293">
        <v>44.6</v>
      </c>
      <c r="L2293">
        <v>59.5</v>
      </c>
      <c r="M2293" s="2">
        <f t="shared" si="352"/>
        <v>1</v>
      </c>
      <c r="N2293">
        <v>0</v>
      </c>
      <c r="O2293" s="2">
        <f t="shared" si="353"/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35.799999999999997</v>
      </c>
      <c r="V2293" s="2">
        <f t="shared" si="354"/>
        <v>1</v>
      </c>
      <c r="W2293">
        <v>20.8</v>
      </c>
      <c r="X2293" s="2">
        <f t="shared" si="355"/>
        <v>1</v>
      </c>
      <c r="Y2293">
        <v>291.60000000000002</v>
      </c>
      <c r="Z2293" s="2" t="str">
        <f>CHOOSE(MATCH(Y2293,{0;11;80;111;161;191;241;281;341},1),"North","NorthEast","East","SouthEast","South","SouthWest","West","NorthWest","North")</f>
        <v>NorthWest</v>
      </c>
      <c r="AA2293" s="4">
        <f>CHOOSE(MATCH(Z2293,{"South";"SouthEast";"SouthWest";"North";"NorthEast";"East";"West";"NorthWest"},0),1,2,3,4,5,6,7,8)</f>
        <v>8</v>
      </c>
      <c r="AB2293" s="2">
        <f t="shared" si="356"/>
        <v>1</v>
      </c>
      <c r="AC2293">
        <v>1015.5</v>
      </c>
      <c r="AD2293" t="s">
        <v>2210</v>
      </c>
      <c r="AE2293" s="2">
        <f t="shared" si="357"/>
        <v>1</v>
      </c>
      <c r="AF2293" t="s">
        <v>3130</v>
      </c>
      <c r="AG2293" s="2">
        <f t="shared" si="358"/>
        <v>4</v>
      </c>
      <c r="AH2293" s="2">
        <f t="shared" si="359"/>
        <v>0</v>
      </c>
      <c r="AI2293" s="3">
        <v>149.99999999650751</v>
      </c>
      <c r="AJ2293" s="2">
        <v>0</v>
      </c>
      <c r="AK2293">
        <v>0</v>
      </c>
      <c r="AL2293">
        <v>0.5</v>
      </c>
      <c r="AM2293">
        <v>0</v>
      </c>
      <c r="AN2293" s="2">
        <f>IF((2*G2293+M2293-O2293+3*V2293+2*AB2293+2*AE2293+2*AH2293+3*AJ2293)&gt;=7,1,0)</f>
        <v>1</v>
      </c>
    </row>
    <row r="2294" spans="1:40" x14ac:dyDescent="0.25">
      <c r="A2294" t="s">
        <v>27</v>
      </c>
      <c r="B2294" s="1">
        <v>43932</v>
      </c>
      <c r="C2294" s="6">
        <f t="shared" si="350"/>
        <v>2020</v>
      </c>
      <c r="D2294">
        <v>68</v>
      </c>
      <c r="E2294">
        <v>53.6</v>
      </c>
      <c r="F2294">
        <v>61.9</v>
      </c>
      <c r="G2294" s="2">
        <f t="shared" si="351"/>
        <v>0</v>
      </c>
      <c r="H2294">
        <v>68</v>
      </c>
      <c r="I2294">
        <v>53.6</v>
      </c>
      <c r="J2294">
        <v>61.9</v>
      </c>
      <c r="K2294">
        <v>46.2</v>
      </c>
      <c r="L2294">
        <v>56.8</v>
      </c>
      <c r="M2294" s="2">
        <f t="shared" si="352"/>
        <v>1</v>
      </c>
      <c r="N2294">
        <v>0</v>
      </c>
      <c r="O2294" s="2">
        <f t="shared" si="353"/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28</v>
      </c>
      <c r="V2294" s="2">
        <f t="shared" si="354"/>
        <v>1</v>
      </c>
      <c r="W2294">
        <v>16.100000000000001</v>
      </c>
      <c r="X2294" s="2">
        <f t="shared" si="355"/>
        <v>1</v>
      </c>
      <c r="Y2294">
        <v>289.89999999999998</v>
      </c>
      <c r="Z2294" s="2" t="str">
        <f>CHOOSE(MATCH(Y2294,{0;11;80;111;161;191;241;281;341},1),"North","NorthEast","East","SouthEast","South","SouthWest","West","NorthWest","North")</f>
        <v>NorthWest</v>
      </c>
      <c r="AA2294" s="4">
        <f>CHOOSE(MATCH(Z2294,{"South";"SouthEast";"SouthWest";"North";"NorthEast";"East";"West";"NorthWest"},0),1,2,3,4,5,6,7,8)</f>
        <v>8</v>
      </c>
      <c r="AB2294" s="2">
        <f t="shared" si="356"/>
        <v>1</v>
      </c>
      <c r="AC2294">
        <v>1017</v>
      </c>
      <c r="AD2294" t="s">
        <v>1824</v>
      </c>
      <c r="AE2294" s="2">
        <f t="shared" si="357"/>
        <v>1</v>
      </c>
      <c r="AF2294" t="s">
        <v>3131</v>
      </c>
      <c r="AG2294" s="2">
        <f t="shared" si="358"/>
        <v>4</v>
      </c>
      <c r="AH2294" s="2">
        <f t="shared" si="359"/>
        <v>0</v>
      </c>
      <c r="AI2294" s="3">
        <v>1509.9999999976719</v>
      </c>
      <c r="AJ2294" s="2">
        <v>1</v>
      </c>
      <c r="AK2294">
        <v>0</v>
      </c>
      <c r="AL2294">
        <v>1</v>
      </c>
      <c r="AM2294">
        <v>0</v>
      </c>
      <c r="AN2294" s="2">
        <f>IF((2*G2294+M2294-O2294+3*V2294+2*AB2294+2*AE2294+2*AH2294+3*AJ2294)&gt;=7,1,0)</f>
        <v>1</v>
      </c>
    </row>
    <row r="2295" spans="1:40" x14ac:dyDescent="0.25">
      <c r="A2295" t="s">
        <v>27</v>
      </c>
      <c r="B2295" s="1">
        <v>43933</v>
      </c>
      <c r="C2295" s="6">
        <f t="shared" si="350"/>
        <v>2020</v>
      </c>
      <c r="D2295">
        <v>69.8</v>
      </c>
      <c r="E2295">
        <v>50</v>
      </c>
      <c r="F2295">
        <v>59.9</v>
      </c>
      <c r="G2295" s="2">
        <f t="shared" si="351"/>
        <v>0</v>
      </c>
      <c r="H2295">
        <v>69.8</v>
      </c>
      <c r="I2295">
        <v>50</v>
      </c>
      <c r="J2295">
        <v>59.9</v>
      </c>
      <c r="K2295">
        <v>47</v>
      </c>
      <c r="L2295">
        <v>63.5</v>
      </c>
      <c r="M2295" s="2">
        <f t="shared" si="352"/>
        <v>1</v>
      </c>
      <c r="N2295">
        <v>0</v>
      </c>
      <c r="O2295" s="2">
        <f t="shared" si="353"/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24.4</v>
      </c>
      <c r="V2295" s="2">
        <f t="shared" si="354"/>
        <v>1</v>
      </c>
      <c r="W2295">
        <v>9.1999999999999993</v>
      </c>
      <c r="X2295" s="2">
        <f t="shared" si="355"/>
        <v>0</v>
      </c>
      <c r="Y2295">
        <v>232</v>
      </c>
      <c r="Z2295" s="2" t="str">
        <f>CHOOSE(MATCH(Y2295,{0;11;80;111;161;191;241;281;341},1),"North","NorthEast","East","SouthEast","South","SouthWest","West","NorthWest","North")</f>
        <v>SouthWest</v>
      </c>
      <c r="AA2295" s="4">
        <f>CHOOSE(MATCH(Z2295,{"South";"SouthEast";"SouthWest";"North";"NorthEast";"East";"West";"NorthWest"},0),1,2,3,4,5,6,7,8)</f>
        <v>3</v>
      </c>
      <c r="AB2295" s="2">
        <f t="shared" si="356"/>
        <v>0</v>
      </c>
      <c r="AC2295">
        <v>1018.7</v>
      </c>
      <c r="AD2295" t="s">
        <v>2342</v>
      </c>
      <c r="AE2295" s="2">
        <f t="shared" si="357"/>
        <v>1</v>
      </c>
      <c r="AF2295" t="s">
        <v>3132</v>
      </c>
      <c r="AG2295" s="2">
        <f t="shared" si="358"/>
        <v>4</v>
      </c>
      <c r="AH2295" s="2">
        <f t="shared" si="359"/>
        <v>0</v>
      </c>
      <c r="AI2295" s="3">
        <v>182.99999999930151</v>
      </c>
      <c r="AJ2295" s="2">
        <v>0</v>
      </c>
      <c r="AK2295">
        <v>0</v>
      </c>
      <c r="AL2295">
        <v>4</v>
      </c>
      <c r="AM2295">
        <v>0</v>
      </c>
      <c r="AN2295" s="2">
        <f>IF((2*G2295+M2295-O2295+3*V2295+2*AB2295+2*AE2295+2*AH2295+3*AJ2295)&gt;=7,1,0)</f>
        <v>0</v>
      </c>
    </row>
    <row r="2296" spans="1:40" x14ac:dyDescent="0.25">
      <c r="A2296" t="s">
        <v>27</v>
      </c>
      <c r="B2296" s="1">
        <v>43934</v>
      </c>
      <c r="C2296" s="6">
        <f t="shared" si="350"/>
        <v>2020</v>
      </c>
      <c r="D2296">
        <v>66.2</v>
      </c>
      <c r="E2296">
        <v>51.8</v>
      </c>
      <c r="F2296">
        <v>59</v>
      </c>
      <c r="G2296" s="2">
        <f t="shared" si="351"/>
        <v>0</v>
      </c>
      <c r="H2296">
        <v>66.2</v>
      </c>
      <c r="I2296">
        <v>51.8</v>
      </c>
      <c r="J2296">
        <v>59</v>
      </c>
      <c r="K2296">
        <v>52.1</v>
      </c>
      <c r="L2296">
        <v>78.2</v>
      </c>
      <c r="M2296" s="2">
        <f t="shared" si="352"/>
        <v>0</v>
      </c>
      <c r="N2296">
        <v>0</v>
      </c>
      <c r="O2296" s="2">
        <f t="shared" si="353"/>
        <v>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22.6</v>
      </c>
      <c r="V2296" s="2">
        <f t="shared" si="354"/>
        <v>1</v>
      </c>
      <c r="W2296">
        <v>8.1</v>
      </c>
      <c r="X2296" s="2">
        <f t="shared" si="355"/>
        <v>0</v>
      </c>
      <c r="Y2296">
        <v>230.6</v>
      </c>
      <c r="Z2296" s="2" t="str">
        <f>CHOOSE(MATCH(Y2296,{0;11;80;111;161;191;241;281;341},1),"North","NorthEast","East","SouthEast","South","SouthWest","West","NorthWest","North")</f>
        <v>SouthWest</v>
      </c>
      <c r="AA2296" s="4">
        <f>CHOOSE(MATCH(Z2296,{"South";"SouthEast";"SouthWest";"North";"NorthEast";"East";"West";"NorthWest"},0),1,2,3,4,5,6,7,8)</f>
        <v>3</v>
      </c>
      <c r="AB2296" s="2">
        <f t="shared" si="356"/>
        <v>0</v>
      </c>
      <c r="AC2296">
        <v>1019.5</v>
      </c>
      <c r="AD2296" t="s">
        <v>3133</v>
      </c>
      <c r="AE2296" s="2">
        <f t="shared" si="357"/>
        <v>1</v>
      </c>
      <c r="AF2296" t="s">
        <v>3134</v>
      </c>
      <c r="AG2296" s="2">
        <f t="shared" si="358"/>
        <v>4</v>
      </c>
      <c r="AH2296" s="2">
        <f t="shared" si="359"/>
        <v>0</v>
      </c>
      <c r="AI2296" s="3">
        <v>63.999999999068677</v>
      </c>
      <c r="AJ2296" s="2">
        <v>0</v>
      </c>
      <c r="AK2296">
        <v>0</v>
      </c>
      <c r="AL2296">
        <v>1</v>
      </c>
      <c r="AM2296">
        <v>0</v>
      </c>
      <c r="AN2296" s="2">
        <f>IF((2*G2296+M2296-O2296+3*V2296+2*AB2296+2*AE2296+2*AH2296+3*AJ2296)&gt;=7,1,0)</f>
        <v>0</v>
      </c>
    </row>
    <row r="2297" spans="1:40" x14ac:dyDescent="0.25">
      <c r="A2297" t="s">
        <v>27</v>
      </c>
      <c r="B2297" s="1">
        <v>43935</v>
      </c>
      <c r="C2297" s="6">
        <f t="shared" si="350"/>
        <v>2020</v>
      </c>
      <c r="D2297">
        <v>73.400000000000006</v>
      </c>
      <c r="E2297">
        <v>51.8</v>
      </c>
      <c r="F2297">
        <v>62.5</v>
      </c>
      <c r="G2297" s="2">
        <f t="shared" si="351"/>
        <v>0</v>
      </c>
      <c r="H2297">
        <v>73.400000000000006</v>
      </c>
      <c r="I2297">
        <v>51.8</v>
      </c>
      <c r="J2297">
        <v>62.5</v>
      </c>
      <c r="K2297">
        <v>42.8</v>
      </c>
      <c r="L2297">
        <v>51.8</v>
      </c>
      <c r="M2297" s="2">
        <f t="shared" si="352"/>
        <v>1</v>
      </c>
      <c r="N2297">
        <v>0</v>
      </c>
      <c r="O2297" s="2">
        <f t="shared" si="353"/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31</v>
      </c>
      <c r="V2297" s="2">
        <f t="shared" si="354"/>
        <v>1</v>
      </c>
      <c r="W2297">
        <v>32.200000000000003</v>
      </c>
      <c r="X2297" s="2">
        <f t="shared" si="355"/>
        <v>1</v>
      </c>
      <c r="Y2297">
        <v>156</v>
      </c>
      <c r="Z2297" s="2" t="str">
        <f>CHOOSE(MATCH(Y2297,{0;11;80;111;161;191;241;281;341},1),"North","NorthEast","East","SouthEast","South","SouthWest","West","NorthWest","North")</f>
        <v>SouthEast</v>
      </c>
      <c r="AA2297" s="4">
        <f>CHOOSE(MATCH(Z2297,{"South";"SouthEast";"SouthWest";"North";"NorthEast";"East";"West";"NorthWest"},0),1,2,3,4,5,6,7,8)</f>
        <v>2</v>
      </c>
      <c r="AB2297" s="2">
        <f t="shared" si="356"/>
        <v>0</v>
      </c>
      <c r="AC2297">
        <v>1016.9</v>
      </c>
      <c r="AD2297" t="s">
        <v>3135</v>
      </c>
      <c r="AE2297" s="2">
        <f t="shared" si="357"/>
        <v>1</v>
      </c>
      <c r="AF2297" t="s">
        <v>3136</v>
      </c>
      <c r="AG2297" s="2">
        <f t="shared" si="358"/>
        <v>4</v>
      </c>
      <c r="AH2297" s="2">
        <f t="shared" si="359"/>
        <v>0</v>
      </c>
      <c r="AI2297" s="3">
        <v>1367.000000003027</v>
      </c>
      <c r="AJ2297" s="2">
        <v>1</v>
      </c>
      <c r="AK2297">
        <v>0</v>
      </c>
      <c r="AL2297">
        <v>50</v>
      </c>
      <c r="AM2297">
        <v>0</v>
      </c>
      <c r="AN2297" s="2">
        <f>IF((2*G2297+M2297-O2297+3*V2297+2*AB2297+2*AE2297+2*AH2297+3*AJ2297)&gt;=7,1,0)</f>
        <v>1</v>
      </c>
    </row>
    <row r="2298" spans="1:40" x14ac:dyDescent="0.25">
      <c r="A2298" t="s">
        <v>27</v>
      </c>
      <c r="B2298" s="1">
        <v>43935</v>
      </c>
      <c r="C2298" s="6">
        <f t="shared" si="350"/>
        <v>2020</v>
      </c>
      <c r="D2298">
        <v>73.400000000000006</v>
      </c>
      <c r="E2298">
        <v>51.8</v>
      </c>
      <c r="F2298">
        <v>62.5</v>
      </c>
      <c r="G2298" s="2">
        <f t="shared" si="351"/>
        <v>0</v>
      </c>
      <c r="H2298">
        <v>73.400000000000006</v>
      </c>
      <c r="I2298">
        <v>51.8</v>
      </c>
      <c r="J2298">
        <v>62.5</v>
      </c>
      <c r="K2298">
        <v>42.8</v>
      </c>
      <c r="L2298">
        <v>51.8</v>
      </c>
      <c r="M2298" s="2">
        <f t="shared" si="352"/>
        <v>1</v>
      </c>
      <c r="N2298">
        <v>0</v>
      </c>
      <c r="O2298" s="2">
        <f t="shared" si="353"/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31</v>
      </c>
      <c r="V2298" s="2">
        <f t="shared" si="354"/>
        <v>1</v>
      </c>
      <c r="W2298">
        <v>32.200000000000003</v>
      </c>
      <c r="X2298" s="2">
        <f t="shared" si="355"/>
        <v>1</v>
      </c>
      <c r="Y2298">
        <v>156</v>
      </c>
      <c r="Z2298" s="2" t="str">
        <f>CHOOSE(MATCH(Y2298,{0;11;80;111;161;191;241;281;341},1),"North","NorthEast","East","SouthEast","South","SouthWest","West","NorthWest","North")</f>
        <v>SouthEast</v>
      </c>
      <c r="AA2298" s="4">
        <f>CHOOSE(MATCH(Z2298,{"South";"SouthEast";"SouthWest";"North";"NorthEast";"East";"West";"NorthWest"},0),1,2,3,4,5,6,7,8)</f>
        <v>2</v>
      </c>
      <c r="AB2298" s="2">
        <f t="shared" si="356"/>
        <v>0</v>
      </c>
      <c r="AC2298">
        <v>1016.9</v>
      </c>
      <c r="AD2298" t="s">
        <v>3137</v>
      </c>
      <c r="AE2298" s="2">
        <f t="shared" si="357"/>
        <v>1</v>
      </c>
      <c r="AF2298" t="s">
        <v>3138</v>
      </c>
      <c r="AG2298" s="2">
        <f t="shared" si="358"/>
        <v>4</v>
      </c>
      <c r="AH2298" s="2">
        <f t="shared" si="359"/>
        <v>0</v>
      </c>
      <c r="AI2298" s="3">
        <v>90.99999999278225</v>
      </c>
      <c r="AJ2298" s="2">
        <v>0</v>
      </c>
      <c r="AK2298">
        <v>0</v>
      </c>
      <c r="AL2298">
        <v>0.2</v>
      </c>
      <c r="AM2298">
        <v>0</v>
      </c>
      <c r="AN2298" s="2">
        <f>IF((2*G2298+M2298-O2298+3*V2298+2*AB2298+2*AE2298+2*AH2298+3*AJ2298)&gt;=7,1,0)</f>
        <v>0</v>
      </c>
    </row>
    <row r="2299" spans="1:40" x14ac:dyDescent="0.25">
      <c r="A2299" t="s">
        <v>27</v>
      </c>
      <c r="B2299" s="1">
        <v>43950</v>
      </c>
      <c r="C2299" s="6">
        <f t="shared" si="350"/>
        <v>2020</v>
      </c>
      <c r="D2299">
        <v>71.599999999999994</v>
      </c>
      <c r="E2299">
        <v>51.8</v>
      </c>
      <c r="F2299">
        <v>63.4</v>
      </c>
      <c r="G2299" s="2">
        <f t="shared" si="351"/>
        <v>0</v>
      </c>
      <c r="H2299">
        <v>71.599999999999994</v>
      </c>
      <c r="I2299">
        <v>51.8</v>
      </c>
      <c r="J2299">
        <v>63.4</v>
      </c>
      <c r="K2299">
        <v>52.2</v>
      </c>
      <c r="L2299">
        <v>69</v>
      </c>
      <c r="M2299" s="2">
        <f t="shared" si="352"/>
        <v>0</v>
      </c>
      <c r="N2299">
        <v>0</v>
      </c>
      <c r="O2299" s="2">
        <f t="shared" si="353"/>
        <v>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19.2</v>
      </c>
      <c r="V2299" s="2">
        <f t="shared" si="354"/>
        <v>1</v>
      </c>
      <c r="W2299">
        <v>9.1</v>
      </c>
      <c r="X2299" s="2">
        <f t="shared" si="355"/>
        <v>0</v>
      </c>
      <c r="Y2299">
        <v>149.69999999999999</v>
      </c>
      <c r="Z2299" s="2" t="str">
        <f>CHOOSE(MATCH(Y2299,{0;11;80;111;161;191;241;281;341},1),"North","NorthEast","East","SouthEast","South","SouthWest","West","NorthWest","North")</f>
        <v>SouthEast</v>
      </c>
      <c r="AA2299" s="4">
        <f>CHOOSE(MATCH(Z2299,{"South";"SouthEast";"SouthWest";"North";"NorthEast";"East";"West";"NorthWest"},0),1,2,3,4,5,6,7,8)</f>
        <v>2</v>
      </c>
      <c r="AB2299" s="2">
        <f t="shared" si="356"/>
        <v>0</v>
      </c>
      <c r="AC2299">
        <v>1014.1</v>
      </c>
      <c r="AD2299" t="s">
        <v>3139</v>
      </c>
      <c r="AE2299" s="2">
        <f t="shared" si="357"/>
        <v>1</v>
      </c>
      <c r="AF2299" t="s">
        <v>3140</v>
      </c>
      <c r="AG2299" s="2">
        <f t="shared" si="358"/>
        <v>4</v>
      </c>
      <c r="AH2299" s="2">
        <f t="shared" si="359"/>
        <v>0</v>
      </c>
      <c r="AI2299" s="3">
        <v>856.99999999604188</v>
      </c>
      <c r="AJ2299" s="2">
        <v>1</v>
      </c>
      <c r="AK2299">
        <v>0</v>
      </c>
      <c r="AL2299">
        <v>3.3</v>
      </c>
      <c r="AM2299">
        <v>0</v>
      </c>
      <c r="AN2299" s="2">
        <f>IF((2*G2299+M2299-O2299+3*V2299+2*AB2299+2*AE2299+2*AH2299+3*AJ2299)&gt;=7,1,0)</f>
        <v>1</v>
      </c>
    </row>
    <row r="2300" spans="1:40" x14ac:dyDescent="0.25">
      <c r="A2300" t="s">
        <v>27</v>
      </c>
      <c r="B2300" s="1">
        <v>43952</v>
      </c>
      <c r="C2300" s="6">
        <f t="shared" si="350"/>
        <v>2020</v>
      </c>
      <c r="D2300">
        <v>69.8</v>
      </c>
      <c r="E2300">
        <v>55.4</v>
      </c>
      <c r="F2300">
        <v>63.7</v>
      </c>
      <c r="G2300" s="2">
        <f t="shared" si="351"/>
        <v>0</v>
      </c>
      <c r="H2300">
        <v>69.8</v>
      </c>
      <c r="I2300">
        <v>55.4</v>
      </c>
      <c r="J2300">
        <v>63.7</v>
      </c>
      <c r="K2300">
        <v>55</v>
      </c>
      <c r="L2300">
        <v>74.2</v>
      </c>
      <c r="M2300" s="2">
        <f t="shared" si="352"/>
        <v>0</v>
      </c>
      <c r="N2300">
        <v>0</v>
      </c>
      <c r="O2300" s="2">
        <f t="shared" si="353"/>
        <v>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20.6</v>
      </c>
      <c r="V2300" s="2">
        <f t="shared" si="354"/>
        <v>1</v>
      </c>
      <c r="W2300">
        <v>16</v>
      </c>
      <c r="X2300" s="2">
        <f t="shared" si="355"/>
        <v>1</v>
      </c>
      <c r="Y2300">
        <v>234.6</v>
      </c>
      <c r="Z2300" s="2" t="str">
        <f>CHOOSE(MATCH(Y2300,{0;11;80;111;161;191;241;281;341},1),"North","NorthEast","East","SouthEast","South","SouthWest","West","NorthWest","North")</f>
        <v>SouthWest</v>
      </c>
      <c r="AA2300" s="4">
        <f>CHOOSE(MATCH(Z2300,{"South";"SouthEast";"SouthWest";"North";"NorthEast";"East";"West";"NorthWest"},0),1,2,3,4,5,6,7,8)</f>
        <v>3</v>
      </c>
      <c r="AB2300" s="2">
        <f t="shared" si="356"/>
        <v>0</v>
      </c>
      <c r="AC2300">
        <v>1012</v>
      </c>
      <c r="AD2300" t="s">
        <v>3141</v>
      </c>
      <c r="AE2300" s="2">
        <f t="shared" si="357"/>
        <v>1</v>
      </c>
      <c r="AF2300" t="s">
        <v>3142</v>
      </c>
      <c r="AG2300" s="2">
        <f t="shared" si="358"/>
        <v>5</v>
      </c>
      <c r="AH2300" s="2">
        <f t="shared" si="359"/>
        <v>0</v>
      </c>
      <c r="AI2300" s="3">
        <v>198.99999999906871</v>
      </c>
      <c r="AJ2300" s="2">
        <v>0</v>
      </c>
      <c r="AK2300">
        <v>0.5</v>
      </c>
      <c r="AL2300">
        <v>0</v>
      </c>
      <c r="AM2300">
        <v>0</v>
      </c>
      <c r="AN2300" s="2">
        <f>IF((2*G2300+M2300-O2300+3*V2300+2*AB2300+2*AE2300+2*AH2300+3*AJ2300)&gt;=7,1,0)</f>
        <v>0</v>
      </c>
    </row>
    <row r="2301" spans="1:40" x14ac:dyDescent="0.25">
      <c r="A2301" t="s">
        <v>27</v>
      </c>
      <c r="B2301" s="1">
        <v>43960</v>
      </c>
      <c r="C2301" s="6">
        <f t="shared" si="350"/>
        <v>2020</v>
      </c>
      <c r="D2301">
        <v>71.599999999999994</v>
      </c>
      <c r="E2301">
        <v>57.2</v>
      </c>
      <c r="F2301">
        <v>65</v>
      </c>
      <c r="G2301" s="2">
        <f t="shared" si="351"/>
        <v>0</v>
      </c>
      <c r="H2301">
        <v>71.599999999999994</v>
      </c>
      <c r="I2301">
        <v>57.2</v>
      </c>
      <c r="J2301">
        <v>65</v>
      </c>
      <c r="K2301">
        <v>47.9</v>
      </c>
      <c r="L2301">
        <v>54.5</v>
      </c>
      <c r="M2301" s="2">
        <f t="shared" si="352"/>
        <v>1</v>
      </c>
      <c r="N2301">
        <v>0</v>
      </c>
      <c r="O2301" s="2">
        <f t="shared" si="353"/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28.6</v>
      </c>
      <c r="V2301" s="2">
        <f t="shared" si="354"/>
        <v>1</v>
      </c>
      <c r="W2301">
        <v>16.100000000000001</v>
      </c>
      <c r="X2301" s="2">
        <f t="shared" si="355"/>
        <v>1</v>
      </c>
      <c r="Y2301">
        <v>301</v>
      </c>
      <c r="Z2301" s="2" t="str">
        <f>CHOOSE(MATCH(Y2301,{0;11;80;111;161;191;241;281;341},1),"North","NorthEast","East","SouthEast","South","SouthWest","West","NorthWest","North")</f>
        <v>NorthWest</v>
      </c>
      <c r="AA2301" s="4">
        <f>CHOOSE(MATCH(Z2301,{"South";"SouthEast";"SouthWest";"North";"NorthEast";"East";"West";"NorthWest"},0),1,2,3,4,5,6,7,8)</f>
        <v>8</v>
      </c>
      <c r="AB2301" s="2">
        <f t="shared" si="356"/>
        <v>1</v>
      </c>
      <c r="AC2301">
        <v>1017.3</v>
      </c>
      <c r="AD2301" t="s">
        <v>3143</v>
      </c>
      <c r="AE2301" s="2">
        <f t="shared" si="357"/>
        <v>1</v>
      </c>
      <c r="AF2301" t="s">
        <v>3144</v>
      </c>
      <c r="AG2301" s="2">
        <f t="shared" si="358"/>
        <v>5</v>
      </c>
      <c r="AH2301" s="2">
        <f t="shared" si="359"/>
        <v>0</v>
      </c>
      <c r="AI2301" s="3">
        <v>282.00000000768341</v>
      </c>
      <c r="AJ2301" s="2">
        <v>0</v>
      </c>
      <c r="AK2301">
        <v>0</v>
      </c>
      <c r="AL2301">
        <v>1</v>
      </c>
      <c r="AM2301">
        <v>0</v>
      </c>
      <c r="AN2301" s="2">
        <f>IF((2*G2301+M2301-O2301+3*V2301+2*AB2301+2*AE2301+2*AH2301+3*AJ2301)&gt;=7,1,0)</f>
        <v>1</v>
      </c>
    </row>
    <row r="2302" spans="1:40" x14ac:dyDescent="0.25">
      <c r="A2302" t="s">
        <v>27</v>
      </c>
      <c r="B2302" s="1">
        <v>43962</v>
      </c>
      <c r="C2302" s="6">
        <f t="shared" si="350"/>
        <v>2020</v>
      </c>
      <c r="D2302">
        <v>87.8</v>
      </c>
      <c r="E2302">
        <v>57.2</v>
      </c>
      <c r="F2302">
        <v>69.5</v>
      </c>
      <c r="G2302" s="2">
        <f t="shared" si="351"/>
        <v>0</v>
      </c>
      <c r="H2302">
        <v>84.1</v>
      </c>
      <c r="I2302">
        <v>57.2</v>
      </c>
      <c r="J2302">
        <v>69.099999999999994</v>
      </c>
      <c r="K2302">
        <v>48.9</v>
      </c>
      <c r="L2302">
        <v>51.2</v>
      </c>
      <c r="M2302" s="2">
        <f t="shared" si="352"/>
        <v>1</v>
      </c>
      <c r="N2302">
        <v>1E-3</v>
      </c>
      <c r="O2302" s="2">
        <f t="shared" si="353"/>
        <v>1</v>
      </c>
      <c r="P2302">
        <v>100</v>
      </c>
      <c r="Q2302">
        <v>4.17</v>
      </c>
      <c r="R2302" t="s">
        <v>182</v>
      </c>
      <c r="S2302">
        <v>0</v>
      </c>
      <c r="T2302">
        <v>0</v>
      </c>
      <c r="U2302">
        <v>20.8</v>
      </c>
      <c r="V2302" s="2">
        <f t="shared" si="354"/>
        <v>1</v>
      </c>
      <c r="W2302">
        <v>13.9</v>
      </c>
      <c r="X2302" s="2">
        <f t="shared" si="355"/>
        <v>0</v>
      </c>
      <c r="Y2302">
        <v>198.3</v>
      </c>
      <c r="Z2302" s="2" t="str">
        <f>CHOOSE(MATCH(Y2302,{0;11;80;111;161;191;241;281;341},1),"North","NorthEast","East","SouthEast","South","SouthWest","West","NorthWest","North")</f>
        <v>SouthWest</v>
      </c>
      <c r="AA2302" s="4">
        <f>CHOOSE(MATCH(Z2302,{"South";"SouthEast";"SouthWest";"North";"NorthEast";"East";"West";"NorthWest"},0),1,2,3,4,5,6,7,8)</f>
        <v>3</v>
      </c>
      <c r="AB2302" s="2">
        <f t="shared" si="356"/>
        <v>0</v>
      </c>
      <c r="AC2302">
        <v>1015.4</v>
      </c>
      <c r="AD2302" t="s">
        <v>3145</v>
      </c>
      <c r="AE2302" s="2">
        <f t="shared" si="357"/>
        <v>1</v>
      </c>
      <c r="AF2302" t="s">
        <v>3146</v>
      </c>
      <c r="AG2302" s="2">
        <f t="shared" si="358"/>
        <v>5</v>
      </c>
      <c r="AH2302" s="2">
        <f t="shared" si="359"/>
        <v>0</v>
      </c>
      <c r="AI2302" s="3">
        <v>21.000000005587939</v>
      </c>
      <c r="AJ2302" s="2">
        <v>0</v>
      </c>
      <c r="AK2302">
        <v>0</v>
      </c>
      <c r="AL2302">
        <v>0.01</v>
      </c>
      <c r="AM2302">
        <v>0</v>
      </c>
      <c r="AN2302" s="2">
        <f>IF((2*G2302+M2302-O2302+3*V2302+2*AB2302+2*AE2302+2*AH2302+3*AJ2302)&gt;=7,1,0)</f>
        <v>0</v>
      </c>
    </row>
    <row r="2303" spans="1:40" x14ac:dyDescent="0.25">
      <c r="A2303" t="s">
        <v>27</v>
      </c>
      <c r="B2303" s="1">
        <v>43971</v>
      </c>
      <c r="C2303" s="6">
        <f t="shared" si="350"/>
        <v>2020</v>
      </c>
      <c r="D2303">
        <v>100.3</v>
      </c>
      <c r="E2303">
        <v>66.2</v>
      </c>
      <c r="F2303">
        <v>76.7</v>
      </c>
      <c r="G2303" s="2">
        <f t="shared" si="351"/>
        <v>1</v>
      </c>
      <c r="H2303">
        <v>101.3</v>
      </c>
      <c r="I2303">
        <v>66.2</v>
      </c>
      <c r="J2303">
        <v>77.099999999999994</v>
      </c>
      <c r="K2303">
        <v>63</v>
      </c>
      <c r="L2303">
        <v>66</v>
      </c>
      <c r="M2303" s="2">
        <f t="shared" si="352"/>
        <v>1</v>
      </c>
      <c r="N2303">
        <v>0</v>
      </c>
      <c r="O2303" s="2">
        <f t="shared" si="353"/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20.6</v>
      </c>
      <c r="V2303" s="2">
        <f t="shared" si="354"/>
        <v>1</v>
      </c>
      <c r="W2303">
        <v>16.100000000000001</v>
      </c>
      <c r="X2303" s="2">
        <f t="shared" si="355"/>
        <v>1</v>
      </c>
      <c r="Y2303">
        <v>219.4</v>
      </c>
      <c r="Z2303" s="2" t="str">
        <f>CHOOSE(MATCH(Y2303,{0;11;80;111;161;191;241;281;341},1),"North","NorthEast","East","SouthEast","South","SouthWest","West","NorthWest","North")</f>
        <v>SouthWest</v>
      </c>
      <c r="AA2303" s="4">
        <f>CHOOSE(MATCH(Z2303,{"South";"SouthEast";"SouthWest";"North";"NorthEast";"East";"West";"NorthWest"},0),1,2,3,4,5,6,7,8)</f>
        <v>3</v>
      </c>
      <c r="AB2303" s="2">
        <f t="shared" si="356"/>
        <v>0</v>
      </c>
      <c r="AC2303">
        <v>1008.9</v>
      </c>
      <c r="AD2303" t="s">
        <v>1191</v>
      </c>
      <c r="AE2303" s="2">
        <f t="shared" si="357"/>
        <v>0</v>
      </c>
      <c r="AF2303" t="s">
        <v>3147</v>
      </c>
      <c r="AG2303" s="2">
        <f t="shared" si="358"/>
        <v>5</v>
      </c>
      <c r="AH2303" s="2">
        <f t="shared" si="359"/>
        <v>0</v>
      </c>
      <c r="AI2303" s="3">
        <v>1978.9999999967399</v>
      </c>
      <c r="AJ2303" s="2">
        <v>1</v>
      </c>
      <c r="AK2303">
        <v>0</v>
      </c>
      <c r="AL2303">
        <v>1</v>
      </c>
      <c r="AM2303">
        <v>0</v>
      </c>
      <c r="AN2303" s="2">
        <f>IF((2*G2303+M2303-O2303+3*V2303+2*AB2303+2*AE2303+2*AH2303+3*AJ2303)&gt;=7,1,0)</f>
        <v>1</v>
      </c>
    </row>
    <row r="2304" spans="1:40" x14ac:dyDescent="0.25">
      <c r="A2304" t="s">
        <v>27</v>
      </c>
      <c r="B2304" s="1">
        <v>43979</v>
      </c>
      <c r="C2304" s="6">
        <f t="shared" si="350"/>
        <v>2020</v>
      </c>
      <c r="D2304">
        <v>68</v>
      </c>
      <c r="E2304">
        <v>62.6</v>
      </c>
      <c r="F2304">
        <v>65.599999999999994</v>
      </c>
      <c r="G2304" s="2">
        <f t="shared" si="351"/>
        <v>0</v>
      </c>
      <c r="H2304">
        <v>68</v>
      </c>
      <c r="I2304">
        <v>62.6</v>
      </c>
      <c r="J2304">
        <v>65.599999999999994</v>
      </c>
      <c r="K2304">
        <v>51.3</v>
      </c>
      <c r="L2304">
        <v>60.1</v>
      </c>
      <c r="M2304" s="2">
        <f t="shared" si="352"/>
        <v>1</v>
      </c>
      <c r="N2304">
        <v>0</v>
      </c>
      <c r="O2304" s="2">
        <f t="shared" si="353"/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27.7</v>
      </c>
      <c r="V2304" s="2">
        <f t="shared" si="354"/>
        <v>1</v>
      </c>
      <c r="W2304">
        <v>19.600000000000001</v>
      </c>
      <c r="X2304" s="2">
        <f t="shared" si="355"/>
        <v>1</v>
      </c>
      <c r="Y2304">
        <v>316</v>
      </c>
      <c r="Z2304" s="2" t="str">
        <f>CHOOSE(MATCH(Y2304,{0;11;80;111;161;191;241;281;341},1),"North","NorthEast","East","SouthEast","South","SouthWest","West","NorthWest","North")</f>
        <v>NorthWest</v>
      </c>
      <c r="AA2304" s="4">
        <f>CHOOSE(MATCH(Z2304,{"South";"SouthEast";"SouthWest";"North";"NorthEast";"East";"West";"NorthWest"},0),1,2,3,4,5,6,7,8)</f>
        <v>8</v>
      </c>
      <c r="AB2304" s="2">
        <f t="shared" si="356"/>
        <v>1</v>
      </c>
      <c r="AC2304">
        <v>1018.3</v>
      </c>
      <c r="AD2304" t="s">
        <v>3148</v>
      </c>
      <c r="AE2304" s="2">
        <f t="shared" si="357"/>
        <v>1</v>
      </c>
      <c r="AF2304" t="s">
        <v>3149</v>
      </c>
      <c r="AG2304" s="2">
        <f t="shared" si="358"/>
        <v>5</v>
      </c>
      <c r="AH2304" s="2">
        <f t="shared" si="359"/>
        <v>0</v>
      </c>
      <c r="AI2304" s="3">
        <v>72.000000004190952</v>
      </c>
      <c r="AJ2304" s="2">
        <v>0</v>
      </c>
      <c r="AK2304">
        <v>0</v>
      </c>
      <c r="AL2304">
        <v>0.1</v>
      </c>
      <c r="AM2304">
        <v>0</v>
      </c>
      <c r="AN2304" s="2">
        <f>IF((2*G2304+M2304-O2304+3*V2304+2*AB2304+2*AE2304+2*AH2304+3*AJ2304)&gt;=7,1,0)</f>
        <v>1</v>
      </c>
    </row>
    <row r="2305" spans="1:40" x14ac:dyDescent="0.25">
      <c r="A2305" t="s">
        <v>27</v>
      </c>
      <c r="B2305" s="1">
        <v>43980</v>
      </c>
      <c r="C2305" s="6">
        <f t="shared" si="350"/>
        <v>2020</v>
      </c>
      <c r="D2305">
        <v>73.400000000000006</v>
      </c>
      <c r="E2305">
        <v>55.4</v>
      </c>
      <c r="F2305">
        <v>65.099999999999994</v>
      </c>
      <c r="G2305" s="2">
        <f t="shared" si="351"/>
        <v>0</v>
      </c>
      <c r="H2305">
        <v>73.400000000000006</v>
      </c>
      <c r="I2305">
        <v>55.4</v>
      </c>
      <c r="J2305">
        <v>65.099999999999994</v>
      </c>
      <c r="K2305">
        <v>53.2</v>
      </c>
      <c r="L2305">
        <v>66.2</v>
      </c>
      <c r="M2305" s="2">
        <f t="shared" si="352"/>
        <v>0</v>
      </c>
      <c r="N2305">
        <v>0</v>
      </c>
      <c r="O2305" s="2">
        <f t="shared" si="353"/>
        <v>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22.1</v>
      </c>
      <c r="V2305" s="2">
        <f t="shared" si="354"/>
        <v>1</v>
      </c>
      <c r="W2305">
        <v>18.3</v>
      </c>
      <c r="X2305" s="2">
        <f t="shared" si="355"/>
        <v>1</v>
      </c>
      <c r="Y2305">
        <v>267.5</v>
      </c>
      <c r="Z2305" s="2" t="str">
        <f>CHOOSE(MATCH(Y2305,{0;11;80;111;161;191;241;281;341},1),"North","NorthEast","East","SouthEast","South","SouthWest","West","NorthWest","North")</f>
        <v>West</v>
      </c>
      <c r="AA2305" s="4">
        <f>CHOOSE(MATCH(Z2305,{"South";"SouthEast";"SouthWest";"North";"NorthEast";"East";"West";"NorthWest"},0),1,2,3,4,5,6,7,8)</f>
        <v>7</v>
      </c>
      <c r="AB2305" s="2">
        <f t="shared" si="356"/>
        <v>0</v>
      </c>
      <c r="AC2305">
        <v>1017</v>
      </c>
      <c r="AD2305" t="s">
        <v>1796</v>
      </c>
      <c r="AE2305" s="2">
        <f t="shared" si="357"/>
        <v>1</v>
      </c>
      <c r="AF2305" t="s">
        <v>3150</v>
      </c>
      <c r="AG2305" s="2">
        <f t="shared" si="358"/>
        <v>5</v>
      </c>
      <c r="AH2305" s="2">
        <f t="shared" si="359"/>
        <v>0</v>
      </c>
      <c r="AI2305" s="3">
        <v>175.00000000465661</v>
      </c>
      <c r="AJ2305" s="2">
        <v>0</v>
      </c>
      <c r="AK2305">
        <v>0</v>
      </c>
      <c r="AL2305">
        <v>0.1</v>
      </c>
      <c r="AM2305">
        <v>0</v>
      </c>
      <c r="AN2305" s="2">
        <f>IF((2*G2305+M2305-O2305+3*V2305+2*AB2305+2*AE2305+2*AH2305+3*AJ2305)&gt;=7,1,0)</f>
        <v>0</v>
      </c>
    </row>
    <row r="2306" spans="1:40" x14ac:dyDescent="0.25">
      <c r="A2306" t="s">
        <v>27</v>
      </c>
      <c r="B2306" s="1">
        <v>43988</v>
      </c>
      <c r="C2306" s="6">
        <f t="shared" si="350"/>
        <v>2020</v>
      </c>
      <c r="D2306">
        <v>84.2</v>
      </c>
      <c r="E2306">
        <v>69.8</v>
      </c>
      <c r="F2306">
        <v>76.599999999999994</v>
      </c>
      <c r="G2306" s="2">
        <f t="shared" si="351"/>
        <v>1</v>
      </c>
      <c r="H2306">
        <v>85</v>
      </c>
      <c r="I2306">
        <v>69.8</v>
      </c>
      <c r="J2306">
        <v>76.7</v>
      </c>
      <c r="K2306">
        <v>52.8</v>
      </c>
      <c r="L2306">
        <v>46.4</v>
      </c>
      <c r="M2306" s="2">
        <f t="shared" si="352"/>
        <v>1</v>
      </c>
      <c r="N2306">
        <v>0</v>
      </c>
      <c r="O2306" s="2">
        <f t="shared" si="353"/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46.1</v>
      </c>
      <c r="V2306" s="2">
        <f t="shared" si="354"/>
        <v>1</v>
      </c>
      <c r="W2306">
        <v>36.9</v>
      </c>
      <c r="X2306" s="2">
        <f t="shared" si="355"/>
        <v>1</v>
      </c>
      <c r="Y2306">
        <v>177</v>
      </c>
      <c r="Z2306" s="2" t="str">
        <f>CHOOSE(MATCH(Y2306,{0;11;80;111;161;191;241;281;341},1),"North","NorthEast","East","SouthEast","South","SouthWest","West","NorthWest","North")</f>
        <v>South</v>
      </c>
      <c r="AA2306" s="4">
        <f>CHOOSE(MATCH(Z2306,{"South";"SouthEast";"SouthWest";"North";"NorthEast";"East";"West";"NorthWest"},0),1,2,3,4,5,6,7,8)</f>
        <v>1</v>
      </c>
      <c r="AB2306" s="2">
        <f t="shared" si="356"/>
        <v>0</v>
      </c>
      <c r="AC2306">
        <v>1007.8</v>
      </c>
      <c r="AD2306" t="s">
        <v>2148</v>
      </c>
      <c r="AE2306" s="2">
        <f t="shared" si="357"/>
        <v>1</v>
      </c>
      <c r="AF2306" t="s">
        <v>3151</v>
      </c>
      <c r="AG2306" s="2">
        <f t="shared" si="358"/>
        <v>6</v>
      </c>
      <c r="AH2306" s="2">
        <f t="shared" si="359"/>
        <v>1</v>
      </c>
      <c r="AI2306" s="3">
        <v>123.000000002794</v>
      </c>
      <c r="AJ2306" s="2">
        <v>0</v>
      </c>
      <c r="AK2306">
        <v>0</v>
      </c>
      <c r="AL2306">
        <v>0.1</v>
      </c>
      <c r="AM2306">
        <v>0</v>
      </c>
      <c r="AN2306" s="2">
        <f>IF((2*G2306+M2306-O2306+3*V2306+2*AB2306+2*AE2306+2*AH2306+3*AJ2306)&gt;=7,1,0)</f>
        <v>1</v>
      </c>
    </row>
    <row r="2307" spans="1:40" x14ac:dyDescent="0.25">
      <c r="A2307" t="s">
        <v>27</v>
      </c>
      <c r="B2307" s="1">
        <v>44001</v>
      </c>
      <c r="C2307" s="6">
        <f t="shared" ref="C2307:C2370" si="360">YEAR(B2307)</f>
        <v>2020</v>
      </c>
      <c r="D2307">
        <v>80.599999999999994</v>
      </c>
      <c r="E2307">
        <v>68</v>
      </c>
      <c r="F2307">
        <v>75.400000000000006</v>
      </c>
      <c r="G2307" s="2">
        <f t="shared" ref="G2307:G2370" si="361">IF(F2307&lt;=70,0,1)</f>
        <v>1</v>
      </c>
      <c r="H2307">
        <v>81.900000000000006</v>
      </c>
      <c r="I2307">
        <v>68</v>
      </c>
      <c r="J2307">
        <v>75.599999999999994</v>
      </c>
      <c r="K2307">
        <v>59.2</v>
      </c>
      <c r="L2307">
        <v>57.8</v>
      </c>
      <c r="M2307" s="2">
        <f t="shared" ref="M2307:M2370" si="362">IF(L2307&lt;=66,1,0)</f>
        <v>1</v>
      </c>
      <c r="N2307">
        <v>0</v>
      </c>
      <c r="O2307" s="2">
        <f t="shared" ref="O2307:O2370" si="363">IF(N2307&lt;=0.01,1,0)</f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33.1</v>
      </c>
      <c r="V2307" s="2">
        <f t="shared" ref="V2307:V2370" si="364">IF(U2307&lt;=9,0,1)</f>
        <v>1</v>
      </c>
      <c r="W2307">
        <v>20.8</v>
      </c>
      <c r="X2307" s="2">
        <f t="shared" ref="X2307:X2370" si="365">IF(W2307&gt;=16,1,0)</f>
        <v>1</v>
      </c>
      <c r="Y2307">
        <v>290.8</v>
      </c>
      <c r="Z2307" s="2" t="str">
        <f>CHOOSE(MATCH(Y2307,{0;11;80;111;161;191;241;281;341},1),"North","NorthEast","East","SouthEast","South","SouthWest","West","NorthWest","North")</f>
        <v>NorthWest</v>
      </c>
      <c r="AA2307" s="4">
        <f>CHOOSE(MATCH(Z2307,{"South";"SouthEast";"SouthWest";"North";"NorthEast";"East";"West";"NorthWest"},0),1,2,3,4,5,6,7,8)</f>
        <v>8</v>
      </c>
      <c r="AB2307" s="2">
        <f t="shared" ref="AB2307:AB2370" si="366">IF(OR(AA2307=4,AA2307=5,AA2307=8),1,0)</f>
        <v>1</v>
      </c>
      <c r="AC2307">
        <v>1012</v>
      </c>
      <c r="AD2307" t="s">
        <v>1171</v>
      </c>
      <c r="AE2307" s="2">
        <f t="shared" ref="AE2307:AE2370" si="367">IF(TIMEVALUE(AD2307)&lt;=TIME(12,30,0),0,1)</f>
        <v>0</v>
      </c>
      <c r="AF2307" t="s">
        <v>3152</v>
      </c>
      <c r="AG2307" s="2">
        <f t="shared" ref="AG2307:AG2370" si="368">MONTH(AF2307)</f>
        <v>6</v>
      </c>
      <c r="AH2307" s="2">
        <f t="shared" ref="AH2307:AH2370" si="369">IF(OR(AG2307=6,AG2307=7,AG2307=8),1,0)</f>
        <v>1</v>
      </c>
      <c r="AI2307" s="3">
        <v>1325.0000000023281</v>
      </c>
      <c r="AJ2307" s="2">
        <v>1</v>
      </c>
      <c r="AK2307">
        <v>0</v>
      </c>
      <c r="AL2307">
        <v>2</v>
      </c>
      <c r="AM2307">
        <v>0</v>
      </c>
      <c r="AN2307" s="2">
        <f>IF((2*G2307+M2307-O2307+3*V2307+2*AB2307+2*AE2307+2*AH2307+3*AJ2307)&gt;=7,1,0)</f>
        <v>1</v>
      </c>
    </row>
    <row r="2308" spans="1:40" x14ac:dyDescent="0.25">
      <c r="A2308" t="s">
        <v>27</v>
      </c>
      <c r="B2308" s="1">
        <v>44004</v>
      </c>
      <c r="C2308" s="6">
        <f t="shared" si="360"/>
        <v>2020</v>
      </c>
      <c r="D2308">
        <v>77</v>
      </c>
      <c r="E2308">
        <v>66.2</v>
      </c>
      <c r="F2308">
        <v>73.3</v>
      </c>
      <c r="G2308" s="2">
        <f t="shared" si="361"/>
        <v>1</v>
      </c>
      <c r="H2308">
        <v>77</v>
      </c>
      <c r="I2308">
        <v>66.2</v>
      </c>
      <c r="J2308">
        <v>73.3</v>
      </c>
      <c r="K2308">
        <v>58.8</v>
      </c>
      <c r="L2308">
        <v>61.6</v>
      </c>
      <c r="M2308" s="2">
        <f t="shared" si="362"/>
        <v>1</v>
      </c>
      <c r="N2308">
        <v>0</v>
      </c>
      <c r="O2308" s="2">
        <f t="shared" si="363"/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25.3</v>
      </c>
      <c r="V2308" s="2">
        <f t="shared" si="364"/>
        <v>1</v>
      </c>
      <c r="W2308">
        <v>19.7</v>
      </c>
      <c r="X2308" s="2">
        <f t="shared" si="365"/>
        <v>1</v>
      </c>
      <c r="Y2308">
        <v>300.2</v>
      </c>
      <c r="Z2308" s="2" t="str">
        <f>CHOOSE(MATCH(Y2308,{0;11;80;111;161;191;241;281;341},1),"North","NorthEast","East","SouthEast","South","SouthWest","West","NorthWest","North")</f>
        <v>NorthWest</v>
      </c>
      <c r="AA2308" s="4">
        <f>CHOOSE(MATCH(Z2308,{"South";"SouthEast";"SouthWest";"North";"NorthEast";"East";"West";"NorthWest"},0),1,2,3,4,5,6,7,8)</f>
        <v>8</v>
      </c>
      <c r="AB2308" s="2">
        <f t="shared" si="366"/>
        <v>1</v>
      </c>
      <c r="AC2308">
        <v>1007.4</v>
      </c>
      <c r="AD2308" t="s">
        <v>3153</v>
      </c>
      <c r="AE2308" s="2">
        <f t="shared" si="367"/>
        <v>0</v>
      </c>
      <c r="AF2308" t="s">
        <v>3154</v>
      </c>
      <c r="AG2308" s="2">
        <f t="shared" si="368"/>
        <v>6</v>
      </c>
      <c r="AH2308" s="2">
        <f t="shared" si="369"/>
        <v>1</v>
      </c>
      <c r="AI2308" s="3">
        <v>116.00000000093129</v>
      </c>
      <c r="AJ2308" s="2">
        <v>0</v>
      </c>
      <c r="AK2308">
        <v>0</v>
      </c>
      <c r="AL2308">
        <v>0.2</v>
      </c>
      <c r="AM2308">
        <v>0</v>
      </c>
      <c r="AN2308" s="2">
        <f>IF((2*G2308+M2308-O2308+3*V2308+2*AB2308+2*AE2308+2*AH2308+3*AJ2308)&gt;=7,1,0)</f>
        <v>1</v>
      </c>
    </row>
    <row r="2309" spans="1:40" x14ac:dyDescent="0.25">
      <c r="A2309" t="s">
        <v>27</v>
      </c>
      <c r="B2309" s="1">
        <v>44007</v>
      </c>
      <c r="C2309" s="6">
        <f t="shared" si="360"/>
        <v>2020</v>
      </c>
      <c r="D2309">
        <v>78.8</v>
      </c>
      <c r="E2309">
        <v>66.3</v>
      </c>
      <c r="F2309">
        <v>74</v>
      </c>
      <c r="G2309" s="2">
        <f t="shared" si="361"/>
        <v>1</v>
      </c>
      <c r="H2309">
        <v>78.8</v>
      </c>
      <c r="I2309">
        <v>66.3</v>
      </c>
      <c r="J2309">
        <v>74</v>
      </c>
      <c r="K2309">
        <v>66.8</v>
      </c>
      <c r="L2309">
        <v>78.5</v>
      </c>
      <c r="M2309" s="2">
        <f t="shared" si="362"/>
        <v>0</v>
      </c>
      <c r="N2309">
        <v>0</v>
      </c>
      <c r="O2309" s="2">
        <f t="shared" si="363"/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28</v>
      </c>
      <c r="V2309" s="2">
        <f t="shared" si="364"/>
        <v>1</v>
      </c>
      <c r="W2309">
        <v>16.100000000000001</v>
      </c>
      <c r="X2309" s="2">
        <f t="shared" si="365"/>
        <v>1</v>
      </c>
      <c r="Y2309">
        <v>302.8</v>
      </c>
      <c r="Z2309" s="2" t="str">
        <f>CHOOSE(MATCH(Y2309,{0;11;80;111;161;191;241;281;341},1),"North","NorthEast","East","SouthEast","South","SouthWest","West","NorthWest","North")</f>
        <v>NorthWest</v>
      </c>
      <c r="AA2309" s="4">
        <f>CHOOSE(MATCH(Z2309,{"South";"SouthEast";"SouthWest";"North";"NorthEast";"East";"West";"NorthWest"},0),1,2,3,4,5,6,7,8)</f>
        <v>8</v>
      </c>
      <c r="AB2309" s="2">
        <f t="shared" si="366"/>
        <v>1</v>
      </c>
      <c r="AC2309">
        <v>1015.9</v>
      </c>
      <c r="AD2309" t="s">
        <v>1163</v>
      </c>
      <c r="AE2309" s="2">
        <f t="shared" si="367"/>
        <v>1</v>
      </c>
      <c r="AF2309" t="s">
        <v>3155</v>
      </c>
      <c r="AG2309" s="2">
        <f t="shared" si="368"/>
        <v>6</v>
      </c>
      <c r="AH2309" s="2">
        <f t="shared" si="369"/>
        <v>1</v>
      </c>
      <c r="AI2309" s="3">
        <v>94.999999995343387</v>
      </c>
      <c r="AJ2309" s="2">
        <v>0</v>
      </c>
      <c r="AK2309">
        <v>0.05</v>
      </c>
      <c r="AL2309">
        <v>0</v>
      </c>
      <c r="AM2309">
        <v>0</v>
      </c>
      <c r="AN2309" s="2">
        <f>IF((2*G2309+M2309-O2309+3*V2309+2*AB2309+2*AE2309+2*AH2309+3*AJ2309)&gt;=7,1,0)</f>
        <v>1</v>
      </c>
    </row>
    <row r="2310" spans="1:40" x14ac:dyDescent="0.25">
      <c r="A2310" t="s">
        <v>27</v>
      </c>
      <c r="B2310" s="1">
        <v>44014</v>
      </c>
      <c r="C2310" s="6">
        <f t="shared" si="360"/>
        <v>2020</v>
      </c>
      <c r="D2310">
        <v>84.3</v>
      </c>
      <c r="E2310">
        <v>69.8</v>
      </c>
      <c r="F2310">
        <v>78.7</v>
      </c>
      <c r="G2310" s="2">
        <f t="shared" si="361"/>
        <v>1</v>
      </c>
      <c r="H2310">
        <v>91</v>
      </c>
      <c r="I2310">
        <v>69.8</v>
      </c>
      <c r="J2310">
        <v>81</v>
      </c>
      <c r="K2310">
        <v>67.5</v>
      </c>
      <c r="L2310">
        <v>68.8</v>
      </c>
      <c r="M2310" s="2">
        <f t="shared" si="362"/>
        <v>0</v>
      </c>
      <c r="N2310">
        <v>0</v>
      </c>
      <c r="O2310" s="2">
        <f t="shared" si="363"/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27.5</v>
      </c>
      <c r="V2310" s="2">
        <f t="shared" si="364"/>
        <v>1</v>
      </c>
      <c r="W2310">
        <v>17.2</v>
      </c>
      <c r="X2310" s="2">
        <f t="shared" si="365"/>
        <v>1</v>
      </c>
      <c r="Y2310">
        <v>302.89999999999998</v>
      </c>
      <c r="Z2310" s="2" t="str">
        <f>CHOOSE(MATCH(Y2310,{0;11;80;111;161;191;241;281;341},1),"North","NorthEast","East","SouthEast","South","SouthWest","West","NorthWest","North")</f>
        <v>NorthWest</v>
      </c>
      <c r="AA2310" s="4">
        <f>CHOOSE(MATCH(Z2310,{"South";"SouthEast";"SouthWest";"North";"NorthEast";"East";"West";"NorthWest"},0),1,2,3,4,5,6,7,8)</f>
        <v>8</v>
      </c>
      <c r="AB2310" s="2">
        <f t="shared" si="366"/>
        <v>1</v>
      </c>
      <c r="AC2310">
        <v>1007.6</v>
      </c>
      <c r="AD2310" t="s">
        <v>1881</v>
      </c>
      <c r="AE2310" s="2">
        <f t="shared" si="367"/>
        <v>1</v>
      </c>
      <c r="AF2310" t="s">
        <v>3156</v>
      </c>
      <c r="AG2310" s="2">
        <f t="shared" si="368"/>
        <v>7</v>
      </c>
      <c r="AH2310" s="2">
        <f t="shared" si="369"/>
        <v>1</v>
      </c>
      <c r="AI2310" s="3">
        <v>994.99999999534339</v>
      </c>
      <c r="AJ2310" s="2">
        <v>1</v>
      </c>
      <c r="AK2310">
        <v>0</v>
      </c>
      <c r="AL2310">
        <v>40</v>
      </c>
      <c r="AM2310">
        <v>0</v>
      </c>
      <c r="AN2310" s="2">
        <f>IF((2*G2310+M2310-O2310+3*V2310+2*AB2310+2*AE2310+2*AH2310+3*AJ2310)&gt;=7,1,0)</f>
        <v>1</v>
      </c>
    </row>
    <row r="2311" spans="1:40" x14ac:dyDescent="0.25">
      <c r="A2311" t="s">
        <v>27</v>
      </c>
      <c r="B2311" s="1">
        <v>44015</v>
      </c>
      <c r="C2311" s="6">
        <f t="shared" si="360"/>
        <v>2020</v>
      </c>
      <c r="D2311">
        <v>84.2</v>
      </c>
      <c r="E2311">
        <v>69.8</v>
      </c>
      <c r="F2311">
        <v>78.2</v>
      </c>
      <c r="G2311" s="2">
        <f t="shared" si="361"/>
        <v>1</v>
      </c>
      <c r="H2311">
        <v>89.6</v>
      </c>
      <c r="I2311">
        <v>69.8</v>
      </c>
      <c r="J2311">
        <v>80</v>
      </c>
      <c r="K2311">
        <v>66.599999999999994</v>
      </c>
      <c r="L2311">
        <v>68</v>
      </c>
      <c r="M2311" s="2">
        <f t="shared" si="362"/>
        <v>0</v>
      </c>
      <c r="N2311">
        <v>0</v>
      </c>
      <c r="O2311" s="2">
        <f t="shared" si="363"/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17.899999999999999</v>
      </c>
      <c r="V2311" s="2">
        <f t="shared" si="364"/>
        <v>1</v>
      </c>
      <c r="W2311">
        <v>11.4</v>
      </c>
      <c r="X2311" s="2">
        <f t="shared" si="365"/>
        <v>0</v>
      </c>
      <c r="Y2311">
        <v>203.8</v>
      </c>
      <c r="Z2311" s="2" t="str">
        <f>CHOOSE(MATCH(Y2311,{0;11;80;111;161;191;241;281;341},1),"North","NorthEast","East","SouthEast","South","SouthWest","West","NorthWest","North")</f>
        <v>SouthWest</v>
      </c>
      <c r="AA2311" s="4">
        <f>CHOOSE(MATCH(Z2311,{"South";"SouthEast";"SouthWest";"North";"NorthEast";"East";"West";"NorthWest"},0),1,2,3,4,5,6,7,8)</f>
        <v>3</v>
      </c>
      <c r="AB2311" s="2">
        <f t="shared" si="366"/>
        <v>0</v>
      </c>
      <c r="AC2311">
        <v>1007.4</v>
      </c>
      <c r="AD2311" t="s">
        <v>1988</v>
      </c>
      <c r="AE2311" s="2">
        <f t="shared" si="367"/>
        <v>0</v>
      </c>
      <c r="AF2311" t="s">
        <v>3157</v>
      </c>
      <c r="AG2311" s="2">
        <f t="shared" si="368"/>
        <v>7</v>
      </c>
      <c r="AH2311" s="2">
        <f t="shared" si="369"/>
        <v>1</v>
      </c>
      <c r="AI2311" s="3">
        <v>117.00000000419099</v>
      </c>
      <c r="AJ2311" s="2">
        <v>0</v>
      </c>
      <c r="AK2311">
        <v>1</v>
      </c>
      <c r="AL2311">
        <v>0</v>
      </c>
      <c r="AM2311">
        <v>0</v>
      </c>
      <c r="AN2311" s="2">
        <f>IF((2*G2311+M2311-O2311+3*V2311+2*AB2311+2*AE2311+2*AH2311+3*AJ2311)&gt;=7,1,0)</f>
        <v>0</v>
      </c>
    </row>
    <row r="2312" spans="1:40" x14ac:dyDescent="0.25">
      <c r="A2312" t="s">
        <v>27</v>
      </c>
      <c r="B2312" s="1">
        <v>44028</v>
      </c>
      <c r="C2312" s="6">
        <f t="shared" si="360"/>
        <v>2020</v>
      </c>
      <c r="D2312">
        <v>82.4</v>
      </c>
      <c r="E2312">
        <v>73.400000000000006</v>
      </c>
      <c r="F2312">
        <v>77.099999999999994</v>
      </c>
      <c r="G2312" s="2">
        <f t="shared" si="361"/>
        <v>1</v>
      </c>
      <c r="H2312">
        <v>85.4</v>
      </c>
      <c r="I2312">
        <v>73.400000000000006</v>
      </c>
      <c r="J2312">
        <v>78.2</v>
      </c>
      <c r="K2312">
        <v>65.7</v>
      </c>
      <c r="L2312">
        <v>68</v>
      </c>
      <c r="M2312" s="2">
        <f t="shared" si="362"/>
        <v>0</v>
      </c>
      <c r="N2312">
        <v>0</v>
      </c>
      <c r="O2312" s="2">
        <f t="shared" si="363"/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25.9</v>
      </c>
      <c r="V2312" s="2">
        <f t="shared" si="364"/>
        <v>1</v>
      </c>
      <c r="W2312">
        <v>18.3</v>
      </c>
      <c r="X2312" s="2">
        <f t="shared" si="365"/>
        <v>1</v>
      </c>
      <c r="Y2312">
        <v>315.3</v>
      </c>
      <c r="Z2312" s="2" t="str">
        <f>CHOOSE(MATCH(Y2312,{0;11;80;111;161;191;241;281;341},1),"North","NorthEast","East","SouthEast","South","SouthWest","West","NorthWest","North")</f>
        <v>NorthWest</v>
      </c>
      <c r="AA2312" s="4">
        <f>CHOOSE(MATCH(Z2312,{"South";"SouthEast";"SouthWest";"North";"NorthEast";"East";"West";"NorthWest"},0),1,2,3,4,5,6,7,8)</f>
        <v>8</v>
      </c>
      <c r="AB2312" s="2">
        <f t="shared" si="366"/>
        <v>1</v>
      </c>
      <c r="AC2312">
        <v>1010.9</v>
      </c>
      <c r="AD2312" t="s">
        <v>1962</v>
      </c>
      <c r="AE2312" s="2">
        <f t="shared" si="367"/>
        <v>1</v>
      </c>
      <c r="AF2312" t="s">
        <v>3158</v>
      </c>
      <c r="AG2312" s="2">
        <f t="shared" si="368"/>
        <v>7</v>
      </c>
      <c r="AH2312" s="2">
        <f t="shared" si="369"/>
        <v>1</v>
      </c>
      <c r="AI2312" s="3">
        <v>251.00000000093129</v>
      </c>
      <c r="AJ2312" s="2">
        <v>0</v>
      </c>
      <c r="AK2312">
        <v>0</v>
      </c>
      <c r="AL2312">
        <v>0.5</v>
      </c>
      <c r="AM2312">
        <v>0</v>
      </c>
      <c r="AN2312" s="2">
        <f>IF((2*G2312+M2312-O2312+3*V2312+2*AB2312+2*AE2312+2*AH2312+3*AJ2312)&gt;=7,1,0)</f>
        <v>1</v>
      </c>
    </row>
    <row r="2313" spans="1:40" x14ac:dyDescent="0.25">
      <c r="A2313" t="s">
        <v>27</v>
      </c>
      <c r="B2313" s="1">
        <v>44032</v>
      </c>
      <c r="C2313" s="6">
        <f t="shared" si="360"/>
        <v>2020</v>
      </c>
      <c r="D2313">
        <v>84.2</v>
      </c>
      <c r="E2313">
        <v>69.8</v>
      </c>
      <c r="F2313">
        <v>78</v>
      </c>
      <c r="G2313" s="2">
        <f t="shared" si="361"/>
        <v>1</v>
      </c>
      <c r="H2313">
        <v>88.4</v>
      </c>
      <c r="I2313">
        <v>69.8</v>
      </c>
      <c r="J2313">
        <v>79.3</v>
      </c>
      <c r="K2313">
        <v>64.7</v>
      </c>
      <c r="L2313">
        <v>64.599999999999994</v>
      </c>
      <c r="M2313" s="2">
        <f t="shared" si="362"/>
        <v>1</v>
      </c>
      <c r="N2313">
        <v>0</v>
      </c>
      <c r="O2313" s="2">
        <f t="shared" si="363"/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20.6</v>
      </c>
      <c r="V2313" s="2">
        <f t="shared" si="364"/>
        <v>1</v>
      </c>
      <c r="W2313">
        <v>9.1999999999999993</v>
      </c>
      <c r="X2313" s="2">
        <f t="shared" si="365"/>
        <v>0</v>
      </c>
      <c r="Y2313">
        <v>271.3</v>
      </c>
      <c r="Z2313" s="2" t="str">
        <f>CHOOSE(MATCH(Y2313,{0;11;80;111;161;191;241;281;341},1),"North","NorthEast","East","SouthEast","South","SouthWest","West","NorthWest","North")</f>
        <v>West</v>
      </c>
      <c r="AA2313" s="4">
        <f>CHOOSE(MATCH(Z2313,{"South";"SouthEast";"SouthWest";"North";"NorthEast";"East";"West";"NorthWest"},0),1,2,3,4,5,6,7,8)</f>
        <v>7</v>
      </c>
      <c r="AB2313" s="2">
        <f t="shared" si="366"/>
        <v>0</v>
      </c>
      <c r="AC2313">
        <v>1011</v>
      </c>
      <c r="AD2313" t="s">
        <v>2562</v>
      </c>
      <c r="AE2313" s="2">
        <f t="shared" si="367"/>
        <v>0</v>
      </c>
      <c r="AF2313" t="s">
        <v>3159</v>
      </c>
      <c r="AG2313" s="2">
        <f t="shared" si="368"/>
        <v>7</v>
      </c>
      <c r="AH2313" s="2">
        <f t="shared" si="369"/>
        <v>1</v>
      </c>
      <c r="AI2313" s="3">
        <v>571.99999999953434</v>
      </c>
      <c r="AJ2313" s="2">
        <v>1</v>
      </c>
      <c r="AK2313">
        <v>0.5</v>
      </c>
      <c r="AL2313">
        <v>0</v>
      </c>
      <c r="AM2313">
        <v>0</v>
      </c>
      <c r="AN2313" s="2">
        <f>IF((2*G2313+M2313-O2313+3*V2313+2*AB2313+2*AE2313+2*AH2313+3*AJ2313)&gt;=7,1,0)</f>
        <v>1</v>
      </c>
    </row>
    <row r="2314" spans="1:40" x14ac:dyDescent="0.25">
      <c r="A2314" t="s">
        <v>27</v>
      </c>
      <c r="B2314" s="1">
        <v>44033</v>
      </c>
      <c r="C2314" s="6">
        <f t="shared" si="360"/>
        <v>2020</v>
      </c>
      <c r="D2314">
        <v>84.2</v>
      </c>
      <c r="E2314">
        <v>71.599999999999994</v>
      </c>
      <c r="F2314">
        <v>79</v>
      </c>
      <c r="G2314" s="2">
        <f t="shared" si="361"/>
        <v>1</v>
      </c>
      <c r="H2314">
        <v>88.5</v>
      </c>
      <c r="I2314">
        <v>71.599999999999994</v>
      </c>
      <c r="J2314">
        <v>80.900000000000006</v>
      </c>
      <c r="K2314">
        <v>67</v>
      </c>
      <c r="L2314">
        <v>67.099999999999994</v>
      </c>
      <c r="M2314" s="2">
        <f t="shared" si="362"/>
        <v>0</v>
      </c>
      <c r="N2314">
        <v>0</v>
      </c>
      <c r="O2314" s="2">
        <f t="shared" si="363"/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34</v>
      </c>
      <c r="V2314" s="2">
        <f t="shared" si="364"/>
        <v>1</v>
      </c>
      <c r="W2314">
        <v>21.8</v>
      </c>
      <c r="X2314" s="2">
        <f t="shared" si="365"/>
        <v>1</v>
      </c>
      <c r="Y2314">
        <v>298.2</v>
      </c>
      <c r="Z2314" s="2" t="str">
        <f>CHOOSE(MATCH(Y2314,{0;11;80;111;161;191;241;281;341},1),"North","NorthEast","East","SouthEast","South","SouthWest","West","NorthWest","North")</f>
        <v>NorthWest</v>
      </c>
      <c r="AA2314" s="4">
        <f>CHOOSE(MATCH(Z2314,{"South";"SouthEast";"SouthWest";"North";"NorthEast";"East";"West";"NorthWest"},0),1,2,3,4,5,6,7,8)</f>
        <v>8</v>
      </c>
      <c r="AB2314" s="2">
        <f t="shared" si="366"/>
        <v>1</v>
      </c>
      <c r="AC2314">
        <v>1012.6</v>
      </c>
      <c r="AD2314" t="s">
        <v>1093</v>
      </c>
      <c r="AE2314" s="2">
        <f t="shared" si="367"/>
        <v>1</v>
      </c>
      <c r="AF2314" t="s">
        <v>3160</v>
      </c>
      <c r="AG2314" s="2">
        <f t="shared" si="368"/>
        <v>7</v>
      </c>
      <c r="AH2314" s="2">
        <f t="shared" si="369"/>
        <v>1</v>
      </c>
      <c r="AI2314" s="3">
        <v>1175.000000005821</v>
      </c>
      <c r="AJ2314" s="2">
        <v>1</v>
      </c>
      <c r="AK2314">
        <v>0</v>
      </c>
      <c r="AL2314">
        <v>2</v>
      </c>
      <c r="AM2314">
        <v>0</v>
      </c>
      <c r="AN2314" s="2">
        <f>IF((2*G2314+M2314-O2314+3*V2314+2*AB2314+2*AE2314+2*AH2314+3*AJ2314)&gt;=7,1,0)</f>
        <v>1</v>
      </c>
    </row>
    <row r="2315" spans="1:40" x14ac:dyDescent="0.25">
      <c r="A2315" t="s">
        <v>27</v>
      </c>
      <c r="B2315" s="1">
        <v>44034</v>
      </c>
      <c r="C2315" s="6">
        <f t="shared" si="360"/>
        <v>2020</v>
      </c>
      <c r="D2315">
        <v>84.2</v>
      </c>
      <c r="E2315">
        <v>75.2</v>
      </c>
      <c r="F2315">
        <v>79.5</v>
      </c>
      <c r="G2315" s="2">
        <f t="shared" si="361"/>
        <v>1</v>
      </c>
      <c r="H2315">
        <v>85.7</v>
      </c>
      <c r="I2315">
        <v>75.2</v>
      </c>
      <c r="J2315">
        <v>80.5</v>
      </c>
      <c r="K2315">
        <v>65.2</v>
      </c>
      <c r="L2315">
        <v>62</v>
      </c>
      <c r="M2315" s="2">
        <f t="shared" si="362"/>
        <v>1</v>
      </c>
      <c r="N2315">
        <v>0</v>
      </c>
      <c r="O2315" s="2">
        <f t="shared" si="363"/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37.799999999999997</v>
      </c>
      <c r="V2315" s="2">
        <f t="shared" si="364"/>
        <v>1</v>
      </c>
      <c r="W2315">
        <v>21.9</v>
      </c>
      <c r="X2315" s="2">
        <f t="shared" si="365"/>
        <v>1</v>
      </c>
      <c r="Y2315">
        <v>299.8</v>
      </c>
      <c r="Z2315" s="2" t="str">
        <f>CHOOSE(MATCH(Y2315,{0;11;80;111;161;191;241;281;341},1),"North","NorthEast","East","SouthEast","South","SouthWest","West","NorthWest","North")</f>
        <v>NorthWest</v>
      </c>
      <c r="AA2315" s="4">
        <f>CHOOSE(MATCH(Z2315,{"South";"SouthEast";"SouthWest";"North";"NorthEast";"East";"West";"NorthWest"},0),1,2,3,4,5,6,7,8)</f>
        <v>8</v>
      </c>
      <c r="AB2315" s="2">
        <f t="shared" si="366"/>
        <v>1</v>
      </c>
      <c r="AC2315">
        <v>1010.6</v>
      </c>
      <c r="AD2315" t="s">
        <v>3161</v>
      </c>
      <c r="AE2315" s="2">
        <f t="shared" si="367"/>
        <v>1</v>
      </c>
      <c r="AF2315" t="s">
        <v>3162</v>
      </c>
      <c r="AG2315" s="2">
        <f t="shared" si="368"/>
        <v>7</v>
      </c>
      <c r="AH2315" s="2">
        <f t="shared" si="369"/>
        <v>1</v>
      </c>
      <c r="AI2315" s="3">
        <v>3946.9999999995339</v>
      </c>
      <c r="AJ2315" s="2">
        <v>1</v>
      </c>
      <c r="AK2315">
        <v>5</v>
      </c>
      <c r="AL2315">
        <v>0</v>
      </c>
      <c r="AM2315">
        <v>0</v>
      </c>
      <c r="AN2315" s="2">
        <f>IF((2*G2315+M2315-O2315+3*V2315+2*AB2315+2*AE2315+2*AH2315+3*AJ2315)&gt;=7,1,0)</f>
        <v>1</v>
      </c>
    </row>
    <row r="2316" spans="1:40" x14ac:dyDescent="0.25">
      <c r="A2316" t="s">
        <v>27</v>
      </c>
      <c r="B2316" s="1">
        <v>44039</v>
      </c>
      <c r="C2316" s="6">
        <f t="shared" si="360"/>
        <v>2020</v>
      </c>
      <c r="D2316">
        <v>84.2</v>
      </c>
      <c r="E2316">
        <v>71.599999999999994</v>
      </c>
      <c r="F2316">
        <v>78.8</v>
      </c>
      <c r="G2316" s="2">
        <f t="shared" si="361"/>
        <v>1</v>
      </c>
      <c r="H2316">
        <v>88.5</v>
      </c>
      <c r="I2316">
        <v>71.599999999999994</v>
      </c>
      <c r="J2316">
        <v>80.5</v>
      </c>
      <c r="K2316">
        <v>63.7</v>
      </c>
      <c r="L2316">
        <v>60</v>
      </c>
      <c r="M2316" s="2">
        <f t="shared" si="362"/>
        <v>1</v>
      </c>
      <c r="N2316">
        <v>0</v>
      </c>
      <c r="O2316" s="2">
        <f t="shared" si="363"/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24.8</v>
      </c>
      <c r="V2316" s="2">
        <f t="shared" si="364"/>
        <v>1</v>
      </c>
      <c r="W2316">
        <v>12.8</v>
      </c>
      <c r="X2316" s="2">
        <f t="shared" si="365"/>
        <v>0</v>
      </c>
      <c r="Y2316">
        <v>299</v>
      </c>
      <c r="Z2316" s="2" t="str">
        <f>CHOOSE(MATCH(Y2316,{0;11;80;111;161;191;241;281;341},1),"North","NorthEast","East","SouthEast","South","SouthWest","West","NorthWest","North")</f>
        <v>NorthWest</v>
      </c>
      <c r="AA2316" s="4">
        <f>CHOOSE(MATCH(Z2316,{"South";"SouthEast";"SouthWest";"North";"NorthEast";"East";"West";"NorthWest"},0),1,2,3,4,5,6,7,8)</f>
        <v>8</v>
      </c>
      <c r="AB2316" s="2">
        <f t="shared" si="366"/>
        <v>1</v>
      </c>
      <c r="AC2316">
        <v>1010.7</v>
      </c>
      <c r="AD2316" t="s">
        <v>2510</v>
      </c>
      <c r="AE2316" s="2">
        <f t="shared" si="367"/>
        <v>1</v>
      </c>
      <c r="AF2316" t="s">
        <v>3163</v>
      </c>
      <c r="AG2316" s="2">
        <f t="shared" si="368"/>
        <v>7</v>
      </c>
      <c r="AH2316" s="2">
        <f t="shared" si="369"/>
        <v>1</v>
      </c>
      <c r="AI2316" s="3">
        <v>146.999999997206</v>
      </c>
      <c r="AJ2316" s="2">
        <v>0</v>
      </c>
      <c r="AK2316">
        <v>0.5</v>
      </c>
      <c r="AL2316">
        <v>0</v>
      </c>
      <c r="AM2316">
        <v>0</v>
      </c>
      <c r="AN2316" s="2">
        <f>IF((2*G2316+M2316-O2316+3*V2316+2*AB2316+2*AE2316+2*AH2316+3*AJ2316)&gt;=7,1,0)</f>
        <v>1</v>
      </c>
    </row>
    <row r="2317" spans="1:40" x14ac:dyDescent="0.25">
      <c r="A2317" t="s">
        <v>27</v>
      </c>
      <c r="B2317" s="1">
        <v>44039</v>
      </c>
      <c r="C2317" s="6">
        <f t="shared" si="360"/>
        <v>2020</v>
      </c>
      <c r="D2317">
        <v>84.2</v>
      </c>
      <c r="E2317">
        <v>71.599999999999994</v>
      </c>
      <c r="F2317">
        <v>78.8</v>
      </c>
      <c r="G2317" s="2">
        <f t="shared" si="361"/>
        <v>1</v>
      </c>
      <c r="H2317">
        <v>88.5</v>
      </c>
      <c r="I2317">
        <v>71.599999999999994</v>
      </c>
      <c r="J2317">
        <v>80.5</v>
      </c>
      <c r="K2317">
        <v>63.7</v>
      </c>
      <c r="L2317">
        <v>60</v>
      </c>
      <c r="M2317" s="2">
        <f t="shared" si="362"/>
        <v>1</v>
      </c>
      <c r="N2317">
        <v>0</v>
      </c>
      <c r="O2317" s="2">
        <f t="shared" si="363"/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24.8</v>
      </c>
      <c r="V2317" s="2">
        <f t="shared" si="364"/>
        <v>1</v>
      </c>
      <c r="W2317">
        <v>12.8</v>
      </c>
      <c r="X2317" s="2">
        <f t="shared" si="365"/>
        <v>0</v>
      </c>
      <c r="Y2317">
        <v>299</v>
      </c>
      <c r="Z2317" s="2" t="str">
        <f>CHOOSE(MATCH(Y2317,{0;11;80;111;161;191;241;281;341},1),"North","NorthEast","East","SouthEast","South","SouthWest","West","NorthWest","North")</f>
        <v>NorthWest</v>
      </c>
      <c r="AA2317" s="4">
        <f>CHOOSE(MATCH(Z2317,{"South";"SouthEast";"SouthWest";"North";"NorthEast";"East";"West";"NorthWest"},0),1,2,3,4,5,6,7,8)</f>
        <v>8</v>
      </c>
      <c r="AB2317" s="2">
        <f t="shared" si="366"/>
        <v>1</v>
      </c>
      <c r="AC2317">
        <v>1010.7</v>
      </c>
      <c r="AD2317" t="s">
        <v>2332</v>
      </c>
      <c r="AE2317" s="2">
        <f t="shared" si="367"/>
        <v>1</v>
      </c>
      <c r="AF2317" t="s">
        <v>3164</v>
      </c>
      <c r="AG2317" s="2">
        <f t="shared" si="368"/>
        <v>7</v>
      </c>
      <c r="AH2317" s="2">
        <f t="shared" si="369"/>
        <v>1</v>
      </c>
      <c r="AI2317" s="3">
        <v>2392.9999999946449</v>
      </c>
      <c r="AJ2317" s="2">
        <v>1</v>
      </c>
      <c r="AK2317">
        <v>9</v>
      </c>
      <c r="AL2317">
        <v>0</v>
      </c>
      <c r="AM2317">
        <v>0</v>
      </c>
      <c r="AN2317" s="2">
        <f>IF((2*G2317+M2317-O2317+3*V2317+2*AB2317+2*AE2317+2*AH2317+3*AJ2317)&gt;=7,1,0)</f>
        <v>1</v>
      </c>
    </row>
    <row r="2318" spans="1:40" x14ac:dyDescent="0.25">
      <c r="A2318" t="s">
        <v>27</v>
      </c>
      <c r="B2318" s="1">
        <v>44043</v>
      </c>
      <c r="C2318" s="6">
        <f t="shared" si="360"/>
        <v>2020</v>
      </c>
      <c r="D2318">
        <v>86</v>
      </c>
      <c r="E2318">
        <v>71.599999999999994</v>
      </c>
      <c r="F2318">
        <v>81.099999999999994</v>
      </c>
      <c r="G2318" s="2">
        <f t="shared" si="361"/>
        <v>1</v>
      </c>
      <c r="H2318">
        <v>92</v>
      </c>
      <c r="I2318">
        <v>71.599999999999994</v>
      </c>
      <c r="J2318">
        <v>83.1</v>
      </c>
      <c r="K2318">
        <v>63.9</v>
      </c>
      <c r="L2318">
        <v>56.2</v>
      </c>
      <c r="M2318" s="2">
        <f t="shared" si="362"/>
        <v>1</v>
      </c>
      <c r="N2318">
        <v>0</v>
      </c>
      <c r="O2318" s="2">
        <f t="shared" si="363"/>
        <v>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28.2</v>
      </c>
      <c r="V2318" s="2">
        <f t="shared" si="364"/>
        <v>1</v>
      </c>
      <c r="W2318">
        <v>19.7</v>
      </c>
      <c r="X2318" s="2">
        <f t="shared" si="365"/>
        <v>1</v>
      </c>
      <c r="Y2318">
        <v>297.89999999999998</v>
      </c>
      <c r="Z2318" s="2" t="str">
        <f>CHOOSE(MATCH(Y2318,{0;11;80;111;161;191;241;281;341},1),"North","NorthEast","East","SouthEast","South","SouthWest","West","NorthWest","North")</f>
        <v>NorthWest</v>
      </c>
      <c r="AA2318" s="4">
        <f>CHOOSE(MATCH(Z2318,{"South";"SouthEast";"SouthWest";"North";"NorthEast";"East";"West";"NorthWest"},0),1,2,3,4,5,6,7,8)</f>
        <v>8</v>
      </c>
      <c r="AB2318" s="2">
        <f t="shared" si="366"/>
        <v>1</v>
      </c>
      <c r="AC2318">
        <v>1010.5</v>
      </c>
      <c r="AD2318" t="s">
        <v>3165</v>
      </c>
      <c r="AE2318" s="2">
        <f t="shared" si="367"/>
        <v>1</v>
      </c>
      <c r="AF2318" t="s">
        <v>3166</v>
      </c>
      <c r="AG2318" s="2">
        <f t="shared" si="368"/>
        <v>7</v>
      </c>
      <c r="AH2318" s="2">
        <f t="shared" si="369"/>
        <v>1</v>
      </c>
      <c r="AI2318" s="3">
        <v>2535.9999999997672</v>
      </c>
      <c r="AJ2318" s="2">
        <v>1</v>
      </c>
      <c r="AK2318">
        <v>0.05</v>
      </c>
      <c r="AL2318">
        <v>0</v>
      </c>
      <c r="AM2318">
        <v>0</v>
      </c>
      <c r="AN2318" s="2">
        <f>IF((2*G2318+M2318-O2318+3*V2318+2*AB2318+2*AE2318+2*AH2318+3*AJ2318)&gt;=7,1,0)</f>
        <v>1</v>
      </c>
    </row>
    <row r="2319" spans="1:40" x14ac:dyDescent="0.25">
      <c r="A2319" t="s">
        <v>27</v>
      </c>
      <c r="B2319" s="1">
        <v>44049</v>
      </c>
      <c r="C2319" s="6">
        <f t="shared" si="360"/>
        <v>2020</v>
      </c>
      <c r="D2319">
        <v>86.1</v>
      </c>
      <c r="E2319">
        <v>71.599999999999994</v>
      </c>
      <c r="F2319">
        <v>79.900000000000006</v>
      </c>
      <c r="G2319" s="2">
        <f t="shared" si="361"/>
        <v>1</v>
      </c>
      <c r="H2319">
        <v>95.2</v>
      </c>
      <c r="I2319">
        <v>71.599999999999994</v>
      </c>
      <c r="J2319">
        <v>84.1</v>
      </c>
      <c r="K2319">
        <v>69.099999999999994</v>
      </c>
      <c r="L2319">
        <v>69.900000000000006</v>
      </c>
      <c r="M2319" s="2">
        <f t="shared" si="362"/>
        <v>0</v>
      </c>
      <c r="N2319">
        <v>0</v>
      </c>
      <c r="O2319" s="2">
        <f t="shared" si="363"/>
        <v>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17.899999999999999</v>
      </c>
      <c r="V2319" s="2">
        <f t="shared" si="364"/>
        <v>1</v>
      </c>
      <c r="W2319">
        <v>10.3</v>
      </c>
      <c r="X2319" s="2">
        <f t="shared" si="365"/>
        <v>0</v>
      </c>
      <c r="Y2319">
        <v>342.7</v>
      </c>
      <c r="Z2319" s="2" t="str">
        <f>CHOOSE(MATCH(Y2319,{0;11;80;111;161;191;241;281;341},1),"North","NorthEast","East","SouthEast","South","SouthWest","West","NorthWest","North")</f>
        <v>North</v>
      </c>
      <c r="AA2319" s="4">
        <f>CHOOSE(MATCH(Z2319,{"South";"SouthEast";"SouthWest";"North";"NorthEast";"East";"West";"NorthWest"},0),1,2,3,4,5,6,7,8)</f>
        <v>4</v>
      </c>
      <c r="AB2319" s="2">
        <f t="shared" si="366"/>
        <v>1</v>
      </c>
      <c r="AC2319">
        <v>1008.8</v>
      </c>
      <c r="AD2319" t="s">
        <v>3167</v>
      </c>
      <c r="AE2319" s="2">
        <f t="shared" si="367"/>
        <v>1</v>
      </c>
      <c r="AF2319" t="s">
        <v>3168</v>
      </c>
      <c r="AG2319" s="2">
        <f t="shared" si="368"/>
        <v>8</v>
      </c>
      <c r="AH2319" s="2">
        <f t="shared" si="369"/>
        <v>1</v>
      </c>
      <c r="AI2319" s="3">
        <v>737.99999999580905</v>
      </c>
      <c r="AJ2319" s="2">
        <v>1</v>
      </c>
      <c r="AK2319">
        <v>0</v>
      </c>
      <c r="AL2319">
        <v>5</v>
      </c>
      <c r="AM2319">
        <v>0</v>
      </c>
      <c r="AN2319" s="2">
        <f>IF((2*G2319+M2319-O2319+3*V2319+2*AB2319+2*AE2319+2*AH2319+3*AJ2319)&gt;=7,1,0)</f>
        <v>1</v>
      </c>
    </row>
    <row r="2320" spans="1:40" x14ac:dyDescent="0.25">
      <c r="A2320" t="s">
        <v>27</v>
      </c>
      <c r="B2320" s="1">
        <v>44051</v>
      </c>
      <c r="C2320" s="6">
        <f t="shared" si="360"/>
        <v>2020</v>
      </c>
      <c r="D2320">
        <v>84.2</v>
      </c>
      <c r="E2320">
        <v>69.8</v>
      </c>
      <c r="F2320">
        <v>78.599999999999994</v>
      </c>
      <c r="G2320" s="2">
        <f t="shared" si="361"/>
        <v>1</v>
      </c>
      <c r="H2320">
        <v>88.4</v>
      </c>
      <c r="I2320">
        <v>69.8</v>
      </c>
      <c r="J2320">
        <v>80.3</v>
      </c>
      <c r="K2320">
        <v>68.099999999999994</v>
      </c>
      <c r="L2320">
        <v>70.7</v>
      </c>
      <c r="M2320" s="2">
        <f t="shared" si="362"/>
        <v>0</v>
      </c>
      <c r="N2320">
        <v>0</v>
      </c>
      <c r="O2320" s="2">
        <f t="shared" si="363"/>
        <v>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28.4</v>
      </c>
      <c r="V2320" s="2">
        <f t="shared" si="364"/>
        <v>1</v>
      </c>
      <c r="W2320">
        <v>23</v>
      </c>
      <c r="X2320" s="2">
        <f t="shared" si="365"/>
        <v>1</v>
      </c>
      <c r="Y2320">
        <v>300.7</v>
      </c>
      <c r="Z2320" s="2" t="str">
        <f>CHOOSE(MATCH(Y2320,{0;11;80;111;161;191;241;281;341},1),"North","NorthEast","East","SouthEast","South","SouthWest","West","NorthWest","North")</f>
        <v>NorthWest</v>
      </c>
      <c r="AA2320" s="4">
        <f>CHOOSE(MATCH(Z2320,{"South";"SouthEast";"SouthWest";"North";"NorthEast";"East";"West";"NorthWest"},0),1,2,3,4,5,6,7,8)</f>
        <v>8</v>
      </c>
      <c r="AB2320" s="2">
        <f t="shared" si="366"/>
        <v>1</v>
      </c>
      <c r="AC2320">
        <v>1008.7</v>
      </c>
      <c r="AD2320" t="s">
        <v>1759</v>
      </c>
      <c r="AE2320" s="2">
        <f t="shared" si="367"/>
        <v>1</v>
      </c>
      <c r="AF2320" t="s">
        <v>3169</v>
      </c>
      <c r="AG2320" s="2">
        <f t="shared" si="368"/>
        <v>8</v>
      </c>
      <c r="AH2320" s="2">
        <f t="shared" si="369"/>
        <v>1</v>
      </c>
      <c r="AI2320" s="3">
        <v>3110.0000000058212</v>
      </c>
      <c r="AJ2320" s="2">
        <v>1</v>
      </c>
      <c r="AK2320">
        <v>0</v>
      </c>
      <c r="AL2320">
        <v>80</v>
      </c>
      <c r="AM2320">
        <v>0</v>
      </c>
      <c r="AN2320" s="2">
        <f>IF((2*G2320+M2320-O2320+3*V2320+2*AB2320+2*AE2320+2*AH2320+3*AJ2320)&gt;=7,1,0)</f>
        <v>1</v>
      </c>
    </row>
    <row r="2321" spans="1:40" x14ac:dyDescent="0.25">
      <c r="A2321" t="s">
        <v>27</v>
      </c>
      <c r="B2321" s="1">
        <v>44058</v>
      </c>
      <c r="C2321" s="6">
        <f t="shared" si="360"/>
        <v>2020</v>
      </c>
      <c r="D2321">
        <v>87.8</v>
      </c>
      <c r="E2321">
        <v>78.8</v>
      </c>
      <c r="F2321">
        <v>83</v>
      </c>
      <c r="G2321" s="2">
        <f t="shared" si="361"/>
        <v>1</v>
      </c>
      <c r="H2321">
        <v>88.4</v>
      </c>
      <c r="I2321">
        <v>78.8</v>
      </c>
      <c r="J2321">
        <v>83.4</v>
      </c>
      <c r="K2321">
        <v>60.3</v>
      </c>
      <c r="L2321">
        <v>46.9</v>
      </c>
      <c r="M2321" s="2">
        <f t="shared" si="362"/>
        <v>1</v>
      </c>
      <c r="N2321">
        <v>0</v>
      </c>
      <c r="O2321" s="2">
        <f t="shared" si="363"/>
        <v>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31.5</v>
      </c>
      <c r="V2321" s="2">
        <f t="shared" si="364"/>
        <v>1</v>
      </c>
      <c r="W2321">
        <v>21.9</v>
      </c>
      <c r="X2321" s="2">
        <f t="shared" si="365"/>
        <v>1</v>
      </c>
      <c r="Y2321">
        <v>299.60000000000002</v>
      </c>
      <c r="Z2321" s="2" t="str">
        <f>CHOOSE(MATCH(Y2321,{0;11;80;111;161;191;241;281;341},1),"North","NorthEast","East","SouthEast","South","SouthWest","West","NorthWest","North")</f>
        <v>NorthWest</v>
      </c>
      <c r="AA2321" s="4">
        <f>CHOOSE(MATCH(Z2321,{"South";"SouthEast";"SouthWest";"North";"NorthEast";"East";"West";"NorthWest"},0),1,2,3,4,5,6,7,8)</f>
        <v>8</v>
      </c>
      <c r="AB2321" s="2">
        <f t="shared" si="366"/>
        <v>1</v>
      </c>
      <c r="AC2321">
        <v>1009.6</v>
      </c>
      <c r="AD2321" t="s">
        <v>1123</v>
      </c>
      <c r="AE2321" s="2">
        <f t="shared" si="367"/>
        <v>1</v>
      </c>
      <c r="AF2321" t="s">
        <v>3170</v>
      </c>
      <c r="AG2321" s="2">
        <f t="shared" si="368"/>
        <v>8</v>
      </c>
      <c r="AH2321" s="2">
        <f t="shared" si="369"/>
        <v>1</v>
      </c>
      <c r="AI2321" s="3">
        <v>2717.0000000030268</v>
      </c>
      <c r="AJ2321" s="2">
        <v>1</v>
      </c>
      <c r="AK2321">
        <v>1</v>
      </c>
      <c r="AL2321">
        <v>0</v>
      </c>
      <c r="AM2321">
        <v>0</v>
      </c>
      <c r="AN2321" s="2">
        <f>IF((2*G2321+M2321-O2321+3*V2321+2*AB2321+2*AE2321+2*AH2321+3*AJ2321)&gt;=7,1,0)</f>
        <v>1</v>
      </c>
    </row>
    <row r="2322" spans="1:40" x14ac:dyDescent="0.25">
      <c r="A2322" t="s">
        <v>27</v>
      </c>
      <c r="B2322" s="1">
        <v>44065</v>
      </c>
      <c r="C2322" s="6">
        <f t="shared" si="360"/>
        <v>2020</v>
      </c>
      <c r="D2322">
        <v>84.2</v>
      </c>
      <c r="E2322">
        <v>78.8</v>
      </c>
      <c r="F2322">
        <v>81</v>
      </c>
      <c r="G2322" s="2">
        <f t="shared" si="361"/>
        <v>1</v>
      </c>
      <c r="H2322">
        <v>87.4</v>
      </c>
      <c r="I2322">
        <v>78.8</v>
      </c>
      <c r="J2322">
        <v>82.6</v>
      </c>
      <c r="K2322">
        <v>67.3</v>
      </c>
      <c r="L2322">
        <v>63.4</v>
      </c>
      <c r="M2322" s="2">
        <f t="shared" si="362"/>
        <v>1</v>
      </c>
      <c r="N2322">
        <v>0</v>
      </c>
      <c r="O2322" s="2">
        <f t="shared" si="363"/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32.200000000000003</v>
      </c>
      <c r="V2322" s="2">
        <f t="shared" si="364"/>
        <v>1</v>
      </c>
      <c r="W2322">
        <v>21.9</v>
      </c>
      <c r="X2322" s="2">
        <f t="shared" si="365"/>
        <v>1</v>
      </c>
      <c r="Y2322">
        <v>305</v>
      </c>
      <c r="Z2322" s="2" t="str">
        <f>CHOOSE(MATCH(Y2322,{0;11;80;111;161;191;241;281;341},1),"North","NorthEast","East","SouthEast","South","SouthWest","West","NorthWest","North")</f>
        <v>NorthWest</v>
      </c>
      <c r="AA2322" s="4">
        <f>CHOOSE(MATCH(Z2322,{"South";"SouthEast";"SouthWest";"North";"NorthEast";"East";"West";"NorthWest"},0),1,2,3,4,5,6,7,8)</f>
        <v>8</v>
      </c>
      <c r="AB2322" s="2">
        <f t="shared" si="366"/>
        <v>1</v>
      </c>
      <c r="AC2322">
        <v>1011.3</v>
      </c>
      <c r="AD2322" t="s">
        <v>1165</v>
      </c>
      <c r="AE2322" s="2">
        <f t="shared" si="367"/>
        <v>0</v>
      </c>
      <c r="AF2322" t="s">
        <v>3171</v>
      </c>
      <c r="AG2322" s="2">
        <f t="shared" si="368"/>
        <v>8</v>
      </c>
      <c r="AH2322" s="2">
        <f t="shared" si="369"/>
        <v>1</v>
      </c>
      <c r="AI2322" s="3">
        <v>19127.999999999302</v>
      </c>
      <c r="AJ2322" s="2">
        <v>1</v>
      </c>
      <c r="AK2322">
        <v>0</v>
      </c>
      <c r="AL2322">
        <v>13923</v>
      </c>
      <c r="AM2322">
        <v>0</v>
      </c>
      <c r="AN2322" s="2">
        <f>IF((2*G2322+M2322-O2322+3*V2322+2*AB2322+2*AE2322+2*AH2322+3*AJ2322)&gt;=7,1,0)</f>
        <v>1</v>
      </c>
    </row>
    <row r="2323" spans="1:40" x14ac:dyDescent="0.25">
      <c r="A2323" t="s">
        <v>27</v>
      </c>
      <c r="B2323" s="1">
        <v>44065</v>
      </c>
      <c r="C2323" s="6">
        <f t="shared" si="360"/>
        <v>2020</v>
      </c>
      <c r="D2323">
        <v>84.2</v>
      </c>
      <c r="E2323">
        <v>78.8</v>
      </c>
      <c r="F2323">
        <v>81</v>
      </c>
      <c r="G2323" s="2">
        <f t="shared" si="361"/>
        <v>1</v>
      </c>
      <c r="H2323">
        <v>87.4</v>
      </c>
      <c r="I2323">
        <v>78.8</v>
      </c>
      <c r="J2323">
        <v>82.6</v>
      </c>
      <c r="K2323">
        <v>67.3</v>
      </c>
      <c r="L2323">
        <v>63.4</v>
      </c>
      <c r="M2323" s="2">
        <f t="shared" si="362"/>
        <v>1</v>
      </c>
      <c r="N2323">
        <v>0</v>
      </c>
      <c r="O2323" s="2">
        <f t="shared" si="363"/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32.200000000000003</v>
      </c>
      <c r="V2323" s="2">
        <f t="shared" si="364"/>
        <v>1</v>
      </c>
      <c r="W2323">
        <v>21.9</v>
      </c>
      <c r="X2323" s="2">
        <f t="shared" si="365"/>
        <v>1</v>
      </c>
      <c r="Y2323">
        <v>305</v>
      </c>
      <c r="Z2323" s="2" t="str">
        <f>CHOOSE(MATCH(Y2323,{0;11;80;111;161;191;241;281;341},1),"North","NorthEast","East","SouthEast","South","SouthWest","West","NorthWest","North")</f>
        <v>NorthWest</v>
      </c>
      <c r="AA2323" s="4">
        <f>CHOOSE(MATCH(Z2323,{"South";"SouthEast";"SouthWest";"North";"NorthEast";"East";"West";"NorthWest"},0),1,2,3,4,5,6,7,8)</f>
        <v>8</v>
      </c>
      <c r="AB2323" s="2">
        <f t="shared" si="366"/>
        <v>1</v>
      </c>
      <c r="AC2323">
        <v>1011.3</v>
      </c>
      <c r="AD2323" t="s">
        <v>1844</v>
      </c>
      <c r="AE2323" s="2">
        <f t="shared" si="367"/>
        <v>1</v>
      </c>
      <c r="AF2323" t="s">
        <v>3172</v>
      </c>
      <c r="AG2323" s="2">
        <f t="shared" si="368"/>
        <v>8</v>
      </c>
      <c r="AH2323" s="2">
        <f t="shared" si="369"/>
        <v>1</v>
      </c>
      <c r="AI2323" s="3">
        <v>5217.9999999934807</v>
      </c>
      <c r="AJ2323" s="2">
        <v>1</v>
      </c>
      <c r="AK2323">
        <v>0</v>
      </c>
      <c r="AL2323">
        <v>200</v>
      </c>
      <c r="AM2323">
        <v>0</v>
      </c>
      <c r="AN2323" s="2">
        <f>IF((2*G2323+M2323-O2323+3*V2323+2*AB2323+2*AE2323+2*AH2323+3*AJ2323)&gt;=7,1,0)</f>
        <v>1</v>
      </c>
    </row>
    <row r="2324" spans="1:40" x14ac:dyDescent="0.25">
      <c r="A2324" t="s">
        <v>27</v>
      </c>
      <c r="B2324" s="1">
        <v>44068</v>
      </c>
      <c r="C2324" s="6">
        <f t="shared" si="360"/>
        <v>2020</v>
      </c>
      <c r="D2324">
        <v>84.2</v>
      </c>
      <c r="E2324">
        <v>69.8</v>
      </c>
      <c r="F2324">
        <v>77.7</v>
      </c>
      <c r="G2324" s="2">
        <f t="shared" si="361"/>
        <v>1</v>
      </c>
      <c r="H2324">
        <v>89.6</v>
      </c>
      <c r="I2324">
        <v>69.8</v>
      </c>
      <c r="J2324">
        <v>79.599999999999994</v>
      </c>
      <c r="K2324">
        <v>68.400000000000006</v>
      </c>
      <c r="L2324">
        <v>73.599999999999994</v>
      </c>
      <c r="M2324" s="2">
        <f t="shared" si="362"/>
        <v>0</v>
      </c>
      <c r="N2324">
        <v>0</v>
      </c>
      <c r="O2324" s="2">
        <f t="shared" si="363"/>
        <v>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20.399999999999999</v>
      </c>
      <c r="V2324" s="2">
        <f t="shared" si="364"/>
        <v>1</v>
      </c>
      <c r="W2324">
        <v>13.9</v>
      </c>
      <c r="X2324" s="2">
        <f t="shared" si="365"/>
        <v>0</v>
      </c>
      <c r="Y2324">
        <v>307.60000000000002</v>
      </c>
      <c r="Z2324" s="2" t="str">
        <f>CHOOSE(MATCH(Y2324,{0;11;80;111;161;191;241;281;341},1),"North","NorthEast","East","SouthEast","South","SouthWest","West","NorthWest","North")</f>
        <v>NorthWest</v>
      </c>
      <c r="AA2324" s="4">
        <f>CHOOSE(MATCH(Z2324,{"South";"SouthEast";"SouthWest";"North";"NorthEast";"East";"West";"NorthWest"},0),1,2,3,4,5,6,7,8)</f>
        <v>8</v>
      </c>
      <c r="AB2324" s="2">
        <f t="shared" si="366"/>
        <v>1</v>
      </c>
      <c r="AC2324">
        <v>1009</v>
      </c>
      <c r="AD2324" t="s">
        <v>1249</v>
      </c>
      <c r="AE2324" s="2">
        <f t="shared" si="367"/>
        <v>1</v>
      </c>
      <c r="AF2324" t="s">
        <v>3173</v>
      </c>
      <c r="AG2324" s="2">
        <f t="shared" si="368"/>
        <v>8</v>
      </c>
      <c r="AH2324" s="2">
        <f t="shared" si="369"/>
        <v>1</v>
      </c>
      <c r="AI2324" s="3">
        <v>20.00000000232831</v>
      </c>
      <c r="AJ2324" s="2">
        <v>0</v>
      </c>
      <c r="AK2324">
        <v>0</v>
      </c>
      <c r="AL2324">
        <v>150</v>
      </c>
      <c r="AM2324">
        <v>0</v>
      </c>
      <c r="AN2324" s="2">
        <f>IF((2*G2324+M2324-O2324+3*V2324+2*AB2324+2*AE2324+2*AH2324+3*AJ2324)&gt;=7,1,0)</f>
        <v>1</v>
      </c>
    </row>
    <row r="2325" spans="1:40" x14ac:dyDescent="0.25">
      <c r="A2325" t="s">
        <v>27</v>
      </c>
      <c r="B2325" s="1">
        <v>44070</v>
      </c>
      <c r="C2325" s="6">
        <f t="shared" si="360"/>
        <v>2020</v>
      </c>
      <c r="D2325">
        <v>84.2</v>
      </c>
      <c r="E2325">
        <v>71.599999999999994</v>
      </c>
      <c r="F2325">
        <v>79.8</v>
      </c>
      <c r="G2325" s="2">
        <f t="shared" si="361"/>
        <v>1</v>
      </c>
      <c r="H2325">
        <v>89.6</v>
      </c>
      <c r="I2325">
        <v>71.599999999999994</v>
      </c>
      <c r="J2325">
        <v>81.400000000000006</v>
      </c>
      <c r="K2325">
        <v>68.099999999999994</v>
      </c>
      <c r="L2325">
        <v>68.099999999999994</v>
      </c>
      <c r="M2325" s="2">
        <f t="shared" si="362"/>
        <v>0</v>
      </c>
      <c r="N2325">
        <v>0</v>
      </c>
      <c r="O2325" s="2">
        <f t="shared" si="363"/>
        <v>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28</v>
      </c>
      <c r="V2325" s="2">
        <f t="shared" si="364"/>
        <v>1</v>
      </c>
      <c r="W2325">
        <v>16.100000000000001</v>
      </c>
      <c r="X2325" s="2">
        <f t="shared" si="365"/>
        <v>1</v>
      </c>
      <c r="Y2325">
        <v>298.8</v>
      </c>
      <c r="Z2325" s="2" t="str">
        <f>CHOOSE(MATCH(Y2325,{0;11;80;111;161;191;241;281;341},1),"North","NorthEast","East","SouthEast","South","SouthWest","West","NorthWest","North")</f>
        <v>NorthWest</v>
      </c>
      <c r="AA2325" s="4">
        <f>CHOOSE(MATCH(Z2325,{"South";"SouthEast";"SouthWest";"North";"NorthEast";"East";"West";"NorthWest"},0),1,2,3,4,5,6,7,8)</f>
        <v>8</v>
      </c>
      <c r="AB2325" s="2">
        <f t="shared" si="366"/>
        <v>1</v>
      </c>
      <c r="AC2325">
        <v>1011</v>
      </c>
      <c r="AD2325" t="s">
        <v>1203</v>
      </c>
      <c r="AE2325" s="2">
        <f t="shared" si="367"/>
        <v>1</v>
      </c>
      <c r="AF2325" t="s">
        <v>3174</v>
      </c>
      <c r="AG2325" s="2">
        <f t="shared" si="368"/>
        <v>8</v>
      </c>
      <c r="AH2325" s="2">
        <f t="shared" si="369"/>
        <v>1</v>
      </c>
      <c r="AI2325" s="3">
        <v>1932.999999993481</v>
      </c>
      <c r="AJ2325" s="2">
        <v>1</v>
      </c>
      <c r="AK2325">
        <v>0</v>
      </c>
      <c r="AL2325">
        <v>10</v>
      </c>
      <c r="AM2325">
        <v>0</v>
      </c>
      <c r="AN2325" s="2">
        <f>IF((2*G2325+M2325-O2325+3*V2325+2*AB2325+2*AE2325+2*AH2325+3*AJ2325)&gt;=7,1,0)</f>
        <v>1</v>
      </c>
    </row>
    <row r="2326" spans="1:40" x14ac:dyDescent="0.25">
      <c r="A2326" t="s">
        <v>27</v>
      </c>
      <c r="B2326" s="1">
        <v>44074</v>
      </c>
      <c r="C2326" s="6">
        <f t="shared" si="360"/>
        <v>2020</v>
      </c>
      <c r="D2326">
        <v>87.9</v>
      </c>
      <c r="E2326">
        <v>69.900000000000006</v>
      </c>
      <c r="F2326">
        <v>79.2</v>
      </c>
      <c r="G2326" s="2">
        <f t="shared" si="361"/>
        <v>1</v>
      </c>
      <c r="H2326">
        <v>93.5</v>
      </c>
      <c r="I2326">
        <v>69.900000000000006</v>
      </c>
      <c r="J2326">
        <v>81.400000000000006</v>
      </c>
      <c r="K2326">
        <v>65.8</v>
      </c>
      <c r="L2326">
        <v>64.900000000000006</v>
      </c>
      <c r="M2326" s="2">
        <f t="shared" si="362"/>
        <v>1</v>
      </c>
      <c r="N2326">
        <v>0</v>
      </c>
      <c r="O2326" s="2">
        <f t="shared" si="363"/>
        <v>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20.6</v>
      </c>
      <c r="V2326" s="2">
        <f t="shared" si="364"/>
        <v>1</v>
      </c>
      <c r="W2326">
        <v>13.9</v>
      </c>
      <c r="X2326" s="2">
        <f t="shared" si="365"/>
        <v>0</v>
      </c>
      <c r="Y2326">
        <v>287.39999999999998</v>
      </c>
      <c r="Z2326" s="2" t="str">
        <f>CHOOSE(MATCH(Y2326,{0;11;80;111;161;191;241;281;341},1),"North","NorthEast","East","SouthEast","South","SouthWest","West","NorthWest","North")</f>
        <v>NorthWest</v>
      </c>
      <c r="AA2326" s="4">
        <f>CHOOSE(MATCH(Z2326,{"South";"SouthEast";"SouthWest";"North";"NorthEast";"East";"West";"NorthWest"},0),1,2,3,4,5,6,7,8)</f>
        <v>8</v>
      </c>
      <c r="AB2326" s="2">
        <f t="shared" si="366"/>
        <v>1</v>
      </c>
      <c r="AC2326">
        <v>1009.3</v>
      </c>
      <c r="AD2326" t="s">
        <v>3175</v>
      </c>
      <c r="AE2326" s="2">
        <f t="shared" si="367"/>
        <v>1</v>
      </c>
      <c r="AF2326" t="s">
        <v>3176</v>
      </c>
      <c r="AG2326" s="2">
        <f t="shared" si="368"/>
        <v>8</v>
      </c>
      <c r="AH2326" s="2">
        <f t="shared" si="369"/>
        <v>1</v>
      </c>
      <c r="AI2326" s="3">
        <v>316.00000000325957</v>
      </c>
      <c r="AJ2326" s="2">
        <v>0</v>
      </c>
      <c r="AK2326">
        <v>5</v>
      </c>
      <c r="AL2326">
        <v>0</v>
      </c>
      <c r="AM2326">
        <v>0</v>
      </c>
      <c r="AN2326" s="2">
        <f>IF((2*G2326+M2326-O2326+3*V2326+2*AB2326+2*AE2326+2*AH2326+3*AJ2326)&gt;=7,1,0)</f>
        <v>1</v>
      </c>
    </row>
    <row r="2327" spans="1:40" x14ac:dyDescent="0.25">
      <c r="A2327" t="s">
        <v>27</v>
      </c>
      <c r="B2327" s="1">
        <v>44075</v>
      </c>
      <c r="C2327" s="6">
        <f t="shared" si="360"/>
        <v>2020</v>
      </c>
      <c r="D2327">
        <v>89.6</v>
      </c>
      <c r="E2327">
        <v>73.400000000000006</v>
      </c>
      <c r="F2327">
        <v>81.400000000000006</v>
      </c>
      <c r="G2327" s="2">
        <f t="shared" si="361"/>
        <v>1</v>
      </c>
      <c r="H2327">
        <v>97.8</v>
      </c>
      <c r="I2327">
        <v>73.400000000000006</v>
      </c>
      <c r="J2327">
        <v>83</v>
      </c>
      <c r="K2327">
        <v>64.900000000000006</v>
      </c>
      <c r="L2327">
        <v>58.4</v>
      </c>
      <c r="M2327" s="2">
        <f t="shared" si="362"/>
        <v>1</v>
      </c>
      <c r="N2327">
        <v>0</v>
      </c>
      <c r="O2327" s="2">
        <f t="shared" si="363"/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23.3</v>
      </c>
      <c r="V2327" s="2">
        <f t="shared" si="364"/>
        <v>1</v>
      </c>
      <c r="W2327">
        <v>9.1999999999999993</v>
      </c>
      <c r="X2327" s="2">
        <f t="shared" si="365"/>
        <v>0</v>
      </c>
      <c r="Y2327">
        <v>161.9</v>
      </c>
      <c r="Z2327" s="2" t="str">
        <f>CHOOSE(MATCH(Y2327,{0;11;80;111;161;191;241;281;341},1),"North","NorthEast","East","SouthEast","South","SouthWest","West","NorthWest","North")</f>
        <v>South</v>
      </c>
      <c r="AA2327" s="4">
        <f>CHOOSE(MATCH(Z2327,{"South";"SouthEast";"SouthWest";"North";"NorthEast";"East";"West";"NorthWest"},0),1,2,3,4,5,6,7,8)</f>
        <v>1</v>
      </c>
      <c r="AB2327" s="2">
        <f t="shared" si="366"/>
        <v>0</v>
      </c>
      <c r="AC2327">
        <v>1006.7</v>
      </c>
      <c r="AD2327" t="s">
        <v>1274</v>
      </c>
      <c r="AE2327" s="2">
        <f t="shared" si="367"/>
        <v>1</v>
      </c>
      <c r="AF2327" t="s">
        <v>3177</v>
      </c>
      <c r="AG2327" s="2">
        <f t="shared" si="368"/>
        <v>9</v>
      </c>
      <c r="AH2327" s="2">
        <f t="shared" si="369"/>
        <v>0</v>
      </c>
      <c r="AI2327" s="3">
        <v>1756.0000000032601</v>
      </c>
      <c r="AJ2327" s="2">
        <v>1</v>
      </c>
      <c r="AK2327">
        <v>0</v>
      </c>
      <c r="AL2327">
        <v>1</v>
      </c>
      <c r="AM2327">
        <v>0</v>
      </c>
      <c r="AN2327" s="2">
        <f>IF((2*G2327+M2327-O2327+3*V2327+2*AB2327+2*AE2327+2*AH2327+3*AJ2327)&gt;=7,1,0)</f>
        <v>1</v>
      </c>
    </row>
    <row r="2328" spans="1:40" x14ac:dyDescent="0.25">
      <c r="A2328" t="s">
        <v>27</v>
      </c>
      <c r="B2328" s="1">
        <v>44077</v>
      </c>
      <c r="C2328" s="6">
        <f t="shared" si="360"/>
        <v>2020</v>
      </c>
      <c r="D2328">
        <v>87.8</v>
      </c>
      <c r="E2328">
        <v>71.599999999999994</v>
      </c>
      <c r="F2328">
        <v>79.900000000000006</v>
      </c>
      <c r="G2328" s="2">
        <f t="shared" si="361"/>
        <v>1</v>
      </c>
      <c r="H2328">
        <v>94.2</v>
      </c>
      <c r="I2328">
        <v>71.599999999999994</v>
      </c>
      <c r="J2328">
        <v>81.7</v>
      </c>
      <c r="K2328">
        <v>65.5</v>
      </c>
      <c r="L2328">
        <v>62.9</v>
      </c>
      <c r="M2328" s="2">
        <f t="shared" si="362"/>
        <v>1</v>
      </c>
      <c r="N2328">
        <v>0</v>
      </c>
      <c r="O2328" s="2">
        <f t="shared" si="363"/>
        <v>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18.600000000000001</v>
      </c>
      <c r="V2328" s="2">
        <f t="shared" si="364"/>
        <v>1</v>
      </c>
      <c r="W2328">
        <v>9.1</v>
      </c>
      <c r="X2328" s="2">
        <f t="shared" si="365"/>
        <v>0</v>
      </c>
      <c r="Y2328">
        <v>208.5</v>
      </c>
      <c r="Z2328" s="2" t="str">
        <f>CHOOSE(MATCH(Y2328,{0;11;80;111;161;191;241;281;341},1),"North","NorthEast","East","SouthEast","South","SouthWest","West","NorthWest","North")</f>
        <v>SouthWest</v>
      </c>
      <c r="AA2328" s="4">
        <f>CHOOSE(MATCH(Z2328,{"South";"SouthEast";"SouthWest";"North";"NorthEast";"East";"West";"NorthWest"},0),1,2,3,4,5,6,7,8)</f>
        <v>3</v>
      </c>
      <c r="AB2328" s="2">
        <f t="shared" si="366"/>
        <v>0</v>
      </c>
      <c r="AC2328">
        <v>1013.4</v>
      </c>
      <c r="AD2328" t="s">
        <v>3178</v>
      </c>
      <c r="AE2328" s="2">
        <f t="shared" si="367"/>
        <v>0</v>
      </c>
      <c r="AF2328" t="s">
        <v>3179</v>
      </c>
      <c r="AG2328" s="2">
        <f t="shared" si="368"/>
        <v>9</v>
      </c>
      <c r="AH2328" s="2">
        <f t="shared" si="369"/>
        <v>0</v>
      </c>
      <c r="AI2328" s="3">
        <v>2223.9999999990691</v>
      </c>
      <c r="AJ2328" s="2">
        <v>1</v>
      </c>
      <c r="AK2328">
        <v>2</v>
      </c>
      <c r="AL2328">
        <v>0</v>
      </c>
      <c r="AM2328">
        <v>0</v>
      </c>
      <c r="AN2328" s="2">
        <f>IF((2*G2328+M2328-O2328+3*V2328+2*AB2328+2*AE2328+2*AH2328+3*AJ2328)&gt;=7,1,0)</f>
        <v>1</v>
      </c>
    </row>
    <row r="2329" spans="1:40" x14ac:dyDescent="0.25">
      <c r="A2329" t="s">
        <v>27</v>
      </c>
      <c r="B2329" s="1">
        <v>44078</v>
      </c>
      <c r="C2329" s="6">
        <f t="shared" si="360"/>
        <v>2020</v>
      </c>
      <c r="D2329">
        <v>86</v>
      </c>
      <c r="E2329">
        <v>73.400000000000006</v>
      </c>
      <c r="F2329">
        <v>79.599999999999994</v>
      </c>
      <c r="G2329" s="2">
        <f t="shared" si="361"/>
        <v>1</v>
      </c>
      <c r="H2329">
        <v>97.2</v>
      </c>
      <c r="I2329">
        <v>73.400000000000006</v>
      </c>
      <c r="J2329">
        <v>83.2</v>
      </c>
      <c r="K2329">
        <v>71.3</v>
      </c>
      <c r="L2329">
        <v>76.7</v>
      </c>
      <c r="M2329" s="2">
        <f t="shared" si="362"/>
        <v>0</v>
      </c>
      <c r="N2329">
        <v>0</v>
      </c>
      <c r="O2329" s="2">
        <f t="shared" si="363"/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27.1</v>
      </c>
      <c r="V2329" s="2">
        <f t="shared" si="364"/>
        <v>1</v>
      </c>
      <c r="W2329">
        <v>13.9</v>
      </c>
      <c r="X2329" s="2">
        <f t="shared" si="365"/>
        <v>0</v>
      </c>
      <c r="Y2329">
        <v>301.39999999999998</v>
      </c>
      <c r="Z2329" s="2" t="str">
        <f>CHOOSE(MATCH(Y2329,{0;11;80;111;161;191;241;281;341},1),"North","NorthEast","East","SouthEast","South","SouthWest","West","NorthWest","North")</f>
        <v>NorthWest</v>
      </c>
      <c r="AA2329" s="4">
        <f>CHOOSE(MATCH(Z2329,{"South";"SouthEast";"SouthWest";"North";"NorthEast";"East";"West";"NorthWest"},0),1,2,3,4,5,6,7,8)</f>
        <v>8</v>
      </c>
      <c r="AB2329" s="2">
        <f t="shared" si="366"/>
        <v>1</v>
      </c>
      <c r="AC2329">
        <v>1014.5</v>
      </c>
      <c r="AD2329" t="s">
        <v>3180</v>
      </c>
      <c r="AE2329" s="2">
        <f t="shared" si="367"/>
        <v>1</v>
      </c>
      <c r="AF2329" t="s">
        <v>3181</v>
      </c>
      <c r="AG2329" s="2">
        <f t="shared" si="368"/>
        <v>9</v>
      </c>
      <c r="AH2329" s="2">
        <f t="shared" si="369"/>
        <v>0</v>
      </c>
      <c r="AI2329" s="3">
        <v>1783.000000007451</v>
      </c>
      <c r="AJ2329" s="2">
        <v>1</v>
      </c>
      <c r="AK2329">
        <v>0</v>
      </c>
      <c r="AL2329">
        <v>120</v>
      </c>
      <c r="AM2329">
        <v>0</v>
      </c>
      <c r="AN2329" s="2">
        <f>IF((2*G2329+M2329-O2329+3*V2329+2*AB2329+2*AE2329+2*AH2329+3*AJ2329)&gt;=7,1,0)</f>
        <v>1</v>
      </c>
    </row>
    <row r="2330" spans="1:40" x14ac:dyDescent="0.25">
      <c r="A2330" t="s">
        <v>27</v>
      </c>
      <c r="B2330" s="1">
        <v>44083</v>
      </c>
      <c r="C2330" s="6">
        <f t="shared" si="360"/>
        <v>2020</v>
      </c>
      <c r="D2330">
        <v>82.4</v>
      </c>
      <c r="E2330">
        <v>77</v>
      </c>
      <c r="F2330">
        <v>79.599999999999994</v>
      </c>
      <c r="G2330" s="2">
        <f t="shared" si="361"/>
        <v>1</v>
      </c>
      <c r="H2330">
        <v>86.2</v>
      </c>
      <c r="I2330">
        <v>77</v>
      </c>
      <c r="J2330">
        <v>80.8</v>
      </c>
      <c r="K2330">
        <v>67.5</v>
      </c>
      <c r="L2330">
        <v>66.7</v>
      </c>
      <c r="M2330" s="2">
        <f t="shared" si="362"/>
        <v>0</v>
      </c>
      <c r="N2330">
        <v>0</v>
      </c>
      <c r="O2330" s="2">
        <f t="shared" si="363"/>
        <v>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37.6</v>
      </c>
      <c r="V2330" s="2">
        <f t="shared" si="364"/>
        <v>1</v>
      </c>
      <c r="W2330">
        <v>21.9</v>
      </c>
      <c r="X2330" s="2">
        <f t="shared" si="365"/>
        <v>1</v>
      </c>
      <c r="Y2330">
        <v>300.60000000000002</v>
      </c>
      <c r="Z2330" s="2" t="str">
        <f>CHOOSE(MATCH(Y2330,{0;11;80;111;161;191;241;281;341},1),"North","NorthEast","East","SouthEast","South","SouthWest","West","NorthWest","North")</f>
        <v>NorthWest</v>
      </c>
      <c r="AA2330" s="4">
        <f>CHOOSE(MATCH(Z2330,{"South";"SouthEast";"SouthWest";"North";"NorthEast";"East";"West";"NorthWest"},0),1,2,3,4,5,6,7,8)</f>
        <v>8</v>
      </c>
      <c r="AB2330" s="2">
        <f t="shared" si="366"/>
        <v>1</v>
      </c>
      <c r="AC2330">
        <v>1014.7</v>
      </c>
      <c r="AD2330" t="s">
        <v>2680</v>
      </c>
      <c r="AE2330" s="2">
        <f t="shared" si="367"/>
        <v>1</v>
      </c>
      <c r="AF2330" t="s">
        <v>3182</v>
      </c>
      <c r="AG2330" s="2">
        <f t="shared" si="368"/>
        <v>9</v>
      </c>
      <c r="AH2330" s="2">
        <f t="shared" si="369"/>
        <v>0</v>
      </c>
      <c r="AI2330" s="3">
        <v>2099.9999999930151</v>
      </c>
      <c r="AJ2330" s="2">
        <v>1</v>
      </c>
      <c r="AK2330">
        <v>2</v>
      </c>
      <c r="AL2330">
        <v>0</v>
      </c>
      <c r="AM2330">
        <v>0</v>
      </c>
      <c r="AN2330" s="2">
        <f>IF((2*G2330+M2330-O2330+3*V2330+2*AB2330+2*AE2330+2*AH2330+3*AJ2330)&gt;=7,1,0)</f>
        <v>1</v>
      </c>
    </row>
    <row r="2331" spans="1:40" x14ac:dyDescent="0.25">
      <c r="A2331" t="s">
        <v>27</v>
      </c>
      <c r="B2331" s="1">
        <v>44084</v>
      </c>
      <c r="C2331" s="6">
        <f t="shared" si="360"/>
        <v>2020</v>
      </c>
      <c r="D2331">
        <v>82.4</v>
      </c>
      <c r="E2331">
        <v>75.2</v>
      </c>
      <c r="F2331">
        <v>78.2</v>
      </c>
      <c r="G2331" s="2">
        <f t="shared" si="361"/>
        <v>1</v>
      </c>
      <c r="H2331">
        <v>87.2</v>
      </c>
      <c r="I2331">
        <v>75.2</v>
      </c>
      <c r="J2331">
        <v>79.8</v>
      </c>
      <c r="K2331">
        <v>69.400000000000006</v>
      </c>
      <c r="L2331">
        <v>74.400000000000006</v>
      </c>
      <c r="M2331" s="2">
        <f t="shared" si="362"/>
        <v>0</v>
      </c>
      <c r="N2331">
        <v>0</v>
      </c>
      <c r="O2331" s="2">
        <f t="shared" si="363"/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26.4</v>
      </c>
      <c r="V2331" s="2">
        <f t="shared" si="364"/>
        <v>1</v>
      </c>
      <c r="W2331">
        <v>19.7</v>
      </c>
      <c r="X2331" s="2">
        <f t="shared" si="365"/>
        <v>1</v>
      </c>
      <c r="Y2331">
        <v>302.7</v>
      </c>
      <c r="Z2331" s="2" t="str">
        <f>CHOOSE(MATCH(Y2331,{0;11;80;111;161;191;241;281;341},1),"North","NorthEast","East","SouthEast","South","SouthWest","West","NorthWest","North")</f>
        <v>NorthWest</v>
      </c>
      <c r="AA2331" s="4">
        <f>CHOOSE(MATCH(Z2331,{"South";"SouthEast";"SouthWest";"North";"NorthEast";"East";"West";"NorthWest"},0),1,2,3,4,5,6,7,8)</f>
        <v>8</v>
      </c>
      <c r="AB2331" s="2">
        <f t="shared" si="366"/>
        <v>1</v>
      </c>
      <c r="AC2331">
        <v>1010.2</v>
      </c>
      <c r="AD2331" t="s">
        <v>3183</v>
      </c>
      <c r="AE2331" s="2">
        <f t="shared" si="367"/>
        <v>1</v>
      </c>
      <c r="AF2331" t="s">
        <v>3184</v>
      </c>
      <c r="AG2331" s="2">
        <f t="shared" si="368"/>
        <v>9</v>
      </c>
      <c r="AH2331" s="2">
        <f t="shared" si="369"/>
        <v>0</v>
      </c>
      <c r="AI2331" s="3">
        <v>453.99999999208381</v>
      </c>
      <c r="AJ2331" s="2">
        <v>1</v>
      </c>
      <c r="AK2331">
        <v>0</v>
      </c>
      <c r="AL2331">
        <v>0.5</v>
      </c>
      <c r="AM2331">
        <v>0</v>
      </c>
      <c r="AN2331" s="2">
        <f>IF((2*G2331+M2331-O2331+3*V2331+2*AB2331+2*AE2331+2*AH2331+3*AJ2331)&gt;=7,1,0)</f>
        <v>1</v>
      </c>
    </row>
    <row r="2332" spans="1:40" x14ac:dyDescent="0.25">
      <c r="A2332" t="s">
        <v>27</v>
      </c>
      <c r="B2332" s="1">
        <v>44085</v>
      </c>
      <c r="C2332" s="6">
        <f t="shared" si="360"/>
        <v>2020</v>
      </c>
      <c r="D2332">
        <v>82.4</v>
      </c>
      <c r="E2332">
        <v>69.8</v>
      </c>
      <c r="F2332">
        <v>77.3</v>
      </c>
      <c r="G2332" s="2">
        <f t="shared" si="361"/>
        <v>1</v>
      </c>
      <c r="H2332">
        <v>86.2</v>
      </c>
      <c r="I2332">
        <v>69.8</v>
      </c>
      <c r="J2332">
        <v>78.2</v>
      </c>
      <c r="K2332">
        <v>66.400000000000006</v>
      </c>
      <c r="L2332">
        <v>69.5</v>
      </c>
      <c r="M2332" s="2">
        <f t="shared" si="362"/>
        <v>0</v>
      </c>
      <c r="N2332">
        <v>0</v>
      </c>
      <c r="O2332" s="2">
        <f t="shared" si="363"/>
        <v>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25.3</v>
      </c>
      <c r="V2332" s="2">
        <f t="shared" si="364"/>
        <v>1</v>
      </c>
      <c r="W2332">
        <v>18.3</v>
      </c>
      <c r="X2332" s="2">
        <f t="shared" si="365"/>
        <v>1</v>
      </c>
      <c r="Y2332">
        <v>308.89999999999998</v>
      </c>
      <c r="Z2332" s="2" t="str">
        <f>CHOOSE(MATCH(Y2332,{0;11;80;111;161;191;241;281;341},1),"North","NorthEast","East","SouthEast","South","SouthWest","West","NorthWest","North")</f>
        <v>NorthWest</v>
      </c>
      <c r="AA2332" s="4">
        <f>CHOOSE(MATCH(Z2332,{"South";"SouthEast";"SouthWest";"North";"NorthEast";"East";"West";"NorthWest"},0),1,2,3,4,5,6,7,8)</f>
        <v>8</v>
      </c>
      <c r="AB2332" s="2">
        <f t="shared" si="366"/>
        <v>1</v>
      </c>
      <c r="AC2332">
        <v>1008.8</v>
      </c>
      <c r="AD2332" t="s">
        <v>1207</v>
      </c>
      <c r="AE2332" s="2">
        <f t="shared" si="367"/>
        <v>1</v>
      </c>
      <c r="AF2332" t="s">
        <v>3185</v>
      </c>
      <c r="AG2332" s="2">
        <f t="shared" si="368"/>
        <v>9</v>
      </c>
      <c r="AH2332" s="2">
        <f t="shared" si="369"/>
        <v>0</v>
      </c>
      <c r="AI2332" s="3">
        <v>1829.9999999930151</v>
      </c>
      <c r="AJ2332" s="2">
        <v>1</v>
      </c>
      <c r="AK2332">
        <v>0</v>
      </c>
      <c r="AL2332">
        <v>11</v>
      </c>
      <c r="AM2332">
        <v>0</v>
      </c>
      <c r="AN2332" s="2">
        <f>IF((2*G2332+M2332-O2332+3*V2332+2*AB2332+2*AE2332+2*AH2332+3*AJ2332)&gt;=7,1,0)</f>
        <v>1</v>
      </c>
    </row>
    <row r="2333" spans="1:40" x14ac:dyDescent="0.25">
      <c r="A2333" t="s">
        <v>27</v>
      </c>
      <c r="B2333" s="1">
        <v>44087</v>
      </c>
      <c r="C2333" s="6">
        <f t="shared" si="360"/>
        <v>2020</v>
      </c>
      <c r="D2333">
        <v>82.4</v>
      </c>
      <c r="E2333">
        <v>68.8</v>
      </c>
      <c r="F2333">
        <v>77</v>
      </c>
      <c r="G2333" s="2">
        <f t="shared" si="361"/>
        <v>1</v>
      </c>
      <c r="H2333">
        <v>87.2</v>
      </c>
      <c r="I2333">
        <v>68.8</v>
      </c>
      <c r="J2333">
        <v>78.400000000000006</v>
      </c>
      <c r="K2333">
        <v>70</v>
      </c>
      <c r="L2333">
        <v>79.400000000000006</v>
      </c>
      <c r="M2333" s="2">
        <f t="shared" si="362"/>
        <v>0</v>
      </c>
      <c r="N2333">
        <v>1.2E-2</v>
      </c>
      <c r="O2333" s="2">
        <f t="shared" si="363"/>
        <v>0</v>
      </c>
      <c r="P2333">
        <v>100</v>
      </c>
      <c r="Q2333">
        <v>4.17</v>
      </c>
      <c r="R2333" t="s">
        <v>182</v>
      </c>
      <c r="S2333">
        <v>0</v>
      </c>
      <c r="T2333">
        <v>0</v>
      </c>
      <c r="U2333">
        <v>26.2</v>
      </c>
      <c r="V2333" s="2">
        <f t="shared" si="364"/>
        <v>1</v>
      </c>
      <c r="W2333">
        <v>15</v>
      </c>
      <c r="X2333" s="2">
        <f t="shared" si="365"/>
        <v>0</v>
      </c>
      <c r="Y2333">
        <v>303.8</v>
      </c>
      <c r="Z2333" s="2" t="str">
        <f>CHOOSE(MATCH(Y2333,{0;11;80;111;161;191;241;281;341},1),"North","NorthEast","East","SouthEast","South","SouthWest","West","NorthWest","North")</f>
        <v>NorthWest</v>
      </c>
      <c r="AA2333" s="4">
        <f>CHOOSE(MATCH(Z2333,{"South";"SouthEast";"SouthWest";"North";"NorthEast";"East";"West";"NorthWest"},0),1,2,3,4,5,6,7,8)</f>
        <v>8</v>
      </c>
      <c r="AB2333" s="2">
        <f t="shared" si="366"/>
        <v>1</v>
      </c>
      <c r="AC2333">
        <v>1015.1</v>
      </c>
      <c r="AD2333" t="s">
        <v>3014</v>
      </c>
      <c r="AE2333" s="2">
        <f t="shared" si="367"/>
        <v>1</v>
      </c>
      <c r="AF2333" t="s">
        <v>3186</v>
      </c>
      <c r="AG2333" s="2">
        <f t="shared" si="368"/>
        <v>9</v>
      </c>
      <c r="AH2333" s="2">
        <f t="shared" si="369"/>
        <v>0</v>
      </c>
      <c r="AI2333" s="3">
        <v>185.99999999860299</v>
      </c>
      <c r="AJ2333" s="2">
        <v>0</v>
      </c>
      <c r="AK2333">
        <v>0.05</v>
      </c>
      <c r="AL2333">
        <v>0</v>
      </c>
      <c r="AM2333">
        <v>0</v>
      </c>
      <c r="AN2333" s="2">
        <f>IF((2*G2333+M2333-O2333+3*V2333+2*AB2333+2*AE2333+2*AH2333+3*AJ2333)&gt;=7,1,0)</f>
        <v>1</v>
      </c>
    </row>
    <row r="2334" spans="1:40" x14ac:dyDescent="0.25">
      <c r="A2334" t="s">
        <v>27</v>
      </c>
      <c r="B2334" s="1">
        <v>44088</v>
      </c>
      <c r="C2334" s="6">
        <f t="shared" si="360"/>
        <v>2020</v>
      </c>
      <c r="D2334">
        <v>80.599999999999994</v>
      </c>
      <c r="E2334">
        <v>75.2</v>
      </c>
      <c r="F2334">
        <v>78.099999999999994</v>
      </c>
      <c r="G2334" s="2">
        <f t="shared" si="361"/>
        <v>1</v>
      </c>
      <c r="H2334">
        <v>83.3</v>
      </c>
      <c r="I2334">
        <v>75.2</v>
      </c>
      <c r="J2334">
        <v>78.7</v>
      </c>
      <c r="K2334">
        <v>68.099999999999994</v>
      </c>
      <c r="L2334">
        <v>72</v>
      </c>
      <c r="M2334" s="2">
        <f t="shared" si="362"/>
        <v>0</v>
      </c>
      <c r="N2334">
        <v>0</v>
      </c>
      <c r="O2334" s="2">
        <f t="shared" si="363"/>
        <v>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28.4</v>
      </c>
      <c r="V2334" s="2">
        <f t="shared" si="364"/>
        <v>1</v>
      </c>
      <c r="W2334">
        <v>20.8</v>
      </c>
      <c r="X2334" s="2">
        <f t="shared" si="365"/>
        <v>1</v>
      </c>
      <c r="Y2334">
        <v>306.89999999999998</v>
      </c>
      <c r="Z2334" s="2" t="str">
        <f>CHOOSE(MATCH(Y2334,{0;11;80;111;161;191;241;281;341},1),"North","NorthEast","East","SouthEast","South","SouthWest","West","NorthWest","North")</f>
        <v>NorthWest</v>
      </c>
      <c r="AA2334" s="4">
        <f>CHOOSE(MATCH(Z2334,{"South";"SouthEast";"SouthWest";"North";"NorthEast";"East";"West";"NorthWest"},0),1,2,3,4,5,6,7,8)</f>
        <v>8</v>
      </c>
      <c r="AB2334" s="2">
        <f t="shared" si="366"/>
        <v>1</v>
      </c>
      <c r="AC2334">
        <v>1016.6</v>
      </c>
      <c r="AD2334" t="s">
        <v>2928</v>
      </c>
      <c r="AE2334" s="2">
        <f t="shared" si="367"/>
        <v>0</v>
      </c>
      <c r="AF2334" t="s">
        <v>3187</v>
      </c>
      <c r="AG2334" s="2">
        <f t="shared" si="368"/>
        <v>9</v>
      </c>
      <c r="AH2334" s="2">
        <f t="shared" si="369"/>
        <v>0</v>
      </c>
      <c r="AI2334" s="3">
        <v>116.00000000093129</v>
      </c>
      <c r="AJ2334" s="2">
        <v>0</v>
      </c>
      <c r="AK2334">
        <v>0</v>
      </c>
      <c r="AL2334">
        <v>0.2</v>
      </c>
      <c r="AM2334">
        <v>0</v>
      </c>
      <c r="AN2334" s="2">
        <f>IF((2*G2334+M2334-O2334+3*V2334+2*AB2334+2*AE2334+2*AH2334+3*AJ2334)&gt;=7,1,0)</f>
        <v>0</v>
      </c>
    </row>
    <row r="2335" spans="1:40" x14ac:dyDescent="0.25">
      <c r="A2335" t="s">
        <v>27</v>
      </c>
      <c r="B2335" s="1">
        <v>44091</v>
      </c>
      <c r="C2335" s="6">
        <f t="shared" si="360"/>
        <v>2020</v>
      </c>
      <c r="D2335">
        <v>82.4</v>
      </c>
      <c r="E2335">
        <v>68</v>
      </c>
      <c r="F2335">
        <v>75.8</v>
      </c>
      <c r="G2335" s="2">
        <f t="shared" si="361"/>
        <v>1</v>
      </c>
      <c r="H2335">
        <v>88.3</v>
      </c>
      <c r="I2335">
        <v>68</v>
      </c>
      <c r="J2335">
        <v>77.400000000000006</v>
      </c>
      <c r="K2335">
        <v>69.900000000000006</v>
      </c>
      <c r="L2335">
        <v>82.2</v>
      </c>
      <c r="M2335" s="2">
        <f t="shared" si="362"/>
        <v>0</v>
      </c>
      <c r="N2335">
        <v>0</v>
      </c>
      <c r="O2335" s="2">
        <f t="shared" si="363"/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28.9</v>
      </c>
      <c r="V2335" s="2">
        <f t="shared" si="364"/>
        <v>1</v>
      </c>
      <c r="W2335">
        <v>10.3</v>
      </c>
      <c r="X2335" s="2">
        <f t="shared" si="365"/>
        <v>0</v>
      </c>
      <c r="Y2335">
        <v>116.4</v>
      </c>
      <c r="Z2335" s="2" t="str">
        <f>CHOOSE(MATCH(Y2335,{0;11;80;111;161;191;241;281;341},1),"North","NorthEast","East","SouthEast","South","SouthWest","West","NorthWest","North")</f>
        <v>SouthEast</v>
      </c>
      <c r="AA2335" s="4">
        <f>CHOOSE(MATCH(Z2335,{"South";"SouthEast";"SouthWest";"North";"NorthEast";"East";"West";"NorthWest"},0),1,2,3,4,5,6,7,8)</f>
        <v>2</v>
      </c>
      <c r="AB2335" s="2">
        <f t="shared" si="366"/>
        <v>0</v>
      </c>
      <c r="AC2335">
        <v>1012.9</v>
      </c>
      <c r="AD2335" t="s">
        <v>3188</v>
      </c>
      <c r="AE2335" s="2">
        <f t="shared" si="367"/>
        <v>0</v>
      </c>
      <c r="AF2335" t="s">
        <v>3189</v>
      </c>
      <c r="AG2335" s="2">
        <f t="shared" si="368"/>
        <v>9</v>
      </c>
      <c r="AH2335" s="2">
        <f t="shared" si="369"/>
        <v>0</v>
      </c>
      <c r="AI2335" s="3">
        <v>1975.9999999974391</v>
      </c>
      <c r="AJ2335" s="2">
        <v>1</v>
      </c>
      <c r="AK2335">
        <v>0</v>
      </c>
      <c r="AL2335">
        <v>600</v>
      </c>
      <c r="AM2335">
        <v>0</v>
      </c>
      <c r="AN2335" s="2">
        <f>IF((2*G2335+M2335-O2335+3*V2335+2*AB2335+2*AE2335+2*AH2335+3*AJ2335)&gt;=7,1,0)</f>
        <v>1</v>
      </c>
    </row>
    <row r="2336" spans="1:40" x14ac:dyDescent="0.25">
      <c r="A2336" t="s">
        <v>27</v>
      </c>
      <c r="B2336" s="1">
        <v>44091</v>
      </c>
      <c r="C2336" s="6">
        <f t="shared" si="360"/>
        <v>2020</v>
      </c>
      <c r="D2336">
        <v>82.4</v>
      </c>
      <c r="E2336">
        <v>68</v>
      </c>
      <c r="F2336">
        <v>75.8</v>
      </c>
      <c r="G2336" s="2">
        <f t="shared" si="361"/>
        <v>1</v>
      </c>
      <c r="H2336">
        <v>88.3</v>
      </c>
      <c r="I2336">
        <v>68</v>
      </c>
      <c r="J2336">
        <v>77.400000000000006</v>
      </c>
      <c r="K2336">
        <v>69.900000000000006</v>
      </c>
      <c r="L2336">
        <v>82.2</v>
      </c>
      <c r="M2336" s="2">
        <f t="shared" si="362"/>
        <v>0</v>
      </c>
      <c r="N2336">
        <v>0</v>
      </c>
      <c r="O2336" s="2">
        <f t="shared" si="363"/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28.9</v>
      </c>
      <c r="V2336" s="2">
        <f t="shared" si="364"/>
        <v>1</v>
      </c>
      <c r="W2336">
        <v>10.3</v>
      </c>
      <c r="X2336" s="2">
        <f t="shared" si="365"/>
        <v>0</v>
      </c>
      <c r="Y2336">
        <v>116.4</v>
      </c>
      <c r="Z2336" s="2" t="str">
        <f>CHOOSE(MATCH(Y2336,{0;11;80;111;161;191;241;281;341},1),"North","NorthEast","East","SouthEast","South","SouthWest","West","NorthWest","North")</f>
        <v>SouthEast</v>
      </c>
      <c r="AA2336" s="4">
        <f>CHOOSE(MATCH(Z2336,{"South";"SouthEast";"SouthWest";"North";"NorthEast";"East";"West";"NorthWest"},0),1,2,3,4,5,6,7,8)</f>
        <v>2</v>
      </c>
      <c r="AB2336" s="2">
        <f t="shared" si="366"/>
        <v>0</v>
      </c>
      <c r="AC2336">
        <v>1012.9</v>
      </c>
      <c r="AD2336" t="s">
        <v>3190</v>
      </c>
      <c r="AE2336" s="2">
        <f t="shared" si="367"/>
        <v>0</v>
      </c>
      <c r="AF2336" t="s">
        <v>3191</v>
      </c>
      <c r="AG2336" s="2">
        <f t="shared" si="368"/>
        <v>9</v>
      </c>
      <c r="AH2336" s="2">
        <f t="shared" si="369"/>
        <v>0</v>
      </c>
      <c r="AI2336" s="3">
        <v>1876.9999999995341</v>
      </c>
      <c r="AJ2336" s="2">
        <v>1</v>
      </c>
      <c r="AK2336">
        <v>0</v>
      </c>
      <c r="AL2336">
        <v>800</v>
      </c>
      <c r="AM2336">
        <v>0</v>
      </c>
      <c r="AN2336" s="2">
        <f>IF((2*G2336+M2336-O2336+3*V2336+2*AB2336+2*AE2336+2*AH2336+3*AJ2336)&gt;=7,1,0)</f>
        <v>1</v>
      </c>
    </row>
    <row r="2337" spans="1:40" x14ac:dyDescent="0.25">
      <c r="A2337" t="s">
        <v>27</v>
      </c>
      <c r="B2337" s="1">
        <v>44091</v>
      </c>
      <c r="C2337" s="6">
        <f t="shared" si="360"/>
        <v>2020</v>
      </c>
      <c r="D2337">
        <v>82.4</v>
      </c>
      <c r="E2337">
        <v>68</v>
      </c>
      <c r="F2337">
        <v>75.8</v>
      </c>
      <c r="G2337" s="2">
        <f t="shared" si="361"/>
        <v>1</v>
      </c>
      <c r="H2337">
        <v>88.3</v>
      </c>
      <c r="I2337">
        <v>68</v>
      </c>
      <c r="J2337">
        <v>77.400000000000006</v>
      </c>
      <c r="K2337">
        <v>69.900000000000006</v>
      </c>
      <c r="L2337">
        <v>82.2</v>
      </c>
      <c r="M2337" s="2">
        <f t="shared" si="362"/>
        <v>0</v>
      </c>
      <c r="N2337">
        <v>0</v>
      </c>
      <c r="O2337" s="2">
        <f t="shared" si="363"/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28.9</v>
      </c>
      <c r="V2337" s="2">
        <f t="shared" si="364"/>
        <v>1</v>
      </c>
      <c r="W2337">
        <v>10.3</v>
      </c>
      <c r="X2337" s="2">
        <f t="shared" si="365"/>
        <v>0</v>
      </c>
      <c r="Y2337">
        <v>116.4</v>
      </c>
      <c r="Z2337" s="2" t="str">
        <f>CHOOSE(MATCH(Y2337,{0;11;80;111;161;191;241;281;341},1),"North","NorthEast","East","SouthEast","South","SouthWest","West","NorthWest","North")</f>
        <v>SouthEast</v>
      </c>
      <c r="AA2337" s="4">
        <f>CHOOSE(MATCH(Z2337,{"South";"SouthEast";"SouthWest";"North";"NorthEast";"East";"West";"NorthWest"},0),1,2,3,4,5,6,7,8)</f>
        <v>2</v>
      </c>
      <c r="AB2337" s="2">
        <f t="shared" si="366"/>
        <v>0</v>
      </c>
      <c r="AC2337">
        <v>1012.9</v>
      </c>
      <c r="AD2337" t="s">
        <v>3192</v>
      </c>
      <c r="AE2337" s="2">
        <f t="shared" si="367"/>
        <v>1</v>
      </c>
      <c r="AF2337" t="s">
        <v>3193</v>
      </c>
      <c r="AG2337" s="2">
        <f t="shared" si="368"/>
        <v>9</v>
      </c>
      <c r="AH2337" s="2">
        <f t="shared" si="369"/>
        <v>0</v>
      </c>
      <c r="AI2337" s="3">
        <v>62.999999995809048</v>
      </c>
      <c r="AJ2337" s="2">
        <v>0</v>
      </c>
      <c r="AK2337">
        <v>0</v>
      </c>
      <c r="AL2337">
        <v>0.02</v>
      </c>
      <c r="AM2337">
        <v>0</v>
      </c>
      <c r="AN2337" s="2">
        <f>IF((2*G2337+M2337-O2337+3*V2337+2*AB2337+2*AE2337+2*AH2337+3*AJ2337)&gt;=7,1,0)</f>
        <v>0</v>
      </c>
    </row>
    <row r="2338" spans="1:40" x14ac:dyDescent="0.25">
      <c r="A2338" t="s">
        <v>27</v>
      </c>
      <c r="B2338" s="1">
        <v>44092</v>
      </c>
      <c r="C2338" s="6">
        <f t="shared" si="360"/>
        <v>2020</v>
      </c>
      <c r="D2338">
        <v>87.8</v>
      </c>
      <c r="E2338">
        <v>69.8</v>
      </c>
      <c r="F2338">
        <v>78.2</v>
      </c>
      <c r="G2338" s="2">
        <f t="shared" si="361"/>
        <v>1</v>
      </c>
      <c r="H2338">
        <v>93.4</v>
      </c>
      <c r="I2338">
        <v>69.8</v>
      </c>
      <c r="J2338">
        <v>80.099999999999994</v>
      </c>
      <c r="K2338">
        <v>68.3</v>
      </c>
      <c r="L2338">
        <v>72.900000000000006</v>
      </c>
      <c r="M2338" s="2">
        <f t="shared" si="362"/>
        <v>0</v>
      </c>
      <c r="N2338">
        <v>0</v>
      </c>
      <c r="O2338" s="2">
        <f t="shared" si="363"/>
        <v>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27.7</v>
      </c>
      <c r="V2338" s="2">
        <f t="shared" si="364"/>
        <v>1</v>
      </c>
      <c r="W2338">
        <v>11.4</v>
      </c>
      <c r="X2338" s="2">
        <f t="shared" si="365"/>
        <v>0</v>
      </c>
      <c r="Y2338">
        <v>146.69999999999999</v>
      </c>
      <c r="Z2338" s="2" t="str">
        <f>CHOOSE(MATCH(Y2338,{0;11;80;111;161;191;241;281;341},1),"North","NorthEast","East","SouthEast","South","SouthWest","West","NorthWest","North")</f>
        <v>SouthEast</v>
      </c>
      <c r="AA2338" s="4">
        <f>CHOOSE(MATCH(Z2338,{"South";"SouthEast";"SouthWest";"North";"NorthEast";"East";"West";"NorthWest"},0),1,2,3,4,5,6,7,8)</f>
        <v>2</v>
      </c>
      <c r="AB2338" s="2">
        <f t="shared" si="366"/>
        <v>0</v>
      </c>
      <c r="AC2338">
        <v>1013.6</v>
      </c>
      <c r="AD2338" t="s">
        <v>1916</v>
      </c>
      <c r="AE2338" s="2">
        <f t="shared" si="367"/>
        <v>1</v>
      </c>
      <c r="AF2338" t="s">
        <v>3194</v>
      </c>
      <c r="AG2338" s="2">
        <f t="shared" si="368"/>
        <v>9</v>
      </c>
      <c r="AH2338" s="2">
        <f t="shared" si="369"/>
        <v>0</v>
      </c>
      <c r="AI2338" s="3">
        <v>1658.000000008615</v>
      </c>
      <c r="AJ2338" s="2">
        <v>1</v>
      </c>
      <c r="AK2338">
        <v>0</v>
      </c>
      <c r="AL2338">
        <v>1</v>
      </c>
      <c r="AM2338">
        <v>0</v>
      </c>
      <c r="AN2338" s="2">
        <f>IF((2*G2338+M2338-O2338+3*V2338+2*AB2338+2*AE2338+2*AH2338+3*AJ2338)&gt;=7,1,0)</f>
        <v>1</v>
      </c>
    </row>
    <row r="2339" spans="1:40" x14ac:dyDescent="0.25">
      <c r="A2339" t="s">
        <v>27</v>
      </c>
      <c r="B2339" s="1">
        <v>44100</v>
      </c>
      <c r="C2339" s="6">
        <f t="shared" si="360"/>
        <v>2020</v>
      </c>
      <c r="D2339">
        <v>93.2</v>
      </c>
      <c r="E2339">
        <v>71.599999999999994</v>
      </c>
      <c r="F2339">
        <v>81.099999999999994</v>
      </c>
      <c r="G2339" s="2">
        <f t="shared" si="361"/>
        <v>1</v>
      </c>
      <c r="H2339">
        <v>92.6</v>
      </c>
      <c r="I2339">
        <v>71.599999999999994</v>
      </c>
      <c r="J2339">
        <v>81.3</v>
      </c>
      <c r="K2339">
        <v>61.8</v>
      </c>
      <c r="L2339">
        <v>54.7</v>
      </c>
      <c r="M2339" s="2">
        <f t="shared" si="362"/>
        <v>1</v>
      </c>
      <c r="N2339">
        <v>0</v>
      </c>
      <c r="O2339" s="2">
        <f t="shared" si="363"/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50.8</v>
      </c>
      <c r="V2339" s="2">
        <f t="shared" si="364"/>
        <v>1</v>
      </c>
      <c r="W2339">
        <v>36.9</v>
      </c>
      <c r="X2339" s="2">
        <f t="shared" si="365"/>
        <v>1</v>
      </c>
      <c r="Y2339">
        <v>177.1</v>
      </c>
      <c r="Z2339" s="2" t="str">
        <f>CHOOSE(MATCH(Y2339,{0;11;80;111;161;191;241;281;341},1),"North","NorthEast","East","SouthEast","South","SouthWest","West","NorthWest","North")</f>
        <v>South</v>
      </c>
      <c r="AA2339" s="4">
        <f>CHOOSE(MATCH(Z2339,{"South";"SouthEast";"SouthWest";"North";"NorthEast";"East";"West";"NorthWest"},0),1,2,3,4,5,6,7,8)</f>
        <v>1</v>
      </c>
      <c r="AB2339" s="2">
        <f t="shared" si="366"/>
        <v>0</v>
      </c>
      <c r="AC2339">
        <v>1007.2</v>
      </c>
      <c r="AD2339" t="s">
        <v>1107</v>
      </c>
      <c r="AE2339" s="2">
        <f t="shared" si="367"/>
        <v>1</v>
      </c>
      <c r="AF2339" t="s">
        <v>3195</v>
      </c>
      <c r="AG2339" s="2">
        <f t="shared" si="368"/>
        <v>9</v>
      </c>
      <c r="AH2339" s="2">
        <f t="shared" si="369"/>
        <v>0</v>
      </c>
      <c r="AI2339" s="3">
        <v>1753.9999999967399</v>
      </c>
      <c r="AJ2339" s="2">
        <v>1</v>
      </c>
      <c r="AK2339">
        <v>0</v>
      </c>
      <c r="AL2339">
        <v>0.5</v>
      </c>
      <c r="AM2339">
        <v>0</v>
      </c>
      <c r="AN2339" s="2">
        <f>IF((2*G2339+M2339-O2339+3*V2339+2*AB2339+2*AE2339+2*AH2339+3*AJ2339)&gt;=7,1,0)</f>
        <v>1</v>
      </c>
    </row>
    <row r="2340" spans="1:40" x14ac:dyDescent="0.25">
      <c r="A2340" t="s">
        <v>27</v>
      </c>
      <c r="B2340" s="1">
        <v>44100</v>
      </c>
      <c r="C2340" s="6">
        <f t="shared" si="360"/>
        <v>2020</v>
      </c>
      <c r="D2340">
        <v>93.2</v>
      </c>
      <c r="E2340">
        <v>71.599999999999994</v>
      </c>
      <c r="F2340">
        <v>81.099999999999994</v>
      </c>
      <c r="G2340" s="2">
        <f t="shared" si="361"/>
        <v>1</v>
      </c>
      <c r="H2340">
        <v>92.6</v>
      </c>
      <c r="I2340">
        <v>71.599999999999994</v>
      </c>
      <c r="J2340">
        <v>81.3</v>
      </c>
      <c r="K2340">
        <v>61.8</v>
      </c>
      <c r="L2340">
        <v>54.7</v>
      </c>
      <c r="M2340" s="2">
        <f t="shared" si="362"/>
        <v>1</v>
      </c>
      <c r="N2340">
        <v>0</v>
      </c>
      <c r="O2340" s="2">
        <f t="shared" si="363"/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50.8</v>
      </c>
      <c r="V2340" s="2">
        <f t="shared" si="364"/>
        <v>1</v>
      </c>
      <c r="W2340">
        <v>36.9</v>
      </c>
      <c r="X2340" s="2">
        <f t="shared" si="365"/>
        <v>1</v>
      </c>
      <c r="Y2340">
        <v>177.1</v>
      </c>
      <c r="Z2340" s="2" t="str">
        <f>CHOOSE(MATCH(Y2340,{0;11;80;111;161;191;241;281;341},1),"North","NorthEast","East","SouthEast","South","SouthWest","West","NorthWest","North")</f>
        <v>South</v>
      </c>
      <c r="AA2340" s="4">
        <f>CHOOSE(MATCH(Z2340,{"South";"SouthEast";"SouthWest";"North";"NorthEast";"East";"West";"NorthWest"},0),1,2,3,4,5,6,7,8)</f>
        <v>1</v>
      </c>
      <c r="AB2340" s="2">
        <f t="shared" si="366"/>
        <v>0</v>
      </c>
      <c r="AC2340">
        <v>1007.2</v>
      </c>
      <c r="AD2340" t="s">
        <v>2748</v>
      </c>
      <c r="AE2340" s="2">
        <f t="shared" si="367"/>
        <v>1</v>
      </c>
      <c r="AF2340" t="s">
        <v>3196</v>
      </c>
      <c r="AG2340" s="2">
        <f t="shared" si="368"/>
        <v>9</v>
      </c>
      <c r="AH2340" s="2">
        <f t="shared" si="369"/>
        <v>0</v>
      </c>
      <c r="AI2340" s="3">
        <v>37.000000005355098</v>
      </c>
      <c r="AJ2340" s="2">
        <v>0</v>
      </c>
      <c r="AK2340">
        <v>0</v>
      </c>
      <c r="AL2340">
        <v>0.1</v>
      </c>
      <c r="AM2340">
        <v>0</v>
      </c>
      <c r="AN2340" s="2">
        <f>IF((2*G2340+M2340-O2340+3*V2340+2*AB2340+2*AE2340+2*AH2340+3*AJ2340)&gt;=7,1,0)</f>
        <v>1</v>
      </c>
    </row>
    <row r="2341" spans="1:40" x14ac:dyDescent="0.25">
      <c r="A2341" t="s">
        <v>27</v>
      </c>
      <c r="B2341" s="1">
        <v>44100</v>
      </c>
      <c r="C2341" s="6">
        <f t="shared" si="360"/>
        <v>2020</v>
      </c>
      <c r="D2341">
        <v>93.2</v>
      </c>
      <c r="E2341">
        <v>71.599999999999994</v>
      </c>
      <c r="F2341">
        <v>81.099999999999994</v>
      </c>
      <c r="G2341" s="2">
        <f t="shared" si="361"/>
        <v>1</v>
      </c>
      <c r="H2341">
        <v>92.6</v>
      </c>
      <c r="I2341">
        <v>71.599999999999994</v>
      </c>
      <c r="J2341">
        <v>81.3</v>
      </c>
      <c r="K2341">
        <v>61.8</v>
      </c>
      <c r="L2341">
        <v>54.7</v>
      </c>
      <c r="M2341" s="2">
        <f t="shared" si="362"/>
        <v>1</v>
      </c>
      <c r="N2341">
        <v>0</v>
      </c>
      <c r="O2341" s="2">
        <f t="shared" si="363"/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50.8</v>
      </c>
      <c r="V2341" s="2">
        <f t="shared" si="364"/>
        <v>1</v>
      </c>
      <c r="W2341">
        <v>36.9</v>
      </c>
      <c r="X2341" s="2">
        <f t="shared" si="365"/>
        <v>1</v>
      </c>
      <c r="Y2341">
        <v>177.1</v>
      </c>
      <c r="Z2341" s="2" t="str">
        <f>CHOOSE(MATCH(Y2341,{0;11;80;111;161;191;241;281;341},1),"North","NorthEast","East","SouthEast","South","SouthWest","West","NorthWest","North")</f>
        <v>South</v>
      </c>
      <c r="AA2341" s="4">
        <f>CHOOSE(MATCH(Z2341,{"South";"SouthEast";"SouthWest";"North";"NorthEast";"East";"West";"NorthWest"},0),1,2,3,4,5,6,7,8)</f>
        <v>1</v>
      </c>
      <c r="AB2341" s="2">
        <f t="shared" si="366"/>
        <v>0</v>
      </c>
      <c r="AC2341">
        <v>1007.2</v>
      </c>
      <c r="AD2341" t="s">
        <v>3197</v>
      </c>
      <c r="AE2341" s="2">
        <f t="shared" si="367"/>
        <v>1</v>
      </c>
      <c r="AF2341" t="s">
        <v>3198</v>
      </c>
      <c r="AG2341" s="2">
        <f t="shared" si="368"/>
        <v>9</v>
      </c>
      <c r="AH2341" s="2">
        <f t="shared" si="369"/>
        <v>0</v>
      </c>
      <c r="AI2341" s="3">
        <v>1350.999999992782</v>
      </c>
      <c r="AJ2341" s="2">
        <v>1</v>
      </c>
      <c r="AK2341">
        <v>0</v>
      </c>
      <c r="AL2341">
        <v>1</v>
      </c>
      <c r="AM2341">
        <v>0</v>
      </c>
      <c r="AN2341" s="2">
        <f>IF((2*G2341+M2341-O2341+3*V2341+2*AB2341+2*AE2341+2*AH2341+3*AJ2341)&gt;=7,1,0)</f>
        <v>1</v>
      </c>
    </row>
    <row r="2342" spans="1:40" x14ac:dyDescent="0.25">
      <c r="A2342" t="s">
        <v>27</v>
      </c>
      <c r="B2342" s="1">
        <v>44100</v>
      </c>
      <c r="C2342" s="6">
        <f t="shared" si="360"/>
        <v>2020</v>
      </c>
      <c r="D2342">
        <v>93.2</v>
      </c>
      <c r="E2342">
        <v>71.599999999999994</v>
      </c>
      <c r="F2342">
        <v>81.099999999999994</v>
      </c>
      <c r="G2342" s="2">
        <f t="shared" si="361"/>
        <v>1</v>
      </c>
      <c r="H2342">
        <v>92.6</v>
      </c>
      <c r="I2342">
        <v>71.599999999999994</v>
      </c>
      <c r="J2342">
        <v>81.3</v>
      </c>
      <c r="K2342">
        <v>61.8</v>
      </c>
      <c r="L2342">
        <v>54.7</v>
      </c>
      <c r="M2342" s="2">
        <f t="shared" si="362"/>
        <v>1</v>
      </c>
      <c r="N2342">
        <v>0</v>
      </c>
      <c r="O2342" s="2">
        <f t="shared" si="363"/>
        <v>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50.8</v>
      </c>
      <c r="V2342" s="2">
        <f t="shared" si="364"/>
        <v>1</v>
      </c>
      <c r="W2342">
        <v>36.9</v>
      </c>
      <c r="X2342" s="2">
        <f t="shared" si="365"/>
        <v>1</v>
      </c>
      <c r="Y2342">
        <v>177.1</v>
      </c>
      <c r="Z2342" s="2" t="str">
        <f>CHOOSE(MATCH(Y2342,{0;11;80;111;161;191;241;281;341},1),"North","NorthEast","East","SouthEast","South","SouthWest","West","NorthWest","North")</f>
        <v>South</v>
      </c>
      <c r="AA2342" s="4">
        <f>CHOOSE(MATCH(Z2342,{"South";"SouthEast";"SouthWest";"North";"NorthEast";"East";"West";"NorthWest"},0),1,2,3,4,5,6,7,8)</f>
        <v>1</v>
      </c>
      <c r="AB2342" s="2">
        <f t="shared" si="366"/>
        <v>0</v>
      </c>
      <c r="AC2342">
        <v>1007.2</v>
      </c>
      <c r="AD2342" t="s">
        <v>2571</v>
      </c>
      <c r="AE2342" s="2">
        <f t="shared" si="367"/>
        <v>1</v>
      </c>
      <c r="AF2342" t="s">
        <v>3199</v>
      </c>
      <c r="AG2342" s="2">
        <f t="shared" si="368"/>
        <v>9</v>
      </c>
      <c r="AH2342" s="2">
        <f t="shared" si="369"/>
        <v>0</v>
      </c>
      <c r="AI2342" s="3">
        <v>3317.999999992317</v>
      </c>
      <c r="AJ2342" s="2">
        <v>1</v>
      </c>
      <c r="AK2342">
        <v>70</v>
      </c>
      <c r="AL2342">
        <v>30</v>
      </c>
      <c r="AM2342">
        <v>0</v>
      </c>
      <c r="AN2342" s="2">
        <f>IF((2*G2342+M2342-O2342+3*V2342+2*AB2342+2*AE2342+2*AH2342+3*AJ2342)&gt;=7,1,0)</f>
        <v>1</v>
      </c>
    </row>
    <row r="2343" spans="1:40" x14ac:dyDescent="0.25">
      <c r="A2343" t="s">
        <v>27</v>
      </c>
      <c r="B2343" s="1">
        <v>44103</v>
      </c>
      <c r="C2343" s="6">
        <f t="shared" si="360"/>
        <v>2020</v>
      </c>
      <c r="D2343">
        <v>82.4</v>
      </c>
      <c r="E2343">
        <v>75.2</v>
      </c>
      <c r="F2343">
        <v>78.400000000000006</v>
      </c>
      <c r="G2343" s="2">
        <f t="shared" si="361"/>
        <v>1</v>
      </c>
      <c r="H2343">
        <v>87.2</v>
      </c>
      <c r="I2343">
        <v>75.2</v>
      </c>
      <c r="J2343">
        <v>79.599999999999994</v>
      </c>
      <c r="K2343">
        <v>67.2</v>
      </c>
      <c r="L2343">
        <v>68.900000000000006</v>
      </c>
      <c r="M2343" s="2">
        <f t="shared" si="362"/>
        <v>0</v>
      </c>
      <c r="N2343">
        <v>0</v>
      </c>
      <c r="O2343" s="2">
        <f t="shared" si="363"/>
        <v>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23</v>
      </c>
      <c r="V2343" s="2">
        <f t="shared" si="364"/>
        <v>1</v>
      </c>
      <c r="W2343">
        <v>19.600000000000001</v>
      </c>
      <c r="X2343" s="2">
        <f t="shared" si="365"/>
        <v>1</v>
      </c>
      <c r="Y2343">
        <v>307.3</v>
      </c>
      <c r="Z2343" s="2" t="str">
        <f>CHOOSE(MATCH(Y2343,{0;11;80;111;161;191;241;281;341},1),"North","NorthEast","East","SouthEast","South","SouthWest","West","NorthWest","North")</f>
        <v>NorthWest</v>
      </c>
      <c r="AA2343" s="4">
        <f>CHOOSE(MATCH(Z2343,{"South";"SouthEast";"SouthWest";"North";"NorthEast";"East";"West";"NorthWest"},0),1,2,3,4,5,6,7,8)</f>
        <v>8</v>
      </c>
      <c r="AB2343" s="2">
        <f t="shared" si="366"/>
        <v>1</v>
      </c>
      <c r="AC2343">
        <v>1014.4</v>
      </c>
      <c r="AD2343" t="s">
        <v>2400</v>
      </c>
      <c r="AE2343" s="2">
        <f t="shared" si="367"/>
        <v>1</v>
      </c>
      <c r="AF2343" t="s">
        <v>3200</v>
      </c>
      <c r="AG2343" s="2">
        <f t="shared" si="368"/>
        <v>9</v>
      </c>
      <c r="AH2343" s="2">
        <f t="shared" si="369"/>
        <v>0</v>
      </c>
      <c r="AI2343" s="3">
        <v>43.999999996740371</v>
      </c>
      <c r="AJ2343" s="2">
        <v>0</v>
      </c>
      <c r="AK2343">
        <v>0</v>
      </c>
      <c r="AL2343">
        <v>0.3</v>
      </c>
      <c r="AM2343">
        <v>0</v>
      </c>
      <c r="AN2343" s="2">
        <f>IF((2*G2343+M2343-O2343+3*V2343+2*AB2343+2*AE2343+2*AH2343+3*AJ2343)&gt;=7,1,0)</f>
        <v>1</v>
      </c>
    </row>
    <row r="2344" spans="1:40" x14ac:dyDescent="0.25">
      <c r="A2344" t="s">
        <v>27</v>
      </c>
      <c r="B2344" s="1">
        <v>44112</v>
      </c>
      <c r="C2344" s="6">
        <f t="shared" si="360"/>
        <v>2020</v>
      </c>
      <c r="D2344">
        <v>87.8</v>
      </c>
      <c r="E2344">
        <v>75.2</v>
      </c>
      <c r="F2344">
        <v>80.5</v>
      </c>
      <c r="G2344" s="2">
        <f t="shared" si="361"/>
        <v>1</v>
      </c>
      <c r="H2344">
        <v>86.2</v>
      </c>
      <c r="I2344">
        <v>75.2</v>
      </c>
      <c r="J2344">
        <v>81.099999999999994</v>
      </c>
      <c r="K2344">
        <v>62.6</v>
      </c>
      <c r="L2344">
        <v>57.7</v>
      </c>
      <c r="M2344" s="2">
        <f t="shared" si="362"/>
        <v>1</v>
      </c>
      <c r="N2344">
        <v>0</v>
      </c>
      <c r="O2344" s="2">
        <f t="shared" si="363"/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23</v>
      </c>
      <c r="V2344" s="2">
        <f t="shared" si="364"/>
        <v>1</v>
      </c>
      <c r="W2344">
        <v>23</v>
      </c>
      <c r="X2344" s="2">
        <f t="shared" si="365"/>
        <v>1</v>
      </c>
      <c r="Y2344">
        <v>290.10000000000002</v>
      </c>
      <c r="Z2344" s="2" t="str">
        <f>CHOOSE(MATCH(Y2344,{0;11;80;111;161;191;241;281;341},1),"North","NorthEast","East","SouthEast","South","SouthWest","West","NorthWest","North")</f>
        <v>NorthWest</v>
      </c>
      <c r="AA2344" s="4">
        <f>CHOOSE(MATCH(Z2344,{"South";"SouthEast";"SouthWest";"North";"NorthEast";"East";"West";"NorthWest"},0),1,2,3,4,5,6,7,8)</f>
        <v>8</v>
      </c>
      <c r="AB2344" s="2">
        <f t="shared" si="366"/>
        <v>1</v>
      </c>
      <c r="AC2344">
        <v>1011.8</v>
      </c>
      <c r="AD2344" t="s">
        <v>1077</v>
      </c>
      <c r="AE2344" s="2">
        <f t="shared" si="367"/>
        <v>1</v>
      </c>
      <c r="AF2344" t="s">
        <v>3201</v>
      </c>
      <c r="AG2344" s="2">
        <f t="shared" si="368"/>
        <v>10</v>
      </c>
      <c r="AH2344" s="2">
        <f t="shared" si="369"/>
        <v>0</v>
      </c>
      <c r="AI2344" s="3">
        <v>100.0000000011642</v>
      </c>
      <c r="AJ2344" s="2">
        <v>0</v>
      </c>
      <c r="AK2344">
        <v>0</v>
      </c>
      <c r="AL2344">
        <v>0.1</v>
      </c>
      <c r="AM2344">
        <v>0</v>
      </c>
      <c r="AN2344" s="2">
        <f>IF((2*G2344+M2344-O2344+3*V2344+2*AB2344+2*AE2344+2*AH2344+3*AJ2344)&gt;=7,1,0)</f>
        <v>1</v>
      </c>
    </row>
    <row r="2345" spans="1:40" x14ac:dyDescent="0.25">
      <c r="A2345" t="s">
        <v>27</v>
      </c>
      <c r="B2345" s="1">
        <v>44116</v>
      </c>
      <c r="C2345" s="6">
        <f t="shared" si="360"/>
        <v>2020</v>
      </c>
      <c r="D2345">
        <v>78.8</v>
      </c>
      <c r="E2345">
        <v>64.400000000000006</v>
      </c>
      <c r="F2345">
        <v>72.5</v>
      </c>
      <c r="G2345" s="2">
        <f t="shared" si="361"/>
        <v>1</v>
      </c>
      <c r="H2345">
        <v>78.8</v>
      </c>
      <c r="I2345">
        <v>64.400000000000006</v>
      </c>
      <c r="J2345">
        <v>72.5</v>
      </c>
      <c r="K2345">
        <v>63.2</v>
      </c>
      <c r="L2345">
        <v>73.2</v>
      </c>
      <c r="M2345" s="2">
        <f t="shared" si="362"/>
        <v>0</v>
      </c>
      <c r="N2345">
        <v>0</v>
      </c>
      <c r="O2345" s="2">
        <f t="shared" si="363"/>
        <v>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18.3</v>
      </c>
      <c r="V2345" s="2">
        <f t="shared" si="364"/>
        <v>1</v>
      </c>
      <c r="W2345">
        <v>13.9</v>
      </c>
      <c r="X2345" s="2">
        <f t="shared" si="365"/>
        <v>0</v>
      </c>
      <c r="Y2345">
        <v>111.4</v>
      </c>
      <c r="Z2345" s="2" t="str">
        <f>CHOOSE(MATCH(Y2345,{0;11;80;111;161;191;241;281;341},1),"North","NorthEast","East","SouthEast","South","SouthWest","West","NorthWest","North")</f>
        <v>SouthEast</v>
      </c>
      <c r="AA2345" s="4">
        <f>CHOOSE(MATCH(Z2345,{"South";"SouthEast";"SouthWest";"North";"NorthEast";"East";"West";"NorthWest"},0),1,2,3,4,5,6,7,8)</f>
        <v>2</v>
      </c>
      <c r="AB2345" s="2">
        <f t="shared" si="366"/>
        <v>0</v>
      </c>
      <c r="AC2345">
        <v>1013.6</v>
      </c>
      <c r="AD2345" t="s">
        <v>2379</v>
      </c>
      <c r="AE2345" s="2">
        <f t="shared" si="367"/>
        <v>1</v>
      </c>
      <c r="AF2345" t="s">
        <v>3202</v>
      </c>
      <c r="AG2345" s="2">
        <f t="shared" si="368"/>
        <v>10</v>
      </c>
      <c r="AH2345" s="2">
        <f t="shared" si="369"/>
        <v>0</v>
      </c>
      <c r="AI2345" s="3">
        <v>172.99999999813741</v>
      </c>
      <c r="AJ2345" s="2">
        <v>0</v>
      </c>
      <c r="AK2345">
        <v>0</v>
      </c>
      <c r="AL2345">
        <v>0.5</v>
      </c>
      <c r="AM2345">
        <v>0</v>
      </c>
      <c r="AN2345" s="2">
        <f>IF((2*G2345+M2345-O2345+3*V2345+2*AB2345+2*AE2345+2*AH2345+3*AJ2345)&gt;=7,1,0)</f>
        <v>0</v>
      </c>
    </row>
    <row r="2346" spans="1:40" x14ac:dyDescent="0.25">
      <c r="A2346" t="s">
        <v>27</v>
      </c>
      <c r="B2346" s="1">
        <v>44128</v>
      </c>
      <c r="C2346" s="6">
        <f t="shared" si="360"/>
        <v>2020</v>
      </c>
      <c r="D2346">
        <v>75.2</v>
      </c>
      <c r="E2346">
        <v>62.6</v>
      </c>
      <c r="F2346">
        <v>68.599999999999994</v>
      </c>
      <c r="G2346" s="2">
        <f t="shared" si="361"/>
        <v>0</v>
      </c>
      <c r="H2346">
        <v>75.2</v>
      </c>
      <c r="I2346">
        <v>62.6</v>
      </c>
      <c r="J2346">
        <v>68.599999999999994</v>
      </c>
      <c r="K2346">
        <v>63.3</v>
      </c>
      <c r="L2346">
        <v>83.7</v>
      </c>
      <c r="M2346" s="2">
        <f t="shared" si="362"/>
        <v>0</v>
      </c>
      <c r="N2346">
        <v>3.5000000000000003E-2</v>
      </c>
      <c r="O2346" s="2">
        <f t="shared" si="363"/>
        <v>0</v>
      </c>
      <c r="P2346">
        <v>100</v>
      </c>
      <c r="Q2346">
        <v>4.17</v>
      </c>
      <c r="R2346" t="s">
        <v>182</v>
      </c>
      <c r="S2346">
        <v>0</v>
      </c>
      <c r="T2346">
        <v>0</v>
      </c>
      <c r="U2346">
        <v>18.3</v>
      </c>
      <c r="V2346" s="2">
        <f t="shared" si="364"/>
        <v>1</v>
      </c>
      <c r="W2346">
        <v>15</v>
      </c>
      <c r="X2346" s="2">
        <f t="shared" si="365"/>
        <v>0</v>
      </c>
      <c r="Y2346">
        <v>329.8</v>
      </c>
      <c r="Z2346" s="2" t="str">
        <f>CHOOSE(MATCH(Y2346,{0;11;80;111;161;191;241;281;341},1),"North","NorthEast","East","SouthEast","South","SouthWest","West","NorthWest","North")</f>
        <v>NorthWest</v>
      </c>
      <c r="AA2346" s="4">
        <f>CHOOSE(MATCH(Z2346,{"South";"SouthEast";"SouthWest";"North";"NorthEast";"East";"West";"NorthWest"},0),1,2,3,4,5,6,7,8)</f>
        <v>8</v>
      </c>
      <c r="AB2346" s="2">
        <f t="shared" si="366"/>
        <v>1</v>
      </c>
      <c r="AC2346">
        <v>1016.6</v>
      </c>
      <c r="AD2346" t="s">
        <v>3203</v>
      </c>
      <c r="AE2346" s="2">
        <f t="shared" si="367"/>
        <v>1</v>
      </c>
      <c r="AF2346" t="s">
        <v>3204</v>
      </c>
      <c r="AG2346" s="2">
        <f t="shared" si="368"/>
        <v>10</v>
      </c>
      <c r="AH2346" s="2">
        <f t="shared" si="369"/>
        <v>0</v>
      </c>
      <c r="AI2346" s="3">
        <v>309.99999999417918</v>
      </c>
      <c r="AJ2346" s="2">
        <v>0</v>
      </c>
      <c r="AK2346">
        <v>0</v>
      </c>
      <c r="AL2346">
        <v>0.5</v>
      </c>
      <c r="AM2346">
        <v>0</v>
      </c>
      <c r="AN2346" s="2">
        <f>IF((2*G2346+M2346-O2346+3*V2346+2*AB2346+2*AE2346+2*AH2346+3*AJ2346)&gt;=7,1,0)</f>
        <v>1</v>
      </c>
    </row>
    <row r="2347" spans="1:40" x14ac:dyDescent="0.25">
      <c r="A2347" t="s">
        <v>27</v>
      </c>
      <c r="B2347" s="1">
        <v>44131</v>
      </c>
      <c r="C2347" s="6">
        <f t="shared" si="360"/>
        <v>2020</v>
      </c>
      <c r="D2347">
        <v>73.400000000000006</v>
      </c>
      <c r="E2347">
        <v>59</v>
      </c>
      <c r="F2347">
        <v>66.099999999999994</v>
      </c>
      <c r="G2347" s="2">
        <f t="shared" si="361"/>
        <v>0</v>
      </c>
      <c r="H2347">
        <v>73.400000000000006</v>
      </c>
      <c r="I2347">
        <v>59</v>
      </c>
      <c r="J2347">
        <v>66.099999999999994</v>
      </c>
      <c r="K2347">
        <v>58.9</v>
      </c>
      <c r="L2347">
        <v>78.2</v>
      </c>
      <c r="M2347" s="2">
        <f t="shared" si="362"/>
        <v>0</v>
      </c>
      <c r="N2347">
        <v>0</v>
      </c>
      <c r="O2347" s="2">
        <f t="shared" si="363"/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14.5</v>
      </c>
      <c r="V2347" s="2">
        <f t="shared" si="364"/>
        <v>1</v>
      </c>
      <c r="W2347">
        <v>16</v>
      </c>
      <c r="X2347" s="2">
        <f t="shared" si="365"/>
        <v>1</v>
      </c>
      <c r="Y2347">
        <v>314.2</v>
      </c>
      <c r="Z2347" s="2" t="str">
        <f>CHOOSE(MATCH(Y2347,{0;11;80;111;161;191;241;281;341},1),"North","NorthEast","East","SouthEast","South","SouthWest","West","NorthWest","North")</f>
        <v>NorthWest</v>
      </c>
      <c r="AA2347" s="4">
        <f>CHOOSE(MATCH(Z2347,{"South";"SouthEast";"SouthWest";"North";"NorthEast";"East";"West";"NorthWest"},0),1,2,3,4,5,6,7,8)</f>
        <v>8</v>
      </c>
      <c r="AB2347" s="2">
        <f t="shared" si="366"/>
        <v>1</v>
      </c>
      <c r="AC2347">
        <v>1014.3</v>
      </c>
      <c r="AD2347" t="s">
        <v>1165</v>
      </c>
      <c r="AE2347" s="2">
        <f t="shared" si="367"/>
        <v>0</v>
      </c>
      <c r="AF2347" t="s">
        <v>3205</v>
      </c>
      <c r="AG2347" s="2">
        <f t="shared" si="368"/>
        <v>10</v>
      </c>
      <c r="AH2347" s="2">
        <f t="shared" si="369"/>
        <v>0</v>
      </c>
      <c r="AI2347" s="3">
        <v>290.00000000232831</v>
      </c>
      <c r="AJ2347" s="2">
        <v>0</v>
      </c>
      <c r="AK2347">
        <v>0</v>
      </c>
      <c r="AL2347">
        <v>3</v>
      </c>
      <c r="AM2347">
        <v>0</v>
      </c>
      <c r="AN2347" s="2">
        <f>IF((2*G2347+M2347-O2347+3*V2347+2*AB2347+2*AE2347+2*AH2347+3*AJ2347)&gt;=7,1,0)</f>
        <v>0</v>
      </c>
    </row>
    <row r="2348" spans="1:40" x14ac:dyDescent="0.25">
      <c r="A2348" t="s">
        <v>27</v>
      </c>
      <c r="B2348" s="1">
        <v>44132</v>
      </c>
      <c r="C2348" s="6">
        <f t="shared" si="360"/>
        <v>2020</v>
      </c>
      <c r="D2348">
        <v>73.400000000000006</v>
      </c>
      <c r="E2348">
        <v>59</v>
      </c>
      <c r="F2348">
        <v>66.3</v>
      </c>
      <c r="G2348" s="2">
        <f t="shared" si="361"/>
        <v>0</v>
      </c>
      <c r="H2348">
        <v>73.400000000000006</v>
      </c>
      <c r="I2348">
        <v>59</v>
      </c>
      <c r="J2348">
        <v>66.3</v>
      </c>
      <c r="K2348">
        <v>59</v>
      </c>
      <c r="L2348">
        <v>78.3</v>
      </c>
      <c r="M2348" s="2">
        <f t="shared" si="362"/>
        <v>0</v>
      </c>
      <c r="N2348">
        <v>0.49</v>
      </c>
      <c r="O2348" s="2">
        <f t="shared" si="363"/>
        <v>0</v>
      </c>
      <c r="P2348">
        <v>100</v>
      </c>
      <c r="Q2348">
        <v>8.33</v>
      </c>
      <c r="R2348" t="s">
        <v>182</v>
      </c>
      <c r="S2348">
        <v>0</v>
      </c>
      <c r="T2348">
        <v>0</v>
      </c>
      <c r="U2348">
        <v>33.799999999999997</v>
      </c>
      <c r="V2348" s="2">
        <f t="shared" si="364"/>
        <v>1</v>
      </c>
      <c r="W2348">
        <v>17.2</v>
      </c>
      <c r="X2348" s="2">
        <f t="shared" si="365"/>
        <v>1</v>
      </c>
      <c r="Y2348">
        <v>186.1</v>
      </c>
      <c r="Z2348" s="2" t="str">
        <f>CHOOSE(MATCH(Y2348,{0;11;80;111;161;191;241;281;341},1),"North","NorthEast","East","SouthEast","South","SouthWest","West","NorthWest","North")</f>
        <v>South</v>
      </c>
      <c r="AA2348" s="4">
        <f>CHOOSE(MATCH(Z2348,{"South";"SouthEast";"SouthWest";"North";"NorthEast";"East";"West";"NorthWest"},0),1,2,3,4,5,6,7,8)</f>
        <v>1</v>
      </c>
      <c r="AB2348" s="2">
        <f t="shared" si="366"/>
        <v>0</v>
      </c>
      <c r="AC2348">
        <v>1012.4</v>
      </c>
      <c r="AD2348" t="s">
        <v>3206</v>
      </c>
      <c r="AE2348" s="2">
        <f t="shared" si="367"/>
        <v>0</v>
      </c>
      <c r="AF2348" t="s">
        <v>3207</v>
      </c>
      <c r="AG2348" s="2">
        <f t="shared" si="368"/>
        <v>10</v>
      </c>
      <c r="AH2348" s="2">
        <f t="shared" si="369"/>
        <v>0</v>
      </c>
      <c r="AI2348" s="3">
        <v>409.99999999534339</v>
      </c>
      <c r="AJ2348" s="2">
        <v>1</v>
      </c>
      <c r="AK2348">
        <v>0</v>
      </c>
      <c r="AL2348">
        <v>3</v>
      </c>
      <c r="AM2348">
        <v>0</v>
      </c>
      <c r="AN2348" s="2">
        <f>IF((2*G2348+M2348-O2348+3*V2348+2*AB2348+2*AE2348+2*AH2348+3*AJ2348)&gt;=7,1,0)</f>
        <v>0</v>
      </c>
    </row>
    <row r="2349" spans="1:40" x14ac:dyDescent="0.25">
      <c r="A2349" t="s">
        <v>27</v>
      </c>
      <c r="B2349" s="1">
        <v>44141</v>
      </c>
      <c r="C2349" s="6">
        <f t="shared" si="360"/>
        <v>2020</v>
      </c>
      <c r="D2349">
        <v>67.900000000000006</v>
      </c>
      <c r="E2349">
        <v>64.400000000000006</v>
      </c>
      <c r="F2349">
        <v>65.8</v>
      </c>
      <c r="G2349" s="2">
        <f t="shared" si="361"/>
        <v>0</v>
      </c>
      <c r="H2349">
        <v>67.900000000000006</v>
      </c>
      <c r="I2349">
        <v>64.400000000000006</v>
      </c>
      <c r="J2349">
        <v>65.8</v>
      </c>
      <c r="K2349">
        <v>60.6</v>
      </c>
      <c r="L2349">
        <v>83.6</v>
      </c>
      <c r="M2349" s="2">
        <f t="shared" si="362"/>
        <v>0</v>
      </c>
      <c r="N2349">
        <v>0.51400000000000001</v>
      </c>
      <c r="O2349" s="2">
        <f t="shared" si="363"/>
        <v>0</v>
      </c>
      <c r="P2349">
        <v>100</v>
      </c>
      <c r="Q2349">
        <v>16.670000000000002</v>
      </c>
      <c r="R2349" t="s">
        <v>182</v>
      </c>
      <c r="S2349">
        <v>0</v>
      </c>
      <c r="T2349">
        <v>0</v>
      </c>
      <c r="U2349">
        <v>39.1</v>
      </c>
      <c r="V2349" s="2">
        <f t="shared" si="364"/>
        <v>1</v>
      </c>
      <c r="W2349">
        <v>30</v>
      </c>
      <c r="X2349" s="2">
        <f t="shared" si="365"/>
        <v>1</v>
      </c>
      <c r="Y2349">
        <v>351</v>
      </c>
      <c r="Z2349" s="2" t="str">
        <f>CHOOSE(MATCH(Y2349,{0;11;80;111;161;191;241;281;341},1),"North","NorthEast","East","SouthEast","South","SouthWest","West","NorthWest","North")</f>
        <v>North</v>
      </c>
      <c r="AA2349" s="4">
        <f>CHOOSE(MATCH(Z2349,{"South";"SouthEast";"SouthWest";"North";"NorthEast";"East";"West";"NorthWest"},0),1,2,3,4,5,6,7,8)</f>
        <v>4</v>
      </c>
      <c r="AB2349" s="2">
        <f t="shared" si="366"/>
        <v>1</v>
      </c>
      <c r="AC2349">
        <v>1017.5</v>
      </c>
      <c r="AD2349" t="s">
        <v>2230</v>
      </c>
      <c r="AE2349" s="2">
        <f t="shared" si="367"/>
        <v>0</v>
      </c>
      <c r="AF2349" t="s">
        <v>3208</v>
      </c>
      <c r="AG2349" s="2">
        <f t="shared" si="368"/>
        <v>11</v>
      </c>
      <c r="AH2349" s="2">
        <f t="shared" si="369"/>
        <v>0</v>
      </c>
      <c r="AI2349" s="3">
        <v>52.999999994644902</v>
      </c>
      <c r="AJ2349" s="2">
        <v>0</v>
      </c>
      <c r="AK2349">
        <v>0.5</v>
      </c>
      <c r="AL2349">
        <v>0</v>
      </c>
      <c r="AM2349">
        <v>0</v>
      </c>
      <c r="AN2349" s="2">
        <f>IF((2*G2349+M2349-O2349+3*V2349+2*AB2349+2*AE2349+2*AH2349+3*AJ2349)&gt;=7,1,0)</f>
        <v>0</v>
      </c>
    </row>
    <row r="2350" spans="1:40" x14ac:dyDescent="0.25">
      <c r="A2350" t="s">
        <v>27</v>
      </c>
      <c r="B2350" s="1">
        <v>44146</v>
      </c>
      <c r="C2350" s="6">
        <f t="shared" si="360"/>
        <v>2020</v>
      </c>
      <c r="D2350">
        <v>68</v>
      </c>
      <c r="E2350">
        <v>60.8</v>
      </c>
      <c r="F2350">
        <v>64.599999999999994</v>
      </c>
      <c r="G2350" s="2">
        <f t="shared" si="361"/>
        <v>0</v>
      </c>
      <c r="H2350">
        <v>68</v>
      </c>
      <c r="I2350">
        <v>60.8</v>
      </c>
      <c r="J2350">
        <v>64.599999999999994</v>
      </c>
      <c r="K2350">
        <v>60</v>
      </c>
      <c r="L2350">
        <v>85.7</v>
      </c>
      <c r="M2350" s="2">
        <f t="shared" si="362"/>
        <v>0</v>
      </c>
      <c r="N2350">
        <v>0.24399999999999999</v>
      </c>
      <c r="O2350" s="2">
        <f t="shared" si="363"/>
        <v>0</v>
      </c>
      <c r="P2350">
        <v>100</v>
      </c>
      <c r="Q2350">
        <v>8.33</v>
      </c>
      <c r="R2350" t="s">
        <v>182</v>
      </c>
      <c r="S2350">
        <v>0</v>
      </c>
      <c r="T2350">
        <v>0</v>
      </c>
      <c r="U2350">
        <v>23</v>
      </c>
      <c r="V2350" s="2">
        <f t="shared" si="364"/>
        <v>1</v>
      </c>
      <c r="W2350">
        <v>17.2</v>
      </c>
      <c r="X2350" s="2">
        <f t="shared" si="365"/>
        <v>1</v>
      </c>
      <c r="Y2350">
        <v>347.3</v>
      </c>
      <c r="Z2350" s="2" t="str">
        <f>CHOOSE(MATCH(Y2350,{0;11;80;111;161;191;241;281;341},1),"North","NorthEast","East","SouthEast","South","SouthWest","West","NorthWest","North")</f>
        <v>North</v>
      </c>
      <c r="AA2350" s="4">
        <f>CHOOSE(MATCH(Z2350,{"South";"SouthEast";"SouthWest";"North";"NorthEast";"East";"West";"NorthWest"},0),1,2,3,4,5,6,7,8)</f>
        <v>4</v>
      </c>
      <c r="AB2350" s="2">
        <f t="shared" si="366"/>
        <v>1</v>
      </c>
      <c r="AC2350">
        <v>1019.3</v>
      </c>
      <c r="AD2350" t="s">
        <v>1763</v>
      </c>
      <c r="AE2350" s="2">
        <f t="shared" si="367"/>
        <v>0</v>
      </c>
      <c r="AF2350" t="s">
        <v>3209</v>
      </c>
      <c r="AG2350" s="2">
        <f t="shared" si="368"/>
        <v>11</v>
      </c>
      <c r="AH2350" s="2">
        <f t="shared" si="369"/>
        <v>0</v>
      </c>
      <c r="AI2350" s="3">
        <v>209.0000000002328</v>
      </c>
      <c r="AJ2350" s="2">
        <v>0</v>
      </c>
      <c r="AK2350">
        <v>0</v>
      </c>
      <c r="AL2350">
        <v>1</v>
      </c>
      <c r="AM2350">
        <v>0</v>
      </c>
      <c r="AN2350" s="2">
        <f>IF((2*G2350+M2350-O2350+3*V2350+2*AB2350+2*AE2350+2*AH2350+3*AJ2350)&gt;=7,1,0)</f>
        <v>0</v>
      </c>
    </row>
    <row r="2351" spans="1:40" x14ac:dyDescent="0.25">
      <c r="A2351" t="s">
        <v>27</v>
      </c>
      <c r="B2351" s="1">
        <v>44148</v>
      </c>
      <c r="C2351" s="6">
        <f t="shared" si="360"/>
        <v>2020</v>
      </c>
      <c r="D2351">
        <v>68</v>
      </c>
      <c r="E2351">
        <v>57.2</v>
      </c>
      <c r="F2351">
        <v>62.8</v>
      </c>
      <c r="G2351" s="2">
        <f t="shared" si="361"/>
        <v>0</v>
      </c>
      <c r="H2351">
        <v>68</v>
      </c>
      <c r="I2351">
        <v>57.2</v>
      </c>
      <c r="J2351">
        <v>62.8</v>
      </c>
      <c r="K2351">
        <v>56.6</v>
      </c>
      <c r="L2351">
        <v>80.400000000000006</v>
      </c>
      <c r="M2351" s="2">
        <f t="shared" si="362"/>
        <v>0</v>
      </c>
      <c r="N2351">
        <v>0</v>
      </c>
      <c r="O2351" s="2">
        <f t="shared" si="363"/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18.3</v>
      </c>
      <c r="V2351" s="2">
        <f t="shared" si="364"/>
        <v>1</v>
      </c>
      <c r="W2351">
        <v>6.9</v>
      </c>
      <c r="X2351" s="2">
        <f t="shared" si="365"/>
        <v>0</v>
      </c>
      <c r="Y2351">
        <v>351.5</v>
      </c>
      <c r="Z2351" s="2" t="str">
        <f>CHOOSE(MATCH(Y2351,{0;11;80;111;161;191;241;281;341},1),"North","NorthEast","East","SouthEast","South","SouthWest","West","NorthWest","North")</f>
        <v>North</v>
      </c>
      <c r="AA2351" s="4">
        <f>CHOOSE(MATCH(Z2351,{"South";"SouthEast";"SouthWest";"North";"NorthEast";"East";"West";"NorthWest"},0),1,2,3,4,5,6,7,8)</f>
        <v>4</v>
      </c>
      <c r="AB2351" s="2">
        <f t="shared" si="366"/>
        <v>1</v>
      </c>
      <c r="AC2351">
        <v>1023.4</v>
      </c>
      <c r="AD2351" t="s">
        <v>1919</v>
      </c>
      <c r="AE2351" s="2">
        <f t="shared" si="367"/>
        <v>1</v>
      </c>
      <c r="AF2351" t="s">
        <v>3210</v>
      </c>
      <c r="AG2351" s="2">
        <f t="shared" si="368"/>
        <v>11</v>
      </c>
      <c r="AH2351" s="2">
        <f t="shared" si="369"/>
        <v>0</v>
      </c>
      <c r="AI2351" s="3">
        <v>101.999999997206</v>
      </c>
      <c r="AJ2351" s="2">
        <v>0</v>
      </c>
      <c r="AK2351">
        <v>0</v>
      </c>
      <c r="AL2351">
        <v>0.4</v>
      </c>
      <c r="AM2351">
        <v>0</v>
      </c>
      <c r="AN2351" s="2">
        <f>IF((2*G2351+M2351-O2351+3*V2351+2*AB2351+2*AE2351+2*AH2351+3*AJ2351)&gt;=7,1,0)</f>
        <v>0</v>
      </c>
    </row>
    <row r="2352" spans="1:40" x14ac:dyDescent="0.25">
      <c r="A2352" t="s">
        <v>27</v>
      </c>
      <c r="B2352" s="1">
        <v>44149</v>
      </c>
      <c r="C2352" s="6">
        <f t="shared" si="360"/>
        <v>2020</v>
      </c>
      <c r="D2352">
        <v>66.2</v>
      </c>
      <c r="E2352">
        <v>57.2</v>
      </c>
      <c r="F2352">
        <v>60</v>
      </c>
      <c r="G2352" s="2">
        <f t="shared" si="361"/>
        <v>0</v>
      </c>
      <c r="H2352">
        <v>66.2</v>
      </c>
      <c r="I2352">
        <v>57.2</v>
      </c>
      <c r="J2352">
        <v>60</v>
      </c>
      <c r="K2352">
        <v>55.8</v>
      </c>
      <c r="L2352">
        <v>86.3</v>
      </c>
      <c r="M2352" s="2">
        <f t="shared" si="362"/>
        <v>0</v>
      </c>
      <c r="N2352">
        <v>0.58599999999999997</v>
      </c>
      <c r="O2352" s="2">
        <f t="shared" si="363"/>
        <v>0</v>
      </c>
      <c r="P2352">
        <v>100</v>
      </c>
      <c r="Q2352">
        <v>8.33</v>
      </c>
      <c r="R2352" t="s">
        <v>182</v>
      </c>
      <c r="S2352">
        <v>0</v>
      </c>
      <c r="T2352">
        <v>0</v>
      </c>
      <c r="U2352">
        <v>19</v>
      </c>
      <c r="V2352" s="2">
        <f t="shared" si="364"/>
        <v>1</v>
      </c>
      <c r="W2352">
        <v>13.9</v>
      </c>
      <c r="X2352" s="2">
        <f t="shared" si="365"/>
        <v>0</v>
      </c>
      <c r="Y2352">
        <v>332.8</v>
      </c>
      <c r="Z2352" s="2" t="str">
        <f>CHOOSE(MATCH(Y2352,{0;11;80;111;161;191;241;281;341},1),"North","NorthEast","East","SouthEast","South","SouthWest","West","NorthWest","North")</f>
        <v>NorthWest</v>
      </c>
      <c r="AA2352" s="4">
        <f>CHOOSE(MATCH(Z2352,{"South";"SouthEast";"SouthWest";"North";"NorthEast";"East";"West";"NorthWest"},0),1,2,3,4,5,6,7,8)</f>
        <v>8</v>
      </c>
      <c r="AB2352" s="2">
        <f t="shared" si="366"/>
        <v>1</v>
      </c>
      <c r="AC2352">
        <v>1021.9</v>
      </c>
      <c r="AD2352" t="s">
        <v>3211</v>
      </c>
      <c r="AE2352" s="2">
        <f t="shared" si="367"/>
        <v>1</v>
      </c>
      <c r="AF2352" t="s">
        <v>3212</v>
      </c>
      <c r="AG2352" s="2">
        <f t="shared" si="368"/>
        <v>11</v>
      </c>
      <c r="AH2352" s="2">
        <f t="shared" si="369"/>
        <v>0</v>
      </c>
      <c r="AI2352" s="3">
        <v>174.00000000139701</v>
      </c>
      <c r="AJ2352" s="2">
        <v>0</v>
      </c>
      <c r="AK2352">
        <v>0</v>
      </c>
      <c r="AL2352">
        <v>1.5</v>
      </c>
      <c r="AM2352">
        <v>0</v>
      </c>
      <c r="AN2352" s="2">
        <f>IF((2*G2352+M2352-O2352+3*V2352+2*AB2352+2*AE2352+2*AH2352+3*AJ2352)&gt;=7,1,0)</f>
        <v>1</v>
      </c>
    </row>
    <row r="2353" spans="1:40" x14ac:dyDescent="0.25">
      <c r="A2353" t="s">
        <v>27</v>
      </c>
      <c r="B2353" s="1">
        <v>44154</v>
      </c>
      <c r="C2353" s="6">
        <f t="shared" si="360"/>
        <v>2020</v>
      </c>
      <c r="D2353">
        <v>62.6</v>
      </c>
      <c r="E2353">
        <v>53.9</v>
      </c>
      <c r="F2353">
        <v>59.5</v>
      </c>
      <c r="G2353" s="2">
        <f t="shared" si="361"/>
        <v>0</v>
      </c>
      <c r="H2353">
        <v>62.6</v>
      </c>
      <c r="I2353">
        <v>53.9</v>
      </c>
      <c r="J2353">
        <v>59.5</v>
      </c>
      <c r="K2353">
        <v>52.3</v>
      </c>
      <c r="L2353">
        <v>77.2</v>
      </c>
      <c r="M2353" s="2">
        <f t="shared" si="362"/>
        <v>0</v>
      </c>
      <c r="N2353">
        <v>0.21</v>
      </c>
      <c r="O2353" s="2">
        <f t="shared" si="363"/>
        <v>0</v>
      </c>
      <c r="P2353">
        <v>100</v>
      </c>
      <c r="Q2353">
        <v>16.670000000000002</v>
      </c>
      <c r="R2353" t="s">
        <v>182</v>
      </c>
      <c r="S2353">
        <v>0</v>
      </c>
      <c r="T2353">
        <v>0</v>
      </c>
      <c r="U2353">
        <v>33.6</v>
      </c>
      <c r="V2353" s="2">
        <f t="shared" si="364"/>
        <v>1</v>
      </c>
      <c r="W2353">
        <v>34.4</v>
      </c>
      <c r="X2353" s="2">
        <f t="shared" si="365"/>
        <v>1</v>
      </c>
      <c r="Y2353">
        <v>331.5</v>
      </c>
      <c r="Z2353" s="2" t="str">
        <f>CHOOSE(MATCH(Y2353,{0;11;80;111;161;191;241;281;341},1),"North","NorthEast","East","SouthEast","South","SouthWest","West","NorthWest","North")</f>
        <v>NorthWest</v>
      </c>
      <c r="AA2353" s="4">
        <f>CHOOSE(MATCH(Z2353,{"South";"SouthEast";"SouthWest";"North";"NorthEast";"East";"West";"NorthWest"},0),1,2,3,4,5,6,7,8)</f>
        <v>8</v>
      </c>
      <c r="AB2353" s="2">
        <f t="shared" si="366"/>
        <v>1</v>
      </c>
      <c r="AC2353">
        <v>1016</v>
      </c>
      <c r="AD2353" t="s">
        <v>2029</v>
      </c>
      <c r="AE2353" s="2">
        <f t="shared" si="367"/>
        <v>1</v>
      </c>
      <c r="AF2353" t="s">
        <v>3213</v>
      </c>
      <c r="AG2353" s="2">
        <f t="shared" si="368"/>
        <v>11</v>
      </c>
      <c r="AH2353" s="2">
        <f t="shared" si="369"/>
        <v>0</v>
      </c>
      <c r="AI2353" s="3">
        <v>220.99999999743889</v>
      </c>
      <c r="AJ2353" s="2">
        <v>0</v>
      </c>
      <c r="AK2353">
        <v>0</v>
      </c>
      <c r="AL2353">
        <v>2</v>
      </c>
      <c r="AM2353">
        <v>0</v>
      </c>
      <c r="AN2353" s="2">
        <f>IF((2*G2353+M2353-O2353+3*V2353+2*AB2353+2*AE2353+2*AH2353+3*AJ2353)&gt;=7,1,0)</f>
        <v>1</v>
      </c>
    </row>
    <row r="2354" spans="1:40" x14ac:dyDescent="0.25">
      <c r="A2354" t="s">
        <v>27</v>
      </c>
      <c r="B2354" s="1">
        <v>44156</v>
      </c>
      <c r="C2354" s="6">
        <f t="shared" si="360"/>
        <v>2020</v>
      </c>
      <c r="D2354">
        <v>62.6</v>
      </c>
      <c r="E2354">
        <v>57.2</v>
      </c>
      <c r="F2354">
        <v>60</v>
      </c>
      <c r="G2354" s="2">
        <f t="shared" si="361"/>
        <v>0</v>
      </c>
      <c r="H2354">
        <v>62.6</v>
      </c>
      <c r="I2354">
        <v>57.2</v>
      </c>
      <c r="J2354">
        <v>60</v>
      </c>
      <c r="K2354">
        <v>53.5</v>
      </c>
      <c r="L2354">
        <v>79.8</v>
      </c>
      <c r="M2354" s="2">
        <f t="shared" si="362"/>
        <v>0</v>
      </c>
      <c r="N2354">
        <v>0.17599999999999999</v>
      </c>
      <c r="O2354" s="2">
        <f t="shared" si="363"/>
        <v>0</v>
      </c>
      <c r="P2354">
        <v>100</v>
      </c>
      <c r="Q2354">
        <v>8.33</v>
      </c>
      <c r="R2354" t="s">
        <v>182</v>
      </c>
      <c r="S2354">
        <v>0</v>
      </c>
      <c r="T2354">
        <v>0</v>
      </c>
      <c r="U2354">
        <v>28.9</v>
      </c>
      <c r="V2354" s="2">
        <f t="shared" si="364"/>
        <v>1</v>
      </c>
      <c r="W2354">
        <v>20.8</v>
      </c>
      <c r="X2354" s="2">
        <f t="shared" si="365"/>
        <v>1</v>
      </c>
      <c r="Y2354">
        <v>326.7</v>
      </c>
      <c r="Z2354" s="2" t="str">
        <f>CHOOSE(MATCH(Y2354,{0;11;80;111;161;191;241;281;341},1),"North","NorthEast","East","SouthEast","South","SouthWest","West","NorthWest","North")</f>
        <v>NorthWest</v>
      </c>
      <c r="AA2354" s="4">
        <f>CHOOSE(MATCH(Z2354,{"South";"SouthEast";"SouthWest";"North";"NorthEast";"East";"West";"NorthWest"},0),1,2,3,4,5,6,7,8)</f>
        <v>8</v>
      </c>
      <c r="AB2354" s="2">
        <f t="shared" si="366"/>
        <v>1</v>
      </c>
      <c r="AC2354">
        <v>1017.3</v>
      </c>
      <c r="AD2354" t="s">
        <v>1779</v>
      </c>
      <c r="AE2354" s="2">
        <f t="shared" si="367"/>
        <v>1</v>
      </c>
      <c r="AF2354" t="s">
        <v>3214</v>
      </c>
      <c r="AG2354" s="2">
        <f t="shared" si="368"/>
        <v>11</v>
      </c>
      <c r="AH2354" s="2">
        <f t="shared" si="369"/>
        <v>0</v>
      </c>
      <c r="AI2354" s="3">
        <v>40.999999997438863</v>
      </c>
      <c r="AJ2354" s="2">
        <v>0</v>
      </c>
      <c r="AK2354">
        <v>0</v>
      </c>
      <c r="AL2354">
        <v>1</v>
      </c>
      <c r="AM2354">
        <v>0</v>
      </c>
      <c r="AN2354" s="2">
        <f>IF((2*G2354+M2354-O2354+3*V2354+2*AB2354+2*AE2354+2*AH2354+3*AJ2354)&gt;=7,1,0)</f>
        <v>1</v>
      </c>
    </row>
    <row r="2355" spans="1:40" x14ac:dyDescent="0.25">
      <c r="A2355" t="s">
        <v>27</v>
      </c>
      <c r="B2355" s="1">
        <v>44157</v>
      </c>
      <c r="C2355" s="6">
        <f t="shared" si="360"/>
        <v>2020</v>
      </c>
      <c r="D2355">
        <v>62.6</v>
      </c>
      <c r="E2355">
        <v>55.3</v>
      </c>
      <c r="F2355">
        <v>58.5</v>
      </c>
      <c r="G2355" s="2">
        <f t="shared" si="361"/>
        <v>0</v>
      </c>
      <c r="H2355">
        <v>62.6</v>
      </c>
      <c r="I2355">
        <v>55.3</v>
      </c>
      <c r="J2355">
        <v>58.5</v>
      </c>
      <c r="K2355">
        <v>53.7</v>
      </c>
      <c r="L2355">
        <v>84.3</v>
      </c>
      <c r="M2355" s="2">
        <f t="shared" si="362"/>
        <v>0</v>
      </c>
      <c r="N2355">
        <v>8.0000000000000002E-3</v>
      </c>
      <c r="O2355" s="2">
        <f t="shared" si="363"/>
        <v>1</v>
      </c>
      <c r="P2355">
        <v>100</v>
      </c>
      <c r="Q2355">
        <v>4.17</v>
      </c>
      <c r="R2355" t="s">
        <v>182</v>
      </c>
      <c r="S2355">
        <v>0</v>
      </c>
      <c r="T2355">
        <v>0</v>
      </c>
      <c r="U2355">
        <v>20.100000000000001</v>
      </c>
      <c r="V2355" s="2">
        <f t="shared" si="364"/>
        <v>1</v>
      </c>
      <c r="W2355">
        <v>13.9</v>
      </c>
      <c r="X2355" s="2">
        <f t="shared" si="365"/>
        <v>0</v>
      </c>
      <c r="Y2355">
        <v>328.8</v>
      </c>
      <c r="Z2355" s="2" t="str">
        <f>CHOOSE(MATCH(Y2355,{0;11;80;111;161;191;241;281;341},1),"North","NorthEast","East","SouthEast","South","SouthWest","West","NorthWest","North")</f>
        <v>NorthWest</v>
      </c>
      <c r="AA2355" s="4">
        <f>CHOOSE(MATCH(Z2355,{"South";"SouthEast";"SouthWest";"North";"NorthEast";"East";"West";"NorthWest"},0),1,2,3,4,5,6,7,8)</f>
        <v>8</v>
      </c>
      <c r="AB2355" s="2">
        <f t="shared" si="366"/>
        <v>1</v>
      </c>
      <c r="AC2355">
        <v>1024</v>
      </c>
      <c r="AD2355" t="s">
        <v>2790</v>
      </c>
      <c r="AE2355" s="2">
        <f t="shared" si="367"/>
        <v>1</v>
      </c>
      <c r="AF2355" t="s">
        <v>3215</v>
      </c>
      <c r="AG2355" s="2">
        <f t="shared" si="368"/>
        <v>11</v>
      </c>
      <c r="AH2355" s="2">
        <f t="shared" si="369"/>
        <v>0</v>
      </c>
      <c r="AI2355" s="3">
        <v>108.99999999906871</v>
      </c>
      <c r="AJ2355" s="2">
        <v>0</v>
      </c>
      <c r="AK2355">
        <v>0</v>
      </c>
      <c r="AL2355">
        <v>0.5</v>
      </c>
      <c r="AM2355">
        <v>0</v>
      </c>
      <c r="AN2355" s="2">
        <f>IF((2*G2355+M2355-O2355+3*V2355+2*AB2355+2*AE2355+2*AH2355+3*AJ2355)&gt;=7,1,0)</f>
        <v>0</v>
      </c>
    </row>
    <row r="2356" spans="1:40" x14ac:dyDescent="0.25">
      <c r="A2356" t="s">
        <v>27</v>
      </c>
      <c r="B2356" s="1">
        <v>44162</v>
      </c>
      <c r="C2356" s="6">
        <f t="shared" si="360"/>
        <v>2020</v>
      </c>
      <c r="D2356">
        <v>66.2</v>
      </c>
      <c r="E2356">
        <v>52.8</v>
      </c>
      <c r="F2356">
        <v>60.9</v>
      </c>
      <c r="G2356" s="2">
        <f t="shared" si="361"/>
        <v>0</v>
      </c>
      <c r="H2356">
        <v>66.2</v>
      </c>
      <c r="I2356">
        <v>52.8</v>
      </c>
      <c r="J2356">
        <v>60.9</v>
      </c>
      <c r="K2356">
        <v>53.6</v>
      </c>
      <c r="L2356">
        <v>77.099999999999994</v>
      </c>
      <c r="M2356" s="2">
        <f t="shared" si="362"/>
        <v>0</v>
      </c>
      <c r="N2356">
        <v>0</v>
      </c>
      <c r="O2356" s="2">
        <f t="shared" si="363"/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23</v>
      </c>
      <c r="V2356" s="2">
        <f t="shared" si="364"/>
        <v>1</v>
      </c>
      <c r="W2356">
        <v>13.9</v>
      </c>
      <c r="X2356" s="2">
        <f t="shared" si="365"/>
        <v>0</v>
      </c>
      <c r="Y2356">
        <v>332.4</v>
      </c>
      <c r="Z2356" s="2" t="str">
        <f>CHOOSE(MATCH(Y2356,{0;11;80;111;161;191;241;281;341},1),"North","NorthEast","East","SouthEast","South","SouthWest","West","NorthWest","North")</f>
        <v>NorthWest</v>
      </c>
      <c r="AA2356" s="4">
        <f>CHOOSE(MATCH(Z2356,{"South";"SouthEast";"SouthWest";"North";"NorthEast";"East";"West";"NorthWest"},0),1,2,3,4,5,6,7,8)</f>
        <v>8</v>
      </c>
      <c r="AB2356" s="2">
        <f t="shared" si="366"/>
        <v>1</v>
      </c>
      <c r="AC2356">
        <v>1019.1</v>
      </c>
      <c r="AD2356" t="s">
        <v>3216</v>
      </c>
      <c r="AE2356" s="2">
        <f t="shared" si="367"/>
        <v>1</v>
      </c>
      <c r="AF2356" t="s">
        <v>3217</v>
      </c>
      <c r="AG2356" s="2">
        <f t="shared" si="368"/>
        <v>11</v>
      </c>
      <c r="AH2356" s="2">
        <f t="shared" si="369"/>
        <v>0</v>
      </c>
      <c r="AI2356" s="3">
        <v>267.00000000069849</v>
      </c>
      <c r="AJ2356" s="2">
        <v>0</v>
      </c>
      <c r="AK2356">
        <v>0</v>
      </c>
      <c r="AL2356">
        <v>0.3</v>
      </c>
      <c r="AM2356">
        <v>0</v>
      </c>
      <c r="AN2356" s="2">
        <f>IF((2*G2356+M2356-O2356+3*V2356+2*AB2356+2*AE2356+2*AH2356+3*AJ2356)&gt;=7,1,0)</f>
        <v>0</v>
      </c>
    </row>
    <row r="2357" spans="1:40" x14ac:dyDescent="0.25">
      <c r="A2357" t="s">
        <v>27</v>
      </c>
      <c r="B2357" s="1">
        <v>44163</v>
      </c>
      <c r="C2357" s="6">
        <f t="shared" si="360"/>
        <v>2020</v>
      </c>
      <c r="D2357">
        <v>64.400000000000006</v>
      </c>
      <c r="E2357">
        <v>50</v>
      </c>
      <c r="F2357">
        <v>56.7</v>
      </c>
      <c r="G2357" s="2">
        <f t="shared" si="361"/>
        <v>0</v>
      </c>
      <c r="H2357">
        <v>64.400000000000006</v>
      </c>
      <c r="I2357">
        <v>50</v>
      </c>
      <c r="J2357">
        <v>56.7</v>
      </c>
      <c r="K2357">
        <v>52</v>
      </c>
      <c r="L2357">
        <v>84.7</v>
      </c>
      <c r="M2357" s="2">
        <f t="shared" si="362"/>
        <v>0</v>
      </c>
      <c r="N2357">
        <v>0</v>
      </c>
      <c r="O2357" s="2">
        <f t="shared" si="363"/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11.4</v>
      </c>
      <c r="V2357" s="2">
        <f t="shared" si="364"/>
        <v>1</v>
      </c>
      <c r="W2357">
        <v>6.9</v>
      </c>
      <c r="X2357" s="2">
        <f t="shared" si="365"/>
        <v>0</v>
      </c>
      <c r="Y2357">
        <v>118.5</v>
      </c>
      <c r="Z2357" s="2" t="str">
        <f>CHOOSE(MATCH(Y2357,{0;11;80;111;161;191;241;281;341},1),"North","NorthEast","East","SouthEast","South","SouthWest","West","NorthWest","North")</f>
        <v>SouthEast</v>
      </c>
      <c r="AA2357" s="4">
        <f>CHOOSE(MATCH(Z2357,{"South";"SouthEast";"SouthWest";"North";"NorthEast";"East";"West";"NorthWest"},0),1,2,3,4,5,6,7,8)</f>
        <v>2</v>
      </c>
      <c r="AB2357" s="2">
        <f t="shared" si="366"/>
        <v>0</v>
      </c>
      <c r="AC2357">
        <v>1020</v>
      </c>
      <c r="AD2357" t="s">
        <v>2505</v>
      </c>
      <c r="AE2357" s="2">
        <f t="shared" si="367"/>
        <v>0</v>
      </c>
      <c r="AF2357" t="s">
        <v>3218</v>
      </c>
      <c r="AG2357" s="2">
        <f t="shared" si="368"/>
        <v>11</v>
      </c>
      <c r="AH2357" s="2">
        <f t="shared" si="369"/>
        <v>0</v>
      </c>
      <c r="AI2357" s="3">
        <v>143.0000000051223</v>
      </c>
      <c r="AJ2357" s="2">
        <v>0</v>
      </c>
      <c r="AK2357">
        <v>0</v>
      </c>
      <c r="AL2357">
        <v>0.5</v>
      </c>
      <c r="AM2357">
        <v>0</v>
      </c>
      <c r="AN2357" s="2">
        <f>IF((2*G2357+M2357-O2357+3*V2357+2*AB2357+2*AE2357+2*AH2357+3*AJ2357)&gt;=7,1,0)</f>
        <v>0</v>
      </c>
    </row>
    <row r="2358" spans="1:40" x14ac:dyDescent="0.25">
      <c r="A2358" t="s">
        <v>27</v>
      </c>
      <c r="B2358" s="1">
        <v>44192</v>
      </c>
      <c r="C2358" s="6">
        <f t="shared" si="360"/>
        <v>2020</v>
      </c>
      <c r="D2358">
        <v>66.2</v>
      </c>
      <c r="E2358">
        <v>59</v>
      </c>
      <c r="F2358">
        <v>61.2</v>
      </c>
      <c r="G2358" s="2">
        <f t="shared" si="361"/>
        <v>0</v>
      </c>
      <c r="H2358">
        <v>66.2</v>
      </c>
      <c r="I2358">
        <v>59</v>
      </c>
      <c r="J2358">
        <v>61.2</v>
      </c>
      <c r="K2358">
        <v>53.8</v>
      </c>
      <c r="L2358">
        <v>77</v>
      </c>
      <c r="M2358" s="2">
        <f t="shared" si="362"/>
        <v>0</v>
      </c>
      <c r="N2358">
        <v>0</v>
      </c>
      <c r="O2358" s="2">
        <f t="shared" si="363"/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32.200000000000003</v>
      </c>
      <c r="V2358" s="2">
        <f t="shared" si="364"/>
        <v>1</v>
      </c>
      <c r="W2358">
        <v>24.1</v>
      </c>
      <c r="X2358" s="2">
        <f t="shared" si="365"/>
        <v>1</v>
      </c>
      <c r="Y2358">
        <v>170</v>
      </c>
      <c r="Z2358" s="2" t="str">
        <f>CHOOSE(MATCH(Y2358,{0;11;80;111;161;191;241;281;341},1),"North","NorthEast","East","SouthEast","South","SouthWest","West","NorthWest","North")</f>
        <v>South</v>
      </c>
      <c r="AA2358" s="4">
        <f>CHOOSE(MATCH(Z2358,{"South";"SouthEast";"SouthWest";"North";"NorthEast";"East";"West";"NorthWest"},0),1,2,3,4,5,6,7,8)</f>
        <v>1</v>
      </c>
      <c r="AB2358" s="2">
        <f t="shared" si="366"/>
        <v>0</v>
      </c>
      <c r="AC2358">
        <v>1016.3</v>
      </c>
      <c r="AD2358" t="s">
        <v>2202</v>
      </c>
      <c r="AE2358" s="2">
        <f t="shared" si="367"/>
        <v>0</v>
      </c>
      <c r="AF2358" t="s">
        <v>3219</v>
      </c>
      <c r="AG2358" s="2">
        <f t="shared" si="368"/>
        <v>12</v>
      </c>
      <c r="AH2358" s="2">
        <f t="shared" si="369"/>
        <v>0</v>
      </c>
      <c r="AI2358" s="3">
        <v>174.99999999417921</v>
      </c>
      <c r="AJ2358" s="2">
        <v>0</v>
      </c>
      <c r="AK2358">
        <v>0</v>
      </c>
      <c r="AL2358">
        <v>0.5</v>
      </c>
      <c r="AM2358">
        <v>0</v>
      </c>
      <c r="AN2358" s="2">
        <f>IF((2*G2358+M2358-O2358+3*V2358+2*AB2358+2*AE2358+2*AH2358+3*AJ2358)&gt;=7,1,0)</f>
        <v>0</v>
      </c>
    </row>
    <row r="2359" spans="1:40" x14ac:dyDescent="0.25">
      <c r="A2359" t="s">
        <v>27</v>
      </c>
      <c r="B2359" s="1">
        <v>44198</v>
      </c>
      <c r="C2359" s="6">
        <f t="shared" si="360"/>
        <v>2021</v>
      </c>
      <c r="D2359">
        <v>68</v>
      </c>
      <c r="E2359">
        <v>51.2</v>
      </c>
      <c r="F2359">
        <v>60.1</v>
      </c>
      <c r="G2359" s="2">
        <f t="shared" si="361"/>
        <v>0</v>
      </c>
      <c r="H2359">
        <v>68</v>
      </c>
      <c r="I2359">
        <v>51.2</v>
      </c>
      <c r="J2359">
        <v>60.1</v>
      </c>
      <c r="K2359">
        <v>52.2</v>
      </c>
      <c r="L2359">
        <v>76</v>
      </c>
      <c r="M2359" s="2">
        <f t="shared" si="362"/>
        <v>0</v>
      </c>
      <c r="N2359">
        <v>0</v>
      </c>
      <c r="O2359" s="2">
        <f t="shared" si="363"/>
        <v>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28.9</v>
      </c>
      <c r="V2359" s="2">
        <f t="shared" si="364"/>
        <v>1</v>
      </c>
      <c r="W2359">
        <v>19.7</v>
      </c>
      <c r="X2359" s="2">
        <f t="shared" si="365"/>
        <v>1</v>
      </c>
      <c r="Y2359">
        <v>172.2</v>
      </c>
      <c r="Z2359" s="2" t="str">
        <f>CHOOSE(MATCH(Y2359,{0;11;80;111;161;191;241;281;341},1),"North","NorthEast","East","SouthEast","South","SouthWest","West","NorthWest","North")</f>
        <v>South</v>
      </c>
      <c r="AA2359" s="4">
        <f>CHOOSE(MATCH(Z2359,{"South";"SouthEast";"SouthWest";"North";"NorthEast";"East";"West";"NorthWest"},0),1,2,3,4,5,6,7,8)</f>
        <v>1</v>
      </c>
      <c r="AB2359" s="2">
        <f t="shared" si="366"/>
        <v>0</v>
      </c>
      <c r="AC2359">
        <v>1018.8</v>
      </c>
      <c r="AD2359" t="s">
        <v>2441</v>
      </c>
      <c r="AE2359" s="2">
        <f t="shared" si="367"/>
        <v>1</v>
      </c>
      <c r="AF2359" t="s">
        <v>3220</v>
      </c>
      <c r="AG2359" s="2">
        <f t="shared" si="368"/>
        <v>1</v>
      </c>
      <c r="AH2359" s="2">
        <f t="shared" si="369"/>
        <v>0</v>
      </c>
      <c r="AI2359" s="3">
        <v>230.99999999860299</v>
      </c>
      <c r="AJ2359" s="2">
        <v>0</v>
      </c>
      <c r="AK2359">
        <v>0</v>
      </c>
      <c r="AL2359">
        <v>2.5</v>
      </c>
      <c r="AM2359">
        <v>0</v>
      </c>
      <c r="AN2359" s="2">
        <f>IF((2*G2359+M2359-O2359+3*V2359+2*AB2359+2*AE2359+2*AH2359+3*AJ2359)&gt;=7,1,0)</f>
        <v>0</v>
      </c>
    </row>
    <row r="2360" spans="1:40" x14ac:dyDescent="0.25">
      <c r="A2360" t="s">
        <v>27</v>
      </c>
      <c r="B2360" s="1">
        <v>44204</v>
      </c>
      <c r="C2360" s="6">
        <f t="shared" si="360"/>
        <v>2021</v>
      </c>
      <c r="D2360">
        <v>71.599999999999994</v>
      </c>
      <c r="E2360">
        <v>51.8</v>
      </c>
      <c r="F2360">
        <v>60.1</v>
      </c>
      <c r="G2360" s="2">
        <f t="shared" si="361"/>
        <v>0</v>
      </c>
      <c r="H2360">
        <v>71.599999999999994</v>
      </c>
      <c r="I2360">
        <v>51.8</v>
      </c>
      <c r="J2360">
        <v>60.1</v>
      </c>
      <c r="K2360">
        <v>53</v>
      </c>
      <c r="L2360">
        <v>78.099999999999994</v>
      </c>
      <c r="M2360" s="2">
        <f t="shared" si="362"/>
        <v>0</v>
      </c>
      <c r="N2360">
        <v>0</v>
      </c>
      <c r="O2360" s="2">
        <f t="shared" si="363"/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20.8</v>
      </c>
      <c r="V2360" s="2">
        <f t="shared" si="364"/>
        <v>1</v>
      </c>
      <c r="W2360">
        <v>18.899999999999999</v>
      </c>
      <c r="X2360" s="2">
        <f t="shared" si="365"/>
        <v>1</v>
      </c>
      <c r="Y2360">
        <v>168.9</v>
      </c>
      <c r="Z2360" s="2" t="str">
        <f>CHOOSE(MATCH(Y2360,{0;11;80;111;161;191;241;281;341},1),"North","NorthEast","East","SouthEast","South","SouthWest","West","NorthWest","North")</f>
        <v>South</v>
      </c>
      <c r="AA2360" s="4">
        <f>CHOOSE(MATCH(Z2360,{"South";"SouthEast";"SouthWest";"North";"NorthEast";"East";"West";"NorthWest"},0),1,2,3,4,5,6,7,8)</f>
        <v>1</v>
      </c>
      <c r="AB2360" s="2">
        <f t="shared" si="366"/>
        <v>0</v>
      </c>
      <c r="AC2360">
        <v>1017.5</v>
      </c>
      <c r="AD2360" t="s">
        <v>1107</v>
      </c>
      <c r="AE2360" s="2">
        <f t="shared" si="367"/>
        <v>1</v>
      </c>
      <c r="AF2360" t="s">
        <v>3221</v>
      </c>
      <c r="AG2360" s="2">
        <f t="shared" si="368"/>
        <v>1</v>
      </c>
      <c r="AH2360" s="2">
        <f t="shared" si="369"/>
        <v>0</v>
      </c>
      <c r="AI2360" s="3">
        <v>32.999999992316589</v>
      </c>
      <c r="AJ2360" s="2">
        <v>0</v>
      </c>
      <c r="AK2360">
        <v>0</v>
      </c>
      <c r="AL2360">
        <v>1</v>
      </c>
      <c r="AM2360">
        <v>0</v>
      </c>
      <c r="AN2360" s="2">
        <f>IF((2*G2360+M2360-O2360+3*V2360+2*AB2360+2*AE2360+2*AH2360+3*AJ2360)&gt;=7,1,0)</f>
        <v>0</v>
      </c>
    </row>
    <row r="2361" spans="1:40" x14ac:dyDescent="0.25">
      <c r="A2361" t="s">
        <v>27</v>
      </c>
      <c r="B2361" s="1">
        <v>44210</v>
      </c>
      <c r="C2361" s="6">
        <f t="shared" si="360"/>
        <v>2021</v>
      </c>
      <c r="D2361">
        <v>59</v>
      </c>
      <c r="E2361">
        <v>48.2</v>
      </c>
      <c r="F2361">
        <v>53.8</v>
      </c>
      <c r="G2361" s="2">
        <f t="shared" si="361"/>
        <v>0</v>
      </c>
      <c r="H2361">
        <v>59</v>
      </c>
      <c r="I2361">
        <v>44.3</v>
      </c>
      <c r="J2361">
        <v>53.6</v>
      </c>
      <c r="K2361">
        <v>44.5</v>
      </c>
      <c r="L2361">
        <v>71.2</v>
      </c>
      <c r="M2361" s="2">
        <f t="shared" si="362"/>
        <v>0</v>
      </c>
      <c r="N2361">
        <v>2.7E-2</v>
      </c>
      <c r="O2361" s="2">
        <f t="shared" si="363"/>
        <v>0</v>
      </c>
      <c r="P2361">
        <v>100</v>
      </c>
      <c r="Q2361">
        <v>4.17</v>
      </c>
      <c r="R2361" t="s">
        <v>182</v>
      </c>
      <c r="S2361">
        <v>0</v>
      </c>
      <c r="T2361">
        <v>0</v>
      </c>
      <c r="U2361">
        <v>41.4</v>
      </c>
      <c r="V2361" s="2">
        <f t="shared" si="364"/>
        <v>1</v>
      </c>
      <c r="W2361">
        <v>31.9</v>
      </c>
      <c r="X2361" s="2">
        <f t="shared" si="365"/>
        <v>1</v>
      </c>
      <c r="Y2361">
        <v>275</v>
      </c>
      <c r="Z2361" s="2" t="str">
        <f>CHOOSE(MATCH(Y2361,{0;11;80;111;161;191;241;281;341},1),"North","NorthEast","East","SouthEast","South","SouthWest","West","NorthWest","North")</f>
        <v>West</v>
      </c>
      <c r="AA2361" s="4">
        <f>CHOOSE(MATCH(Z2361,{"South";"SouthEast";"SouthWest";"North";"NorthEast";"East";"West";"NorthWest"},0),1,2,3,4,5,6,7,8)</f>
        <v>7</v>
      </c>
      <c r="AB2361" s="2">
        <f t="shared" si="366"/>
        <v>0</v>
      </c>
      <c r="AC2361">
        <v>1010</v>
      </c>
      <c r="AD2361" t="s">
        <v>3088</v>
      </c>
      <c r="AE2361" s="2">
        <f t="shared" si="367"/>
        <v>1</v>
      </c>
      <c r="AF2361" t="s">
        <v>3222</v>
      </c>
      <c r="AG2361" s="2">
        <f t="shared" si="368"/>
        <v>1</v>
      </c>
      <c r="AH2361" s="2">
        <f t="shared" si="369"/>
        <v>0</v>
      </c>
      <c r="AI2361" s="3">
        <v>47.999999999301508</v>
      </c>
      <c r="AJ2361" s="2">
        <v>0</v>
      </c>
      <c r="AK2361">
        <v>0</v>
      </c>
      <c r="AL2361">
        <v>0.05</v>
      </c>
      <c r="AM2361">
        <v>0</v>
      </c>
      <c r="AN2361" s="2">
        <f>IF((2*G2361+M2361-O2361+3*V2361+2*AB2361+2*AE2361+2*AH2361+3*AJ2361)&gt;=7,1,0)</f>
        <v>0</v>
      </c>
    </row>
    <row r="2362" spans="1:40" x14ac:dyDescent="0.25">
      <c r="A2362" t="s">
        <v>27</v>
      </c>
      <c r="B2362" s="1">
        <v>44233</v>
      </c>
      <c r="C2362" s="6">
        <f t="shared" si="360"/>
        <v>2021</v>
      </c>
      <c r="D2362">
        <v>69.8</v>
      </c>
      <c r="E2362">
        <v>50</v>
      </c>
      <c r="F2362">
        <v>58.7</v>
      </c>
      <c r="G2362" s="2">
        <f t="shared" si="361"/>
        <v>0</v>
      </c>
      <c r="H2362">
        <v>69.8</v>
      </c>
      <c r="I2362">
        <v>46.5</v>
      </c>
      <c r="J2362">
        <v>58.5</v>
      </c>
      <c r="K2362">
        <v>49.3</v>
      </c>
      <c r="L2362">
        <v>72.599999999999994</v>
      </c>
      <c r="M2362" s="2">
        <f t="shared" si="362"/>
        <v>0</v>
      </c>
      <c r="N2362">
        <v>0</v>
      </c>
      <c r="O2362" s="2">
        <f t="shared" si="363"/>
        <v>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16.600000000000001</v>
      </c>
      <c r="V2362" s="2">
        <f t="shared" si="364"/>
        <v>1</v>
      </c>
      <c r="W2362">
        <v>10.8</v>
      </c>
      <c r="X2362" s="2">
        <f t="shared" si="365"/>
        <v>0</v>
      </c>
      <c r="Y2362">
        <v>167.6</v>
      </c>
      <c r="Z2362" s="2" t="str">
        <f>CHOOSE(MATCH(Y2362,{0;11;80;111;161;191;241;281;341},1),"North","NorthEast","East","SouthEast","South","SouthWest","West","NorthWest","North")</f>
        <v>South</v>
      </c>
      <c r="AA2362" s="4">
        <f>CHOOSE(MATCH(Z2362,{"South";"SouthEast";"SouthWest";"North";"NorthEast";"East";"West";"NorthWest"},0),1,2,3,4,5,6,7,8)</f>
        <v>1</v>
      </c>
      <c r="AB2362" s="2">
        <f t="shared" si="366"/>
        <v>0</v>
      </c>
      <c r="AC2362">
        <v>1019</v>
      </c>
      <c r="AD2362" t="s">
        <v>1868</v>
      </c>
      <c r="AE2362" s="2">
        <f t="shared" si="367"/>
        <v>1</v>
      </c>
      <c r="AF2362" t="s">
        <v>3223</v>
      </c>
      <c r="AG2362" s="2">
        <f t="shared" si="368"/>
        <v>2</v>
      </c>
      <c r="AH2362" s="2">
        <f t="shared" si="369"/>
        <v>0</v>
      </c>
      <c r="AI2362" s="3">
        <v>399.99999999417918</v>
      </c>
      <c r="AJ2362" s="2">
        <v>1</v>
      </c>
      <c r="AK2362">
        <v>6</v>
      </c>
      <c r="AL2362">
        <v>0</v>
      </c>
      <c r="AM2362">
        <v>0</v>
      </c>
      <c r="AN2362" s="2">
        <f>IF((2*G2362+M2362-O2362+3*V2362+2*AB2362+2*AE2362+2*AH2362+3*AJ2362)&gt;=7,1,0)</f>
        <v>1</v>
      </c>
    </row>
    <row r="2363" spans="1:40" x14ac:dyDescent="0.25">
      <c r="A2363" t="s">
        <v>27</v>
      </c>
      <c r="B2363" s="1">
        <v>44233</v>
      </c>
      <c r="C2363" s="6">
        <f t="shared" si="360"/>
        <v>2021</v>
      </c>
      <c r="D2363">
        <v>69.8</v>
      </c>
      <c r="E2363">
        <v>50</v>
      </c>
      <c r="F2363">
        <v>58.7</v>
      </c>
      <c r="G2363" s="2">
        <f t="shared" si="361"/>
        <v>0</v>
      </c>
      <c r="H2363">
        <v>69.8</v>
      </c>
      <c r="I2363">
        <v>46.5</v>
      </c>
      <c r="J2363">
        <v>58.5</v>
      </c>
      <c r="K2363">
        <v>49.3</v>
      </c>
      <c r="L2363">
        <v>72.599999999999994</v>
      </c>
      <c r="M2363" s="2">
        <f t="shared" si="362"/>
        <v>0</v>
      </c>
      <c r="N2363">
        <v>0</v>
      </c>
      <c r="O2363" s="2">
        <f t="shared" si="363"/>
        <v>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16.600000000000001</v>
      </c>
      <c r="V2363" s="2">
        <f t="shared" si="364"/>
        <v>1</v>
      </c>
      <c r="W2363">
        <v>10.8</v>
      </c>
      <c r="X2363" s="2">
        <f t="shared" si="365"/>
        <v>0</v>
      </c>
      <c r="Y2363">
        <v>167.6</v>
      </c>
      <c r="Z2363" s="2" t="str">
        <f>CHOOSE(MATCH(Y2363,{0;11;80;111;161;191;241;281;341},1),"North","NorthEast","East","SouthEast","South","SouthWest","West","NorthWest","North")</f>
        <v>South</v>
      </c>
      <c r="AA2363" s="4">
        <f>CHOOSE(MATCH(Z2363,{"South";"SouthEast";"SouthWest";"North";"NorthEast";"East";"West";"NorthWest"},0),1,2,3,4,5,6,7,8)</f>
        <v>1</v>
      </c>
      <c r="AB2363" s="2">
        <f t="shared" si="366"/>
        <v>0</v>
      </c>
      <c r="AC2363">
        <v>1019</v>
      </c>
      <c r="AD2363" t="s">
        <v>1069</v>
      </c>
      <c r="AE2363" s="2">
        <f t="shared" si="367"/>
        <v>1</v>
      </c>
      <c r="AF2363" t="s">
        <v>3224</v>
      </c>
      <c r="AG2363" s="2">
        <f t="shared" si="368"/>
        <v>2</v>
      </c>
      <c r="AH2363" s="2">
        <f t="shared" si="369"/>
        <v>0</v>
      </c>
      <c r="AI2363" s="3">
        <v>45</v>
      </c>
      <c r="AJ2363" s="2">
        <v>0</v>
      </c>
      <c r="AK2363">
        <v>0</v>
      </c>
      <c r="AL2363">
        <v>1</v>
      </c>
      <c r="AM2363">
        <v>0</v>
      </c>
      <c r="AN2363" s="2">
        <f>IF((2*G2363+M2363-O2363+3*V2363+2*AB2363+2*AE2363+2*AH2363+3*AJ2363)&gt;=7,1,0)</f>
        <v>0</v>
      </c>
    </row>
    <row r="2364" spans="1:40" x14ac:dyDescent="0.25">
      <c r="A2364" t="s">
        <v>27</v>
      </c>
      <c r="B2364" s="1">
        <v>44238</v>
      </c>
      <c r="C2364" s="6">
        <f t="shared" si="360"/>
        <v>2021</v>
      </c>
      <c r="D2364">
        <v>73.3</v>
      </c>
      <c r="E2364">
        <v>49.4</v>
      </c>
      <c r="F2364">
        <v>61.4</v>
      </c>
      <c r="G2364" s="2">
        <f t="shared" si="361"/>
        <v>0</v>
      </c>
      <c r="H2364">
        <v>73.3</v>
      </c>
      <c r="I2364">
        <v>48</v>
      </c>
      <c r="J2364">
        <v>61.4</v>
      </c>
      <c r="K2364">
        <v>49.3</v>
      </c>
      <c r="L2364">
        <v>66</v>
      </c>
      <c r="M2364" s="2">
        <f t="shared" si="362"/>
        <v>1</v>
      </c>
      <c r="N2364">
        <v>0</v>
      </c>
      <c r="O2364" s="2">
        <f t="shared" si="363"/>
        <v>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29.8</v>
      </c>
      <c r="V2364" s="2">
        <f t="shared" si="364"/>
        <v>1</v>
      </c>
      <c r="W2364">
        <v>18.3</v>
      </c>
      <c r="X2364" s="2">
        <f t="shared" si="365"/>
        <v>1</v>
      </c>
      <c r="Y2364">
        <v>186.7</v>
      </c>
      <c r="Z2364" s="2" t="str">
        <f>CHOOSE(MATCH(Y2364,{0;11;80;111;161;191;241;281;341},1),"North","NorthEast","East","SouthEast","South","SouthWest","West","NorthWest","North")</f>
        <v>South</v>
      </c>
      <c r="AA2364" s="4">
        <f>CHOOSE(MATCH(Z2364,{"South";"SouthEast";"SouthWest";"North";"NorthEast";"East";"West";"NorthWest"},0),1,2,3,4,5,6,7,8)</f>
        <v>1</v>
      </c>
      <c r="AB2364" s="2">
        <f t="shared" si="366"/>
        <v>0</v>
      </c>
      <c r="AC2364">
        <v>1015.6</v>
      </c>
      <c r="AD2364" t="s">
        <v>1119</v>
      </c>
      <c r="AE2364" s="2">
        <f t="shared" si="367"/>
        <v>0</v>
      </c>
      <c r="AF2364" t="s">
        <v>3225</v>
      </c>
      <c r="AG2364" s="2">
        <f t="shared" si="368"/>
        <v>2</v>
      </c>
      <c r="AH2364" s="2">
        <f t="shared" si="369"/>
        <v>0</v>
      </c>
      <c r="AI2364" s="3">
        <v>274.99999999534339</v>
      </c>
      <c r="AJ2364" s="2">
        <v>0</v>
      </c>
      <c r="AK2364">
        <v>0</v>
      </c>
      <c r="AL2364">
        <v>1</v>
      </c>
      <c r="AM2364">
        <v>0</v>
      </c>
      <c r="AN2364" s="2">
        <f>IF((2*G2364+M2364-O2364+3*V2364+2*AB2364+2*AE2364+2*AH2364+3*AJ2364)&gt;=7,1,0)</f>
        <v>0</v>
      </c>
    </row>
    <row r="2365" spans="1:40" x14ac:dyDescent="0.25">
      <c r="A2365" t="s">
        <v>27</v>
      </c>
      <c r="B2365" s="1">
        <v>44238</v>
      </c>
      <c r="C2365" s="6">
        <f t="shared" si="360"/>
        <v>2021</v>
      </c>
      <c r="D2365">
        <v>73.3</v>
      </c>
      <c r="E2365">
        <v>49.4</v>
      </c>
      <c r="F2365">
        <v>61.4</v>
      </c>
      <c r="G2365" s="2">
        <f t="shared" si="361"/>
        <v>0</v>
      </c>
      <c r="H2365">
        <v>73.3</v>
      </c>
      <c r="I2365">
        <v>48</v>
      </c>
      <c r="J2365">
        <v>61.4</v>
      </c>
      <c r="K2365">
        <v>49.3</v>
      </c>
      <c r="L2365">
        <v>66</v>
      </c>
      <c r="M2365" s="2">
        <f t="shared" si="362"/>
        <v>1</v>
      </c>
      <c r="N2365">
        <v>0</v>
      </c>
      <c r="O2365" s="2">
        <f t="shared" si="363"/>
        <v>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29.8</v>
      </c>
      <c r="V2365" s="2">
        <f t="shared" si="364"/>
        <v>1</v>
      </c>
      <c r="W2365">
        <v>18.3</v>
      </c>
      <c r="X2365" s="2">
        <f t="shared" si="365"/>
        <v>1</v>
      </c>
      <c r="Y2365">
        <v>186.7</v>
      </c>
      <c r="Z2365" s="2" t="str">
        <f>CHOOSE(MATCH(Y2365,{0;11;80;111;161;191;241;281;341},1),"North","NorthEast","East","SouthEast","South","SouthWest","West","NorthWest","North")</f>
        <v>South</v>
      </c>
      <c r="AA2365" s="4">
        <f>CHOOSE(MATCH(Z2365,{"South";"SouthEast";"SouthWest";"North";"NorthEast";"East";"West";"NorthWest"},0),1,2,3,4,5,6,7,8)</f>
        <v>1</v>
      </c>
      <c r="AB2365" s="2">
        <f t="shared" si="366"/>
        <v>0</v>
      </c>
      <c r="AC2365">
        <v>1015.6</v>
      </c>
      <c r="AD2365" t="s">
        <v>1123</v>
      </c>
      <c r="AE2365" s="2">
        <f t="shared" si="367"/>
        <v>1</v>
      </c>
      <c r="AF2365" t="s">
        <v>3226</v>
      </c>
      <c r="AG2365" s="2">
        <f t="shared" si="368"/>
        <v>2</v>
      </c>
      <c r="AH2365" s="2">
        <f t="shared" si="369"/>
        <v>0</v>
      </c>
      <c r="AI2365" s="3">
        <v>156.00000000558791</v>
      </c>
      <c r="AJ2365" s="2">
        <v>0</v>
      </c>
      <c r="AK2365">
        <v>0</v>
      </c>
      <c r="AL2365">
        <v>1</v>
      </c>
      <c r="AM2365">
        <v>0</v>
      </c>
      <c r="AN2365" s="2">
        <f>IF((2*G2365+M2365-O2365+3*V2365+2*AB2365+2*AE2365+2*AH2365+3*AJ2365)&gt;=7,1,0)</f>
        <v>0</v>
      </c>
    </row>
    <row r="2366" spans="1:40" x14ac:dyDescent="0.25">
      <c r="A2366" t="s">
        <v>27</v>
      </c>
      <c r="B2366" s="1">
        <v>44238</v>
      </c>
      <c r="C2366" s="6">
        <f t="shared" si="360"/>
        <v>2021</v>
      </c>
      <c r="D2366">
        <v>73.3</v>
      </c>
      <c r="E2366">
        <v>49.4</v>
      </c>
      <c r="F2366">
        <v>61.4</v>
      </c>
      <c r="G2366" s="2">
        <f t="shared" si="361"/>
        <v>0</v>
      </c>
      <c r="H2366">
        <v>73.3</v>
      </c>
      <c r="I2366">
        <v>48</v>
      </c>
      <c r="J2366">
        <v>61.4</v>
      </c>
      <c r="K2366">
        <v>49.3</v>
      </c>
      <c r="L2366">
        <v>66</v>
      </c>
      <c r="M2366" s="2">
        <f t="shared" si="362"/>
        <v>1</v>
      </c>
      <c r="N2366">
        <v>0</v>
      </c>
      <c r="O2366" s="2">
        <f t="shared" si="363"/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29.8</v>
      </c>
      <c r="V2366" s="2">
        <f t="shared" si="364"/>
        <v>1</v>
      </c>
      <c r="W2366">
        <v>18.3</v>
      </c>
      <c r="X2366" s="2">
        <f t="shared" si="365"/>
        <v>1</v>
      </c>
      <c r="Y2366">
        <v>186.7</v>
      </c>
      <c r="Z2366" s="2" t="str">
        <f>CHOOSE(MATCH(Y2366,{0;11;80;111;161;191;241;281;341},1),"North","NorthEast","East","SouthEast","South","SouthWest","West","NorthWest","North")</f>
        <v>South</v>
      </c>
      <c r="AA2366" s="4">
        <f>CHOOSE(MATCH(Z2366,{"South";"SouthEast";"SouthWest";"North";"NorthEast";"East";"West";"NorthWest"},0),1,2,3,4,5,6,7,8)</f>
        <v>1</v>
      </c>
      <c r="AB2366" s="2">
        <f t="shared" si="366"/>
        <v>0</v>
      </c>
      <c r="AC2366">
        <v>1015.6</v>
      </c>
      <c r="AD2366" t="s">
        <v>3057</v>
      </c>
      <c r="AE2366" s="2">
        <f t="shared" si="367"/>
        <v>1</v>
      </c>
      <c r="AF2366" t="s">
        <v>3227</v>
      </c>
      <c r="AG2366" s="2">
        <f t="shared" si="368"/>
        <v>2</v>
      </c>
      <c r="AH2366" s="2">
        <f t="shared" si="369"/>
        <v>0</v>
      </c>
      <c r="AI2366" s="3">
        <v>164.0000000002328</v>
      </c>
      <c r="AJ2366" s="2">
        <v>0</v>
      </c>
      <c r="AK2366">
        <v>0</v>
      </c>
      <c r="AL2366">
        <v>1</v>
      </c>
      <c r="AM2366">
        <v>0</v>
      </c>
      <c r="AN2366" s="2">
        <f>IF((2*G2366+M2366-O2366+3*V2366+2*AB2366+2*AE2366+2*AH2366+3*AJ2366)&gt;=7,1,0)</f>
        <v>0</v>
      </c>
    </row>
    <row r="2367" spans="1:40" x14ac:dyDescent="0.25">
      <c r="A2367" t="s">
        <v>27</v>
      </c>
      <c r="B2367" s="1">
        <v>44238</v>
      </c>
      <c r="C2367" s="6">
        <f t="shared" si="360"/>
        <v>2021</v>
      </c>
      <c r="D2367">
        <v>73.3</v>
      </c>
      <c r="E2367">
        <v>49.4</v>
      </c>
      <c r="F2367">
        <v>61.4</v>
      </c>
      <c r="G2367" s="2">
        <f t="shared" si="361"/>
        <v>0</v>
      </c>
      <c r="H2367">
        <v>73.3</v>
      </c>
      <c r="I2367">
        <v>48</v>
      </c>
      <c r="J2367">
        <v>61.4</v>
      </c>
      <c r="K2367">
        <v>49.3</v>
      </c>
      <c r="L2367">
        <v>66</v>
      </c>
      <c r="M2367" s="2">
        <f t="shared" si="362"/>
        <v>1</v>
      </c>
      <c r="N2367">
        <v>0</v>
      </c>
      <c r="O2367" s="2">
        <f t="shared" si="363"/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29.8</v>
      </c>
      <c r="V2367" s="2">
        <f t="shared" si="364"/>
        <v>1</v>
      </c>
      <c r="W2367">
        <v>18.3</v>
      </c>
      <c r="X2367" s="2">
        <f t="shared" si="365"/>
        <v>1</v>
      </c>
      <c r="Y2367">
        <v>186.7</v>
      </c>
      <c r="Z2367" s="2" t="str">
        <f>CHOOSE(MATCH(Y2367,{0;11;80;111;161;191;241;281;341},1),"North","NorthEast","East","SouthEast","South","SouthWest","West","NorthWest","North")</f>
        <v>South</v>
      </c>
      <c r="AA2367" s="4">
        <f>CHOOSE(MATCH(Z2367,{"South";"SouthEast";"SouthWest";"North";"NorthEast";"East";"West";"NorthWest"},0),1,2,3,4,5,6,7,8)</f>
        <v>1</v>
      </c>
      <c r="AB2367" s="2">
        <f t="shared" si="366"/>
        <v>0</v>
      </c>
      <c r="AC2367">
        <v>1015.6</v>
      </c>
      <c r="AD2367" t="s">
        <v>1969</v>
      </c>
      <c r="AE2367" s="2">
        <f t="shared" si="367"/>
        <v>1</v>
      </c>
      <c r="AF2367" t="s">
        <v>3228</v>
      </c>
      <c r="AG2367" s="2">
        <f t="shared" si="368"/>
        <v>2</v>
      </c>
      <c r="AH2367" s="2">
        <f t="shared" si="369"/>
        <v>0</v>
      </c>
      <c r="AI2367" s="3">
        <v>425.99999999511061</v>
      </c>
      <c r="AJ2367" s="2">
        <v>1</v>
      </c>
      <c r="AK2367">
        <v>0</v>
      </c>
      <c r="AL2367">
        <v>7</v>
      </c>
      <c r="AM2367">
        <v>0</v>
      </c>
      <c r="AN2367" s="2">
        <f>IF((2*G2367+M2367-O2367+3*V2367+2*AB2367+2*AE2367+2*AH2367+3*AJ2367)&gt;=7,1,0)</f>
        <v>1</v>
      </c>
    </row>
    <row r="2368" spans="1:40" x14ac:dyDescent="0.25">
      <c r="A2368" t="s">
        <v>27</v>
      </c>
      <c r="B2368" s="1">
        <v>44239</v>
      </c>
      <c r="C2368" s="6">
        <f t="shared" si="360"/>
        <v>2021</v>
      </c>
      <c r="D2368">
        <v>64.3</v>
      </c>
      <c r="E2368">
        <v>49.9</v>
      </c>
      <c r="F2368">
        <v>57.6</v>
      </c>
      <c r="G2368" s="2">
        <f t="shared" si="361"/>
        <v>0</v>
      </c>
      <c r="H2368">
        <v>64.3</v>
      </c>
      <c r="I2368">
        <v>49.9</v>
      </c>
      <c r="J2368">
        <v>57.6</v>
      </c>
      <c r="K2368">
        <v>49.7</v>
      </c>
      <c r="L2368">
        <v>75.5</v>
      </c>
      <c r="M2368" s="2">
        <f t="shared" si="362"/>
        <v>0</v>
      </c>
      <c r="N2368">
        <v>0</v>
      </c>
      <c r="O2368" s="2">
        <f t="shared" si="363"/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24.6</v>
      </c>
      <c r="V2368" s="2">
        <f t="shared" si="364"/>
        <v>1</v>
      </c>
      <c r="W2368">
        <v>18.3</v>
      </c>
      <c r="X2368" s="2">
        <f t="shared" si="365"/>
        <v>1</v>
      </c>
      <c r="Y2368">
        <v>278.3</v>
      </c>
      <c r="Z2368" s="2" t="str">
        <f>CHOOSE(MATCH(Y2368,{0;11;80;111;161;191;241;281;341},1),"North","NorthEast","East","SouthEast","South","SouthWest","West","NorthWest","North")</f>
        <v>West</v>
      </c>
      <c r="AA2368" s="4">
        <f>CHOOSE(MATCH(Z2368,{"South";"SouthEast";"SouthWest";"North";"NorthEast";"East";"West";"NorthWest"},0),1,2,3,4,5,6,7,8)</f>
        <v>7</v>
      </c>
      <c r="AB2368" s="2">
        <f t="shared" si="366"/>
        <v>0</v>
      </c>
      <c r="AC2368">
        <v>1018</v>
      </c>
      <c r="AD2368" t="s">
        <v>1264</v>
      </c>
      <c r="AE2368" s="2">
        <f t="shared" si="367"/>
        <v>1</v>
      </c>
      <c r="AF2368" t="s">
        <v>3229</v>
      </c>
      <c r="AG2368" s="2">
        <f t="shared" si="368"/>
        <v>2</v>
      </c>
      <c r="AH2368" s="2">
        <f t="shared" si="369"/>
        <v>0</v>
      </c>
      <c r="AI2368" s="3">
        <v>239.99999999650751</v>
      </c>
      <c r="AJ2368" s="2">
        <v>0</v>
      </c>
      <c r="AK2368">
        <v>0</v>
      </c>
      <c r="AL2368">
        <v>0.1</v>
      </c>
      <c r="AM2368">
        <v>0</v>
      </c>
      <c r="AN2368" s="2">
        <f>IF((2*G2368+M2368-O2368+3*V2368+2*AB2368+2*AE2368+2*AH2368+3*AJ2368)&gt;=7,1,0)</f>
        <v>0</v>
      </c>
    </row>
    <row r="2369" spans="1:40" x14ac:dyDescent="0.25">
      <c r="A2369" t="s">
        <v>27</v>
      </c>
      <c r="B2369" s="1">
        <v>44241</v>
      </c>
      <c r="C2369" s="6">
        <f t="shared" si="360"/>
        <v>2021</v>
      </c>
      <c r="D2369">
        <v>67.2</v>
      </c>
      <c r="E2369">
        <v>51.8</v>
      </c>
      <c r="F2369">
        <v>58.5</v>
      </c>
      <c r="G2369" s="2">
        <f t="shared" si="361"/>
        <v>0</v>
      </c>
      <c r="H2369">
        <v>67.2</v>
      </c>
      <c r="I2369">
        <v>51.8</v>
      </c>
      <c r="J2369">
        <v>58.5</v>
      </c>
      <c r="K2369">
        <v>50.2</v>
      </c>
      <c r="L2369">
        <v>75</v>
      </c>
      <c r="M2369" s="2">
        <f t="shared" si="362"/>
        <v>0</v>
      </c>
      <c r="N2369">
        <v>1.9E-2</v>
      </c>
      <c r="O2369" s="2">
        <f t="shared" si="363"/>
        <v>0</v>
      </c>
      <c r="P2369">
        <v>100</v>
      </c>
      <c r="Q2369">
        <v>4.17</v>
      </c>
      <c r="R2369" t="s">
        <v>182</v>
      </c>
      <c r="S2369">
        <v>0</v>
      </c>
      <c r="T2369">
        <v>0</v>
      </c>
      <c r="U2369">
        <v>24.2</v>
      </c>
      <c r="V2369" s="2">
        <f t="shared" si="364"/>
        <v>1</v>
      </c>
      <c r="W2369">
        <v>22.9</v>
      </c>
      <c r="X2369" s="2">
        <f t="shared" si="365"/>
        <v>1</v>
      </c>
      <c r="Y2369">
        <v>192</v>
      </c>
      <c r="Z2369" s="2" t="str">
        <f>CHOOSE(MATCH(Y2369,{0;11;80;111;161;191;241;281;341},1),"North","NorthEast","East","SouthEast","South","SouthWest","West","NorthWest","North")</f>
        <v>SouthWest</v>
      </c>
      <c r="AA2369" s="4">
        <f>CHOOSE(MATCH(Z2369,{"South";"SouthEast";"SouthWest";"North";"NorthEast";"East";"West";"NorthWest"},0),1,2,3,4,5,6,7,8)</f>
        <v>3</v>
      </c>
      <c r="AB2369" s="2">
        <f t="shared" si="366"/>
        <v>0</v>
      </c>
      <c r="AC2369">
        <v>1013.9</v>
      </c>
      <c r="AD2369" t="s">
        <v>1077</v>
      </c>
      <c r="AE2369" s="2">
        <f t="shared" si="367"/>
        <v>1</v>
      </c>
      <c r="AF2369" t="s">
        <v>3230</v>
      </c>
      <c r="AG2369" s="2">
        <f t="shared" si="368"/>
        <v>2</v>
      </c>
      <c r="AH2369" s="2">
        <f t="shared" si="369"/>
        <v>0</v>
      </c>
      <c r="AI2369" s="3">
        <v>90</v>
      </c>
      <c r="AJ2369" s="2">
        <v>0</v>
      </c>
      <c r="AK2369">
        <v>2</v>
      </c>
      <c r="AL2369">
        <v>0</v>
      </c>
      <c r="AM2369">
        <v>0</v>
      </c>
      <c r="AN2369" s="2">
        <f>IF((2*G2369+M2369-O2369+3*V2369+2*AB2369+2*AE2369+2*AH2369+3*AJ2369)&gt;=7,1,0)</f>
        <v>0</v>
      </c>
    </row>
    <row r="2370" spans="1:40" x14ac:dyDescent="0.25">
      <c r="A2370" t="s">
        <v>27</v>
      </c>
      <c r="B2370" s="1">
        <v>44249</v>
      </c>
      <c r="C2370" s="6">
        <f t="shared" si="360"/>
        <v>2021</v>
      </c>
      <c r="D2370">
        <v>59</v>
      </c>
      <c r="E2370">
        <v>50</v>
      </c>
      <c r="F2370">
        <v>54.8</v>
      </c>
      <c r="G2370" s="2">
        <f t="shared" si="361"/>
        <v>0</v>
      </c>
      <c r="H2370">
        <v>59</v>
      </c>
      <c r="I2370">
        <v>50</v>
      </c>
      <c r="J2370">
        <v>54.8</v>
      </c>
      <c r="K2370">
        <v>48.1</v>
      </c>
      <c r="L2370">
        <v>78.599999999999994</v>
      </c>
      <c r="M2370" s="2">
        <f t="shared" si="362"/>
        <v>0</v>
      </c>
      <c r="N2370">
        <v>0.318</v>
      </c>
      <c r="O2370" s="2">
        <f t="shared" si="363"/>
        <v>0</v>
      </c>
      <c r="P2370">
        <v>100</v>
      </c>
      <c r="Q2370">
        <v>8.33</v>
      </c>
      <c r="R2370" t="s">
        <v>182</v>
      </c>
      <c r="S2370">
        <v>0</v>
      </c>
      <c r="T2370">
        <v>0</v>
      </c>
      <c r="U2370">
        <v>25.1</v>
      </c>
      <c r="V2370" s="2">
        <f t="shared" si="364"/>
        <v>1</v>
      </c>
      <c r="W2370">
        <v>17.399999999999999</v>
      </c>
      <c r="X2370" s="2">
        <f t="shared" si="365"/>
        <v>1</v>
      </c>
      <c r="Y2370">
        <v>341.9</v>
      </c>
      <c r="Z2370" s="2" t="str">
        <f>CHOOSE(MATCH(Y2370,{0;11;80;111;161;191;241;281;341},1),"North","NorthEast","East","SouthEast","South","SouthWest","West","NorthWest","North")</f>
        <v>North</v>
      </c>
      <c r="AA2370" s="4">
        <f>CHOOSE(MATCH(Z2370,{"South";"SouthEast";"SouthWest";"North";"NorthEast";"East";"West";"NorthWest"},0),1,2,3,4,5,6,7,8)</f>
        <v>4</v>
      </c>
      <c r="AB2370" s="2">
        <f t="shared" si="366"/>
        <v>1</v>
      </c>
      <c r="AC2370">
        <v>1027.3</v>
      </c>
      <c r="AD2370" t="s">
        <v>1203</v>
      </c>
      <c r="AE2370" s="2">
        <f t="shared" si="367"/>
        <v>1</v>
      </c>
      <c r="AF2370" t="s">
        <v>3231</v>
      </c>
      <c r="AG2370" s="2">
        <f t="shared" si="368"/>
        <v>2</v>
      </c>
      <c r="AH2370" s="2">
        <f t="shared" si="369"/>
        <v>0</v>
      </c>
      <c r="AI2370" s="3">
        <v>290.00000000232831</v>
      </c>
      <c r="AJ2370" s="2">
        <v>0</v>
      </c>
      <c r="AK2370">
        <v>0</v>
      </c>
      <c r="AL2370">
        <v>3</v>
      </c>
      <c r="AM2370">
        <v>0</v>
      </c>
      <c r="AN2370" s="2">
        <f>IF((2*G2370+M2370-O2370+3*V2370+2*AB2370+2*AE2370+2*AH2370+3*AJ2370)&gt;=7,1,0)</f>
        <v>1</v>
      </c>
    </row>
    <row r="2371" spans="1:40" x14ac:dyDescent="0.25">
      <c r="A2371" t="s">
        <v>27</v>
      </c>
      <c r="B2371" s="1">
        <v>44255</v>
      </c>
      <c r="C2371" s="6">
        <f t="shared" ref="C2371:C2434" si="370">YEAR(B2371)</f>
        <v>2021</v>
      </c>
      <c r="D2371">
        <v>62.6</v>
      </c>
      <c r="E2371">
        <v>46.4</v>
      </c>
      <c r="F2371">
        <v>56.1</v>
      </c>
      <c r="G2371" s="2">
        <f t="shared" ref="G2371:G2434" si="371">IF(F2371&lt;=70,0,1)</f>
        <v>0</v>
      </c>
      <c r="H2371">
        <v>62.6</v>
      </c>
      <c r="I2371">
        <v>43.5</v>
      </c>
      <c r="J2371">
        <v>55.6</v>
      </c>
      <c r="K2371">
        <v>50.7</v>
      </c>
      <c r="L2371">
        <v>82.5</v>
      </c>
      <c r="M2371" s="2">
        <f t="shared" ref="M2371:M2434" si="372">IF(L2371&lt;=66,1,0)</f>
        <v>0</v>
      </c>
      <c r="N2371">
        <v>0</v>
      </c>
      <c r="O2371" s="2">
        <f t="shared" ref="O2371:O2434" si="373">IF(N2371&lt;=0.01,1,0)</f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28.9</v>
      </c>
      <c r="V2371" s="2">
        <f t="shared" ref="V2371:V2434" si="374">IF(U2371&lt;=9,0,1)</f>
        <v>1</v>
      </c>
      <c r="W2371">
        <v>18.3</v>
      </c>
      <c r="X2371" s="2">
        <f t="shared" ref="X2371:X2434" si="375">IF(W2371&gt;=16,1,0)</f>
        <v>1</v>
      </c>
      <c r="Y2371">
        <v>303.7</v>
      </c>
      <c r="Z2371" s="2" t="str">
        <f>CHOOSE(MATCH(Y2371,{0;11;80;111;161;191;241;281;341},1),"North","NorthEast","East","SouthEast","South","SouthWest","West","NorthWest","North")</f>
        <v>NorthWest</v>
      </c>
      <c r="AA2371" s="4">
        <f>CHOOSE(MATCH(Z2371,{"South";"SouthEast";"SouthWest";"North";"NorthEast";"East";"West";"NorthWest"},0),1,2,3,4,5,6,7,8)</f>
        <v>8</v>
      </c>
      <c r="AB2371" s="2">
        <f t="shared" ref="AB2371:AB2434" si="376">IF(OR(AA2371=4,AA2371=5,AA2371=8),1,0)</f>
        <v>1</v>
      </c>
      <c r="AC2371">
        <v>1020.6</v>
      </c>
      <c r="AD2371" t="s">
        <v>2155</v>
      </c>
      <c r="AE2371" s="2">
        <f t="shared" ref="AE2371:AE2434" si="377">IF(TIMEVALUE(AD2371)&lt;=TIME(12,30,0),0,1)</f>
        <v>0</v>
      </c>
      <c r="AF2371" t="s">
        <v>3232</v>
      </c>
      <c r="AG2371" s="2">
        <f t="shared" ref="AG2371:AG2434" si="378">MONTH(AF2371)</f>
        <v>2</v>
      </c>
      <c r="AH2371" s="2">
        <f t="shared" ref="AH2371:AH2434" si="379">IF(OR(AG2371=6,AG2371=7,AG2371=8),1,0)</f>
        <v>0</v>
      </c>
      <c r="AI2371" s="3">
        <v>1364.999999996508</v>
      </c>
      <c r="AJ2371" s="2">
        <v>1</v>
      </c>
      <c r="AK2371">
        <v>0</v>
      </c>
      <c r="AL2371">
        <v>5</v>
      </c>
      <c r="AM2371">
        <v>0</v>
      </c>
      <c r="AN2371" s="2">
        <f>IF((2*G2371+M2371-O2371+3*V2371+2*AB2371+2*AE2371+2*AH2371+3*AJ2371)&gt;=7,1,0)</f>
        <v>1</v>
      </c>
    </row>
    <row r="2372" spans="1:40" x14ac:dyDescent="0.25">
      <c r="A2372" t="s">
        <v>27</v>
      </c>
      <c r="B2372" s="1">
        <v>44258</v>
      </c>
      <c r="C2372" s="6">
        <f t="shared" si="370"/>
        <v>2021</v>
      </c>
      <c r="D2372">
        <v>57.2</v>
      </c>
      <c r="E2372">
        <v>50</v>
      </c>
      <c r="F2372">
        <v>54.1</v>
      </c>
      <c r="G2372" s="2">
        <f t="shared" si="371"/>
        <v>0</v>
      </c>
      <c r="H2372">
        <v>57.2</v>
      </c>
      <c r="I2372">
        <v>41.7</v>
      </c>
      <c r="J2372">
        <v>53.4</v>
      </c>
      <c r="K2372">
        <v>44</v>
      </c>
      <c r="L2372">
        <v>69.2</v>
      </c>
      <c r="M2372" s="2">
        <f t="shared" si="372"/>
        <v>0</v>
      </c>
      <c r="N2372">
        <v>1.6E-2</v>
      </c>
      <c r="O2372" s="2">
        <f t="shared" si="373"/>
        <v>0</v>
      </c>
      <c r="P2372">
        <v>100</v>
      </c>
      <c r="Q2372">
        <v>4.17</v>
      </c>
      <c r="R2372" t="s">
        <v>182</v>
      </c>
      <c r="S2372">
        <v>0</v>
      </c>
      <c r="T2372">
        <v>0</v>
      </c>
      <c r="U2372">
        <v>48.3</v>
      </c>
      <c r="V2372" s="2">
        <f t="shared" si="374"/>
        <v>1</v>
      </c>
      <c r="W2372">
        <v>32.700000000000003</v>
      </c>
      <c r="X2372" s="2">
        <f t="shared" si="375"/>
        <v>1</v>
      </c>
      <c r="Y2372">
        <v>330.8</v>
      </c>
      <c r="Z2372" s="2" t="str">
        <f>CHOOSE(MATCH(Y2372,{0;11;80;111;161;191;241;281;341},1),"North","NorthEast","East","SouthEast","South","SouthWest","West","NorthWest","North")</f>
        <v>NorthWest</v>
      </c>
      <c r="AA2372" s="4">
        <f>CHOOSE(MATCH(Z2372,{"South";"SouthEast";"SouthWest";"North";"NorthEast";"East";"West";"NorthWest"},0),1,2,3,4,5,6,7,8)</f>
        <v>8</v>
      </c>
      <c r="AB2372" s="2">
        <f t="shared" si="376"/>
        <v>1</v>
      </c>
      <c r="AC2372">
        <v>1024.4000000000001</v>
      </c>
      <c r="AD2372" t="s">
        <v>1962</v>
      </c>
      <c r="AE2372" s="2">
        <f t="shared" si="377"/>
        <v>1</v>
      </c>
      <c r="AF2372" t="s">
        <v>3233</v>
      </c>
      <c r="AG2372" s="2">
        <f t="shared" si="378"/>
        <v>3</v>
      </c>
      <c r="AH2372" s="2">
        <f t="shared" si="379"/>
        <v>0</v>
      </c>
      <c r="AI2372" s="3">
        <v>198.99999999906871</v>
      </c>
      <c r="AJ2372" s="2">
        <v>0</v>
      </c>
      <c r="AK2372">
        <v>0</v>
      </c>
      <c r="AL2372">
        <v>4</v>
      </c>
      <c r="AM2372">
        <v>0</v>
      </c>
      <c r="AN2372" s="2">
        <f>IF((2*G2372+M2372-O2372+3*V2372+2*AB2372+2*AE2372+2*AH2372+3*AJ2372)&gt;=7,1,0)</f>
        <v>1</v>
      </c>
    </row>
    <row r="2373" spans="1:40" x14ac:dyDescent="0.25">
      <c r="A2373" t="s">
        <v>27</v>
      </c>
      <c r="B2373" s="1">
        <v>44261</v>
      </c>
      <c r="C2373" s="6">
        <f t="shared" si="370"/>
        <v>2021</v>
      </c>
      <c r="D2373">
        <v>71.599999999999994</v>
      </c>
      <c r="E2373">
        <v>51.8</v>
      </c>
      <c r="F2373">
        <v>59.3</v>
      </c>
      <c r="G2373" s="2">
        <f t="shared" si="371"/>
        <v>0</v>
      </c>
      <c r="H2373">
        <v>71.599999999999994</v>
      </c>
      <c r="I2373">
        <v>51.8</v>
      </c>
      <c r="J2373">
        <v>59.3</v>
      </c>
      <c r="K2373">
        <v>48.5</v>
      </c>
      <c r="L2373">
        <v>68.599999999999994</v>
      </c>
      <c r="M2373" s="2">
        <f t="shared" si="372"/>
        <v>0</v>
      </c>
      <c r="N2373">
        <v>0</v>
      </c>
      <c r="O2373" s="2">
        <f t="shared" si="373"/>
        <v>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21.9</v>
      </c>
      <c r="V2373" s="2">
        <f t="shared" si="374"/>
        <v>1</v>
      </c>
      <c r="W2373">
        <v>16.100000000000001</v>
      </c>
      <c r="X2373" s="2">
        <f t="shared" si="375"/>
        <v>1</v>
      </c>
      <c r="Y2373">
        <v>181.9</v>
      </c>
      <c r="Z2373" s="2" t="str">
        <f>CHOOSE(MATCH(Y2373,{0;11;80;111;161;191;241;281;341},1),"North","NorthEast","East","SouthEast","South","SouthWest","West","NorthWest","North")</f>
        <v>South</v>
      </c>
      <c r="AA2373" s="4">
        <f>CHOOSE(MATCH(Z2373,{"South";"SouthEast";"SouthWest";"North";"NorthEast";"East";"West";"NorthWest"},0),1,2,3,4,5,6,7,8)</f>
        <v>1</v>
      </c>
      <c r="AB2373" s="2">
        <f t="shared" si="376"/>
        <v>0</v>
      </c>
      <c r="AC2373">
        <v>1020.5</v>
      </c>
      <c r="AD2373" t="s">
        <v>1215</v>
      </c>
      <c r="AE2373" s="2">
        <f t="shared" si="377"/>
        <v>1</v>
      </c>
      <c r="AF2373" t="s">
        <v>3234</v>
      </c>
      <c r="AG2373" s="2">
        <f t="shared" si="378"/>
        <v>3</v>
      </c>
      <c r="AH2373" s="2">
        <f t="shared" si="379"/>
        <v>0</v>
      </c>
      <c r="AI2373" s="3">
        <v>49.999999995343387</v>
      </c>
      <c r="AJ2373" s="2">
        <v>0</v>
      </c>
      <c r="AK2373">
        <v>0</v>
      </c>
      <c r="AL2373">
        <v>0.04</v>
      </c>
      <c r="AM2373">
        <v>0</v>
      </c>
      <c r="AN2373" s="2">
        <f>IF((2*G2373+M2373-O2373+3*V2373+2*AB2373+2*AE2373+2*AH2373+3*AJ2373)&gt;=7,1,0)</f>
        <v>0</v>
      </c>
    </row>
    <row r="2374" spans="1:40" x14ac:dyDescent="0.25">
      <c r="A2374" t="s">
        <v>27</v>
      </c>
      <c r="B2374" s="1">
        <v>44265</v>
      </c>
      <c r="C2374" s="6">
        <f t="shared" si="370"/>
        <v>2021</v>
      </c>
      <c r="D2374">
        <v>64.400000000000006</v>
      </c>
      <c r="E2374">
        <v>55.1</v>
      </c>
      <c r="F2374">
        <v>60.2</v>
      </c>
      <c r="G2374" s="2">
        <f t="shared" si="371"/>
        <v>0</v>
      </c>
      <c r="H2374">
        <v>64.400000000000006</v>
      </c>
      <c r="I2374">
        <v>55.1</v>
      </c>
      <c r="J2374">
        <v>60.2</v>
      </c>
      <c r="K2374">
        <v>56.6</v>
      </c>
      <c r="L2374">
        <v>88.1</v>
      </c>
      <c r="M2374" s="2">
        <f t="shared" si="372"/>
        <v>0</v>
      </c>
      <c r="N2374">
        <v>0</v>
      </c>
      <c r="O2374" s="2">
        <f t="shared" si="373"/>
        <v>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24.4</v>
      </c>
      <c r="V2374" s="2">
        <f t="shared" si="374"/>
        <v>1</v>
      </c>
      <c r="W2374">
        <v>12.2</v>
      </c>
      <c r="X2374" s="2">
        <f t="shared" si="375"/>
        <v>0</v>
      </c>
      <c r="Y2374">
        <v>300.5</v>
      </c>
      <c r="Z2374" s="2" t="str">
        <f>CHOOSE(MATCH(Y2374,{0;11;80;111;161;191;241;281;341},1),"North","NorthEast","East","SouthEast","South","SouthWest","West","NorthWest","North")</f>
        <v>NorthWest</v>
      </c>
      <c r="AA2374" s="4">
        <f>CHOOSE(MATCH(Z2374,{"South";"SouthEast";"SouthWest";"North";"NorthEast";"East";"West";"NorthWest"},0),1,2,3,4,5,6,7,8)</f>
        <v>8</v>
      </c>
      <c r="AB2374" s="2">
        <f t="shared" si="376"/>
        <v>1</v>
      </c>
      <c r="AC2374">
        <v>1010.4</v>
      </c>
      <c r="AD2374" t="s">
        <v>1203</v>
      </c>
      <c r="AE2374" s="2">
        <f t="shared" si="377"/>
        <v>1</v>
      </c>
      <c r="AF2374" t="s">
        <v>3235</v>
      </c>
      <c r="AG2374" s="2">
        <f t="shared" si="378"/>
        <v>3</v>
      </c>
      <c r="AH2374" s="2">
        <f t="shared" si="379"/>
        <v>0</v>
      </c>
      <c r="AI2374" s="3">
        <v>349.99999999883579</v>
      </c>
      <c r="AJ2374" s="2">
        <v>0</v>
      </c>
      <c r="AK2374">
        <v>0</v>
      </c>
      <c r="AL2374">
        <v>1</v>
      </c>
      <c r="AM2374">
        <v>0</v>
      </c>
      <c r="AN2374" s="2">
        <f>IF((2*G2374+M2374-O2374+3*V2374+2*AB2374+2*AE2374+2*AH2374+3*AJ2374)&gt;=7,1,0)</f>
        <v>0</v>
      </c>
    </row>
    <row r="2375" spans="1:40" x14ac:dyDescent="0.25">
      <c r="A2375" t="s">
        <v>27</v>
      </c>
      <c r="B2375" s="1">
        <v>44268</v>
      </c>
      <c r="C2375" s="6">
        <f t="shared" si="370"/>
        <v>2021</v>
      </c>
      <c r="D2375">
        <v>62.6</v>
      </c>
      <c r="E2375">
        <v>46.4</v>
      </c>
      <c r="F2375">
        <v>54.5</v>
      </c>
      <c r="G2375" s="2">
        <f t="shared" si="371"/>
        <v>0</v>
      </c>
      <c r="H2375">
        <v>62.6</v>
      </c>
      <c r="I2375">
        <v>41.5</v>
      </c>
      <c r="J2375">
        <v>53.3</v>
      </c>
      <c r="K2375">
        <v>48.4</v>
      </c>
      <c r="L2375">
        <v>80.5</v>
      </c>
      <c r="M2375" s="2">
        <f t="shared" si="372"/>
        <v>0</v>
      </c>
      <c r="N2375">
        <v>0</v>
      </c>
      <c r="O2375" s="2">
        <f t="shared" si="373"/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17.7</v>
      </c>
      <c r="V2375" s="2">
        <f t="shared" si="374"/>
        <v>1</v>
      </c>
      <c r="W2375">
        <v>13.9</v>
      </c>
      <c r="X2375" s="2">
        <f t="shared" si="375"/>
        <v>0</v>
      </c>
      <c r="Y2375">
        <v>220.1</v>
      </c>
      <c r="Z2375" s="2" t="str">
        <f>CHOOSE(MATCH(Y2375,{0;11;80;111;161;191;241;281;341},1),"North","NorthEast","East","SouthEast","South","SouthWest","West","NorthWest","North")</f>
        <v>SouthWest</v>
      </c>
      <c r="AA2375" s="4">
        <f>CHOOSE(MATCH(Z2375,{"South";"SouthEast";"SouthWest";"North";"NorthEast";"East";"West";"NorthWest"},0),1,2,3,4,5,6,7,8)</f>
        <v>3</v>
      </c>
      <c r="AB2375" s="2">
        <f t="shared" si="376"/>
        <v>0</v>
      </c>
      <c r="AC2375">
        <v>1017.9</v>
      </c>
      <c r="AD2375" t="s">
        <v>1138</v>
      </c>
      <c r="AE2375" s="2">
        <f t="shared" si="377"/>
        <v>1</v>
      </c>
      <c r="AF2375" t="s">
        <v>3236</v>
      </c>
      <c r="AG2375" s="2">
        <f t="shared" si="378"/>
        <v>3</v>
      </c>
      <c r="AH2375" s="2">
        <f t="shared" si="379"/>
        <v>0</v>
      </c>
      <c r="AI2375" s="3">
        <v>314.00000000721769</v>
      </c>
      <c r="AJ2375" s="2">
        <v>0</v>
      </c>
      <c r="AK2375">
        <v>0</v>
      </c>
      <c r="AL2375">
        <v>40</v>
      </c>
      <c r="AM2375">
        <v>0</v>
      </c>
      <c r="AN2375" s="2">
        <f>IF((2*G2375+M2375-O2375+3*V2375+2*AB2375+2*AE2375+2*AH2375+3*AJ2375)&gt;=7,1,0)</f>
        <v>0</v>
      </c>
    </row>
    <row r="2376" spans="1:40" x14ac:dyDescent="0.25">
      <c r="A2376" t="s">
        <v>27</v>
      </c>
      <c r="B2376" s="1">
        <v>44273</v>
      </c>
      <c r="C2376" s="6">
        <f t="shared" si="370"/>
        <v>2021</v>
      </c>
      <c r="D2376">
        <v>60.8</v>
      </c>
      <c r="E2376">
        <v>50</v>
      </c>
      <c r="F2376">
        <v>54.8</v>
      </c>
      <c r="G2376" s="2">
        <f t="shared" si="371"/>
        <v>0</v>
      </c>
      <c r="H2376">
        <v>60.8</v>
      </c>
      <c r="I2376">
        <v>50</v>
      </c>
      <c r="J2376">
        <v>54.8</v>
      </c>
      <c r="K2376">
        <v>42.7</v>
      </c>
      <c r="L2376">
        <v>64.5</v>
      </c>
      <c r="M2376" s="2">
        <f t="shared" si="372"/>
        <v>1</v>
      </c>
      <c r="N2376">
        <v>0</v>
      </c>
      <c r="O2376" s="2">
        <f t="shared" si="373"/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27.1</v>
      </c>
      <c r="V2376" s="2">
        <f t="shared" si="374"/>
        <v>1</v>
      </c>
      <c r="W2376">
        <v>19.7</v>
      </c>
      <c r="X2376" s="2">
        <f t="shared" si="375"/>
        <v>1</v>
      </c>
      <c r="Y2376">
        <v>268.5</v>
      </c>
      <c r="Z2376" s="2" t="str">
        <f>CHOOSE(MATCH(Y2376,{0;11;80;111;161;191;241;281;341},1),"North","NorthEast","East","SouthEast","South","SouthWest","West","NorthWest","North")</f>
        <v>West</v>
      </c>
      <c r="AA2376" s="4">
        <f>CHOOSE(MATCH(Z2376,{"South";"SouthEast";"SouthWest";"North";"NorthEast";"East";"West";"NorthWest"},0),1,2,3,4,5,6,7,8)</f>
        <v>7</v>
      </c>
      <c r="AB2376" s="2">
        <f t="shared" si="376"/>
        <v>0</v>
      </c>
      <c r="AC2376">
        <v>1014.9</v>
      </c>
      <c r="AD2376" t="s">
        <v>2413</v>
      </c>
      <c r="AE2376" s="2">
        <f t="shared" si="377"/>
        <v>0</v>
      </c>
      <c r="AF2376" t="s">
        <v>3237</v>
      </c>
      <c r="AG2376" s="2">
        <f t="shared" si="378"/>
        <v>3</v>
      </c>
      <c r="AH2376" s="2">
        <f t="shared" si="379"/>
        <v>0</v>
      </c>
      <c r="AI2376" s="3">
        <v>281.00000000442378</v>
      </c>
      <c r="AJ2376" s="2">
        <v>0</v>
      </c>
      <c r="AK2376">
        <v>0</v>
      </c>
      <c r="AL2376">
        <v>0.3</v>
      </c>
      <c r="AM2376">
        <v>0</v>
      </c>
      <c r="AN2376" s="2">
        <f>IF((2*G2376+M2376-O2376+3*V2376+2*AB2376+2*AE2376+2*AH2376+3*AJ2376)&gt;=7,1,0)</f>
        <v>0</v>
      </c>
    </row>
    <row r="2377" spans="1:40" x14ac:dyDescent="0.25">
      <c r="A2377" t="s">
        <v>27</v>
      </c>
      <c r="B2377" s="1">
        <v>44275</v>
      </c>
      <c r="C2377" s="6">
        <f t="shared" si="370"/>
        <v>2021</v>
      </c>
      <c r="D2377">
        <v>68</v>
      </c>
      <c r="E2377">
        <v>53.6</v>
      </c>
      <c r="F2377">
        <v>61.5</v>
      </c>
      <c r="G2377" s="2">
        <f t="shared" si="371"/>
        <v>0</v>
      </c>
      <c r="H2377">
        <v>68</v>
      </c>
      <c r="I2377">
        <v>53.6</v>
      </c>
      <c r="J2377">
        <v>61.5</v>
      </c>
      <c r="K2377">
        <v>49.1</v>
      </c>
      <c r="L2377">
        <v>66.400000000000006</v>
      </c>
      <c r="M2377" s="2">
        <f t="shared" si="372"/>
        <v>0</v>
      </c>
      <c r="N2377">
        <v>0.19700000000000001</v>
      </c>
      <c r="O2377" s="2">
        <f t="shared" si="373"/>
        <v>0</v>
      </c>
      <c r="P2377">
        <v>100</v>
      </c>
      <c r="Q2377">
        <v>4.17</v>
      </c>
      <c r="R2377" t="s">
        <v>182</v>
      </c>
      <c r="S2377">
        <v>0</v>
      </c>
      <c r="T2377">
        <v>0</v>
      </c>
      <c r="U2377">
        <v>39.1</v>
      </c>
      <c r="V2377" s="2">
        <f t="shared" si="374"/>
        <v>1</v>
      </c>
      <c r="W2377">
        <v>27.7</v>
      </c>
      <c r="X2377" s="2">
        <f t="shared" si="375"/>
        <v>1</v>
      </c>
      <c r="Y2377">
        <v>165.7</v>
      </c>
      <c r="Z2377" s="2" t="str">
        <f>CHOOSE(MATCH(Y2377,{0;11;80;111;161;191;241;281;341},1),"North","NorthEast","East","SouthEast","South","SouthWest","West","NorthWest","North")</f>
        <v>South</v>
      </c>
      <c r="AA2377" s="4">
        <f>CHOOSE(MATCH(Z2377,{"South";"SouthEast";"SouthWest";"North";"NorthEast";"East";"West";"NorthWest"},0),1,2,3,4,5,6,7,8)</f>
        <v>1</v>
      </c>
      <c r="AB2377" s="2">
        <f t="shared" si="376"/>
        <v>0</v>
      </c>
      <c r="AC2377">
        <v>1012.2</v>
      </c>
      <c r="AD2377" t="s">
        <v>1125</v>
      </c>
      <c r="AE2377" s="2">
        <f t="shared" si="377"/>
        <v>1</v>
      </c>
      <c r="AF2377" t="s">
        <v>3238</v>
      </c>
      <c r="AG2377" s="2">
        <f t="shared" si="378"/>
        <v>3</v>
      </c>
      <c r="AH2377" s="2">
        <f t="shared" si="379"/>
        <v>0</v>
      </c>
      <c r="AI2377" s="3">
        <v>229.00000000256111</v>
      </c>
      <c r="AJ2377" s="2">
        <v>0</v>
      </c>
      <c r="AK2377">
        <v>0</v>
      </c>
      <c r="AL2377">
        <v>3</v>
      </c>
      <c r="AM2377">
        <v>0</v>
      </c>
      <c r="AN2377" s="2">
        <f>IF((2*G2377+M2377-O2377+3*V2377+2*AB2377+2*AE2377+2*AH2377+3*AJ2377)&gt;=7,1,0)</f>
        <v>0</v>
      </c>
    </row>
    <row r="2378" spans="1:40" x14ac:dyDescent="0.25">
      <c r="A2378" t="s">
        <v>27</v>
      </c>
      <c r="B2378" s="1">
        <v>44285</v>
      </c>
      <c r="C2378" s="6">
        <f t="shared" si="370"/>
        <v>2021</v>
      </c>
      <c r="D2378">
        <v>60.8</v>
      </c>
      <c r="E2378">
        <v>48.2</v>
      </c>
      <c r="F2378">
        <v>57.2</v>
      </c>
      <c r="G2378" s="2">
        <f t="shared" si="371"/>
        <v>0</v>
      </c>
      <c r="H2378">
        <v>60.8</v>
      </c>
      <c r="I2378">
        <v>47.4</v>
      </c>
      <c r="J2378">
        <v>57.1</v>
      </c>
      <c r="K2378">
        <v>46.5</v>
      </c>
      <c r="L2378">
        <v>68.2</v>
      </c>
      <c r="M2378" s="2">
        <f t="shared" si="372"/>
        <v>0</v>
      </c>
      <c r="N2378">
        <v>0</v>
      </c>
      <c r="O2378" s="2">
        <f t="shared" si="373"/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42.5</v>
      </c>
      <c r="V2378" s="2">
        <f t="shared" si="374"/>
        <v>1</v>
      </c>
      <c r="W2378">
        <v>25.2</v>
      </c>
      <c r="X2378" s="2">
        <f t="shared" si="375"/>
        <v>1</v>
      </c>
      <c r="Y2378">
        <v>332.9</v>
      </c>
      <c r="Z2378" s="2" t="str">
        <f>CHOOSE(MATCH(Y2378,{0;11;80;111;161;191;241;281;341},1),"North","NorthEast","East","SouthEast","South","SouthWest","West","NorthWest","North")</f>
        <v>NorthWest</v>
      </c>
      <c r="AA2378" s="4">
        <f>CHOOSE(MATCH(Z2378,{"South";"SouthEast";"SouthWest";"North";"NorthEast";"East";"West";"NorthWest"},0),1,2,3,4,5,6,7,8)</f>
        <v>8</v>
      </c>
      <c r="AB2378" s="2">
        <f t="shared" si="376"/>
        <v>1</v>
      </c>
      <c r="AC2378">
        <v>1022.3</v>
      </c>
      <c r="AD2378" t="s">
        <v>1111</v>
      </c>
      <c r="AE2378" s="2">
        <f t="shared" si="377"/>
        <v>1</v>
      </c>
      <c r="AF2378" t="s">
        <v>3239</v>
      </c>
      <c r="AG2378" s="2">
        <f t="shared" si="378"/>
        <v>3</v>
      </c>
      <c r="AH2378" s="2">
        <f t="shared" si="379"/>
        <v>0</v>
      </c>
      <c r="AI2378" s="3">
        <v>349.99999999883579</v>
      </c>
      <c r="AJ2378" s="2">
        <v>0</v>
      </c>
      <c r="AK2378">
        <v>0</v>
      </c>
      <c r="AL2378">
        <v>3</v>
      </c>
      <c r="AM2378">
        <v>0</v>
      </c>
      <c r="AN2378" s="2">
        <f>IF((2*G2378+M2378-O2378+3*V2378+2*AB2378+2*AE2378+2*AH2378+3*AJ2378)&gt;=7,1,0)</f>
        <v>0</v>
      </c>
    </row>
    <row r="2379" spans="1:40" x14ac:dyDescent="0.25">
      <c r="A2379" t="s">
        <v>27</v>
      </c>
      <c r="B2379" s="1">
        <v>44290</v>
      </c>
      <c r="C2379" s="6">
        <f t="shared" si="370"/>
        <v>2021</v>
      </c>
      <c r="D2379">
        <v>77</v>
      </c>
      <c r="E2379">
        <v>55.4</v>
      </c>
      <c r="F2379">
        <v>67.2</v>
      </c>
      <c r="G2379" s="2">
        <f t="shared" si="371"/>
        <v>0</v>
      </c>
      <c r="H2379">
        <v>77</v>
      </c>
      <c r="I2379">
        <v>55.4</v>
      </c>
      <c r="J2379">
        <v>67.2</v>
      </c>
      <c r="K2379">
        <v>48.1</v>
      </c>
      <c r="L2379">
        <v>52.8</v>
      </c>
      <c r="M2379" s="2">
        <f t="shared" si="372"/>
        <v>1</v>
      </c>
      <c r="N2379">
        <v>0</v>
      </c>
      <c r="O2379" s="2">
        <f t="shared" si="373"/>
        <v>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41.4</v>
      </c>
      <c r="V2379" s="2">
        <f t="shared" si="374"/>
        <v>1</v>
      </c>
      <c r="W2379">
        <v>29.8</v>
      </c>
      <c r="X2379" s="2">
        <f t="shared" si="375"/>
        <v>1</v>
      </c>
      <c r="Y2379">
        <v>175</v>
      </c>
      <c r="Z2379" s="2" t="str">
        <f>CHOOSE(MATCH(Y2379,{0;11;80;111;161;191;241;281;341},1),"North","NorthEast","East","SouthEast","South","SouthWest","West","NorthWest","North")</f>
        <v>South</v>
      </c>
      <c r="AA2379" s="4">
        <f>CHOOSE(MATCH(Z2379,{"South";"SouthEast";"SouthWest";"North";"NorthEast";"East";"West";"NorthWest"},0),1,2,3,4,5,6,7,8)</f>
        <v>1</v>
      </c>
      <c r="AB2379" s="2">
        <f t="shared" si="376"/>
        <v>0</v>
      </c>
      <c r="AC2379">
        <v>1013.3</v>
      </c>
      <c r="AD2379" t="s">
        <v>2562</v>
      </c>
      <c r="AE2379" s="2">
        <f t="shared" si="377"/>
        <v>0</v>
      </c>
      <c r="AF2379" t="s">
        <v>3240</v>
      </c>
      <c r="AG2379" s="2">
        <f t="shared" si="378"/>
        <v>4</v>
      </c>
      <c r="AH2379" s="2">
        <f t="shared" si="379"/>
        <v>0</v>
      </c>
      <c r="AI2379" s="3">
        <v>260.9999999916181</v>
      </c>
      <c r="AJ2379" s="2">
        <v>0</v>
      </c>
      <c r="AK2379">
        <v>0</v>
      </c>
      <c r="AL2379">
        <v>1</v>
      </c>
      <c r="AM2379">
        <v>0</v>
      </c>
      <c r="AN2379" s="2">
        <f>IF((2*G2379+M2379-O2379+3*V2379+2*AB2379+2*AE2379+2*AH2379+3*AJ2379)&gt;=7,1,0)</f>
        <v>0</v>
      </c>
    </row>
    <row r="2380" spans="1:40" x14ac:dyDescent="0.25">
      <c r="A2380" t="s">
        <v>27</v>
      </c>
      <c r="B2380" s="1">
        <v>44291</v>
      </c>
      <c r="C2380" s="6">
        <f t="shared" si="370"/>
        <v>2021</v>
      </c>
      <c r="D2380">
        <v>75.2</v>
      </c>
      <c r="E2380">
        <v>71.599999999999994</v>
      </c>
      <c r="F2380">
        <v>74.099999999999994</v>
      </c>
      <c r="G2380" s="2">
        <f t="shared" si="371"/>
        <v>1</v>
      </c>
      <c r="H2380">
        <v>75.2</v>
      </c>
      <c r="I2380">
        <v>71.599999999999994</v>
      </c>
      <c r="J2380">
        <v>74.099999999999994</v>
      </c>
      <c r="K2380">
        <v>44.5</v>
      </c>
      <c r="L2380">
        <v>34.9</v>
      </c>
      <c r="M2380" s="2">
        <f t="shared" si="372"/>
        <v>1</v>
      </c>
      <c r="N2380">
        <v>0</v>
      </c>
      <c r="O2380" s="2">
        <f t="shared" si="373"/>
        <v>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45</v>
      </c>
      <c r="V2380" s="2">
        <f t="shared" si="374"/>
        <v>1</v>
      </c>
      <c r="W2380">
        <v>31.1</v>
      </c>
      <c r="X2380" s="2">
        <f t="shared" si="375"/>
        <v>1</v>
      </c>
      <c r="Y2380">
        <v>172.9</v>
      </c>
      <c r="Z2380" s="2" t="str">
        <f>CHOOSE(MATCH(Y2380,{0;11;80;111;161;191;241;281;341},1),"North","NorthEast","East","SouthEast","South","SouthWest","West","NorthWest","North")</f>
        <v>South</v>
      </c>
      <c r="AA2380" s="4">
        <f>CHOOSE(MATCH(Z2380,{"South";"SouthEast";"SouthWest";"North";"NorthEast";"East";"West";"NorthWest"},0),1,2,3,4,5,6,7,8)</f>
        <v>1</v>
      </c>
      <c r="AB2380" s="2">
        <f t="shared" si="376"/>
        <v>0</v>
      </c>
      <c r="AC2380">
        <v>1011.1</v>
      </c>
      <c r="AD2380" t="s">
        <v>3241</v>
      </c>
      <c r="AE2380" s="2">
        <f t="shared" si="377"/>
        <v>1</v>
      </c>
      <c r="AF2380" t="s">
        <v>3242</v>
      </c>
      <c r="AG2380" s="2">
        <f t="shared" si="378"/>
        <v>4</v>
      </c>
      <c r="AH2380" s="2">
        <f t="shared" si="379"/>
        <v>0</v>
      </c>
      <c r="AI2380" s="3">
        <v>1043.999999997905</v>
      </c>
      <c r="AJ2380" s="2">
        <v>1</v>
      </c>
      <c r="AK2380">
        <v>0</v>
      </c>
      <c r="AL2380">
        <v>15</v>
      </c>
      <c r="AM2380">
        <v>0</v>
      </c>
      <c r="AN2380" s="2">
        <f>IF((2*G2380+M2380-O2380+3*V2380+2*AB2380+2*AE2380+2*AH2380+3*AJ2380)&gt;=7,1,0)</f>
        <v>1</v>
      </c>
    </row>
    <row r="2381" spans="1:40" x14ac:dyDescent="0.25">
      <c r="A2381" t="s">
        <v>27</v>
      </c>
      <c r="B2381" s="1">
        <v>44291</v>
      </c>
      <c r="C2381" s="6">
        <f t="shared" si="370"/>
        <v>2021</v>
      </c>
      <c r="D2381">
        <v>75.2</v>
      </c>
      <c r="E2381">
        <v>71.599999999999994</v>
      </c>
      <c r="F2381">
        <v>74.099999999999994</v>
      </c>
      <c r="G2381" s="2">
        <f t="shared" si="371"/>
        <v>1</v>
      </c>
      <c r="H2381">
        <v>75.2</v>
      </c>
      <c r="I2381">
        <v>71.599999999999994</v>
      </c>
      <c r="J2381">
        <v>74.099999999999994</v>
      </c>
      <c r="K2381">
        <v>44.5</v>
      </c>
      <c r="L2381">
        <v>34.9</v>
      </c>
      <c r="M2381" s="2">
        <f t="shared" si="372"/>
        <v>1</v>
      </c>
      <c r="N2381">
        <v>0</v>
      </c>
      <c r="O2381" s="2">
        <f t="shared" si="373"/>
        <v>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45</v>
      </c>
      <c r="V2381" s="2">
        <f t="shared" si="374"/>
        <v>1</v>
      </c>
      <c r="W2381">
        <v>31.1</v>
      </c>
      <c r="X2381" s="2">
        <f t="shared" si="375"/>
        <v>1</v>
      </c>
      <c r="Y2381">
        <v>172.9</v>
      </c>
      <c r="Z2381" s="2" t="str">
        <f>CHOOSE(MATCH(Y2381,{0;11;80;111;161;191;241;281;341},1),"North","NorthEast","East","SouthEast","South","SouthWest","West","NorthWest","North")</f>
        <v>South</v>
      </c>
      <c r="AA2381" s="4">
        <f>CHOOSE(MATCH(Z2381,{"South";"SouthEast";"SouthWest";"North";"NorthEast";"East";"West";"NorthWest"},0),1,2,3,4,5,6,7,8)</f>
        <v>1</v>
      </c>
      <c r="AB2381" s="2">
        <f t="shared" si="376"/>
        <v>0</v>
      </c>
      <c r="AC2381">
        <v>1011.1</v>
      </c>
      <c r="AD2381" t="s">
        <v>1218</v>
      </c>
      <c r="AE2381" s="2">
        <f t="shared" si="377"/>
        <v>0</v>
      </c>
      <c r="AF2381" t="s">
        <v>3243</v>
      </c>
      <c r="AG2381" s="2">
        <f t="shared" si="378"/>
        <v>4</v>
      </c>
      <c r="AH2381" s="2">
        <f t="shared" si="379"/>
        <v>0</v>
      </c>
      <c r="AI2381" s="3">
        <v>245.99999999511061</v>
      </c>
      <c r="AJ2381" s="2">
        <v>0</v>
      </c>
      <c r="AK2381">
        <v>0</v>
      </c>
      <c r="AL2381">
        <v>0.9</v>
      </c>
      <c r="AM2381">
        <v>0</v>
      </c>
      <c r="AN2381" s="2">
        <f>IF((2*G2381+M2381-O2381+3*V2381+2*AB2381+2*AE2381+2*AH2381+3*AJ2381)&gt;=7,1,0)</f>
        <v>0</v>
      </c>
    </row>
    <row r="2382" spans="1:40" x14ac:dyDescent="0.25">
      <c r="A2382" t="s">
        <v>27</v>
      </c>
      <c r="B2382" s="1">
        <v>44293</v>
      </c>
      <c r="C2382" s="6">
        <f t="shared" si="370"/>
        <v>2021</v>
      </c>
      <c r="D2382">
        <v>68</v>
      </c>
      <c r="E2382">
        <v>51.8</v>
      </c>
      <c r="F2382">
        <v>60.4</v>
      </c>
      <c r="G2382" s="2">
        <f t="shared" si="371"/>
        <v>0</v>
      </c>
      <c r="H2382">
        <v>68</v>
      </c>
      <c r="I2382">
        <v>51.8</v>
      </c>
      <c r="J2382">
        <v>60.4</v>
      </c>
      <c r="K2382">
        <v>52.9</v>
      </c>
      <c r="L2382">
        <v>76.900000000000006</v>
      </c>
      <c r="M2382" s="2">
        <f t="shared" si="372"/>
        <v>0</v>
      </c>
      <c r="N2382">
        <v>0</v>
      </c>
      <c r="O2382" s="2">
        <f t="shared" si="373"/>
        <v>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21.9</v>
      </c>
      <c r="V2382" s="2">
        <f t="shared" si="374"/>
        <v>1</v>
      </c>
      <c r="W2382">
        <v>11.4</v>
      </c>
      <c r="X2382" s="2">
        <f t="shared" si="375"/>
        <v>0</v>
      </c>
      <c r="Y2382">
        <v>182.4</v>
      </c>
      <c r="Z2382" s="2" t="str">
        <f>CHOOSE(MATCH(Y2382,{0;11;80;111;161;191;241;281;341},1),"North","NorthEast","East","SouthEast","South","SouthWest","West","NorthWest","North")</f>
        <v>South</v>
      </c>
      <c r="AA2382" s="4">
        <f>CHOOSE(MATCH(Z2382,{"South";"SouthEast";"SouthWest";"North";"NorthEast";"East";"West";"NorthWest"},0),1,2,3,4,5,6,7,8)</f>
        <v>1</v>
      </c>
      <c r="AB2382" s="2">
        <f t="shared" si="376"/>
        <v>0</v>
      </c>
      <c r="AC2382">
        <v>1012.1</v>
      </c>
      <c r="AD2382" t="s">
        <v>1101</v>
      </c>
      <c r="AE2382" s="2">
        <f t="shared" si="377"/>
        <v>1</v>
      </c>
      <c r="AF2382" t="s">
        <v>3244</v>
      </c>
      <c r="AG2382" s="2">
        <f t="shared" si="378"/>
        <v>4</v>
      </c>
      <c r="AH2382" s="2">
        <f t="shared" si="379"/>
        <v>0</v>
      </c>
      <c r="AI2382" s="3">
        <v>105.00000000698491</v>
      </c>
      <c r="AJ2382" s="2">
        <v>0</v>
      </c>
      <c r="AK2382">
        <v>0</v>
      </c>
      <c r="AL2382">
        <v>0.1</v>
      </c>
      <c r="AM2382">
        <v>0</v>
      </c>
      <c r="AN2382" s="2">
        <f>IF((2*G2382+M2382-O2382+3*V2382+2*AB2382+2*AE2382+2*AH2382+3*AJ2382)&gt;=7,1,0)</f>
        <v>0</v>
      </c>
    </row>
    <row r="2383" spans="1:40" x14ac:dyDescent="0.25">
      <c r="A2383" t="s">
        <v>27</v>
      </c>
      <c r="B2383" s="1">
        <v>44295</v>
      </c>
      <c r="C2383" s="6">
        <f t="shared" si="370"/>
        <v>2021</v>
      </c>
      <c r="D2383">
        <v>59</v>
      </c>
      <c r="E2383">
        <v>51.8</v>
      </c>
      <c r="F2383">
        <v>54.7</v>
      </c>
      <c r="G2383" s="2">
        <f t="shared" si="371"/>
        <v>0</v>
      </c>
      <c r="H2383">
        <v>59</v>
      </c>
      <c r="I2383">
        <v>51.8</v>
      </c>
      <c r="J2383">
        <v>54.7</v>
      </c>
      <c r="K2383">
        <v>41.9</v>
      </c>
      <c r="L2383">
        <v>62.4</v>
      </c>
      <c r="M2383" s="2">
        <f t="shared" si="372"/>
        <v>1</v>
      </c>
      <c r="N2383">
        <v>1.7000000000000001E-2</v>
      </c>
      <c r="O2383" s="2">
        <f t="shared" si="373"/>
        <v>0</v>
      </c>
      <c r="P2383">
        <v>100</v>
      </c>
      <c r="Q2383">
        <v>8.33</v>
      </c>
      <c r="R2383" t="s">
        <v>182</v>
      </c>
      <c r="S2383">
        <v>0</v>
      </c>
      <c r="T2383">
        <v>0</v>
      </c>
      <c r="U2383">
        <v>47</v>
      </c>
      <c r="V2383" s="2">
        <f t="shared" si="374"/>
        <v>1</v>
      </c>
      <c r="W2383">
        <v>27.7</v>
      </c>
      <c r="X2383" s="2">
        <f t="shared" si="375"/>
        <v>1</v>
      </c>
      <c r="Y2383">
        <v>344.3</v>
      </c>
      <c r="Z2383" s="2" t="str">
        <f>CHOOSE(MATCH(Y2383,{0;11;80;111;161;191;241;281;341},1),"North","NorthEast","East","SouthEast","South","SouthWest","West","NorthWest","North")</f>
        <v>North</v>
      </c>
      <c r="AA2383" s="4">
        <f>CHOOSE(MATCH(Z2383,{"South";"SouthEast";"SouthWest";"North";"NorthEast";"East";"West";"NorthWest"},0),1,2,3,4,5,6,7,8)</f>
        <v>4</v>
      </c>
      <c r="AB2383" s="2">
        <f t="shared" si="376"/>
        <v>1</v>
      </c>
      <c r="AC2383">
        <v>1023.2</v>
      </c>
      <c r="AD2383" t="s">
        <v>3245</v>
      </c>
      <c r="AE2383" s="2">
        <f t="shared" si="377"/>
        <v>0</v>
      </c>
      <c r="AF2383" t="s">
        <v>3246</v>
      </c>
      <c r="AG2383" s="2">
        <f t="shared" si="378"/>
        <v>4</v>
      </c>
      <c r="AH2383" s="2">
        <f t="shared" si="379"/>
        <v>0</v>
      </c>
      <c r="AI2383" s="3">
        <v>99.999999990686774</v>
      </c>
      <c r="AJ2383" s="2">
        <v>0</v>
      </c>
      <c r="AK2383">
        <v>0</v>
      </c>
      <c r="AL2383">
        <v>0.5</v>
      </c>
      <c r="AM2383">
        <v>0</v>
      </c>
      <c r="AN2383" s="2">
        <f>IF((2*G2383+M2383-O2383+3*V2383+2*AB2383+2*AE2383+2*AH2383+3*AJ2383)&gt;=7,1,0)</f>
        <v>0</v>
      </c>
    </row>
    <row r="2384" spans="1:40" x14ac:dyDescent="0.25">
      <c r="A2384" t="s">
        <v>27</v>
      </c>
      <c r="B2384" s="1">
        <v>44297</v>
      </c>
      <c r="C2384" s="6">
        <f t="shared" si="370"/>
        <v>2021</v>
      </c>
      <c r="D2384">
        <v>60.8</v>
      </c>
      <c r="E2384">
        <v>48.2</v>
      </c>
      <c r="F2384">
        <v>55.8</v>
      </c>
      <c r="G2384" s="2">
        <f t="shared" si="371"/>
        <v>0</v>
      </c>
      <c r="H2384">
        <v>60.8</v>
      </c>
      <c r="I2384">
        <v>47.3</v>
      </c>
      <c r="J2384">
        <v>55.7</v>
      </c>
      <c r="K2384">
        <v>45.1</v>
      </c>
      <c r="L2384">
        <v>67.7</v>
      </c>
      <c r="M2384" s="2">
        <f t="shared" si="372"/>
        <v>0</v>
      </c>
      <c r="N2384">
        <v>0</v>
      </c>
      <c r="O2384" s="2">
        <f t="shared" si="373"/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29.1</v>
      </c>
      <c r="V2384" s="2">
        <f t="shared" si="374"/>
        <v>1</v>
      </c>
      <c r="W2384">
        <v>12.8</v>
      </c>
      <c r="X2384" s="2">
        <f t="shared" si="375"/>
        <v>0</v>
      </c>
      <c r="Y2384">
        <v>322.2</v>
      </c>
      <c r="Z2384" s="2" t="str">
        <f>CHOOSE(MATCH(Y2384,{0;11;80;111;161;191;241;281;341},1),"North","NorthEast","East","SouthEast","South","SouthWest","West","NorthWest","North")</f>
        <v>NorthWest</v>
      </c>
      <c r="AA2384" s="4">
        <f>CHOOSE(MATCH(Z2384,{"South";"SouthEast";"SouthWest";"North";"NorthEast";"East";"West";"NorthWest"},0),1,2,3,4,5,6,7,8)</f>
        <v>8</v>
      </c>
      <c r="AB2384" s="2">
        <f t="shared" si="376"/>
        <v>1</v>
      </c>
      <c r="AC2384">
        <v>1023.1</v>
      </c>
      <c r="AD2384" t="s">
        <v>3247</v>
      </c>
      <c r="AE2384" s="2">
        <f t="shared" si="377"/>
        <v>0</v>
      </c>
      <c r="AF2384" t="s">
        <v>3248</v>
      </c>
      <c r="AG2384" s="2">
        <f t="shared" si="378"/>
        <v>4</v>
      </c>
      <c r="AH2384" s="2">
        <f t="shared" si="379"/>
        <v>0</v>
      </c>
      <c r="AI2384" s="3">
        <v>55.999999993946403</v>
      </c>
      <c r="AJ2384" s="2">
        <v>0</v>
      </c>
      <c r="AK2384">
        <v>1</v>
      </c>
      <c r="AL2384">
        <v>0</v>
      </c>
      <c r="AM2384">
        <v>0</v>
      </c>
      <c r="AN2384" s="2">
        <f>IF((2*G2384+M2384-O2384+3*V2384+2*AB2384+2*AE2384+2*AH2384+3*AJ2384)&gt;=7,1,0)</f>
        <v>0</v>
      </c>
    </row>
    <row r="2385" spans="1:40" x14ac:dyDescent="0.25">
      <c r="A2385" t="s">
        <v>27</v>
      </c>
      <c r="B2385" s="1">
        <v>44298</v>
      </c>
      <c r="C2385" s="6">
        <f t="shared" si="370"/>
        <v>2021</v>
      </c>
      <c r="D2385">
        <v>64.400000000000006</v>
      </c>
      <c r="E2385">
        <v>50</v>
      </c>
      <c r="F2385">
        <v>57.2</v>
      </c>
      <c r="G2385" s="2">
        <f t="shared" si="371"/>
        <v>0</v>
      </c>
      <c r="H2385">
        <v>64.400000000000006</v>
      </c>
      <c r="I2385">
        <v>50</v>
      </c>
      <c r="J2385">
        <v>57.2</v>
      </c>
      <c r="K2385">
        <v>48.9</v>
      </c>
      <c r="L2385">
        <v>74.599999999999994</v>
      </c>
      <c r="M2385" s="2">
        <f t="shared" si="372"/>
        <v>0</v>
      </c>
      <c r="N2385">
        <v>0</v>
      </c>
      <c r="O2385" s="2">
        <f t="shared" si="373"/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25.7</v>
      </c>
      <c r="V2385" s="2">
        <f t="shared" si="374"/>
        <v>1</v>
      </c>
      <c r="W2385">
        <v>13</v>
      </c>
      <c r="X2385" s="2">
        <f t="shared" si="375"/>
        <v>0</v>
      </c>
      <c r="Y2385">
        <v>306.7</v>
      </c>
      <c r="Z2385" s="2" t="str">
        <f>CHOOSE(MATCH(Y2385,{0;11;80;111;161;191;241;281;341},1),"North","NorthEast","East","SouthEast","South","SouthWest","West","NorthWest","North")</f>
        <v>NorthWest</v>
      </c>
      <c r="AA2385" s="4">
        <f>CHOOSE(MATCH(Z2385,{"South";"SouthEast";"SouthWest";"North";"NorthEast";"East";"West";"NorthWest"},0),1,2,3,4,5,6,7,8)</f>
        <v>8</v>
      </c>
      <c r="AB2385" s="2">
        <f t="shared" si="376"/>
        <v>1</v>
      </c>
      <c r="AC2385">
        <v>1022.4</v>
      </c>
      <c r="AD2385" t="s">
        <v>1844</v>
      </c>
      <c r="AE2385" s="2">
        <f t="shared" si="377"/>
        <v>1</v>
      </c>
      <c r="AF2385" t="s">
        <v>3249</v>
      </c>
      <c r="AG2385" s="2">
        <f t="shared" si="378"/>
        <v>4</v>
      </c>
      <c r="AH2385" s="2">
        <f t="shared" si="379"/>
        <v>0</v>
      </c>
      <c r="AI2385" s="3">
        <v>1588.0000000004659</v>
      </c>
      <c r="AJ2385" s="2">
        <v>1</v>
      </c>
      <c r="AK2385">
        <v>0</v>
      </c>
      <c r="AL2385">
        <v>15</v>
      </c>
      <c r="AM2385">
        <v>0</v>
      </c>
      <c r="AN2385" s="2">
        <f>IF((2*G2385+M2385-O2385+3*V2385+2*AB2385+2*AE2385+2*AH2385+3*AJ2385)&gt;=7,1,0)</f>
        <v>1</v>
      </c>
    </row>
    <row r="2386" spans="1:40" x14ac:dyDescent="0.25">
      <c r="A2386" t="s">
        <v>27</v>
      </c>
      <c r="B2386" s="1">
        <v>44298</v>
      </c>
      <c r="C2386" s="6">
        <f t="shared" si="370"/>
        <v>2021</v>
      </c>
      <c r="D2386">
        <v>64.400000000000006</v>
      </c>
      <c r="E2386">
        <v>50</v>
      </c>
      <c r="F2386">
        <v>57.2</v>
      </c>
      <c r="G2386" s="2">
        <f t="shared" si="371"/>
        <v>0</v>
      </c>
      <c r="H2386">
        <v>64.400000000000006</v>
      </c>
      <c r="I2386">
        <v>50</v>
      </c>
      <c r="J2386">
        <v>57.2</v>
      </c>
      <c r="K2386">
        <v>48.9</v>
      </c>
      <c r="L2386">
        <v>74.599999999999994</v>
      </c>
      <c r="M2386" s="2">
        <f t="shared" si="372"/>
        <v>0</v>
      </c>
      <c r="N2386">
        <v>0</v>
      </c>
      <c r="O2386" s="2">
        <f t="shared" si="373"/>
        <v>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25.7</v>
      </c>
      <c r="V2386" s="2">
        <f t="shared" si="374"/>
        <v>1</v>
      </c>
      <c r="W2386">
        <v>13</v>
      </c>
      <c r="X2386" s="2">
        <f t="shared" si="375"/>
        <v>0</v>
      </c>
      <c r="Y2386">
        <v>306.7</v>
      </c>
      <c r="Z2386" s="2" t="str">
        <f>CHOOSE(MATCH(Y2386,{0;11;80;111;161;191;241;281;341},1),"North","NorthEast","East","SouthEast","South","SouthWest","West","NorthWest","North")</f>
        <v>NorthWest</v>
      </c>
      <c r="AA2386" s="4">
        <f>CHOOSE(MATCH(Z2386,{"South";"SouthEast";"SouthWest";"North";"NorthEast";"East";"West";"NorthWest"},0),1,2,3,4,5,6,7,8)</f>
        <v>8</v>
      </c>
      <c r="AB2386" s="2">
        <f t="shared" si="376"/>
        <v>1</v>
      </c>
      <c r="AC2386">
        <v>1022.4</v>
      </c>
      <c r="AD2386" t="s">
        <v>1914</v>
      </c>
      <c r="AE2386" s="2">
        <f t="shared" si="377"/>
        <v>1</v>
      </c>
      <c r="AF2386" t="s">
        <v>3250</v>
      </c>
      <c r="AG2386" s="2">
        <f t="shared" si="378"/>
        <v>4</v>
      </c>
      <c r="AH2386" s="2">
        <f t="shared" si="379"/>
        <v>0</v>
      </c>
      <c r="AI2386" s="3">
        <v>319.99999999534339</v>
      </c>
      <c r="AJ2386" s="2">
        <v>0</v>
      </c>
      <c r="AK2386">
        <v>0</v>
      </c>
      <c r="AL2386">
        <v>2</v>
      </c>
      <c r="AM2386">
        <v>0</v>
      </c>
      <c r="AN2386" s="2">
        <f>IF((2*G2386+M2386-O2386+3*V2386+2*AB2386+2*AE2386+2*AH2386+3*AJ2386)&gt;=7,1,0)</f>
        <v>0</v>
      </c>
    </row>
    <row r="2387" spans="1:40" x14ac:dyDescent="0.25">
      <c r="A2387" t="s">
        <v>27</v>
      </c>
      <c r="B2387" s="1">
        <v>44305</v>
      </c>
      <c r="C2387" s="6">
        <f t="shared" si="370"/>
        <v>2021</v>
      </c>
      <c r="D2387">
        <v>66.2</v>
      </c>
      <c r="E2387">
        <v>59</v>
      </c>
      <c r="F2387">
        <v>63.3</v>
      </c>
      <c r="G2387" s="2">
        <f t="shared" si="371"/>
        <v>0</v>
      </c>
      <c r="H2387">
        <v>66.2</v>
      </c>
      <c r="I2387">
        <v>59</v>
      </c>
      <c r="J2387">
        <v>63.3</v>
      </c>
      <c r="K2387">
        <v>56</v>
      </c>
      <c r="L2387">
        <v>77.400000000000006</v>
      </c>
      <c r="M2387" s="2">
        <f t="shared" si="372"/>
        <v>0</v>
      </c>
      <c r="N2387">
        <v>0</v>
      </c>
      <c r="O2387" s="2">
        <f t="shared" si="373"/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24.6</v>
      </c>
      <c r="V2387" s="2">
        <f t="shared" si="374"/>
        <v>1</v>
      </c>
      <c r="W2387">
        <v>21.6</v>
      </c>
      <c r="X2387" s="2">
        <f t="shared" si="375"/>
        <v>1</v>
      </c>
      <c r="Y2387">
        <v>297.8</v>
      </c>
      <c r="Z2387" s="2" t="str">
        <f>CHOOSE(MATCH(Y2387,{0;11;80;111;161;191;241;281;341},1),"North","NorthEast","East","SouthEast","South","SouthWest","West","NorthWest","North")</f>
        <v>NorthWest</v>
      </c>
      <c r="AA2387" s="4">
        <f>CHOOSE(MATCH(Z2387,{"South";"SouthEast";"SouthWest";"North";"NorthEast";"East";"West";"NorthWest"},0),1,2,3,4,5,6,7,8)</f>
        <v>8</v>
      </c>
      <c r="AB2387" s="2">
        <f t="shared" si="376"/>
        <v>1</v>
      </c>
      <c r="AC2387">
        <v>1013.7</v>
      </c>
      <c r="AD2387" t="s">
        <v>3251</v>
      </c>
      <c r="AE2387" s="2">
        <f t="shared" si="377"/>
        <v>0</v>
      </c>
      <c r="AF2387" t="s">
        <v>3252</v>
      </c>
      <c r="AG2387" s="2">
        <f t="shared" si="378"/>
        <v>4</v>
      </c>
      <c r="AH2387" s="2">
        <f t="shared" si="379"/>
        <v>0</v>
      </c>
      <c r="AI2387" s="3">
        <v>76.000000006752089</v>
      </c>
      <c r="AJ2387" s="2">
        <v>0</v>
      </c>
      <c r="AK2387">
        <v>0</v>
      </c>
      <c r="AL2387">
        <v>0.01</v>
      </c>
      <c r="AM2387">
        <v>0</v>
      </c>
      <c r="AN2387" s="2">
        <f>IF((2*G2387+M2387-O2387+3*V2387+2*AB2387+2*AE2387+2*AH2387+3*AJ2387)&gt;=7,1,0)</f>
        <v>0</v>
      </c>
    </row>
    <row r="2388" spans="1:40" x14ac:dyDescent="0.25">
      <c r="A2388" t="s">
        <v>27</v>
      </c>
      <c r="B2388" s="1">
        <v>44310</v>
      </c>
      <c r="C2388" s="6">
        <f t="shared" si="370"/>
        <v>2021</v>
      </c>
      <c r="D2388">
        <v>69.8</v>
      </c>
      <c r="E2388">
        <v>55.4</v>
      </c>
      <c r="F2388">
        <v>62.6</v>
      </c>
      <c r="G2388" s="2">
        <f t="shared" si="371"/>
        <v>0</v>
      </c>
      <c r="H2388">
        <v>69.8</v>
      </c>
      <c r="I2388">
        <v>55.4</v>
      </c>
      <c r="J2388">
        <v>62.6</v>
      </c>
      <c r="K2388">
        <v>57.1</v>
      </c>
      <c r="L2388">
        <v>82.6</v>
      </c>
      <c r="M2388" s="2">
        <f t="shared" si="372"/>
        <v>0</v>
      </c>
      <c r="N2388">
        <v>0</v>
      </c>
      <c r="O2388" s="2">
        <f t="shared" si="373"/>
        <v>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19.5</v>
      </c>
      <c r="V2388" s="2">
        <f t="shared" si="374"/>
        <v>1</v>
      </c>
      <c r="W2388">
        <v>14.5</v>
      </c>
      <c r="X2388" s="2">
        <f t="shared" si="375"/>
        <v>0</v>
      </c>
      <c r="Y2388">
        <v>332.2</v>
      </c>
      <c r="Z2388" s="2" t="str">
        <f>CHOOSE(MATCH(Y2388,{0;11;80;111;161;191;241;281;341},1),"North","NorthEast","East","SouthEast","South","SouthWest","West","NorthWest","North")</f>
        <v>NorthWest</v>
      </c>
      <c r="AA2388" s="4">
        <f>CHOOSE(MATCH(Z2388,{"South";"SouthEast";"SouthWest";"North";"NorthEast";"East";"West";"NorthWest"},0),1,2,3,4,5,6,7,8)</f>
        <v>8</v>
      </c>
      <c r="AB2388" s="2">
        <f t="shared" si="376"/>
        <v>1</v>
      </c>
      <c r="AC2388">
        <v>1014.3</v>
      </c>
      <c r="AD2388" t="s">
        <v>2078</v>
      </c>
      <c r="AE2388" s="2">
        <f t="shared" si="377"/>
        <v>0</v>
      </c>
      <c r="AF2388" t="s">
        <v>3253</v>
      </c>
      <c r="AG2388" s="2">
        <f t="shared" si="378"/>
        <v>4</v>
      </c>
      <c r="AH2388" s="2">
        <f t="shared" si="379"/>
        <v>0</v>
      </c>
      <c r="AI2388" s="3">
        <v>519.99999999767169</v>
      </c>
      <c r="AJ2388" s="2">
        <v>1</v>
      </c>
      <c r="AK2388">
        <v>0</v>
      </c>
      <c r="AL2388">
        <v>1</v>
      </c>
      <c r="AM2388">
        <v>0</v>
      </c>
      <c r="AN2388" s="2">
        <f>IF((2*G2388+M2388-O2388+3*V2388+2*AB2388+2*AE2388+2*AH2388+3*AJ2388)&gt;=7,1,0)</f>
        <v>1</v>
      </c>
    </row>
    <row r="2389" spans="1:40" x14ac:dyDescent="0.25">
      <c r="A2389" t="s">
        <v>27</v>
      </c>
      <c r="B2389" s="1">
        <v>44314</v>
      </c>
      <c r="C2389" s="6">
        <f t="shared" si="370"/>
        <v>2021</v>
      </c>
      <c r="D2389">
        <v>90.6</v>
      </c>
      <c r="E2389">
        <v>55.4</v>
      </c>
      <c r="F2389">
        <v>73.900000000000006</v>
      </c>
      <c r="G2389" s="2">
        <f t="shared" si="371"/>
        <v>1</v>
      </c>
      <c r="H2389">
        <v>88.6</v>
      </c>
      <c r="I2389">
        <v>55.4</v>
      </c>
      <c r="J2389">
        <v>73.5</v>
      </c>
      <c r="K2389">
        <v>53.8</v>
      </c>
      <c r="L2389">
        <v>52.8</v>
      </c>
      <c r="M2389" s="2">
        <f t="shared" si="372"/>
        <v>1</v>
      </c>
      <c r="N2389">
        <v>0</v>
      </c>
      <c r="O2389" s="2">
        <f t="shared" si="373"/>
        <v>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40</v>
      </c>
      <c r="V2389" s="2">
        <f t="shared" si="374"/>
        <v>1</v>
      </c>
      <c r="W2389">
        <v>28.7</v>
      </c>
      <c r="X2389" s="2">
        <f t="shared" si="375"/>
        <v>1</v>
      </c>
      <c r="Y2389">
        <v>169.5</v>
      </c>
      <c r="Z2389" s="2" t="str">
        <f>CHOOSE(MATCH(Y2389,{0;11;80;111;161;191;241;281;341},1),"North","NorthEast","East","SouthEast","South","SouthWest","West","NorthWest","North")</f>
        <v>South</v>
      </c>
      <c r="AA2389" s="4">
        <f>CHOOSE(MATCH(Z2389,{"South";"SouthEast";"SouthWest";"North";"NorthEast";"East";"West";"NorthWest"},0),1,2,3,4,5,6,7,8)</f>
        <v>1</v>
      </c>
      <c r="AB2389" s="2">
        <f t="shared" si="376"/>
        <v>0</v>
      </c>
      <c r="AC2389">
        <v>1011.7</v>
      </c>
      <c r="AD2389" t="s">
        <v>1131</v>
      </c>
      <c r="AE2389" s="2">
        <f t="shared" si="377"/>
        <v>1</v>
      </c>
      <c r="AF2389" t="s">
        <v>3254</v>
      </c>
      <c r="AG2389" s="2">
        <f t="shared" si="378"/>
        <v>4</v>
      </c>
      <c r="AH2389" s="2">
        <f t="shared" si="379"/>
        <v>0</v>
      </c>
      <c r="AI2389" s="3">
        <v>3065.999999998603</v>
      </c>
      <c r="AJ2389" s="2">
        <v>1</v>
      </c>
      <c r="AK2389">
        <v>0</v>
      </c>
      <c r="AL2389">
        <v>1500</v>
      </c>
      <c r="AM2389">
        <v>0</v>
      </c>
      <c r="AN2389" s="2">
        <f>IF((2*G2389+M2389-O2389+3*V2389+2*AB2389+2*AE2389+2*AH2389+3*AJ2389)&gt;=7,1,0)</f>
        <v>1</v>
      </c>
    </row>
    <row r="2390" spans="1:40" x14ac:dyDescent="0.25">
      <c r="A2390" t="s">
        <v>27</v>
      </c>
      <c r="B2390" s="1">
        <v>44314</v>
      </c>
      <c r="C2390" s="6">
        <f t="shared" si="370"/>
        <v>2021</v>
      </c>
      <c r="D2390">
        <v>90.6</v>
      </c>
      <c r="E2390">
        <v>55.4</v>
      </c>
      <c r="F2390">
        <v>73.900000000000006</v>
      </c>
      <c r="G2390" s="2">
        <f t="shared" si="371"/>
        <v>1</v>
      </c>
      <c r="H2390">
        <v>88.6</v>
      </c>
      <c r="I2390">
        <v>55.4</v>
      </c>
      <c r="J2390">
        <v>73.5</v>
      </c>
      <c r="K2390">
        <v>53.8</v>
      </c>
      <c r="L2390">
        <v>52.8</v>
      </c>
      <c r="M2390" s="2">
        <f t="shared" si="372"/>
        <v>1</v>
      </c>
      <c r="N2390">
        <v>0</v>
      </c>
      <c r="O2390" s="2">
        <f t="shared" si="373"/>
        <v>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40</v>
      </c>
      <c r="V2390" s="2">
        <f t="shared" si="374"/>
        <v>1</v>
      </c>
      <c r="W2390">
        <v>28.7</v>
      </c>
      <c r="X2390" s="2">
        <f t="shared" si="375"/>
        <v>1</v>
      </c>
      <c r="Y2390">
        <v>169.5</v>
      </c>
      <c r="Z2390" s="2" t="str">
        <f>CHOOSE(MATCH(Y2390,{0;11;80;111;161;191;241;281;341},1),"North","NorthEast","East","SouthEast","South","SouthWest","West","NorthWest","North")</f>
        <v>South</v>
      </c>
      <c r="AA2390" s="4">
        <f>CHOOSE(MATCH(Z2390,{"South";"SouthEast";"SouthWest";"North";"NorthEast";"East";"West";"NorthWest"},0),1,2,3,4,5,6,7,8)</f>
        <v>1</v>
      </c>
      <c r="AB2390" s="2">
        <f t="shared" si="376"/>
        <v>0</v>
      </c>
      <c r="AC2390">
        <v>1011.7</v>
      </c>
      <c r="AD2390" t="s">
        <v>1111</v>
      </c>
      <c r="AE2390" s="2">
        <f t="shared" si="377"/>
        <v>1</v>
      </c>
      <c r="AF2390" t="s">
        <v>3255</v>
      </c>
      <c r="AG2390" s="2">
        <f t="shared" si="378"/>
        <v>4</v>
      </c>
      <c r="AH2390" s="2">
        <f t="shared" si="379"/>
        <v>0</v>
      </c>
      <c r="AI2390" s="3">
        <v>792.00000000419095</v>
      </c>
      <c r="AJ2390" s="2">
        <v>1</v>
      </c>
      <c r="AK2390">
        <v>0</v>
      </c>
      <c r="AL2390">
        <v>1</v>
      </c>
      <c r="AM2390">
        <v>0</v>
      </c>
      <c r="AN2390" s="2">
        <f>IF((2*G2390+M2390-O2390+3*V2390+2*AB2390+2*AE2390+2*AH2390+3*AJ2390)&gt;=7,1,0)</f>
        <v>1</v>
      </c>
    </row>
    <row r="2391" spans="1:40" x14ac:dyDescent="0.25">
      <c r="A2391" t="s">
        <v>27</v>
      </c>
      <c r="B2391" s="1">
        <v>44318</v>
      </c>
      <c r="C2391" s="6">
        <f t="shared" si="370"/>
        <v>2021</v>
      </c>
      <c r="D2391">
        <v>93.2</v>
      </c>
      <c r="E2391">
        <v>69.8</v>
      </c>
      <c r="F2391">
        <v>81.5</v>
      </c>
      <c r="G2391" s="2">
        <f t="shared" si="371"/>
        <v>1</v>
      </c>
      <c r="H2391">
        <v>90.9</v>
      </c>
      <c r="I2391">
        <v>69.8</v>
      </c>
      <c r="J2391">
        <v>81.8</v>
      </c>
      <c r="K2391">
        <v>58.7</v>
      </c>
      <c r="L2391">
        <v>47.7</v>
      </c>
      <c r="M2391" s="2">
        <f t="shared" si="372"/>
        <v>1</v>
      </c>
      <c r="N2391">
        <v>0</v>
      </c>
      <c r="O2391" s="2">
        <f t="shared" si="373"/>
        <v>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16.100000000000001</v>
      </c>
      <c r="V2391" s="2">
        <f t="shared" si="374"/>
        <v>1</v>
      </c>
      <c r="W2391">
        <v>13.9</v>
      </c>
      <c r="X2391" s="2">
        <f t="shared" si="375"/>
        <v>0</v>
      </c>
      <c r="Y2391">
        <v>174.8</v>
      </c>
      <c r="Z2391" s="2" t="str">
        <f>CHOOSE(MATCH(Y2391,{0;11;80;111;161;191;241;281;341},1),"North","NorthEast","East","SouthEast","South","SouthWest","West","NorthWest","North")</f>
        <v>South</v>
      </c>
      <c r="AA2391" s="4">
        <f>CHOOSE(MATCH(Z2391,{"South";"SouthEast";"SouthWest";"North";"NorthEast";"East";"West";"NorthWest"},0),1,2,3,4,5,6,7,8)</f>
        <v>1</v>
      </c>
      <c r="AB2391" s="2">
        <f t="shared" si="376"/>
        <v>0</v>
      </c>
      <c r="AC2391">
        <v>1013.6</v>
      </c>
      <c r="AD2391" t="s">
        <v>1914</v>
      </c>
      <c r="AE2391" s="2">
        <f t="shared" si="377"/>
        <v>1</v>
      </c>
      <c r="AF2391" t="s">
        <v>3256</v>
      </c>
      <c r="AG2391" s="2">
        <f t="shared" si="378"/>
        <v>5</v>
      </c>
      <c r="AH2391" s="2">
        <f t="shared" si="379"/>
        <v>0</v>
      </c>
      <c r="AI2391" s="3">
        <v>167.99999999231659</v>
      </c>
      <c r="AJ2391" s="2">
        <v>0</v>
      </c>
      <c r="AK2391">
        <v>0</v>
      </c>
      <c r="AL2391">
        <v>0.01</v>
      </c>
      <c r="AM2391">
        <v>0</v>
      </c>
      <c r="AN2391" s="2">
        <f>IF((2*G2391+M2391-O2391+3*V2391+2*AB2391+2*AE2391+2*AH2391+3*AJ2391)&gt;=7,1,0)</f>
        <v>1</v>
      </c>
    </row>
    <row r="2392" spans="1:40" x14ac:dyDescent="0.25">
      <c r="A2392" t="s">
        <v>27</v>
      </c>
      <c r="B2392" s="1">
        <v>44320</v>
      </c>
      <c r="C2392" s="6">
        <f t="shared" si="370"/>
        <v>2021</v>
      </c>
      <c r="D2392">
        <v>77</v>
      </c>
      <c r="E2392">
        <v>62.6</v>
      </c>
      <c r="F2392">
        <v>70.7</v>
      </c>
      <c r="G2392" s="2">
        <f t="shared" si="371"/>
        <v>1</v>
      </c>
      <c r="H2392">
        <v>77</v>
      </c>
      <c r="I2392">
        <v>62.6</v>
      </c>
      <c r="J2392">
        <v>70.7</v>
      </c>
      <c r="K2392">
        <v>61.5</v>
      </c>
      <c r="L2392">
        <v>73</v>
      </c>
      <c r="M2392" s="2">
        <f t="shared" si="372"/>
        <v>0</v>
      </c>
      <c r="N2392">
        <v>0</v>
      </c>
      <c r="O2392" s="2">
        <f t="shared" si="373"/>
        <v>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19.899999999999999</v>
      </c>
      <c r="V2392" s="2">
        <f t="shared" si="374"/>
        <v>1</v>
      </c>
      <c r="W2392">
        <v>11.4</v>
      </c>
      <c r="X2392" s="2">
        <f t="shared" si="375"/>
        <v>0</v>
      </c>
      <c r="Y2392">
        <v>296.10000000000002</v>
      </c>
      <c r="Z2392" s="2" t="str">
        <f>CHOOSE(MATCH(Y2392,{0;11;80;111;161;191;241;281;341},1),"North","NorthEast","East","SouthEast","South","SouthWest","West","NorthWest","North")</f>
        <v>NorthWest</v>
      </c>
      <c r="AA2392" s="4">
        <f>CHOOSE(MATCH(Z2392,{"South";"SouthEast";"SouthWest";"North";"NorthEast";"East";"West";"NorthWest"},0),1,2,3,4,5,6,7,8)</f>
        <v>8</v>
      </c>
      <c r="AB2392" s="2">
        <f t="shared" si="376"/>
        <v>1</v>
      </c>
      <c r="AC2392">
        <v>1012.2</v>
      </c>
      <c r="AD2392" t="s">
        <v>2104</v>
      </c>
      <c r="AE2392" s="2">
        <f t="shared" si="377"/>
        <v>1</v>
      </c>
      <c r="AF2392" t="s">
        <v>3257</v>
      </c>
      <c r="AG2392" s="2">
        <f t="shared" si="378"/>
        <v>5</v>
      </c>
      <c r="AH2392" s="2">
        <f t="shared" si="379"/>
        <v>0</v>
      </c>
      <c r="AI2392" s="3">
        <v>60.999999999767169</v>
      </c>
      <c r="AJ2392" s="2">
        <v>0</v>
      </c>
      <c r="AK2392">
        <v>0</v>
      </c>
      <c r="AL2392">
        <v>0.02</v>
      </c>
      <c r="AM2392">
        <v>0</v>
      </c>
      <c r="AN2392" s="2">
        <f>IF((2*G2392+M2392-O2392+3*V2392+2*AB2392+2*AE2392+2*AH2392+3*AJ2392)&gt;=7,1,0)</f>
        <v>1</v>
      </c>
    </row>
    <row r="2393" spans="1:40" x14ac:dyDescent="0.25">
      <c r="A2393" t="s">
        <v>27</v>
      </c>
      <c r="B2393" s="1">
        <v>44338</v>
      </c>
      <c r="C2393" s="6">
        <f t="shared" si="370"/>
        <v>2021</v>
      </c>
      <c r="D2393">
        <v>71.599999999999994</v>
      </c>
      <c r="E2393">
        <v>55.4</v>
      </c>
      <c r="F2393">
        <v>66</v>
      </c>
      <c r="G2393" s="2">
        <f t="shared" si="371"/>
        <v>0</v>
      </c>
      <c r="H2393">
        <v>71.599999999999994</v>
      </c>
      <c r="I2393">
        <v>55.4</v>
      </c>
      <c r="J2393">
        <v>66</v>
      </c>
      <c r="K2393">
        <v>56.2</v>
      </c>
      <c r="L2393">
        <v>71.599999999999994</v>
      </c>
      <c r="M2393" s="2">
        <f t="shared" si="372"/>
        <v>0</v>
      </c>
      <c r="N2393">
        <v>0</v>
      </c>
      <c r="O2393" s="2">
        <f t="shared" si="373"/>
        <v>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27.1</v>
      </c>
      <c r="V2393" s="2">
        <f t="shared" si="374"/>
        <v>1</v>
      </c>
      <c r="W2393">
        <v>11.4</v>
      </c>
      <c r="X2393" s="2">
        <f t="shared" si="375"/>
        <v>0</v>
      </c>
      <c r="Y2393">
        <v>320.10000000000002</v>
      </c>
      <c r="Z2393" s="2" t="str">
        <f>CHOOSE(MATCH(Y2393,{0;11;80;111;161;191;241;281;341},1),"North","NorthEast","East","SouthEast","South","SouthWest","West","NorthWest","North")</f>
        <v>NorthWest</v>
      </c>
      <c r="AA2393" s="4">
        <f>CHOOSE(MATCH(Z2393,{"South";"SouthEast";"SouthWest";"North";"NorthEast";"East";"West";"NorthWest"},0),1,2,3,4,5,6,7,8)</f>
        <v>8</v>
      </c>
      <c r="AB2393" s="2">
        <f t="shared" si="376"/>
        <v>1</v>
      </c>
      <c r="AC2393">
        <v>1019.1</v>
      </c>
      <c r="AD2393" t="s">
        <v>3175</v>
      </c>
      <c r="AE2393" s="2">
        <f t="shared" si="377"/>
        <v>1</v>
      </c>
      <c r="AF2393" t="s">
        <v>3258</v>
      </c>
      <c r="AG2393" s="2">
        <f t="shared" si="378"/>
        <v>5</v>
      </c>
      <c r="AH2393" s="2">
        <f t="shared" si="379"/>
        <v>0</v>
      </c>
      <c r="AI2393" s="3">
        <v>176.00000000791621</v>
      </c>
      <c r="AJ2393" s="2">
        <v>0</v>
      </c>
      <c r="AK2393">
        <v>1</v>
      </c>
      <c r="AL2393">
        <v>1</v>
      </c>
      <c r="AM2393">
        <v>0</v>
      </c>
      <c r="AN2393" s="2">
        <f>IF((2*G2393+M2393-O2393+3*V2393+2*AB2393+2*AE2393+2*AH2393+3*AJ2393)&gt;=7,1,0)</f>
        <v>0</v>
      </c>
    </row>
    <row r="2394" spans="1:40" x14ac:dyDescent="0.25">
      <c r="A2394" t="s">
        <v>27</v>
      </c>
      <c r="B2394" s="1">
        <v>44340</v>
      </c>
      <c r="C2394" s="6">
        <f t="shared" si="370"/>
        <v>2021</v>
      </c>
      <c r="D2394">
        <v>82.2</v>
      </c>
      <c r="E2394">
        <v>59</v>
      </c>
      <c r="F2394">
        <v>70.400000000000006</v>
      </c>
      <c r="G2394" s="2">
        <f t="shared" si="371"/>
        <v>1</v>
      </c>
      <c r="H2394">
        <v>86.7</v>
      </c>
      <c r="I2394">
        <v>59</v>
      </c>
      <c r="J2394">
        <v>70.8</v>
      </c>
      <c r="K2394">
        <v>60.6</v>
      </c>
      <c r="L2394">
        <v>71.5</v>
      </c>
      <c r="M2394" s="2">
        <f t="shared" si="372"/>
        <v>0</v>
      </c>
      <c r="N2394">
        <v>0</v>
      </c>
      <c r="O2394" s="2">
        <f t="shared" si="373"/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21</v>
      </c>
      <c r="V2394" s="2">
        <f t="shared" si="374"/>
        <v>1</v>
      </c>
      <c r="W2394">
        <v>9.1999999999999993</v>
      </c>
      <c r="X2394" s="2">
        <f t="shared" si="375"/>
        <v>0</v>
      </c>
      <c r="Y2394">
        <v>216.2</v>
      </c>
      <c r="Z2394" s="2" t="str">
        <f>CHOOSE(MATCH(Y2394,{0;11;80;111;161;191;241;281;341},1),"North","NorthEast","East","SouthEast","South","SouthWest","West","NorthWest","North")</f>
        <v>SouthWest</v>
      </c>
      <c r="AA2394" s="4">
        <f>CHOOSE(MATCH(Z2394,{"South";"SouthEast";"SouthWest";"North";"NorthEast";"East";"West";"NorthWest"},0),1,2,3,4,5,6,7,8)</f>
        <v>3</v>
      </c>
      <c r="AB2394" s="2">
        <f t="shared" si="376"/>
        <v>0</v>
      </c>
      <c r="AC2394">
        <v>1017.2</v>
      </c>
      <c r="AD2394" t="s">
        <v>2441</v>
      </c>
      <c r="AE2394" s="2">
        <f t="shared" si="377"/>
        <v>1</v>
      </c>
      <c r="AF2394" t="s">
        <v>3259</v>
      </c>
      <c r="AG2394" s="2">
        <f t="shared" si="378"/>
        <v>5</v>
      </c>
      <c r="AH2394" s="2">
        <f t="shared" si="379"/>
        <v>0</v>
      </c>
      <c r="AI2394" s="3">
        <v>136.0000000032596</v>
      </c>
      <c r="AJ2394" s="2">
        <v>0</v>
      </c>
      <c r="AK2394">
        <v>0</v>
      </c>
      <c r="AL2394">
        <v>0.2</v>
      </c>
      <c r="AM2394">
        <v>0</v>
      </c>
      <c r="AN2394" s="2">
        <f>IF((2*G2394+M2394-O2394+3*V2394+2*AB2394+2*AE2394+2*AH2394+3*AJ2394)&gt;=7,1,0)</f>
        <v>0</v>
      </c>
    </row>
    <row r="2395" spans="1:40" x14ac:dyDescent="0.25">
      <c r="A2395" t="s">
        <v>27</v>
      </c>
      <c r="B2395" s="1">
        <v>44342</v>
      </c>
      <c r="C2395" s="6">
        <f t="shared" si="370"/>
        <v>2021</v>
      </c>
      <c r="D2395">
        <v>82.4</v>
      </c>
      <c r="E2395">
        <v>66.2</v>
      </c>
      <c r="F2395">
        <v>74.8</v>
      </c>
      <c r="G2395" s="2">
        <f t="shared" si="371"/>
        <v>1</v>
      </c>
      <c r="H2395">
        <v>87.2</v>
      </c>
      <c r="I2395">
        <v>66.2</v>
      </c>
      <c r="J2395">
        <v>75.8</v>
      </c>
      <c r="K2395">
        <v>64.3</v>
      </c>
      <c r="L2395">
        <v>70.2</v>
      </c>
      <c r="M2395" s="2">
        <f t="shared" si="372"/>
        <v>0</v>
      </c>
      <c r="N2395">
        <v>0</v>
      </c>
      <c r="O2395" s="2">
        <f t="shared" si="373"/>
        <v>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21</v>
      </c>
      <c r="V2395" s="2">
        <f t="shared" si="374"/>
        <v>1</v>
      </c>
      <c r="W2395">
        <v>8.8000000000000007</v>
      </c>
      <c r="X2395" s="2">
        <f t="shared" si="375"/>
        <v>0</v>
      </c>
      <c r="Y2395">
        <v>197.8</v>
      </c>
      <c r="Z2395" s="2" t="str">
        <f>CHOOSE(MATCH(Y2395,{0;11;80;111;161;191;241;281;341},1),"North","NorthEast","East","SouthEast","South","SouthWest","West","NorthWest","North")</f>
        <v>SouthWest</v>
      </c>
      <c r="AA2395" s="4">
        <f>CHOOSE(MATCH(Z2395,{"South";"SouthEast";"SouthWest";"North";"NorthEast";"East";"West";"NorthWest"},0),1,2,3,4,5,6,7,8)</f>
        <v>3</v>
      </c>
      <c r="AB2395" s="2">
        <f t="shared" si="376"/>
        <v>0</v>
      </c>
      <c r="AC2395">
        <v>1012.6</v>
      </c>
      <c r="AD2395" t="s">
        <v>3260</v>
      </c>
      <c r="AE2395" s="2">
        <f t="shared" si="377"/>
        <v>1</v>
      </c>
      <c r="AF2395" t="s">
        <v>3261</v>
      </c>
      <c r="AG2395" s="2">
        <f t="shared" si="378"/>
        <v>5</v>
      </c>
      <c r="AH2395" s="2">
        <f t="shared" si="379"/>
        <v>0</v>
      </c>
      <c r="AI2395" s="3">
        <v>1733.00000000163</v>
      </c>
      <c r="AJ2395" s="2">
        <v>1</v>
      </c>
      <c r="AK2395">
        <v>0.75</v>
      </c>
      <c r="AL2395">
        <v>0</v>
      </c>
      <c r="AM2395">
        <v>0</v>
      </c>
      <c r="AN2395" s="2">
        <f>IF((2*G2395+M2395-O2395+3*V2395+2*AB2395+2*AE2395+2*AH2395+3*AJ2395)&gt;=7,1,0)</f>
        <v>1</v>
      </c>
    </row>
    <row r="2396" spans="1:40" x14ac:dyDescent="0.25">
      <c r="A2396" t="s">
        <v>27</v>
      </c>
      <c r="B2396" s="1">
        <v>44347</v>
      </c>
      <c r="C2396" s="6">
        <f t="shared" si="370"/>
        <v>2021</v>
      </c>
      <c r="D2396">
        <v>77</v>
      </c>
      <c r="E2396">
        <v>59</v>
      </c>
      <c r="F2396">
        <v>69</v>
      </c>
      <c r="G2396" s="2">
        <f t="shared" si="371"/>
        <v>0</v>
      </c>
      <c r="H2396">
        <v>77</v>
      </c>
      <c r="I2396">
        <v>59</v>
      </c>
      <c r="J2396">
        <v>69</v>
      </c>
      <c r="K2396">
        <v>62.6</v>
      </c>
      <c r="L2396">
        <v>80.5</v>
      </c>
      <c r="M2396" s="2">
        <f t="shared" si="372"/>
        <v>0</v>
      </c>
      <c r="N2396">
        <v>0</v>
      </c>
      <c r="O2396" s="2">
        <f t="shared" si="373"/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23.5</v>
      </c>
      <c r="V2396" s="2">
        <f t="shared" si="374"/>
        <v>1</v>
      </c>
      <c r="W2396">
        <v>12.7</v>
      </c>
      <c r="X2396" s="2">
        <f t="shared" si="375"/>
        <v>0</v>
      </c>
      <c r="Y2396">
        <v>5.3</v>
      </c>
      <c r="Z2396" s="2" t="str">
        <f>CHOOSE(MATCH(Y2396,{0;11;80;111;161;191;241;281;341},1),"North","NorthEast","East","SouthEast","South","SouthWest","West","NorthWest","North")</f>
        <v>North</v>
      </c>
      <c r="AA2396" s="4">
        <f>CHOOSE(MATCH(Z2396,{"South";"SouthEast";"SouthWest";"North";"NorthEast";"East";"West";"NorthWest"},0),1,2,3,4,5,6,7,8)</f>
        <v>4</v>
      </c>
      <c r="AB2396" s="2">
        <f t="shared" si="376"/>
        <v>1</v>
      </c>
      <c r="AC2396">
        <v>1011.8</v>
      </c>
      <c r="AD2396" t="s">
        <v>3262</v>
      </c>
      <c r="AE2396" s="2">
        <f t="shared" si="377"/>
        <v>1</v>
      </c>
      <c r="AF2396" t="s">
        <v>3263</v>
      </c>
      <c r="AG2396" s="2">
        <f t="shared" si="378"/>
        <v>5</v>
      </c>
      <c r="AH2396" s="2">
        <f t="shared" si="379"/>
        <v>0</v>
      </c>
      <c r="AI2396" s="3">
        <v>1019.0000000002329</v>
      </c>
      <c r="AJ2396" s="2">
        <v>1</v>
      </c>
      <c r="AK2396">
        <v>0</v>
      </c>
      <c r="AL2396">
        <v>1</v>
      </c>
      <c r="AM2396">
        <v>0</v>
      </c>
      <c r="AN2396" s="2">
        <f>IF((2*G2396+M2396-O2396+3*V2396+2*AB2396+2*AE2396+2*AH2396+3*AJ2396)&gt;=7,1,0)</f>
        <v>1</v>
      </c>
    </row>
    <row r="2397" spans="1:40" x14ac:dyDescent="0.25">
      <c r="A2397" t="s">
        <v>27</v>
      </c>
      <c r="B2397" s="1">
        <v>44351</v>
      </c>
      <c r="C2397" s="6">
        <f t="shared" si="370"/>
        <v>2021</v>
      </c>
      <c r="D2397">
        <v>75.2</v>
      </c>
      <c r="E2397">
        <v>57.2</v>
      </c>
      <c r="F2397">
        <v>68.2</v>
      </c>
      <c r="G2397" s="2">
        <f t="shared" si="371"/>
        <v>0</v>
      </c>
      <c r="H2397">
        <v>75.2</v>
      </c>
      <c r="I2397">
        <v>57.2</v>
      </c>
      <c r="J2397">
        <v>68.2</v>
      </c>
      <c r="K2397">
        <v>61.1</v>
      </c>
      <c r="L2397">
        <v>78.5</v>
      </c>
      <c r="M2397" s="2">
        <f t="shared" si="372"/>
        <v>0</v>
      </c>
      <c r="N2397">
        <v>0</v>
      </c>
      <c r="O2397" s="2">
        <f t="shared" si="373"/>
        <v>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32</v>
      </c>
      <c r="V2397" s="2">
        <f t="shared" si="374"/>
        <v>1</v>
      </c>
      <c r="W2397">
        <v>13.9</v>
      </c>
      <c r="X2397" s="2">
        <f t="shared" si="375"/>
        <v>0</v>
      </c>
      <c r="Y2397">
        <v>300.2</v>
      </c>
      <c r="Z2397" s="2" t="str">
        <f>CHOOSE(MATCH(Y2397,{0;11;80;111;161;191;241;281;341},1),"North","NorthEast","East","SouthEast","South","SouthWest","West","NorthWest","North")</f>
        <v>NorthWest</v>
      </c>
      <c r="AA2397" s="4">
        <f>CHOOSE(MATCH(Z2397,{"South";"SouthEast";"SouthWest";"North";"NorthEast";"East";"West";"NorthWest"},0),1,2,3,4,5,6,7,8)</f>
        <v>8</v>
      </c>
      <c r="AB2397" s="2">
        <f t="shared" si="376"/>
        <v>1</v>
      </c>
      <c r="AC2397">
        <v>1020</v>
      </c>
      <c r="AD2397" t="s">
        <v>1113</v>
      </c>
      <c r="AE2397" s="2">
        <f t="shared" si="377"/>
        <v>1</v>
      </c>
      <c r="AF2397" t="s">
        <v>3264</v>
      </c>
      <c r="AG2397" s="2">
        <f t="shared" si="378"/>
        <v>6</v>
      </c>
      <c r="AH2397" s="2">
        <f t="shared" si="379"/>
        <v>1</v>
      </c>
      <c r="AI2397" s="3">
        <v>149.99999999650751</v>
      </c>
      <c r="AJ2397" s="2">
        <v>0</v>
      </c>
      <c r="AK2397">
        <v>2.5</v>
      </c>
      <c r="AL2397">
        <v>0</v>
      </c>
      <c r="AM2397">
        <v>0</v>
      </c>
      <c r="AN2397" s="2">
        <f>IF((2*G2397+M2397-O2397+3*V2397+2*AB2397+2*AE2397+2*AH2397+3*AJ2397)&gt;=7,1,0)</f>
        <v>1</v>
      </c>
    </row>
    <row r="2398" spans="1:40" x14ac:dyDescent="0.25">
      <c r="A2398" t="s">
        <v>27</v>
      </c>
      <c r="B2398" s="1">
        <v>44352</v>
      </c>
      <c r="C2398" s="6">
        <f t="shared" si="370"/>
        <v>2021</v>
      </c>
      <c r="D2398">
        <v>74.400000000000006</v>
      </c>
      <c r="E2398">
        <v>68</v>
      </c>
      <c r="F2398">
        <v>71.2</v>
      </c>
      <c r="G2398" s="2">
        <f t="shared" si="371"/>
        <v>1</v>
      </c>
      <c r="H2398">
        <v>74.400000000000006</v>
      </c>
      <c r="I2398">
        <v>68</v>
      </c>
      <c r="J2398">
        <v>71.2</v>
      </c>
      <c r="K2398">
        <v>62.7</v>
      </c>
      <c r="L2398">
        <v>74.7</v>
      </c>
      <c r="M2398" s="2">
        <f t="shared" si="372"/>
        <v>0</v>
      </c>
      <c r="N2398">
        <v>0</v>
      </c>
      <c r="O2398" s="2">
        <f t="shared" si="373"/>
        <v>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32.200000000000003</v>
      </c>
      <c r="V2398" s="2">
        <f t="shared" si="374"/>
        <v>1</v>
      </c>
      <c r="W2398">
        <v>12.8</v>
      </c>
      <c r="X2398" s="2">
        <f t="shared" si="375"/>
        <v>0</v>
      </c>
      <c r="Y2398">
        <v>310</v>
      </c>
      <c r="Z2398" s="2" t="str">
        <f>CHOOSE(MATCH(Y2398,{0;11;80;111;161;191;241;281;341},1),"North","NorthEast","East","SouthEast","South","SouthWest","West","NorthWest","North")</f>
        <v>NorthWest</v>
      </c>
      <c r="AA2398" s="4">
        <f>CHOOSE(MATCH(Z2398,{"South";"SouthEast";"SouthWest";"North";"NorthEast";"East";"West";"NorthWest"},0),1,2,3,4,5,6,7,8)</f>
        <v>8</v>
      </c>
      <c r="AB2398" s="2">
        <f t="shared" si="376"/>
        <v>1</v>
      </c>
      <c r="AC2398">
        <v>1019.4</v>
      </c>
      <c r="AD2398" t="s">
        <v>2035</v>
      </c>
      <c r="AE2398" s="2">
        <f t="shared" si="377"/>
        <v>1</v>
      </c>
      <c r="AF2398" t="s">
        <v>3265</v>
      </c>
      <c r="AG2398" s="2">
        <f t="shared" si="378"/>
        <v>6</v>
      </c>
      <c r="AH2398" s="2">
        <f t="shared" si="379"/>
        <v>1</v>
      </c>
      <c r="AI2398" s="3">
        <v>830.99999999511056</v>
      </c>
      <c r="AJ2398" s="2">
        <v>1</v>
      </c>
      <c r="AK2398">
        <v>0</v>
      </c>
      <c r="AL2398">
        <v>1</v>
      </c>
      <c r="AM2398">
        <v>0</v>
      </c>
      <c r="AN2398" s="2">
        <f>IF((2*G2398+M2398-O2398+3*V2398+2*AB2398+2*AE2398+2*AH2398+3*AJ2398)&gt;=7,1,0)</f>
        <v>1</v>
      </c>
    </row>
    <row r="2399" spans="1:40" x14ac:dyDescent="0.25">
      <c r="A2399" t="s">
        <v>27</v>
      </c>
      <c r="B2399" s="1">
        <v>44367</v>
      </c>
      <c r="C2399" s="6">
        <f t="shared" si="370"/>
        <v>2021</v>
      </c>
      <c r="D2399">
        <v>81.400000000000006</v>
      </c>
      <c r="E2399">
        <v>66.2</v>
      </c>
      <c r="F2399">
        <v>75</v>
      </c>
      <c r="G2399" s="2">
        <f t="shared" si="371"/>
        <v>1</v>
      </c>
      <c r="H2399">
        <v>85.4</v>
      </c>
      <c r="I2399">
        <v>66.2</v>
      </c>
      <c r="J2399">
        <v>76</v>
      </c>
      <c r="K2399">
        <v>66.599999999999994</v>
      </c>
      <c r="L2399">
        <v>75.5</v>
      </c>
      <c r="M2399" s="2">
        <f t="shared" si="372"/>
        <v>0</v>
      </c>
      <c r="N2399">
        <v>0</v>
      </c>
      <c r="O2399" s="2">
        <f t="shared" si="373"/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20.100000000000001</v>
      </c>
      <c r="V2399" s="2">
        <f t="shared" si="374"/>
        <v>1</v>
      </c>
      <c r="W2399">
        <v>6.3</v>
      </c>
      <c r="X2399" s="2">
        <f t="shared" si="375"/>
        <v>0</v>
      </c>
      <c r="Y2399">
        <v>344.3</v>
      </c>
      <c r="Z2399" s="2" t="str">
        <f>CHOOSE(MATCH(Y2399,{0;11;80;111;161;191;241;281;341},1),"North","NorthEast","East","SouthEast","South","SouthWest","West","NorthWest","North")</f>
        <v>North</v>
      </c>
      <c r="AA2399" s="4">
        <f>CHOOSE(MATCH(Z2399,{"South";"SouthEast";"SouthWest";"North";"NorthEast";"East";"West";"NorthWest"},0),1,2,3,4,5,6,7,8)</f>
        <v>4</v>
      </c>
      <c r="AB2399" s="2">
        <f t="shared" si="376"/>
        <v>1</v>
      </c>
      <c r="AC2399">
        <v>1010.5</v>
      </c>
      <c r="AD2399" t="s">
        <v>1207</v>
      </c>
      <c r="AE2399" s="2">
        <f t="shared" si="377"/>
        <v>1</v>
      </c>
      <c r="AF2399" t="s">
        <v>3266</v>
      </c>
      <c r="AG2399" s="2">
        <f t="shared" si="378"/>
        <v>6</v>
      </c>
      <c r="AH2399" s="2">
        <f t="shared" si="379"/>
        <v>1</v>
      </c>
      <c r="AI2399" s="3">
        <v>90</v>
      </c>
      <c r="AJ2399" s="2">
        <v>0</v>
      </c>
      <c r="AK2399">
        <v>0</v>
      </c>
      <c r="AL2399">
        <v>0.5</v>
      </c>
      <c r="AM2399">
        <v>0</v>
      </c>
      <c r="AN2399" s="2">
        <f>IF((2*G2399+M2399-O2399+3*V2399+2*AB2399+2*AE2399+2*AH2399+3*AJ2399)&gt;=7,1,0)</f>
        <v>1</v>
      </c>
    </row>
    <row r="2400" spans="1:40" x14ac:dyDescent="0.25">
      <c r="A2400" t="s">
        <v>27</v>
      </c>
      <c r="B2400" s="1">
        <v>44369</v>
      </c>
      <c r="C2400" s="6">
        <f t="shared" si="370"/>
        <v>2021</v>
      </c>
      <c r="D2400">
        <v>86</v>
      </c>
      <c r="E2400">
        <v>71.599999999999994</v>
      </c>
      <c r="F2400">
        <v>79.2</v>
      </c>
      <c r="G2400" s="2">
        <f t="shared" si="371"/>
        <v>1</v>
      </c>
      <c r="H2400">
        <v>92.8</v>
      </c>
      <c r="I2400">
        <v>71.599999999999994</v>
      </c>
      <c r="J2400">
        <v>82.2</v>
      </c>
      <c r="K2400">
        <v>68.900000000000006</v>
      </c>
      <c r="L2400">
        <v>70.8</v>
      </c>
      <c r="M2400" s="2">
        <f t="shared" si="372"/>
        <v>0</v>
      </c>
      <c r="N2400">
        <v>0</v>
      </c>
      <c r="O2400" s="2">
        <f t="shared" si="373"/>
        <v>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23.7</v>
      </c>
      <c r="V2400" s="2">
        <f t="shared" si="374"/>
        <v>1</v>
      </c>
      <c r="W2400">
        <v>7.4</v>
      </c>
      <c r="X2400" s="2">
        <f t="shared" si="375"/>
        <v>0</v>
      </c>
      <c r="Y2400">
        <v>34.6</v>
      </c>
      <c r="Z2400" s="2" t="str">
        <f>CHOOSE(MATCH(Y2400,{0;11;80;111;161;191;241;281;341},1),"North","NorthEast","East","SouthEast","South","SouthWest","West","NorthWest","North")</f>
        <v>NorthEast</v>
      </c>
      <c r="AA2400" s="4">
        <f>CHOOSE(MATCH(Z2400,{"South";"SouthEast";"SouthWest";"North";"NorthEast";"East";"West";"NorthWest"},0),1,2,3,4,5,6,7,8)</f>
        <v>5</v>
      </c>
      <c r="AB2400" s="2">
        <f t="shared" si="376"/>
        <v>1</v>
      </c>
      <c r="AC2400">
        <v>1012.4</v>
      </c>
      <c r="AD2400" t="s">
        <v>1821</v>
      </c>
      <c r="AE2400" s="2">
        <f t="shared" si="377"/>
        <v>1</v>
      </c>
      <c r="AF2400" t="s">
        <v>3267</v>
      </c>
      <c r="AG2400" s="2">
        <f t="shared" si="378"/>
        <v>6</v>
      </c>
      <c r="AH2400" s="2">
        <f t="shared" si="379"/>
        <v>1</v>
      </c>
      <c r="AI2400" s="3">
        <v>3377.999999999302</v>
      </c>
      <c r="AJ2400" s="2">
        <v>1</v>
      </c>
      <c r="AK2400">
        <v>0</v>
      </c>
      <c r="AL2400">
        <v>200</v>
      </c>
      <c r="AM2400">
        <v>0</v>
      </c>
      <c r="AN2400" s="2">
        <f>IF((2*G2400+M2400-O2400+3*V2400+2*AB2400+2*AE2400+2*AH2400+3*AJ2400)&gt;=7,1,0)</f>
        <v>1</v>
      </c>
    </row>
    <row r="2401" spans="1:40" x14ac:dyDescent="0.25">
      <c r="A2401" t="s">
        <v>27</v>
      </c>
      <c r="B2401" s="1">
        <v>44372</v>
      </c>
      <c r="C2401" s="6">
        <f t="shared" si="370"/>
        <v>2021</v>
      </c>
      <c r="D2401">
        <v>89.6</v>
      </c>
      <c r="E2401">
        <v>80.599999999999994</v>
      </c>
      <c r="F2401">
        <v>84.4</v>
      </c>
      <c r="G2401" s="2">
        <f t="shared" si="371"/>
        <v>1</v>
      </c>
      <c r="H2401">
        <v>96.4</v>
      </c>
      <c r="I2401">
        <v>83.3</v>
      </c>
      <c r="J2401">
        <v>89.6</v>
      </c>
      <c r="K2401">
        <v>71.099999999999994</v>
      </c>
      <c r="L2401">
        <v>65</v>
      </c>
      <c r="M2401" s="2">
        <f t="shared" si="372"/>
        <v>1</v>
      </c>
      <c r="N2401">
        <v>0</v>
      </c>
      <c r="O2401" s="2">
        <f t="shared" si="373"/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30.4</v>
      </c>
      <c r="V2401" s="2">
        <f t="shared" si="374"/>
        <v>1</v>
      </c>
      <c r="W2401">
        <v>11.4</v>
      </c>
      <c r="X2401" s="2">
        <f t="shared" si="375"/>
        <v>0</v>
      </c>
      <c r="Y2401">
        <v>315.3</v>
      </c>
      <c r="Z2401" s="2" t="str">
        <f>CHOOSE(MATCH(Y2401,{0;11;80;111;161;191;241;281;341},1),"North","NorthEast","East","SouthEast","South","SouthWest","West","NorthWest","North")</f>
        <v>NorthWest</v>
      </c>
      <c r="AA2401" s="4">
        <f>CHOOSE(MATCH(Z2401,{"South";"SouthEast";"SouthWest";"North";"NorthEast";"East";"West";"NorthWest"},0),1,2,3,4,5,6,7,8)</f>
        <v>8</v>
      </c>
      <c r="AB2401" s="2">
        <f t="shared" si="376"/>
        <v>1</v>
      </c>
      <c r="AC2401">
        <v>1012.7</v>
      </c>
      <c r="AD2401" t="s">
        <v>3268</v>
      </c>
      <c r="AE2401" s="2">
        <f t="shared" si="377"/>
        <v>1</v>
      </c>
      <c r="AF2401" t="s">
        <v>3269</v>
      </c>
      <c r="AG2401" s="2">
        <f t="shared" si="378"/>
        <v>6</v>
      </c>
      <c r="AH2401" s="2">
        <f t="shared" si="379"/>
        <v>1</v>
      </c>
      <c r="AI2401" s="3">
        <v>1679.999999996508</v>
      </c>
      <c r="AJ2401" s="2">
        <v>1</v>
      </c>
      <c r="AK2401">
        <v>0</v>
      </c>
      <c r="AL2401">
        <v>0.01</v>
      </c>
      <c r="AM2401">
        <v>0</v>
      </c>
      <c r="AN2401" s="2">
        <f>IF((2*G2401+M2401-O2401+3*V2401+2*AB2401+2*AE2401+2*AH2401+3*AJ2401)&gt;=7,1,0)</f>
        <v>1</v>
      </c>
    </row>
    <row r="2402" spans="1:40" x14ac:dyDescent="0.25">
      <c r="A2402" t="s">
        <v>27</v>
      </c>
      <c r="B2402" s="1">
        <v>44373</v>
      </c>
      <c r="C2402" s="6">
        <f t="shared" si="370"/>
        <v>2021</v>
      </c>
      <c r="D2402">
        <v>93.2</v>
      </c>
      <c r="E2402">
        <v>77</v>
      </c>
      <c r="F2402">
        <v>84.8</v>
      </c>
      <c r="G2402" s="2">
        <f t="shared" si="371"/>
        <v>1</v>
      </c>
      <c r="H2402">
        <v>105.1</v>
      </c>
      <c r="I2402">
        <v>77</v>
      </c>
      <c r="J2402">
        <v>89.9</v>
      </c>
      <c r="K2402">
        <v>69.5</v>
      </c>
      <c r="L2402">
        <v>61.2</v>
      </c>
      <c r="M2402" s="2">
        <f t="shared" si="372"/>
        <v>1</v>
      </c>
      <c r="N2402">
        <v>0</v>
      </c>
      <c r="O2402" s="2">
        <f t="shared" si="373"/>
        <v>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25.5</v>
      </c>
      <c r="V2402" s="2">
        <f t="shared" si="374"/>
        <v>1</v>
      </c>
      <c r="W2402">
        <v>5.3</v>
      </c>
      <c r="X2402" s="2">
        <f t="shared" si="375"/>
        <v>0</v>
      </c>
      <c r="Y2402">
        <v>7.8</v>
      </c>
      <c r="Z2402" s="2" t="str">
        <f>CHOOSE(MATCH(Y2402,{0;11;80;111;161;191;241;281;341},1),"North","NorthEast","East","SouthEast","South","SouthWest","West","NorthWest","North")</f>
        <v>North</v>
      </c>
      <c r="AA2402" s="4">
        <f>CHOOSE(MATCH(Z2402,{"South";"SouthEast";"SouthWest";"North";"NorthEast";"East";"West";"NorthWest"},0),1,2,3,4,5,6,7,8)</f>
        <v>4</v>
      </c>
      <c r="AB2402" s="2">
        <f t="shared" si="376"/>
        <v>1</v>
      </c>
      <c r="AC2402">
        <v>1011.1</v>
      </c>
      <c r="AD2402" t="s">
        <v>3270</v>
      </c>
      <c r="AE2402" s="2">
        <f t="shared" si="377"/>
        <v>0</v>
      </c>
      <c r="AF2402" t="s">
        <v>3271</v>
      </c>
      <c r="AG2402" s="2">
        <f t="shared" si="378"/>
        <v>6</v>
      </c>
      <c r="AH2402" s="2">
        <f t="shared" si="379"/>
        <v>1</v>
      </c>
      <c r="AI2402" s="3">
        <v>185.99999999860299</v>
      </c>
      <c r="AJ2402" s="2">
        <v>0</v>
      </c>
      <c r="AK2402">
        <v>0</v>
      </c>
      <c r="AL2402">
        <v>0.01</v>
      </c>
      <c r="AM2402">
        <v>0</v>
      </c>
      <c r="AN2402" s="2">
        <f>IF((2*G2402+M2402-O2402+3*V2402+2*AB2402+2*AE2402+2*AH2402+3*AJ2402)&gt;=7,1,0)</f>
        <v>1</v>
      </c>
    </row>
    <row r="2403" spans="1:40" x14ac:dyDescent="0.25">
      <c r="A2403" t="s">
        <v>27</v>
      </c>
      <c r="B2403" s="1">
        <v>44376</v>
      </c>
      <c r="C2403" s="6">
        <f t="shared" si="370"/>
        <v>2021</v>
      </c>
      <c r="D2403">
        <v>88.8</v>
      </c>
      <c r="E2403">
        <v>80.599999999999994</v>
      </c>
      <c r="F2403">
        <v>84.4</v>
      </c>
      <c r="G2403" s="2">
        <f t="shared" si="371"/>
        <v>1</v>
      </c>
      <c r="H2403">
        <v>94.9</v>
      </c>
      <c r="I2403">
        <v>84.5</v>
      </c>
      <c r="J2403">
        <v>89.1</v>
      </c>
      <c r="K2403">
        <v>70.7</v>
      </c>
      <c r="L2403">
        <v>64.099999999999994</v>
      </c>
      <c r="M2403" s="2">
        <f t="shared" si="372"/>
        <v>1</v>
      </c>
      <c r="N2403">
        <v>0</v>
      </c>
      <c r="O2403" s="2">
        <f t="shared" si="373"/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34.700000000000003</v>
      </c>
      <c r="V2403" s="2">
        <f t="shared" si="374"/>
        <v>1</v>
      </c>
      <c r="W2403">
        <v>23</v>
      </c>
      <c r="X2403" s="2">
        <f t="shared" si="375"/>
        <v>1</v>
      </c>
      <c r="Y2403">
        <v>304.2</v>
      </c>
      <c r="Z2403" s="2" t="str">
        <f>CHOOSE(MATCH(Y2403,{0;11;80;111;161;191;241;281;341},1),"North","NorthEast","East","SouthEast","South","SouthWest","West","NorthWest","North")</f>
        <v>NorthWest</v>
      </c>
      <c r="AA2403" s="4">
        <f>CHOOSE(MATCH(Z2403,{"South";"SouthEast";"SouthWest";"North";"NorthEast";"East";"West";"NorthWest"},0),1,2,3,4,5,6,7,8)</f>
        <v>8</v>
      </c>
      <c r="AB2403" s="2">
        <f t="shared" si="376"/>
        <v>1</v>
      </c>
      <c r="AC2403">
        <v>1012.8</v>
      </c>
      <c r="AD2403" t="s">
        <v>3167</v>
      </c>
      <c r="AE2403" s="2">
        <f t="shared" si="377"/>
        <v>1</v>
      </c>
      <c r="AF2403" t="s">
        <v>3272</v>
      </c>
      <c r="AG2403" s="2">
        <f t="shared" si="378"/>
        <v>6</v>
      </c>
      <c r="AH2403" s="2">
        <f t="shared" si="379"/>
        <v>1</v>
      </c>
      <c r="AI2403" s="3">
        <v>3549.9999999941788</v>
      </c>
      <c r="AJ2403" s="2">
        <v>1</v>
      </c>
      <c r="AK2403">
        <v>0</v>
      </c>
      <c r="AL2403">
        <v>20</v>
      </c>
      <c r="AM2403">
        <v>0</v>
      </c>
      <c r="AN2403" s="2">
        <f>IF((2*G2403+M2403-O2403+3*V2403+2*AB2403+2*AE2403+2*AH2403+3*AJ2403)&gt;=7,1,0)</f>
        <v>1</v>
      </c>
    </row>
    <row r="2404" spans="1:40" x14ac:dyDescent="0.25">
      <c r="A2404" t="s">
        <v>27</v>
      </c>
      <c r="B2404" s="1">
        <v>44376</v>
      </c>
      <c r="C2404" s="6">
        <f t="shared" si="370"/>
        <v>2021</v>
      </c>
      <c r="D2404">
        <v>88.8</v>
      </c>
      <c r="E2404">
        <v>80.599999999999994</v>
      </c>
      <c r="F2404">
        <v>84.4</v>
      </c>
      <c r="G2404" s="2">
        <f t="shared" si="371"/>
        <v>1</v>
      </c>
      <c r="H2404">
        <v>94.9</v>
      </c>
      <c r="I2404">
        <v>84.5</v>
      </c>
      <c r="J2404">
        <v>89.1</v>
      </c>
      <c r="K2404">
        <v>70.7</v>
      </c>
      <c r="L2404">
        <v>64.099999999999994</v>
      </c>
      <c r="M2404" s="2">
        <f t="shared" si="372"/>
        <v>1</v>
      </c>
      <c r="N2404">
        <v>0</v>
      </c>
      <c r="O2404" s="2">
        <f t="shared" si="373"/>
        <v>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34.700000000000003</v>
      </c>
      <c r="V2404" s="2">
        <f t="shared" si="374"/>
        <v>1</v>
      </c>
      <c r="W2404">
        <v>23</v>
      </c>
      <c r="X2404" s="2">
        <f t="shared" si="375"/>
        <v>1</v>
      </c>
      <c r="Y2404">
        <v>304.2</v>
      </c>
      <c r="Z2404" s="2" t="str">
        <f>CHOOSE(MATCH(Y2404,{0;11;80;111;161;191;241;281;341},1),"North","NorthEast","East","SouthEast","South","SouthWest","West","NorthWest","North")</f>
        <v>NorthWest</v>
      </c>
      <c r="AA2404" s="4">
        <f>CHOOSE(MATCH(Z2404,{"South";"SouthEast";"SouthWest";"North";"NorthEast";"East";"West";"NorthWest"},0),1,2,3,4,5,6,7,8)</f>
        <v>8</v>
      </c>
      <c r="AB2404" s="2">
        <f t="shared" si="376"/>
        <v>1</v>
      </c>
      <c r="AC2404">
        <v>1012.8</v>
      </c>
      <c r="AD2404" t="s">
        <v>1133</v>
      </c>
      <c r="AE2404" s="2">
        <f t="shared" si="377"/>
        <v>1</v>
      </c>
      <c r="AF2404" t="s">
        <v>3273</v>
      </c>
      <c r="AG2404" s="2">
        <f t="shared" si="378"/>
        <v>6</v>
      </c>
      <c r="AH2404" s="2">
        <f t="shared" si="379"/>
        <v>1</v>
      </c>
      <c r="AI2404" s="3">
        <v>2263.0000000004661</v>
      </c>
      <c r="AJ2404" s="2">
        <v>1</v>
      </c>
      <c r="AK2404">
        <v>0</v>
      </c>
      <c r="AL2404">
        <v>120</v>
      </c>
      <c r="AM2404">
        <v>0</v>
      </c>
      <c r="AN2404" s="2">
        <f>IF((2*G2404+M2404-O2404+3*V2404+2*AB2404+2*AE2404+2*AH2404+3*AJ2404)&gt;=7,1,0)</f>
        <v>1</v>
      </c>
    </row>
    <row r="2405" spans="1:40" x14ac:dyDescent="0.25">
      <c r="A2405" t="s">
        <v>27</v>
      </c>
      <c r="B2405" s="1">
        <v>44378</v>
      </c>
      <c r="C2405" s="6">
        <f t="shared" si="370"/>
        <v>2021</v>
      </c>
      <c r="D2405">
        <v>96.8</v>
      </c>
      <c r="E2405">
        <v>71.599999999999994</v>
      </c>
      <c r="F2405">
        <v>86.3</v>
      </c>
      <c r="G2405" s="2">
        <f t="shared" si="371"/>
        <v>1</v>
      </c>
      <c r="H2405">
        <v>109.6</v>
      </c>
      <c r="I2405">
        <v>71.599999999999994</v>
      </c>
      <c r="J2405">
        <v>89.7</v>
      </c>
      <c r="K2405">
        <v>65.3</v>
      </c>
      <c r="L2405">
        <v>50.9</v>
      </c>
      <c r="M2405" s="2">
        <f t="shared" si="372"/>
        <v>1</v>
      </c>
      <c r="N2405">
        <v>0</v>
      </c>
      <c r="O2405" s="2">
        <f t="shared" si="373"/>
        <v>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22.8</v>
      </c>
      <c r="V2405" s="2">
        <f t="shared" si="374"/>
        <v>1</v>
      </c>
      <c r="W2405">
        <v>10.9</v>
      </c>
      <c r="X2405" s="2">
        <f t="shared" si="375"/>
        <v>0</v>
      </c>
      <c r="Y2405">
        <v>166.4</v>
      </c>
      <c r="Z2405" s="2" t="str">
        <f>CHOOSE(MATCH(Y2405,{0;11;80;111;161;191;241;281;341},1),"North","NorthEast","East","SouthEast","South","SouthWest","West","NorthWest","North")</f>
        <v>South</v>
      </c>
      <c r="AA2405" s="4">
        <f>CHOOSE(MATCH(Z2405,{"South";"SouthEast";"SouthWest";"North";"NorthEast";"East";"West";"NorthWest"},0),1,2,3,4,5,6,7,8)</f>
        <v>1</v>
      </c>
      <c r="AB2405" s="2">
        <f t="shared" si="376"/>
        <v>0</v>
      </c>
      <c r="AC2405">
        <v>1010.7</v>
      </c>
      <c r="AD2405" t="s">
        <v>1254</v>
      </c>
      <c r="AE2405" s="2">
        <f t="shared" si="377"/>
        <v>1</v>
      </c>
      <c r="AF2405" t="s">
        <v>3274</v>
      </c>
      <c r="AG2405" s="2">
        <f t="shared" si="378"/>
        <v>7</v>
      </c>
      <c r="AH2405" s="2">
        <f t="shared" si="379"/>
        <v>1</v>
      </c>
      <c r="AI2405" s="3">
        <v>30.00000000349246</v>
      </c>
      <c r="AJ2405" s="2">
        <v>0</v>
      </c>
      <c r="AK2405">
        <v>0</v>
      </c>
      <c r="AL2405">
        <v>20</v>
      </c>
      <c r="AM2405">
        <v>0</v>
      </c>
      <c r="AN2405" s="2">
        <f>IF((2*G2405+M2405-O2405+3*V2405+2*AB2405+2*AE2405+2*AH2405+3*AJ2405)&gt;=7,1,0)</f>
        <v>1</v>
      </c>
    </row>
    <row r="2406" spans="1:40" x14ac:dyDescent="0.25">
      <c r="A2406" t="s">
        <v>27</v>
      </c>
      <c r="B2406" s="1">
        <v>44384</v>
      </c>
      <c r="C2406" s="6">
        <f t="shared" si="370"/>
        <v>2021</v>
      </c>
      <c r="D2406">
        <v>87.8</v>
      </c>
      <c r="E2406">
        <v>78.8</v>
      </c>
      <c r="F2406">
        <v>83.1</v>
      </c>
      <c r="G2406" s="2">
        <f t="shared" si="371"/>
        <v>1</v>
      </c>
      <c r="H2406">
        <v>94.2</v>
      </c>
      <c r="I2406">
        <v>78.8</v>
      </c>
      <c r="J2406">
        <v>87.4</v>
      </c>
      <c r="K2406">
        <v>70.599999999999994</v>
      </c>
      <c r="L2406">
        <v>66.2</v>
      </c>
      <c r="M2406" s="2">
        <f t="shared" si="372"/>
        <v>0</v>
      </c>
      <c r="N2406">
        <v>0</v>
      </c>
      <c r="O2406" s="2">
        <f t="shared" si="373"/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34.4</v>
      </c>
      <c r="V2406" s="2">
        <f t="shared" si="374"/>
        <v>1</v>
      </c>
      <c r="W2406">
        <v>20.3</v>
      </c>
      <c r="X2406" s="2">
        <f t="shared" si="375"/>
        <v>1</v>
      </c>
      <c r="Y2406">
        <v>290.60000000000002</v>
      </c>
      <c r="Z2406" s="2" t="str">
        <f>CHOOSE(MATCH(Y2406,{0;11;80;111;161;191;241;281;341},1),"North","NorthEast","East","SouthEast","South","SouthWest","West","NorthWest","North")</f>
        <v>NorthWest</v>
      </c>
      <c r="AA2406" s="4">
        <f>CHOOSE(MATCH(Z2406,{"South";"SouthEast";"SouthWest";"North";"NorthEast";"East";"West";"NorthWest"},0),1,2,3,4,5,6,7,8)</f>
        <v>8</v>
      </c>
      <c r="AB2406" s="2">
        <f t="shared" si="376"/>
        <v>1</v>
      </c>
      <c r="AC2406">
        <v>1011.1</v>
      </c>
      <c r="AD2406" t="s">
        <v>1794</v>
      </c>
      <c r="AE2406" s="2">
        <f t="shared" si="377"/>
        <v>1</v>
      </c>
      <c r="AF2406" t="s">
        <v>3275</v>
      </c>
      <c r="AG2406" s="2">
        <f t="shared" si="378"/>
        <v>7</v>
      </c>
      <c r="AH2406" s="2">
        <f t="shared" si="379"/>
        <v>1</v>
      </c>
      <c r="AI2406" s="3">
        <v>5440.0000000046566</v>
      </c>
      <c r="AJ2406" s="2">
        <v>1</v>
      </c>
      <c r="AK2406">
        <v>5</v>
      </c>
      <c r="AL2406">
        <v>0</v>
      </c>
      <c r="AM2406">
        <v>0</v>
      </c>
      <c r="AN2406" s="2">
        <f>IF((2*G2406+M2406-O2406+3*V2406+2*AB2406+2*AE2406+2*AH2406+3*AJ2406)&gt;=7,1,0)</f>
        <v>1</v>
      </c>
    </row>
    <row r="2407" spans="1:40" x14ac:dyDescent="0.25">
      <c r="A2407" t="s">
        <v>27</v>
      </c>
      <c r="B2407" s="1">
        <v>44386</v>
      </c>
      <c r="C2407" s="6">
        <f t="shared" si="370"/>
        <v>2021</v>
      </c>
      <c r="D2407">
        <v>84.2</v>
      </c>
      <c r="E2407">
        <v>78.8</v>
      </c>
      <c r="F2407">
        <v>80.599999999999994</v>
      </c>
      <c r="G2407" s="2">
        <f t="shared" si="371"/>
        <v>1</v>
      </c>
      <c r="H2407">
        <v>90.1</v>
      </c>
      <c r="I2407">
        <v>78.8</v>
      </c>
      <c r="J2407">
        <v>82.8</v>
      </c>
      <c r="K2407">
        <v>70.599999999999994</v>
      </c>
      <c r="L2407">
        <v>72</v>
      </c>
      <c r="M2407" s="2">
        <f t="shared" si="372"/>
        <v>0</v>
      </c>
      <c r="N2407">
        <v>0</v>
      </c>
      <c r="O2407" s="2">
        <f t="shared" si="373"/>
        <v>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38.700000000000003</v>
      </c>
      <c r="V2407" s="2">
        <f t="shared" si="374"/>
        <v>1</v>
      </c>
      <c r="W2407">
        <v>23.7</v>
      </c>
      <c r="X2407" s="2">
        <f t="shared" si="375"/>
        <v>1</v>
      </c>
      <c r="Y2407">
        <v>306.8</v>
      </c>
      <c r="Z2407" s="2" t="str">
        <f>CHOOSE(MATCH(Y2407,{0;11;80;111;161;191;241;281;341},1),"North","NorthEast","East","SouthEast","South","SouthWest","West","NorthWest","North")</f>
        <v>NorthWest</v>
      </c>
      <c r="AA2407" s="4">
        <f>CHOOSE(MATCH(Z2407,{"South";"SouthEast";"SouthWest";"North";"NorthEast";"East";"West";"NorthWest"},0),1,2,3,4,5,6,7,8)</f>
        <v>8</v>
      </c>
      <c r="AB2407" s="2">
        <f t="shared" si="376"/>
        <v>1</v>
      </c>
      <c r="AC2407">
        <v>1012.5</v>
      </c>
      <c r="AD2407" t="s">
        <v>3276</v>
      </c>
      <c r="AE2407" s="2">
        <f t="shared" si="377"/>
        <v>0</v>
      </c>
      <c r="AF2407" t="s">
        <v>3277</v>
      </c>
      <c r="AG2407" s="2">
        <f t="shared" si="378"/>
        <v>7</v>
      </c>
      <c r="AH2407" s="2">
        <f t="shared" si="379"/>
        <v>1</v>
      </c>
      <c r="AI2407" s="3">
        <v>2254.9999999953429</v>
      </c>
      <c r="AJ2407" s="2">
        <v>1</v>
      </c>
      <c r="AK2407">
        <v>0</v>
      </c>
      <c r="AL2407">
        <v>0.5</v>
      </c>
      <c r="AM2407">
        <v>0</v>
      </c>
      <c r="AN2407" s="2">
        <f>IF((2*G2407+M2407-O2407+3*V2407+2*AB2407+2*AE2407+2*AH2407+3*AJ2407)&gt;=7,1,0)</f>
        <v>1</v>
      </c>
    </row>
    <row r="2408" spans="1:40" x14ac:dyDescent="0.25">
      <c r="A2408" t="s">
        <v>27</v>
      </c>
      <c r="B2408" s="1">
        <v>44389</v>
      </c>
      <c r="C2408" s="6">
        <f t="shared" si="370"/>
        <v>2021</v>
      </c>
      <c r="D2408">
        <v>86</v>
      </c>
      <c r="E2408">
        <v>75.2</v>
      </c>
      <c r="F2408">
        <v>81.8</v>
      </c>
      <c r="G2408" s="2">
        <f t="shared" si="371"/>
        <v>1</v>
      </c>
      <c r="H2408">
        <v>90.1</v>
      </c>
      <c r="I2408">
        <v>75.2</v>
      </c>
      <c r="J2408">
        <v>83.6</v>
      </c>
      <c r="K2408">
        <v>66</v>
      </c>
      <c r="L2408">
        <v>59.1</v>
      </c>
      <c r="M2408" s="2">
        <f t="shared" si="372"/>
        <v>1</v>
      </c>
      <c r="N2408">
        <v>0</v>
      </c>
      <c r="O2408" s="2">
        <f t="shared" si="373"/>
        <v>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31.5</v>
      </c>
      <c r="V2408" s="2">
        <f t="shared" si="374"/>
        <v>1</v>
      </c>
      <c r="W2408">
        <v>21.2</v>
      </c>
      <c r="X2408" s="2">
        <f t="shared" si="375"/>
        <v>1</v>
      </c>
      <c r="Y2408">
        <v>295.7</v>
      </c>
      <c r="Z2408" s="2" t="str">
        <f>CHOOSE(MATCH(Y2408,{0;11;80;111;161;191;241;281;341},1),"North","NorthEast","East","SouthEast","South","SouthWest","West","NorthWest","North")</f>
        <v>NorthWest</v>
      </c>
      <c r="AA2408" s="4">
        <f>CHOOSE(MATCH(Z2408,{"South";"SouthEast";"SouthWest";"North";"NorthEast";"East";"West";"NorthWest"},0),1,2,3,4,5,6,7,8)</f>
        <v>8</v>
      </c>
      <c r="AB2408" s="2">
        <f t="shared" si="376"/>
        <v>1</v>
      </c>
      <c r="AC2408">
        <v>1009.8</v>
      </c>
      <c r="AD2408" t="s">
        <v>3278</v>
      </c>
      <c r="AE2408" s="2">
        <f t="shared" si="377"/>
        <v>0</v>
      </c>
      <c r="AF2408" t="s">
        <v>3279</v>
      </c>
      <c r="AG2408" s="2">
        <f t="shared" si="378"/>
        <v>7</v>
      </c>
      <c r="AH2408" s="2">
        <f t="shared" si="379"/>
        <v>1</v>
      </c>
      <c r="AI2408" s="3">
        <v>0</v>
      </c>
      <c r="AJ2408" s="2">
        <v>0</v>
      </c>
      <c r="AK2408">
        <v>0.2</v>
      </c>
      <c r="AL2408">
        <v>0.2</v>
      </c>
      <c r="AM2408">
        <v>0</v>
      </c>
      <c r="AN2408" s="2">
        <f>IF((2*G2408+M2408-O2408+3*V2408+2*AB2408+2*AE2408+2*AH2408+3*AJ2408)&gt;=7,1,0)</f>
        <v>1</v>
      </c>
    </row>
    <row r="2409" spans="1:40" x14ac:dyDescent="0.25">
      <c r="A2409" t="s">
        <v>27</v>
      </c>
      <c r="B2409" s="1">
        <v>44395</v>
      </c>
      <c r="C2409" s="6">
        <f t="shared" si="370"/>
        <v>2021</v>
      </c>
      <c r="D2409">
        <v>86</v>
      </c>
      <c r="E2409">
        <v>68</v>
      </c>
      <c r="F2409">
        <v>79</v>
      </c>
      <c r="G2409" s="2">
        <f t="shared" si="371"/>
        <v>1</v>
      </c>
      <c r="H2409">
        <v>97.2</v>
      </c>
      <c r="I2409">
        <v>68</v>
      </c>
      <c r="J2409">
        <v>84</v>
      </c>
      <c r="K2409">
        <v>73</v>
      </c>
      <c r="L2409">
        <v>82.2</v>
      </c>
      <c r="M2409" s="2">
        <f t="shared" si="372"/>
        <v>0</v>
      </c>
      <c r="N2409">
        <v>0</v>
      </c>
      <c r="O2409" s="2">
        <f t="shared" si="373"/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20.8</v>
      </c>
      <c r="V2409" s="2">
        <f t="shared" si="374"/>
        <v>1</v>
      </c>
      <c r="W2409">
        <v>11.3</v>
      </c>
      <c r="X2409" s="2">
        <f t="shared" si="375"/>
        <v>0</v>
      </c>
      <c r="Y2409">
        <v>79.3</v>
      </c>
      <c r="Z2409" s="2" t="str">
        <f>CHOOSE(MATCH(Y2409,{0;11;80;111;161;191;241;281;341},1),"North","NorthEast","East","SouthEast","South","SouthWest","West","NorthWest","North")</f>
        <v>NorthEast</v>
      </c>
      <c r="AA2409" s="4">
        <f>CHOOSE(MATCH(Z2409,{"South";"SouthEast";"SouthWest";"North";"NorthEast";"East";"West";"NorthWest"},0),1,2,3,4,5,6,7,8)</f>
        <v>5</v>
      </c>
      <c r="AB2409" s="2">
        <f t="shared" si="376"/>
        <v>1</v>
      </c>
      <c r="AC2409">
        <v>1003.6</v>
      </c>
      <c r="AD2409" t="s">
        <v>2078</v>
      </c>
      <c r="AE2409" s="2">
        <f t="shared" si="377"/>
        <v>0</v>
      </c>
      <c r="AF2409" t="s">
        <v>3280</v>
      </c>
      <c r="AG2409" s="2">
        <f t="shared" si="378"/>
        <v>7</v>
      </c>
      <c r="AH2409" s="2">
        <f t="shared" si="379"/>
        <v>1</v>
      </c>
      <c r="AI2409" s="3">
        <v>1435.9999999974391</v>
      </c>
      <c r="AJ2409" s="2">
        <v>1</v>
      </c>
      <c r="AK2409">
        <v>0</v>
      </c>
      <c r="AL2409">
        <v>2</v>
      </c>
      <c r="AM2409">
        <v>0</v>
      </c>
      <c r="AN2409" s="2">
        <f>IF((2*G2409+M2409-O2409+3*V2409+2*AB2409+2*AE2409+2*AH2409+3*AJ2409)&gt;=7,1,0)</f>
        <v>1</v>
      </c>
    </row>
    <row r="2410" spans="1:40" x14ac:dyDescent="0.25">
      <c r="A2410" t="s">
        <v>27</v>
      </c>
      <c r="B2410" s="1">
        <v>44400</v>
      </c>
      <c r="C2410" s="6">
        <f t="shared" si="370"/>
        <v>2021</v>
      </c>
      <c r="D2410">
        <v>82.4</v>
      </c>
      <c r="E2410">
        <v>78.8</v>
      </c>
      <c r="F2410">
        <v>80.400000000000006</v>
      </c>
      <c r="G2410" s="2">
        <f t="shared" si="371"/>
        <v>1</v>
      </c>
      <c r="H2410">
        <v>89.4</v>
      </c>
      <c r="I2410">
        <v>78.8</v>
      </c>
      <c r="J2410">
        <v>82.8</v>
      </c>
      <c r="K2410">
        <v>71.7</v>
      </c>
      <c r="L2410">
        <v>75.2</v>
      </c>
      <c r="M2410" s="2">
        <f t="shared" si="372"/>
        <v>0</v>
      </c>
      <c r="N2410">
        <v>0</v>
      </c>
      <c r="O2410" s="2">
        <f t="shared" si="373"/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42.5</v>
      </c>
      <c r="V2410" s="2">
        <f t="shared" si="374"/>
        <v>1</v>
      </c>
      <c r="W2410">
        <v>24.2</v>
      </c>
      <c r="X2410" s="2">
        <f t="shared" si="375"/>
        <v>1</v>
      </c>
      <c r="Y2410">
        <v>310.60000000000002</v>
      </c>
      <c r="Z2410" s="2" t="str">
        <f>CHOOSE(MATCH(Y2410,{0;11;80;111;161;191;241;281;341},1),"North","NorthEast","East","SouthEast","South","SouthWest","West","NorthWest","North")</f>
        <v>NorthWest</v>
      </c>
      <c r="AA2410" s="4">
        <f>CHOOSE(MATCH(Z2410,{"South";"SouthEast";"SouthWest";"North";"NorthEast";"East";"West";"NorthWest"},0),1,2,3,4,5,6,7,8)</f>
        <v>8</v>
      </c>
      <c r="AB2410" s="2">
        <f t="shared" si="376"/>
        <v>1</v>
      </c>
      <c r="AC2410">
        <v>1010.1</v>
      </c>
      <c r="AD2410" t="s">
        <v>1101</v>
      </c>
      <c r="AE2410" s="2">
        <f t="shared" si="377"/>
        <v>1</v>
      </c>
      <c r="AF2410" t="s">
        <v>3281</v>
      </c>
      <c r="AG2410" s="2">
        <f t="shared" si="378"/>
        <v>7</v>
      </c>
      <c r="AH2410" s="2">
        <f t="shared" si="379"/>
        <v>1</v>
      </c>
      <c r="AI2410" s="3">
        <v>1918.000000007451</v>
      </c>
      <c r="AJ2410" s="2">
        <v>1</v>
      </c>
      <c r="AK2410">
        <v>0</v>
      </c>
      <c r="AL2410">
        <v>5</v>
      </c>
      <c r="AM2410">
        <v>0</v>
      </c>
      <c r="AN2410" s="2">
        <f>IF((2*G2410+M2410-O2410+3*V2410+2*AB2410+2*AE2410+2*AH2410+3*AJ2410)&gt;=7,1,0)</f>
        <v>1</v>
      </c>
    </row>
    <row r="2411" spans="1:40" x14ac:dyDescent="0.25">
      <c r="A2411" t="s">
        <v>27</v>
      </c>
      <c r="B2411" s="1">
        <v>44401</v>
      </c>
      <c r="C2411" s="6">
        <f t="shared" si="370"/>
        <v>2021</v>
      </c>
      <c r="D2411">
        <v>82.4</v>
      </c>
      <c r="E2411">
        <v>77</v>
      </c>
      <c r="F2411">
        <v>79.900000000000006</v>
      </c>
      <c r="G2411" s="2">
        <f t="shared" si="371"/>
        <v>1</v>
      </c>
      <c r="H2411">
        <v>88.3</v>
      </c>
      <c r="I2411">
        <v>77</v>
      </c>
      <c r="J2411">
        <v>81.900000000000006</v>
      </c>
      <c r="K2411">
        <v>69.8</v>
      </c>
      <c r="L2411">
        <v>71.5</v>
      </c>
      <c r="M2411" s="2">
        <f t="shared" si="372"/>
        <v>0</v>
      </c>
      <c r="N2411">
        <v>0</v>
      </c>
      <c r="O2411" s="2">
        <f t="shared" si="373"/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41.6</v>
      </c>
      <c r="V2411" s="2">
        <f t="shared" si="374"/>
        <v>1</v>
      </c>
      <c r="W2411">
        <v>25.3</v>
      </c>
      <c r="X2411" s="2">
        <f t="shared" si="375"/>
        <v>1</v>
      </c>
      <c r="Y2411">
        <v>309.89999999999998</v>
      </c>
      <c r="Z2411" s="2" t="str">
        <f>CHOOSE(MATCH(Y2411,{0;11;80;111;161;191;241;281;341},1),"North","NorthEast","East","SouthEast","South","SouthWest","West","NorthWest","North")</f>
        <v>NorthWest</v>
      </c>
      <c r="AA2411" s="4">
        <f>CHOOSE(MATCH(Z2411,{"South";"SouthEast";"SouthWest";"North";"NorthEast";"East";"West";"NorthWest"},0),1,2,3,4,5,6,7,8)</f>
        <v>8</v>
      </c>
      <c r="AB2411" s="2">
        <f t="shared" si="376"/>
        <v>1</v>
      </c>
      <c r="AC2411">
        <v>1009.6</v>
      </c>
      <c r="AD2411" t="s">
        <v>3282</v>
      </c>
      <c r="AE2411" s="2">
        <f t="shared" si="377"/>
        <v>0</v>
      </c>
      <c r="AF2411" t="s">
        <v>3283</v>
      </c>
      <c r="AG2411" s="2">
        <f t="shared" si="378"/>
        <v>7</v>
      </c>
      <c r="AH2411" s="2">
        <f t="shared" si="379"/>
        <v>1</v>
      </c>
      <c r="AI2411" s="3">
        <v>1235.999999995111</v>
      </c>
      <c r="AJ2411" s="2">
        <v>1</v>
      </c>
      <c r="AK2411">
        <v>0</v>
      </c>
      <c r="AL2411">
        <v>1</v>
      </c>
      <c r="AM2411">
        <v>0</v>
      </c>
      <c r="AN2411" s="2">
        <f>IF((2*G2411+M2411-O2411+3*V2411+2*AB2411+2*AE2411+2*AH2411+3*AJ2411)&gt;=7,1,0)</f>
        <v>1</v>
      </c>
    </row>
    <row r="2412" spans="1:40" x14ac:dyDescent="0.25">
      <c r="A2412" t="s">
        <v>27</v>
      </c>
      <c r="B2412" s="1">
        <v>44406</v>
      </c>
      <c r="C2412" s="6">
        <f t="shared" si="370"/>
        <v>2021</v>
      </c>
      <c r="D2412">
        <v>87.8</v>
      </c>
      <c r="E2412">
        <v>73.400000000000006</v>
      </c>
      <c r="F2412">
        <v>83</v>
      </c>
      <c r="G2412" s="2">
        <f t="shared" si="371"/>
        <v>1</v>
      </c>
      <c r="H2412">
        <v>102.4</v>
      </c>
      <c r="I2412">
        <v>73.400000000000006</v>
      </c>
      <c r="J2412">
        <v>90.3</v>
      </c>
      <c r="K2412">
        <v>74.5</v>
      </c>
      <c r="L2412">
        <v>75.8</v>
      </c>
      <c r="M2412" s="2">
        <f t="shared" si="372"/>
        <v>0</v>
      </c>
      <c r="N2412">
        <v>0</v>
      </c>
      <c r="O2412" s="2">
        <f t="shared" si="373"/>
        <v>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27.5</v>
      </c>
      <c r="V2412" s="2">
        <f t="shared" si="374"/>
        <v>1</v>
      </c>
      <c r="W2412">
        <v>20.8</v>
      </c>
      <c r="X2412" s="2">
        <f t="shared" si="375"/>
        <v>1</v>
      </c>
      <c r="Y2412">
        <v>286.3</v>
      </c>
      <c r="Z2412" s="2" t="str">
        <f>CHOOSE(MATCH(Y2412,{0;11;80;111;161;191;241;281;341},1),"North","NorthEast","East","SouthEast","South","SouthWest","West","NorthWest","North")</f>
        <v>NorthWest</v>
      </c>
      <c r="AA2412" s="4">
        <f>CHOOSE(MATCH(Z2412,{"South";"SouthEast";"SouthWest";"North";"NorthEast";"East";"West";"NorthWest"},0),1,2,3,4,5,6,7,8)</f>
        <v>8</v>
      </c>
      <c r="AB2412" s="2">
        <f t="shared" si="376"/>
        <v>1</v>
      </c>
      <c r="AC2412">
        <v>1009.4</v>
      </c>
      <c r="AD2412" t="s">
        <v>3284</v>
      </c>
      <c r="AE2412" s="2">
        <f t="shared" si="377"/>
        <v>1</v>
      </c>
      <c r="AF2412" t="s">
        <v>3285</v>
      </c>
      <c r="AG2412" s="2">
        <f t="shared" si="378"/>
        <v>7</v>
      </c>
      <c r="AH2412" s="2">
        <f t="shared" si="379"/>
        <v>1</v>
      </c>
      <c r="AI2412" s="3">
        <v>1622.999999999302</v>
      </c>
      <c r="AJ2412" s="2">
        <v>1</v>
      </c>
      <c r="AK2412">
        <v>0</v>
      </c>
      <c r="AL2412">
        <v>2</v>
      </c>
      <c r="AM2412">
        <v>0</v>
      </c>
      <c r="AN2412" s="2">
        <f>IF((2*G2412+M2412-O2412+3*V2412+2*AB2412+2*AE2412+2*AH2412+3*AJ2412)&gt;=7,1,0)</f>
        <v>1</v>
      </c>
    </row>
    <row r="2413" spans="1:40" x14ac:dyDescent="0.25">
      <c r="A2413" t="s">
        <v>27</v>
      </c>
      <c r="B2413" s="1">
        <v>44407</v>
      </c>
      <c r="C2413" s="6">
        <f t="shared" si="370"/>
        <v>2021</v>
      </c>
      <c r="D2413">
        <v>91.4</v>
      </c>
      <c r="E2413">
        <v>82.4</v>
      </c>
      <c r="F2413">
        <v>86.7</v>
      </c>
      <c r="G2413" s="2">
        <f t="shared" si="371"/>
        <v>1</v>
      </c>
      <c r="H2413">
        <v>110.9</v>
      </c>
      <c r="I2413">
        <v>89.5</v>
      </c>
      <c r="J2413">
        <v>98</v>
      </c>
      <c r="K2413">
        <v>76.599999999999994</v>
      </c>
      <c r="L2413">
        <v>72.3</v>
      </c>
      <c r="M2413" s="2">
        <f t="shared" si="372"/>
        <v>0</v>
      </c>
      <c r="N2413">
        <v>0</v>
      </c>
      <c r="O2413" s="2">
        <f t="shared" si="373"/>
        <v>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28.6</v>
      </c>
      <c r="V2413" s="2">
        <f t="shared" si="374"/>
        <v>1</v>
      </c>
      <c r="W2413">
        <v>18.3</v>
      </c>
      <c r="X2413" s="2">
        <f t="shared" si="375"/>
        <v>1</v>
      </c>
      <c r="Y2413">
        <v>300.5</v>
      </c>
      <c r="Z2413" s="2" t="str">
        <f>CHOOSE(MATCH(Y2413,{0;11;80;111;161;191;241;281;341},1),"North","NorthEast","East","SouthEast","South","SouthWest","West","NorthWest","North")</f>
        <v>NorthWest</v>
      </c>
      <c r="AA2413" s="4">
        <f>CHOOSE(MATCH(Z2413,{"South";"SouthEast";"SouthWest";"North";"NorthEast";"East";"West";"NorthWest"},0),1,2,3,4,5,6,7,8)</f>
        <v>8</v>
      </c>
      <c r="AB2413" s="2">
        <f t="shared" si="376"/>
        <v>1</v>
      </c>
      <c r="AC2413">
        <v>1007.8</v>
      </c>
      <c r="AD2413" t="s">
        <v>2254</v>
      </c>
      <c r="AE2413" s="2">
        <f t="shared" si="377"/>
        <v>0</v>
      </c>
      <c r="AF2413" t="s">
        <v>3286</v>
      </c>
      <c r="AG2413" s="2">
        <f t="shared" si="378"/>
        <v>7</v>
      </c>
      <c r="AH2413" s="2">
        <f t="shared" si="379"/>
        <v>1</v>
      </c>
      <c r="AI2413" s="3">
        <v>26.999999993713569</v>
      </c>
      <c r="AJ2413" s="2">
        <v>0</v>
      </c>
      <c r="AK2413">
        <v>0</v>
      </c>
      <c r="AL2413">
        <v>0.01</v>
      </c>
      <c r="AM2413">
        <v>0</v>
      </c>
      <c r="AN2413" s="2">
        <f>IF((2*G2413+M2413-O2413+3*V2413+2*AB2413+2*AE2413+2*AH2413+3*AJ2413)&gt;=7,1,0)</f>
        <v>1</v>
      </c>
    </row>
    <row r="2414" spans="1:40" x14ac:dyDescent="0.25">
      <c r="A2414" t="s">
        <v>27</v>
      </c>
      <c r="B2414" s="1">
        <v>44407</v>
      </c>
      <c r="C2414" s="6">
        <f t="shared" si="370"/>
        <v>2021</v>
      </c>
      <c r="D2414">
        <v>91.4</v>
      </c>
      <c r="E2414">
        <v>82.4</v>
      </c>
      <c r="F2414">
        <v>86.7</v>
      </c>
      <c r="G2414" s="2">
        <f t="shared" si="371"/>
        <v>1</v>
      </c>
      <c r="H2414">
        <v>110.9</v>
      </c>
      <c r="I2414">
        <v>89.5</v>
      </c>
      <c r="J2414">
        <v>98</v>
      </c>
      <c r="K2414">
        <v>76.599999999999994</v>
      </c>
      <c r="L2414">
        <v>72.3</v>
      </c>
      <c r="M2414" s="2">
        <f t="shared" si="372"/>
        <v>0</v>
      </c>
      <c r="N2414">
        <v>0</v>
      </c>
      <c r="O2414" s="2">
        <f t="shared" si="373"/>
        <v>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28.6</v>
      </c>
      <c r="V2414" s="2">
        <f t="shared" si="374"/>
        <v>1</v>
      </c>
      <c r="W2414">
        <v>18.3</v>
      </c>
      <c r="X2414" s="2">
        <f t="shared" si="375"/>
        <v>1</v>
      </c>
      <c r="Y2414">
        <v>300.5</v>
      </c>
      <c r="Z2414" s="2" t="str">
        <f>CHOOSE(MATCH(Y2414,{0;11;80;111;161;191;241;281;341},1),"North","NorthEast","East","SouthEast","South","SouthWest","West","NorthWest","North")</f>
        <v>NorthWest</v>
      </c>
      <c r="AA2414" s="4">
        <f>CHOOSE(MATCH(Z2414,{"South";"SouthEast";"SouthWest";"North";"NorthEast";"East";"West";"NorthWest"},0),1,2,3,4,5,6,7,8)</f>
        <v>8</v>
      </c>
      <c r="AB2414" s="2">
        <f t="shared" si="376"/>
        <v>1</v>
      </c>
      <c r="AC2414">
        <v>1007.8</v>
      </c>
      <c r="AD2414" t="s">
        <v>3287</v>
      </c>
      <c r="AE2414" s="2">
        <f t="shared" si="377"/>
        <v>0</v>
      </c>
      <c r="AF2414" t="s">
        <v>3288</v>
      </c>
      <c r="AG2414" s="2">
        <f t="shared" si="378"/>
        <v>7</v>
      </c>
      <c r="AH2414" s="2">
        <f t="shared" si="379"/>
        <v>1</v>
      </c>
      <c r="AI2414" s="3">
        <v>40.000000004656613</v>
      </c>
      <c r="AJ2414" s="2">
        <v>0</v>
      </c>
      <c r="AK2414">
        <v>0</v>
      </c>
      <c r="AL2414">
        <v>1</v>
      </c>
      <c r="AM2414">
        <v>0</v>
      </c>
      <c r="AN2414" s="2">
        <f>IF((2*G2414+M2414-O2414+3*V2414+2*AB2414+2*AE2414+2*AH2414+3*AJ2414)&gt;=7,1,0)</f>
        <v>1</v>
      </c>
    </row>
    <row r="2415" spans="1:40" x14ac:dyDescent="0.25">
      <c r="A2415" t="s">
        <v>27</v>
      </c>
      <c r="B2415" s="1">
        <v>44409</v>
      </c>
      <c r="C2415" s="6">
        <f t="shared" si="370"/>
        <v>2021</v>
      </c>
      <c r="D2415">
        <v>91.4</v>
      </c>
      <c r="E2415">
        <v>77</v>
      </c>
      <c r="F2415">
        <v>84.6</v>
      </c>
      <c r="G2415" s="2">
        <f t="shared" si="371"/>
        <v>1</v>
      </c>
      <c r="H2415">
        <v>117.9</v>
      </c>
      <c r="I2415">
        <v>77</v>
      </c>
      <c r="J2415">
        <v>96.1</v>
      </c>
      <c r="K2415">
        <v>75.900000000000006</v>
      </c>
      <c r="L2415">
        <v>75.400000000000006</v>
      </c>
      <c r="M2415" s="2">
        <f t="shared" si="372"/>
        <v>0</v>
      </c>
      <c r="N2415">
        <v>0</v>
      </c>
      <c r="O2415" s="2">
        <f t="shared" si="373"/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24.8</v>
      </c>
      <c r="V2415" s="2">
        <f t="shared" si="374"/>
        <v>1</v>
      </c>
      <c r="W2415">
        <v>11.4</v>
      </c>
      <c r="X2415" s="2">
        <f t="shared" si="375"/>
        <v>0</v>
      </c>
      <c r="Y2415">
        <v>261.3</v>
      </c>
      <c r="Z2415" s="2" t="str">
        <f>CHOOSE(MATCH(Y2415,{0;11;80;111;161;191;241;281;341},1),"North","NorthEast","East","SouthEast","South","SouthWest","West","NorthWest","North")</f>
        <v>West</v>
      </c>
      <c r="AA2415" s="4">
        <f>CHOOSE(MATCH(Z2415,{"South";"SouthEast";"SouthWest";"North";"NorthEast";"East";"West";"NorthWest"},0),1,2,3,4,5,6,7,8)</f>
        <v>7</v>
      </c>
      <c r="AB2415" s="2">
        <f t="shared" si="376"/>
        <v>0</v>
      </c>
      <c r="AC2415">
        <v>1008.3</v>
      </c>
      <c r="AD2415" t="s">
        <v>1173</v>
      </c>
      <c r="AE2415" s="2">
        <f t="shared" si="377"/>
        <v>0</v>
      </c>
      <c r="AF2415" t="s">
        <v>3289</v>
      </c>
      <c r="AG2415" s="2">
        <f t="shared" si="378"/>
        <v>8</v>
      </c>
      <c r="AH2415" s="2">
        <f t="shared" si="379"/>
        <v>1</v>
      </c>
      <c r="AI2415" s="3">
        <v>1795.0000000046571</v>
      </c>
      <c r="AJ2415" s="2">
        <v>1</v>
      </c>
      <c r="AK2415">
        <v>0</v>
      </c>
      <c r="AL2415">
        <v>2</v>
      </c>
      <c r="AM2415">
        <v>0</v>
      </c>
      <c r="AN2415" s="2">
        <f>IF((2*G2415+M2415-O2415+3*V2415+2*AB2415+2*AE2415+2*AH2415+3*AJ2415)&gt;=7,1,0)</f>
        <v>1</v>
      </c>
    </row>
    <row r="2416" spans="1:40" x14ac:dyDescent="0.25">
      <c r="A2416" t="s">
        <v>27</v>
      </c>
      <c r="B2416" s="1">
        <v>44411</v>
      </c>
      <c r="C2416" s="6">
        <f t="shared" si="370"/>
        <v>2021</v>
      </c>
      <c r="D2416">
        <v>98.6</v>
      </c>
      <c r="E2416">
        <v>84.2</v>
      </c>
      <c r="F2416">
        <v>91.3</v>
      </c>
      <c r="G2416" s="2">
        <f t="shared" si="371"/>
        <v>1</v>
      </c>
      <c r="H2416">
        <v>127.1</v>
      </c>
      <c r="I2416">
        <v>91.6</v>
      </c>
      <c r="J2416">
        <v>109.7</v>
      </c>
      <c r="K2416">
        <v>79.599999999999994</v>
      </c>
      <c r="L2416">
        <v>69.099999999999994</v>
      </c>
      <c r="M2416" s="2">
        <f t="shared" si="372"/>
        <v>0</v>
      </c>
      <c r="N2416">
        <v>0</v>
      </c>
      <c r="O2416" s="2">
        <f t="shared" si="373"/>
        <v>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28.9</v>
      </c>
      <c r="V2416" s="2">
        <f t="shared" si="374"/>
        <v>1</v>
      </c>
      <c r="W2416">
        <v>17.899999999999999</v>
      </c>
      <c r="X2416" s="2">
        <f t="shared" si="375"/>
        <v>1</v>
      </c>
      <c r="Y2416">
        <v>309.7</v>
      </c>
      <c r="Z2416" s="2" t="str">
        <f>CHOOSE(MATCH(Y2416,{0;11;80;111;161;191;241;281;341},1),"North","NorthEast","East","SouthEast","South","SouthWest","West","NorthWest","North")</f>
        <v>NorthWest</v>
      </c>
      <c r="AA2416" s="4">
        <f>CHOOSE(MATCH(Z2416,{"South";"SouthEast";"SouthWest";"North";"NorthEast";"East";"West";"NorthWest"},0),1,2,3,4,5,6,7,8)</f>
        <v>8</v>
      </c>
      <c r="AB2416" s="2">
        <f t="shared" si="376"/>
        <v>1</v>
      </c>
      <c r="AC2416">
        <v>1010</v>
      </c>
      <c r="AD2416" t="s">
        <v>1085</v>
      </c>
      <c r="AE2416" s="2">
        <f t="shared" si="377"/>
        <v>1</v>
      </c>
      <c r="AF2416" t="s">
        <v>3290</v>
      </c>
      <c r="AG2416" s="2">
        <f t="shared" si="378"/>
        <v>8</v>
      </c>
      <c r="AH2416" s="2">
        <f t="shared" si="379"/>
        <v>1</v>
      </c>
      <c r="AI2416" s="3">
        <v>51588.000000006286</v>
      </c>
      <c r="AJ2416" s="2">
        <v>1</v>
      </c>
      <c r="AK2416">
        <v>12000.26</v>
      </c>
      <c r="AL2416">
        <v>40000.660000000003</v>
      </c>
      <c r="AM2416">
        <v>0</v>
      </c>
      <c r="AN2416" s="2">
        <f>IF((2*G2416+M2416-O2416+3*V2416+2*AB2416+2*AE2416+2*AH2416+3*AJ2416)&gt;=7,1,0)</f>
        <v>1</v>
      </c>
    </row>
    <row r="2417" spans="1:40" x14ac:dyDescent="0.25">
      <c r="A2417" t="s">
        <v>27</v>
      </c>
      <c r="B2417" s="1">
        <v>44411</v>
      </c>
      <c r="C2417" s="6">
        <f t="shared" si="370"/>
        <v>2021</v>
      </c>
      <c r="D2417">
        <v>98.6</v>
      </c>
      <c r="E2417">
        <v>84.2</v>
      </c>
      <c r="F2417">
        <v>91.3</v>
      </c>
      <c r="G2417" s="2">
        <f t="shared" si="371"/>
        <v>1</v>
      </c>
      <c r="H2417">
        <v>127.1</v>
      </c>
      <c r="I2417">
        <v>91.6</v>
      </c>
      <c r="J2417">
        <v>109.7</v>
      </c>
      <c r="K2417">
        <v>79.599999999999994</v>
      </c>
      <c r="L2417">
        <v>69.099999999999994</v>
      </c>
      <c r="M2417" s="2">
        <f t="shared" si="372"/>
        <v>0</v>
      </c>
      <c r="N2417">
        <v>0</v>
      </c>
      <c r="O2417" s="2">
        <f t="shared" si="373"/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28.9</v>
      </c>
      <c r="V2417" s="2">
        <f t="shared" si="374"/>
        <v>1</v>
      </c>
      <c r="W2417">
        <v>17.899999999999999</v>
      </c>
      <c r="X2417" s="2">
        <f t="shared" si="375"/>
        <v>1</v>
      </c>
      <c r="Y2417">
        <v>309.7</v>
      </c>
      <c r="Z2417" s="2" t="str">
        <f>CHOOSE(MATCH(Y2417,{0;11;80;111;161;191;241;281;341},1),"North","NorthEast","East","SouthEast","South","SouthWest","West","NorthWest","North")</f>
        <v>NorthWest</v>
      </c>
      <c r="AA2417" s="4">
        <f>CHOOSE(MATCH(Z2417,{"South";"SouthEast";"SouthWest";"North";"NorthEast";"East";"West";"NorthWest"},0),1,2,3,4,5,6,7,8)</f>
        <v>8</v>
      </c>
      <c r="AB2417" s="2">
        <f t="shared" si="376"/>
        <v>1</v>
      </c>
      <c r="AC2417">
        <v>1010</v>
      </c>
      <c r="AD2417" t="s">
        <v>2333</v>
      </c>
      <c r="AE2417" s="2">
        <f t="shared" si="377"/>
        <v>1</v>
      </c>
      <c r="AF2417" t="s">
        <v>3291</v>
      </c>
      <c r="AG2417" s="2">
        <f t="shared" si="378"/>
        <v>8</v>
      </c>
      <c r="AH2417" s="2">
        <f t="shared" si="379"/>
        <v>1</v>
      </c>
      <c r="AI2417" s="3">
        <v>201.99999999837021</v>
      </c>
      <c r="AJ2417" s="2">
        <v>0</v>
      </c>
      <c r="AK2417">
        <v>0</v>
      </c>
      <c r="AL2417">
        <v>0.5</v>
      </c>
      <c r="AM2417">
        <v>0</v>
      </c>
      <c r="AN2417" s="2">
        <f>IF((2*G2417+M2417-O2417+3*V2417+2*AB2417+2*AE2417+2*AH2417+3*AJ2417)&gt;=7,1,0)</f>
        <v>1</v>
      </c>
    </row>
    <row r="2418" spans="1:40" x14ac:dyDescent="0.25">
      <c r="A2418" t="s">
        <v>27</v>
      </c>
      <c r="B2418" s="1">
        <v>44411</v>
      </c>
      <c r="C2418" s="6">
        <f t="shared" si="370"/>
        <v>2021</v>
      </c>
      <c r="D2418">
        <v>98.6</v>
      </c>
      <c r="E2418">
        <v>84.2</v>
      </c>
      <c r="F2418">
        <v>91.3</v>
      </c>
      <c r="G2418" s="2">
        <f t="shared" si="371"/>
        <v>1</v>
      </c>
      <c r="H2418">
        <v>127.1</v>
      </c>
      <c r="I2418">
        <v>91.6</v>
      </c>
      <c r="J2418">
        <v>109.7</v>
      </c>
      <c r="K2418">
        <v>79.599999999999994</v>
      </c>
      <c r="L2418">
        <v>69.099999999999994</v>
      </c>
      <c r="M2418" s="2">
        <f t="shared" si="372"/>
        <v>0</v>
      </c>
      <c r="N2418">
        <v>0</v>
      </c>
      <c r="O2418" s="2">
        <f t="shared" si="373"/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28.9</v>
      </c>
      <c r="V2418" s="2">
        <f t="shared" si="374"/>
        <v>1</v>
      </c>
      <c r="W2418">
        <v>17.899999999999999</v>
      </c>
      <c r="X2418" s="2">
        <f t="shared" si="375"/>
        <v>1</v>
      </c>
      <c r="Y2418">
        <v>309.7</v>
      </c>
      <c r="Z2418" s="2" t="str">
        <f>CHOOSE(MATCH(Y2418,{0;11;80;111;161;191;241;281;341},1),"North","NorthEast","East","SouthEast","South","SouthWest","West","NorthWest","North")</f>
        <v>NorthWest</v>
      </c>
      <c r="AA2418" s="4">
        <f>CHOOSE(MATCH(Z2418,{"South";"SouthEast";"SouthWest";"North";"NorthEast";"East";"West";"NorthWest"},0),1,2,3,4,5,6,7,8)</f>
        <v>8</v>
      </c>
      <c r="AB2418" s="2">
        <f t="shared" si="376"/>
        <v>1</v>
      </c>
      <c r="AC2418">
        <v>1010</v>
      </c>
      <c r="AD2418" t="s">
        <v>2548</v>
      </c>
      <c r="AE2418" s="2">
        <f t="shared" si="377"/>
        <v>1</v>
      </c>
      <c r="AF2418" t="s">
        <v>3292</v>
      </c>
      <c r="AG2418" s="2">
        <f t="shared" si="378"/>
        <v>8</v>
      </c>
      <c r="AH2418" s="2">
        <f t="shared" si="379"/>
        <v>1</v>
      </c>
      <c r="AI2418" s="3">
        <v>361.99999999604188</v>
      </c>
      <c r="AJ2418" s="2">
        <v>1</v>
      </c>
      <c r="AK2418">
        <v>0.5</v>
      </c>
      <c r="AL2418">
        <v>0</v>
      </c>
      <c r="AM2418">
        <v>0</v>
      </c>
      <c r="AN2418" s="2">
        <f>IF((2*G2418+M2418-O2418+3*V2418+2*AB2418+2*AE2418+2*AH2418+3*AJ2418)&gt;=7,1,0)</f>
        <v>1</v>
      </c>
    </row>
    <row r="2419" spans="1:40" x14ac:dyDescent="0.25">
      <c r="A2419" t="s">
        <v>27</v>
      </c>
      <c r="B2419" s="1">
        <v>44411</v>
      </c>
      <c r="C2419" s="6">
        <f t="shared" si="370"/>
        <v>2021</v>
      </c>
      <c r="D2419">
        <v>98.6</v>
      </c>
      <c r="E2419">
        <v>84.2</v>
      </c>
      <c r="F2419">
        <v>91.3</v>
      </c>
      <c r="G2419" s="2">
        <f t="shared" si="371"/>
        <v>1</v>
      </c>
      <c r="H2419">
        <v>127.1</v>
      </c>
      <c r="I2419">
        <v>91.6</v>
      </c>
      <c r="J2419">
        <v>109.7</v>
      </c>
      <c r="K2419">
        <v>79.599999999999994</v>
      </c>
      <c r="L2419">
        <v>69.099999999999994</v>
      </c>
      <c r="M2419" s="2">
        <f t="shared" si="372"/>
        <v>0</v>
      </c>
      <c r="N2419">
        <v>0</v>
      </c>
      <c r="O2419" s="2">
        <f t="shared" si="373"/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28.9</v>
      </c>
      <c r="V2419" s="2">
        <f t="shared" si="374"/>
        <v>1</v>
      </c>
      <c r="W2419">
        <v>17.899999999999999</v>
      </c>
      <c r="X2419" s="2">
        <f t="shared" si="375"/>
        <v>1</v>
      </c>
      <c r="Y2419">
        <v>309.7</v>
      </c>
      <c r="Z2419" s="2" t="str">
        <f>CHOOSE(MATCH(Y2419,{0;11;80;111;161;191;241;281;341},1),"North","NorthEast","East","SouthEast","South","SouthWest","West","NorthWest","North")</f>
        <v>NorthWest</v>
      </c>
      <c r="AA2419" s="4">
        <f>CHOOSE(MATCH(Z2419,{"South";"SouthEast";"SouthWest";"North";"NorthEast";"East";"West";"NorthWest"},0),1,2,3,4,5,6,7,8)</f>
        <v>8</v>
      </c>
      <c r="AB2419" s="2">
        <f t="shared" si="376"/>
        <v>1</v>
      </c>
      <c r="AC2419">
        <v>1010</v>
      </c>
      <c r="AD2419" t="s">
        <v>3293</v>
      </c>
      <c r="AE2419" s="2">
        <f t="shared" si="377"/>
        <v>0</v>
      </c>
      <c r="AF2419" t="s">
        <v>3294</v>
      </c>
      <c r="AG2419" s="2">
        <f t="shared" si="378"/>
        <v>8</v>
      </c>
      <c r="AH2419" s="2">
        <f t="shared" si="379"/>
        <v>1</v>
      </c>
      <c r="AI2419" s="3">
        <v>184.00000000256111</v>
      </c>
      <c r="AJ2419" s="2">
        <v>0</v>
      </c>
      <c r="AK2419">
        <v>0</v>
      </c>
      <c r="AL2419">
        <v>0.2</v>
      </c>
      <c r="AM2419">
        <v>0</v>
      </c>
      <c r="AN2419" s="2">
        <f>IF((2*G2419+M2419-O2419+3*V2419+2*AB2419+2*AE2419+2*AH2419+3*AJ2419)&gt;=7,1,0)</f>
        <v>1</v>
      </c>
    </row>
    <row r="2420" spans="1:40" x14ac:dyDescent="0.25">
      <c r="A2420" t="s">
        <v>27</v>
      </c>
      <c r="B2420" s="1">
        <v>44411</v>
      </c>
      <c r="C2420" s="6">
        <f t="shared" si="370"/>
        <v>2021</v>
      </c>
      <c r="D2420">
        <v>98.6</v>
      </c>
      <c r="E2420">
        <v>84.2</v>
      </c>
      <c r="F2420">
        <v>91.3</v>
      </c>
      <c r="G2420" s="2">
        <f t="shared" si="371"/>
        <v>1</v>
      </c>
      <c r="H2420">
        <v>127.1</v>
      </c>
      <c r="I2420">
        <v>91.6</v>
      </c>
      <c r="J2420">
        <v>109.7</v>
      </c>
      <c r="K2420">
        <v>79.599999999999994</v>
      </c>
      <c r="L2420">
        <v>69.099999999999994</v>
      </c>
      <c r="M2420" s="2">
        <f t="shared" si="372"/>
        <v>0</v>
      </c>
      <c r="N2420">
        <v>0</v>
      </c>
      <c r="O2420" s="2">
        <f t="shared" si="373"/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28.9</v>
      </c>
      <c r="V2420" s="2">
        <f t="shared" si="374"/>
        <v>1</v>
      </c>
      <c r="W2420">
        <v>17.899999999999999</v>
      </c>
      <c r="X2420" s="2">
        <f t="shared" si="375"/>
        <v>1</v>
      </c>
      <c r="Y2420">
        <v>309.7</v>
      </c>
      <c r="Z2420" s="2" t="str">
        <f>CHOOSE(MATCH(Y2420,{0;11;80;111;161;191;241;281;341},1),"North","NorthEast","East","SouthEast","South","SouthWest","West","NorthWest","North")</f>
        <v>NorthWest</v>
      </c>
      <c r="AA2420" s="4">
        <f>CHOOSE(MATCH(Z2420,{"South";"SouthEast";"SouthWest";"North";"NorthEast";"East";"West";"NorthWest"},0),1,2,3,4,5,6,7,8)</f>
        <v>8</v>
      </c>
      <c r="AB2420" s="2">
        <f t="shared" si="376"/>
        <v>1</v>
      </c>
      <c r="AC2420">
        <v>1010</v>
      </c>
      <c r="AD2420" t="s">
        <v>3295</v>
      </c>
      <c r="AE2420" s="2">
        <f t="shared" si="377"/>
        <v>1</v>
      </c>
      <c r="AF2420" t="s">
        <v>3296</v>
      </c>
      <c r="AG2420" s="2">
        <f t="shared" si="378"/>
        <v>8</v>
      </c>
      <c r="AH2420" s="2">
        <f t="shared" si="379"/>
        <v>1</v>
      </c>
      <c r="AI2420" s="3">
        <v>950.99999999860302</v>
      </c>
      <c r="AJ2420" s="2">
        <v>1</v>
      </c>
      <c r="AK2420">
        <v>0</v>
      </c>
      <c r="AL2420">
        <v>4</v>
      </c>
      <c r="AM2420">
        <v>0</v>
      </c>
      <c r="AN2420" s="2">
        <f>IF((2*G2420+M2420-O2420+3*V2420+2*AB2420+2*AE2420+2*AH2420+3*AJ2420)&gt;=7,1,0)</f>
        <v>1</v>
      </c>
    </row>
    <row r="2421" spans="1:40" x14ac:dyDescent="0.25">
      <c r="A2421" t="s">
        <v>27</v>
      </c>
      <c r="B2421" s="1">
        <v>44413</v>
      </c>
      <c r="C2421" s="6">
        <f t="shared" si="370"/>
        <v>2021</v>
      </c>
      <c r="D2421">
        <v>96.8</v>
      </c>
      <c r="E2421">
        <v>78.8</v>
      </c>
      <c r="F2421">
        <v>87.4</v>
      </c>
      <c r="G2421" s="2">
        <f t="shared" si="371"/>
        <v>1</v>
      </c>
      <c r="H2421">
        <v>121.8</v>
      </c>
      <c r="I2421">
        <v>78.8</v>
      </c>
      <c r="J2421">
        <v>98.9</v>
      </c>
      <c r="K2421">
        <v>75.3</v>
      </c>
      <c r="L2421">
        <v>67.900000000000006</v>
      </c>
      <c r="M2421" s="2">
        <f t="shared" si="372"/>
        <v>0</v>
      </c>
      <c r="N2421">
        <v>0</v>
      </c>
      <c r="O2421" s="2">
        <f t="shared" si="373"/>
        <v>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26.5</v>
      </c>
      <c r="V2421" s="2">
        <f t="shared" si="374"/>
        <v>1</v>
      </c>
      <c r="W2421">
        <v>16.100000000000001</v>
      </c>
      <c r="X2421" s="2">
        <f t="shared" si="375"/>
        <v>1</v>
      </c>
      <c r="Y2421">
        <v>286.8</v>
      </c>
      <c r="Z2421" s="2" t="str">
        <f>CHOOSE(MATCH(Y2421,{0;11;80;111;161;191;241;281;341},1),"North","NorthEast","East","SouthEast","South","SouthWest","West","NorthWest","North")</f>
        <v>NorthWest</v>
      </c>
      <c r="AA2421" s="4">
        <f>CHOOSE(MATCH(Z2421,{"South";"SouthEast";"SouthWest";"North";"NorthEast";"East";"West";"NorthWest"},0),1,2,3,4,5,6,7,8)</f>
        <v>8</v>
      </c>
      <c r="AB2421" s="2">
        <f t="shared" si="376"/>
        <v>1</v>
      </c>
      <c r="AC2421">
        <v>1009.7</v>
      </c>
      <c r="AD2421" t="s">
        <v>3297</v>
      </c>
      <c r="AE2421" s="2">
        <f t="shared" si="377"/>
        <v>1</v>
      </c>
      <c r="AF2421" t="s">
        <v>3298</v>
      </c>
      <c r="AG2421" s="2">
        <f t="shared" si="378"/>
        <v>8</v>
      </c>
      <c r="AH2421" s="2">
        <f t="shared" si="379"/>
        <v>1</v>
      </c>
      <c r="AI2421" s="3">
        <v>1080</v>
      </c>
      <c r="AJ2421" s="2">
        <v>1</v>
      </c>
      <c r="AK2421">
        <v>0</v>
      </c>
      <c r="AL2421">
        <v>10</v>
      </c>
      <c r="AM2421">
        <v>0</v>
      </c>
      <c r="AN2421" s="2">
        <f>IF((2*G2421+M2421-O2421+3*V2421+2*AB2421+2*AE2421+2*AH2421+3*AJ2421)&gt;=7,1,0)</f>
        <v>1</v>
      </c>
    </row>
    <row r="2422" spans="1:40" x14ac:dyDescent="0.25">
      <c r="A2422" t="s">
        <v>27</v>
      </c>
      <c r="B2422" s="1">
        <v>44413</v>
      </c>
      <c r="C2422" s="6">
        <f t="shared" si="370"/>
        <v>2021</v>
      </c>
      <c r="D2422">
        <v>96.8</v>
      </c>
      <c r="E2422">
        <v>78.8</v>
      </c>
      <c r="F2422">
        <v>87.4</v>
      </c>
      <c r="G2422" s="2">
        <f t="shared" si="371"/>
        <v>1</v>
      </c>
      <c r="H2422">
        <v>121.8</v>
      </c>
      <c r="I2422">
        <v>78.8</v>
      </c>
      <c r="J2422">
        <v>98.9</v>
      </c>
      <c r="K2422">
        <v>75.3</v>
      </c>
      <c r="L2422">
        <v>67.900000000000006</v>
      </c>
      <c r="M2422" s="2">
        <f t="shared" si="372"/>
        <v>0</v>
      </c>
      <c r="N2422">
        <v>0</v>
      </c>
      <c r="O2422" s="2">
        <f t="shared" si="373"/>
        <v>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26.5</v>
      </c>
      <c r="V2422" s="2">
        <f t="shared" si="374"/>
        <v>1</v>
      </c>
      <c r="W2422">
        <v>16.100000000000001</v>
      </c>
      <c r="X2422" s="2">
        <f t="shared" si="375"/>
        <v>1</v>
      </c>
      <c r="Y2422">
        <v>286.8</v>
      </c>
      <c r="Z2422" s="2" t="str">
        <f>CHOOSE(MATCH(Y2422,{0;11;80;111;161;191;241;281;341},1),"North","NorthEast","East","SouthEast","South","SouthWest","West","NorthWest","North")</f>
        <v>NorthWest</v>
      </c>
      <c r="AA2422" s="4">
        <f>CHOOSE(MATCH(Z2422,{"South";"SouthEast";"SouthWest";"North";"NorthEast";"East";"West";"NorthWest"},0),1,2,3,4,5,6,7,8)</f>
        <v>8</v>
      </c>
      <c r="AB2422" s="2">
        <f t="shared" si="376"/>
        <v>1</v>
      </c>
      <c r="AC2422">
        <v>1009.7</v>
      </c>
      <c r="AD2422" t="s">
        <v>2815</v>
      </c>
      <c r="AE2422" s="2">
        <f t="shared" si="377"/>
        <v>1</v>
      </c>
      <c r="AF2422" t="s">
        <v>3299</v>
      </c>
      <c r="AG2422" s="2">
        <f t="shared" si="378"/>
        <v>8</v>
      </c>
      <c r="AH2422" s="2">
        <f t="shared" si="379"/>
        <v>1</v>
      </c>
      <c r="AI2422" s="3">
        <v>1217.999999999302</v>
      </c>
      <c r="AJ2422" s="2">
        <v>1</v>
      </c>
      <c r="AK2422">
        <v>0</v>
      </c>
      <c r="AL2422">
        <v>18</v>
      </c>
      <c r="AM2422">
        <v>0</v>
      </c>
      <c r="AN2422" s="2">
        <f>IF((2*G2422+M2422-O2422+3*V2422+2*AB2422+2*AE2422+2*AH2422+3*AJ2422)&gt;=7,1,0)</f>
        <v>1</v>
      </c>
    </row>
    <row r="2423" spans="1:40" x14ac:dyDescent="0.25">
      <c r="A2423" t="s">
        <v>27</v>
      </c>
      <c r="B2423" s="1">
        <v>44414</v>
      </c>
      <c r="C2423" s="6">
        <f t="shared" si="370"/>
        <v>2021</v>
      </c>
      <c r="D2423">
        <v>103</v>
      </c>
      <c r="E2423">
        <v>82.4</v>
      </c>
      <c r="F2423">
        <v>91.1</v>
      </c>
      <c r="G2423" s="2">
        <f t="shared" si="371"/>
        <v>1</v>
      </c>
      <c r="H2423">
        <v>127.3</v>
      </c>
      <c r="I2423">
        <v>83.9</v>
      </c>
      <c r="J2423">
        <v>104.4</v>
      </c>
      <c r="K2423">
        <v>74.8</v>
      </c>
      <c r="L2423">
        <v>59.2</v>
      </c>
      <c r="M2423" s="2">
        <f t="shared" si="372"/>
        <v>1</v>
      </c>
      <c r="N2423">
        <v>0</v>
      </c>
      <c r="O2423" s="2">
        <f t="shared" si="373"/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25.7</v>
      </c>
      <c r="V2423" s="2">
        <f t="shared" si="374"/>
        <v>1</v>
      </c>
      <c r="W2423">
        <v>22.9</v>
      </c>
      <c r="X2423" s="2">
        <f t="shared" si="375"/>
        <v>1</v>
      </c>
      <c r="Y2423">
        <v>268.89999999999998</v>
      </c>
      <c r="Z2423" s="2" t="str">
        <f>CHOOSE(MATCH(Y2423,{0;11;80;111;161;191;241;281;341},1),"North","NorthEast","East","SouthEast","South","SouthWest","West","NorthWest","North")</f>
        <v>West</v>
      </c>
      <c r="AA2423" s="4">
        <f>CHOOSE(MATCH(Z2423,{"South";"SouthEast";"SouthWest";"North";"NorthEast";"East";"West";"NorthWest"},0),1,2,3,4,5,6,7,8)</f>
        <v>7</v>
      </c>
      <c r="AB2423" s="2">
        <f t="shared" si="376"/>
        <v>0</v>
      </c>
      <c r="AC2423">
        <v>1004.6</v>
      </c>
      <c r="AD2423" t="s">
        <v>3300</v>
      </c>
      <c r="AE2423" s="2">
        <f t="shared" si="377"/>
        <v>1</v>
      </c>
      <c r="AF2423" t="s">
        <v>3301</v>
      </c>
      <c r="AG2423" s="2">
        <f t="shared" si="378"/>
        <v>8</v>
      </c>
      <c r="AH2423" s="2">
        <f t="shared" si="379"/>
        <v>1</v>
      </c>
      <c r="AI2423" s="3">
        <v>180</v>
      </c>
      <c r="AJ2423" s="2">
        <v>0</v>
      </c>
      <c r="AK2423">
        <v>0</v>
      </c>
      <c r="AL2423">
        <v>2</v>
      </c>
      <c r="AM2423">
        <v>0</v>
      </c>
      <c r="AN2423" s="2">
        <f>IF((2*G2423+M2423-O2423+3*V2423+2*AB2423+2*AE2423+2*AH2423+3*AJ2423)&gt;=7,1,0)</f>
        <v>1</v>
      </c>
    </row>
    <row r="2424" spans="1:40" x14ac:dyDescent="0.25">
      <c r="A2424" t="s">
        <v>27</v>
      </c>
      <c r="B2424" s="1">
        <v>44414</v>
      </c>
      <c r="C2424" s="6">
        <f t="shared" si="370"/>
        <v>2021</v>
      </c>
      <c r="D2424">
        <v>103</v>
      </c>
      <c r="E2424">
        <v>82.4</v>
      </c>
      <c r="F2424">
        <v>91.1</v>
      </c>
      <c r="G2424" s="2">
        <f t="shared" si="371"/>
        <v>1</v>
      </c>
      <c r="H2424">
        <v>127.3</v>
      </c>
      <c r="I2424">
        <v>83.9</v>
      </c>
      <c r="J2424">
        <v>104.4</v>
      </c>
      <c r="K2424">
        <v>74.8</v>
      </c>
      <c r="L2424">
        <v>59.2</v>
      </c>
      <c r="M2424" s="2">
        <f t="shared" si="372"/>
        <v>1</v>
      </c>
      <c r="N2424">
        <v>0</v>
      </c>
      <c r="O2424" s="2">
        <f t="shared" si="373"/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25.7</v>
      </c>
      <c r="V2424" s="2">
        <f t="shared" si="374"/>
        <v>1</v>
      </c>
      <c r="W2424">
        <v>22.9</v>
      </c>
      <c r="X2424" s="2">
        <f t="shared" si="375"/>
        <v>1</v>
      </c>
      <c r="Y2424">
        <v>268.89999999999998</v>
      </c>
      <c r="Z2424" s="2" t="str">
        <f>CHOOSE(MATCH(Y2424,{0;11;80;111;161;191;241;281;341},1),"North","NorthEast","East","SouthEast","South","SouthWest","West","NorthWest","North")</f>
        <v>West</v>
      </c>
      <c r="AA2424" s="4">
        <f>CHOOSE(MATCH(Z2424,{"South";"SouthEast";"SouthWest";"North";"NorthEast";"East";"West";"NorthWest"},0),1,2,3,4,5,6,7,8)</f>
        <v>7</v>
      </c>
      <c r="AB2424" s="2">
        <f t="shared" si="376"/>
        <v>0</v>
      </c>
      <c r="AC2424">
        <v>1004.6</v>
      </c>
      <c r="AD2424" t="s">
        <v>3302</v>
      </c>
      <c r="AE2424" s="2">
        <f t="shared" si="377"/>
        <v>1</v>
      </c>
      <c r="AF2424" t="s">
        <v>3303</v>
      </c>
      <c r="AG2424" s="2">
        <f t="shared" si="378"/>
        <v>8</v>
      </c>
      <c r="AH2424" s="2">
        <f t="shared" si="379"/>
        <v>1</v>
      </c>
      <c r="AI2424" s="3">
        <v>1535.999999998603</v>
      </c>
      <c r="AJ2424" s="2">
        <v>1</v>
      </c>
      <c r="AK2424">
        <v>0</v>
      </c>
      <c r="AL2424">
        <v>8</v>
      </c>
      <c r="AM2424">
        <v>0</v>
      </c>
      <c r="AN2424" s="2">
        <f>IF((2*G2424+M2424-O2424+3*V2424+2*AB2424+2*AE2424+2*AH2424+3*AJ2424)&gt;=7,1,0)</f>
        <v>1</v>
      </c>
    </row>
    <row r="2425" spans="1:40" x14ac:dyDescent="0.25">
      <c r="A2425" t="s">
        <v>27</v>
      </c>
      <c r="B2425" s="1">
        <v>44414</v>
      </c>
      <c r="C2425" s="6">
        <f t="shared" si="370"/>
        <v>2021</v>
      </c>
      <c r="D2425">
        <v>103</v>
      </c>
      <c r="E2425">
        <v>82.4</v>
      </c>
      <c r="F2425">
        <v>91.1</v>
      </c>
      <c r="G2425" s="2">
        <f t="shared" si="371"/>
        <v>1</v>
      </c>
      <c r="H2425">
        <v>127.3</v>
      </c>
      <c r="I2425">
        <v>83.9</v>
      </c>
      <c r="J2425">
        <v>104.4</v>
      </c>
      <c r="K2425">
        <v>74.8</v>
      </c>
      <c r="L2425">
        <v>59.2</v>
      </c>
      <c r="M2425" s="2">
        <f t="shared" si="372"/>
        <v>1</v>
      </c>
      <c r="N2425">
        <v>0</v>
      </c>
      <c r="O2425" s="2">
        <f t="shared" si="373"/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25.7</v>
      </c>
      <c r="V2425" s="2">
        <f t="shared" si="374"/>
        <v>1</v>
      </c>
      <c r="W2425">
        <v>22.9</v>
      </c>
      <c r="X2425" s="2">
        <f t="shared" si="375"/>
        <v>1</v>
      </c>
      <c r="Y2425">
        <v>268.89999999999998</v>
      </c>
      <c r="Z2425" s="2" t="str">
        <f>CHOOSE(MATCH(Y2425,{0;11;80;111;161;191;241;281;341},1),"North","NorthEast","East","SouthEast","South","SouthWest","West","NorthWest","North")</f>
        <v>West</v>
      </c>
      <c r="AA2425" s="4">
        <f>CHOOSE(MATCH(Z2425,{"South";"SouthEast";"SouthWest";"North";"NorthEast";"East";"West";"NorthWest"},0),1,2,3,4,5,6,7,8)</f>
        <v>7</v>
      </c>
      <c r="AB2425" s="2">
        <f t="shared" si="376"/>
        <v>0</v>
      </c>
      <c r="AC2425">
        <v>1004.6</v>
      </c>
      <c r="AD2425" t="s">
        <v>1079</v>
      </c>
      <c r="AE2425" s="2">
        <f t="shared" si="377"/>
        <v>1</v>
      </c>
      <c r="AF2425" t="s">
        <v>3304</v>
      </c>
      <c r="AG2425" s="2">
        <f t="shared" si="378"/>
        <v>8</v>
      </c>
      <c r="AH2425" s="2">
        <f t="shared" si="379"/>
        <v>1</v>
      </c>
      <c r="AI2425" s="3">
        <v>3180.000000003492</v>
      </c>
      <c r="AJ2425" s="2">
        <v>1</v>
      </c>
      <c r="AK2425">
        <v>0</v>
      </c>
      <c r="AL2425">
        <v>15</v>
      </c>
      <c r="AM2425">
        <v>0</v>
      </c>
      <c r="AN2425" s="2">
        <f>IF((2*G2425+M2425-O2425+3*V2425+2*AB2425+2*AE2425+2*AH2425+3*AJ2425)&gt;=7,1,0)</f>
        <v>1</v>
      </c>
    </row>
    <row r="2426" spans="1:40" x14ac:dyDescent="0.25">
      <c r="A2426" t="s">
        <v>27</v>
      </c>
      <c r="B2426" s="1">
        <v>44416</v>
      </c>
      <c r="C2426" s="6">
        <f t="shared" si="370"/>
        <v>2021</v>
      </c>
      <c r="D2426">
        <v>86</v>
      </c>
      <c r="E2426">
        <v>78.8</v>
      </c>
      <c r="F2426">
        <v>82.7</v>
      </c>
      <c r="G2426" s="2">
        <f t="shared" si="371"/>
        <v>1</v>
      </c>
      <c r="H2426">
        <v>97.2</v>
      </c>
      <c r="I2426">
        <v>78.8</v>
      </c>
      <c r="J2426">
        <v>89.5</v>
      </c>
      <c r="K2426">
        <v>75</v>
      </c>
      <c r="L2426">
        <v>77.8</v>
      </c>
      <c r="M2426" s="2">
        <f t="shared" si="372"/>
        <v>0</v>
      </c>
      <c r="N2426">
        <v>0</v>
      </c>
      <c r="O2426" s="2">
        <f t="shared" si="373"/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33.6</v>
      </c>
      <c r="V2426" s="2">
        <f t="shared" si="374"/>
        <v>1</v>
      </c>
      <c r="W2426">
        <v>15.1</v>
      </c>
      <c r="X2426" s="2">
        <f t="shared" si="375"/>
        <v>0</v>
      </c>
      <c r="Y2426">
        <v>296.89999999999998</v>
      </c>
      <c r="Z2426" s="2" t="str">
        <f>CHOOSE(MATCH(Y2426,{0;11;80;111;161;191;241;281;341},1),"North","NorthEast","East","SouthEast","South","SouthWest","West","NorthWest","North")</f>
        <v>NorthWest</v>
      </c>
      <c r="AA2426" s="4">
        <f>CHOOSE(MATCH(Z2426,{"South";"SouthEast";"SouthWest";"North";"NorthEast";"East";"West";"NorthWest"},0),1,2,3,4,5,6,7,8)</f>
        <v>8</v>
      </c>
      <c r="AB2426" s="2">
        <f t="shared" si="376"/>
        <v>1</v>
      </c>
      <c r="AC2426">
        <v>1012.9</v>
      </c>
      <c r="AD2426" t="s">
        <v>3305</v>
      </c>
      <c r="AE2426" s="2">
        <f t="shared" si="377"/>
        <v>0</v>
      </c>
      <c r="AF2426" t="s">
        <v>3306</v>
      </c>
      <c r="AG2426" s="2">
        <f t="shared" si="378"/>
        <v>8</v>
      </c>
      <c r="AH2426" s="2">
        <f t="shared" si="379"/>
        <v>1</v>
      </c>
      <c r="AI2426" s="3">
        <v>2042.999999995809</v>
      </c>
      <c r="AJ2426" s="2">
        <v>1</v>
      </c>
      <c r="AK2426">
        <v>0</v>
      </c>
      <c r="AL2426">
        <v>40</v>
      </c>
      <c r="AM2426">
        <v>0</v>
      </c>
      <c r="AN2426" s="2">
        <f>IF((2*G2426+M2426-O2426+3*V2426+2*AB2426+2*AE2426+2*AH2426+3*AJ2426)&gt;=7,1,0)</f>
        <v>1</v>
      </c>
    </row>
    <row r="2427" spans="1:40" x14ac:dyDescent="0.25">
      <c r="A2427" t="s">
        <v>27</v>
      </c>
      <c r="B2427" s="1">
        <v>44421</v>
      </c>
      <c r="C2427" s="6">
        <f t="shared" si="370"/>
        <v>2021</v>
      </c>
      <c r="D2427">
        <v>86</v>
      </c>
      <c r="E2427">
        <v>78.8</v>
      </c>
      <c r="F2427">
        <v>82.4</v>
      </c>
      <c r="G2427" s="2">
        <f t="shared" si="371"/>
        <v>1</v>
      </c>
      <c r="H2427">
        <v>97.2</v>
      </c>
      <c r="I2427">
        <v>78.8</v>
      </c>
      <c r="J2427">
        <v>89.9</v>
      </c>
      <c r="K2427">
        <v>76</v>
      </c>
      <c r="L2427">
        <v>81.099999999999994</v>
      </c>
      <c r="M2427" s="2">
        <f t="shared" si="372"/>
        <v>0</v>
      </c>
      <c r="N2427">
        <v>0</v>
      </c>
      <c r="O2427" s="2">
        <f t="shared" si="373"/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27.5</v>
      </c>
      <c r="V2427" s="2">
        <f t="shared" si="374"/>
        <v>1</v>
      </c>
      <c r="W2427">
        <v>16.600000000000001</v>
      </c>
      <c r="X2427" s="2">
        <f t="shared" si="375"/>
        <v>1</v>
      </c>
      <c r="Y2427">
        <v>300.60000000000002</v>
      </c>
      <c r="Z2427" s="2" t="str">
        <f>CHOOSE(MATCH(Y2427,{0;11;80;111;161;191;241;281;341},1),"North","NorthEast","East","SouthEast","South","SouthWest","West","NorthWest","North")</f>
        <v>NorthWest</v>
      </c>
      <c r="AA2427" s="4">
        <f>CHOOSE(MATCH(Z2427,{"South";"SouthEast";"SouthWest";"North";"NorthEast";"East";"West";"NorthWest"},0),1,2,3,4,5,6,7,8)</f>
        <v>8</v>
      </c>
      <c r="AB2427" s="2">
        <f t="shared" si="376"/>
        <v>1</v>
      </c>
      <c r="AC2427">
        <v>1013.8</v>
      </c>
      <c r="AD2427" t="s">
        <v>2869</v>
      </c>
      <c r="AE2427" s="2">
        <f t="shared" si="377"/>
        <v>1</v>
      </c>
      <c r="AF2427" t="s">
        <v>3307</v>
      </c>
      <c r="AG2427" s="2">
        <f t="shared" si="378"/>
        <v>8</v>
      </c>
      <c r="AH2427" s="2">
        <f t="shared" si="379"/>
        <v>1</v>
      </c>
      <c r="AI2427" s="3">
        <v>1001.999999997206</v>
      </c>
      <c r="AJ2427" s="2">
        <v>1</v>
      </c>
      <c r="AK2427">
        <v>0</v>
      </c>
      <c r="AL2427">
        <v>100</v>
      </c>
      <c r="AM2427">
        <v>0</v>
      </c>
      <c r="AN2427" s="2">
        <f>IF((2*G2427+M2427-O2427+3*V2427+2*AB2427+2*AE2427+2*AH2427+3*AJ2427)&gt;=7,1,0)</f>
        <v>1</v>
      </c>
    </row>
    <row r="2428" spans="1:40" x14ac:dyDescent="0.25">
      <c r="A2428" t="s">
        <v>27</v>
      </c>
      <c r="B2428" s="1">
        <v>44426</v>
      </c>
      <c r="C2428" s="6">
        <f t="shared" si="370"/>
        <v>2021</v>
      </c>
      <c r="D2428">
        <v>87.8</v>
      </c>
      <c r="E2428">
        <v>69.8</v>
      </c>
      <c r="F2428">
        <v>79.7</v>
      </c>
      <c r="G2428" s="2">
        <f t="shared" si="371"/>
        <v>1</v>
      </c>
      <c r="H2428">
        <v>108.1</v>
      </c>
      <c r="I2428">
        <v>69.8</v>
      </c>
      <c r="J2428">
        <v>87.5</v>
      </c>
      <c r="K2428">
        <v>74.599999999999994</v>
      </c>
      <c r="L2428">
        <v>84.8</v>
      </c>
      <c r="M2428" s="2">
        <f t="shared" si="372"/>
        <v>0</v>
      </c>
      <c r="N2428">
        <v>0</v>
      </c>
      <c r="O2428" s="2">
        <f t="shared" si="373"/>
        <v>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23.5</v>
      </c>
      <c r="V2428" s="2">
        <f t="shared" si="374"/>
        <v>1</v>
      </c>
      <c r="W2428">
        <v>11.4</v>
      </c>
      <c r="X2428" s="2">
        <f t="shared" si="375"/>
        <v>0</v>
      </c>
      <c r="Y2428">
        <v>246.4</v>
      </c>
      <c r="Z2428" s="2" t="str">
        <f>CHOOSE(MATCH(Y2428,{0;11;80;111;161;191;241;281;341},1),"North","NorthEast","East","SouthEast","South","SouthWest","West","NorthWest","North")</f>
        <v>West</v>
      </c>
      <c r="AA2428" s="4">
        <f>CHOOSE(MATCH(Z2428,{"South";"SouthEast";"SouthWest";"North";"NorthEast";"East";"West";"NorthWest"},0),1,2,3,4,5,6,7,8)</f>
        <v>7</v>
      </c>
      <c r="AB2428" s="2">
        <f t="shared" si="376"/>
        <v>0</v>
      </c>
      <c r="AC2428">
        <v>1008</v>
      </c>
      <c r="AD2428" t="s">
        <v>1083</v>
      </c>
      <c r="AE2428" s="2">
        <f t="shared" si="377"/>
        <v>1</v>
      </c>
      <c r="AF2428" t="s">
        <v>3308</v>
      </c>
      <c r="AG2428" s="2">
        <f t="shared" si="378"/>
        <v>8</v>
      </c>
      <c r="AH2428" s="2">
        <f t="shared" si="379"/>
        <v>1</v>
      </c>
      <c r="AI2428" s="3">
        <v>184.99999999534339</v>
      </c>
      <c r="AJ2428" s="2">
        <v>0</v>
      </c>
      <c r="AK2428">
        <v>0</v>
      </c>
      <c r="AL2428">
        <v>1200</v>
      </c>
      <c r="AM2428">
        <v>0</v>
      </c>
      <c r="AN2428" s="2">
        <f>IF((2*G2428+M2428-O2428+3*V2428+2*AB2428+2*AE2428+2*AH2428+3*AJ2428)&gt;=7,1,0)</f>
        <v>1</v>
      </c>
    </row>
    <row r="2429" spans="1:40" x14ac:dyDescent="0.25">
      <c r="A2429" t="s">
        <v>27</v>
      </c>
      <c r="B2429" s="1">
        <v>44429</v>
      </c>
      <c r="C2429" s="6">
        <f t="shared" si="370"/>
        <v>2021</v>
      </c>
      <c r="D2429">
        <v>86</v>
      </c>
      <c r="E2429">
        <v>77</v>
      </c>
      <c r="F2429">
        <v>81</v>
      </c>
      <c r="G2429" s="2">
        <f t="shared" si="371"/>
        <v>1</v>
      </c>
      <c r="H2429">
        <v>99.4</v>
      </c>
      <c r="I2429">
        <v>77</v>
      </c>
      <c r="J2429">
        <v>85.4</v>
      </c>
      <c r="K2429">
        <v>74.3</v>
      </c>
      <c r="L2429">
        <v>80.2</v>
      </c>
      <c r="M2429" s="2">
        <f t="shared" si="372"/>
        <v>0</v>
      </c>
      <c r="N2429">
        <v>0</v>
      </c>
      <c r="O2429" s="2">
        <f t="shared" si="373"/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34</v>
      </c>
      <c r="V2429" s="2">
        <f t="shared" si="374"/>
        <v>1</v>
      </c>
      <c r="W2429">
        <v>19.7</v>
      </c>
      <c r="X2429" s="2">
        <f t="shared" si="375"/>
        <v>1</v>
      </c>
      <c r="Y2429">
        <v>288.3</v>
      </c>
      <c r="Z2429" s="2" t="str">
        <f>CHOOSE(MATCH(Y2429,{0;11;80;111;161;191;241;281;341},1),"North","NorthEast","East","SouthEast","South","SouthWest","West","NorthWest","North")</f>
        <v>NorthWest</v>
      </c>
      <c r="AA2429" s="4">
        <f>CHOOSE(MATCH(Z2429,{"South";"SouthEast";"SouthWest";"North";"NorthEast";"East";"West";"NorthWest"},0),1,2,3,4,5,6,7,8)</f>
        <v>8</v>
      </c>
      <c r="AB2429" s="2">
        <f t="shared" si="376"/>
        <v>1</v>
      </c>
      <c r="AC2429">
        <v>1011.6</v>
      </c>
      <c r="AD2429" t="s">
        <v>2166</v>
      </c>
      <c r="AE2429" s="2">
        <f t="shared" si="377"/>
        <v>0</v>
      </c>
      <c r="AF2429" t="s">
        <v>3309</v>
      </c>
      <c r="AG2429" s="2">
        <f t="shared" si="378"/>
        <v>8</v>
      </c>
      <c r="AH2429" s="2">
        <f t="shared" si="379"/>
        <v>1</v>
      </c>
      <c r="AI2429" s="3">
        <v>336.99999999837019</v>
      </c>
      <c r="AJ2429" s="2">
        <v>0</v>
      </c>
      <c r="AK2429">
        <v>0</v>
      </c>
      <c r="AL2429">
        <v>0.5</v>
      </c>
      <c r="AM2429">
        <v>0</v>
      </c>
      <c r="AN2429" s="2">
        <f>IF((2*G2429+M2429-O2429+3*V2429+2*AB2429+2*AE2429+2*AH2429+3*AJ2429)&gt;=7,1,0)</f>
        <v>1</v>
      </c>
    </row>
    <row r="2430" spans="1:40" x14ac:dyDescent="0.25">
      <c r="A2430" t="s">
        <v>27</v>
      </c>
      <c r="B2430" s="1">
        <v>44433</v>
      </c>
      <c r="C2430" s="6">
        <f t="shared" si="370"/>
        <v>2021</v>
      </c>
      <c r="D2430">
        <v>84.2</v>
      </c>
      <c r="E2430">
        <v>68</v>
      </c>
      <c r="F2430">
        <v>77.099999999999994</v>
      </c>
      <c r="G2430" s="2">
        <f t="shared" si="371"/>
        <v>1</v>
      </c>
      <c r="H2430">
        <v>96.1</v>
      </c>
      <c r="I2430">
        <v>68</v>
      </c>
      <c r="J2430">
        <v>80.599999999999994</v>
      </c>
      <c r="K2430">
        <v>72.599999999999994</v>
      </c>
      <c r="L2430">
        <v>86.4</v>
      </c>
      <c r="M2430" s="2">
        <f t="shared" si="372"/>
        <v>0</v>
      </c>
      <c r="N2430">
        <v>0</v>
      </c>
      <c r="O2430" s="2">
        <f t="shared" si="373"/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20.8</v>
      </c>
      <c r="V2430" s="2">
        <f t="shared" si="374"/>
        <v>1</v>
      </c>
      <c r="W2430">
        <v>8.1999999999999993</v>
      </c>
      <c r="X2430" s="2">
        <f t="shared" si="375"/>
        <v>0</v>
      </c>
      <c r="Y2430">
        <v>336.9</v>
      </c>
      <c r="Z2430" s="2" t="str">
        <f>CHOOSE(MATCH(Y2430,{0;11;80;111;161;191;241;281;341},1),"North","NorthEast","East","SouthEast","South","SouthWest","West","NorthWest","North")</f>
        <v>NorthWest</v>
      </c>
      <c r="AA2430" s="4">
        <f>CHOOSE(MATCH(Z2430,{"South";"SouthEast";"SouthWest";"North";"NorthEast";"East";"West";"NorthWest"},0),1,2,3,4,5,6,7,8)</f>
        <v>8</v>
      </c>
      <c r="AB2430" s="2">
        <f t="shared" si="376"/>
        <v>1</v>
      </c>
      <c r="AC2430">
        <v>1011.3</v>
      </c>
      <c r="AD2430" t="s">
        <v>3310</v>
      </c>
      <c r="AE2430" s="2">
        <f t="shared" si="377"/>
        <v>0</v>
      </c>
      <c r="AF2430" t="s">
        <v>3311</v>
      </c>
      <c r="AG2430" s="2">
        <f t="shared" si="378"/>
        <v>8</v>
      </c>
      <c r="AH2430" s="2">
        <f t="shared" si="379"/>
        <v>1</v>
      </c>
      <c r="AI2430" s="3">
        <v>1454.999999996508</v>
      </c>
      <c r="AJ2430" s="2">
        <v>1</v>
      </c>
      <c r="AK2430">
        <v>0</v>
      </c>
      <c r="AL2430">
        <v>7.68</v>
      </c>
      <c r="AM2430">
        <v>0</v>
      </c>
      <c r="AN2430" s="2">
        <f>IF((2*G2430+M2430-O2430+3*V2430+2*AB2430+2*AE2430+2*AH2430+3*AJ2430)&gt;=7,1,0)</f>
        <v>1</v>
      </c>
    </row>
    <row r="2431" spans="1:40" x14ac:dyDescent="0.25">
      <c r="A2431" t="s">
        <v>27</v>
      </c>
      <c r="B2431" s="1">
        <v>44443</v>
      </c>
      <c r="C2431" s="6">
        <f t="shared" si="370"/>
        <v>2021</v>
      </c>
      <c r="D2431">
        <v>82.4</v>
      </c>
      <c r="E2431">
        <v>75.2</v>
      </c>
      <c r="F2431">
        <v>77.7</v>
      </c>
      <c r="G2431" s="2">
        <f t="shared" si="371"/>
        <v>1</v>
      </c>
      <c r="H2431">
        <v>88.2</v>
      </c>
      <c r="I2431">
        <v>75.2</v>
      </c>
      <c r="J2431">
        <v>78.900000000000006</v>
      </c>
      <c r="K2431">
        <v>70.099999999999994</v>
      </c>
      <c r="L2431">
        <v>77.7</v>
      </c>
      <c r="M2431" s="2">
        <f t="shared" si="372"/>
        <v>0</v>
      </c>
      <c r="N2431">
        <v>0</v>
      </c>
      <c r="O2431" s="2">
        <f t="shared" si="373"/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32.200000000000003</v>
      </c>
      <c r="V2431" s="2">
        <f t="shared" si="374"/>
        <v>1</v>
      </c>
      <c r="W2431">
        <v>19.2</v>
      </c>
      <c r="X2431" s="2">
        <f t="shared" si="375"/>
        <v>1</v>
      </c>
      <c r="Y2431">
        <v>309.8</v>
      </c>
      <c r="Z2431" s="2" t="str">
        <f>CHOOSE(MATCH(Y2431,{0;11;80;111;161;191;241;281;341},1),"North","NorthEast","East","SouthEast","South","SouthWest","West","NorthWest","North")</f>
        <v>NorthWest</v>
      </c>
      <c r="AA2431" s="4">
        <f>CHOOSE(MATCH(Z2431,{"South";"SouthEast";"SouthWest";"North";"NorthEast";"East";"West";"NorthWest"},0),1,2,3,4,5,6,7,8)</f>
        <v>8</v>
      </c>
      <c r="AB2431" s="2">
        <f t="shared" si="376"/>
        <v>1</v>
      </c>
      <c r="AC2431">
        <v>1013.2</v>
      </c>
      <c r="AD2431" t="s">
        <v>3312</v>
      </c>
      <c r="AE2431" s="2">
        <f t="shared" si="377"/>
        <v>0</v>
      </c>
      <c r="AF2431" t="s">
        <v>3313</v>
      </c>
      <c r="AG2431" s="2">
        <f t="shared" si="378"/>
        <v>9</v>
      </c>
      <c r="AH2431" s="2">
        <f t="shared" si="379"/>
        <v>0</v>
      </c>
      <c r="AI2431" s="3">
        <v>1405.0000000011639</v>
      </c>
      <c r="AJ2431" s="2">
        <v>1</v>
      </c>
      <c r="AK2431">
        <v>0</v>
      </c>
      <c r="AL2431">
        <v>5</v>
      </c>
      <c r="AM2431">
        <v>0</v>
      </c>
      <c r="AN2431" s="2">
        <f>IF((2*G2431+M2431-O2431+3*V2431+2*AB2431+2*AE2431+2*AH2431+3*AJ2431)&gt;=7,1,0)</f>
        <v>1</v>
      </c>
    </row>
    <row r="2432" spans="1:40" x14ac:dyDescent="0.25">
      <c r="A2432" t="s">
        <v>27</v>
      </c>
      <c r="B2432" s="1">
        <v>44444</v>
      </c>
      <c r="C2432" s="6">
        <f t="shared" si="370"/>
        <v>2021</v>
      </c>
      <c r="D2432">
        <v>81.599999999999994</v>
      </c>
      <c r="E2432">
        <v>75.099999999999994</v>
      </c>
      <c r="F2432">
        <v>77.900000000000006</v>
      </c>
      <c r="G2432" s="2">
        <f t="shared" si="371"/>
        <v>1</v>
      </c>
      <c r="H2432">
        <v>86.4</v>
      </c>
      <c r="I2432">
        <v>75.099999999999994</v>
      </c>
      <c r="J2432">
        <v>79.7</v>
      </c>
      <c r="K2432">
        <v>71.5</v>
      </c>
      <c r="L2432">
        <v>80.599999999999994</v>
      </c>
      <c r="M2432" s="2">
        <f t="shared" si="372"/>
        <v>0</v>
      </c>
      <c r="N2432">
        <v>0</v>
      </c>
      <c r="O2432" s="2">
        <f t="shared" si="373"/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29.5</v>
      </c>
      <c r="V2432" s="2">
        <f t="shared" si="374"/>
        <v>1</v>
      </c>
      <c r="W2432">
        <v>14</v>
      </c>
      <c r="X2432" s="2">
        <f t="shared" si="375"/>
        <v>0</v>
      </c>
      <c r="Y2432">
        <v>304.2</v>
      </c>
      <c r="Z2432" s="2" t="str">
        <f>CHOOSE(MATCH(Y2432,{0;11;80;111;161;191;241;281;341},1),"North","NorthEast","East","SouthEast","South","SouthWest","West","NorthWest","North")</f>
        <v>NorthWest</v>
      </c>
      <c r="AA2432" s="4">
        <f>CHOOSE(MATCH(Z2432,{"South";"SouthEast";"SouthWest";"North";"NorthEast";"East";"West";"NorthWest"},0),1,2,3,4,5,6,7,8)</f>
        <v>8</v>
      </c>
      <c r="AB2432" s="2">
        <f t="shared" si="376"/>
        <v>1</v>
      </c>
      <c r="AC2432">
        <v>1012.9</v>
      </c>
      <c r="AD2432" t="s">
        <v>1847</v>
      </c>
      <c r="AE2432" s="2">
        <f t="shared" si="377"/>
        <v>1</v>
      </c>
      <c r="AF2432" t="s">
        <v>3314</v>
      </c>
      <c r="AG2432" s="2">
        <f t="shared" si="378"/>
        <v>9</v>
      </c>
      <c r="AH2432" s="2">
        <f t="shared" si="379"/>
        <v>0</v>
      </c>
      <c r="AI2432" s="3">
        <v>917.0000000030268</v>
      </c>
      <c r="AJ2432" s="2">
        <v>1</v>
      </c>
      <c r="AK2432">
        <v>0</v>
      </c>
      <c r="AL2432">
        <v>100</v>
      </c>
      <c r="AM2432">
        <v>0</v>
      </c>
      <c r="AN2432" s="2">
        <f>IF((2*G2432+M2432-O2432+3*V2432+2*AB2432+2*AE2432+2*AH2432+3*AJ2432)&gt;=7,1,0)</f>
        <v>1</v>
      </c>
    </row>
    <row r="2433" spans="1:40" x14ac:dyDescent="0.25">
      <c r="A2433" t="s">
        <v>27</v>
      </c>
      <c r="B2433" s="1">
        <v>44444</v>
      </c>
      <c r="C2433" s="6">
        <f t="shared" si="370"/>
        <v>2021</v>
      </c>
      <c r="D2433">
        <v>81.599999999999994</v>
      </c>
      <c r="E2433">
        <v>75.099999999999994</v>
      </c>
      <c r="F2433">
        <v>77.900000000000006</v>
      </c>
      <c r="G2433" s="2">
        <f t="shared" si="371"/>
        <v>1</v>
      </c>
      <c r="H2433">
        <v>86.4</v>
      </c>
      <c r="I2433">
        <v>75.099999999999994</v>
      </c>
      <c r="J2433">
        <v>79.7</v>
      </c>
      <c r="K2433">
        <v>71.5</v>
      </c>
      <c r="L2433">
        <v>80.599999999999994</v>
      </c>
      <c r="M2433" s="2">
        <f t="shared" si="372"/>
        <v>0</v>
      </c>
      <c r="N2433">
        <v>0</v>
      </c>
      <c r="O2433" s="2">
        <f t="shared" si="373"/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29.5</v>
      </c>
      <c r="V2433" s="2">
        <f t="shared" si="374"/>
        <v>1</v>
      </c>
      <c r="W2433">
        <v>14</v>
      </c>
      <c r="X2433" s="2">
        <f t="shared" si="375"/>
        <v>0</v>
      </c>
      <c r="Y2433">
        <v>304.2</v>
      </c>
      <c r="Z2433" s="2" t="str">
        <f>CHOOSE(MATCH(Y2433,{0;11;80;111;161;191;241;281;341},1),"North","NorthEast","East","SouthEast","South","SouthWest","West","NorthWest","North")</f>
        <v>NorthWest</v>
      </c>
      <c r="AA2433" s="4">
        <f>CHOOSE(MATCH(Z2433,{"South";"SouthEast";"SouthWest";"North";"NorthEast";"East";"West";"NorthWest"},0),1,2,3,4,5,6,7,8)</f>
        <v>8</v>
      </c>
      <c r="AB2433" s="2">
        <f t="shared" si="376"/>
        <v>1</v>
      </c>
      <c r="AC2433">
        <v>1012.9</v>
      </c>
      <c r="AD2433" t="s">
        <v>1105</v>
      </c>
      <c r="AE2433" s="2">
        <f t="shared" si="377"/>
        <v>1</v>
      </c>
      <c r="AF2433" t="s">
        <v>3315</v>
      </c>
      <c r="AG2433" s="2">
        <f t="shared" si="378"/>
        <v>9</v>
      </c>
      <c r="AH2433" s="2">
        <f t="shared" si="379"/>
        <v>0</v>
      </c>
      <c r="AI2433" s="3">
        <v>2798.999999997905</v>
      </c>
      <c r="AJ2433" s="2">
        <v>1</v>
      </c>
      <c r="AK2433">
        <v>0</v>
      </c>
      <c r="AL2433">
        <v>35</v>
      </c>
      <c r="AM2433">
        <v>0</v>
      </c>
      <c r="AN2433" s="2">
        <f>IF((2*G2433+M2433-O2433+3*V2433+2*AB2433+2*AE2433+2*AH2433+3*AJ2433)&gt;=7,1,0)</f>
        <v>1</v>
      </c>
    </row>
    <row r="2434" spans="1:40" x14ac:dyDescent="0.25">
      <c r="A2434" t="s">
        <v>27</v>
      </c>
      <c r="B2434" s="1">
        <v>44446</v>
      </c>
      <c r="C2434" s="6">
        <f t="shared" si="370"/>
        <v>2021</v>
      </c>
      <c r="D2434">
        <v>78.8</v>
      </c>
      <c r="E2434">
        <v>73.400000000000006</v>
      </c>
      <c r="F2434">
        <v>75.3</v>
      </c>
      <c r="G2434" s="2">
        <f t="shared" si="371"/>
        <v>1</v>
      </c>
      <c r="H2434">
        <v>78.8</v>
      </c>
      <c r="I2434">
        <v>73.400000000000006</v>
      </c>
      <c r="J2434">
        <v>75.3</v>
      </c>
      <c r="K2434">
        <v>69.900000000000006</v>
      </c>
      <c r="L2434">
        <v>83.6</v>
      </c>
      <c r="M2434" s="2">
        <f t="shared" si="372"/>
        <v>0</v>
      </c>
      <c r="N2434">
        <v>0</v>
      </c>
      <c r="O2434" s="2">
        <f t="shared" si="373"/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26.4</v>
      </c>
      <c r="V2434" s="2">
        <f t="shared" si="374"/>
        <v>1</v>
      </c>
      <c r="W2434">
        <v>13.9</v>
      </c>
      <c r="X2434" s="2">
        <f t="shared" si="375"/>
        <v>0</v>
      </c>
      <c r="Y2434">
        <v>310.7</v>
      </c>
      <c r="Z2434" s="2" t="str">
        <f>CHOOSE(MATCH(Y2434,{0;11;80;111;161;191;241;281;341},1),"North","NorthEast","East","SouthEast","South","SouthWest","West","NorthWest","North")</f>
        <v>NorthWest</v>
      </c>
      <c r="AA2434" s="4">
        <f>CHOOSE(MATCH(Z2434,{"South";"SouthEast";"SouthWest";"North";"NorthEast";"East";"West";"NorthWest"},0),1,2,3,4,5,6,7,8)</f>
        <v>8</v>
      </c>
      <c r="AB2434" s="2">
        <f t="shared" si="376"/>
        <v>1</v>
      </c>
      <c r="AC2434">
        <v>1014.2</v>
      </c>
      <c r="AD2434" t="s">
        <v>3316</v>
      </c>
      <c r="AE2434" s="2">
        <f t="shared" si="377"/>
        <v>0</v>
      </c>
      <c r="AF2434" t="s">
        <v>3317</v>
      </c>
      <c r="AG2434" s="2">
        <f t="shared" si="378"/>
        <v>9</v>
      </c>
      <c r="AH2434" s="2">
        <f t="shared" si="379"/>
        <v>0</v>
      </c>
      <c r="AI2434" s="3">
        <v>1943.999999997905</v>
      </c>
      <c r="AJ2434" s="2">
        <v>1</v>
      </c>
      <c r="AK2434">
        <v>3</v>
      </c>
      <c r="AL2434">
        <v>0</v>
      </c>
      <c r="AM2434">
        <v>0</v>
      </c>
      <c r="AN2434" s="2">
        <f>IF((2*G2434+M2434-O2434+3*V2434+2*AB2434+2*AE2434+2*AH2434+3*AJ2434)&gt;=7,1,0)</f>
        <v>1</v>
      </c>
    </row>
    <row r="2435" spans="1:40" x14ac:dyDescent="0.25">
      <c r="A2435" t="s">
        <v>27</v>
      </c>
      <c r="B2435" s="1">
        <v>44457</v>
      </c>
      <c r="C2435" s="6">
        <f t="shared" ref="C2435:C2498" si="380">YEAR(B2435)</f>
        <v>2021</v>
      </c>
      <c r="D2435">
        <v>87.8</v>
      </c>
      <c r="E2435">
        <v>71.599999999999994</v>
      </c>
      <c r="F2435">
        <v>78.900000000000006</v>
      </c>
      <c r="G2435" s="2">
        <f t="shared" ref="G2435:G2498" si="381">IF(F2435&lt;=70,0,1)</f>
        <v>1</v>
      </c>
      <c r="H2435">
        <v>102.4</v>
      </c>
      <c r="I2435">
        <v>71.599999999999994</v>
      </c>
      <c r="J2435">
        <v>83.9</v>
      </c>
      <c r="K2435">
        <v>70.3</v>
      </c>
      <c r="L2435">
        <v>75.8</v>
      </c>
      <c r="M2435" s="2">
        <f t="shared" ref="M2435:M2498" si="382">IF(L2435&lt;=66,1,0)</f>
        <v>0</v>
      </c>
      <c r="N2435">
        <v>0</v>
      </c>
      <c r="O2435" s="2">
        <f t="shared" ref="O2435:O2498" si="383">IF(N2435&lt;=0.01,1,0)</f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18.8</v>
      </c>
      <c r="V2435" s="2">
        <f t="shared" ref="V2435:V2498" si="384">IF(U2435&lt;=9,0,1)</f>
        <v>1</v>
      </c>
      <c r="W2435">
        <v>10.199999999999999</v>
      </c>
      <c r="X2435" s="2">
        <f t="shared" ref="X2435:X2498" si="385">IF(W2435&gt;=16,1,0)</f>
        <v>0</v>
      </c>
      <c r="Y2435">
        <v>164.7</v>
      </c>
      <c r="Z2435" s="2" t="str">
        <f>CHOOSE(MATCH(Y2435,{0;11;80;111;161;191;241;281;341},1),"North","NorthEast","East","SouthEast","South","SouthWest","West","NorthWest","North")</f>
        <v>South</v>
      </c>
      <c r="AA2435" s="4">
        <f>CHOOSE(MATCH(Z2435,{"South";"SouthEast";"SouthWest";"North";"NorthEast";"East";"West";"NorthWest"},0),1,2,3,4,5,6,7,8)</f>
        <v>1</v>
      </c>
      <c r="AB2435" s="2">
        <f t="shared" ref="AB2435:AB2498" si="386">IF(OR(AA2435=4,AA2435=5,AA2435=8),1,0)</f>
        <v>0</v>
      </c>
      <c r="AC2435">
        <v>1013.3</v>
      </c>
      <c r="AD2435" t="s">
        <v>2554</v>
      </c>
      <c r="AE2435" s="2">
        <f t="shared" ref="AE2435:AE2498" si="387">IF(TIMEVALUE(AD2435)&lt;=TIME(12,30,0),0,1)</f>
        <v>0</v>
      </c>
      <c r="AF2435" t="s">
        <v>3318</v>
      </c>
      <c r="AG2435" s="2">
        <f t="shared" ref="AG2435:AG2498" si="388">MONTH(AF2435)</f>
        <v>9</v>
      </c>
      <c r="AH2435" s="2">
        <f t="shared" ref="AH2435:AH2498" si="389">IF(OR(AG2435=6,AG2435=7,AG2435=8),1,0)</f>
        <v>0</v>
      </c>
      <c r="AI2435" s="3">
        <v>454.00000000256108</v>
      </c>
      <c r="AJ2435" s="2">
        <v>1</v>
      </c>
      <c r="AK2435">
        <v>3</v>
      </c>
      <c r="AL2435">
        <v>0</v>
      </c>
      <c r="AM2435">
        <v>0</v>
      </c>
      <c r="AN2435" s="2">
        <f>IF((2*G2435+M2435-O2435+3*V2435+2*AB2435+2*AE2435+2*AH2435+3*AJ2435)&gt;=7,1,0)</f>
        <v>1</v>
      </c>
    </row>
    <row r="2436" spans="1:40" x14ac:dyDescent="0.25">
      <c r="A2436" t="s">
        <v>27</v>
      </c>
      <c r="B2436" s="1">
        <v>44461</v>
      </c>
      <c r="C2436" s="6">
        <f t="shared" si="380"/>
        <v>2021</v>
      </c>
      <c r="D2436">
        <v>82.4</v>
      </c>
      <c r="E2436">
        <v>68</v>
      </c>
      <c r="F2436">
        <v>74.900000000000006</v>
      </c>
      <c r="G2436" s="2">
        <f t="shared" si="381"/>
        <v>1</v>
      </c>
      <c r="H2436">
        <v>89.5</v>
      </c>
      <c r="I2436">
        <v>68</v>
      </c>
      <c r="J2436">
        <v>76.7</v>
      </c>
      <c r="K2436">
        <v>71.400000000000006</v>
      </c>
      <c r="L2436">
        <v>89.2</v>
      </c>
      <c r="M2436" s="2">
        <f t="shared" si="382"/>
        <v>0</v>
      </c>
      <c r="N2436">
        <v>0</v>
      </c>
      <c r="O2436" s="2">
        <f t="shared" si="383"/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22.4</v>
      </c>
      <c r="V2436" s="2">
        <f t="shared" si="384"/>
        <v>1</v>
      </c>
      <c r="W2436">
        <v>10.4</v>
      </c>
      <c r="X2436" s="2">
        <f t="shared" si="385"/>
        <v>0</v>
      </c>
      <c r="Y2436">
        <v>46.3</v>
      </c>
      <c r="Z2436" s="2" t="str">
        <f>CHOOSE(MATCH(Y2436,{0;11;80;111;161;191;241;281;341},1),"North","NorthEast","East","SouthEast","South","SouthWest","West","NorthWest","North")</f>
        <v>NorthEast</v>
      </c>
      <c r="AA2436" s="4">
        <f>CHOOSE(MATCH(Z2436,{"South";"SouthEast";"SouthWest";"North";"NorthEast";"East";"West";"NorthWest"},0),1,2,3,4,5,6,7,8)</f>
        <v>5</v>
      </c>
      <c r="AB2436" s="2">
        <f t="shared" si="386"/>
        <v>1</v>
      </c>
      <c r="AC2436">
        <v>1014.2</v>
      </c>
      <c r="AD2436" t="s">
        <v>1077</v>
      </c>
      <c r="AE2436" s="2">
        <f t="shared" si="387"/>
        <v>1</v>
      </c>
      <c r="AF2436" t="s">
        <v>3319</v>
      </c>
      <c r="AG2436" s="2">
        <f t="shared" si="388"/>
        <v>9</v>
      </c>
      <c r="AH2436" s="2">
        <f t="shared" si="389"/>
        <v>0</v>
      </c>
      <c r="AI2436" s="3">
        <v>6060.0000000034916</v>
      </c>
      <c r="AJ2436" s="2">
        <v>1</v>
      </c>
      <c r="AK2436">
        <v>0</v>
      </c>
      <c r="AL2436">
        <v>3000</v>
      </c>
      <c r="AM2436">
        <v>0</v>
      </c>
      <c r="AN2436" s="2">
        <f>IF((2*G2436+M2436-O2436+3*V2436+2*AB2436+2*AE2436+2*AH2436+3*AJ2436)&gt;=7,1,0)</f>
        <v>1</v>
      </c>
    </row>
    <row r="2437" spans="1:40" x14ac:dyDescent="0.25">
      <c r="A2437" t="s">
        <v>27</v>
      </c>
      <c r="B2437" s="1">
        <v>44470</v>
      </c>
      <c r="C2437" s="6">
        <f t="shared" si="380"/>
        <v>2021</v>
      </c>
      <c r="D2437">
        <v>71.599999999999994</v>
      </c>
      <c r="E2437">
        <v>68.8</v>
      </c>
      <c r="F2437">
        <v>70.2</v>
      </c>
      <c r="G2437" s="2">
        <f t="shared" si="381"/>
        <v>1</v>
      </c>
      <c r="H2437">
        <v>71.599999999999994</v>
      </c>
      <c r="I2437">
        <v>68.8</v>
      </c>
      <c r="J2437">
        <v>70.2</v>
      </c>
      <c r="K2437">
        <v>62.8</v>
      </c>
      <c r="L2437">
        <v>77.7</v>
      </c>
      <c r="M2437" s="2">
        <f t="shared" si="382"/>
        <v>0</v>
      </c>
      <c r="N2437">
        <v>0</v>
      </c>
      <c r="O2437" s="2">
        <f t="shared" si="383"/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35.299999999999997</v>
      </c>
      <c r="V2437" s="2">
        <f t="shared" si="384"/>
        <v>1</v>
      </c>
      <c r="W2437">
        <v>24.7</v>
      </c>
      <c r="X2437" s="2">
        <f t="shared" si="385"/>
        <v>1</v>
      </c>
      <c r="Y2437">
        <v>323.3</v>
      </c>
      <c r="Z2437" s="2" t="str">
        <f>CHOOSE(MATCH(Y2437,{0;11;80;111;161;191;241;281;341},1),"North","NorthEast","East","SouthEast","South","SouthWest","West","NorthWest","North")</f>
        <v>NorthWest</v>
      </c>
      <c r="AA2437" s="4">
        <f>CHOOSE(MATCH(Z2437,{"South";"SouthEast";"SouthWest";"North";"NorthEast";"East";"West";"NorthWest"},0),1,2,3,4,5,6,7,8)</f>
        <v>8</v>
      </c>
      <c r="AB2437" s="2">
        <f t="shared" si="386"/>
        <v>1</v>
      </c>
      <c r="AC2437">
        <v>1016.2</v>
      </c>
      <c r="AD2437" t="s">
        <v>3025</v>
      </c>
      <c r="AE2437" s="2">
        <f t="shared" si="387"/>
        <v>1</v>
      </c>
      <c r="AF2437" t="s">
        <v>3320</v>
      </c>
      <c r="AG2437" s="2">
        <f t="shared" si="388"/>
        <v>10</v>
      </c>
      <c r="AH2437" s="2">
        <f t="shared" si="389"/>
        <v>0</v>
      </c>
      <c r="AI2437" s="3">
        <v>1011.99999999837</v>
      </c>
      <c r="AJ2437" s="2">
        <v>1</v>
      </c>
      <c r="AK2437">
        <v>0</v>
      </c>
      <c r="AL2437">
        <v>2</v>
      </c>
      <c r="AM2437">
        <v>0</v>
      </c>
      <c r="AN2437" s="2">
        <f>IF((2*G2437+M2437-O2437+3*V2437+2*AB2437+2*AE2437+2*AH2437+3*AJ2437)&gt;=7,1,0)</f>
        <v>1</v>
      </c>
    </row>
    <row r="2438" spans="1:40" x14ac:dyDescent="0.25">
      <c r="A2438" t="s">
        <v>27</v>
      </c>
      <c r="B2438" s="1">
        <v>44473</v>
      </c>
      <c r="C2438" s="6">
        <f t="shared" si="380"/>
        <v>2021</v>
      </c>
      <c r="D2438">
        <v>73.400000000000006</v>
      </c>
      <c r="E2438">
        <v>68</v>
      </c>
      <c r="F2438">
        <v>69.5</v>
      </c>
      <c r="G2438" s="2">
        <f t="shared" si="381"/>
        <v>0</v>
      </c>
      <c r="H2438">
        <v>73.400000000000006</v>
      </c>
      <c r="I2438">
        <v>68</v>
      </c>
      <c r="J2438">
        <v>69.5</v>
      </c>
      <c r="K2438">
        <v>63.2</v>
      </c>
      <c r="L2438">
        <v>80.400000000000006</v>
      </c>
      <c r="M2438" s="2">
        <f t="shared" si="382"/>
        <v>0</v>
      </c>
      <c r="N2438">
        <v>0</v>
      </c>
      <c r="O2438" s="2">
        <f t="shared" si="383"/>
        <v>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31.8</v>
      </c>
      <c r="V2438" s="2">
        <f t="shared" si="384"/>
        <v>1</v>
      </c>
      <c r="W2438">
        <v>19.7</v>
      </c>
      <c r="X2438" s="2">
        <f t="shared" si="385"/>
        <v>1</v>
      </c>
      <c r="Y2438">
        <v>318.3</v>
      </c>
      <c r="Z2438" s="2" t="str">
        <f>CHOOSE(MATCH(Y2438,{0;11;80;111;161;191;241;281;341},1),"North","NorthEast","East","SouthEast","South","SouthWest","West","NorthWest","North")</f>
        <v>NorthWest</v>
      </c>
      <c r="AA2438" s="4">
        <f>CHOOSE(MATCH(Z2438,{"South";"SouthEast";"SouthWest";"North";"NorthEast";"East";"West";"NorthWest"},0),1,2,3,4,5,6,7,8)</f>
        <v>8</v>
      </c>
      <c r="AB2438" s="2">
        <f t="shared" si="386"/>
        <v>1</v>
      </c>
      <c r="AC2438">
        <v>1019.1</v>
      </c>
      <c r="AD2438" t="s">
        <v>3305</v>
      </c>
      <c r="AE2438" s="2">
        <f t="shared" si="387"/>
        <v>0</v>
      </c>
      <c r="AF2438" t="s">
        <v>3321</v>
      </c>
      <c r="AG2438" s="2">
        <f t="shared" si="388"/>
        <v>10</v>
      </c>
      <c r="AH2438" s="2">
        <f t="shared" si="389"/>
        <v>0</v>
      </c>
      <c r="AI2438" s="3">
        <v>1640.999999995111</v>
      </c>
      <c r="AJ2438" s="2">
        <v>1</v>
      </c>
      <c r="AK2438">
        <v>0</v>
      </c>
      <c r="AL2438">
        <v>3</v>
      </c>
      <c r="AM2438">
        <v>0</v>
      </c>
      <c r="AN2438" s="2">
        <f>IF((2*G2438+M2438-O2438+3*V2438+2*AB2438+2*AE2438+2*AH2438+3*AJ2438)&gt;=7,1,0)</f>
        <v>1</v>
      </c>
    </row>
    <row r="2439" spans="1:40" x14ac:dyDescent="0.25">
      <c r="A2439" t="s">
        <v>27</v>
      </c>
      <c r="B2439" s="1">
        <v>44476</v>
      </c>
      <c r="C2439" s="6">
        <f t="shared" si="380"/>
        <v>2021</v>
      </c>
      <c r="D2439">
        <v>73.400000000000006</v>
      </c>
      <c r="E2439">
        <v>61.8</v>
      </c>
      <c r="F2439">
        <v>68</v>
      </c>
      <c r="G2439" s="2">
        <f t="shared" si="381"/>
        <v>0</v>
      </c>
      <c r="H2439">
        <v>73.400000000000006</v>
      </c>
      <c r="I2439">
        <v>61.8</v>
      </c>
      <c r="J2439">
        <v>68</v>
      </c>
      <c r="K2439">
        <v>63.5</v>
      </c>
      <c r="L2439">
        <v>85.6</v>
      </c>
      <c r="M2439" s="2">
        <f t="shared" si="382"/>
        <v>0</v>
      </c>
      <c r="N2439">
        <v>0</v>
      </c>
      <c r="O2439" s="2">
        <f t="shared" si="383"/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17.2</v>
      </c>
      <c r="V2439" s="2">
        <f t="shared" si="384"/>
        <v>1</v>
      </c>
      <c r="W2439">
        <v>10.7</v>
      </c>
      <c r="X2439" s="2">
        <f t="shared" si="385"/>
        <v>0</v>
      </c>
      <c r="Y2439">
        <v>348.1</v>
      </c>
      <c r="Z2439" s="2" t="str">
        <f>CHOOSE(MATCH(Y2439,{0;11;80;111;161;191;241;281;341},1),"North","NorthEast","East","SouthEast","South","SouthWest","West","NorthWest","North")</f>
        <v>North</v>
      </c>
      <c r="AA2439" s="4">
        <f>CHOOSE(MATCH(Z2439,{"South";"SouthEast";"SouthWest";"North";"NorthEast";"East";"West";"NorthWest"},0),1,2,3,4,5,6,7,8)</f>
        <v>4</v>
      </c>
      <c r="AB2439" s="2">
        <f t="shared" si="386"/>
        <v>1</v>
      </c>
      <c r="AC2439">
        <v>1016.3</v>
      </c>
      <c r="AD2439" t="s">
        <v>2104</v>
      </c>
      <c r="AE2439" s="2">
        <f t="shared" si="387"/>
        <v>1</v>
      </c>
      <c r="AF2439" t="s">
        <v>3322</v>
      </c>
      <c r="AG2439" s="2">
        <f t="shared" si="388"/>
        <v>10</v>
      </c>
      <c r="AH2439" s="2">
        <f t="shared" si="389"/>
        <v>0</v>
      </c>
      <c r="AI2439" s="3">
        <v>105.9999999997672</v>
      </c>
      <c r="AJ2439" s="2">
        <v>0</v>
      </c>
      <c r="AK2439">
        <v>0</v>
      </c>
      <c r="AL2439">
        <v>2</v>
      </c>
      <c r="AM2439">
        <v>0</v>
      </c>
      <c r="AN2439" s="2">
        <f>IF((2*G2439+M2439-O2439+3*V2439+2*AB2439+2*AE2439+2*AH2439+3*AJ2439)&gt;=7,1,0)</f>
        <v>0</v>
      </c>
    </row>
    <row r="2440" spans="1:40" x14ac:dyDescent="0.25">
      <c r="A2440" t="s">
        <v>27</v>
      </c>
      <c r="B2440" s="1">
        <v>44476</v>
      </c>
      <c r="C2440" s="6">
        <f t="shared" si="380"/>
        <v>2021</v>
      </c>
      <c r="D2440">
        <v>73.400000000000006</v>
      </c>
      <c r="E2440">
        <v>61.8</v>
      </c>
      <c r="F2440">
        <v>68</v>
      </c>
      <c r="G2440" s="2">
        <f t="shared" si="381"/>
        <v>0</v>
      </c>
      <c r="H2440">
        <v>73.400000000000006</v>
      </c>
      <c r="I2440">
        <v>61.8</v>
      </c>
      <c r="J2440">
        <v>68</v>
      </c>
      <c r="K2440">
        <v>63.5</v>
      </c>
      <c r="L2440">
        <v>85.6</v>
      </c>
      <c r="M2440" s="2">
        <f t="shared" si="382"/>
        <v>0</v>
      </c>
      <c r="N2440">
        <v>0</v>
      </c>
      <c r="O2440" s="2">
        <f t="shared" si="383"/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17.2</v>
      </c>
      <c r="V2440" s="2">
        <f t="shared" si="384"/>
        <v>1</v>
      </c>
      <c r="W2440">
        <v>10.7</v>
      </c>
      <c r="X2440" s="2">
        <f t="shared" si="385"/>
        <v>0</v>
      </c>
      <c r="Y2440">
        <v>348.1</v>
      </c>
      <c r="Z2440" s="2" t="str">
        <f>CHOOSE(MATCH(Y2440,{0;11;80;111;161;191;241;281;341},1),"North","NorthEast","East","SouthEast","South","SouthWest","West","NorthWest","North")</f>
        <v>North</v>
      </c>
      <c r="AA2440" s="4">
        <f>CHOOSE(MATCH(Z2440,{"South";"SouthEast";"SouthWest";"North";"NorthEast";"East";"West";"NorthWest"},0),1,2,3,4,5,6,7,8)</f>
        <v>4</v>
      </c>
      <c r="AB2440" s="2">
        <f t="shared" si="386"/>
        <v>1</v>
      </c>
      <c r="AC2440">
        <v>1016.3</v>
      </c>
      <c r="AD2440" t="s">
        <v>1844</v>
      </c>
      <c r="AE2440" s="2">
        <f t="shared" si="387"/>
        <v>1</v>
      </c>
      <c r="AF2440" t="s">
        <v>3323</v>
      </c>
      <c r="AG2440" s="2">
        <f t="shared" si="388"/>
        <v>10</v>
      </c>
      <c r="AH2440" s="2">
        <f t="shared" si="389"/>
        <v>0</v>
      </c>
      <c r="AI2440" s="3">
        <v>1569.999999994179</v>
      </c>
      <c r="AJ2440" s="2">
        <v>1</v>
      </c>
      <c r="AK2440">
        <v>0</v>
      </c>
      <c r="AL2440">
        <v>0.4</v>
      </c>
      <c r="AM2440">
        <v>0</v>
      </c>
      <c r="AN2440" s="2">
        <f>IF((2*G2440+M2440-O2440+3*V2440+2*AB2440+2*AE2440+2*AH2440+3*AJ2440)&gt;=7,1,0)</f>
        <v>1</v>
      </c>
    </row>
    <row r="2441" spans="1:40" x14ac:dyDescent="0.25">
      <c r="A2441" t="s">
        <v>27</v>
      </c>
      <c r="B2441" s="1">
        <v>44479</v>
      </c>
      <c r="C2441" s="6">
        <f t="shared" si="380"/>
        <v>2021</v>
      </c>
      <c r="D2441">
        <v>77</v>
      </c>
      <c r="E2441">
        <v>63.6</v>
      </c>
      <c r="F2441">
        <v>70.7</v>
      </c>
      <c r="G2441" s="2">
        <f t="shared" si="381"/>
        <v>1</v>
      </c>
      <c r="H2441">
        <v>77</v>
      </c>
      <c r="I2441">
        <v>63.6</v>
      </c>
      <c r="J2441">
        <v>70.7</v>
      </c>
      <c r="K2441">
        <v>67</v>
      </c>
      <c r="L2441">
        <v>88.2</v>
      </c>
      <c r="M2441" s="2">
        <f t="shared" si="382"/>
        <v>0</v>
      </c>
      <c r="N2441">
        <v>0</v>
      </c>
      <c r="O2441" s="2">
        <f t="shared" si="383"/>
        <v>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20.8</v>
      </c>
      <c r="V2441" s="2">
        <f t="shared" si="384"/>
        <v>1</v>
      </c>
      <c r="W2441">
        <v>9.1999999999999993</v>
      </c>
      <c r="X2441" s="2">
        <f t="shared" si="385"/>
        <v>0</v>
      </c>
      <c r="Y2441">
        <v>125</v>
      </c>
      <c r="Z2441" s="2" t="str">
        <f>CHOOSE(MATCH(Y2441,{0;11;80;111;161;191;241;281;341},1),"North","NorthEast","East","SouthEast","South","SouthWest","West","NorthWest","North")</f>
        <v>SouthEast</v>
      </c>
      <c r="AA2441" s="4">
        <f>CHOOSE(MATCH(Z2441,{"South";"SouthEast";"SouthWest";"North";"NorthEast";"East";"West";"NorthWest"},0),1,2,3,4,5,6,7,8)</f>
        <v>2</v>
      </c>
      <c r="AB2441" s="2">
        <f t="shared" si="386"/>
        <v>0</v>
      </c>
      <c r="AC2441">
        <v>1016.8</v>
      </c>
      <c r="AD2441" t="s">
        <v>1215</v>
      </c>
      <c r="AE2441" s="2">
        <f t="shared" si="387"/>
        <v>1</v>
      </c>
      <c r="AF2441" t="s">
        <v>3324</v>
      </c>
      <c r="AG2441" s="2">
        <f t="shared" si="388"/>
        <v>10</v>
      </c>
      <c r="AH2441" s="2">
        <f t="shared" si="389"/>
        <v>0</v>
      </c>
      <c r="AI2441" s="3">
        <v>949.99999999534339</v>
      </c>
      <c r="AJ2441" s="2">
        <v>1</v>
      </c>
      <c r="AK2441">
        <v>0</v>
      </c>
      <c r="AL2441">
        <v>0.5</v>
      </c>
      <c r="AM2441">
        <v>0</v>
      </c>
      <c r="AN2441" s="2">
        <f>IF((2*G2441+M2441-O2441+3*V2441+2*AB2441+2*AE2441+2*AH2441+3*AJ2441)&gt;=7,1,0)</f>
        <v>1</v>
      </c>
    </row>
    <row r="2442" spans="1:40" x14ac:dyDescent="0.25">
      <c r="A2442" t="s">
        <v>27</v>
      </c>
      <c r="B2442" s="1">
        <v>44480</v>
      </c>
      <c r="C2442" s="6">
        <f t="shared" si="380"/>
        <v>2021</v>
      </c>
      <c r="D2442">
        <v>80.599999999999994</v>
      </c>
      <c r="E2442">
        <v>68</v>
      </c>
      <c r="F2442">
        <v>73.5</v>
      </c>
      <c r="G2442" s="2">
        <f t="shared" si="381"/>
        <v>1</v>
      </c>
      <c r="H2442">
        <v>82.8</v>
      </c>
      <c r="I2442">
        <v>68</v>
      </c>
      <c r="J2442">
        <v>73.7</v>
      </c>
      <c r="K2442">
        <v>63.5</v>
      </c>
      <c r="L2442">
        <v>72</v>
      </c>
      <c r="M2442" s="2">
        <f t="shared" si="382"/>
        <v>0</v>
      </c>
      <c r="N2442">
        <v>8.0000000000000002E-3</v>
      </c>
      <c r="O2442" s="2">
        <f t="shared" si="383"/>
        <v>1</v>
      </c>
      <c r="P2442">
        <v>100</v>
      </c>
      <c r="Q2442">
        <v>4.17</v>
      </c>
      <c r="R2442" t="s">
        <v>182</v>
      </c>
      <c r="S2442">
        <v>0</v>
      </c>
      <c r="T2442">
        <v>0</v>
      </c>
      <c r="U2442">
        <v>22.8</v>
      </c>
      <c r="V2442" s="2">
        <f t="shared" si="384"/>
        <v>1</v>
      </c>
      <c r="W2442">
        <v>19.899999999999999</v>
      </c>
      <c r="X2442" s="2">
        <f t="shared" si="385"/>
        <v>1</v>
      </c>
      <c r="Y2442">
        <v>128.69999999999999</v>
      </c>
      <c r="Z2442" s="2" t="str">
        <f>CHOOSE(MATCH(Y2442,{0;11;80;111;161;191;241;281;341},1),"North","NorthEast","East","SouthEast","South","SouthWest","West","NorthWest","North")</f>
        <v>SouthEast</v>
      </c>
      <c r="AA2442" s="4">
        <f>CHOOSE(MATCH(Z2442,{"South";"SouthEast";"SouthWest";"North";"NorthEast";"East";"West";"NorthWest"},0),1,2,3,4,5,6,7,8)</f>
        <v>2</v>
      </c>
      <c r="AB2442" s="2">
        <f t="shared" si="386"/>
        <v>0</v>
      </c>
      <c r="AC2442">
        <v>1014.9</v>
      </c>
      <c r="AD2442" t="s">
        <v>1243</v>
      </c>
      <c r="AE2442" s="2">
        <f t="shared" si="387"/>
        <v>1</v>
      </c>
      <c r="AF2442" t="s">
        <v>3325</v>
      </c>
      <c r="AG2442" s="2">
        <f t="shared" si="388"/>
        <v>10</v>
      </c>
      <c r="AH2442" s="2">
        <f t="shared" si="389"/>
        <v>0</v>
      </c>
      <c r="AI2442" s="3">
        <v>315</v>
      </c>
      <c r="AJ2442" s="2">
        <v>0</v>
      </c>
      <c r="AK2442">
        <v>0</v>
      </c>
      <c r="AL2442">
        <v>1</v>
      </c>
      <c r="AM2442">
        <v>0</v>
      </c>
      <c r="AN2442" s="2">
        <f>IF((2*G2442+M2442-O2442+3*V2442+2*AB2442+2*AE2442+2*AH2442+3*AJ2442)&gt;=7,1,0)</f>
        <v>0</v>
      </c>
    </row>
    <row r="2443" spans="1:40" x14ac:dyDescent="0.25">
      <c r="A2443" t="s">
        <v>27</v>
      </c>
      <c r="B2443" s="1">
        <v>44482</v>
      </c>
      <c r="C2443" s="6">
        <f t="shared" si="380"/>
        <v>2021</v>
      </c>
      <c r="D2443">
        <v>75.2</v>
      </c>
      <c r="E2443">
        <v>60.8</v>
      </c>
      <c r="F2443">
        <v>68.2</v>
      </c>
      <c r="G2443" s="2">
        <f t="shared" si="381"/>
        <v>0</v>
      </c>
      <c r="H2443">
        <v>75.2</v>
      </c>
      <c r="I2443">
        <v>60.8</v>
      </c>
      <c r="J2443">
        <v>68.2</v>
      </c>
      <c r="K2443">
        <v>56.4</v>
      </c>
      <c r="L2443">
        <v>66.900000000000006</v>
      </c>
      <c r="M2443" s="2">
        <f t="shared" si="382"/>
        <v>0</v>
      </c>
      <c r="N2443">
        <v>0</v>
      </c>
      <c r="O2443" s="2">
        <f t="shared" si="383"/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20.8</v>
      </c>
      <c r="V2443" s="2">
        <f t="shared" si="384"/>
        <v>1</v>
      </c>
      <c r="W2443">
        <v>12.8</v>
      </c>
      <c r="X2443" s="2">
        <f t="shared" si="385"/>
        <v>0</v>
      </c>
      <c r="Y2443">
        <v>176.9</v>
      </c>
      <c r="Z2443" s="2" t="str">
        <f>CHOOSE(MATCH(Y2443,{0;11;80;111;161;191;241;281;341},1),"North","NorthEast","East","SouthEast","South","SouthWest","West","NorthWest","North")</f>
        <v>South</v>
      </c>
      <c r="AA2443" s="4">
        <f>CHOOSE(MATCH(Z2443,{"South";"SouthEast";"SouthWest";"North";"NorthEast";"East";"West";"NorthWest"},0),1,2,3,4,5,6,7,8)</f>
        <v>1</v>
      </c>
      <c r="AB2443" s="2">
        <f t="shared" si="386"/>
        <v>0</v>
      </c>
      <c r="AC2443">
        <v>1012.2</v>
      </c>
      <c r="AD2443" t="s">
        <v>3326</v>
      </c>
      <c r="AE2443" s="2">
        <f t="shared" si="387"/>
        <v>1</v>
      </c>
      <c r="AF2443" t="s">
        <v>3327</v>
      </c>
      <c r="AG2443" s="2">
        <f t="shared" si="388"/>
        <v>10</v>
      </c>
      <c r="AH2443" s="2">
        <f t="shared" si="389"/>
        <v>0</v>
      </c>
      <c r="AI2443" s="3">
        <v>60.000000006984919</v>
      </c>
      <c r="AJ2443" s="2">
        <v>0</v>
      </c>
      <c r="AK2443">
        <v>0</v>
      </c>
      <c r="AL2443">
        <v>1</v>
      </c>
      <c r="AM2443">
        <v>0</v>
      </c>
      <c r="AN2443" s="2">
        <f>IF((2*G2443+M2443-O2443+3*V2443+2*AB2443+2*AE2443+2*AH2443+3*AJ2443)&gt;=7,1,0)</f>
        <v>0</v>
      </c>
    </row>
    <row r="2444" spans="1:40" x14ac:dyDescent="0.25">
      <c r="A2444" t="s">
        <v>27</v>
      </c>
      <c r="B2444" s="1">
        <v>44484</v>
      </c>
      <c r="C2444" s="6">
        <f t="shared" si="380"/>
        <v>2021</v>
      </c>
      <c r="D2444">
        <v>79.599999999999994</v>
      </c>
      <c r="E2444">
        <v>59.8</v>
      </c>
      <c r="F2444">
        <v>71</v>
      </c>
      <c r="G2444" s="2">
        <f t="shared" si="381"/>
        <v>1</v>
      </c>
      <c r="H2444">
        <v>79.599999999999994</v>
      </c>
      <c r="I2444">
        <v>59.8</v>
      </c>
      <c r="J2444">
        <v>71</v>
      </c>
      <c r="K2444">
        <v>60.6</v>
      </c>
      <c r="L2444">
        <v>71.2</v>
      </c>
      <c r="M2444" s="2">
        <f t="shared" si="382"/>
        <v>0</v>
      </c>
      <c r="N2444">
        <v>1.048</v>
      </c>
      <c r="O2444" s="2">
        <f t="shared" si="383"/>
        <v>0</v>
      </c>
      <c r="P2444">
        <v>100</v>
      </c>
      <c r="Q2444">
        <v>4.17</v>
      </c>
      <c r="R2444" t="s">
        <v>182</v>
      </c>
      <c r="S2444">
        <v>0</v>
      </c>
      <c r="T2444">
        <v>0</v>
      </c>
      <c r="U2444">
        <v>40.700000000000003</v>
      </c>
      <c r="V2444" s="2">
        <f t="shared" si="384"/>
        <v>1</v>
      </c>
      <c r="W2444">
        <v>22.5</v>
      </c>
      <c r="X2444" s="2">
        <f t="shared" si="385"/>
        <v>1</v>
      </c>
      <c r="Y2444">
        <v>185.7</v>
      </c>
      <c r="Z2444" s="2" t="str">
        <f>CHOOSE(MATCH(Y2444,{0;11;80;111;161;191;241;281;341},1),"North","NorthEast","East","SouthEast","South","SouthWest","West","NorthWest","North")</f>
        <v>South</v>
      </c>
      <c r="AA2444" s="4">
        <f>CHOOSE(MATCH(Z2444,{"South";"SouthEast";"SouthWest";"North";"NorthEast";"East";"West";"NorthWest"},0),1,2,3,4,5,6,7,8)</f>
        <v>1</v>
      </c>
      <c r="AB2444" s="2">
        <f t="shared" si="386"/>
        <v>0</v>
      </c>
      <c r="AC2444">
        <v>1009.7</v>
      </c>
      <c r="AD2444" t="s">
        <v>3328</v>
      </c>
      <c r="AE2444" s="2">
        <f t="shared" si="387"/>
        <v>0</v>
      </c>
      <c r="AF2444" t="s">
        <v>3329</v>
      </c>
      <c r="AG2444" s="2">
        <f t="shared" si="388"/>
        <v>10</v>
      </c>
      <c r="AH2444" s="2">
        <f t="shared" si="389"/>
        <v>0</v>
      </c>
      <c r="AI2444" s="3">
        <v>358.99999999674043</v>
      </c>
      <c r="AJ2444" s="2">
        <v>0</v>
      </c>
      <c r="AK2444">
        <v>0</v>
      </c>
      <c r="AL2444">
        <v>2</v>
      </c>
      <c r="AM2444">
        <v>0</v>
      </c>
      <c r="AN2444" s="2">
        <f>IF((2*G2444+M2444-O2444+3*V2444+2*AB2444+2*AE2444+2*AH2444+3*AJ2444)&gt;=7,1,0)</f>
        <v>0</v>
      </c>
    </row>
    <row r="2445" spans="1:40" x14ac:dyDescent="0.25">
      <c r="A2445" t="s">
        <v>27</v>
      </c>
      <c r="B2445" s="1">
        <v>44491</v>
      </c>
      <c r="C2445" s="6">
        <f t="shared" si="380"/>
        <v>2021</v>
      </c>
      <c r="D2445">
        <v>73.400000000000006</v>
      </c>
      <c r="E2445">
        <v>57.2</v>
      </c>
      <c r="F2445">
        <v>66</v>
      </c>
      <c r="G2445" s="2">
        <f t="shared" si="381"/>
        <v>0</v>
      </c>
      <c r="H2445">
        <v>73.400000000000006</v>
      </c>
      <c r="I2445">
        <v>57.2</v>
      </c>
      <c r="J2445">
        <v>66</v>
      </c>
      <c r="K2445">
        <v>57</v>
      </c>
      <c r="L2445">
        <v>73.599999999999994</v>
      </c>
      <c r="M2445" s="2">
        <f t="shared" si="382"/>
        <v>0</v>
      </c>
      <c r="N2445">
        <v>0</v>
      </c>
      <c r="O2445" s="2">
        <f t="shared" si="383"/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18.600000000000001</v>
      </c>
      <c r="V2445" s="2">
        <f t="shared" si="384"/>
        <v>1</v>
      </c>
      <c r="W2445">
        <v>16.100000000000001</v>
      </c>
      <c r="X2445" s="2">
        <f t="shared" si="385"/>
        <v>1</v>
      </c>
      <c r="Y2445">
        <v>260.2</v>
      </c>
      <c r="Z2445" s="2" t="str">
        <f>CHOOSE(MATCH(Y2445,{0;11;80;111;161;191;241;281;341},1),"North","NorthEast","East","SouthEast","South","SouthWest","West","NorthWest","North")</f>
        <v>West</v>
      </c>
      <c r="AA2445" s="4">
        <f>CHOOSE(MATCH(Z2445,{"South";"SouthEast";"SouthWest";"North";"NorthEast";"East";"West";"NorthWest"},0),1,2,3,4,5,6,7,8)</f>
        <v>7</v>
      </c>
      <c r="AB2445" s="2">
        <f t="shared" si="386"/>
        <v>0</v>
      </c>
      <c r="AC2445">
        <v>1020.7</v>
      </c>
      <c r="AD2445" t="s">
        <v>3330</v>
      </c>
      <c r="AE2445" s="2">
        <f t="shared" si="387"/>
        <v>0</v>
      </c>
      <c r="AF2445" t="s">
        <v>3331</v>
      </c>
      <c r="AG2445" s="2">
        <f t="shared" si="388"/>
        <v>10</v>
      </c>
      <c r="AH2445" s="2">
        <f t="shared" si="389"/>
        <v>0</v>
      </c>
      <c r="AI2445" s="3">
        <v>430.99999999045389</v>
      </c>
      <c r="AJ2445" s="2">
        <v>1</v>
      </c>
      <c r="AK2445">
        <v>0</v>
      </c>
      <c r="AL2445">
        <v>0.5</v>
      </c>
      <c r="AM2445">
        <v>0</v>
      </c>
      <c r="AN2445" s="2">
        <f>IF((2*G2445+M2445-O2445+3*V2445+2*AB2445+2*AE2445+2*AH2445+3*AJ2445)&gt;=7,1,0)</f>
        <v>0</v>
      </c>
    </row>
    <row r="2446" spans="1:40" x14ac:dyDescent="0.25">
      <c r="A2446" t="s">
        <v>27</v>
      </c>
      <c r="B2446" s="1">
        <v>44492</v>
      </c>
      <c r="C2446" s="6">
        <f t="shared" si="380"/>
        <v>2021</v>
      </c>
      <c r="D2446">
        <v>73.400000000000006</v>
      </c>
      <c r="E2446">
        <v>59</v>
      </c>
      <c r="F2446">
        <v>67</v>
      </c>
      <c r="G2446" s="2">
        <f t="shared" si="381"/>
        <v>0</v>
      </c>
      <c r="H2446">
        <v>73.400000000000006</v>
      </c>
      <c r="I2446">
        <v>59</v>
      </c>
      <c r="J2446">
        <v>67</v>
      </c>
      <c r="K2446">
        <v>60.1</v>
      </c>
      <c r="L2446">
        <v>78.900000000000006</v>
      </c>
      <c r="M2446" s="2">
        <f t="shared" si="382"/>
        <v>0</v>
      </c>
      <c r="N2446">
        <v>0</v>
      </c>
      <c r="O2446" s="2">
        <f t="shared" si="383"/>
        <v>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21.7</v>
      </c>
      <c r="V2446" s="2">
        <f t="shared" si="384"/>
        <v>1</v>
      </c>
      <c r="W2446">
        <v>18.899999999999999</v>
      </c>
      <c r="X2446" s="2">
        <f t="shared" si="385"/>
        <v>1</v>
      </c>
      <c r="Y2446">
        <v>270.7</v>
      </c>
      <c r="Z2446" s="2" t="str">
        <f>CHOOSE(MATCH(Y2446,{0;11;80;111;161;191;241;281;341},1),"North","NorthEast","East","SouthEast","South","SouthWest","West","NorthWest","North")</f>
        <v>West</v>
      </c>
      <c r="AA2446" s="4">
        <f>CHOOSE(MATCH(Z2446,{"South";"SouthEast";"SouthWest";"North";"NorthEast";"East";"West";"NorthWest"},0),1,2,3,4,5,6,7,8)</f>
        <v>7</v>
      </c>
      <c r="AB2446" s="2">
        <f t="shared" si="386"/>
        <v>0</v>
      </c>
      <c r="AC2446">
        <v>1020.8</v>
      </c>
      <c r="AD2446" t="s">
        <v>3332</v>
      </c>
      <c r="AE2446" s="2">
        <f t="shared" si="387"/>
        <v>1</v>
      </c>
      <c r="AF2446" t="s">
        <v>3333</v>
      </c>
      <c r="AG2446" s="2">
        <f t="shared" si="388"/>
        <v>10</v>
      </c>
      <c r="AH2446" s="2">
        <f t="shared" si="389"/>
        <v>0</v>
      </c>
      <c r="AI2446" s="3">
        <v>235.00000000116421</v>
      </c>
      <c r="AJ2446" s="2">
        <v>0</v>
      </c>
      <c r="AK2446">
        <v>0</v>
      </c>
      <c r="AL2446">
        <v>1</v>
      </c>
      <c r="AM2446">
        <v>0</v>
      </c>
      <c r="AN2446" s="2">
        <f>IF((2*G2446+M2446-O2446+3*V2446+2*AB2446+2*AE2446+2*AH2446+3*AJ2446)&gt;=7,1,0)</f>
        <v>0</v>
      </c>
    </row>
    <row r="2447" spans="1:40" x14ac:dyDescent="0.25">
      <c r="A2447" t="s">
        <v>27</v>
      </c>
      <c r="B2447" s="1">
        <v>44493</v>
      </c>
      <c r="C2447" s="6">
        <f t="shared" si="380"/>
        <v>2021</v>
      </c>
      <c r="D2447">
        <v>75.2</v>
      </c>
      <c r="E2447">
        <v>60.8</v>
      </c>
      <c r="F2447">
        <v>67.7</v>
      </c>
      <c r="G2447" s="2">
        <f t="shared" si="381"/>
        <v>0</v>
      </c>
      <c r="H2447">
        <v>75.2</v>
      </c>
      <c r="I2447">
        <v>60.8</v>
      </c>
      <c r="J2447">
        <v>67.7</v>
      </c>
      <c r="K2447">
        <v>60.5</v>
      </c>
      <c r="L2447">
        <v>78.7</v>
      </c>
      <c r="M2447" s="2">
        <f t="shared" si="382"/>
        <v>0</v>
      </c>
      <c r="N2447">
        <v>0</v>
      </c>
      <c r="O2447" s="2">
        <f t="shared" si="383"/>
        <v>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19.2</v>
      </c>
      <c r="V2447" s="2">
        <f t="shared" si="384"/>
        <v>1</v>
      </c>
      <c r="W2447">
        <v>10.8</v>
      </c>
      <c r="X2447" s="2">
        <f t="shared" si="385"/>
        <v>0</v>
      </c>
      <c r="Y2447">
        <v>254.9</v>
      </c>
      <c r="Z2447" s="2" t="str">
        <f>CHOOSE(MATCH(Y2447,{0;11;80;111;161;191;241;281;341},1),"North","NorthEast","East","SouthEast","South","SouthWest","West","NorthWest","North")</f>
        <v>West</v>
      </c>
      <c r="AA2447" s="4">
        <f>CHOOSE(MATCH(Z2447,{"South";"SouthEast";"SouthWest";"North";"NorthEast";"East";"West";"NorthWest"},0),1,2,3,4,5,6,7,8)</f>
        <v>7</v>
      </c>
      <c r="AB2447" s="2">
        <f t="shared" si="386"/>
        <v>0</v>
      </c>
      <c r="AC2447">
        <v>1020.6</v>
      </c>
      <c r="AD2447" t="s">
        <v>1111</v>
      </c>
      <c r="AE2447" s="2">
        <f t="shared" si="387"/>
        <v>1</v>
      </c>
      <c r="AF2447" t="s">
        <v>3334</v>
      </c>
      <c r="AG2447" s="2">
        <f t="shared" si="388"/>
        <v>10</v>
      </c>
      <c r="AH2447" s="2">
        <f t="shared" si="389"/>
        <v>0</v>
      </c>
      <c r="AI2447" s="3">
        <v>146.999999997206</v>
      </c>
      <c r="AJ2447" s="2">
        <v>0</v>
      </c>
      <c r="AK2447">
        <v>0</v>
      </c>
      <c r="AL2447">
        <v>2.5</v>
      </c>
      <c r="AM2447">
        <v>0</v>
      </c>
      <c r="AN2447" s="2">
        <f>IF((2*G2447+M2447-O2447+3*V2447+2*AB2447+2*AE2447+2*AH2447+3*AJ2447)&gt;=7,1,0)</f>
        <v>0</v>
      </c>
    </row>
    <row r="2448" spans="1:40" x14ac:dyDescent="0.25">
      <c r="A2448" t="s">
        <v>27</v>
      </c>
      <c r="B2448" s="1">
        <v>44494</v>
      </c>
      <c r="C2448" s="6">
        <f t="shared" si="380"/>
        <v>2021</v>
      </c>
      <c r="D2448">
        <v>68</v>
      </c>
      <c r="E2448">
        <v>64.400000000000006</v>
      </c>
      <c r="F2448">
        <v>66.8</v>
      </c>
      <c r="G2448" s="2">
        <f t="shared" si="381"/>
        <v>0</v>
      </c>
      <c r="H2448">
        <v>68</v>
      </c>
      <c r="I2448">
        <v>64.400000000000006</v>
      </c>
      <c r="J2448">
        <v>66.8</v>
      </c>
      <c r="K2448">
        <v>57.6</v>
      </c>
      <c r="L2448">
        <v>73</v>
      </c>
      <c r="M2448" s="2">
        <f t="shared" si="382"/>
        <v>0</v>
      </c>
      <c r="N2448">
        <v>8.0000000000000002E-3</v>
      </c>
      <c r="O2448" s="2">
        <f t="shared" si="383"/>
        <v>1</v>
      </c>
      <c r="P2448">
        <v>100</v>
      </c>
      <c r="Q2448">
        <v>4.17</v>
      </c>
      <c r="R2448" t="s">
        <v>182</v>
      </c>
      <c r="S2448">
        <v>0</v>
      </c>
      <c r="T2448">
        <v>0</v>
      </c>
      <c r="U2448">
        <v>28.6</v>
      </c>
      <c r="V2448" s="2">
        <f t="shared" si="384"/>
        <v>1</v>
      </c>
      <c r="W2448">
        <v>18.3</v>
      </c>
      <c r="X2448" s="2">
        <f t="shared" si="385"/>
        <v>1</v>
      </c>
      <c r="Y2448">
        <v>336.7</v>
      </c>
      <c r="Z2448" s="2" t="str">
        <f>CHOOSE(MATCH(Y2448,{0;11;80;111;161;191;241;281;341},1),"North","NorthEast","East","SouthEast","South","SouthWest","West","NorthWest","North")</f>
        <v>NorthWest</v>
      </c>
      <c r="AA2448" s="4">
        <f>CHOOSE(MATCH(Z2448,{"South";"SouthEast";"SouthWest";"North";"NorthEast";"East";"West";"NorthWest"},0),1,2,3,4,5,6,7,8)</f>
        <v>8</v>
      </c>
      <c r="AB2448" s="2">
        <f t="shared" si="386"/>
        <v>1</v>
      </c>
      <c r="AC2448">
        <v>1020.8</v>
      </c>
      <c r="AD2448" t="s">
        <v>3335</v>
      </c>
      <c r="AE2448" s="2">
        <f t="shared" si="387"/>
        <v>1</v>
      </c>
      <c r="AF2448" t="s">
        <v>3336</v>
      </c>
      <c r="AG2448" s="2">
        <f t="shared" si="388"/>
        <v>10</v>
      </c>
      <c r="AH2448" s="2">
        <f t="shared" si="389"/>
        <v>0</v>
      </c>
      <c r="AI2448" s="3">
        <v>355.99999999743892</v>
      </c>
      <c r="AJ2448" s="2">
        <v>0</v>
      </c>
      <c r="AK2448">
        <v>0</v>
      </c>
      <c r="AL2448">
        <v>15</v>
      </c>
      <c r="AM2448">
        <v>0</v>
      </c>
      <c r="AN2448" s="2">
        <f>IF((2*G2448+M2448-O2448+3*V2448+2*AB2448+2*AE2448+2*AH2448+3*AJ2448)&gt;=7,1,0)</f>
        <v>0</v>
      </c>
    </row>
    <row r="2449" spans="1:40" x14ac:dyDescent="0.25">
      <c r="A2449" t="s">
        <v>27</v>
      </c>
      <c r="B2449" s="1">
        <v>44500</v>
      </c>
      <c r="C2449" s="6">
        <f t="shared" si="380"/>
        <v>2021</v>
      </c>
      <c r="D2449">
        <v>66.2</v>
      </c>
      <c r="E2449">
        <v>57.2</v>
      </c>
      <c r="F2449">
        <v>62.2</v>
      </c>
      <c r="G2449" s="2">
        <f t="shared" si="381"/>
        <v>0</v>
      </c>
      <c r="H2449">
        <v>66.2</v>
      </c>
      <c r="I2449">
        <v>57.2</v>
      </c>
      <c r="J2449">
        <v>62.2</v>
      </c>
      <c r="K2449">
        <v>57.8</v>
      </c>
      <c r="L2449">
        <v>85.5</v>
      </c>
      <c r="M2449" s="2">
        <f t="shared" si="382"/>
        <v>0</v>
      </c>
      <c r="N2449">
        <v>0.156</v>
      </c>
      <c r="O2449" s="2">
        <f t="shared" si="383"/>
        <v>0</v>
      </c>
      <c r="P2449">
        <v>100</v>
      </c>
      <c r="Q2449">
        <v>4.17</v>
      </c>
      <c r="R2449" t="s">
        <v>182</v>
      </c>
      <c r="S2449">
        <v>0</v>
      </c>
      <c r="T2449">
        <v>0</v>
      </c>
      <c r="U2449">
        <v>18.3</v>
      </c>
      <c r="V2449" s="2">
        <f t="shared" si="384"/>
        <v>1</v>
      </c>
      <c r="W2449">
        <v>10.3</v>
      </c>
      <c r="X2449" s="2">
        <f t="shared" si="385"/>
        <v>0</v>
      </c>
      <c r="Y2449">
        <v>84.9</v>
      </c>
      <c r="Z2449" s="2" t="str">
        <f>CHOOSE(MATCH(Y2449,{0;11;80;111;161;191;241;281;341},1),"North","NorthEast","East","SouthEast","South","SouthWest","West","NorthWest","North")</f>
        <v>East</v>
      </c>
      <c r="AA2449" s="4">
        <f>CHOOSE(MATCH(Z2449,{"South";"SouthEast";"SouthWest";"North";"NorthEast";"East";"West";"NorthWest"},0),1,2,3,4,5,6,7,8)</f>
        <v>6</v>
      </c>
      <c r="AB2449" s="2">
        <f t="shared" si="386"/>
        <v>0</v>
      </c>
      <c r="AC2449">
        <v>1015.4</v>
      </c>
      <c r="AD2449" t="s">
        <v>3337</v>
      </c>
      <c r="AE2449" s="2">
        <f t="shared" si="387"/>
        <v>0</v>
      </c>
      <c r="AF2449" t="s">
        <v>3338</v>
      </c>
      <c r="AG2449" s="2">
        <f t="shared" si="388"/>
        <v>10</v>
      </c>
      <c r="AH2449" s="2">
        <f t="shared" si="389"/>
        <v>0</v>
      </c>
      <c r="AI2449" s="3">
        <v>76.999999999534339</v>
      </c>
      <c r="AJ2449" s="2">
        <v>0</v>
      </c>
      <c r="AK2449">
        <v>0</v>
      </c>
      <c r="AL2449">
        <v>0.2</v>
      </c>
      <c r="AM2449">
        <v>0</v>
      </c>
      <c r="AN2449" s="2">
        <f>IF((2*G2449+M2449-O2449+3*V2449+2*AB2449+2*AE2449+2*AH2449+3*AJ2449)&gt;=7,1,0)</f>
        <v>0</v>
      </c>
    </row>
    <row r="2450" spans="1:40" x14ac:dyDescent="0.25">
      <c r="A2450" t="s">
        <v>27</v>
      </c>
      <c r="B2450" s="1">
        <v>44503</v>
      </c>
      <c r="C2450" s="6">
        <f t="shared" si="380"/>
        <v>2021</v>
      </c>
      <c r="D2450">
        <v>75.2</v>
      </c>
      <c r="E2450">
        <v>64.400000000000006</v>
      </c>
      <c r="F2450">
        <v>70</v>
      </c>
      <c r="G2450" s="2">
        <f t="shared" si="381"/>
        <v>0</v>
      </c>
      <c r="H2450">
        <v>75.2</v>
      </c>
      <c r="I2450">
        <v>64.400000000000006</v>
      </c>
      <c r="J2450">
        <v>70</v>
      </c>
      <c r="K2450">
        <v>64.400000000000006</v>
      </c>
      <c r="L2450">
        <v>82.8</v>
      </c>
      <c r="M2450" s="2">
        <f t="shared" si="382"/>
        <v>0</v>
      </c>
      <c r="N2450">
        <v>0</v>
      </c>
      <c r="O2450" s="2">
        <f t="shared" si="383"/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19.7</v>
      </c>
      <c r="V2450" s="2">
        <f t="shared" si="384"/>
        <v>1</v>
      </c>
      <c r="W2450">
        <v>13.9</v>
      </c>
      <c r="X2450" s="2">
        <f t="shared" si="385"/>
        <v>0</v>
      </c>
      <c r="Y2450">
        <v>131.9</v>
      </c>
      <c r="Z2450" s="2" t="str">
        <f>CHOOSE(MATCH(Y2450,{0;11;80;111;161;191;241;281;341},1),"North","NorthEast","East","SouthEast","South","SouthWest","West","NorthWest","North")</f>
        <v>SouthEast</v>
      </c>
      <c r="AA2450" s="4">
        <f>CHOOSE(MATCH(Z2450,{"South";"SouthEast";"SouthWest";"North";"NorthEast";"East";"West";"NorthWest"},0),1,2,3,4,5,6,7,8)</f>
        <v>2</v>
      </c>
      <c r="AB2450" s="2">
        <f t="shared" si="386"/>
        <v>0</v>
      </c>
      <c r="AC2450">
        <v>1016.3</v>
      </c>
      <c r="AD2450" t="s">
        <v>1806</v>
      </c>
      <c r="AE2450" s="2">
        <f t="shared" si="387"/>
        <v>1</v>
      </c>
      <c r="AF2450" t="s">
        <v>3339</v>
      </c>
      <c r="AG2450" s="2">
        <f t="shared" si="388"/>
        <v>11</v>
      </c>
      <c r="AH2450" s="2">
        <f t="shared" si="389"/>
        <v>0</v>
      </c>
      <c r="AI2450" s="3">
        <v>233.0000000051223</v>
      </c>
      <c r="AJ2450" s="2">
        <v>0</v>
      </c>
      <c r="AK2450">
        <v>0</v>
      </c>
      <c r="AL2450">
        <v>5</v>
      </c>
      <c r="AM2450">
        <v>0</v>
      </c>
      <c r="AN2450" s="2">
        <f>IF((2*G2450+M2450-O2450+3*V2450+2*AB2450+2*AE2450+2*AH2450+3*AJ2450)&gt;=7,1,0)</f>
        <v>0</v>
      </c>
    </row>
    <row r="2451" spans="1:40" x14ac:dyDescent="0.25">
      <c r="A2451" t="s">
        <v>27</v>
      </c>
      <c r="B2451" s="1">
        <v>44506</v>
      </c>
      <c r="C2451" s="6">
        <f t="shared" si="380"/>
        <v>2021</v>
      </c>
      <c r="D2451">
        <v>71.599999999999994</v>
      </c>
      <c r="E2451">
        <v>59</v>
      </c>
      <c r="F2451">
        <v>65.2</v>
      </c>
      <c r="G2451" s="2">
        <f t="shared" si="381"/>
        <v>0</v>
      </c>
      <c r="H2451">
        <v>71.599999999999994</v>
      </c>
      <c r="I2451">
        <v>59</v>
      </c>
      <c r="J2451">
        <v>65.2</v>
      </c>
      <c r="K2451">
        <v>61.3</v>
      </c>
      <c r="L2451">
        <v>87.3</v>
      </c>
      <c r="M2451" s="2">
        <f t="shared" si="382"/>
        <v>0</v>
      </c>
      <c r="N2451">
        <v>0</v>
      </c>
      <c r="O2451" s="2">
        <f t="shared" si="383"/>
        <v>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21.9</v>
      </c>
      <c r="V2451" s="2">
        <f t="shared" si="384"/>
        <v>1</v>
      </c>
      <c r="W2451">
        <v>8.1</v>
      </c>
      <c r="X2451" s="2">
        <f t="shared" si="385"/>
        <v>0</v>
      </c>
      <c r="Y2451">
        <v>314.39999999999998</v>
      </c>
      <c r="Z2451" s="2" t="str">
        <f>CHOOSE(MATCH(Y2451,{0;11;80;111;161;191;241;281;341},1),"North","NorthEast","East","SouthEast","South","SouthWest","West","NorthWest","North")</f>
        <v>NorthWest</v>
      </c>
      <c r="AA2451" s="4">
        <f>CHOOSE(MATCH(Z2451,{"South";"SouthEast";"SouthWest";"North";"NorthEast";"East";"West";"NorthWest"},0),1,2,3,4,5,6,7,8)</f>
        <v>8</v>
      </c>
      <c r="AB2451" s="2">
        <f t="shared" si="386"/>
        <v>1</v>
      </c>
      <c r="AC2451">
        <v>1019.2</v>
      </c>
      <c r="AD2451" t="s">
        <v>1101</v>
      </c>
      <c r="AE2451" s="2">
        <f t="shared" si="387"/>
        <v>1</v>
      </c>
      <c r="AF2451" t="s">
        <v>3340</v>
      </c>
      <c r="AG2451" s="2">
        <f t="shared" si="388"/>
        <v>11</v>
      </c>
      <c r="AH2451" s="2">
        <f t="shared" si="389"/>
        <v>0</v>
      </c>
      <c r="AI2451" s="3">
        <v>81.000000002095476</v>
      </c>
      <c r="AJ2451" s="2">
        <v>0</v>
      </c>
      <c r="AK2451">
        <v>0</v>
      </c>
      <c r="AL2451">
        <v>1</v>
      </c>
      <c r="AM2451">
        <v>0</v>
      </c>
      <c r="AN2451" s="2">
        <f>IF((2*G2451+M2451-O2451+3*V2451+2*AB2451+2*AE2451+2*AH2451+3*AJ2451)&gt;=7,1,0)</f>
        <v>0</v>
      </c>
    </row>
    <row r="2452" spans="1:40" x14ac:dyDescent="0.25">
      <c r="A2452" t="s">
        <v>27</v>
      </c>
      <c r="B2452" s="1">
        <v>44506</v>
      </c>
      <c r="C2452" s="6">
        <f t="shared" si="380"/>
        <v>2021</v>
      </c>
      <c r="D2452">
        <v>71.599999999999994</v>
      </c>
      <c r="E2452">
        <v>59</v>
      </c>
      <c r="F2452">
        <v>65.2</v>
      </c>
      <c r="G2452" s="2">
        <f t="shared" si="381"/>
        <v>0</v>
      </c>
      <c r="H2452">
        <v>71.599999999999994</v>
      </c>
      <c r="I2452">
        <v>59</v>
      </c>
      <c r="J2452">
        <v>65.2</v>
      </c>
      <c r="K2452">
        <v>61.3</v>
      </c>
      <c r="L2452">
        <v>87.3</v>
      </c>
      <c r="M2452" s="2">
        <f t="shared" si="382"/>
        <v>0</v>
      </c>
      <c r="N2452">
        <v>0</v>
      </c>
      <c r="O2452" s="2">
        <f t="shared" si="383"/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21.9</v>
      </c>
      <c r="V2452" s="2">
        <f t="shared" si="384"/>
        <v>1</v>
      </c>
      <c r="W2452">
        <v>8.1</v>
      </c>
      <c r="X2452" s="2">
        <f t="shared" si="385"/>
        <v>0</v>
      </c>
      <c r="Y2452">
        <v>314.39999999999998</v>
      </c>
      <c r="Z2452" s="2" t="str">
        <f>CHOOSE(MATCH(Y2452,{0;11;80;111;161;191;241;281;341},1),"North","NorthEast","East","SouthEast","South","SouthWest","West","NorthWest","North")</f>
        <v>NorthWest</v>
      </c>
      <c r="AA2452" s="4">
        <f>CHOOSE(MATCH(Z2452,{"South";"SouthEast";"SouthWest";"North";"NorthEast";"East";"West";"NorthWest"},0),1,2,3,4,5,6,7,8)</f>
        <v>8</v>
      </c>
      <c r="AB2452" s="2">
        <f t="shared" si="386"/>
        <v>1</v>
      </c>
      <c r="AC2452">
        <v>1019.2</v>
      </c>
      <c r="AD2452" t="s">
        <v>1885</v>
      </c>
      <c r="AE2452" s="2">
        <f t="shared" si="387"/>
        <v>1</v>
      </c>
      <c r="AF2452" t="s">
        <v>3341</v>
      </c>
      <c r="AG2452" s="2">
        <f t="shared" si="388"/>
        <v>11</v>
      </c>
      <c r="AH2452" s="2">
        <f t="shared" si="389"/>
        <v>0</v>
      </c>
      <c r="AI2452" s="3">
        <v>439.99999999883579</v>
      </c>
      <c r="AJ2452" s="2">
        <v>1</v>
      </c>
      <c r="AK2452">
        <v>0</v>
      </c>
      <c r="AL2452">
        <v>1</v>
      </c>
      <c r="AM2452">
        <v>0</v>
      </c>
      <c r="AN2452" s="2">
        <f>IF((2*G2452+M2452-O2452+3*V2452+2*AB2452+2*AE2452+2*AH2452+3*AJ2452)&gt;=7,1,0)</f>
        <v>1</v>
      </c>
    </row>
    <row r="2453" spans="1:40" x14ac:dyDescent="0.25">
      <c r="A2453" t="s">
        <v>27</v>
      </c>
      <c r="B2453" s="1">
        <v>44509</v>
      </c>
      <c r="C2453" s="6">
        <f t="shared" si="380"/>
        <v>2021</v>
      </c>
      <c r="D2453">
        <v>71.599999999999994</v>
      </c>
      <c r="E2453">
        <v>57.2</v>
      </c>
      <c r="F2453">
        <v>63.9</v>
      </c>
      <c r="G2453" s="2">
        <f t="shared" si="381"/>
        <v>0</v>
      </c>
      <c r="H2453">
        <v>71.599999999999994</v>
      </c>
      <c r="I2453">
        <v>57.2</v>
      </c>
      <c r="J2453">
        <v>63.9</v>
      </c>
      <c r="K2453">
        <v>60.2</v>
      </c>
      <c r="L2453">
        <v>88.2</v>
      </c>
      <c r="M2453" s="2">
        <f t="shared" si="382"/>
        <v>0</v>
      </c>
      <c r="N2453">
        <v>0</v>
      </c>
      <c r="O2453" s="2">
        <f t="shared" si="383"/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10.3</v>
      </c>
      <c r="V2453" s="2">
        <f t="shared" si="384"/>
        <v>1</v>
      </c>
      <c r="W2453">
        <v>9.1999999999999993</v>
      </c>
      <c r="X2453" s="2">
        <f t="shared" si="385"/>
        <v>0</v>
      </c>
      <c r="Y2453">
        <v>156.19999999999999</v>
      </c>
      <c r="Z2453" s="2" t="str">
        <f>CHOOSE(MATCH(Y2453,{0;11;80;111;161;191;241;281;341},1),"North","NorthEast","East","SouthEast","South","SouthWest","West","NorthWest","North")</f>
        <v>SouthEast</v>
      </c>
      <c r="AA2453" s="4">
        <f>CHOOSE(MATCH(Z2453,{"South";"SouthEast";"SouthWest";"North";"NorthEast";"East";"West";"NorthWest"},0),1,2,3,4,5,6,7,8)</f>
        <v>2</v>
      </c>
      <c r="AB2453" s="2">
        <f t="shared" si="386"/>
        <v>0</v>
      </c>
      <c r="AC2453">
        <v>1019.6</v>
      </c>
      <c r="AD2453" t="s">
        <v>3342</v>
      </c>
      <c r="AE2453" s="2">
        <f t="shared" si="387"/>
        <v>1</v>
      </c>
      <c r="AF2453" t="s">
        <v>3343</v>
      </c>
      <c r="AG2453" s="2">
        <f t="shared" si="388"/>
        <v>11</v>
      </c>
      <c r="AH2453" s="2">
        <f t="shared" si="389"/>
        <v>0</v>
      </c>
      <c r="AI2453" s="3">
        <v>84.000000001396984</v>
      </c>
      <c r="AJ2453" s="2">
        <v>0</v>
      </c>
      <c r="AK2453">
        <v>0</v>
      </c>
      <c r="AL2453">
        <v>1</v>
      </c>
      <c r="AM2453">
        <v>0</v>
      </c>
      <c r="AN2453" s="2">
        <f>IF((2*G2453+M2453-O2453+3*V2453+2*AB2453+2*AE2453+2*AH2453+3*AJ2453)&gt;=7,1,0)</f>
        <v>0</v>
      </c>
    </row>
    <row r="2454" spans="1:40" x14ac:dyDescent="0.25">
      <c r="A2454" t="s">
        <v>27</v>
      </c>
      <c r="B2454" s="1">
        <v>44510</v>
      </c>
      <c r="C2454" s="6">
        <f t="shared" si="380"/>
        <v>2021</v>
      </c>
      <c r="D2454">
        <v>68</v>
      </c>
      <c r="E2454">
        <v>62.6</v>
      </c>
      <c r="F2454">
        <v>64.900000000000006</v>
      </c>
      <c r="G2454" s="2">
        <f t="shared" si="381"/>
        <v>0</v>
      </c>
      <c r="H2454">
        <v>68</v>
      </c>
      <c r="I2454">
        <v>62.6</v>
      </c>
      <c r="J2454">
        <v>64.900000000000006</v>
      </c>
      <c r="K2454">
        <v>56.1</v>
      </c>
      <c r="L2454">
        <v>73.8</v>
      </c>
      <c r="M2454" s="2">
        <f t="shared" si="382"/>
        <v>0</v>
      </c>
      <c r="N2454">
        <v>0.19500000000000001</v>
      </c>
      <c r="O2454" s="2">
        <f t="shared" si="383"/>
        <v>0</v>
      </c>
      <c r="P2454">
        <v>100</v>
      </c>
      <c r="Q2454">
        <v>4.17</v>
      </c>
      <c r="R2454" t="s">
        <v>182</v>
      </c>
      <c r="S2454">
        <v>0</v>
      </c>
      <c r="T2454">
        <v>0</v>
      </c>
      <c r="U2454">
        <v>28.9</v>
      </c>
      <c r="V2454" s="2">
        <f t="shared" si="384"/>
        <v>1</v>
      </c>
      <c r="W2454">
        <v>20.3</v>
      </c>
      <c r="X2454" s="2">
        <f t="shared" si="385"/>
        <v>1</v>
      </c>
      <c r="Y2454">
        <v>342.9</v>
      </c>
      <c r="Z2454" s="2" t="str">
        <f>CHOOSE(MATCH(Y2454,{0;11;80;111;161;191;241;281;341},1),"North","NorthEast","East","SouthEast","South","SouthWest","West","NorthWest","North")</f>
        <v>North</v>
      </c>
      <c r="AA2454" s="4">
        <f>CHOOSE(MATCH(Z2454,{"South";"SouthEast";"SouthWest";"North";"NorthEast";"East";"West";"NorthWest"},0),1,2,3,4,5,6,7,8)</f>
        <v>4</v>
      </c>
      <c r="AB2454" s="2">
        <f t="shared" si="386"/>
        <v>1</v>
      </c>
      <c r="AC2454">
        <v>1023.9</v>
      </c>
      <c r="AD2454" t="s">
        <v>3251</v>
      </c>
      <c r="AE2454" s="2">
        <f t="shared" si="387"/>
        <v>0</v>
      </c>
      <c r="AF2454" t="s">
        <v>3344</v>
      </c>
      <c r="AG2454" s="2">
        <f t="shared" si="388"/>
        <v>11</v>
      </c>
      <c r="AH2454" s="2">
        <f t="shared" si="389"/>
        <v>0</v>
      </c>
      <c r="AI2454" s="3">
        <v>361.00000000325957</v>
      </c>
      <c r="AJ2454" s="2">
        <v>1</v>
      </c>
      <c r="AK2454">
        <v>0</v>
      </c>
      <c r="AL2454">
        <v>10</v>
      </c>
      <c r="AM2454">
        <v>0</v>
      </c>
      <c r="AN2454" s="2">
        <f>IF((2*G2454+M2454-O2454+3*V2454+2*AB2454+2*AE2454+2*AH2454+3*AJ2454)&gt;=7,1,0)</f>
        <v>1</v>
      </c>
    </row>
    <row r="2455" spans="1:40" x14ac:dyDescent="0.25">
      <c r="A2455" t="s">
        <v>27</v>
      </c>
      <c r="B2455" s="1">
        <v>44511</v>
      </c>
      <c r="C2455" s="6">
        <f t="shared" si="380"/>
        <v>2021</v>
      </c>
      <c r="D2455">
        <v>64.400000000000006</v>
      </c>
      <c r="E2455">
        <v>60.8</v>
      </c>
      <c r="F2455">
        <v>62.4</v>
      </c>
      <c r="G2455" s="2">
        <f t="shared" si="381"/>
        <v>0</v>
      </c>
      <c r="H2455">
        <v>64.400000000000006</v>
      </c>
      <c r="I2455">
        <v>60.8</v>
      </c>
      <c r="J2455">
        <v>62.4</v>
      </c>
      <c r="K2455">
        <v>51.1</v>
      </c>
      <c r="L2455">
        <v>66.5</v>
      </c>
      <c r="M2455" s="2">
        <f t="shared" si="382"/>
        <v>0</v>
      </c>
      <c r="N2455">
        <v>0</v>
      </c>
      <c r="O2455" s="2">
        <f t="shared" si="383"/>
        <v>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21.9</v>
      </c>
      <c r="V2455" s="2">
        <f t="shared" si="384"/>
        <v>1</v>
      </c>
      <c r="W2455">
        <v>21.9</v>
      </c>
      <c r="X2455" s="2">
        <f t="shared" si="385"/>
        <v>1</v>
      </c>
      <c r="Y2455">
        <v>327.60000000000002</v>
      </c>
      <c r="Z2455" s="2" t="str">
        <f>CHOOSE(MATCH(Y2455,{0;11;80;111;161;191;241;281;341},1),"North","NorthEast","East","SouthEast","South","SouthWest","West","NorthWest","North")</f>
        <v>NorthWest</v>
      </c>
      <c r="AA2455" s="4">
        <f>CHOOSE(MATCH(Z2455,{"South";"SouthEast";"SouthWest";"North";"NorthEast";"East";"West";"NorthWest"},0),1,2,3,4,5,6,7,8)</f>
        <v>8</v>
      </c>
      <c r="AB2455" s="2">
        <f t="shared" si="386"/>
        <v>1</v>
      </c>
      <c r="AC2455">
        <v>1020.4</v>
      </c>
      <c r="AD2455" t="s">
        <v>3345</v>
      </c>
      <c r="AE2455" s="2">
        <f t="shared" si="387"/>
        <v>1</v>
      </c>
      <c r="AF2455" t="s">
        <v>3346</v>
      </c>
      <c r="AG2455" s="2">
        <f t="shared" si="388"/>
        <v>11</v>
      </c>
      <c r="AH2455" s="2">
        <f t="shared" si="389"/>
        <v>0</v>
      </c>
      <c r="AI2455" s="3">
        <v>1062.999999996973</v>
      </c>
      <c r="AJ2455" s="2">
        <v>1</v>
      </c>
      <c r="AK2455">
        <v>0</v>
      </c>
      <c r="AL2455">
        <v>20</v>
      </c>
      <c r="AM2455">
        <v>0</v>
      </c>
      <c r="AN2455" s="2">
        <f>IF((2*G2455+M2455-O2455+3*V2455+2*AB2455+2*AE2455+2*AH2455+3*AJ2455)&gt;=7,1,0)</f>
        <v>1</v>
      </c>
    </row>
    <row r="2456" spans="1:40" x14ac:dyDescent="0.25">
      <c r="A2456" t="s">
        <v>27</v>
      </c>
      <c r="B2456" s="1">
        <v>44511</v>
      </c>
      <c r="C2456" s="6">
        <f t="shared" si="380"/>
        <v>2021</v>
      </c>
      <c r="D2456">
        <v>64.400000000000006</v>
      </c>
      <c r="E2456">
        <v>60.8</v>
      </c>
      <c r="F2456">
        <v>62.4</v>
      </c>
      <c r="G2456" s="2">
        <f t="shared" si="381"/>
        <v>0</v>
      </c>
      <c r="H2456">
        <v>64.400000000000006</v>
      </c>
      <c r="I2456">
        <v>60.8</v>
      </c>
      <c r="J2456">
        <v>62.4</v>
      </c>
      <c r="K2456">
        <v>51.1</v>
      </c>
      <c r="L2456">
        <v>66.5</v>
      </c>
      <c r="M2456" s="2">
        <f t="shared" si="382"/>
        <v>0</v>
      </c>
      <c r="N2456">
        <v>0</v>
      </c>
      <c r="O2456" s="2">
        <f t="shared" si="383"/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21.9</v>
      </c>
      <c r="V2456" s="2">
        <f t="shared" si="384"/>
        <v>1</v>
      </c>
      <c r="W2456">
        <v>21.9</v>
      </c>
      <c r="X2456" s="2">
        <f t="shared" si="385"/>
        <v>1</v>
      </c>
      <c r="Y2456">
        <v>327.60000000000002</v>
      </c>
      <c r="Z2456" s="2" t="str">
        <f>CHOOSE(MATCH(Y2456,{0;11;80;111;161;191;241;281;341},1),"North","NorthEast","East","SouthEast","South","SouthWest","West","NorthWest","North")</f>
        <v>NorthWest</v>
      </c>
      <c r="AA2456" s="4">
        <f>CHOOSE(MATCH(Z2456,{"South";"SouthEast";"SouthWest";"North";"NorthEast";"East";"West";"NorthWest"},0),1,2,3,4,5,6,7,8)</f>
        <v>8</v>
      </c>
      <c r="AB2456" s="2">
        <f t="shared" si="386"/>
        <v>1</v>
      </c>
      <c r="AC2456">
        <v>1020.4</v>
      </c>
      <c r="AD2456" t="s">
        <v>3347</v>
      </c>
      <c r="AE2456" s="2">
        <f t="shared" si="387"/>
        <v>0</v>
      </c>
      <c r="AF2456" t="s">
        <v>3348</v>
      </c>
      <c r="AG2456" s="2">
        <f t="shared" si="388"/>
        <v>11</v>
      </c>
      <c r="AH2456" s="2">
        <f t="shared" si="389"/>
        <v>0</v>
      </c>
      <c r="AI2456" s="3">
        <v>165.00000000349249</v>
      </c>
      <c r="AJ2456" s="2">
        <v>0</v>
      </c>
      <c r="AK2456">
        <v>0</v>
      </c>
      <c r="AL2456">
        <v>30</v>
      </c>
      <c r="AM2456">
        <v>0</v>
      </c>
      <c r="AN2456" s="2">
        <f>IF((2*G2456+M2456-O2456+3*V2456+2*AB2456+2*AE2456+2*AH2456+3*AJ2456)&gt;=7,1,0)</f>
        <v>0</v>
      </c>
    </row>
    <row r="2457" spans="1:40" x14ac:dyDescent="0.25">
      <c r="A2457" t="s">
        <v>27</v>
      </c>
      <c r="B2457" s="1">
        <v>44512</v>
      </c>
      <c r="C2457" s="6">
        <f t="shared" si="380"/>
        <v>2021</v>
      </c>
      <c r="D2457">
        <v>66.2</v>
      </c>
      <c r="E2457">
        <v>59</v>
      </c>
      <c r="F2457">
        <v>63.2</v>
      </c>
      <c r="G2457" s="2">
        <f t="shared" si="381"/>
        <v>0</v>
      </c>
      <c r="H2457">
        <v>66.2</v>
      </c>
      <c r="I2457">
        <v>59</v>
      </c>
      <c r="J2457">
        <v>63.2</v>
      </c>
      <c r="K2457">
        <v>53.7</v>
      </c>
      <c r="L2457">
        <v>71.400000000000006</v>
      </c>
      <c r="M2457" s="2">
        <f t="shared" si="382"/>
        <v>0</v>
      </c>
      <c r="N2457">
        <v>0</v>
      </c>
      <c r="O2457" s="2">
        <f t="shared" si="383"/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12.8</v>
      </c>
      <c r="V2457" s="2">
        <f t="shared" si="384"/>
        <v>1</v>
      </c>
      <c r="W2457">
        <v>16.100000000000001</v>
      </c>
      <c r="X2457" s="2">
        <f t="shared" si="385"/>
        <v>1</v>
      </c>
      <c r="Y2457">
        <v>326.89999999999998</v>
      </c>
      <c r="Z2457" s="2" t="str">
        <f>CHOOSE(MATCH(Y2457,{0;11;80;111;161;191;241;281;341},1),"North","NorthEast","East","SouthEast","South","SouthWest","West","NorthWest","North")</f>
        <v>NorthWest</v>
      </c>
      <c r="AA2457" s="4">
        <f>CHOOSE(MATCH(Z2457,{"South";"SouthEast";"SouthWest";"North";"NorthEast";"East";"West";"NorthWest"},0),1,2,3,4,5,6,7,8)</f>
        <v>8</v>
      </c>
      <c r="AB2457" s="2">
        <f t="shared" si="386"/>
        <v>1</v>
      </c>
      <c r="AC2457">
        <v>1018.1</v>
      </c>
      <c r="AD2457" t="s">
        <v>1101</v>
      </c>
      <c r="AE2457" s="2">
        <f t="shared" si="387"/>
        <v>1</v>
      </c>
      <c r="AF2457" t="s">
        <v>3349</v>
      </c>
      <c r="AG2457" s="2">
        <f t="shared" si="388"/>
        <v>11</v>
      </c>
      <c r="AH2457" s="2">
        <f t="shared" si="389"/>
        <v>0</v>
      </c>
      <c r="AI2457" s="3">
        <v>65.000000002328306</v>
      </c>
      <c r="AJ2457" s="2">
        <v>0</v>
      </c>
      <c r="AK2457">
        <v>0</v>
      </c>
      <c r="AL2457">
        <v>0.1</v>
      </c>
      <c r="AM2457">
        <v>0</v>
      </c>
      <c r="AN2457" s="2">
        <f>IF((2*G2457+M2457-O2457+3*V2457+2*AB2457+2*AE2457+2*AH2457+3*AJ2457)&gt;=7,1,0)</f>
        <v>0</v>
      </c>
    </row>
    <row r="2458" spans="1:40" x14ac:dyDescent="0.25">
      <c r="A2458" t="s">
        <v>27</v>
      </c>
      <c r="B2458" s="1">
        <v>44513</v>
      </c>
      <c r="C2458" s="6">
        <f t="shared" si="380"/>
        <v>2021</v>
      </c>
      <c r="D2458">
        <v>68</v>
      </c>
      <c r="E2458">
        <v>56.9</v>
      </c>
      <c r="F2458">
        <v>63.6</v>
      </c>
      <c r="G2458" s="2">
        <f t="shared" si="381"/>
        <v>0</v>
      </c>
      <c r="H2458">
        <v>68</v>
      </c>
      <c r="I2458">
        <v>56.9</v>
      </c>
      <c r="J2458">
        <v>63.6</v>
      </c>
      <c r="K2458">
        <v>56.4</v>
      </c>
      <c r="L2458">
        <v>77.8</v>
      </c>
      <c r="M2458" s="2">
        <f t="shared" si="382"/>
        <v>0</v>
      </c>
      <c r="N2458">
        <v>0</v>
      </c>
      <c r="O2458" s="2">
        <f t="shared" si="383"/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11.6</v>
      </c>
      <c r="V2458" s="2">
        <f t="shared" si="384"/>
        <v>1</v>
      </c>
      <c r="W2458">
        <v>8.1</v>
      </c>
      <c r="X2458" s="2">
        <f t="shared" si="385"/>
        <v>0</v>
      </c>
      <c r="Y2458">
        <v>86.2</v>
      </c>
      <c r="Z2458" s="2" t="str">
        <f>CHOOSE(MATCH(Y2458,{0;11;80;111;161;191;241;281;341},1),"North","NorthEast","East","SouthEast","South","SouthWest","West","NorthWest","North")</f>
        <v>East</v>
      </c>
      <c r="AA2458" s="4">
        <f>CHOOSE(MATCH(Z2458,{"South";"SouthEast";"SouthWest";"North";"NorthEast";"East";"West";"NorthWest"},0),1,2,3,4,5,6,7,8)</f>
        <v>6</v>
      </c>
      <c r="AB2458" s="2">
        <f t="shared" si="386"/>
        <v>0</v>
      </c>
      <c r="AC2458">
        <v>1019.3</v>
      </c>
      <c r="AD2458" t="s">
        <v>1904</v>
      </c>
      <c r="AE2458" s="2">
        <f t="shared" si="387"/>
        <v>0</v>
      </c>
      <c r="AF2458" t="s">
        <v>3350</v>
      </c>
      <c r="AG2458" s="2">
        <f t="shared" si="388"/>
        <v>11</v>
      </c>
      <c r="AH2458" s="2">
        <f t="shared" si="389"/>
        <v>0</v>
      </c>
      <c r="AI2458" s="3">
        <v>322.9999999946449</v>
      </c>
      <c r="AJ2458" s="2">
        <v>0</v>
      </c>
      <c r="AK2458">
        <v>0.2</v>
      </c>
      <c r="AL2458">
        <v>0</v>
      </c>
      <c r="AM2458">
        <v>0</v>
      </c>
      <c r="AN2458" s="2">
        <f>IF((2*G2458+M2458-O2458+3*V2458+2*AB2458+2*AE2458+2*AH2458+3*AJ2458)&gt;=7,1,0)</f>
        <v>0</v>
      </c>
    </row>
    <row r="2459" spans="1:40" x14ac:dyDescent="0.25">
      <c r="A2459" t="s">
        <v>27</v>
      </c>
      <c r="B2459" s="1">
        <v>44514</v>
      </c>
      <c r="C2459" s="6">
        <f t="shared" si="380"/>
        <v>2021</v>
      </c>
      <c r="D2459">
        <v>69.8</v>
      </c>
      <c r="E2459">
        <v>59</v>
      </c>
      <c r="F2459">
        <v>63.4</v>
      </c>
      <c r="G2459" s="2">
        <f t="shared" si="381"/>
        <v>0</v>
      </c>
      <c r="H2459">
        <v>69.8</v>
      </c>
      <c r="I2459">
        <v>59</v>
      </c>
      <c r="J2459">
        <v>63.4</v>
      </c>
      <c r="K2459">
        <v>57.5</v>
      </c>
      <c r="L2459">
        <v>81.7</v>
      </c>
      <c r="M2459" s="2">
        <f t="shared" si="382"/>
        <v>0</v>
      </c>
      <c r="N2459">
        <v>0</v>
      </c>
      <c r="O2459" s="2">
        <f t="shared" si="383"/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13.9</v>
      </c>
      <c r="V2459" s="2">
        <f t="shared" si="384"/>
        <v>1</v>
      </c>
      <c r="W2459">
        <v>7.4</v>
      </c>
      <c r="X2459" s="2">
        <f t="shared" si="385"/>
        <v>0</v>
      </c>
      <c r="Y2459">
        <v>140</v>
      </c>
      <c r="Z2459" s="2" t="str">
        <f>CHOOSE(MATCH(Y2459,{0;11;80;111;161;191;241;281;341},1),"North","NorthEast","East","SouthEast","South","SouthWest","West","NorthWest","North")</f>
        <v>SouthEast</v>
      </c>
      <c r="AA2459" s="4">
        <f>CHOOSE(MATCH(Z2459,{"South";"SouthEast";"SouthWest";"North";"NorthEast";"East";"West";"NorthWest"},0),1,2,3,4,5,6,7,8)</f>
        <v>2</v>
      </c>
      <c r="AB2459" s="2">
        <f t="shared" si="386"/>
        <v>0</v>
      </c>
      <c r="AC2459">
        <v>1018.5</v>
      </c>
      <c r="AD2459" t="s">
        <v>3351</v>
      </c>
      <c r="AE2459" s="2">
        <f t="shared" si="387"/>
        <v>1</v>
      </c>
      <c r="AF2459" t="s">
        <v>3352</v>
      </c>
      <c r="AG2459" s="2">
        <f t="shared" si="388"/>
        <v>11</v>
      </c>
      <c r="AH2459" s="2">
        <f t="shared" si="389"/>
        <v>0</v>
      </c>
      <c r="AI2459" s="3">
        <v>88.000000003958121</v>
      </c>
      <c r="AJ2459" s="2">
        <v>0</v>
      </c>
      <c r="AK2459">
        <v>0</v>
      </c>
      <c r="AL2459">
        <v>2</v>
      </c>
      <c r="AM2459">
        <v>0</v>
      </c>
      <c r="AN2459" s="2">
        <f>IF((2*G2459+M2459-O2459+3*V2459+2*AB2459+2*AE2459+2*AH2459+3*AJ2459)&gt;=7,1,0)</f>
        <v>0</v>
      </c>
    </row>
    <row r="2460" spans="1:40" x14ac:dyDescent="0.25">
      <c r="A2460" t="s">
        <v>27</v>
      </c>
      <c r="B2460" s="1">
        <v>44522</v>
      </c>
      <c r="C2460" s="6">
        <f t="shared" si="380"/>
        <v>2021</v>
      </c>
      <c r="D2460">
        <v>71.599999999999994</v>
      </c>
      <c r="E2460">
        <v>51.8</v>
      </c>
      <c r="F2460">
        <v>61.5</v>
      </c>
      <c r="G2460" s="2">
        <f t="shared" si="381"/>
        <v>0</v>
      </c>
      <c r="H2460">
        <v>71.599999999999994</v>
      </c>
      <c r="I2460">
        <v>51.8</v>
      </c>
      <c r="J2460">
        <v>61.5</v>
      </c>
      <c r="K2460">
        <v>50.6</v>
      </c>
      <c r="L2460">
        <v>69.5</v>
      </c>
      <c r="M2460" s="2">
        <f t="shared" si="382"/>
        <v>0</v>
      </c>
      <c r="N2460">
        <v>0</v>
      </c>
      <c r="O2460" s="2">
        <f t="shared" si="383"/>
        <v>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25.3</v>
      </c>
      <c r="V2460" s="2">
        <f t="shared" si="384"/>
        <v>1</v>
      </c>
      <c r="W2460">
        <v>18.3</v>
      </c>
      <c r="X2460" s="2">
        <f t="shared" si="385"/>
        <v>1</v>
      </c>
      <c r="Y2460">
        <v>171.8</v>
      </c>
      <c r="Z2460" s="2" t="str">
        <f>CHOOSE(MATCH(Y2460,{0;11;80;111;161;191;241;281;341},1),"North","NorthEast","East","SouthEast","South","SouthWest","West","NorthWest","North")</f>
        <v>South</v>
      </c>
      <c r="AA2460" s="4">
        <f>CHOOSE(MATCH(Z2460,{"South";"SouthEast";"SouthWest";"North";"NorthEast";"East";"West";"NorthWest"},0),1,2,3,4,5,6,7,8)</f>
        <v>1</v>
      </c>
      <c r="AB2460" s="2">
        <f t="shared" si="386"/>
        <v>0</v>
      </c>
      <c r="AC2460">
        <v>1017.4</v>
      </c>
      <c r="AD2460" t="s">
        <v>1127</v>
      </c>
      <c r="AE2460" s="2">
        <f t="shared" si="387"/>
        <v>1</v>
      </c>
      <c r="AF2460" t="s">
        <v>3353</v>
      </c>
      <c r="AG2460" s="2">
        <f t="shared" si="388"/>
        <v>11</v>
      </c>
      <c r="AH2460" s="2">
        <f t="shared" si="389"/>
        <v>0</v>
      </c>
      <c r="AI2460" s="3">
        <v>1810.0000000011639</v>
      </c>
      <c r="AJ2460" s="2">
        <v>1</v>
      </c>
      <c r="AK2460">
        <v>0</v>
      </c>
      <c r="AL2460">
        <v>5</v>
      </c>
      <c r="AM2460">
        <v>0</v>
      </c>
      <c r="AN2460" s="2">
        <f>IF((2*G2460+M2460-O2460+3*V2460+2*AB2460+2*AE2460+2*AH2460+3*AJ2460)&gt;=7,1,0)</f>
        <v>1</v>
      </c>
    </row>
    <row r="2461" spans="1:40" x14ac:dyDescent="0.25">
      <c r="A2461" t="s">
        <v>27</v>
      </c>
      <c r="B2461" s="1">
        <v>44522</v>
      </c>
      <c r="C2461" s="6">
        <f t="shared" si="380"/>
        <v>2021</v>
      </c>
      <c r="D2461">
        <v>71.599999999999994</v>
      </c>
      <c r="E2461">
        <v>51.8</v>
      </c>
      <c r="F2461">
        <v>61.5</v>
      </c>
      <c r="G2461" s="2">
        <f t="shared" si="381"/>
        <v>0</v>
      </c>
      <c r="H2461">
        <v>71.599999999999994</v>
      </c>
      <c r="I2461">
        <v>51.8</v>
      </c>
      <c r="J2461">
        <v>61.5</v>
      </c>
      <c r="K2461">
        <v>50.6</v>
      </c>
      <c r="L2461">
        <v>69.5</v>
      </c>
      <c r="M2461" s="2">
        <f t="shared" si="382"/>
        <v>0</v>
      </c>
      <c r="N2461">
        <v>0</v>
      </c>
      <c r="O2461" s="2">
        <f t="shared" si="383"/>
        <v>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25.3</v>
      </c>
      <c r="V2461" s="2">
        <f t="shared" si="384"/>
        <v>1</v>
      </c>
      <c r="W2461">
        <v>18.3</v>
      </c>
      <c r="X2461" s="2">
        <f t="shared" si="385"/>
        <v>1</v>
      </c>
      <c r="Y2461">
        <v>171.8</v>
      </c>
      <c r="Z2461" s="2" t="str">
        <f>CHOOSE(MATCH(Y2461,{0;11;80;111;161;191;241;281;341},1),"North","NorthEast","East","SouthEast","South","SouthWest","West","NorthWest","North")</f>
        <v>South</v>
      </c>
      <c r="AA2461" s="4">
        <f>CHOOSE(MATCH(Z2461,{"South";"SouthEast";"SouthWest";"North";"NorthEast";"East";"West";"NorthWest"},0),1,2,3,4,5,6,7,8)</f>
        <v>1</v>
      </c>
      <c r="AB2461" s="2">
        <f t="shared" si="386"/>
        <v>0</v>
      </c>
      <c r="AC2461">
        <v>1017.4</v>
      </c>
      <c r="AD2461" t="s">
        <v>2141</v>
      </c>
      <c r="AE2461" s="2">
        <f t="shared" si="387"/>
        <v>1</v>
      </c>
      <c r="AF2461" t="s">
        <v>3354</v>
      </c>
      <c r="AG2461" s="2">
        <f t="shared" si="388"/>
        <v>11</v>
      </c>
      <c r="AH2461" s="2">
        <f t="shared" si="389"/>
        <v>0</v>
      </c>
      <c r="AI2461" s="3">
        <v>169.99999999883579</v>
      </c>
      <c r="AJ2461" s="2">
        <v>0</v>
      </c>
      <c r="AK2461">
        <v>0</v>
      </c>
      <c r="AL2461">
        <v>1</v>
      </c>
      <c r="AM2461">
        <v>0</v>
      </c>
      <c r="AN2461" s="2">
        <f>IF((2*G2461+M2461-O2461+3*V2461+2*AB2461+2*AE2461+2*AH2461+3*AJ2461)&gt;=7,1,0)</f>
        <v>0</v>
      </c>
    </row>
    <row r="2462" spans="1:40" x14ac:dyDescent="0.25">
      <c r="A2462" t="s">
        <v>27</v>
      </c>
      <c r="B2462" s="1">
        <v>44523</v>
      </c>
      <c r="C2462" s="6">
        <f t="shared" si="380"/>
        <v>2021</v>
      </c>
      <c r="D2462">
        <v>76.900000000000006</v>
      </c>
      <c r="E2462">
        <v>60.8</v>
      </c>
      <c r="F2462">
        <v>67.400000000000006</v>
      </c>
      <c r="G2462" s="2">
        <f t="shared" si="381"/>
        <v>0</v>
      </c>
      <c r="H2462">
        <v>76.900000000000006</v>
      </c>
      <c r="I2462">
        <v>60.8</v>
      </c>
      <c r="J2462">
        <v>67.400000000000006</v>
      </c>
      <c r="K2462">
        <v>55.2</v>
      </c>
      <c r="L2462">
        <v>65.900000000000006</v>
      </c>
      <c r="M2462" s="2">
        <f t="shared" si="382"/>
        <v>1</v>
      </c>
      <c r="N2462">
        <v>0</v>
      </c>
      <c r="O2462" s="2">
        <f t="shared" si="383"/>
        <v>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24.2</v>
      </c>
      <c r="V2462" s="2">
        <f t="shared" si="384"/>
        <v>1</v>
      </c>
      <c r="W2462">
        <v>20.8</v>
      </c>
      <c r="X2462" s="2">
        <f t="shared" si="385"/>
        <v>1</v>
      </c>
      <c r="Y2462">
        <v>174.6</v>
      </c>
      <c r="Z2462" s="2" t="str">
        <f>CHOOSE(MATCH(Y2462,{0;11;80;111;161;191;241;281;341},1),"North","NorthEast","East","SouthEast","South","SouthWest","West","NorthWest","North")</f>
        <v>South</v>
      </c>
      <c r="AA2462" s="4">
        <f>CHOOSE(MATCH(Z2462,{"South";"SouthEast";"SouthWest";"North";"NorthEast";"East";"West";"NorthWest"},0),1,2,3,4,5,6,7,8)</f>
        <v>1</v>
      </c>
      <c r="AB2462" s="2">
        <f t="shared" si="386"/>
        <v>0</v>
      </c>
      <c r="AC2462">
        <v>1016.9</v>
      </c>
      <c r="AD2462" t="s">
        <v>1254</v>
      </c>
      <c r="AE2462" s="2">
        <f t="shared" si="387"/>
        <v>1</v>
      </c>
      <c r="AF2462" t="s">
        <v>3355</v>
      </c>
      <c r="AG2462" s="2">
        <f t="shared" si="388"/>
        <v>11</v>
      </c>
      <c r="AH2462" s="2">
        <f t="shared" si="389"/>
        <v>0</v>
      </c>
      <c r="AI2462" s="3">
        <v>270</v>
      </c>
      <c r="AJ2462" s="2">
        <v>0</v>
      </c>
      <c r="AK2462">
        <v>0</v>
      </c>
      <c r="AL2462">
        <v>1</v>
      </c>
      <c r="AM2462">
        <v>0</v>
      </c>
      <c r="AN2462" s="2">
        <f>IF((2*G2462+M2462-O2462+3*V2462+2*AB2462+2*AE2462+2*AH2462+3*AJ2462)&gt;=7,1,0)</f>
        <v>0</v>
      </c>
    </row>
    <row r="2463" spans="1:40" x14ac:dyDescent="0.25">
      <c r="A2463" t="s">
        <v>27</v>
      </c>
      <c r="B2463" s="1">
        <v>44523</v>
      </c>
      <c r="C2463" s="6">
        <f t="shared" si="380"/>
        <v>2021</v>
      </c>
      <c r="D2463">
        <v>76.900000000000006</v>
      </c>
      <c r="E2463">
        <v>60.8</v>
      </c>
      <c r="F2463">
        <v>67.400000000000006</v>
      </c>
      <c r="G2463" s="2">
        <f t="shared" si="381"/>
        <v>0</v>
      </c>
      <c r="H2463">
        <v>76.900000000000006</v>
      </c>
      <c r="I2463">
        <v>60.8</v>
      </c>
      <c r="J2463">
        <v>67.400000000000006</v>
      </c>
      <c r="K2463">
        <v>55.2</v>
      </c>
      <c r="L2463">
        <v>65.900000000000006</v>
      </c>
      <c r="M2463" s="2">
        <f t="shared" si="382"/>
        <v>1</v>
      </c>
      <c r="N2463">
        <v>0</v>
      </c>
      <c r="O2463" s="2">
        <f t="shared" si="383"/>
        <v>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24.2</v>
      </c>
      <c r="V2463" s="2">
        <f t="shared" si="384"/>
        <v>1</v>
      </c>
      <c r="W2463">
        <v>20.8</v>
      </c>
      <c r="X2463" s="2">
        <f t="shared" si="385"/>
        <v>1</v>
      </c>
      <c r="Y2463">
        <v>174.6</v>
      </c>
      <c r="Z2463" s="2" t="str">
        <f>CHOOSE(MATCH(Y2463,{0;11;80;111;161;191;241;281;341},1),"North","NorthEast","East","SouthEast","South","SouthWest","West","NorthWest","North")</f>
        <v>South</v>
      </c>
      <c r="AA2463" s="4">
        <f>CHOOSE(MATCH(Z2463,{"South";"SouthEast";"SouthWest";"North";"NorthEast";"East";"West";"NorthWest"},0),1,2,3,4,5,6,7,8)</f>
        <v>1</v>
      </c>
      <c r="AB2463" s="2">
        <f t="shared" si="386"/>
        <v>0</v>
      </c>
      <c r="AC2463">
        <v>1016.9</v>
      </c>
      <c r="AD2463" t="s">
        <v>3143</v>
      </c>
      <c r="AE2463" s="2">
        <f t="shared" si="387"/>
        <v>1</v>
      </c>
      <c r="AF2463" t="s">
        <v>3356</v>
      </c>
      <c r="AG2463" s="2">
        <f t="shared" si="388"/>
        <v>11</v>
      </c>
      <c r="AH2463" s="2">
        <f t="shared" si="389"/>
        <v>0</v>
      </c>
      <c r="AI2463" s="3">
        <v>402.00000000069849</v>
      </c>
      <c r="AJ2463" s="2">
        <v>1</v>
      </c>
      <c r="AK2463">
        <v>0</v>
      </c>
      <c r="AL2463">
        <v>1</v>
      </c>
      <c r="AM2463">
        <v>0</v>
      </c>
      <c r="AN2463" s="2">
        <f>IF((2*G2463+M2463-O2463+3*V2463+2*AB2463+2*AE2463+2*AH2463+3*AJ2463)&gt;=7,1,0)</f>
        <v>1</v>
      </c>
    </row>
    <row r="2464" spans="1:40" x14ac:dyDescent="0.25">
      <c r="A2464" t="s">
        <v>27</v>
      </c>
      <c r="B2464" s="1">
        <v>44525</v>
      </c>
      <c r="C2464" s="6">
        <f t="shared" si="380"/>
        <v>2021</v>
      </c>
      <c r="D2464">
        <v>62.6</v>
      </c>
      <c r="E2464">
        <v>53.6</v>
      </c>
      <c r="F2464">
        <v>60.1</v>
      </c>
      <c r="G2464" s="2">
        <f t="shared" si="381"/>
        <v>0</v>
      </c>
      <c r="H2464">
        <v>62.6</v>
      </c>
      <c r="I2464">
        <v>53.6</v>
      </c>
      <c r="J2464">
        <v>60.1</v>
      </c>
      <c r="K2464">
        <v>52</v>
      </c>
      <c r="L2464">
        <v>74.8</v>
      </c>
      <c r="M2464" s="2">
        <f t="shared" si="382"/>
        <v>0</v>
      </c>
      <c r="N2464">
        <v>8.0000000000000002E-3</v>
      </c>
      <c r="O2464" s="2">
        <f t="shared" si="383"/>
        <v>1</v>
      </c>
      <c r="P2464">
        <v>100</v>
      </c>
      <c r="Q2464">
        <v>4.17</v>
      </c>
      <c r="R2464" t="s">
        <v>182</v>
      </c>
      <c r="S2464">
        <v>0</v>
      </c>
      <c r="T2464">
        <v>0</v>
      </c>
      <c r="U2464">
        <v>19.899999999999999</v>
      </c>
      <c r="V2464" s="2">
        <f t="shared" si="384"/>
        <v>1</v>
      </c>
      <c r="W2464">
        <v>14.9</v>
      </c>
      <c r="X2464" s="2">
        <f t="shared" si="385"/>
        <v>0</v>
      </c>
      <c r="Y2464">
        <v>340.6</v>
      </c>
      <c r="Z2464" s="2" t="str">
        <f>CHOOSE(MATCH(Y2464,{0;11;80;111;161;191;241;281;341},1),"North","NorthEast","East","SouthEast","South","SouthWest","West","NorthWest","North")</f>
        <v>NorthWest</v>
      </c>
      <c r="AA2464" s="4">
        <f>CHOOSE(MATCH(Z2464,{"South";"SouthEast";"SouthWest";"North";"NorthEast";"East";"West";"NorthWest"},0),1,2,3,4,5,6,7,8)</f>
        <v>8</v>
      </c>
      <c r="AB2464" s="2">
        <f t="shared" si="386"/>
        <v>1</v>
      </c>
      <c r="AC2464">
        <v>1017.4</v>
      </c>
      <c r="AD2464" t="s">
        <v>3326</v>
      </c>
      <c r="AE2464" s="2">
        <f t="shared" si="387"/>
        <v>1</v>
      </c>
      <c r="AF2464" t="s">
        <v>3357</v>
      </c>
      <c r="AG2464" s="2">
        <f t="shared" si="388"/>
        <v>11</v>
      </c>
      <c r="AH2464" s="2">
        <f t="shared" si="389"/>
        <v>0</v>
      </c>
      <c r="AI2464" s="3">
        <v>200.00000000232831</v>
      </c>
      <c r="AJ2464" s="2">
        <v>0</v>
      </c>
      <c r="AK2464">
        <v>0.05</v>
      </c>
      <c r="AL2464">
        <v>0</v>
      </c>
      <c r="AM2464">
        <v>0</v>
      </c>
      <c r="AN2464" s="2">
        <f>IF((2*G2464+M2464-O2464+3*V2464+2*AB2464+2*AE2464+2*AH2464+3*AJ2464)&gt;=7,1,0)</f>
        <v>0</v>
      </c>
    </row>
    <row r="2465" spans="1:40" x14ac:dyDescent="0.25">
      <c r="A2465" t="s">
        <v>27</v>
      </c>
      <c r="B2465" s="1">
        <v>44527</v>
      </c>
      <c r="C2465" s="6">
        <f t="shared" si="380"/>
        <v>2021</v>
      </c>
      <c r="D2465">
        <v>75.2</v>
      </c>
      <c r="E2465">
        <v>61.6</v>
      </c>
      <c r="F2465">
        <v>67.599999999999994</v>
      </c>
      <c r="G2465" s="2">
        <f t="shared" si="381"/>
        <v>0</v>
      </c>
      <c r="H2465">
        <v>75.2</v>
      </c>
      <c r="I2465">
        <v>61.6</v>
      </c>
      <c r="J2465">
        <v>67.599999999999994</v>
      </c>
      <c r="K2465">
        <v>54.9</v>
      </c>
      <c r="L2465">
        <v>65.5</v>
      </c>
      <c r="M2465" s="2">
        <f t="shared" si="382"/>
        <v>1</v>
      </c>
      <c r="N2465">
        <v>0</v>
      </c>
      <c r="O2465" s="2">
        <f t="shared" si="383"/>
        <v>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36.9</v>
      </c>
      <c r="V2465" s="2">
        <f t="shared" si="384"/>
        <v>1</v>
      </c>
      <c r="W2465">
        <v>18.3</v>
      </c>
      <c r="X2465" s="2">
        <f t="shared" si="385"/>
        <v>1</v>
      </c>
      <c r="Y2465">
        <v>181.5</v>
      </c>
      <c r="Z2465" s="2" t="str">
        <f>CHOOSE(MATCH(Y2465,{0;11;80;111;161;191;241;281;341},1),"North","NorthEast","East","SouthEast","South","SouthWest","West","NorthWest","North")</f>
        <v>South</v>
      </c>
      <c r="AA2465" s="4">
        <f>CHOOSE(MATCH(Z2465,{"South";"SouthEast";"SouthWest";"North";"NorthEast";"East";"West";"NorthWest"},0),1,2,3,4,5,6,7,8)</f>
        <v>1</v>
      </c>
      <c r="AB2465" s="2">
        <f t="shared" si="386"/>
        <v>0</v>
      </c>
      <c r="AC2465">
        <v>1011.6</v>
      </c>
      <c r="AD2465" t="s">
        <v>3268</v>
      </c>
      <c r="AE2465" s="2">
        <f t="shared" si="387"/>
        <v>1</v>
      </c>
      <c r="AF2465" t="s">
        <v>3358</v>
      </c>
      <c r="AG2465" s="2">
        <f t="shared" si="388"/>
        <v>11</v>
      </c>
      <c r="AH2465" s="2">
        <f t="shared" si="389"/>
        <v>0</v>
      </c>
      <c r="AI2465" s="3">
        <v>300.99999999627471</v>
      </c>
      <c r="AJ2465" s="2">
        <v>0</v>
      </c>
      <c r="AK2465">
        <v>0</v>
      </c>
      <c r="AL2465">
        <v>2</v>
      </c>
      <c r="AM2465">
        <v>0</v>
      </c>
      <c r="AN2465" s="2">
        <f>IF((2*G2465+M2465-O2465+3*V2465+2*AB2465+2*AE2465+2*AH2465+3*AJ2465)&gt;=7,1,0)</f>
        <v>0</v>
      </c>
    </row>
    <row r="2466" spans="1:40" x14ac:dyDescent="0.25">
      <c r="A2466" t="s">
        <v>27</v>
      </c>
      <c r="B2466" s="1">
        <v>44528</v>
      </c>
      <c r="C2466" s="6">
        <f t="shared" si="380"/>
        <v>2021</v>
      </c>
      <c r="D2466">
        <v>73.400000000000006</v>
      </c>
      <c r="E2466">
        <v>62.6</v>
      </c>
      <c r="F2466">
        <v>68.2</v>
      </c>
      <c r="G2466" s="2">
        <f t="shared" si="381"/>
        <v>0</v>
      </c>
      <c r="H2466">
        <v>73.400000000000006</v>
      </c>
      <c r="I2466">
        <v>62.6</v>
      </c>
      <c r="J2466">
        <v>68.2</v>
      </c>
      <c r="K2466">
        <v>57.7</v>
      </c>
      <c r="L2466">
        <v>70.599999999999994</v>
      </c>
      <c r="M2466" s="2">
        <f t="shared" si="382"/>
        <v>0</v>
      </c>
      <c r="N2466">
        <v>0</v>
      </c>
      <c r="O2466" s="2">
        <f t="shared" si="383"/>
        <v>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42.5</v>
      </c>
      <c r="V2466" s="2">
        <f t="shared" si="384"/>
        <v>1</v>
      </c>
      <c r="W2466">
        <v>23.6</v>
      </c>
      <c r="X2466" s="2">
        <f t="shared" si="385"/>
        <v>1</v>
      </c>
      <c r="Y2466">
        <v>192.2</v>
      </c>
      <c r="Z2466" s="2" t="str">
        <f>CHOOSE(MATCH(Y2466,{0;11;80;111;161;191;241;281;341},1),"North","NorthEast","East","SouthEast","South","SouthWest","West","NorthWest","North")</f>
        <v>SouthWest</v>
      </c>
      <c r="AA2466" s="4">
        <f>CHOOSE(MATCH(Z2466,{"South";"SouthEast";"SouthWest";"North";"NorthEast";"East";"West";"NorthWest"},0),1,2,3,4,5,6,7,8)</f>
        <v>3</v>
      </c>
      <c r="AB2466" s="2">
        <f t="shared" si="386"/>
        <v>0</v>
      </c>
      <c r="AC2466">
        <v>1011.4</v>
      </c>
      <c r="AD2466" t="s">
        <v>1077</v>
      </c>
      <c r="AE2466" s="2">
        <f t="shared" si="387"/>
        <v>1</v>
      </c>
      <c r="AF2466" t="s">
        <v>3359</v>
      </c>
      <c r="AG2466" s="2">
        <f t="shared" si="388"/>
        <v>11</v>
      </c>
      <c r="AH2466" s="2">
        <f t="shared" si="389"/>
        <v>0</v>
      </c>
      <c r="AI2466" s="3">
        <v>1519.9999999988361</v>
      </c>
      <c r="AJ2466" s="2">
        <v>1</v>
      </c>
      <c r="AK2466">
        <v>5</v>
      </c>
      <c r="AL2466">
        <v>0</v>
      </c>
      <c r="AM2466">
        <v>0</v>
      </c>
      <c r="AN2466" s="2">
        <f>IF((2*G2466+M2466-O2466+3*V2466+2*AB2466+2*AE2466+2*AH2466+3*AJ2466)&gt;=7,1,0)</f>
        <v>1</v>
      </c>
    </row>
    <row r="2467" spans="1:40" x14ac:dyDescent="0.25">
      <c r="A2467" t="s">
        <v>27</v>
      </c>
      <c r="B2467" s="1">
        <v>44530</v>
      </c>
      <c r="C2467" s="6">
        <f t="shared" si="380"/>
        <v>2021</v>
      </c>
      <c r="D2467">
        <v>68</v>
      </c>
      <c r="E2467">
        <v>57.2</v>
      </c>
      <c r="F2467">
        <v>63.6</v>
      </c>
      <c r="G2467" s="2">
        <f t="shared" si="381"/>
        <v>0</v>
      </c>
      <c r="H2467">
        <v>68</v>
      </c>
      <c r="I2467">
        <v>57.2</v>
      </c>
      <c r="J2467">
        <v>63.6</v>
      </c>
      <c r="K2467">
        <v>47</v>
      </c>
      <c r="L2467">
        <v>55.3</v>
      </c>
      <c r="M2467" s="2">
        <f t="shared" si="382"/>
        <v>1</v>
      </c>
      <c r="N2467">
        <v>3.9E-2</v>
      </c>
      <c r="O2467" s="2">
        <f t="shared" si="383"/>
        <v>0</v>
      </c>
      <c r="P2467">
        <v>100</v>
      </c>
      <c r="Q2467">
        <v>4.17</v>
      </c>
      <c r="R2467" t="s">
        <v>182</v>
      </c>
      <c r="S2467">
        <v>0</v>
      </c>
      <c r="T2467">
        <v>0</v>
      </c>
      <c r="U2467">
        <v>49.4</v>
      </c>
      <c r="V2467" s="2">
        <f t="shared" si="384"/>
        <v>1</v>
      </c>
      <c r="W2467">
        <v>28</v>
      </c>
      <c r="X2467" s="2">
        <f t="shared" si="385"/>
        <v>1</v>
      </c>
      <c r="Y2467">
        <v>260.10000000000002</v>
      </c>
      <c r="Z2467" s="2" t="str">
        <f>CHOOSE(MATCH(Y2467,{0;11;80;111;161;191;241;281;341},1),"North","NorthEast","East","SouthEast","South","SouthWest","West","NorthWest","North")</f>
        <v>West</v>
      </c>
      <c r="AA2467" s="4">
        <f>CHOOSE(MATCH(Z2467,{"South";"SouthEast";"SouthWest";"North";"NorthEast";"East";"West";"NorthWest"},0),1,2,3,4,5,6,7,8)</f>
        <v>7</v>
      </c>
      <c r="AB2467" s="2">
        <f t="shared" si="386"/>
        <v>0</v>
      </c>
      <c r="AC2467">
        <v>1012.6</v>
      </c>
      <c r="AD2467" t="s">
        <v>2100</v>
      </c>
      <c r="AE2467" s="2">
        <f t="shared" si="387"/>
        <v>1</v>
      </c>
      <c r="AF2467" t="s">
        <v>3360</v>
      </c>
      <c r="AG2467" s="2">
        <f t="shared" si="388"/>
        <v>11</v>
      </c>
      <c r="AH2467" s="2">
        <f t="shared" si="389"/>
        <v>0</v>
      </c>
      <c r="AI2467" s="3">
        <v>1631.000000004424</v>
      </c>
      <c r="AJ2467" s="2">
        <v>1</v>
      </c>
      <c r="AK2467">
        <v>0</v>
      </c>
      <c r="AL2467">
        <v>1</v>
      </c>
      <c r="AM2467">
        <v>0</v>
      </c>
      <c r="AN2467" s="2">
        <f>IF((2*G2467+M2467-O2467+3*V2467+2*AB2467+2*AE2467+2*AH2467+3*AJ2467)&gt;=7,1,0)</f>
        <v>1</v>
      </c>
    </row>
    <row r="2468" spans="1:40" x14ac:dyDescent="0.25">
      <c r="A2468" t="s">
        <v>27</v>
      </c>
      <c r="B2468" s="1">
        <v>44531</v>
      </c>
      <c r="C2468" s="6">
        <f t="shared" si="380"/>
        <v>2021</v>
      </c>
      <c r="D2468">
        <v>62.6</v>
      </c>
      <c r="E2468">
        <v>55.4</v>
      </c>
      <c r="F2468">
        <v>59</v>
      </c>
      <c r="G2468" s="2">
        <f t="shared" si="381"/>
        <v>0</v>
      </c>
      <c r="H2468">
        <v>62.6</v>
      </c>
      <c r="I2468">
        <v>55.4</v>
      </c>
      <c r="J2468">
        <v>59</v>
      </c>
      <c r="K2468">
        <v>42.8</v>
      </c>
      <c r="L2468">
        <v>55.3</v>
      </c>
      <c r="M2468" s="2">
        <f t="shared" si="382"/>
        <v>1</v>
      </c>
      <c r="N2468">
        <v>0</v>
      </c>
      <c r="O2468" s="2">
        <f t="shared" si="383"/>
        <v>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28.2</v>
      </c>
      <c r="V2468" s="2">
        <f t="shared" si="384"/>
        <v>1</v>
      </c>
      <c r="W2468">
        <v>27.5</v>
      </c>
      <c r="X2468" s="2">
        <f t="shared" si="385"/>
        <v>1</v>
      </c>
      <c r="Y2468">
        <v>275.3</v>
      </c>
      <c r="Z2468" s="2" t="str">
        <f>CHOOSE(MATCH(Y2468,{0;11;80;111;161;191;241;281;341},1),"North","NorthEast","East","SouthEast","South","SouthWest","West","NorthWest","North")</f>
        <v>West</v>
      </c>
      <c r="AA2468" s="4">
        <f>CHOOSE(MATCH(Z2468,{"South";"SouthEast";"SouthWest";"North";"NorthEast";"East";"West";"NorthWest"},0),1,2,3,4,5,6,7,8)</f>
        <v>7</v>
      </c>
      <c r="AB2468" s="2">
        <f t="shared" si="386"/>
        <v>0</v>
      </c>
      <c r="AC2468">
        <v>1017.6</v>
      </c>
      <c r="AD2468" t="s">
        <v>3361</v>
      </c>
      <c r="AE2468" s="2">
        <f t="shared" si="387"/>
        <v>1</v>
      </c>
      <c r="AF2468" t="s">
        <v>3362</v>
      </c>
      <c r="AG2468" s="2">
        <f t="shared" si="388"/>
        <v>12</v>
      </c>
      <c r="AH2468" s="2">
        <f t="shared" si="389"/>
        <v>0</v>
      </c>
      <c r="AI2468" s="3">
        <v>230.99999999860299</v>
      </c>
      <c r="AJ2468" s="2">
        <v>0</v>
      </c>
      <c r="AK2468">
        <v>0</v>
      </c>
      <c r="AL2468">
        <v>10</v>
      </c>
      <c r="AM2468">
        <v>0</v>
      </c>
      <c r="AN2468" s="2">
        <f>IF((2*G2468+M2468-O2468+3*V2468+2*AB2468+2*AE2468+2*AH2468+3*AJ2468)&gt;=7,1,0)</f>
        <v>0</v>
      </c>
    </row>
    <row r="2469" spans="1:40" x14ac:dyDescent="0.25">
      <c r="A2469" t="s">
        <v>27</v>
      </c>
      <c r="B2469" s="1">
        <v>44531</v>
      </c>
      <c r="C2469" s="6">
        <f t="shared" si="380"/>
        <v>2021</v>
      </c>
      <c r="D2469">
        <v>62.6</v>
      </c>
      <c r="E2469">
        <v>55.4</v>
      </c>
      <c r="F2469">
        <v>59</v>
      </c>
      <c r="G2469" s="2">
        <f t="shared" si="381"/>
        <v>0</v>
      </c>
      <c r="H2469">
        <v>62.6</v>
      </c>
      <c r="I2469">
        <v>55.4</v>
      </c>
      <c r="J2469">
        <v>59</v>
      </c>
      <c r="K2469">
        <v>42.8</v>
      </c>
      <c r="L2469">
        <v>55.3</v>
      </c>
      <c r="M2469" s="2">
        <f t="shared" si="382"/>
        <v>1</v>
      </c>
      <c r="N2469">
        <v>0</v>
      </c>
      <c r="O2469" s="2">
        <f t="shared" si="383"/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28.2</v>
      </c>
      <c r="V2469" s="2">
        <f t="shared" si="384"/>
        <v>1</v>
      </c>
      <c r="W2469">
        <v>27.5</v>
      </c>
      <c r="X2469" s="2">
        <f t="shared" si="385"/>
        <v>1</v>
      </c>
      <c r="Y2469">
        <v>275.3</v>
      </c>
      <c r="Z2469" s="2" t="str">
        <f>CHOOSE(MATCH(Y2469,{0;11;80;111;161;191;241;281;341},1),"North","NorthEast","East","SouthEast","South","SouthWest","West","NorthWest","North")</f>
        <v>West</v>
      </c>
      <c r="AA2469" s="4">
        <f>CHOOSE(MATCH(Z2469,{"South";"SouthEast";"SouthWest";"North";"NorthEast";"East";"West";"NorthWest"},0),1,2,3,4,5,6,7,8)</f>
        <v>7</v>
      </c>
      <c r="AB2469" s="2">
        <f t="shared" si="386"/>
        <v>0</v>
      </c>
      <c r="AC2469">
        <v>1017.6</v>
      </c>
      <c r="AD2469" t="s">
        <v>3143</v>
      </c>
      <c r="AE2469" s="2">
        <f t="shared" si="387"/>
        <v>1</v>
      </c>
      <c r="AF2469" t="s">
        <v>3363</v>
      </c>
      <c r="AG2469" s="2">
        <f t="shared" si="388"/>
        <v>12</v>
      </c>
      <c r="AH2469" s="2">
        <f t="shared" si="389"/>
        <v>0</v>
      </c>
      <c r="AI2469" s="3">
        <v>115.0000000081491</v>
      </c>
      <c r="AJ2469" s="2">
        <v>0</v>
      </c>
      <c r="AK2469">
        <v>0</v>
      </c>
      <c r="AL2469">
        <v>0.1</v>
      </c>
      <c r="AM2469">
        <v>0</v>
      </c>
      <c r="AN2469" s="2">
        <f>IF((2*G2469+M2469-O2469+3*V2469+2*AB2469+2*AE2469+2*AH2469+3*AJ2469)&gt;=7,1,0)</f>
        <v>0</v>
      </c>
    </row>
    <row r="2470" spans="1:40" x14ac:dyDescent="0.25">
      <c r="A2470" t="s">
        <v>27</v>
      </c>
      <c r="B2470" s="1">
        <v>44535</v>
      </c>
      <c r="C2470" s="6">
        <f t="shared" si="380"/>
        <v>2021</v>
      </c>
      <c r="D2470">
        <v>64.400000000000006</v>
      </c>
      <c r="E2470">
        <v>51.8</v>
      </c>
      <c r="F2470">
        <v>59</v>
      </c>
      <c r="G2470" s="2">
        <f t="shared" si="381"/>
        <v>0</v>
      </c>
      <c r="H2470">
        <v>64.400000000000006</v>
      </c>
      <c r="I2470">
        <v>51.8</v>
      </c>
      <c r="J2470">
        <v>59</v>
      </c>
      <c r="K2470">
        <v>53.5</v>
      </c>
      <c r="L2470">
        <v>82.2</v>
      </c>
      <c r="M2470" s="2">
        <f t="shared" si="382"/>
        <v>0</v>
      </c>
      <c r="N2470">
        <v>0.35699999999999998</v>
      </c>
      <c r="O2470" s="2">
        <f t="shared" si="383"/>
        <v>0</v>
      </c>
      <c r="P2470">
        <v>100</v>
      </c>
      <c r="Q2470">
        <v>8.33</v>
      </c>
      <c r="R2470" t="s">
        <v>182</v>
      </c>
      <c r="S2470">
        <v>0</v>
      </c>
      <c r="T2470">
        <v>0</v>
      </c>
      <c r="U2470">
        <v>19</v>
      </c>
      <c r="V2470" s="2">
        <f t="shared" si="384"/>
        <v>1</v>
      </c>
      <c r="W2470">
        <v>16.399999999999999</v>
      </c>
      <c r="X2470" s="2">
        <f t="shared" si="385"/>
        <v>1</v>
      </c>
      <c r="Y2470">
        <v>280.7</v>
      </c>
      <c r="Z2470" s="2" t="str">
        <f>CHOOSE(MATCH(Y2470,{0;11;80;111;161;191;241;281;341},1),"North","NorthEast","East","SouthEast","South","SouthWest","West","NorthWest","North")</f>
        <v>West</v>
      </c>
      <c r="AA2470" s="4">
        <f>CHOOSE(MATCH(Z2470,{"South";"SouthEast";"SouthWest";"North";"NorthEast";"East";"West";"NorthWest"},0),1,2,3,4,5,6,7,8)</f>
        <v>7</v>
      </c>
      <c r="AB2470" s="2">
        <f t="shared" si="386"/>
        <v>0</v>
      </c>
      <c r="AC2470">
        <v>1011.6</v>
      </c>
      <c r="AD2470" t="s">
        <v>1203</v>
      </c>
      <c r="AE2470" s="2">
        <f t="shared" si="387"/>
        <v>1</v>
      </c>
      <c r="AF2470" t="s">
        <v>3364</v>
      </c>
      <c r="AG2470" s="2">
        <f t="shared" si="388"/>
        <v>12</v>
      </c>
      <c r="AH2470" s="2">
        <f t="shared" si="389"/>
        <v>0</v>
      </c>
      <c r="AI2470" s="3">
        <v>110.9999999951106</v>
      </c>
      <c r="AJ2470" s="2">
        <v>0</v>
      </c>
      <c r="AK2470">
        <v>0</v>
      </c>
      <c r="AL2470">
        <v>0.02</v>
      </c>
      <c r="AM2470">
        <v>0</v>
      </c>
      <c r="AN2470" s="2">
        <f>IF((2*G2470+M2470-O2470+3*V2470+2*AB2470+2*AE2470+2*AH2470+3*AJ2470)&gt;=7,1,0)</f>
        <v>0</v>
      </c>
    </row>
    <row r="2471" spans="1:40" x14ac:dyDescent="0.25">
      <c r="A2471" t="s">
        <v>27</v>
      </c>
      <c r="B2471" s="1">
        <v>44536</v>
      </c>
      <c r="C2471" s="6">
        <f t="shared" si="380"/>
        <v>2021</v>
      </c>
      <c r="D2471">
        <v>63.4</v>
      </c>
      <c r="E2471">
        <v>55.4</v>
      </c>
      <c r="F2471">
        <v>60.4</v>
      </c>
      <c r="G2471" s="2">
        <f t="shared" si="381"/>
        <v>0</v>
      </c>
      <c r="H2471">
        <v>63.4</v>
      </c>
      <c r="I2471">
        <v>55.4</v>
      </c>
      <c r="J2471">
        <v>60.4</v>
      </c>
      <c r="K2471">
        <v>51.3</v>
      </c>
      <c r="L2471">
        <v>72.2</v>
      </c>
      <c r="M2471" s="2">
        <f t="shared" si="382"/>
        <v>0</v>
      </c>
      <c r="N2471">
        <v>7.0000000000000001E-3</v>
      </c>
      <c r="O2471" s="2">
        <f t="shared" si="383"/>
        <v>1</v>
      </c>
      <c r="P2471">
        <v>100</v>
      </c>
      <c r="Q2471">
        <v>8.33</v>
      </c>
      <c r="R2471" t="s">
        <v>182</v>
      </c>
      <c r="S2471">
        <v>0</v>
      </c>
      <c r="T2471">
        <v>0</v>
      </c>
      <c r="U2471">
        <v>31.1</v>
      </c>
      <c r="V2471" s="2">
        <f t="shared" si="384"/>
        <v>1</v>
      </c>
      <c r="W2471">
        <v>24</v>
      </c>
      <c r="X2471" s="2">
        <f t="shared" si="385"/>
        <v>1</v>
      </c>
      <c r="Y2471">
        <v>176.6</v>
      </c>
      <c r="Z2471" s="2" t="str">
        <f>CHOOSE(MATCH(Y2471,{0;11;80;111;161;191;241;281;341},1),"North","NorthEast","East","SouthEast","South","SouthWest","West","NorthWest","North")</f>
        <v>South</v>
      </c>
      <c r="AA2471" s="4">
        <f>CHOOSE(MATCH(Z2471,{"South";"SouthEast";"SouthWest";"North";"NorthEast";"East";"West";"NorthWest"},0),1,2,3,4,5,6,7,8)</f>
        <v>1</v>
      </c>
      <c r="AB2471" s="2">
        <f t="shared" si="386"/>
        <v>0</v>
      </c>
      <c r="AC2471">
        <v>1011.9</v>
      </c>
      <c r="AD2471" t="s">
        <v>3365</v>
      </c>
      <c r="AE2471" s="2">
        <f t="shared" si="387"/>
        <v>1</v>
      </c>
      <c r="AF2471" t="s">
        <v>3366</v>
      </c>
      <c r="AG2471" s="2">
        <f t="shared" si="388"/>
        <v>12</v>
      </c>
      <c r="AH2471" s="2">
        <f t="shared" si="389"/>
        <v>0</v>
      </c>
      <c r="AI2471" s="3">
        <v>150.9999999997672</v>
      </c>
      <c r="AJ2471" s="2">
        <v>0</v>
      </c>
      <c r="AK2471">
        <v>0</v>
      </c>
      <c r="AL2471">
        <v>0.2</v>
      </c>
      <c r="AM2471">
        <v>0</v>
      </c>
      <c r="AN2471" s="2">
        <f>IF((2*G2471+M2471-O2471+3*V2471+2*AB2471+2*AE2471+2*AH2471+3*AJ2471)&gt;=7,1,0)</f>
        <v>0</v>
      </c>
    </row>
    <row r="2472" spans="1:40" x14ac:dyDescent="0.25">
      <c r="A2472" t="s">
        <v>27</v>
      </c>
      <c r="B2472" s="1">
        <v>44549</v>
      </c>
      <c r="C2472" s="6">
        <f t="shared" si="380"/>
        <v>2021</v>
      </c>
      <c r="D2472">
        <v>53.6</v>
      </c>
      <c r="E2472">
        <v>46.4</v>
      </c>
      <c r="F2472">
        <v>51</v>
      </c>
      <c r="G2472" s="2">
        <f t="shared" si="381"/>
        <v>0</v>
      </c>
      <c r="H2472">
        <v>53.6</v>
      </c>
      <c r="I2472">
        <v>41.9</v>
      </c>
      <c r="J2472">
        <v>50.3</v>
      </c>
      <c r="K2472">
        <v>42.3</v>
      </c>
      <c r="L2472">
        <v>72.2</v>
      </c>
      <c r="M2472" s="2">
        <f t="shared" si="382"/>
        <v>0</v>
      </c>
      <c r="N2472">
        <v>0.98</v>
      </c>
      <c r="O2472" s="2">
        <f t="shared" si="383"/>
        <v>0</v>
      </c>
      <c r="P2472">
        <v>100</v>
      </c>
      <c r="Q2472">
        <v>16.670000000000002</v>
      </c>
      <c r="R2472" t="s">
        <v>182</v>
      </c>
      <c r="S2472">
        <v>0</v>
      </c>
      <c r="T2472">
        <v>0</v>
      </c>
      <c r="U2472">
        <v>48.3</v>
      </c>
      <c r="V2472" s="2">
        <f t="shared" si="384"/>
        <v>1</v>
      </c>
      <c r="W2472">
        <v>30</v>
      </c>
      <c r="X2472" s="2">
        <f t="shared" si="385"/>
        <v>1</v>
      </c>
      <c r="Y2472">
        <v>340.3</v>
      </c>
      <c r="Z2472" s="2" t="str">
        <f>CHOOSE(MATCH(Y2472,{0;11;80;111;161;191;241;281;341},1),"North","NorthEast","East","SouthEast","South","SouthWest","West","NorthWest","North")</f>
        <v>NorthWest</v>
      </c>
      <c r="AA2472" s="4">
        <f>CHOOSE(MATCH(Z2472,{"South";"SouthEast";"SouthWest";"North";"NorthEast";"East";"West";"NorthWest"},0),1,2,3,4,5,6,7,8)</f>
        <v>8</v>
      </c>
      <c r="AB2472" s="2">
        <f t="shared" si="386"/>
        <v>1</v>
      </c>
      <c r="AC2472">
        <v>1010.2</v>
      </c>
      <c r="AD2472" t="s">
        <v>3082</v>
      </c>
      <c r="AE2472" s="2">
        <f t="shared" si="387"/>
        <v>0</v>
      </c>
      <c r="AF2472" t="s">
        <v>3367</v>
      </c>
      <c r="AG2472" s="2">
        <f t="shared" si="388"/>
        <v>12</v>
      </c>
      <c r="AH2472" s="2">
        <f t="shared" si="389"/>
        <v>0</v>
      </c>
      <c r="AI2472" s="3">
        <v>312.99999999348069</v>
      </c>
      <c r="AJ2472" s="2">
        <v>0</v>
      </c>
      <c r="AK2472">
        <v>0</v>
      </c>
      <c r="AL2472">
        <v>0.4</v>
      </c>
      <c r="AM2472">
        <v>0</v>
      </c>
      <c r="AN2472" s="2">
        <f>IF((2*G2472+M2472-O2472+3*V2472+2*AB2472+2*AE2472+2*AH2472+3*AJ2472)&gt;=7,1,0)</f>
        <v>0</v>
      </c>
    </row>
    <row r="2473" spans="1:40" x14ac:dyDescent="0.25">
      <c r="A2473" t="s">
        <v>27</v>
      </c>
      <c r="B2473" s="1">
        <v>44551</v>
      </c>
      <c r="C2473" s="6">
        <f t="shared" si="380"/>
        <v>2021</v>
      </c>
      <c r="D2473">
        <v>60.8</v>
      </c>
      <c r="E2473">
        <v>53.6</v>
      </c>
      <c r="F2473">
        <v>56.3</v>
      </c>
      <c r="G2473" s="2">
        <f t="shared" si="381"/>
        <v>0</v>
      </c>
      <c r="H2473">
        <v>60.8</v>
      </c>
      <c r="I2473">
        <v>53.6</v>
      </c>
      <c r="J2473">
        <v>56.3</v>
      </c>
      <c r="K2473">
        <v>47.4</v>
      </c>
      <c r="L2473">
        <v>72.3</v>
      </c>
      <c r="M2473" s="2">
        <f t="shared" si="382"/>
        <v>0</v>
      </c>
      <c r="N2473">
        <v>3.1E-2</v>
      </c>
      <c r="O2473" s="2">
        <f t="shared" si="383"/>
        <v>0</v>
      </c>
      <c r="P2473">
        <v>100</v>
      </c>
      <c r="Q2473">
        <v>4.17</v>
      </c>
      <c r="R2473" t="s">
        <v>182</v>
      </c>
      <c r="S2473">
        <v>0</v>
      </c>
      <c r="T2473">
        <v>0</v>
      </c>
      <c r="U2473">
        <v>25.1</v>
      </c>
      <c r="V2473" s="2">
        <f t="shared" si="384"/>
        <v>1</v>
      </c>
      <c r="W2473">
        <v>17.2</v>
      </c>
      <c r="X2473" s="2">
        <f t="shared" si="385"/>
        <v>1</v>
      </c>
      <c r="Y2473">
        <v>322.7</v>
      </c>
      <c r="Z2473" s="2" t="str">
        <f>CHOOSE(MATCH(Y2473,{0;11;80;111;161;191;241;281;341},1),"North","NorthEast","East","SouthEast","South","SouthWest","West","NorthWest","North")</f>
        <v>NorthWest</v>
      </c>
      <c r="AA2473" s="4">
        <f>CHOOSE(MATCH(Z2473,{"South";"SouthEast";"SouthWest";"North";"NorthEast";"East";"West";"NorthWest"},0),1,2,3,4,5,6,7,8)</f>
        <v>8</v>
      </c>
      <c r="AB2473" s="2">
        <f t="shared" si="386"/>
        <v>1</v>
      </c>
      <c r="AC2473">
        <v>1018.7</v>
      </c>
      <c r="AD2473" t="s">
        <v>1270</v>
      </c>
      <c r="AE2473" s="2">
        <f t="shared" si="387"/>
        <v>1</v>
      </c>
      <c r="AF2473" t="s">
        <v>3368</v>
      </c>
      <c r="AG2473" s="2">
        <f t="shared" si="388"/>
        <v>12</v>
      </c>
      <c r="AH2473" s="2">
        <f t="shared" si="389"/>
        <v>0</v>
      </c>
      <c r="AI2473" s="3">
        <v>124.9999999988358</v>
      </c>
      <c r="AJ2473" s="2">
        <v>0</v>
      </c>
      <c r="AK2473">
        <v>0</v>
      </c>
      <c r="AL2473">
        <v>2</v>
      </c>
      <c r="AM2473">
        <v>0</v>
      </c>
      <c r="AN2473" s="2">
        <f>IF((2*G2473+M2473-O2473+3*V2473+2*AB2473+2*AE2473+2*AH2473+3*AJ2473)&gt;=7,1,0)</f>
        <v>1</v>
      </c>
    </row>
    <row r="2474" spans="1:40" x14ac:dyDescent="0.25">
      <c r="A2474" t="s">
        <v>27</v>
      </c>
      <c r="B2474" s="1">
        <v>44554</v>
      </c>
      <c r="C2474" s="6">
        <f t="shared" si="380"/>
        <v>2021</v>
      </c>
      <c r="D2474">
        <v>59</v>
      </c>
      <c r="E2474">
        <v>44.6</v>
      </c>
      <c r="F2474">
        <v>51.2</v>
      </c>
      <c r="G2474" s="2">
        <f t="shared" si="381"/>
        <v>0</v>
      </c>
      <c r="H2474">
        <v>59</v>
      </c>
      <c r="I2474">
        <v>40.700000000000003</v>
      </c>
      <c r="J2474">
        <v>49.8</v>
      </c>
      <c r="K2474">
        <v>44.6</v>
      </c>
      <c r="L2474">
        <v>78.5</v>
      </c>
      <c r="M2474" s="2">
        <f t="shared" si="382"/>
        <v>0</v>
      </c>
      <c r="N2474">
        <v>0</v>
      </c>
      <c r="O2474" s="2">
        <f t="shared" si="383"/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16.100000000000001</v>
      </c>
      <c r="V2474" s="2">
        <f t="shared" si="384"/>
        <v>1</v>
      </c>
      <c r="W2474">
        <v>9.4</v>
      </c>
      <c r="X2474" s="2">
        <f t="shared" si="385"/>
        <v>0</v>
      </c>
      <c r="Y2474">
        <v>181.4</v>
      </c>
      <c r="Z2474" s="2" t="str">
        <f>CHOOSE(MATCH(Y2474,{0;11;80;111;161;191;241;281;341},1),"North","NorthEast","East","SouthEast","South","SouthWest","West","NorthWest","North")</f>
        <v>South</v>
      </c>
      <c r="AA2474" s="4">
        <f>CHOOSE(MATCH(Z2474,{"South";"SouthEast";"SouthWest";"North";"NorthEast";"East";"West";"NorthWest"},0),1,2,3,4,5,6,7,8)</f>
        <v>1</v>
      </c>
      <c r="AB2474" s="2">
        <f t="shared" si="386"/>
        <v>0</v>
      </c>
      <c r="AC2474">
        <v>1021.6</v>
      </c>
      <c r="AD2474" t="s">
        <v>3342</v>
      </c>
      <c r="AE2474" s="2">
        <f t="shared" si="387"/>
        <v>1</v>
      </c>
      <c r="AF2474" t="s">
        <v>3369</v>
      </c>
      <c r="AG2474" s="2">
        <f t="shared" si="388"/>
        <v>12</v>
      </c>
      <c r="AH2474" s="2">
        <f t="shared" si="389"/>
        <v>0</v>
      </c>
      <c r="AI2474" s="3">
        <v>134.00000000721769</v>
      </c>
      <c r="AJ2474" s="2">
        <v>0</v>
      </c>
      <c r="AK2474">
        <v>0</v>
      </c>
      <c r="AL2474">
        <v>2</v>
      </c>
      <c r="AM2474">
        <v>0</v>
      </c>
      <c r="AN2474" s="2">
        <f>IF((2*G2474+M2474-O2474+3*V2474+2*AB2474+2*AE2474+2*AH2474+3*AJ2474)&gt;=7,1,0)</f>
        <v>0</v>
      </c>
    </row>
    <row r="2475" spans="1:40" x14ac:dyDescent="0.25">
      <c r="A2475" t="s">
        <v>27</v>
      </c>
      <c r="B2475" s="1">
        <v>44557</v>
      </c>
      <c r="C2475" s="6">
        <f t="shared" si="380"/>
        <v>2021</v>
      </c>
      <c r="D2475">
        <v>66.2</v>
      </c>
      <c r="E2475">
        <v>55.4</v>
      </c>
      <c r="F2475">
        <v>59.5</v>
      </c>
      <c r="G2475" s="2">
        <f t="shared" si="381"/>
        <v>0</v>
      </c>
      <c r="H2475">
        <v>66.2</v>
      </c>
      <c r="I2475">
        <v>55.4</v>
      </c>
      <c r="J2475">
        <v>59.5</v>
      </c>
      <c r="K2475">
        <v>46.8</v>
      </c>
      <c r="L2475">
        <v>63.5</v>
      </c>
      <c r="M2475" s="2">
        <f t="shared" si="382"/>
        <v>1</v>
      </c>
      <c r="N2475">
        <v>0</v>
      </c>
      <c r="O2475" s="2">
        <f t="shared" si="383"/>
        <v>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21.9</v>
      </c>
      <c r="V2475" s="2">
        <f t="shared" si="384"/>
        <v>1</v>
      </c>
      <c r="W2475">
        <v>20.2</v>
      </c>
      <c r="X2475" s="2">
        <f t="shared" si="385"/>
        <v>1</v>
      </c>
      <c r="Y2475">
        <v>174</v>
      </c>
      <c r="Z2475" s="2" t="str">
        <f>CHOOSE(MATCH(Y2475,{0;11;80;111;161;191;241;281;341},1),"North","NorthEast","East","SouthEast","South","SouthWest","West","NorthWest","North")</f>
        <v>South</v>
      </c>
      <c r="AA2475" s="4">
        <f>CHOOSE(MATCH(Z2475,{"South";"SouthEast";"SouthWest";"North";"NorthEast";"East";"West";"NorthWest"},0),1,2,3,4,5,6,7,8)</f>
        <v>1</v>
      </c>
      <c r="AB2475" s="2">
        <f t="shared" si="386"/>
        <v>0</v>
      </c>
      <c r="AC2475">
        <v>1018.8</v>
      </c>
      <c r="AD2475" t="s">
        <v>3351</v>
      </c>
      <c r="AE2475" s="2">
        <f t="shared" si="387"/>
        <v>1</v>
      </c>
      <c r="AF2475" t="s">
        <v>3370</v>
      </c>
      <c r="AG2475" s="2">
        <f t="shared" si="388"/>
        <v>12</v>
      </c>
      <c r="AH2475" s="2">
        <f t="shared" si="389"/>
        <v>0</v>
      </c>
      <c r="AI2475" s="3">
        <v>248.00000000162979</v>
      </c>
      <c r="AJ2475" s="2">
        <v>0</v>
      </c>
      <c r="AK2475">
        <v>0</v>
      </c>
      <c r="AL2475">
        <v>20</v>
      </c>
      <c r="AM2475">
        <v>0</v>
      </c>
      <c r="AN2475" s="2">
        <f>IF((2*G2475+M2475-O2475+3*V2475+2*AB2475+2*AE2475+2*AH2475+3*AJ2475)&gt;=7,1,0)</f>
        <v>0</v>
      </c>
    </row>
    <row r="2476" spans="1:40" x14ac:dyDescent="0.25">
      <c r="A2476" t="s">
        <v>27</v>
      </c>
      <c r="B2476" s="1">
        <v>44558</v>
      </c>
      <c r="C2476" s="6">
        <f t="shared" si="380"/>
        <v>2021</v>
      </c>
      <c r="D2476">
        <v>65.2</v>
      </c>
      <c r="E2476">
        <v>53.6</v>
      </c>
      <c r="F2476">
        <v>59.1</v>
      </c>
      <c r="G2476" s="2">
        <f t="shared" si="381"/>
        <v>0</v>
      </c>
      <c r="H2476">
        <v>65.2</v>
      </c>
      <c r="I2476">
        <v>53.6</v>
      </c>
      <c r="J2476">
        <v>59.1</v>
      </c>
      <c r="K2476">
        <v>48.2</v>
      </c>
      <c r="L2476">
        <v>67.400000000000006</v>
      </c>
      <c r="M2476" s="2">
        <f t="shared" si="382"/>
        <v>0</v>
      </c>
      <c r="N2476">
        <v>0</v>
      </c>
      <c r="O2476" s="2">
        <f t="shared" si="383"/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34.4</v>
      </c>
      <c r="V2476" s="2">
        <f t="shared" si="384"/>
        <v>1</v>
      </c>
      <c r="W2476">
        <v>22.9</v>
      </c>
      <c r="X2476" s="2">
        <f t="shared" si="385"/>
        <v>1</v>
      </c>
      <c r="Y2476">
        <v>171.5</v>
      </c>
      <c r="Z2476" s="2" t="str">
        <f>CHOOSE(MATCH(Y2476,{0;11;80;111;161;191;241;281;341},1),"North","NorthEast","East","SouthEast","South","SouthWest","West","NorthWest","North")</f>
        <v>South</v>
      </c>
      <c r="AA2476" s="4">
        <f>CHOOSE(MATCH(Z2476,{"South";"SouthEast";"SouthWest";"North";"NorthEast";"East";"West";"NorthWest"},0),1,2,3,4,5,6,7,8)</f>
        <v>1</v>
      </c>
      <c r="AB2476" s="2">
        <f t="shared" si="386"/>
        <v>0</v>
      </c>
      <c r="AC2476">
        <v>1012.9</v>
      </c>
      <c r="AD2476" t="s">
        <v>1111</v>
      </c>
      <c r="AE2476" s="2">
        <f t="shared" si="387"/>
        <v>1</v>
      </c>
      <c r="AF2476" t="s">
        <v>3371</v>
      </c>
      <c r="AG2476" s="2">
        <f t="shared" si="388"/>
        <v>12</v>
      </c>
      <c r="AH2476" s="2">
        <f t="shared" si="389"/>
        <v>0</v>
      </c>
      <c r="AI2476" s="3">
        <v>100.0000000011642</v>
      </c>
      <c r="AJ2476" s="2">
        <v>0</v>
      </c>
      <c r="AK2476">
        <v>1.5</v>
      </c>
      <c r="AL2476">
        <v>0</v>
      </c>
      <c r="AM2476">
        <v>0</v>
      </c>
      <c r="AN2476" s="2">
        <f>IF((2*G2476+M2476-O2476+3*V2476+2*AB2476+2*AE2476+2*AH2476+3*AJ2476)&gt;=7,1,0)</f>
        <v>0</v>
      </c>
    </row>
    <row r="2477" spans="1:40" x14ac:dyDescent="0.25">
      <c r="A2477" t="s">
        <v>27</v>
      </c>
      <c r="B2477" s="1">
        <v>44565</v>
      </c>
      <c r="C2477" s="6">
        <f t="shared" si="380"/>
        <v>2022</v>
      </c>
      <c r="D2477">
        <v>62.6</v>
      </c>
      <c r="E2477">
        <v>51.8</v>
      </c>
      <c r="F2477">
        <v>57.1</v>
      </c>
      <c r="G2477" s="2">
        <f t="shared" si="381"/>
        <v>0</v>
      </c>
      <c r="H2477">
        <v>62.6</v>
      </c>
      <c r="I2477">
        <v>51.8</v>
      </c>
      <c r="J2477">
        <v>57.1</v>
      </c>
      <c r="K2477">
        <v>51.3</v>
      </c>
      <c r="L2477">
        <v>80.900000000000006</v>
      </c>
      <c r="M2477" s="2">
        <f t="shared" si="382"/>
        <v>0</v>
      </c>
      <c r="N2477">
        <v>0</v>
      </c>
      <c r="O2477" s="2">
        <f t="shared" si="383"/>
        <v>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23</v>
      </c>
      <c r="V2477" s="2">
        <f t="shared" si="384"/>
        <v>1</v>
      </c>
      <c r="W2477">
        <v>9.1999999999999993</v>
      </c>
      <c r="X2477" s="2">
        <f t="shared" si="385"/>
        <v>0</v>
      </c>
      <c r="Y2477">
        <v>175.5</v>
      </c>
      <c r="Z2477" s="2" t="str">
        <f>CHOOSE(MATCH(Y2477,{0;11;80;111;161;191;241;281;341},1),"North","NorthEast","East","SouthEast","South","SouthWest","West","NorthWest","North")</f>
        <v>South</v>
      </c>
      <c r="AA2477" s="4">
        <f>CHOOSE(MATCH(Z2477,{"South";"SouthEast";"SouthWest";"North";"NorthEast";"East";"West";"NorthWest"},0),1,2,3,4,5,6,7,8)</f>
        <v>1</v>
      </c>
      <c r="AB2477" s="2">
        <f t="shared" si="386"/>
        <v>0</v>
      </c>
      <c r="AC2477">
        <v>1017.3</v>
      </c>
      <c r="AD2477" t="s">
        <v>1885</v>
      </c>
      <c r="AE2477" s="2">
        <f t="shared" si="387"/>
        <v>1</v>
      </c>
      <c r="AF2477" t="s">
        <v>3372</v>
      </c>
      <c r="AG2477" s="2">
        <f t="shared" si="388"/>
        <v>1</v>
      </c>
      <c r="AH2477" s="2">
        <f t="shared" si="389"/>
        <v>0</v>
      </c>
      <c r="AI2477" s="3">
        <v>206.00000000093129</v>
      </c>
      <c r="AJ2477" s="2">
        <v>0</v>
      </c>
      <c r="AK2477">
        <v>0</v>
      </c>
      <c r="AL2477">
        <v>1</v>
      </c>
      <c r="AM2477">
        <v>0</v>
      </c>
      <c r="AN2477" s="2">
        <f>IF((2*G2477+M2477-O2477+3*V2477+2*AB2477+2*AE2477+2*AH2477+3*AJ2477)&gt;=7,1,0)</f>
        <v>0</v>
      </c>
    </row>
    <row r="2478" spans="1:40" x14ac:dyDescent="0.25">
      <c r="A2478" t="s">
        <v>27</v>
      </c>
      <c r="B2478" s="1">
        <v>44576</v>
      </c>
      <c r="C2478" s="6">
        <f t="shared" si="380"/>
        <v>2022</v>
      </c>
      <c r="D2478">
        <v>57.2</v>
      </c>
      <c r="E2478">
        <v>41</v>
      </c>
      <c r="F2478">
        <v>52</v>
      </c>
      <c r="G2478" s="2">
        <f t="shared" si="381"/>
        <v>0</v>
      </c>
      <c r="H2478">
        <v>57.2</v>
      </c>
      <c r="I2478">
        <v>37.9</v>
      </c>
      <c r="J2478">
        <v>50.6</v>
      </c>
      <c r="K2478">
        <v>42.5</v>
      </c>
      <c r="L2478">
        <v>70.7</v>
      </c>
      <c r="M2478" s="2">
        <f t="shared" si="382"/>
        <v>0</v>
      </c>
      <c r="N2478">
        <v>0</v>
      </c>
      <c r="O2478" s="2">
        <f t="shared" si="383"/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25.3</v>
      </c>
      <c r="V2478" s="2">
        <f t="shared" si="384"/>
        <v>1</v>
      </c>
      <c r="W2478">
        <v>20.7</v>
      </c>
      <c r="X2478" s="2">
        <f t="shared" si="385"/>
        <v>1</v>
      </c>
      <c r="Y2478">
        <v>312</v>
      </c>
      <c r="Z2478" s="2" t="str">
        <f>CHOOSE(MATCH(Y2478,{0;11;80;111;161;191;241;281;341},1),"North","NorthEast","East","SouthEast","South","SouthWest","West","NorthWest","North")</f>
        <v>NorthWest</v>
      </c>
      <c r="AA2478" s="4">
        <f>CHOOSE(MATCH(Z2478,{"South";"SouthEast";"SouthWest";"North";"NorthEast";"East";"West";"NorthWest"},0),1,2,3,4,5,6,7,8)</f>
        <v>8</v>
      </c>
      <c r="AB2478" s="2">
        <f t="shared" si="386"/>
        <v>1</v>
      </c>
      <c r="AC2478">
        <v>1016.3</v>
      </c>
      <c r="AD2478" t="s">
        <v>2018</v>
      </c>
      <c r="AE2478" s="2">
        <f t="shared" si="387"/>
        <v>1</v>
      </c>
      <c r="AF2478" t="s">
        <v>3373</v>
      </c>
      <c r="AG2478" s="2">
        <f t="shared" si="388"/>
        <v>1</v>
      </c>
      <c r="AH2478" s="2">
        <f t="shared" si="389"/>
        <v>0</v>
      </c>
      <c r="AI2478" s="3">
        <v>156.00000000558791</v>
      </c>
      <c r="AJ2478" s="2">
        <v>0</v>
      </c>
      <c r="AK2478">
        <v>0</v>
      </c>
      <c r="AL2478">
        <v>5</v>
      </c>
      <c r="AM2478">
        <v>0</v>
      </c>
      <c r="AN2478" s="2">
        <f>IF((2*G2478+M2478-O2478+3*V2478+2*AB2478+2*AE2478+2*AH2478+3*AJ2478)&gt;=7,1,0)</f>
        <v>0</v>
      </c>
    </row>
    <row r="2479" spans="1:40" x14ac:dyDescent="0.25">
      <c r="A2479" t="s">
        <v>27</v>
      </c>
      <c r="B2479" s="1">
        <v>44578</v>
      </c>
      <c r="C2479" s="6">
        <f t="shared" si="380"/>
        <v>2022</v>
      </c>
      <c r="D2479">
        <v>57.2</v>
      </c>
      <c r="E2479">
        <v>42.8</v>
      </c>
      <c r="F2479">
        <v>52</v>
      </c>
      <c r="G2479" s="2">
        <f t="shared" si="381"/>
        <v>0</v>
      </c>
      <c r="H2479">
        <v>57.2</v>
      </c>
      <c r="I2479">
        <v>39.200000000000003</v>
      </c>
      <c r="J2479">
        <v>51.1</v>
      </c>
      <c r="K2479">
        <v>40.299999999999997</v>
      </c>
      <c r="L2479">
        <v>64.8</v>
      </c>
      <c r="M2479" s="2">
        <f t="shared" si="382"/>
        <v>1</v>
      </c>
      <c r="N2479">
        <v>0</v>
      </c>
      <c r="O2479" s="2">
        <f t="shared" si="383"/>
        <v>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17.7</v>
      </c>
      <c r="V2479" s="2">
        <f t="shared" si="384"/>
        <v>1</v>
      </c>
      <c r="W2479">
        <v>12.8</v>
      </c>
      <c r="X2479" s="2">
        <f t="shared" si="385"/>
        <v>0</v>
      </c>
      <c r="Y2479">
        <v>15.3</v>
      </c>
      <c r="Z2479" s="2" t="str">
        <f>CHOOSE(MATCH(Y2479,{0;11;80;111;161;191;241;281;341},1),"North","NorthEast","East","SouthEast","South","SouthWest","West","NorthWest","North")</f>
        <v>NorthEast</v>
      </c>
      <c r="AA2479" s="4">
        <f>CHOOSE(MATCH(Z2479,{"South";"SouthEast";"SouthWest";"North";"NorthEast";"East";"West";"NorthWest"},0),1,2,3,4,5,6,7,8)</f>
        <v>5</v>
      </c>
      <c r="AB2479" s="2">
        <f t="shared" si="386"/>
        <v>1</v>
      </c>
      <c r="AC2479">
        <v>1023.5</v>
      </c>
      <c r="AD2479" t="s">
        <v>1165</v>
      </c>
      <c r="AE2479" s="2">
        <f t="shared" si="387"/>
        <v>0</v>
      </c>
      <c r="AF2479" t="s">
        <v>3374</v>
      </c>
      <c r="AG2479" s="2">
        <f t="shared" si="388"/>
        <v>1</v>
      </c>
      <c r="AH2479" s="2">
        <f t="shared" si="389"/>
        <v>0</v>
      </c>
      <c r="AI2479" s="3">
        <v>169.99999999883579</v>
      </c>
      <c r="AJ2479" s="2">
        <v>0</v>
      </c>
      <c r="AK2479">
        <v>0</v>
      </c>
      <c r="AL2479">
        <v>0.5</v>
      </c>
      <c r="AM2479">
        <v>0</v>
      </c>
      <c r="AN2479" s="2">
        <f>IF((2*G2479+M2479-O2479+3*V2479+2*AB2479+2*AE2479+2*AH2479+3*AJ2479)&gt;=7,1,0)</f>
        <v>0</v>
      </c>
    </row>
    <row r="2480" spans="1:40" x14ac:dyDescent="0.25">
      <c r="A2480" t="s">
        <v>27</v>
      </c>
      <c r="B2480" s="1">
        <v>44587</v>
      </c>
      <c r="C2480" s="6">
        <f t="shared" si="380"/>
        <v>2022</v>
      </c>
      <c r="D2480">
        <v>46.4</v>
      </c>
      <c r="E2480">
        <v>39.200000000000003</v>
      </c>
      <c r="F2480">
        <v>43.8</v>
      </c>
      <c r="G2480" s="2">
        <f t="shared" si="381"/>
        <v>0</v>
      </c>
      <c r="H2480">
        <v>39.799999999999997</v>
      </c>
      <c r="I2480">
        <v>30.5</v>
      </c>
      <c r="J2480">
        <v>35.700000000000003</v>
      </c>
      <c r="K2480">
        <v>34.1</v>
      </c>
      <c r="L2480">
        <v>70</v>
      </c>
      <c r="M2480" s="2">
        <f t="shared" si="382"/>
        <v>0</v>
      </c>
      <c r="N2480">
        <v>9.7000000000000003E-2</v>
      </c>
      <c r="O2480" s="2">
        <f t="shared" si="383"/>
        <v>0</v>
      </c>
      <c r="P2480">
        <v>100</v>
      </c>
      <c r="Q2480">
        <v>12.5</v>
      </c>
      <c r="R2480" t="s">
        <v>182</v>
      </c>
      <c r="S2480">
        <v>0</v>
      </c>
      <c r="T2480">
        <v>0.5</v>
      </c>
      <c r="U2480">
        <v>38</v>
      </c>
      <c r="V2480" s="2">
        <f t="shared" si="384"/>
        <v>1</v>
      </c>
      <c r="W2480">
        <v>25.3</v>
      </c>
      <c r="X2480" s="2">
        <f t="shared" si="385"/>
        <v>1</v>
      </c>
      <c r="Y2480">
        <v>333.8</v>
      </c>
      <c r="Z2480" s="2" t="str">
        <f>CHOOSE(MATCH(Y2480,{0;11;80;111;161;191;241;281;341},1),"North","NorthEast","East","SouthEast","South","SouthWest","West","NorthWest","North")</f>
        <v>NorthWest</v>
      </c>
      <c r="AA2480" s="4">
        <f>CHOOSE(MATCH(Z2480,{"South";"SouthEast";"SouthWest";"North";"NorthEast";"East";"West";"NorthWest"},0),1,2,3,4,5,6,7,8)</f>
        <v>8</v>
      </c>
      <c r="AB2480" s="2">
        <f t="shared" si="386"/>
        <v>1</v>
      </c>
      <c r="AC2480">
        <v>1020.4</v>
      </c>
      <c r="AD2480" t="s">
        <v>3375</v>
      </c>
      <c r="AE2480" s="2">
        <f t="shared" si="387"/>
        <v>1</v>
      </c>
      <c r="AF2480" t="s">
        <v>3376</v>
      </c>
      <c r="AG2480" s="2">
        <f t="shared" si="388"/>
        <v>1</v>
      </c>
      <c r="AH2480" s="2">
        <f t="shared" si="389"/>
        <v>0</v>
      </c>
      <c r="AI2480" s="3">
        <v>165.99999999627471</v>
      </c>
      <c r="AJ2480" s="2">
        <v>0</v>
      </c>
      <c r="AK2480">
        <v>0</v>
      </c>
      <c r="AL2480">
        <v>1.5</v>
      </c>
      <c r="AM2480">
        <v>0</v>
      </c>
      <c r="AN2480" s="2">
        <f>IF((2*G2480+M2480-O2480+3*V2480+2*AB2480+2*AE2480+2*AH2480+3*AJ2480)&gt;=7,1,0)</f>
        <v>1</v>
      </c>
    </row>
    <row r="2481" spans="1:40" x14ac:dyDescent="0.25">
      <c r="A2481" t="s">
        <v>27</v>
      </c>
      <c r="B2481" s="1">
        <v>44589</v>
      </c>
      <c r="C2481" s="6">
        <f t="shared" si="380"/>
        <v>2022</v>
      </c>
      <c r="D2481">
        <v>55.4</v>
      </c>
      <c r="E2481">
        <v>40.9</v>
      </c>
      <c r="F2481">
        <v>46.3</v>
      </c>
      <c r="G2481" s="2">
        <f t="shared" si="381"/>
        <v>0</v>
      </c>
      <c r="H2481">
        <v>55.4</v>
      </c>
      <c r="I2481">
        <v>34.299999999999997</v>
      </c>
      <c r="J2481">
        <v>42.7</v>
      </c>
      <c r="K2481">
        <v>38.700000000000003</v>
      </c>
      <c r="L2481">
        <v>75.599999999999994</v>
      </c>
      <c r="M2481" s="2">
        <f t="shared" si="382"/>
        <v>0</v>
      </c>
      <c r="N2481">
        <v>0</v>
      </c>
      <c r="O2481" s="2">
        <f t="shared" si="383"/>
        <v>1</v>
      </c>
      <c r="P2481">
        <v>0</v>
      </c>
      <c r="Q2481">
        <v>0</v>
      </c>
      <c r="R2481">
        <v>0</v>
      </c>
      <c r="S2481">
        <v>0</v>
      </c>
      <c r="T2481">
        <v>0.2</v>
      </c>
      <c r="U2481">
        <v>17.7</v>
      </c>
      <c r="V2481" s="2">
        <f t="shared" si="384"/>
        <v>1</v>
      </c>
      <c r="W2481">
        <v>11.4</v>
      </c>
      <c r="X2481" s="2">
        <f t="shared" si="385"/>
        <v>0</v>
      </c>
      <c r="Y2481">
        <v>179</v>
      </c>
      <c r="Z2481" s="2" t="str">
        <f>CHOOSE(MATCH(Y2481,{0;11;80;111;161;191;241;281;341},1),"North","NorthEast","East","SouthEast","South","SouthWest","West","NorthWest","North")</f>
        <v>South</v>
      </c>
      <c r="AA2481" s="4">
        <f>CHOOSE(MATCH(Z2481,{"South";"SouthEast";"SouthWest";"North";"NorthEast";"East";"West";"NorthWest"},0),1,2,3,4,5,6,7,8)</f>
        <v>1</v>
      </c>
      <c r="AB2481" s="2">
        <f t="shared" si="386"/>
        <v>0</v>
      </c>
      <c r="AC2481">
        <v>1021.8</v>
      </c>
      <c r="AD2481" t="s">
        <v>3071</v>
      </c>
      <c r="AE2481" s="2">
        <f t="shared" si="387"/>
        <v>1</v>
      </c>
      <c r="AF2481" t="s">
        <v>3377</v>
      </c>
      <c r="AG2481" s="2">
        <f t="shared" si="388"/>
        <v>1</v>
      </c>
      <c r="AH2481" s="2">
        <f t="shared" si="389"/>
        <v>0</v>
      </c>
      <c r="AI2481" s="3">
        <v>145.00000000116421</v>
      </c>
      <c r="AJ2481" s="2">
        <v>0</v>
      </c>
      <c r="AK2481">
        <v>0</v>
      </c>
      <c r="AL2481">
        <v>25</v>
      </c>
      <c r="AM2481">
        <v>0</v>
      </c>
      <c r="AN2481" s="2">
        <f>IF((2*G2481+M2481-O2481+3*V2481+2*AB2481+2*AE2481+2*AH2481+3*AJ2481)&gt;=7,1,0)</f>
        <v>0</v>
      </c>
    </row>
    <row r="2482" spans="1:40" x14ac:dyDescent="0.25">
      <c r="A2482" t="s">
        <v>27</v>
      </c>
      <c r="B2482" s="1">
        <v>44598</v>
      </c>
      <c r="C2482" s="6">
        <f t="shared" si="380"/>
        <v>2022</v>
      </c>
      <c r="D2482">
        <v>62.6</v>
      </c>
      <c r="E2482">
        <v>50</v>
      </c>
      <c r="F2482">
        <v>55.8</v>
      </c>
      <c r="G2482" s="2">
        <f t="shared" si="381"/>
        <v>0</v>
      </c>
      <c r="H2482">
        <v>62.6</v>
      </c>
      <c r="I2482">
        <v>45.2</v>
      </c>
      <c r="J2482">
        <v>55.6</v>
      </c>
      <c r="K2482">
        <v>50.2</v>
      </c>
      <c r="L2482">
        <v>81.8</v>
      </c>
      <c r="M2482" s="2">
        <f t="shared" si="382"/>
        <v>0</v>
      </c>
      <c r="N2482">
        <v>0</v>
      </c>
      <c r="O2482" s="2">
        <f t="shared" si="383"/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18.3</v>
      </c>
      <c r="V2482" s="2">
        <f t="shared" si="384"/>
        <v>1</v>
      </c>
      <c r="W2482">
        <v>12.7</v>
      </c>
      <c r="X2482" s="2">
        <f t="shared" si="385"/>
        <v>0</v>
      </c>
      <c r="Y2482">
        <v>142.9</v>
      </c>
      <c r="Z2482" s="2" t="str">
        <f>CHOOSE(MATCH(Y2482,{0;11;80;111;161;191;241;281;341},1),"North","NorthEast","East","SouthEast","South","SouthWest","West","NorthWest","North")</f>
        <v>SouthEast</v>
      </c>
      <c r="AA2482" s="4">
        <f>CHOOSE(MATCH(Z2482,{"South";"SouthEast";"SouthWest";"North";"NorthEast";"East";"West";"NorthWest"},0),1,2,3,4,5,6,7,8)</f>
        <v>2</v>
      </c>
      <c r="AB2482" s="2">
        <f t="shared" si="386"/>
        <v>0</v>
      </c>
      <c r="AC2482">
        <v>1021.7</v>
      </c>
      <c r="AD2482" t="s">
        <v>1776</v>
      </c>
      <c r="AE2482" s="2">
        <f t="shared" si="387"/>
        <v>1</v>
      </c>
      <c r="AF2482" t="s">
        <v>3378</v>
      </c>
      <c r="AG2482" s="2">
        <f t="shared" si="388"/>
        <v>2</v>
      </c>
      <c r="AH2482" s="2">
        <f t="shared" si="389"/>
        <v>0</v>
      </c>
      <c r="AI2482" s="3">
        <v>113.0000000016298</v>
      </c>
      <c r="AJ2482" s="2">
        <v>0</v>
      </c>
      <c r="AK2482">
        <v>0</v>
      </c>
      <c r="AL2482">
        <v>0.02</v>
      </c>
      <c r="AM2482">
        <v>0</v>
      </c>
      <c r="AN2482" s="2">
        <f>IF((2*G2482+M2482-O2482+3*V2482+2*AB2482+2*AE2482+2*AH2482+3*AJ2482)&gt;=7,1,0)</f>
        <v>0</v>
      </c>
    </row>
    <row r="2483" spans="1:40" x14ac:dyDescent="0.25">
      <c r="A2483" t="s">
        <v>27</v>
      </c>
      <c r="B2483" s="1">
        <v>44603</v>
      </c>
      <c r="C2483" s="6">
        <f t="shared" si="380"/>
        <v>2022</v>
      </c>
      <c r="D2483">
        <v>59</v>
      </c>
      <c r="E2483">
        <v>48.2</v>
      </c>
      <c r="F2483">
        <v>54.1</v>
      </c>
      <c r="G2483" s="2">
        <f t="shared" si="381"/>
        <v>0</v>
      </c>
      <c r="H2483">
        <v>59</v>
      </c>
      <c r="I2483">
        <v>45.6</v>
      </c>
      <c r="J2483">
        <v>53.7</v>
      </c>
      <c r="K2483">
        <v>44.3</v>
      </c>
      <c r="L2483">
        <v>70.3</v>
      </c>
      <c r="M2483" s="2">
        <f t="shared" si="382"/>
        <v>0</v>
      </c>
      <c r="N2483">
        <v>0</v>
      </c>
      <c r="O2483" s="2">
        <f t="shared" si="383"/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22.6</v>
      </c>
      <c r="V2483" s="2">
        <f t="shared" si="384"/>
        <v>1</v>
      </c>
      <c r="W2483">
        <v>16.100000000000001</v>
      </c>
      <c r="X2483" s="2">
        <f t="shared" si="385"/>
        <v>1</v>
      </c>
      <c r="Y2483">
        <v>312.8</v>
      </c>
      <c r="Z2483" s="2" t="str">
        <f>CHOOSE(MATCH(Y2483,{0;11;80;111;161;191;241;281;341},1),"North","NorthEast","East","SouthEast","South","SouthWest","West","NorthWest","North")</f>
        <v>NorthWest</v>
      </c>
      <c r="AA2483" s="4">
        <f>CHOOSE(MATCH(Z2483,{"South";"SouthEast";"SouthWest";"North";"NorthEast";"East";"West";"NorthWest"},0),1,2,3,4,5,6,7,8)</f>
        <v>8</v>
      </c>
      <c r="AB2483" s="2">
        <f t="shared" si="386"/>
        <v>1</v>
      </c>
      <c r="AC2483">
        <v>1024.4000000000001</v>
      </c>
      <c r="AD2483" t="s">
        <v>3379</v>
      </c>
      <c r="AE2483" s="2">
        <f t="shared" si="387"/>
        <v>1</v>
      </c>
      <c r="AF2483" t="s">
        <v>3380</v>
      </c>
      <c r="AG2483" s="2">
        <f t="shared" si="388"/>
        <v>2</v>
      </c>
      <c r="AH2483" s="2">
        <f t="shared" si="389"/>
        <v>0</v>
      </c>
      <c r="AI2483" s="3">
        <v>113.0000000016298</v>
      </c>
      <c r="AJ2483" s="2">
        <v>0</v>
      </c>
      <c r="AK2483">
        <v>0</v>
      </c>
      <c r="AL2483">
        <v>0.2</v>
      </c>
      <c r="AM2483">
        <v>0</v>
      </c>
      <c r="AN2483" s="2">
        <f>IF((2*G2483+M2483-O2483+3*V2483+2*AB2483+2*AE2483+2*AH2483+3*AJ2483)&gt;=7,1,0)</f>
        <v>0</v>
      </c>
    </row>
    <row r="2484" spans="1:40" x14ac:dyDescent="0.25">
      <c r="A2484" t="s">
        <v>27</v>
      </c>
      <c r="B2484" s="1">
        <v>44607</v>
      </c>
      <c r="C2484" s="6">
        <f t="shared" si="380"/>
        <v>2022</v>
      </c>
      <c r="D2484">
        <v>59</v>
      </c>
      <c r="E2484">
        <v>46.4</v>
      </c>
      <c r="F2484">
        <v>52.2</v>
      </c>
      <c r="G2484" s="2">
        <f t="shared" si="381"/>
        <v>0</v>
      </c>
      <c r="H2484">
        <v>59</v>
      </c>
      <c r="I2484">
        <v>44.2</v>
      </c>
      <c r="J2484">
        <v>51.2</v>
      </c>
      <c r="K2484">
        <v>44.8</v>
      </c>
      <c r="L2484">
        <v>76.5</v>
      </c>
      <c r="M2484" s="2">
        <f t="shared" si="382"/>
        <v>0</v>
      </c>
      <c r="N2484">
        <v>0</v>
      </c>
      <c r="O2484" s="2">
        <f t="shared" si="383"/>
        <v>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21.9</v>
      </c>
      <c r="V2484" s="2">
        <f t="shared" si="384"/>
        <v>1</v>
      </c>
      <c r="W2484">
        <v>9.1999999999999993</v>
      </c>
      <c r="X2484" s="2">
        <f t="shared" si="385"/>
        <v>0</v>
      </c>
      <c r="Y2484">
        <v>231</v>
      </c>
      <c r="Z2484" s="2" t="str">
        <f>CHOOSE(MATCH(Y2484,{0;11;80;111;161;191;241;281;341},1),"North","NorthEast","East","SouthEast","South","SouthWest","West","NorthWest","North")</f>
        <v>SouthWest</v>
      </c>
      <c r="AA2484" s="4">
        <f>CHOOSE(MATCH(Z2484,{"South";"SouthEast";"SouthWest";"North";"NorthEast";"East";"West";"NorthWest"},0),1,2,3,4,5,6,7,8)</f>
        <v>3</v>
      </c>
      <c r="AB2484" s="2">
        <f t="shared" si="386"/>
        <v>0</v>
      </c>
      <c r="AC2484">
        <v>1024.0999999999999</v>
      </c>
      <c r="AD2484" t="s">
        <v>2078</v>
      </c>
      <c r="AE2484" s="2">
        <f t="shared" si="387"/>
        <v>0</v>
      </c>
      <c r="AF2484" t="s">
        <v>3381</v>
      </c>
      <c r="AG2484" s="2">
        <f t="shared" si="388"/>
        <v>2</v>
      </c>
      <c r="AH2484" s="2">
        <f t="shared" si="389"/>
        <v>0</v>
      </c>
      <c r="AI2484" s="3">
        <v>100.0000000011642</v>
      </c>
      <c r="AJ2484" s="2">
        <v>0</v>
      </c>
      <c r="AK2484">
        <v>0</v>
      </c>
      <c r="AL2484">
        <v>1</v>
      </c>
      <c r="AM2484">
        <v>0</v>
      </c>
      <c r="AN2484" s="2">
        <f>IF((2*G2484+M2484-O2484+3*V2484+2*AB2484+2*AE2484+2*AH2484+3*AJ2484)&gt;=7,1,0)</f>
        <v>0</v>
      </c>
    </row>
    <row r="2485" spans="1:40" x14ac:dyDescent="0.25">
      <c r="A2485" t="s">
        <v>27</v>
      </c>
      <c r="B2485" s="1">
        <v>44616</v>
      </c>
      <c r="C2485" s="6">
        <f t="shared" si="380"/>
        <v>2022</v>
      </c>
      <c r="D2485">
        <v>55.4</v>
      </c>
      <c r="E2485">
        <v>50</v>
      </c>
      <c r="F2485">
        <v>53.5</v>
      </c>
      <c r="G2485" s="2">
        <f t="shared" si="381"/>
        <v>0</v>
      </c>
      <c r="H2485">
        <v>55.4</v>
      </c>
      <c r="I2485">
        <v>50</v>
      </c>
      <c r="J2485">
        <v>53.5</v>
      </c>
      <c r="K2485">
        <v>47.8</v>
      </c>
      <c r="L2485">
        <v>81.3</v>
      </c>
      <c r="M2485" s="2">
        <f t="shared" si="382"/>
        <v>0</v>
      </c>
      <c r="N2485">
        <v>0.84699999999999998</v>
      </c>
      <c r="O2485" s="2">
        <f t="shared" si="383"/>
        <v>0</v>
      </c>
      <c r="P2485">
        <v>100</v>
      </c>
      <c r="Q2485">
        <v>16.670000000000002</v>
      </c>
      <c r="R2485" t="s">
        <v>182</v>
      </c>
      <c r="S2485">
        <v>0</v>
      </c>
      <c r="T2485">
        <v>0</v>
      </c>
      <c r="U2485">
        <v>40.299999999999997</v>
      </c>
      <c r="V2485" s="2">
        <f t="shared" si="384"/>
        <v>1</v>
      </c>
      <c r="W2485">
        <v>28.9</v>
      </c>
      <c r="X2485" s="2">
        <f t="shared" si="385"/>
        <v>1</v>
      </c>
      <c r="Y2485">
        <v>339.4</v>
      </c>
      <c r="Z2485" s="2" t="str">
        <f>CHOOSE(MATCH(Y2485,{0;11;80;111;161;191;241;281;341},1),"North","NorthEast","East","SouthEast","South","SouthWest","West","NorthWest","North")</f>
        <v>NorthWest</v>
      </c>
      <c r="AA2485" s="4">
        <f>CHOOSE(MATCH(Z2485,{"South";"SouthEast";"SouthWest";"North";"NorthEast";"East";"West";"NorthWest"},0),1,2,3,4,5,6,7,8)</f>
        <v>8</v>
      </c>
      <c r="AB2485" s="2">
        <f t="shared" si="386"/>
        <v>1</v>
      </c>
      <c r="AC2485">
        <v>1012.2</v>
      </c>
      <c r="AD2485" t="s">
        <v>2004</v>
      </c>
      <c r="AE2485" s="2">
        <f t="shared" si="387"/>
        <v>1</v>
      </c>
      <c r="AF2485" t="s">
        <v>3382</v>
      </c>
      <c r="AG2485" s="2">
        <f t="shared" si="388"/>
        <v>2</v>
      </c>
      <c r="AH2485" s="2">
        <f t="shared" si="389"/>
        <v>0</v>
      </c>
      <c r="AI2485" s="3">
        <v>33.000000002793968</v>
      </c>
      <c r="AJ2485" s="2">
        <v>0</v>
      </c>
      <c r="AK2485">
        <v>0</v>
      </c>
      <c r="AL2485">
        <v>0.2</v>
      </c>
      <c r="AM2485">
        <v>0</v>
      </c>
      <c r="AN2485" s="2">
        <f>IF((2*G2485+M2485-O2485+3*V2485+2*AB2485+2*AE2485+2*AH2485+3*AJ2485)&gt;=7,1,0)</f>
        <v>1</v>
      </c>
    </row>
    <row r="2486" spans="1:40" x14ac:dyDescent="0.25">
      <c r="A2486" t="s">
        <v>27</v>
      </c>
      <c r="B2486" s="1">
        <v>44616</v>
      </c>
      <c r="C2486" s="6">
        <f t="shared" si="380"/>
        <v>2022</v>
      </c>
      <c r="D2486">
        <v>55.4</v>
      </c>
      <c r="E2486">
        <v>50</v>
      </c>
      <c r="F2486">
        <v>53.5</v>
      </c>
      <c r="G2486" s="2">
        <f t="shared" si="381"/>
        <v>0</v>
      </c>
      <c r="H2486">
        <v>55.4</v>
      </c>
      <c r="I2486">
        <v>50</v>
      </c>
      <c r="J2486">
        <v>53.5</v>
      </c>
      <c r="K2486">
        <v>47.8</v>
      </c>
      <c r="L2486">
        <v>81.3</v>
      </c>
      <c r="M2486" s="2">
        <f t="shared" si="382"/>
        <v>0</v>
      </c>
      <c r="N2486">
        <v>0.84699999999999998</v>
      </c>
      <c r="O2486" s="2">
        <f t="shared" si="383"/>
        <v>0</v>
      </c>
      <c r="P2486">
        <v>100</v>
      </c>
      <c r="Q2486">
        <v>16.670000000000002</v>
      </c>
      <c r="R2486" t="s">
        <v>182</v>
      </c>
      <c r="S2486">
        <v>0</v>
      </c>
      <c r="T2486">
        <v>0</v>
      </c>
      <c r="U2486">
        <v>40.299999999999997</v>
      </c>
      <c r="V2486" s="2">
        <f t="shared" si="384"/>
        <v>1</v>
      </c>
      <c r="W2486">
        <v>28.9</v>
      </c>
      <c r="X2486" s="2">
        <f t="shared" si="385"/>
        <v>1</v>
      </c>
      <c r="Y2486">
        <v>339.4</v>
      </c>
      <c r="Z2486" s="2" t="str">
        <f>CHOOSE(MATCH(Y2486,{0;11;80;111;161;191;241;281;341},1),"North","NorthEast","East","SouthEast","South","SouthWest","West","NorthWest","North")</f>
        <v>NorthWest</v>
      </c>
      <c r="AA2486" s="4">
        <f>CHOOSE(MATCH(Z2486,{"South";"SouthEast";"SouthWest";"North";"NorthEast";"East";"West";"NorthWest"},0),1,2,3,4,5,6,7,8)</f>
        <v>8</v>
      </c>
      <c r="AB2486" s="2">
        <f t="shared" si="386"/>
        <v>1</v>
      </c>
      <c r="AC2486">
        <v>1012.2</v>
      </c>
      <c r="AD2486" t="s">
        <v>3383</v>
      </c>
      <c r="AE2486" s="2">
        <f t="shared" si="387"/>
        <v>1</v>
      </c>
      <c r="AF2486" t="s">
        <v>3384</v>
      </c>
      <c r="AG2486" s="2">
        <f t="shared" si="388"/>
        <v>2</v>
      </c>
      <c r="AH2486" s="2">
        <f t="shared" si="389"/>
        <v>0</v>
      </c>
      <c r="AI2486" s="3">
        <v>47.999999999301508</v>
      </c>
      <c r="AJ2486" s="2">
        <v>0</v>
      </c>
      <c r="AK2486">
        <v>0</v>
      </c>
      <c r="AL2486">
        <v>0.5</v>
      </c>
      <c r="AM2486">
        <v>0</v>
      </c>
      <c r="AN2486" s="2">
        <f>IF((2*G2486+M2486-O2486+3*V2486+2*AB2486+2*AE2486+2*AH2486+3*AJ2486)&gt;=7,1,0)</f>
        <v>1</v>
      </c>
    </row>
    <row r="2487" spans="1:40" x14ac:dyDescent="0.25">
      <c r="A2487" t="s">
        <v>27</v>
      </c>
      <c r="B2487" s="1">
        <v>44617</v>
      </c>
      <c r="C2487" s="6">
        <f t="shared" si="380"/>
        <v>2022</v>
      </c>
      <c r="D2487">
        <v>55.4</v>
      </c>
      <c r="E2487">
        <v>46.4</v>
      </c>
      <c r="F2487">
        <v>52.6</v>
      </c>
      <c r="G2487" s="2">
        <f t="shared" si="381"/>
        <v>0</v>
      </c>
      <c r="H2487">
        <v>55.4</v>
      </c>
      <c r="I2487">
        <v>44.2</v>
      </c>
      <c r="J2487">
        <v>52.3</v>
      </c>
      <c r="K2487">
        <v>40.799999999999997</v>
      </c>
      <c r="L2487">
        <v>64.900000000000006</v>
      </c>
      <c r="M2487" s="2">
        <f t="shared" si="382"/>
        <v>1</v>
      </c>
      <c r="N2487">
        <v>8.4000000000000005E-2</v>
      </c>
      <c r="O2487" s="2">
        <f t="shared" si="383"/>
        <v>0</v>
      </c>
      <c r="P2487">
        <v>100</v>
      </c>
      <c r="Q2487">
        <v>8.33</v>
      </c>
      <c r="R2487" t="s">
        <v>182</v>
      </c>
      <c r="S2487">
        <v>0</v>
      </c>
      <c r="T2487">
        <v>0</v>
      </c>
      <c r="U2487">
        <v>44.3</v>
      </c>
      <c r="V2487" s="2">
        <f t="shared" si="384"/>
        <v>1</v>
      </c>
      <c r="W2487">
        <v>28.9</v>
      </c>
      <c r="X2487" s="2">
        <f t="shared" si="385"/>
        <v>1</v>
      </c>
      <c r="Y2487">
        <v>317.5</v>
      </c>
      <c r="Z2487" s="2" t="str">
        <f>CHOOSE(MATCH(Y2487,{0;11;80;111;161;191;241;281;341},1),"North","NorthEast","East","SouthEast","South","SouthWest","West","NorthWest","North")</f>
        <v>NorthWest</v>
      </c>
      <c r="AA2487" s="4">
        <f>CHOOSE(MATCH(Z2487,{"South";"SouthEast";"SouthWest";"North";"NorthEast";"East";"West";"NorthWest"},0),1,2,3,4,5,6,7,8)</f>
        <v>8</v>
      </c>
      <c r="AB2487" s="2">
        <f t="shared" si="386"/>
        <v>1</v>
      </c>
      <c r="AC2487">
        <v>1017.5</v>
      </c>
      <c r="AD2487" t="s">
        <v>2338</v>
      </c>
      <c r="AE2487" s="2">
        <f t="shared" si="387"/>
        <v>1</v>
      </c>
      <c r="AF2487" t="s">
        <v>3385</v>
      </c>
      <c r="AG2487" s="2">
        <f t="shared" si="388"/>
        <v>2</v>
      </c>
      <c r="AH2487" s="2">
        <f t="shared" si="389"/>
        <v>0</v>
      </c>
      <c r="AI2487" s="3">
        <v>155.99999999511061</v>
      </c>
      <c r="AJ2487" s="2">
        <v>0</v>
      </c>
      <c r="AK2487">
        <v>0</v>
      </c>
      <c r="AL2487">
        <v>2</v>
      </c>
      <c r="AM2487">
        <v>0</v>
      </c>
      <c r="AN2487" s="2">
        <f>IF((2*G2487+M2487-O2487+3*V2487+2*AB2487+2*AE2487+2*AH2487+3*AJ2487)&gt;=7,1,0)</f>
        <v>1</v>
      </c>
    </row>
    <row r="2488" spans="1:40" x14ac:dyDescent="0.25">
      <c r="A2488" t="s">
        <v>27</v>
      </c>
      <c r="B2488" s="1">
        <v>44620</v>
      </c>
      <c r="C2488" s="6">
        <f t="shared" si="380"/>
        <v>2022</v>
      </c>
      <c r="D2488">
        <v>60.8</v>
      </c>
      <c r="E2488">
        <v>48.2</v>
      </c>
      <c r="F2488">
        <v>54.9</v>
      </c>
      <c r="G2488" s="2">
        <f t="shared" si="381"/>
        <v>0</v>
      </c>
      <c r="H2488">
        <v>60.8</v>
      </c>
      <c r="I2488">
        <v>44.6</v>
      </c>
      <c r="J2488">
        <v>54.7</v>
      </c>
      <c r="K2488">
        <v>46</v>
      </c>
      <c r="L2488">
        <v>72.5</v>
      </c>
      <c r="M2488" s="2">
        <f t="shared" si="382"/>
        <v>0</v>
      </c>
      <c r="N2488">
        <v>0</v>
      </c>
      <c r="O2488" s="2">
        <f t="shared" si="383"/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26.4</v>
      </c>
      <c r="V2488" s="2">
        <f t="shared" si="384"/>
        <v>1</v>
      </c>
      <c r="W2488">
        <v>15</v>
      </c>
      <c r="X2488" s="2">
        <f t="shared" si="385"/>
        <v>0</v>
      </c>
      <c r="Y2488">
        <v>237.3</v>
      </c>
      <c r="Z2488" s="2" t="str">
        <f>CHOOSE(MATCH(Y2488,{0;11;80;111;161;191;241;281;341},1),"North","NorthEast","East","SouthEast","South","SouthWest","West","NorthWest","North")</f>
        <v>SouthWest</v>
      </c>
      <c r="AA2488" s="4">
        <f>CHOOSE(MATCH(Z2488,{"South";"SouthEast";"SouthWest";"North";"NorthEast";"East";"West";"NorthWest"},0),1,2,3,4,5,6,7,8)</f>
        <v>3</v>
      </c>
      <c r="AB2488" s="2">
        <f t="shared" si="386"/>
        <v>0</v>
      </c>
      <c r="AC2488">
        <v>1017.9</v>
      </c>
      <c r="AD2488" t="s">
        <v>1123</v>
      </c>
      <c r="AE2488" s="2">
        <f t="shared" si="387"/>
        <v>1</v>
      </c>
      <c r="AF2488" t="s">
        <v>3386</v>
      </c>
      <c r="AG2488" s="2">
        <f t="shared" si="388"/>
        <v>2</v>
      </c>
      <c r="AH2488" s="2">
        <f t="shared" si="389"/>
        <v>0</v>
      </c>
      <c r="AI2488" s="3">
        <v>287.0000000030268</v>
      </c>
      <c r="AJ2488" s="2">
        <v>0</v>
      </c>
      <c r="AK2488">
        <v>15</v>
      </c>
      <c r="AL2488">
        <v>0</v>
      </c>
      <c r="AM2488">
        <v>0</v>
      </c>
      <c r="AN2488" s="2">
        <f>IF((2*G2488+M2488-O2488+3*V2488+2*AB2488+2*AE2488+2*AH2488+3*AJ2488)&gt;=7,1,0)</f>
        <v>0</v>
      </c>
    </row>
    <row r="2489" spans="1:40" x14ac:dyDescent="0.25">
      <c r="A2489" t="s">
        <v>27</v>
      </c>
      <c r="B2489" s="1">
        <v>44635</v>
      </c>
      <c r="C2489" s="6">
        <f t="shared" si="380"/>
        <v>2022</v>
      </c>
      <c r="D2489">
        <v>53.6</v>
      </c>
      <c r="E2489">
        <v>48.2</v>
      </c>
      <c r="F2489">
        <v>51.1</v>
      </c>
      <c r="G2489" s="2">
        <f t="shared" si="381"/>
        <v>0</v>
      </c>
      <c r="H2489">
        <v>53.6</v>
      </c>
      <c r="I2489">
        <v>41.3</v>
      </c>
      <c r="J2489">
        <v>50.1</v>
      </c>
      <c r="K2489">
        <v>34.1</v>
      </c>
      <c r="L2489">
        <v>52.2</v>
      </c>
      <c r="M2489" s="2">
        <f t="shared" si="382"/>
        <v>1</v>
      </c>
      <c r="N2489">
        <v>0</v>
      </c>
      <c r="O2489" s="2">
        <f t="shared" si="383"/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34.4</v>
      </c>
      <c r="V2489" s="2">
        <f t="shared" si="384"/>
        <v>1</v>
      </c>
      <c r="W2489">
        <v>20.8</v>
      </c>
      <c r="X2489" s="2">
        <f t="shared" si="385"/>
        <v>1</v>
      </c>
      <c r="Y2489">
        <v>329.2</v>
      </c>
      <c r="Z2489" s="2" t="str">
        <f>CHOOSE(MATCH(Y2489,{0;11;80;111;161;191;241;281;341},1),"North","NorthEast","East","SouthEast","South","SouthWest","West","NorthWest","North")</f>
        <v>NorthWest</v>
      </c>
      <c r="AA2489" s="4">
        <f>CHOOSE(MATCH(Z2489,{"South";"SouthEast";"SouthWest";"North";"NorthEast";"East";"West";"NorthWest"},0),1,2,3,4,5,6,7,8)</f>
        <v>8</v>
      </c>
      <c r="AB2489" s="2">
        <f t="shared" si="386"/>
        <v>1</v>
      </c>
      <c r="AC2489">
        <v>1033</v>
      </c>
      <c r="AD2489" t="s">
        <v>2031</v>
      </c>
      <c r="AE2489" s="2">
        <f t="shared" si="387"/>
        <v>1</v>
      </c>
      <c r="AF2489" t="s">
        <v>3387</v>
      </c>
      <c r="AG2489" s="2">
        <f t="shared" si="388"/>
        <v>3</v>
      </c>
      <c r="AH2489" s="2">
        <f t="shared" si="389"/>
        <v>0</v>
      </c>
      <c r="AI2489" s="3">
        <v>90</v>
      </c>
      <c r="AJ2489" s="2">
        <v>0</v>
      </c>
      <c r="AK2489">
        <v>0</v>
      </c>
      <c r="AL2489">
        <v>0.05</v>
      </c>
      <c r="AM2489">
        <v>0</v>
      </c>
      <c r="AN2489" s="2">
        <f>IF((2*G2489+M2489-O2489+3*V2489+2*AB2489+2*AE2489+2*AH2489+3*AJ2489)&gt;=7,1,0)</f>
        <v>1</v>
      </c>
    </row>
    <row r="2490" spans="1:40" x14ac:dyDescent="0.25">
      <c r="A2490" t="s">
        <v>27</v>
      </c>
      <c r="B2490" s="1">
        <v>44639</v>
      </c>
      <c r="C2490" s="6">
        <f t="shared" si="380"/>
        <v>2022</v>
      </c>
      <c r="D2490">
        <v>48.1</v>
      </c>
      <c r="E2490">
        <v>44.6</v>
      </c>
      <c r="F2490">
        <v>46.1</v>
      </c>
      <c r="G2490" s="2">
        <f t="shared" si="381"/>
        <v>0</v>
      </c>
      <c r="H2490">
        <v>41.1</v>
      </c>
      <c r="I2490">
        <v>35.299999999999997</v>
      </c>
      <c r="J2490">
        <v>38.6</v>
      </c>
      <c r="K2490">
        <v>26.8</v>
      </c>
      <c r="L2490">
        <v>47.7</v>
      </c>
      <c r="M2490" s="2">
        <f t="shared" si="382"/>
        <v>1</v>
      </c>
      <c r="N2490">
        <v>0</v>
      </c>
      <c r="O2490" s="2">
        <f t="shared" si="383"/>
        <v>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42.3</v>
      </c>
      <c r="V2490" s="2">
        <f t="shared" si="384"/>
        <v>1</v>
      </c>
      <c r="W2490">
        <v>26.4</v>
      </c>
      <c r="X2490" s="2">
        <f t="shared" si="385"/>
        <v>1</v>
      </c>
      <c r="Y2490">
        <v>4</v>
      </c>
      <c r="Z2490" s="2" t="str">
        <f>CHOOSE(MATCH(Y2490,{0;11;80;111;161;191;241;281;341},1),"North","NorthEast","East","SouthEast","South","SouthWest","West","NorthWest","North")</f>
        <v>North</v>
      </c>
      <c r="AA2490" s="4">
        <f>CHOOSE(MATCH(Z2490,{"South";"SouthEast";"SouthWest";"North";"NorthEast";"East";"West";"NorthWest"},0),1,2,3,4,5,6,7,8)</f>
        <v>4</v>
      </c>
      <c r="AB2490" s="2">
        <f t="shared" si="386"/>
        <v>1</v>
      </c>
      <c r="AC2490">
        <v>1031.2</v>
      </c>
      <c r="AD2490" t="s">
        <v>2742</v>
      </c>
      <c r="AE2490" s="2">
        <f t="shared" si="387"/>
        <v>0</v>
      </c>
      <c r="AF2490" t="s">
        <v>3388</v>
      </c>
      <c r="AG2490" s="2">
        <f t="shared" si="388"/>
        <v>3</v>
      </c>
      <c r="AH2490" s="2">
        <f t="shared" si="389"/>
        <v>0</v>
      </c>
      <c r="AI2490" s="3">
        <v>249.00000000488939</v>
      </c>
      <c r="AJ2490" s="2">
        <v>0</v>
      </c>
      <c r="AK2490">
        <v>0</v>
      </c>
      <c r="AL2490">
        <v>0.1</v>
      </c>
      <c r="AM2490">
        <v>0</v>
      </c>
      <c r="AN2490" s="2">
        <f>IF((2*G2490+M2490-O2490+3*V2490+2*AB2490+2*AE2490+2*AH2490+3*AJ2490)&gt;=7,1,0)</f>
        <v>0</v>
      </c>
    </row>
    <row r="2491" spans="1:40" x14ac:dyDescent="0.25">
      <c r="A2491" t="s">
        <v>27</v>
      </c>
      <c r="B2491" s="1">
        <v>44646</v>
      </c>
      <c r="C2491" s="6">
        <f t="shared" si="380"/>
        <v>2022</v>
      </c>
      <c r="D2491">
        <v>64.400000000000006</v>
      </c>
      <c r="E2491">
        <v>48.1</v>
      </c>
      <c r="F2491">
        <v>55.5</v>
      </c>
      <c r="G2491" s="2">
        <f t="shared" si="381"/>
        <v>0</v>
      </c>
      <c r="H2491">
        <v>64.400000000000006</v>
      </c>
      <c r="I2491">
        <v>48.1</v>
      </c>
      <c r="J2491">
        <v>55.5</v>
      </c>
      <c r="K2491">
        <v>45.6</v>
      </c>
      <c r="L2491">
        <v>70.2</v>
      </c>
      <c r="M2491" s="2">
        <f t="shared" si="382"/>
        <v>0</v>
      </c>
      <c r="N2491">
        <v>0</v>
      </c>
      <c r="O2491" s="2">
        <f t="shared" si="383"/>
        <v>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21.9</v>
      </c>
      <c r="V2491" s="2">
        <f t="shared" si="384"/>
        <v>1</v>
      </c>
      <c r="W2491">
        <v>11.4</v>
      </c>
      <c r="X2491" s="2">
        <f t="shared" si="385"/>
        <v>0</v>
      </c>
      <c r="Y2491">
        <v>312.8</v>
      </c>
      <c r="Z2491" s="2" t="str">
        <f>CHOOSE(MATCH(Y2491,{0;11;80;111;161;191;241;281;341},1),"North","NorthEast","East","SouthEast","South","SouthWest","West","NorthWest","North")</f>
        <v>NorthWest</v>
      </c>
      <c r="AA2491" s="4">
        <f>CHOOSE(MATCH(Z2491,{"South";"SouthEast";"SouthWest";"North";"NorthEast";"East";"West";"NorthWest"},0),1,2,3,4,5,6,7,8)</f>
        <v>8</v>
      </c>
      <c r="AB2491" s="2">
        <f t="shared" si="386"/>
        <v>1</v>
      </c>
      <c r="AC2491">
        <v>1026</v>
      </c>
      <c r="AD2491" t="s">
        <v>3389</v>
      </c>
      <c r="AE2491" s="2">
        <f t="shared" si="387"/>
        <v>1</v>
      </c>
      <c r="AF2491" t="s">
        <v>3390</v>
      </c>
      <c r="AG2491" s="2">
        <f t="shared" si="388"/>
        <v>3</v>
      </c>
      <c r="AH2491" s="2">
        <f t="shared" si="389"/>
        <v>0</v>
      </c>
      <c r="AI2491" s="3">
        <v>27.999999996973202</v>
      </c>
      <c r="AJ2491" s="2">
        <v>0</v>
      </c>
      <c r="AK2491">
        <v>0</v>
      </c>
      <c r="AL2491">
        <v>0.5</v>
      </c>
      <c r="AM2491">
        <v>0</v>
      </c>
      <c r="AN2491" s="2">
        <f>IF((2*G2491+M2491-O2491+3*V2491+2*AB2491+2*AE2491+2*AH2491+3*AJ2491)&gt;=7,1,0)</f>
        <v>0</v>
      </c>
    </row>
    <row r="2492" spans="1:40" x14ac:dyDescent="0.25">
      <c r="A2492" t="s">
        <v>27</v>
      </c>
      <c r="B2492" s="1">
        <v>44647</v>
      </c>
      <c r="C2492" s="6">
        <f t="shared" si="380"/>
        <v>2022</v>
      </c>
      <c r="D2492">
        <v>62.6</v>
      </c>
      <c r="E2492">
        <v>46.4</v>
      </c>
      <c r="F2492">
        <v>54.7</v>
      </c>
      <c r="G2492" s="2">
        <f t="shared" si="381"/>
        <v>0</v>
      </c>
      <c r="H2492">
        <v>62.6</v>
      </c>
      <c r="I2492">
        <v>44.2</v>
      </c>
      <c r="J2492">
        <v>54.6</v>
      </c>
      <c r="K2492">
        <v>40.9</v>
      </c>
      <c r="L2492">
        <v>60.9</v>
      </c>
      <c r="M2492" s="2">
        <f t="shared" si="382"/>
        <v>1</v>
      </c>
      <c r="N2492">
        <v>0</v>
      </c>
      <c r="O2492" s="2">
        <f t="shared" si="383"/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12.8</v>
      </c>
      <c r="V2492" s="2">
        <f t="shared" si="384"/>
        <v>1</v>
      </c>
      <c r="W2492">
        <v>5.8</v>
      </c>
      <c r="X2492" s="2">
        <f t="shared" si="385"/>
        <v>0</v>
      </c>
      <c r="Y2492">
        <v>354</v>
      </c>
      <c r="Z2492" s="2" t="str">
        <f>CHOOSE(MATCH(Y2492,{0;11;80;111;161;191;241;281;341},1),"North","NorthEast","East","SouthEast","South","SouthWest","West","NorthWest","North")</f>
        <v>North</v>
      </c>
      <c r="AA2492" s="4">
        <f>CHOOSE(MATCH(Z2492,{"South";"SouthEast";"SouthWest";"North";"NorthEast";"East";"West";"NorthWest"},0),1,2,3,4,5,6,7,8)</f>
        <v>4</v>
      </c>
      <c r="AB2492" s="2">
        <f t="shared" si="386"/>
        <v>1</v>
      </c>
      <c r="AC2492">
        <v>1028.5999999999999</v>
      </c>
      <c r="AD2492" t="s">
        <v>2076</v>
      </c>
      <c r="AE2492" s="2">
        <f t="shared" si="387"/>
        <v>1</v>
      </c>
      <c r="AF2492" t="s">
        <v>3391</v>
      </c>
      <c r="AG2492" s="2">
        <f t="shared" si="388"/>
        <v>3</v>
      </c>
      <c r="AH2492" s="2">
        <f t="shared" si="389"/>
        <v>0</v>
      </c>
      <c r="AI2492" s="3">
        <v>281.00000000442378</v>
      </c>
      <c r="AJ2492" s="2">
        <v>0</v>
      </c>
      <c r="AK2492">
        <v>1</v>
      </c>
      <c r="AL2492">
        <v>0</v>
      </c>
      <c r="AM2492">
        <v>0</v>
      </c>
      <c r="AN2492" s="2">
        <f>IF((2*G2492+M2492-O2492+3*V2492+2*AB2492+2*AE2492+2*AH2492+3*AJ2492)&gt;=7,1,0)</f>
        <v>1</v>
      </c>
    </row>
    <row r="2493" spans="1:40" x14ac:dyDescent="0.25">
      <c r="A2493" t="s">
        <v>27</v>
      </c>
      <c r="B2493" s="1">
        <v>44652</v>
      </c>
      <c r="C2493" s="6">
        <f t="shared" si="380"/>
        <v>2022</v>
      </c>
      <c r="D2493">
        <v>77</v>
      </c>
      <c r="E2493">
        <v>66.2</v>
      </c>
      <c r="F2493">
        <v>70.2</v>
      </c>
      <c r="G2493" s="2">
        <f t="shared" si="381"/>
        <v>1</v>
      </c>
      <c r="H2493">
        <v>77</v>
      </c>
      <c r="I2493">
        <v>66.2</v>
      </c>
      <c r="J2493">
        <v>70.2</v>
      </c>
      <c r="K2493">
        <v>40.299999999999997</v>
      </c>
      <c r="L2493">
        <v>34.6</v>
      </c>
      <c r="M2493" s="2">
        <f t="shared" si="382"/>
        <v>1</v>
      </c>
      <c r="N2493">
        <v>0</v>
      </c>
      <c r="O2493" s="2">
        <f t="shared" si="383"/>
        <v>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51.9</v>
      </c>
      <c r="V2493" s="2">
        <f t="shared" si="384"/>
        <v>1</v>
      </c>
      <c r="W2493">
        <v>34.4</v>
      </c>
      <c r="X2493" s="2">
        <f t="shared" si="385"/>
        <v>1</v>
      </c>
      <c r="Y2493">
        <v>173</v>
      </c>
      <c r="Z2493" s="2" t="str">
        <f>CHOOSE(MATCH(Y2493,{0;11;80;111;161;191;241;281;341},1),"North","NorthEast","East","SouthEast","South","SouthWest","West","NorthWest","North")</f>
        <v>South</v>
      </c>
      <c r="AA2493" s="4">
        <f>CHOOSE(MATCH(Z2493,{"South";"SouthEast";"SouthWest";"North";"NorthEast";"East";"West";"NorthWest"},0),1,2,3,4,5,6,7,8)</f>
        <v>1</v>
      </c>
      <c r="AB2493" s="2">
        <f t="shared" si="386"/>
        <v>0</v>
      </c>
      <c r="AC2493">
        <v>1008.3</v>
      </c>
      <c r="AD2493" t="s">
        <v>2078</v>
      </c>
      <c r="AE2493" s="2">
        <f t="shared" si="387"/>
        <v>0</v>
      </c>
      <c r="AF2493" t="s">
        <v>3392</v>
      </c>
      <c r="AG2493" s="2">
        <f t="shared" si="388"/>
        <v>4</v>
      </c>
      <c r="AH2493" s="2">
        <f t="shared" si="389"/>
        <v>0</v>
      </c>
      <c r="AI2493" s="3">
        <v>123.000000002794</v>
      </c>
      <c r="AJ2493" s="2">
        <v>0</v>
      </c>
      <c r="AK2493">
        <v>0</v>
      </c>
      <c r="AL2493">
        <v>1</v>
      </c>
      <c r="AM2493">
        <v>0</v>
      </c>
      <c r="AN2493" s="2">
        <f>IF((2*G2493+M2493-O2493+3*V2493+2*AB2493+2*AE2493+2*AH2493+3*AJ2493)&gt;=7,1,0)</f>
        <v>0</v>
      </c>
    </row>
    <row r="2494" spans="1:40" x14ac:dyDescent="0.25">
      <c r="A2494" t="s">
        <v>27</v>
      </c>
      <c r="B2494" s="1">
        <v>44652</v>
      </c>
      <c r="C2494" s="6">
        <f t="shared" si="380"/>
        <v>2022</v>
      </c>
      <c r="D2494">
        <v>77</v>
      </c>
      <c r="E2494">
        <v>66.2</v>
      </c>
      <c r="F2494">
        <v>70.2</v>
      </c>
      <c r="G2494" s="2">
        <f t="shared" si="381"/>
        <v>1</v>
      </c>
      <c r="H2494">
        <v>77</v>
      </c>
      <c r="I2494">
        <v>66.2</v>
      </c>
      <c r="J2494">
        <v>70.2</v>
      </c>
      <c r="K2494">
        <v>40.299999999999997</v>
      </c>
      <c r="L2494">
        <v>34.6</v>
      </c>
      <c r="M2494" s="2">
        <f t="shared" si="382"/>
        <v>1</v>
      </c>
      <c r="N2494">
        <v>0</v>
      </c>
      <c r="O2494" s="2">
        <f t="shared" si="383"/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51.9</v>
      </c>
      <c r="V2494" s="2">
        <f t="shared" si="384"/>
        <v>1</v>
      </c>
      <c r="W2494">
        <v>34.4</v>
      </c>
      <c r="X2494" s="2">
        <f t="shared" si="385"/>
        <v>1</v>
      </c>
      <c r="Y2494">
        <v>173</v>
      </c>
      <c r="Z2494" s="2" t="str">
        <f>CHOOSE(MATCH(Y2494,{0;11;80;111;161;191;241;281;341},1),"North","NorthEast","East","SouthEast","South","SouthWest","West","NorthWest","North")</f>
        <v>South</v>
      </c>
      <c r="AA2494" s="4">
        <f>CHOOSE(MATCH(Z2494,{"South";"SouthEast";"SouthWest";"North";"NorthEast";"East";"West";"NorthWest"},0),1,2,3,4,5,6,7,8)</f>
        <v>1</v>
      </c>
      <c r="AB2494" s="2">
        <f t="shared" si="386"/>
        <v>0</v>
      </c>
      <c r="AC2494">
        <v>1008.3</v>
      </c>
      <c r="AD2494" t="s">
        <v>1218</v>
      </c>
      <c r="AE2494" s="2">
        <f t="shared" si="387"/>
        <v>0</v>
      </c>
      <c r="AF2494" t="s">
        <v>3393</v>
      </c>
      <c r="AG2494" s="2">
        <f t="shared" si="388"/>
        <v>4</v>
      </c>
      <c r="AH2494" s="2">
        <f t="shared" si="389"/>
        <v>0</v>
      </c>
      <c r="AI2494" s="3">
        <v>1620</v>
      </c>
      <c r="AJ2494" s="2">
        <v>1</v>
      </c>
      <c r="AK2494">
        <v>0</v>
      </c>
      <c r="AL2494">
        <v>10</v>
      </c>
      <c r="AM2494">
        <v>0</v>
      </c>
      <c r="AN2494" s="2">
        <f>IF((2*G2494+M2494-O2494+3*V2494+2*AB2494+2*AE2494+2*AH2494+3*AJ2494)&gt;=7,1,0)</f>
        <v>1</v>
      </c>
    </row>
    <row r="2495" spans="1:40" x14ac:dyDescent="0.25">
      <c r="A2495" t="s">
        <v>27</v>
      </c>
      <c r="B2495" s="1">
        <v>44653</v>
      </c>
      <c r="C2495" s="6">
        <f t="shared" si="380"/>
        <v>2022</v>
      </c>
      <c r="D2495">
        <v>68</v>
      </c>
      <c r="E2495">
        <v>57.1</v>
      </c>
      <c r="F2495">
        <v>62.1</v>
      </c>
      <c r="G2495" s="2">
        <f t="shared" si="381"/>
        <v>0</v>
      </c>
      <c r="H2495">
        <v>68</v>
      </c>
      <c r="I2495">
        <v>57.1</v>
      </c>
      <c r="J2495">
        <v>62.1</v>
      </c>
      <c r="K2495">
        <v>50.6</v>
      </c>
      <c r="L2495">
        <v>67.099999999999994</v>
      </c>
      <c r="M2495" s="2">
        <f t="shared" si="382"/>
        <v>0</v>
      </c>
      <c r="N2495">
        <v>0</v>
      </c>
      <c r="O2495" s="2">
        <f t="shared" si="383"/>
        <v>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23</v>
      </c>
      <c r="V2495" s="2">
        <f t="shared" si="384"/>
        <v>1</v>
      </c>
      <c r="W2495">
        <v>13.9</v>
      </c>
      <c r="X2495" s="2">
        <f t="shared" si="385"/>
        <v>0</v>
      </c>
      <c r="Y2495">
        <v>199.4</v>
      </c>
      <c r="Z2495" s="2" t="str">
        <f>CHOOSE(MATCH(Y2495,{0;11;80;111;161;191;241;281;341},1),"North","NorthEast","East","SouthEast","South","SouthWest","West","NorthWest","North")</f>
        <v>SouthWest</v>
      </c>
      <c r="AA2495" s="4">
        <f>CHOOSE(MATCH(Z2495,{"South";"SouthEast";"SouthWest";"North";"NorthEast";"East";"West";"NorthWest"},0),1,2,3,4,5,6,7,8)</f>
        <v>3</v>
      </c>
      <c r="AB2495" s="2">
        <f t="shared" si="386"/>
        <v>0</v>
      </c>
      <c r="AC2495">
        <v>1012.8</v>
      </c>
      <c r="AD2495" t="s">
        <v>1996</v>
      </c>
      <c r="AE2495" s="2">
        <f t="shared" si="387"/>
        <v>1</v>
      </c>
      <c r="AF2495" t="s">
        <v>3394</v>
      </c>
      <c r="AG2495" s="2">
        <f t="shared" si="388"/>
        <v>4</v>
      </c>
      <c r="AH2495" s="2">
        <f t="shared" si="389"/>
        <v>0</v>
      </c>
      <c r="AI2495" s="3">
        <v>441.00000000209548</v>
      </c>
      <c r="AJ2495" s="2">
        <v>1</v>
      </c>
      <c r="AK2495">
        <v>0</v>
      </c>
      <c r="AL2495">
        <v>5</v>
      </c>
      <c r="AM2495">
        <v>0</v>
      </c>
      <c r="AN2495" s="2">
        <f>IF((2*G2495+M2495-O2495+3*V2495+2*AB2495+2*AE2495+2*AH2495+3*AJ2495)&gt;=7,1,0)</f>
        <v>1</v>
      </c>
    </row>
    <row r="2496" spans="1:40" x14ac:dyDescent="0.25">
      <c r="A2496" t="s">
        <v>27</v>
      </c>
      <c r="B2496" s="1">
        <v>44653</v>
      </c>
      <c r="C2496" s="6">
        <f t="shared" si="380"/>
        <v>2022</v>
      </c>
      <c r="D2496">
        <v>68</v>
      </c>
      <c r="E2496">
        <v>57.1</v>
      </c>
      <c r="F2496">
        <v>62.1</v>
      </c>
      <c r="G2496" s="2">
        <f t="shared" si="381"/>
        <v>0</v>
      </c>
      <c r="H2496">
        <v>68</v>
      </c>
      <c r="I2496">
        <v>57.1</v>
      </c>
      <c r="J2496">
        <v>62.1</v>
      </c>
      <c r="K2496">
        <v>50.6</v>
      </c>
      <c r="L2496">
        <v>67.099999999999994</v>
      </c>
      <c r="M2496" s="2">
        <f t="shared" si="382"/>
        <v>0</v>
      </c>
      <c r="N2496">
        <v>0</v>
      </c>
      <c r="O2496" s="2">
        <f t="shared" si="383"/>
        <v>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23</v>
      </c>
      <c r="V2496" s="2">
        <f t="shared" si="384"/>
        <v>1</v>
      </c>
      <c r="W2496">
        <v>13.9</v>
      </c>
      <c r="X2496" s="2">
        <f t="shared" si="385"/>
        <v>0</v>
      </c>
      <c r="Y2496">
        <v>199.4</v>
      </c>
      <c r="Z2496" s="2" t="str">
        <f>CHOOSE(MATCH(Y2496,{0;11;80;111;161;191;241;281;341},1),"North","NorthEast","East","SouthEast","South","SouthWest","West","NorthWest","North")</f>
        <v>SouthWest</v>
      </c>
      <c r="AA2496" s="4">
        <f>CHOOSE(MATCH(Z2496,{"South";"SouthEast";"SouthWest";"North";"NorthEast";"East";"West";"NorthWest"},0),1,2,3,4,5,6,7,8)</f>
        <v>3</v>
      </c>
      <c r="AB2496" s="2">
        <f t="shared" si="386"/>
        <v>0</v>
      </c>
      <c r="AC2496">
        <v>1012.8</v>
      </c>
      <c r="AD2496" t="s">
        <v>3395</v>
      </c>
      <c r="AE2496" s="2">
        <f t="shared" si="387"/>
        <v>1</v>
      </c>
      <c r="AF2496" t="s">
        <v>3396</v>
      </c>
      <c r="AG2496" s="2">
        <f t="shared" si="388"/>
        <v>4</v>
      </c>
      <c r="AH2496" s="2">
        <f t="shared" si="389"/>
        <v>0</v>
      </c>
      <c r="AI2496" s="3">
        <v>121.9999999995343</v>
      </c>
      <c r="AJ2496" s="2">
        <v>0</v>
      </c>
      <c r="AK2496">
        <v>0.03</v>
      </c>
      <c r="AL2496">
        <v>0</v>
      </c>
      <c r="AM2496">
        <v>0</v>
      </c>
      <c r="AN2496" s="2">
        <f>IF((2*G2496+M2496-O2496+3*V2496+2*AB2496+2*AE2496+2*AH2496+3*AJ2496)&gt;=7,1,0)</f>
        <v>0</v>
      </c>
    </row>
    <row r="2497" spans="1:40" x14ac:dyDescent="0.25">
      <c r="A2497" t="s">
        <v>27</v>
      </c>
      <c r="B2497" s="1">
        <v>44656</v>
      </c>
      <c r="C2497" s="6">
        <f t="shared" si="380"/>
        <v>2022</v>
      </c>
      <c r="D2497">
        <v>75.2</v>
      </c>
      <c r="E2497">
        <v>60.8</v>
      </c>
      <c r="F2497">
        <v>68.2</v>
      </c>
      <c r="G2497" s="2">
        <f t="shared" si="381"/>
        <v>0</v>
      </c>
      <c r="H2497">
        <v>75.2</v>
      </c>
      <c r="I2497">
        <v>60.8</v>
      </c>
      <c r="J2497">
        <v>68.2</v>
      </c>
      <c r="K2497">
        <v>47.1</v>
      </c>
      <c r="L2497">
        <v>54.3</v>
      </c>
      <c r="M2497" s="2">
        <f t="shared" si="382"/>
        <v>1</v>
      </c>
      <c r="N2497">
        <v>0</v>
      </c>
      <c r="O2497" s="2">
        <f t="shared" si="383"/>
        <v>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46.1</v>
      </c>
      <c r="V2497" s="2">
        <f t="shared" si="384"/>
        <v>1</v>
      </c>
      <c r="W2497">
        <v>26.3</v>
      </c>
      <c r="X2497" s="2">
        <f t="shared" si="385"/>
        <v>1</v>
      </c>
      <c r="Y2497">
        <v>207.6</v>
      </c>
      <c r="Z2497" s="2" t="str">
        <f>CHOOSE(MATCH(Y2497,{0;11;80;111;161;191;241;281;341},1),"North","NorthEast","East","SouthEast","South","SouthWest","West","NorthWest","North")</f>
        <v>SouthWest</v>
      </c>
      <c r="AA2497" s="4">
        <f>CHOOSE(MATCH(Z2497,{"South";"SouthEast";"SouthWest";"North";"NorthEast";"East";"West";"NorthWest"},0),1,2,3,4,5,6,7,8)</f>
        <v>3</v>
      </c>
      <c r="AB2497" s="2">
        <f t="shared" si="386"/>
        <v>0</v>
      </c>
      <c r="AC2497">
        <v>1008.5</v>
      </c>
      <c r="AD2497" t="s">
        <v>2210</v>
      </c>
      <c r="AE2497" s="2">
        <f t="shared" si="387"/>
        <v>1</v>
      </c>
      <c r="AF2497" t="s">
        <v>3397</v>
      </c>
      <c r="AG2497" s="2">
        <f t="shared" si="388"/>
        <v>4</v>
      </c>
      <c r="AH2497" s="2">
        <f t="shared" si="389"/>
        <v>0</v>
      </c>
      <c r="AI2497" s="3">
        <v>1225.0000000011639</v>
      </c>
      <c r="AJ2497" s="2">
        <v>1</v>
      </c>
      <c r="AK2497">
        <v>0</v>
      </c>
      <c r="AL2497">
        <v>15</v>
      </c>
      <c r="AM2497">
        <v>0</v>
      </c>
      <c r="AN2497" s="2">
        <f>IF((2*G2497+M2497-O2497+3*V2497+2*AB2497+2*AE2497+2*AH2497+3*AJ2497)&gt;=7,1,0)</f>
        <v>1</v>
      </c>
    </row>
    <row r="2498" spans="1:40" x14ac:dyDescent="0.25">
      <c r="A2498" t="s">
        <v>27</v>
      </c>
      <c r="B2498" s="1">
        <v>44658</v>
      </c>
      <c r="C2498" s="6">
        <f t="shared" si="380"/>
        <v>2022</v>
      </c>
      <c r="D2498">
        <v>80.599999999999994</v>
      </c>
      <c r="E2498">
        <v>59</v>
      </c>
      <c r="F2498">
        <v>67.8</v>
      </c>
      <c r="G2498" s="2">
        <f t="shared" si="381"/>
        <v>0</v>
      </c>
      <c r="H2498">
        <v>79.400000000000006</v>
      </c>
      <c r="I2498">
        <v>59</v>
      </c>
      <c r="J2498">
        <v>67.7</v>
      </c>
      <c r="K2498">
        <v>49.8</v>
      </c>
      <c r="L2498">
        <v>59.8</v>
      </c>
      <c r="M2498" s="2">
        <f t="shared" si="382"/>
        <v>1</v>
      </c>
      <c r="N2498">
        <v>0</v>
      </c>
      <c r="O2498" s="2">
        <f t="shared" si="383"/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45</v>
      </c>
      <c r="V2498" s="2">
        <f t="shared" si="384"/>
        <v>1</v>
      </c>
      <c r="W2498">
        <v>32.200000000000003</v>
      </c>
      <c r="X2498" s="2">
        <f t="shared" si="385"/>
        <v>1</v>
      </c>
      <c r="Y2498">
        <v>175.4</v>
      </c>
      <c r="Z2498" s="2" t="str">
        <f>CHOOSE(MATCH(Y2498,{0;11;80;111;161;191;241;281;341},1),"North","NorthEast","East","SouthEast","South","SouthWest","West","NorthWest","North")</f>
        <v>South</v>
      </c>
      <c r="AA2498" s="4">
        <f>CHOOSE(MATCH(Z2498,{"South";"SouthEast";"SouthWest";"North";"NorthEast";"East";"West";"NorthWest"},0),1,2,3,4,5,6,7,8)</f>
        <v>1</v>
      </c>
      <c r="AB2498" s="2">
        <f t="shared" si="386"/>
        <v>0</v>
      </c>
      <c r="AC2498">
        <v>1007</v>
      </c>
      <c r="AD2498" t="s">
        <v>3398</v>
      </c>
      <c r="AE2498" s="2">
        <f t="shared" si="387"/>
        <v>1</v>
      </c>
      <c r="AF2498" t="s">
        <v>3399</v>
      </c>
      <c r="AG2498" s="2">
        <f t="shared" si="388"/>
        <v>4</v>
      </c>
      <c r="AH2498" s="2">
        <f t="shared" si="389"/>
        <v>0</v>
      </c>
      <c r="AI2498" s="3">
        <v>270</v>
      </c>
      <c r="AJ2498" s="2">
        <v>0</v>
      </c>
      <c r="AK2498">
        <v>0</v>
      </c>
      <c r="AL2498">
        <v>1</v>
      </c>
      <c r="AM2498">
        <v>0</v>
      </c>
      <c r="AN2498" s="2">
        <f>IF((2*G2498+M2498-O2498+3*V2498+2*AB2498+2*AE2498+2*AH2498+3*AJ2498)&gt;=7,1,0)</f>
        <v>0</v>
      </c>
    </row>
    <row r="2499" spans="1:40" x14ac:dyDescent="0.25">
      <c r="A2499" t="s">
        <v>27</v>
      </c>
      <c r="B2499" s="1">
        <v>44660</v>
      </c>
      <c r="C2499" s="6">
        <f t="shared" ref="C2499:C2562" si="390">YEAR(B2499)</f>
        <v>2022</v>
      </c>
      <c r="D2499">
        <v>68</v>
      </c>
      <c r="E2499">
        <v>53.6</v>
      </c>
      <c r="F2499">
        <v>60.2</v>
      </c>
      <c r="G2499" s="2">
        <f t="shared" ref="G2499:G2562" si="391">IF(F2499&lt;=70,0,1)</f>
        <v>0</v>
      </c>
      <c r="H2499">
        <v>68</v>
      </c>
      <c r="I2499">
        <v>53.6</v>
      </c>
      <c r="J2499">
        <v>60.2</v>
      </c>
      <c r="K2499">
        <v>52.1</v>
      </c>
      <c r="L2499">
        <v>75.5</v>
      </c>
      <c r="M2499" s="2">
        <f t="shared" ref="M2499:M2562" si="392">IF(L2499&lt;=66,1,0)</f>
        <v>0</v>
      </c>
      <c r="N2499">
        <v>0</v>
      </c>
      <c r="O2499" s="2">
        <f t="shared" ref="O2499:O2562" si="393">IF(N2499&lt;=0.01,1,0)</f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27.7</v>
      </c>
      <c r="V2499" s="2">
        <f t="shared" ref="V2499:V2562" si="394">IF(U2499&lt;=9,0,1)</f>
        <v>1</v>
      </c>
      <c r="W2499">
        <v>13.9</v>
      </c>
      <c r="X2499" s="2">
        <f t="shared" ref="X2499:X2562" si="395">IF(W2499&gt;=16,1,0)</f>
        <v>0</v>
      </c>
      <c r="Y2499">
        <v>156.69999999999999</v>
      </c>
      <c r="Z2499" s="2" t="str">
        <f>CHOOSE(MATCH(Y2499,{0;11;80;111;161;191;241;281;341},1),"North","NorthEast","East","SouthEast","South","SouthWest","West","NorthWest","North")</f>
        <v>SouthEast</v>
      </c>
      <c r="AA2499" s="4">
        <f>CHOOSE(MATCH(Z2499,{"South";"SouthEast";"SouthWest";"North";"NorthEast";"East";"West";"NorthWest"},0),1,2,3,4,5,6,7,8)</f>
        <v>2</v>
      </c>
      <c r="AB2499" s="2">
        <f t="shared" ref="AB2499:AB2562" si="396">IF(OR(AA2499=4,AA2499=5,AA2499=8),1,0)</f>
        <v>0</v>
      </c>
      <c r="AC2499">
        <v>1012.4</v>
      </c>
      <c r="AD2499" t="s">
        <v>1085</v>
      </c>
      <c r="AE2499" s="2">
        <f t="shared" ref="AE2499:AE2562" si="397">IF(TIMEVALUE(AD2499)&lt;=TIME(12,30,0),0,1)</f>
        <v>1</v>
      </c>
      <c r="AF2499" t="s">
        <v>3400</v>
      </c>
      <c r="AG2499" s="2">
        <f t="shared" ref="AG2499:AG2562" si="398">MONTH(AF2499)</f>
        <v>4</v>
      </c>
      <c r="AH2499" s="2">
        <f t="shared" ref="AH2499:AH2562" si="399">IF(OR(AG2499=6,AG2499=7,AG2499=8),1,0)</f>
        <v>0</v>
      </c>
      <c r="AI2499" s="3">
        <v>429.99999999767169</v>
      </c>
      <c r="AJ2499" s="2">
        <v>1</v>
      </c>
      <c r="AK2499">
        <v>0</v>
      </c>
      <c r="AL2499">
        <v>3.5</v>
      </c>
      <c r="AM2499">
        <v>0</v>
      </c>
      <c r="AN2499" s="2">
        <f>IF((2*G2499+M2499-O2499+3*V2499+2*AB2499+2*AE2499+2*AH2499+3*AJ2499)&gt;=7,1,0)</f>
        <v>1</v>
      </c>
    </row>
    <row r="2500" spans="1:40" x14ac:dyDescent="0.25">
      <c r="A2500" t="s">
        <v>27</v>
      </c>
      <c r="B2500" s="1">
        <v>44663</v>
      </c>
      <c r="C2500" s="6">
        <f t="shared" si="390"/>
        <v>2022</v>
      </c>
      <c r="D2500">
        <v>62.6</v>
      </c>
      <c r="E2500">
        <v>48.2</v>
      </c>
      <c r="F2500">
        <v>56.5</v>
      </c>
      <c r="G2500" s="2">
        <f t="shared" si="391"/>
        <v>0</v>
      </c>
      <c r="H2500">
        <v>62.6</v>
      </c>
      <c r="I2500">
        <v>48.2</v>
      </c>
      <c r="J2500">
        <v>56.5</v>
      </c>
      <c r="K2500">
        <v>41.9</v>
      </c>
      <c r="L2500">
        <v>59.4</v>
      </c>
      <c r="M2500" s="2">
        <f t="shared" si="392"/>
        <v>1</v>
      </c>
      <c r="N2500">
        <v>0</v>
      </c>
      <c r="O2500" s="2">
        <f t="shared" si="393"/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22.6</v>
      </c>
      <c r="V2500" s="2">
        <f t="shared" si="394"/>
        <v>1</v>
      </c>
      <c r="W2500">
        <v>13.9</v>
      </c>
      <c r="X2500" s="2">
        <f t="shared" si="395"/>
        <v>0</v>
      </c>
      <c r="Y2500">
        <v>357</v>
      </c>
      <c r="Z2500" s="2" t="str">
        <f>CHOOSE(MATCH(Y2500,{0;11;80;111;161;191;241;281;341},1),"North","NorthEast","East","SouthEast","South","SouthWest","West","NorthWest","North")</f>
        <v>North</v>
      </c>
      <c r="AA2500" s="4">
        <f>CHOOSE(MATCH(Z2500,{"South";"SouthEast";"SouthWest";"North";"NorthEast";"East";"West";"NorthWest"},0),1,2,3,4,5,6,7,8)</f>
        <v>4</v>
      </c>
      <c r="AB2500" s="2">
        <f t="shared" si="396"/>
        <v>1</v>
      </c>
      <c r="AC2500">
        <v>1021.1</v>
      </c>
      <c r="AD2500" t="s">
        <v>3401</v>
      </c>
      <c r="AE2500" s="2">
        <f t="shared" si="397"/>
        <v>1</v>
      </c>
      <c r="AF2500" t="s">
        <v>3402</v>
      </c>
      <c r="AG2500" s="2">
        <f t="shared" si="398"/>
        <v>4</v>
      </c>
      <c r="AH2500" s="2">
        <f t="shared" si="399"/>
        <v>0</v>
      </c>
      <c r="AI2500" s="3">
        <v>229.99999999534339</v>
      </c>
      <c r="AJ2500" s="2">
        <v>0</v>
      </c>
      <c r="AK2500">
        <v>0</v>
      </c>
      <c r="AL2500">
        <v>1</v>
      </c>
      <c r="AM2500">
        <v>0</v>
      </c>
      <c r="AN2500" s="2">
        <f>IF((2*G2500+M2500-O2500+3*V2500+2*AB2500+2*AE2500+2*AH2500+3*AJ2500)&gt;=7,1,0)</f>
        <v>1</v>
      </c>
    </row>
    <row r="2501" spans="1:40" x14ac:dyDescent="0.25">
      <c r="A2501" t="s">
        <v>27</v>
      </c>
      <c r="B2501" s="1">
        <v>44664</v>
      </c>
      <c r="C2501" s="6">
        <f t="shared" si="390"/>
        <v>2022</v>
      </c>
      <c r="D2501">
        <v>62.6</v>
      </c>
      <c r="E2501">
        <v>44.6</v>
      </c>
      <c r="F2501">
        <v>54.7</v>
      </c>
      <c r="G2501" s="2">
        <f t="shared" si="391"/>
        <v>0</v>
      </c>
      <c r="H2501">
        <v>62.6</v>
      </c>
      <c r="I2501">
        <v>41.5</v>
      </c>
      <c r="J2501">
        <v>54.3</v>
      </c>
      <c r="K2501">
        <v>43.4</v>
      </c>
      <c r="L2501">
        <v>66.7</v>
      </c>
      <c r="M2501" s="2">
        <f t="shared" si="392"/>
        <v>0</v>
      </c>
      <c r="N2501">
        <v>0</v>
      </c>
      <c r="O2501" s="2">
        <f t="shared" si="393"/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26.4</v>
      </c>
      <c r="V2501" s="2">
        <f t="shared" si="394"/>
        <v>1</v>
      </c>
      <c r="W2501">
        <v>15</v>
      </c>
      <c r="X2501" s="2">
        <f t="shared" si="395"/>
        <v>0</v>
      </c>
      <c r="Y2501">
        <v>11.2</v>
      </c>
      <c r="Z2501" s="2" t="str">
        <f>CHOOSE(MATCH(Y2501,{0;11;80;111;161;191;241;281;341},1),"North","NorthEast","East","SouthEast","South","SouthWest","West","NorthWest","North")</f>
        <v>NorthEast</v>
      </c>
      <c r="AA2501" s="4">
        <f>CHOOSE(MATCH(Z2501,{"South";"SouthEast";"SouthWest";"North";"NorthEast";"East";"West";"NorthWest"},0),1,2,3,4,5,6,7,8)</f>
        <v>5</v>
      </c>
      <c r="AB2501" s="2">
        <f t="shared" si="396"/>
        <v>1</v>
      </c>
      <c r="AC2501">
        <v>1019.4</v>
      </c>
      <c r="AD2501" t="s">
        <v>3403</v>
      </c>
      <c r="AE2501" s="2">
        <f t="shared" si="397"/>
        <v>0</v>
      </c>
      <c r="AF2501" t="s">
        <v>3404</v>
      </c>
      <c r="AG2501" s="2">
        <f t="shared" si="398"/>
        <v>4</v>
      </c>
      <c r="AH2501" s="2">
        <f t="shared" si="399"/>
        <v>0</v>
      </c>
      <c r="AI2501" s="3">
        <v>534.99999999417923</v>
      </c>
      <c r="AJ2501" s="2">
        <v>1</v>
      </c>
      <c r="AK2501">
        <v>10</v>
      </c>
      <c r="AL2501">
        <v>0</v>
      </c>
      <c r="AM2501">
        <v>0</v>
      </c>
      <c r="AN2501" s="2">
        <f>IF((2*G2501+M2501-O2501+3*V2501+2*AB2501+2*AE2501+2*AH2501+3*AJ2501)&gt;=7,1,0)</f>
        <v>1</v>
      </c>
    </row>
    <row r="2502" spans="1:40" x14ac:dyDescent="0.25">
      <c r="A2502" t="s">
        <v>27</v>
      </c>
      <c r="B2502" s="1">
        <v>44667</v>
      </c>
      <c r="C2502" s="6">
        <f t="shared" si="390"/>
        <v>2022</v>
      </c>
      <c r="D2502">
        <v>73.3</v>
      </c>
      <c r="E2502">
        <v>50</v>
      </c>
      <c r="F2502">
        <v>60.9</v>
      </c>
      <c r="G2502" s="2">
        <f t="shared" si="391"/>
        <v>0</v>
      </c>
      <c r="H2502">
        <v>73.3</v>
      </c>
      <c r="I2502">
        <v>50</v>
      </c>
      <c r="J2502">
        <v>60.9</v>
      </c>
      <c r="K2502">
        <v>45.4</v>
      </c>
      <c r="L2502">
        <v>63.8</v>
      </c>
      <c r="M2502" s="2">
        <f t="shared" si="392"/>
        <v>1</v>
      </c>
      <c r="N2502">
        <v>0</v>
      </c>
      <c r="O2502" s="2">
        <f t="shared" si="393"/>
        <v>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25.5</v>
      </c>
      <c r="V2502" s="2">
        <f t="shared" si="394"/>
        <v>1</v>
      </c>
      <c r="W2502">
        <v>9.1999999999999993</v>
      </c>
      <c r="X2502" s="2">
        <f t="shared" si="395"/>
        <v>0</v>
      </c>
      <c r="Y2502">
        <v>125</v>
      </c>
      <c r="Z2502" s="2" t="str">
        <f>CHOOSE(MATCH(Y2502,{0;11;80;111;161;191;241;281;341},1),"North","NorthEast","East","SouthEast","South","SouthWest","West","NorthWest","North")</f>
        <v>SouthEast</v>
      </c>
      <c r="AA2502" s="4">
        <f>CHOOSE(MATCH(Z2502,{"South";"SouthEast";"SouthWest";"North";"NorthEast";"East";"West";"NorthWest"},0),1,2,3,4,5,6,7,8)</f>
        <v>2</v>
      </c>
      <c r="AB2502" s="2">
        <f t="shared" si="396"/>
        <v>0</v>
      </c>
      <c r="AC2502">
        <v>1011.8</v>
      </c>
      <c r="AD2502" t="s">
        <v>3405</v>
      </c>
      <c r="AE2502" s="2">
        <f t="shared" si="397"/>
        <v>1</v>
      </c>
      <c r="AF2502" t="s">
        <v>3406</v>
      </c>
      <c r="AG2502" s="2">
        <f t="shared" si="398"/>
        <v>4</v>
      </c>
      <c r="AH2502" s="2">
        <f t="shared" si="399"/>
        <v>0</v>
      </c>
      <c r="AI2502" s="3">
        <v>1011.99999999837</v>
      </c>
      <c r="AJ2502" s="2">
        <v>1</v>
      </c>
      <c r="AK2502">
        <v>0</v>
      </c>
      <c r="AL2502">
        <v>2</v>
      </c>
      <c r="AM2502">
        <v>0</v>
      </c>
      <c r="AN2502" s="2">
        <f>IF((2*G2502+M2502-O2502+3*V2502+2*AB2502+2*AE2502+2*AH2502+3*AJ2502)&gt;=7,1,0)</f>
        <v>1</v>
      </c>
    </row>
    <row r="2503" spans="1:40" x14ac:dyDescent="0.25">
      <c r="A2503" t="s">
        <v>27</v>
      </c>
      <c r="B2503" s="1">
        <v>44668</v>
      </c>
      <c r="C2503" s="6">
        <f t="shared" si="390"/>
        <v>2022</v>
      </c>
      <c r="D2503">
        <v>82.4</v>
      </c>
      <c r="E2503">
        <v>60.8</v>
      </c>
      <c r="F2503">
        <v>73.2</v>
      </c>
      <c r="G2503" s="2">
        <f t="shared" si="391"/>
        <v>1</v>
      </c>
      <c r="H2503">
        <v>80.5</v>
      </c>
      <c r="I2503">
        <v>60.8</v>
      </c>
      <c r="J2503">
        <v>73</v>
      </c>
      <c r="K2503">
        <v>44</v>
      </c>
      <c r="L2503">
        <v>39.9</v>
      </c>
      <c r="M2503" s="2">
        <f t="shared" si="392"/>
        <v>1</v>
      </c>
      <c r="N2503">
        <v>0</v>
      </c>
      <c r="O2503" s="2">
        <f t="shared" si="393"/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45</v>
      </c>
      <c r="V2503" s="2">
        <f t="shared" si="394"/>
        <v>1</v>
      </c>
      <c r="W2503">
        <v>20.8</v>
      </c>
      <c r="X2503" s="2">
        <f t="shared" si="395"/>
        <v>1</v>
      </c>
      <c r="Y2503">
        <v>176.4</v>
      </c>
      <c r="Z2503" s="2" t="str">
        <f>CHOOSE(MATCH(Y2503,{0;11;80;111;161;191;241;281;341},1),"North","NorthEast","East","SouthEast","South","SouthWest","West","NorthWest","North")</f>
        <v>South</v>
      </c>
      <c r="AA2503" s="4">
        <f>CHOOSE(MATCH(Z2503,{"South";"SouthEast";"SouthWest";"North";"NorthEast";"East";"West";"NorthWest"},0),1,2,3,4,5,6,7,8)</f>
        <v>1</v>
      </c>
      <c r="AB2503" s="2">
        <f t="shared" si="396"/>
        <v>0</v>
      </c>
      <c r="AC2503">
        <v>1000.5</v>
      </c>
      <c r="AD2503" t="s">
        <v>3407</v>
      </c>
      <c r="AE2503" s="2">
        <f t="shared" si="397"/>
        <v>0</v>
      </c>
      <c r="AF2503" t="s">
        <v>3408</v>
      </c>
      <c r="AG2503" s="2">
        <f t="shared" si="398"/>
        <v>4</v>
      </c>
      <c r="AH2503" s="2">
        <f t="shared" si="399"/>
        <v>0</v>
      </c>
      <c r="AI2503" s="3">
        <v>127.0000000053551</v>
      </c>
      <c r="AJ2503" s="2">
        <v>0</v>
      </c>
      <c r="AK2503">
        <v>0.5</v>
      </c>
      <c r="AL2503">
        <v>0</v>
      </c>
      <c r="AM2503">
        <v>0</v>
      </c>
      <c r="AN2503" s="2">
        <f>IF((2*G2503+M2503-O2503+3*V2503+2*AB2503+2*AE2503+2*AH2503+3*AJ2503)&gt;=7,1,0)</f>
        <v>0</v>
      </c>
    </row>
    <row r="2504" spans="1:40" x14ac:dyDescent="0.25">
      <c r="A2504" t="s">
        <v>27</v>
      </c>
      <c r="B2504" s="1">
        <v>44668</v>
      </c>
      <c r="C2504" s="6">
        <f t="shared" si="390"/>
        <v>2022</v>
      </c>
      <c r="D2504">
        <v>82.4</v>
      </c>
      <c r="E2504">
        <v>60.8</v>
      </c>
      <c r="F2504">
        <v>73.2</v>
      </c>
      <c r="G2504" s="2">
        <f t="shared" si="391"/>
        <v>1</v>
      </c>
      <c r="H2504">
        <v>80.5</v>
      </c>
      <c r="I2504">
        <v>60.8</v>
      </c>
      <c r="J2504">
        <v>73</v>
      </c>
      <c r="K2504">
        <v>44</v>
      </c>
      <c r="L2504">
        <v>39.9</v>
      </c>
      <c r="M2504" s="2">
        <f t="shared" si="392"/>
        <v>1</v>
      </c>
      <c r="N2504">
        <v>0</v>
      </c>
      <c r="O2504" s="2">
        <f t="shared" si="393"/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45</v>
      </c>
      <c r="V2504" s="2">
        <f t="shared" si="394"/>
        <v>1</v>
      </c>
      <c r="W2504">
        <v>20.8</v>
      </c>
      <c r="X2504" s="2">
        <f t="shared" si="395"/>
        <v>1</v>
      </c>
      <c r="Y2504">
        <v>176.4</v>
      </c>
      <c r="Z2504" s="2" t="str">
        <f>CHOOSE(MATCH(Y2504,{0;11;80;111;161;191;241;281;341},1),"North","NorthEast","East","SouthEast","South","SouthWest","West","NorthWest","North")</f>
        <v>South</v>
      </c>
      <c r="AA2504" s="4">
        <f>CHOOSE(MATCH(Z2504,{"South";"SouthEast";"SouthWest";"North";"NorthEast";"East";"West";"NorthWest"},0),1,2,3,4,5,6,7,8)</f>
        <v>1</v>
      </c>
      <c r="AB2504" s="2">
        <f t="shared" si="396"/>
        <v>0</v>
      </c>
      <c r="AC2504">
        <v>1000.5</v>
      </c>
      <c r="AD2504" t="s">
        <v>1980</v>
      </c>
      <c r="AE2504" s="2">
        <f t="shared" si="397"/>
        <v>1</v>
      </c>
      <c r="AF2504" t="s">
        <v>3409</v>
      </c>
      <c r="AG2504" s="2">
        <f t="shared" si="398"/>
        <v>4</v>
      </c>
      <c r="AH2504" s="2">
        <f t="shared" si="399"/>
        <v>0</v>
      </c>
      <c r="AI2504" s="3">
        <v>135</v>
      </c>
      <c r="AJ2504" s="2">
        <v>0</v>
      </c>
      <c r="AK2504">
        <v>1</v>
      </c>
      <c r="AL2504">
        <v>0</v>
      </c>
      <c r="AM2504">
        <v>0</v>
      </c>
      <c r="AN2504" s="2">
        <f>IF((2*G2504+M2504-O2504+3*V2504+2*AB2504+2*AE2504+2*AH2504+3*AJ2504)&gt;=7,1,0)</f>
        <v>1</v>
      </c>
    </row>
    <row r="2505" spans="1:40" x14ac:dyDescent="0.25">
      <c r="A2505" t="s">
        <v>27</v>
      </c>
      <c r="B2505" s="1">
        <v>44668</v>
      </c>
      <c r="C2505" s="6">
        <f t="shared" si="390"/>
        <v>2022</v>
      </c>
      <c r="D2505">
        <v>82.4</v>
      </c>
      <c r="E2505">
        <v>60.8</v>
      </c>
      <c r="F2505">
        <v>73.2</v>
      </c>
      <c r="G2505" s="2">
        <f t="shared" si="391"/>
        <v>1</v>
      </c>
      <c r="H2505">
        <v>80.5</v>
      </c>
      <c r="I2505">
        <v>60.8</v>
      </c>
      <c r="J2505">
        <v>73</v>
      </c>
      <c r="K2505">
        <v>44</v>
      </c>
      <c r="L2505">
        <v>39.9</v>
      </c>
      <c r="M2505" s="2">
        <f t="shared" si="392"/>
        <v>1</v>
      </c>
      <c r="N2505">
        <v>0</v>
      </c>
      <c r="O2505" s="2">
        <f t="shared" si="393"/>
        <v>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45</v>
      </c>
      <c r="V2505" s="2">
        <f t="shared" si="394"/>
        <v>1</v>
      </c>
      <c r="W2505">
        <v>20.8</v>
      </c>
      <c r="X2505" s="2">
        <f t="shared" si="395"/>
        <v>1</v>
      </c>
      <c r="Y2505">
        <v>176.4</v>
      </c>
      <c r="Z2505" s="2" t="str">
        <f>CHOOSE(MATCH(Y2505,{0;11;80;111;161;191;241;281;341},1),"North","NorthEast","East","SouthEast","South","SouthWest","West","NorthWest","North")</f>
        <v>South</v>
      </c>
      <c r="AA2505" s="4">
        <f>CHOOSE(MATCH(Z2505,{"South";"SouthEast";"SouthWest";"North";"NorthEast";"East";"West";"NorthWest"},0),1,2,3,4,5,6,7,8)</f>
        <v>1</v>
      </c>
      <c r="AB2505" s="2">
        <f t="shared" si="396"/>
        <v>0</v>
      </c>
      <c r="AC2505">
        <v>1000.5</v>
      </c>
      <c r="AD2505" t="s">
        <v>1103</v>
      </c>
      <c r="AE2505" s="2">
        <f t="shared" si="397"/>
        <v>1</v>
      </c>
      <c r="AF2505" t="s">
        <v>3410</v>
      </c>
      <c r="AG2505" s="2">
        <f t="shared" si="398"/>
        <v>4</v>
      </c>
      <c r="AH2505" s="2">
        <f t="shared" si="399"/>
        <v>0</v>
      </c>
      <c r="AI2505" s="3">
        <v>274.00000000256108</v>
      </c>
      <c r="AJ2505" s="2">
        <v>0</v>
      </c>
      <c r="AK2505">
        <v>0</v>
      </c>
      <c r="AL2505">
        <v>1</v>
      </c>
      <c r="AM2505">
        <v>0</v>
      </c>
      <c r="AN2505" s="2">
        <f>IF((2*G2505+M2505-O2505+3*V2505+2*AB2505+2*AE2505+2*AH2505+3*AJ2505)&gt;=7,1,0)</f>
        <v>1</v>
      </c>
    </row>
    <row r="2506" spans="1:40" x14ac:dyDescent="0.25">
      <c r="A2506" t="s">
        <v>27</v>
      </c>
      <c r="B2506" s="1">
        <v>44671</v>
      </c>
      <c r="C2506" s="6">
        <f t="shared" si="390"/>
        <v>2022</v>
      </c>
      <c r="D2506">
        <v>64.400000000000006</v>
      </c>
      <c r="E2506">
        <v>46.4</v>
      </c>
      <c r="F2506">
        <v>57.4</v>
      </c>
      <c r="G2506" s="2">
        <f t="shared" si="391"/>
        <v>0</v>
      </c>
      <c r="H2506">
        <v>64.400000000000006</v>
      </c>
      <c r="I2506">
        <v>42.9</v>
      </c>
      <c r="J2506">
        <v>57.1</v>
      </c>
      <c r="K2506">
        <v>46.6</v>
      </c>
      <c r="L2506">
        <v>68.8</v>
      </c>
      <c r="M2506" s="2">
        <f t="shared" si="392"/>
        <v>0</v>
      </c>
      <c r="N2506">
        <v>0</v>
      </c>
      <c r="O2506" s="2">
        <f t="shared" si="393"/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20.8</v>
      </c>
      <c r="V2506" s="2">
        <f t="shared" si="394"/>
        <v>1</v>
      </c>
      <c r="W2506">
        <v>17.2</v>
      </c>
      <c r="X2506" s="2">
        <f t="shared" si="395"/>
        <v>1</v>
      </c>
      <c r="Y2506">
        <v>300.89999999999998</v>
      </c>
      <c r="Z2506" s="2" t="str">
        <f>CHOOSE(MATCH(Y2506,{0;11;80;111;161;191;241;281;341},1),"North","NorthEast","East","SouthEast","South","SouthWest","West","NorthWest","North")</f>
        <v>NorthWest</v>
      </c>
      <c r="AA2506" s="4">
        <f>CHOOSE(MATCH(Z2506,{"South";"SouthEast";"SouthWest";"North";"NorthEast";"East";"West";"NorthWest"},0),1,2,3,4,5,6,7,8)</f>
        <v>8</v>
      </c>
      <c r="AB2506" s="2">
        <f t="shared" si="396"/>
        <v>1</v>
      </c>
      <c r="AC2506">
        <v>1017.4</v>
      </c>
      <c r="AD2506" t="s">
        <v>2202</v>
      </c>
      <c r="AE2506" s="2">
        <f t="shared" si="397"/>
        <v>0</v>
      </c>
      <c r="AF2506" t="s">
        <v>3411</v>
      </c>
      <c r="AG2506" s="2">
        <f t="shared" si="398"/>
        <v>4</v>
      </c>
      <c r="AH2506" s="2">
        <f t="shared" si="399"/>
        <v>0</v>
      </c>
      <c r="AI2506" s="3">
        <v>393.99999999557622</v>
      </c>
      <c r="AJ2506" s="2">
        <v>1</v>
      </c>
      <c r="AK2506">
        <v>0</v>
      </c>
      <c r="AL2506">
        <v>1</v>
      </c>
      <c r="AM2506">
        <v>0</v>
      </c>
      <c r="AN2506" s="2">
        <f>IF((2*G2506+M2506-O2506+3*V2506+2*AB2506+2*AE2506+2*AH2506+3*AJ2506)&gt;=7,1,0)</f>
        <v>1</v>
      </c>
    </row>
    <row r="2507" spans="1:40" x14ac:dyDescent="0.25">
      <c r="A2507" t="s">
        <v>27</v>
      </c>
      <c r="B2507" s="1">
        <v>44672</v>
      </c>
      <c r="C2507" s="6">
        <f t="shared" si="390"/>
        <v>2022</v>
      </c>
      <c r="D2507">
        <v>66.2</v>
      </c>
      <c r="E2507">
        <v>48.2</v>
      </c>
      <c r="F2507">
        <v>57.9</v>
      </c>
      <c r="G2507" s="2">
        <f t="shared" si="391"/>
        <v>0</v>
      </c>
      <c r="H2507">
        <v>66.2</v>
      </c>
      <c r="I2507">
        <v>45.6</v>
      </c>
      <c r="J2507">
        <v>57.7</v>
      </c>
      <c r="K2507">
        <v>50.9</v>
      </c>
      <c r="L2507">
        <v>78.400000000000006</v>
      </c>
      <c r="M2507" s="2">
        <f t="shared" si="392"/>
        <v>0</v>
      </c>
      <c r="N2507">
        <v>0</v>
      </c>
      <c r="O2507" s="2">
        <f t="shared" si="393"/>
        <v>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19.7</v>
      </c>
      <c r="V2507" s="2">
        <f t="shared" si="394"/>
        <v>1</v>
      </c>
      <c r="W2507">
        <v>9.1999999999999993</v>
      </c>
      <c r="X2507" s="2">
        <f t="shared" si="395"/>
        <v>0</v>
      </c>
      <c r="Y2507">
        <v>121.9</v>
      </c>
      <c r="Z2507" s="2" t="str">
        <f>CHOOSE(MATCH(Y2507,{0;11;80;111;161;191;241;281;341},1),"North","NorthEast","East","SouthEast","South","SouthWest","West","NorthWest","North")</f>
        <v>SouthEast</v>
      </c>
      <c r="AA2507" s="4">
        <f>CHOOSE(MATCH(Z2507,{"South";"SouthEast";"SouthWest";"North";"NorthEast";"East";"West";"NorthWest"},0),1,2,3,4,5,6,7,8)</f>
        <v>2</v>
      </c>
      <c r="AB2507" s="2">
        <f t="shared" si="396"/>
        <v>0</v>
      </c>
      <c r="AC2507">
        <v>1016.9</v>
      </c>
      <c r="AD2507" t="s">
        <v>1234</v>
      </c>
      <c r="AE2507" s="2">
        <f t="shared" si="397"/>
        <v>1</v>
      </c>
      <c r="AF2507" t="s">
        <v>3412</v>
      </c>
      <c r="AG2507" s="2">
        <f t="shared" si="398"/>
        <v>4</v>
      </c>
      <c r="AH2507" s="2">
        <f t="shared" si="399"/>
        <v>0</v>
      </c>
      <c r="AI2507" s="3">
        <v>469.99999999185093</v>
      </c>
      <c r="AJ2507" s="2">
        <v>1</v>
      </c>
      <c r="AK2507">
        <v>0</v>
      </c>
      <c r="AL2507">
        <v>7</v>
      </c>
      <c r="AM2507">
        <v>0</v>
      </c>
      <c r="AN2507" s="2">
        <f>IF((2*G2507+M2507-O2507+3*V2507+2*AB2507+2*AE2507+2*AH2507+3*AJ2507)&gt;=7,1,0)</f>
        <v>1</v>
      </c>
    </row>
    <row r="2508" spans="1:40" x14ac:dyDescent="0.25">
      <c r="A2508" t="s">
        <v>27</v>
      </c>
      <c r="B2508" s="1">
        <v>44674</v>
      </c>
      <c r="C2508" s="6">
        <f t="shared" si="390"/>
        <v>2022</v>
      </c>
      <c r="D2508">
        <v>69.8</v>
      </c>
      <c r="E2508">
        <v>57.2</v>
      </c>
      <c r="F2508">
        <v>65.7</v>
      </c>
      <c r="G2508" s="2">
        <f t="shared" si="391"/>
        <v>0</v>
      </c>
      <c r="H2508">
        <v>69.8</v>
      </c>
      <c r="I2508">
        <v>57.2</v>
      </c>
      <c r="J2508">
        <v>65.7</v>
      </c>
      <c r="K2508">
        <v>44.2</v>
      </c>
      <c r="L2508">
        <v>54.3</v>
      </c>
      <c r="M2508" s="2">
        <f t="shared" si="392"/>
        <v>1</v>
      </c>
      <c r="N2508">
        <v>0</v>
      </c>
      <c r="O2508" s="2">
        <f t="shared" si="393"/>
        <v>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24.2</v>
      </c>
      <c r="V2508" s="2">
        <f t="shared" si="394"/>
        <v>1</v>
      </c>
      <c r="W2508">
        <v>17.2</v>
      </c>
      <c r="X2508" s="2">
        <f t="shared" si="395"/>
        <v>1</v>
      </c>
      <c r="Y2508">
        <v>276.5</v>
      </c>
      <c r="Z2508" s="2" t="str">
        <f>CHOOSE(MATCH(Y2508,{0;11;80;111;161;191;241;281;341},1),"North","NorthEast","East","SouthEast","South","SouthWest","West","NorthWest","North")</f>
        <v>West</v>
      </c>
      <c r="AA2508" s="4">
        <f>CHOOSE(MATCH(Z2508,{"South";"SouthEast";"SouthWest";"North";"NorthEast";"East";"West";"NorthWest"},0),1,2,3,4,5,6,7,8)</f>
        <v>7</v>
      </c>
      <c r="AB2508" s="2">
        <f t="shared" si="396"/>
        <v>0</v>
      </c>
      <c r="AC2508">
        <v>1009.5</v>
      </c>
      <c r="AD2508" t="s">
        <v>1205</v>
      </c>
      <c r="AE2508" s="2">
        <f t="shared" si="397"/>
        <v>1</v>
      </c>
      <c r="AF2508" t="s">
        <v>3413</v>
      </c>
      <c r="AG2508" s="2">
        <f t="shared" si="398"/>
        <v>4</v>
      </c>
      <c r="AH2508" s="2">
        <f t="shared" si="399"/>
        <v>0</v>
      </c>
      <c r="AI2508" s="3">
        <v>169.99999999883579</v>
      </c>
      <c r="AJ2508" s="2">
        <v>0</v>
      </c>
      <c r="AK2508">
        <v>0</v>
      </c>
      <c r="AL2508">
        <v>2</v>
      </c>
      <c r="AM2508">
        <v>0</v>
      </c>
      <c r="AN2508" s="2">
        <f>IF((2*G2508+M2508-O2508+3*V2508+2*AB2508+2*AE2508+2*AH2508+3*AJ2508)&gt;=7,1,0)</f>
        <v>0</v>
      </c>
    </row>
    <row r="2509" spans="1:40" x14ac:dyDescent="0.25">
      <c r="A2509" t="s">
        <v>27</v>
      </c>
      <c r="B2509" s="1">
        <v>44675</v>
      </c>
      <c r="C2509" s="6">
        <f t="shared" si="390"/>
        <v>2022</v>
      </c>
      <c r="D2509">
        <v>69.8</v>
      </c>
      <c r="E2509">
        <v>53.6</v>
      </c>
      <c r="F2509">
        <v>61.4</v>
      </c>
      <c r="G2509" s="2">
        <f t="shared" si="391"/>
        <v>0</v>
      </c>
      <c r="H2509">
        <v>69.8</v>
      </c>
      <c r="I2509">
        <v>53.6</v>
      </c>
      <c r="J2509">
        <v>61.4</v>
      </c>
      <c r="K2509">
        <v>54.9</v>
      </c>
      <c r="L2509">
        <v>80</v>
      </c>
      <c r="M2509" s="2">
        <f t="shared" si="392"/>
        <v>0</v>
      </c>
      <c r="N2509">
        <v>0</v>
      </c>
      <c r="O2509" s="2">
        <f t="shared" si="393"/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23</v>
      </c>
      <c r="V2509" s="2">
        <f t="shared" si="394"/>
        <v>1</v>
      </c>
      <c r="W2509">
        <v>9.1999999999999993</v>
      </c>
      <c r="X2509" s="2">
        <f t="shared" si="395"/>
        <v>0</v>
      </c>
      <c r="Y2509">
        <v>176.9</v>
      </c>
      <c r="Z2509" s="2" t="str">
        <f>CHOOSE(MATCH(Y2509,{0;11;80;111;161;191;241;281;341},1),"North","NorthEast","East","SouthEast","South","SouthWest","West","NorthWest","North")</f>
        <v>South</v>
      </c>
      <c r="AA2509" s="4">
        <f>CHOOSE(MATCH(Z2509,{"South";"SouthEast";"SouthWest";"North";"NorthEast";"East";"West";"NorthWest"},0),1,2,3,4,5,6,7,8)</f>
        <v>1</v>
      </c>
      <c r="AB2509" s="2">
        <f t="shared" si="396"/>
        <v>0</v>
      </c>
      <c r="AC2509">
        <v>1010.8</v>
      </c>
      <c r="AD2509" t="s">
        <v>1199</v>
      </c>
      <c r="AE2509" s="2">
        <f t="shared" si="397"/>
        <v>1</v>
      </c>
      <c r="AF2509" t="s">
        <v>3414</v>
      </c>
      <c r="AG2509" s="2">
        <f t="shared" si="398"/>
        <v>4</v>
      </c>
      <c r="AH2509" s="2">
        <f t="shared" si="399"/>
        <v>0</v>
      </c>
      <c r="AI2509" s="3">
        <v>65.999999995110556</v>
      </c>
      <c r="AJ2509" s="2">
        <v>0</v>
      </c>
      <c r="AK2509">
        <v>0</v>
      </c>
      <c r="AL2509">
        <v>0.06</v>
      </c>
      <c r="AM2509">
        <v>0</v>
      </c>
      <c r="AN2509" s="2">
        <f>IF((2*G2509+M2509-O2509+3*V2509+2*AB2509+2*AE2509+2*AH2509+3*AJ2509)&gt;=7,1,0)</f>
        <v>0</v>
      </c>
    </row>
    <row r="2510" spans="1:40" x14ac:dyDescent="0.25">
      <c r="A2510" t="s">
        <v>27</v>
      </c>
      <c r="B2510" s="1">
        <v>44678</v>
      </c>
      <c r="C2510" s="6">
        <f t="shared" si="390"/>
        <v>2022</v>
      </c>
      <c r="D2510">
        <v>73.400000000000006</v>
      </c>
      <c r="E2510">
        <v>51.8</v>
      </c>
      <c r="F2510">
        <v>63.1</v>
      </c>
      <c r="G2510" s="2">
        <f t="shared" si="391"/>
        <v>0</v>
      </c>
      <c r="H2510">
        <v>73.400000000000006</v>
      </c>
      <c r="I2510">
        <v>51.8</v>
      </c>
      <c r="J2510">
        <v>63.1</v>
      </c>
      <c r="K2510">
        <v>50.9</v>
      </c>
      <c r="L2510">
        <v>65.2</v>
      </c>
      <c r="M2510" s="2">
        <f t="shared" si="392"/>
        <v>1</v>
      </c>
      <c r="N2510">
        <v>0</v>
      </c>
      <c r="O2510" s="2">
        <f t="shared" si="393"/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17.2</v>
      </c>
      <c r="V2510" s="2">
        <f t="shared" si="394"/>
        <v>1</v>
      </c>
      <c r="W2510">
        <v>9.1</v>
      </c>
      <c r="X2510" s="2">
        <f t="shared" si="395"/>
        <v>0</v>
      </c>
      <c r="Y2510">
        <v>202</v>
      </c>
      <c r="Z2510" s="2" t="str">
        <f>CHOOSE(MATCH(Y2510,{0;11;80;111;161;191;241;281;341},1),"North","NorthEast","East","SouthEast","South","SouthWest","West","NorthWest","North")</f>
        <v>SouthWest</v>
      </c>
      <c r="AA2510" s="4">
        <f>CHOOSE(MATCH(Z2510,{"South";"SouthEast";"SouthWest";"North";"NorthEast";"East";"West";"NorthWest"},0),1,2,3,4,5,6,7,8)</f>
        <v>3</v>
      </c>
      <c r="AB2510" s="2">
        <f t="shared" si="396"/>
        <v>0</v>
      </c>
      <c r="AC2510">
        <v>1012.8</v>
      </c>
      <c r="AD2510" t="s">
        <v>1127</v>
      </c>
      <c r="AE2510" s="2">
        <f t="shared" si="397"/>
        <v>1</v>
      </c>
      <c r="AF2510" t="s">
        <v>3415</v>
      </c>
      <c r="AG2510" s="2">
        <f t="shared" si="398"/>
        <v>4</v>
      </c>
      <c r="AH2510" s="2">
        <f t="shared" si="399"/>
        <v>0</v>
      </c>
      <c r="AI2510" s="3">
        <v>180</v>
      </c>
      <c r="AJ2510" s="2">
        <v>0</v>
      </c>
      <c r="AK2510">
        <v>0</v>
      </c>
      <c r="AL2510">
        <v>1</v>
      </c>
      <c r="AM2510">
        <v>0</v>
      </c>
      <c r="AN2510" s="2">
        <f>IF((2*G2510+M2510-O2510+3*V2510+2*AB2510+2*AE2510+2*AH2510+3*AJ2510)&gt;=7,1,0)</f>
        <v>0</v>
      </c>
    </row>
    <row r="2511" spans="1:40" x14ac:dyDescent="0.25">
      <c r="A2511" t="s">
        <v>27</v>
      </c>
      <c r="B2511" s="1">
        <v>44679</v>
      </c>
      <c r="C2511" s="6">
        <f t="shared" si="390"/>
        <v>2022</v>
      </c>
      <c r="D2511">
        <v>71.599999999999994</v>
      </c>
      <c r="E2511">
        <v>55.4</v>
      </c>
      <c r="F2511">
        <v>64.2</v>
      </c>
      <c r="G2511" s="2">
        <f t="shared" si="391"/>
        <v>0</v>
      </c>
      <c r="H2511">
        <v>71.599999999999994</v>
      </c>
      <c r="I2511">
        <v>55.4</v>
      </c>
      <c r="J2511">
        <v>64.2</v>
      </c>
      <c r="K2511">
        <v>52.5</v>
      </c>
      <c r="L2511">
        <v>66.5</v>
      </c>
      <c r="M2511" s="2">
        <f t="shared" si="392"/>
        <v>0</v>
      </c>
      <c r="N2511">
        <v>0</v>
      </c>
      <c r="O2511" s="2">
        <f t="shared" si="393"/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20.6</v>
      </c>
      <c r="V2511" s="2">
        <f t="shared" si="394"/>
        <v>1</v>
      </c>
      <c r="W2511">
        <v>8.1</v>
      </c>
      <c r="X2511" s="2">
        <f t="shared" si="395"/>
        <v>0</v>
      </c>
      <c r="Y2511">
        <v>314.2</v>
      </c>
      <c r="Z2511" s="2" t="str">
        <f>CHOOSE(MATCH(Y2511,{0;11;80;111;161;191;241;281;341},1),"North","NorthEast","East","SouthEast","South","SouthWest","West","NorthWest","North")</f>
        <v>NorthWest</v>
      </c>
      <c r="AA2511" s="4">
        <f>CHOOSE(MATCH(Z2511,{"South";"SouthEast";"SouthWest";"North";"NorthEast";"East";"West";"NorthWest"},0),1,2,3,4,5,6,7,8)</f>
        <v>8</v>
      </c>
      <c r="AB2511" s="2">
        <f t="shared" si="396"/>
        <v>1</v>
      </c>
      <c r="AC2511">
        <v>1012.5</v>
      </c>
      <c r="AD2511" t="s">
        <v>3416</v>
      </c>
      <c r="AE2511" s="2">
        <f t="shared" si="397"/>
        <v>1</v>
      </c>
      <c r="AF2511" t="s">
        <v>3417</v>
      </c>
      <c r="AG2511" s="2">
        <f t="shared" si="398"/>
        <v>4</v>
      </c>
      <c r="AH2511" s="2">
        <f t="shared" si="399"/>
        <v>0</v>
      </c>
      <c r="AI2511" s="3">
        <v>111.9999999983702</v>
      </c>
      <c r="AJ2511" s="2">
        <v>0</v>
      </c>
      <c r="AK2511">
        <v>0</v>
      </c>
      <c r="AL2511">
        <v>0.02</v>
      </c>
      <c r="AM2511">
        <v>0</v>
      </c>
      <c r="AN2511" s="2">
        <f>IF((2*G2511+M2511-O2511+3*V2511+2*AB2511+2*AE2511+2*AH2511+3*AJ2511)&gt;=7,1,0)</f>
        <v>0</v>
      </c>
    </row>
    <row r="2512" spans="1:40" x14ac:dyDescent="0.25">
      <c r="A2512" t="s">
        <v>27</v>
      </c>
      <c r="B2512" s="1">
        <v>44679</v>
      </c>
      <c r="C2512" s="6">
        <f t="shared" si="390"/>
        <v>2022</v>
      </c>
      <c r="D2512">
        <v>71.599999999999994</v>
      </c>
      <c r="E2512">
        <v>55.4</v>
      </c>
      <c r="F2512">
        <v>64.2</v>
      </c>
      <c r="G2512" s="2">
        <f t="shared" si="391"/>
        <v>0</v>
      </c>
      <c r="H2512">
        <v>71.599999999999994</v>
      </c>
      <c r="I2512">
        <v>55.4</v>
      </c>
      <c r="J2512">
        <v>64.2</v>
      </c>
      <c r="K2512">
        <v>52.5</v>
      </c>
      <c r="L2512">
        <v>66.5</v>
      </c>
      <c r="M2512" s="2">
        <f t="shared" si="392"/>
        <v>0</v>
      </c>
      <c r="N2512">
        <v>0</v>
      </c>
      <c r="O2512" s="2">
        <f t="shared" si="393"/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20.6</v>
      </c>
      <c r="V2512" s="2">
        <f t="shared" si="394"/>
        <v>1</v>
      </c>
      <c r="W2512">
        <v>8.1</v>
      </c>
      <c r="X2512" s="2">
        <f t="shared" si="395"/>
        <v>0</v>
      </c>
      <c r="Y2512">
        <v>314.2</v>
      </c>
      <c r="Z2512" s="2" t="str">
        <f>CHOOSE(MATCH(Y2512,{0;11;80;111;161;191;241;281;341},1),"North","NorthEast","East","SouthEast","South","SouthWest","West","NorthWest","North")</f>
        <v>NorthWest</v>
      </c>
      <c r="AA2512" s="4">
        <f>CHOOSE(MATCH(Z2512,{"South";"SouthEast";"SouthWest";"North";"NorthEast";"East";"West";"NorthWest"},0),1,2,3,4,5,6,7,8)</f>
        <v>8</v>
      </c>
      <c r="AB2512" s="2">
        <f t="shared" si="396"/>
        <v>1</v>
      </c>
      <c r="AC2512">
        <v>1012.5</v>
      </c>
      <c r="AD2512" t="s">
        <v>2536</v>
      </c>
      <c r="AE2512" s="2">
        <f t="shared" si="397"/>
        <v>1</v>
      </c>
      <c r="AF2512" t="s">
        <v>3418</v>
      </c>
      <c r="AG2512" s="2">
        <f t="shared" si="398"/>
        <v>4</v>
      </c>
      <c r="AH2512" s="2">
        <f t="shared" si="399"/>
        <v>0</v>
      </c>
      <c r="AI2512" s="3">
        <v>294.99999999767169</v>
      </c>
      <c r="AJ2512" s="2">
        <v>0</v>
      </c>
      <c r="AK2512">
        <v>0</v>
      </c>
      <c r="AL2512">
        <v>4</v>
      </c>
      <c r="AM2512">
        <v>0</v>
      </c>
      <c r="AN2512" s="2">
        <f>IF((2*G2512+M2512-O2512+3*V2512+2*AB2512+2*AE2512+2*AH2512+3*AJ2512)&gt;=7,1,0)</f>
        <v>0</v>
      </c>
    </row>
    <row r="2513" spans="1:40" x14ac:dyDescent="0.25">
      <c r="A2513" t="s">
        <v>27</v>
      </c>
      <c r="B2513" s="1">
        <v>44680</v>
      </c>
      <c r="C2513" s="6">
        <f t="shared" si="390"/>
        <v>2022</v>
      </c>
      <c r="D2513">
        <v>68</v>
      </c>
      <c r="E2513">
        <v>57.2</v>
      </c>
      <c r="F2513">
        <v>62.8</v>
      </c>
      <c r="G2513" s="2">
        <f t="shared" si="391"/>
        <v>0</v>
      </c>
      <c r="H2513">
        <v>68</v>
      </c>
      <c r="I2513">
        <v>57.2</v>
      </c>
      <c r="J2513">
        <v>62.8</v>
      </c>
      <c r="K2513">
        <v>56.7</v>
      </c>
      <c r="L2513">
        <v>80.8</v>
      </c>
      <c r="M2513" s="2">
        <f t="shared" si="392"/>
        <v>0</v>
      </c>
      <c r="N2513">
        <v>0</v>
      </c>
      <c r="O2513" s="2">
        <f t="shared" si="393"/>
        <v>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22.4</v>
      </c>
      <c r="V2513" s="2">
        <f t="shared" si="394"/>
        <v>1</v>
      </c>
      <c r="W2513">
        <v>18.3</v>
      </c>
      <c r="X2513" s="2">
        <f t="shared" si="395"/>
        <v>1</v>
      </c>
      <c r="Y2513">
        <v>312.2</v>
      </c>
      <c r="Z2513" s="2" t="str">
        <f>CHOOSE(MATCH(Y2513,{0;11;80;111;161;191;241;281;341},1),"North","NorthEast","East","SouthEast","South","SouthWest","West","NorthWest","North")</f>
        <v>NorthWest</v>
      </c>
      <c r="AA2513" s="4">
        <f>CHOOSE(MATCH(Z2513,{"South";"SouthEast";"SouthWest";"North";"NorthEast";"East";"West";"NorthWest"},0),1,2,3,4,5,6,7,8)</f>
        <v>8</v>
      </c>
      <c r="AB2513" s="2">
        <f t="shared" si="396"/>
        <v>1</v>
      </c>
      <c r="AC2513">
        <v>1012.6</v>
      </c>
      <c r="AD2513" t="s">
        <v>2441</v>
      </c>
      <c r="AE2513" s="2">
        <f t="shared" si="397"/>
        <v>1</v>
      </c>
      <c r="AF2513" t="s">
        <v>3419</v>
      </c>
      <c r="AG2513" s="2">
        <f t="shared" si="398"/>
        <v>4</v>
      </c>
      <c r="AH2513" s="2">
        <f t="shared" si="399"/>
        <v>0</v>
      </c>
      <c r="AI2513" s="3">
        <v>1077.000000000698</v>
      </c>
      <c r="AJ2513" s="2">
        <v>1</v>
      </c>
      <c r="AK2513">
        <v>10</v>
      </c>
      <c r="AL2513">
        <v>0</v>
      </c>
      <c r="AM2513">
        <v>0</v>
      </c>
      <c r="AN2513" s="2">
        <f>IF((2*G2513+M2513-O2513+3*V2513+2*AB2513+2*AE2513+2*AH2513+3*AJ2513)&gt;=7,1,0)</f>
        <v>1</v>
      </c>
    </row>
    <row r="2514" spans="1:40" x14ac:dyDescent="0.25">
      <c r="A2514" t="s">
        <v>27</v>
      </c>
      <c r="B2514" s="1">
        <v>44680</v>
      </c>
      <c r="C2514" s="6">
        <f t="shared" si="390"/>
        <v>2022</v>
      </c>
      <c r="D2514">
        <v>68</v>
      </c>
      <c r="E2514">
        <v>57.2</v>
      </c>
      <c r="F2514">
        <v>62.8</v>
      </c>
      <c r="G2514" s="2">
        <f t="shared" si="391"/>
        <v>0</v>
      </c>
      <c r="H2514">
        <v>68</v>
      </c>
      <c r="I2514">
        <v>57.2</v>
      </c>
      <c r="J2514">
        <v>62.8</v>
      </c>
      <c r="K2514">
        <v>56.7</v>
      </c>
      <c r="L2514">
        <v>80.8</v>
      </c>
      <c r="M2514" s="2">
        <f t="shared" si="392"/>
        <v>0</v>
      </c>
      <c r="N2514">
        <v>0</v>
      </c>
      <c r="O2514" s="2">
        <f t="shared" si="393"/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22.4</v>
      </c>
      <c r="V2514" s="2">
        <f t="shared" si="394"/>
        <v>1</v>
      </c>
      <c r="W2514">
        <v>18.3</v>
      </c>
      <c r="X2514" s="2">
        <f t="shared" si="395"/>
        <v>1</v>
      </c>
      <c r="Y2514">
        <v>312.2</v>
      </c>
      <c r="Z2514" s="2" t="str">
        <f>CHOOSE(MATCH(Y2514,{0;11;80;111;161;191;241;281;341},1),"North","NorthEast","East","SouthEast","South","SouthWest","West","NorthWest","North")</f>
        <v>NorthWest</v>
      </c>
      <c r="AA2514" s="4">
        <f>CHOOSE(MATCH(Z2514,{"South";"SouthEast";"SouthWest";"North";"NorthEast";"East";"West";"NorthWest"},0),1,2,3,4,5,6,7,8)</f>
        <v>8</v>
      </c>
      <c r="AB2514" s="2">
        <f t="shared" si="396"/>
        <v>1</v>
      </c>
      <c r="AC2514">
        <v>1012.6</v>
      </c>
      <c r="AD2514" t="s">
        <v>3420</v>
      </c>
      <c r="AE2514" s="2">
        <f t="shared" si="397"/>
        <v>0</v>
      </c>
      <c r="AF2514" t="s">
        <v>3421</v>
      </c>
      <c r="AG2514" s="2">
        <f t="shared" si="398"/>
        <v>4</v>
      </c>
      <c r="AH2514" s="2">
        <f t="shared" si="399"/>
        <v>0</v>
      </c>
      <c r="AI2514" s="3">
        <v>317.99999999930151</v>
      </c>
      <c r="AJ2514" s="2">
        <v>0</v>
      </c>
      <c r="AK2514">
        <v>0.5</v>
      </c>
      <c r="AL2514">
        <v>0</v>
      </c>
      <c r="AM2514">
        <v>0</v>
      </c>
      <c r="AN2514" s="2">
        <f>IF((2*G2514+M2514-O2514+3*V2514+2*AB2514+2*AE2514+2*AH2514+3*AJ2514)&gt;=7,1,0)</f>
        <v>0</v>
      </c>
    </row>
    <row r="2515" spans="1:40" x14ac:dyDescent="0.25">
      <c r="A2515" t="s">
        <v>27</v>
      </c>
      <c r="B2515" s="1">
        <v>44681</v>
      </c>
      <c r="C2515" s="6">
        <f t="shared" si="390"/>
        <v>2022</v>
      </c>
      <c r="D2515">
        <v>68</v>
      </c>
      <c r="E2515">
        <v>62.6</v>
      </c>
      <c r="F2515">
        <v>65.099999999999994</v>
      </c>
      <c r="G2515" s="2">
        <f t="shared" si="391"/>
        <v>0</v>
      </c>
      <c r="H2515">
        <v>68</v>
      </c>
      <c r="I2515">
        <v>62.6</v>
      </c>
      <c r="J2515">
        <v>65.099999999999994</v>
      </c>
      <c r="K2515">
        <v>55</v>
      </c>
      <c r="L2515">
        <v>70.099999999999994</v>
      </c>
      <c r="M2515" s="2">
        <f t="shared" si="392"/>
        <v>0</v>
      </c>
      <c r="N2515">
        <v>0</v>
      </c>
      <c r="O2515" s="2">
        <f t="shared" si="393"/>
        <v>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29.8</v>
      </c>
      <c r="V2515" s="2">
        <f t="shared" si="394"/>
        <v>1</v>
      </c>
      <c r="W2515">
        <v>24.2</v>
      </c>
      <c r="X2515" s="2">
        <f t="shared" si="395"/>
        <v>1</v>
      </c>
      <c r="Y2515">
        <v>305</v>
      </c>
      <c r="Z2515" s="2" t="str">
        <f>CHOOSE(MATCH(Y2515,{0;11;80;111;161;191;241;281;341},1),"North","NorthEast","East","SouthEast","South","SouthWest","West","NorthWest","North")</f>
        <v>NorthWest</v>
      </c>
      <c r="AA2515" s="4">
        <f>CHOOSE(MATCH(Z2515,{"South";"SouthEast";"SouthWest";"North";"NorthEast";"East";"West";"NorthWest"},0),1,2,3,4,5,6,7,8)</f>
        <v>8</v>
      </c>
      <c r="AB2515" s="2">
        <f t="shared" si="396"/>
        <v>1</v>
      </c>
      <c r="AC2515">
        <v>1014.4</v>
      </c>
      <c r="AD2515" t="s">
        <v>3422</v>
      </c>
      <c r="AE2515" s="2">
        <f t="shared" si="397"/>
        <v>1</v>
      </c>
      <c r="AF2515" t="s">
        <v>3423</v>
      </c>
      <c r="AG2515" s="2">
        <f t="shared" si="398"/>
        <v>4</v>
      </c>
      <c r="AH2515" s="2">
        <f t="shared" si="399"/>
        <v>0</v>
      </c>
      <c r="AI2515" s="3">
        <v>127.9999999981374</v>
      </c>
      <c r="AJ2515" s="2">
        <v>0</v>
      </c>
      <c r="AK2515">
        <v>0</v>
      </c>
      <c r="AL2515">
        <v>0.3</v>
      </c>
      <c r="AM2515">
        <v>0</v>
      </c>
      <c r="AN2515" s="2">
        <f>IF((2*G2515+M2515-O2515+3*V2515+2*AB2515+2*AE2515+2*AH2515+3*AJ2515)&gt;=7,1,0)</f>
        <v>0</v>
      </c>
    </row>
    <row r="2516" spans="1:40" x14ac:dyDescent="0.25">
      <c r="A2516" t="s">
        <v>27</v>
      </c>
      <c r="B2516" s="1">
        <v>44683</v>
      </c>
      <c r="C2516" s="6">
        <f t="shared" si="390"/>
        <v>2022</v>
      </c>
      <c r="D2516">
        <v>68</v>
      </c>
      <c r="E2516">
        <v>57.2</v>
      </c>
      <c r="F2516">
        <v>63.7</v>
      </c>
      <c r="G2516" s="2">
        <f t="shared" si="391"/>
        <v>0</v>
      </c>
      <c r="H2516">
        <v>68</v>
      </c>
      <c r="I2516">
        <v>57.2</v>
      </c>
      <c r="J2516">
        <v>63.7</v>
      </c>
      <c r="K2516">
        <v>58.4</v>
      </c>
      <c r="L2516">
        <v>83.3</v>
      </c>
      <c r="M2516" s="2">
        <f t="shared" si="392"/>
        <v>0</v>
      </c>
      <c r="N2516">
        <v>3.1E-2</v>
      </c>
      <c r="O2516" s="2">
        <f t="shared" si="393"/>
        <v>0</v>
      </c>
      <c r="P2516">
        <v>100</v>
      </c>
      <c r="Q2516">
        <v>4.17</v>
      </c>
      <c r="R2516" t="s">
        <v>182</v>
      </c>
      <c r="S2516">
        <v>0</v>
      </c>
      <c r="T2516">
        <v>0</v>
      </c>
      <c r="U2516">
        <v>37.6</v>
      </c>
      <c r="V2516" s="2">
        <f t="shared" si="394"/>
        <v>1</v>
      </c>
      <c r="W2516">
        <v>13.9</v>
      </c>
      <c r="X2516" s="2">
        <f t="shared" si="395"/>
        <v>0</v>
      </c>
      <c r="Y2516">
        <v>358.8</v>
      </c>
      <c r="Z2516" s="2" t="str">
        <f>CHOOSE(MATCH(Y2516,{0;11;80;111;161;191;241;281;341},1),"North","NorthEast","East","SouthEast","South","SouthWest","West","NorthWest","North")</f>
        <v>North</v>
      </c>
      <c r="AA2516" s="4">
        <f>CHOOSE(MATCH(Z2516,{"South";"SouthEast";"SouthWest";"North";"NorthEast";"East";"West";"NorthWest"},0),1,2,3,4,5,6,7,8)</f>
        <v>4</v>
      </c>
      <c r="AB2516" s="2">
        <f t="shared" si="396"/>
        <v>1</v>
      </c>
      <c r="AC2516">
        <v>1009.5</v>
      </c>
      <c r="AD2516" t="s">
        <v>3424</v>
      </c>
      <c r="AE2516" s="2">
        <f t="shared" si="397"/>
        <v>0</v>
      </c>
      <c r="AF2516" t="s">
        <v>3425</v>
      </c>
      <c r="AG2516" s="2">
        <f t="shared" si="398"/>
        <v>5</v>
      </c>
      <c r="AH2516" s="2">
        <f t="shared" si="399"/>
        <v>0</v>
      </c>
      <c r="AI2516" s="3">
        <v>23.999999994412061</v>
      </c>
      <c r="AJ2516" s="2">
        <v>0</v>
      </c>
      <c r="AK2516">
        <v>0</v>
      </c>
      <c r="AL2516">
        <v>0.01</v>
      </c>
      <c r="AM2516">
        <v>0</v>
      </c>
      <c r="AN2516" s="2">
        <f>IF((2*G2516+M2516-O2516+3*V2516+2*AB2516+2*AE2516+2*AH2516+3*AJ2516)&gt;=7,1,0)</f>
        <v>0</v>
      </c>
    </row>
    <row r="2517" spans="1:40" x14ac:dyDescent="0.25">
      <c r="A2517" t="s">
        <v>27</v>
      </c>
      <c r="B2517" s="1">
        <v>44687</v>
      </c>
      <c r="C2517" s="6">
        <f t="shared" si="390"/>
        <v>2022</v>
      </c>
      <c r="D2517">
        <v>69.8</v>
      </c>
      <c r="E2517">
        <v>53.6</v>
      </c>
      <c r="F2517">
        <v>62.8</v>
      </c>
      <c r="G2517" s="2">
        <f t="shared" si="391"/>
        <v>0</v>
      </c>
      <c r="H2517">
        <v>69.8</v>
      </c>
      <c r="I2517">
        <v>53.6</v>
      </c>
      <c r="J2517">
        <v>62.8</v>
      </c>
      <c r="K2517">
        <v>52.2</v>
      </c>
      <c r="L2517">
        <v>68.900000000000006</v>
      </c>
      <c r="M2517" s="2">
        <f t="shared" si="392"/>
        <v>0</v>
      </c>
      <c r="N2517">
        <v>0</v>
      </c>
      <c r="O2517" s="2">
        <f t="shared" si="393"/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29.8</v>
      </c>
      <c r="V2517" s="2">
        <f t="shared" si="394"/>
        <v>1</v>
      </c>
      <c r="W2517">
        <v>13.9</v>
      </c>
      <c r="X2517" s="2">
        <f t="shared" si="395"/>
        <v>0</v>
      </c>
      <c r="Y2517">
        <v>321.7</v>
      </c>
      <c r="Z2517" s="2" t="str">
        <f>CHOOSE(MATCH(Y2517,{0;11;80;111;161;191;241;281;341},1),"North","NorthEast","East","SouthEast","South","SouthWest","West","NorthWest","North")</f>
        <v>NorthWest</v>
      </c>
      <c r="AA2517" s="4">
        <f>CHOOSE(MATCH(Z2517,{"South";"SouthEast";"SouthWest";"North";"NorthEast";"East";"West";"NorthWest"},0),1,2,3,4,5,6,7,8)</f>
        <v>8</v>
      </c>
      <c r="AB2517" s="2">
        <f t="shared" si="396"/>
        <v>1</v>
      </c>
      <c r="AC2517">
        <v>1019.7</v>
      </c>
      <c r="AD2517" t="s">
        <v>3375</v>
      </c>
      <c r="AE2517" s="2">
        <f t="shared" si="397"/>
        <v>1</v>
      </c>
      <c r="AF2517" t="s">
        <v>3426</v>
      </c>
      <c r="AG2517" s="2">
        <f t="shared" si="398"/>
        <v>5</v>
      </c>
      <c r="AH2517" s="2">
        <f t="shared" si="399"/>
        <v>0</v>
      </c>
      <c r="AI2517" s="3">
        <v>230.99999999860299</v>
      </c>
      <c r="AJ2517" s="2">
        <v>0</v>
      </c>
      <c r="AK2517">
        <v>0</v>
      </c>
      <c r="AL2517">
        <v>0.5</v>
      </c>
      <c r="AM2517">
        <v>0</v>
      </c>
      <c r="AN2517" s="2">
        <f>IF((2*G2517+M2517-O2517+3*V2517+2*AB2517+2*AE2517+2*AH2517+3*AJ2517)&gt;=7,1,0)</f>
        <v>0</v>
      </c>
    </row>
    <row r="2518" spans="1:40" x14ac:dyDescent="0.25">
      <c r="A2518" t="s">
        <v>27</v>
      </c>
      <c r="B2518" s="1">
        <v>44692</v>
      </c>
      <c r="C2518" s="6">
        <f t="shared" si="390"/>
        <v>2022</v>
      </c>
      <c r="D2518">
        <v>69.8</v>
      </c>
      <c r="E2518">
        <v>51.8</v>
      </c>
      <c r="F2518">
        <v>62</v>
      </c>
      <c r="G2518" s="2">
        <f t="shared" si="391"/>
        <v>0</v>
      </c>
      <c r="H2518">
        <v>69.8</v>
      </c>
      <c r="I2518">
        <v>51.8</v>
      </c>
      <c r="J2518">
        <v>62</v>
      </c>
      <c r="K2518">
        <v>50.9</v>
      </c>
      <c r="L2518">
        <v>68.3</v>
      </c>
      <c r="M2518" s="2">
        <f t="shared" si="392"/>
        <v>0</v>
      </c>
      <c r="N2518">
        <v>0</v>
      </c>
      <c r="O2518" s="2">
        <f t="shared" si="393"/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24.8</v>
      </c>
      <c r="V2518" s="2">
        <f t="shared" si="394"/>
        <v>1</v>
      </c>
      <c r="W2518">
        <v>17.2</v>
      </c>
      <c r="X2518" s="2">
        <f t="shared" si="395"/>
        <v>1</v>
      </c>
      <c r="Y2518">
        <v>300.8</v>
      </c>
      <c r="Z2518" s="2" t="str">
        <f>CHOOSE(MATCH(Y2518,{0;11;80;111;161;191;241;281;341},1),"North","NorthEast","East","SouthEast","South","SouthWest","West","NorthWest","North")</f>
        <v>NorthWest</v>
      </c>
      <c r="AA2518" s="4">
        <f>CHOOSE(MATCH(Z2518,{"South";"SouthEast";"SouthWest";"North";"NorthEast";"East";"West";"NorthWest"},0),1,2,3,4,5,6,7,8)</f>
        <v>8</v>
      </c>
      <c r="AB2518" s="2">
        <f t="shared" si="396"/>
        <v>1</v>
      </c>
      <c r="AC2518">
        <v>1018.2</v>
      </c>
      <c r="AD2518" t="s">
        <v>3121</v>
      </c>
      <c r="AE2518" s="2">
        <f t="shared" si="397"/>
        <v>1</v>
      </c>
      <c r="AF2518" t="s">
        <v>3427</v>
      </c>
      <c r="AG2518" s="2">
        <f t="shared" si="398"/>
        <v>5</v>
      </c>
      <c r="AH2518" s="2">
        <f t="shared" si="399"/>
        <v>0</v>
      </c>
      <c r="AI2518" s="3">
        <v>177.00000000069849</v>
      </c>
      <c r="AJ2518" s="2">
        <v>0</v>
      </c>
      <c r="AK2518">
        <v>0.01</v>
      </c>
      <c r="AL2518">
        <v>0</v>
      </c>
      <c r="AM2518">
        <v>0</v>
      </c>
      <c r="AN2518" s="2">
        <f>IF((2*G2518+M2518-O2518+3*V2518+2*AB2518+2*AE2518+2*AH2518+3*AJ2518)&gt;=7,1,0)</f>
        <v>0</v>
      </c>
    </row>
    <row r="2519" spans="1:40" x14ac:dyDescent="0.25">
      <c r="A2519" t="s">
        <v>27</v>
      </c>
      <c r="B2519" s="1">
        <v>44710</v>
      </c>
      <c r="C2519" s="6">
        <f t="shared" si="390"/>
        <v>2022</v>
      </c>
      <c r="D2519">
        <v>96.8</v>
      </c>
      <c r="E2519">
        <v>69.8</v>
      </c>
      <c r="F2519">
        <v>82.5</v>
      </c>
      <c r="G2519" s="2">
        <f t="shared" si="391"/>
        <v>1</v>
      </c>
      <c r="H2519">
        <v>96.9</v>
      </c>
      <c r="I2519">
        <v>69.8</v>
      </c>
      <c r="J2519">
        <v>81.5</v>
      </c>
      <c r="K2519">
        <v>54.1</v>
      </c>
      <c r="L2519">
        <v>45.7</v>
      </c>
      <c r="M2519" s="2">
        <f t="shared" si="392"/>
        <v>1</v>
      </c>
      <c r="N2519">
        <v>0</v>
      </c>
      <c r="O2519" s="2">
        <f t="shared" si="393"/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39.1</v>
      </c>
      <c r="V2519" s="2">
        <f t="shared" si="394"/>
        <v>1</v>
      </c>
      <c r="W2519">
        <v>21.9</v>
      </c>
      <c r="X2519" s="2">
        <f t="shared" si="395"/>
        <v>1</v>
      </c>
      <c r="Y2519">
        <v>169.8</v>
      </c>
      <c r="Z2519" s="2" t="str">
        <f>CHOOSE(MATCH(Y2519,{0;11;80;111;161;191;241;281;341},1),"North","NorthEast","East","SouthEast","South","SouthWest","West","NorthWest","North")</f>
        <v>South</v>
      </c>
      <c r="AA2519" s="4">
        <f>CHOOSE(MATCH(Z2519,{"South";"SouthEast";"SouthWest";"North";"NorthEast";"East";"West";"NorthWest"},0),1,2,3,4,5,6,7,8)</f>
        <v>1</v>
      </c>
      <c r="AB2519" s="2">
        <f t="shared" si="396"/>
        <v>0</v>
      </c>
      <c r="AC2519">
        <v>1007.8</v>
      </c>
      <c r="AD2519" t="s">
        <v>2416</v>
      </c>
      <c r="AE2519" s="2">
        <f t="shared" si="397"/>
        <v>1</v>
      </c>
      <c r="AF2519" t="s">
        <v>3428</v>
      </c>
      <c r="AG2519" s="2">
        <f t="shared" si="398"/>
        <v>5</v>
      </c>
      <c r="AH2519" s="2">
        <f t="shared" si="399"/>
        <v>0</v>
      </c>
      <c r="AI2519" s="3">
        <v>1193.00000000163</v>
      </c>
      <c r="AJ2519" s="2">
        <v>1</v>
      </c>
      <c r="AK2519">
        <v>4</v>
      </c>
      <c r="AL2519">
        <v>0</v>
      </c>
      <c r="AM2519">
        <v>0</v>
      </c>
      <c r="AN2519" s="2">
        <f>IF((2*G2519+M2519-O2519+3*V2519+2*AB2519+2*AE2519+2*AH2519+3*AJ2519)&gt;=7,1,0)</f>
        <v>1</v>
      </c>
    </row>
    <row r="2520" spans="1:40" x14ac:dyDescent="0.25">
      <c r="A2520" t="s">
        <v>27</v>
      </c>
      <c r="B2520" s="1">
        <v>44716</v>
      </c>
      <c r="C2520" s="6">
        <f t="shared" si="390"/>
        <v>2022</v>
      </c>
      <c r="D2520">
        <v>78.8</v>
      </c>
      <c r="E2520">
        <v>73.400000000000006</v>
      </c>
      <c r="F2520">
        <v>76.3</v>
      </c>
      <c r="G2520" s="2">
        <f t="shared" si="391"/>
        <v>1</v>
      </c>
      <c r="H2520">
        <v>78.8</v>
      </c>
      <c r="I2520">
        <v>73.400000000000006</v>
      </c>
      <c r="J2520">
        <v>76.3</v>
      </c>
      <c r="K2520">
        <v>65.099999999999994</v>
      </c>
      <c r="L2520">
        <v>68.5</v>
      </c>
      <c r="M2520" s="2">
        <f t="shared" si="392"/>
        <v>0</v>
      </c>
      <c r="N2520">
        <v>0</v>
      </c>
      <c r="O2520" s="2">
        <f t="shared" si="393"/>
        <v>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33.299999999999997</v>
      </c>
      <c r="V2520" s="2">
        <f t="shared" si="394"/>
        <v>1</v>
      </c>
      <c r="W2520">
        <v>20.8</v>
      </c>
      <c r="X2520" s="2">
        <f t="shared" si="395"/>
        <v>1</v>
      </c>
      <c r="Y2520">
        <v>295</v>
      </c>
      <c r="Z2520" s="2" t="str">
        <f>CHOOSE(MATCH(Y2520,{0;11;80;111;161;191;241;281;341},1),"North","NorthEast","East","SouthEast","South","SouthWest","West","NorthWest","North")</f>
        <v>NorthWest</v>
      </c>
      <c r="AA2520" s="4">
        <f>CHOOSE(MATCH(Z2520,{"South";"SouthEast";"SouthWest";"North";"NorthEast";"East";"West";"NorthWest"},0),1,2,3,4,5,6,7,8)</f>
        <v>8</v>
      </c>
      <c r="AB2520" s="2">
        <f t="shared" si="396"/>
        <v>1</v>
      </c>
      <c r="AC2520">
        <v>1012.6</v>
      </c>
      <c r="AD2520" t="s">
        <v>1779</v>
      </c>
      <c r="AE2520" s="2">
        <f t="shared" si="397"/>
        <v>1</v>
      </c>
      <c r="AF2520" t="s">
        <v>3429</v>
      </c>
      <c r="AG2520" s="2">
        <f t="shared" si="398"/>
        <v>6</v>
      </c>
      <c r="AH2520" s="2">
        <f t="shared" si="399"/>
        <v>1</v>
      </c>
      <c r="AI2520" s="3">
        <v>1125</v>
      </c>
      <c r="AJ2520" s="2">
        <v>1</v>
      </c>
      <c r="AK2520">
        <v>0</v>
      </c>
      <c r="AL2520">
        <v>0.5</v>
      </c>
      <c r="AM2520">
        <v>0</v>
      </c>
      <c r="AN2520" s="2">
        <f>IF((2*G2520+M2520-O2520+3*V2520+2*AB2520+2*AE2520+2*AH2520+3*AJ2520)&gt;=7,1,0)</f>
        <v>1</v>
      </c>
    </row>
    <row r="2521" spans="1:40" x14ac:dyDescent="0.25">
      <c r="A2521" t="s">
        <v>27</v>
      </c>
      <c r="B2521" s="1">
        <v>44718</v>
      </c>
      <c r="C2521" s="6">
        <f t="shared" si="390"/>
        <v>2022</v>
      </c>
      <c r="D2521">
        <v>87.8</v>
      </c>
      <c r="E2521">
        <v>69.8</v>
      </c>
      <c r="F2521">
        <v>79.3</v>
      </c>
      <c r="G2521" s="2">
        <f t="shared" si="391"/>
        <v>1</v>
      </c>
      <c r="H2521">
        <v>90.3</v>
      </c>
      <c r="I2521">
        <v>69.8</v>
      </c>
      <c r="J2521">
        <v>80</v>
      </c>
      <c r="K2521">
        <v>63.3</v>
      </c>
      <c r="L2521">
        <v>59.2</v>
      </c>
      <c r="M2521" s="2">
        <f t="shared" si="392"/>
        <v>1</v>
      </c>
      <c r="N2521">
        <v>0</v>
      </c>
      <c r="O2521" s="2">
        <f t="shared" si="393"/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29.8</v>
      </c>
      <c r="V2521" s="2">
        <f t="shared" si="394"/>
        <v>1</v>
      </c>
      <c r="W2521">
        <v>18.3</v>
      </c>
      <c r="X2521" s="2">
        <f t="shared" si="395"/>
        <v>1</v>
      </c>
      <c r="Y2521">
        <v>302.39999999999998</v>
      </c>
      <c r="Z2521" s="2" t="str">
        <f>CHOOSE(MATCH(Y2521,{0;11;80;111;161;191;241;281;341},1),"North","NorthEast","East","SouthEast","South","SouthWest","West","NorthWest","North")</f>
        <v>NorthWest</v>
      </c>
      <c r="AA2521" s="4">
        <f>CHOOSE(MATCH(Z2521,{"South";"SouthEast";"SouthWest";"North";"NorthEast";"East";"West";"NorthWest"},0),1,2,3,4,5,6,7,8)</f>
        <v>8</v>
      </c>
      <c r="AB2521" s="2">
        <f t="shared" si="396"/>
        <v>1</v>
      </c>
      <c r="AC2521">
        <v>1011.5</v>
      </c>
      <c r="AD2521" t="s">
        <v>2905</v>
      </c>
      <c r="AE2521" s="2">
        <f t="shared" si="397"/>
        <v>1</v>
      </c>
      <c r="AF2521" t="s">
        <v>3430</v>
      </c>
      <c r="AG2521" s="2">
        <f t="shared" si="398"/>
        <v>6</v>
      </c>
      <c r="AH2521" s="2">
        <f t="shared" si="399"/>
        <v>1</v>
      </c>
      <c r="AI2521" s="3">
        <v>1059.9999999976719</v>
      </c>
      <c r="AJ2521" s="2">
        <v>1</v>
      </c>
      <c r="AK2521">
        <v>0.1</v>
      </c>
      <c r="AL2521">
        <v>0</v>
      </c>
      <c r="AM2521">
        <v>0</v>
      </c>
      <c r="AN2521" s="2">
        <f>IF((2*G2521+M2521-O2521+3*V2521+2*AB2521+2*AE2521+2*AH2521+3*AJ2521)&gt;=7,1,0)</f>
        <v>1</v>
      </c>
    </row>
    <row r="2522" spans="1:40" x14ac:dyDescent="0.25">
      <c r="A2522" t="s">
        <v>27</v>
      </c>
      <c r="B2522" s="1">
        <v>44718</v>
      </c>
      <c r="C2522" s="6">
        <f t="shared" si="390"/>
        <v>2022</v>
      </c>
      <c r="D2522">
        <v>87.8</v>
      </c>
      <c r="E2522">
        <v>69.8</v>
      </c>
      <c r="F2522">
        <v>79.3</v>
      </c>
      <c r="G2522" s="2">
        <f t="shared" si="391"/>
        <v>1</v>
      </c>
      <c r="H2522">
        <v>90.3</v>
      </c>
      <c r="I2522">
        <v>69.8</v>
      </c>
      <c r="J2522">
        <v>80</v>
      </c>
      <c r="K2522">
        <v>63.3</v>
      </c>
      <c r="L2522">
        <v>59.2</v>
      </c>
      <c r="M2522" s="2">
        <f t="shared" si="392"/>
        <v>1</v>
      </c>
      <c r="N2522">
        <v>0</v>
      </c>
      <c r="O2522" s="2">
        <f t="shared" si="393"/>
        <v>1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29.8</v>
      </c>
      <c r="V2522" s="2">
        <f t="shared" si="394"/>
        <v>1</v>
      </c>
      <c r="W2522">
        <v>18.3</v>
      </c>
      <c r="X2522" s="2">
        <f t="shared" si="395"/>
        <v>1</v>
      </c>
      <c r="Y2522">
        <v>302.39999999999998</v>
      </c>
      <c r="Z2522" s="2" t="str">
        <f>CHOOSE(MATCH(Y2522,{0;11;80;111;161;191;241;281;341},1),"North","NorthEast","East","SouthEast","South","SouthWest","West","NorthWest","North")</f>
        <v>NorthWest</v>
      </c>
      <c r="AA2522" s="4">
        <f>CHOOSE(MATCH(Z2522,{"South";"SouthEast";"SouthWest";"North";"NorthEast";"East";"West";"NorthWest"},0),1,2,3,4,5,6,7,8)</f>
        <v>8</v>
      </c>
      <c r="AB2522" s="2">
        <f t="shared" si="396"/>
        <v>1</v>
      </c>
      <c r="AC2522">
        <v>1011.5</v>
      </c>
      <c r="AD2522" t="s">
        <v>3431</v>
      </c>
      <c r="AE2522" s="2">
        <f t="shared" si="397"/>
        <v>1</v>
      </c>
      <c r="AF2522" t="s">
        <v>3432</v>
      </c>
      <c r="AG2522" s="2">
        <f t="shared" si="398"/>
        <v>6</v>
      </c>
      <c r="AH2522" s="2">
        <f t="shared" si="399"/>
        <v>1</v>
      </c>
      <c r="AI2522" s="3">
        <v>235.00000000116421</v>
      </c>
      <c r="AJ2522" s="2">
        <v>0</v>
      </c>
      <c r="AK2522">
        <v>0</v>
      </c>
      <c r="AL2522">
        <v>0.1</v>
      </c>
      <c r="AM2522">
        <v>0</v>
      </c>
      <c r="AN2522" s="2">
        <f>IF((2*G2522+M2522-O2522+3*V2522+2*AB2522+2*AE2522+2*AH2522+3*AJ2522)&gt;=7,1,0)</f>
        <v>1</v>
      </c>
    </row>
    <row r="2523" spans="1:40" x14ac:dyDescent="0.25">
      <c r="A2523" t="s">
        <v>27</v>
      </c>
      <c r="B2523" s="1">
        <v>44719</v>
      </c>
      <c r="C2523" s="6">
        <f t="shared" si="390"/>
        <v>2022</v>
      </c>
      <c r="D2523">
        <v>78.8</v>
      </c>
      <c r="E2523">
        <v>71.599999999999994</v>
      </c>
      <c r="F2523">
        <v>75.599999999999994</v>
      </c>
      <c r="G2523" s="2">
        <f t="shared" si="391"/>
        <v>1</v>
      </c>
      <c r="H2523">
        <v>78.8</v>
      </c>
      <c r="I2523">
        <v>71.599999999999994</v>
      </c>
      <c r="J2523">
        <v>75.599999999999994</v>
      </c>
      <c r="K2523">
        <v>66.099999999999994</v>
      </c>
      <c r="L2523">
        <v>72.599999999999994</v>
      </c>
      <c r="M2523" s="2">
        <f t="shared" si="392"/>
        <v>0</v>
      </c>
      <c r="N2523">
        <v>0</v>
      </c>
      <c r="O2523" s="2">
        <f t="shared" si="393"/>
        <v>1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26.6</v>
      </c>
      <c r="V2523" s="2">
        <f t="shared" si="394"/>
        <v>1</v>
      </c>
      <c r="W2523">
        <v>16.100000000000001</v>
      </c>
      <c r="X2523" s="2">
        <f t="shared" si="395"/>
        <v>1</v>
      </c>
      <c r="Y2523">
        <v>308.89999999999998</v>
      </c>
      <c r="Z2523" s="2" t="str">
        <f>CHOOSE(MATCH(Y2523,{0;11;80;111;161;191;241;281;341},1),"North","NorthEast","East","SouthEast","South","SouthWest","West","NorthWest","North")</f>
        <v>NorthWest</v>
      </c>
      <c r="AA2523" s="4">
        <f>CHOOSE(MATCH(Z2523,{"South";"SouthEast";"SouthWest";"North";"NorthEast";"East";"West";"NorthWest"},0),1,2,3,4,5,6,7,8)</f>
        <v>8</v>
      </c>
      <c r="AB2523" s="2">
        <f t="shared" si="396"/>
        <v>1</v>
      </c>
      <c r="AC2523">
        <v>1011.3</v>
      </c>
      <c r="AD2523" t="s">
        <v>2434</v>
      </c>
      <c r="AE2523" s="2">
        <f t="shared" si="397"/>
        <v>1</v>
      </c>
      <c r="AF2523" t="s">
        <v>3433</v>
      </c>
      <c r="AG2523" s="2">
        <f t="shared" si="398"/>
        <v>6</v>
      </c>
      <c r="AH2523" s="2">
        <f t="shared" si="399"/>
        <v>1</v>
      </c>
      <c r="AI2523" s="3">
        <v>351.00000000209548</v>
      </c>
      <c r="AJ2523" s="2">
        <v>0</v>
      </c>
      <c r="AK2523">
        <v>0</v>
      </c>
      <c r="AL2523">
        <v>0.01</v>
      </c>
      <c r="AM2523">
        <v>0</v>
      </c>
      <c r="AN2523" s="2">
        <f>IF((2*G2523+M2523-O2523+3*V2523+2*AB2523+2*AE2523+2*AH2523+3*AJ2523)&gt;=7,1,0)</f>
        <v>1</v>
      </c>
    </row>
    <row r="2524" spans="1:40" x14ac:dyDescent="0.25">
      <c r="A2524" t="s">
        <v>27</v>
      </c>
      <c r="B2524" s="1">
        <v>44719</v>
      </c>
      <c r="C2524" s="6">
        <f t="shared" si="390"/>
        <v>2022</v>
      </c>
      <c r="D2524">
        <v>78.8</v>
      </c>
      <c r="E2524">
        <v>71.599999999999994</v>
      </c>
      <c r="F2524">
        <v>75.599999999999994</v>
      </c>
      <c r="G2524" s="2">
        <f t="shared" si="391"/>
        <v>1</v>
      </c>
      <c r="H2524">
        <v>78.8</v>
      </c>
      <c r="I2524">
        <v>71.599999999999994</v>
      </c>
      <c r="J2524">
        <v>75.599999999999994</v>
      </c>
      <c r="K2524">
        <v>66.099999999999994</v>
      </c>
      <c r="L2524">
        <v>72.599999999999994</v>
      </c>
      <c r="M2524" s="2">
        <f t="shared" si="392"/>
        <v>0</v>
      </c>
      <c r="N2524">
        <v>0</v>
      </c>
      <c r="O2524" s="2">
        <f t="shared" si="393"/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26.6</v>
      </c>
      <c r="V2524" s="2">
        <f t="shared" si="394"/>
        <v>1</v>
      </c>
      <c r="W2524">
        <v>16.100000000000001</v>
      </c>
      <c r="X2524" s="2">
        <f t="shared" si="395"/>
        <v>1</v>
      </c>
      <c r="Y2524">
        <v>308.89999999999998</v>
      </c>
      <c r="Z2524" s="2" t="str">
        <f>CHOOSE(MATCH(Y2524,{0;11;80;111;161;191;241;281;341},1),"North","NorthEast","East","SouthEast","South","SouthWest","West","NorthWest","North")</f>
        <v>NorthWest</v>
      </c>
      <c r="AA2524" s="4">
        <f>CHOOSE(MATCH(Z2524,{"South";"SouthEast";"SouthWest";"North";"NorthEast";"East";"West";"NorthWest"},0),1,2,3,4,5,6,7,8)</f>
        <v>8</v>
      </c>
      <c r="AB2524" s="2">
        <f t="shared" si="396"/>
        <v>1</v>
      </c>
      <c r="AC2524">
        <v>1011.3</v>
      </c>
      <c r="AD2524" t="s">
        <v>3342</v>
      </c>
      <c r="AE2524" s="2">
        <f t="shared" si="397"/>
        <v>1</v>
      </c>
      <c r="AF2524" t="s">
        <v>3434</v>
      </c>
      <c r="AG2524" s="2">
        <f t="shared" si="398"/>
        <v>6</v>
      </c>
      <c r="AH2524" s="2">
        <f t="shared" si="399"/>
        <v>1</v>
      </c>
      <c r="AI2524" s="3">
        <v>227.00000000651929</v>
      </c>
      <c r="AJ2524" s="2">
        <v>0</v>
      </c>
      <c r="AK2524">
        <v>0.01</v>
      </c>
      <c r="AL2524">
        <v>0</v>
      </c>
      <c r="AM2524">
        <v>0</v>
      </c>
      <c r="AN2524" s="2">
        <f>IF((2*G2524+M2524-O2524+3*V2524+2*AB2524+2*AE2524+2*AH2524+3*AJ2524)&gt;=7,1,0)</f>
        <v>1</v>
      </c>
    </row>
    <row r="2525" spans="1:40" x14ac:dyDescent="0.25">
      <c r="A2525" t="s">
        <v>27</v>
      </c>
      <c r="B2525" s="1">
        <v>44719</v>
      </c>
      <c r="C2525" s="6">
        <f t="shared" si="390"/>
        <v>2022</v>
      </c>
      <c r="D2525">
        <v>78.8</v>
      </c>
      <c r="E2525">
        <v>71.599999999999994</v>
      </c>
      <c r="F2525">
        <v>75.599999999999994</v>
      </c>
      <c r="G2525" s="2">
        <f t="shared" si="391"/>
        <v>1</v>
      </c>
      <c r="H2525">
        <v>78.8</v>
      </c>
      <c r="I2525">
        <v>71.599999999999994</v>
      </c>
      <c r="J2525">
        <v>75.599999999999994</v>
      </c>
      <c r="K2525">
        <v>66.099999999999994</v>
      </c>
      <c r="L2525">
        <v>72.599999999999994</v>
      </c>
      <c r="M2525" s="2">
        <f t="shared" si="392"/>
        <v>0</v>
      </c>
      <c r="N2525">
        <v>0</v>
      </c>
      <c r="O2525" s="2">
        <f t="shared" si="393"/>
        <v>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26.6</v>
      </c>
      <c r="V2525" s="2">
        <f t="shared" si="394"/>
        <v>1</v>
      </c>
      <c r="W2525">
        <v>16.100000000000001</v>
      </c>
      <c r="X2525" s="2">
        <f t="shared" si="395"/>
        <v>1</v>
      </c>
      <c r="Y2525">
        <v>308.89999999999998</v>
      </c>
      <c r="Z2525" s="2" t="str">
        <f>CHOOSE(MATCH(Y2525,{0;11;80;111;161;191;241;281;341},1),"North","NorthEast","East","SouthEast","South","SouthWest","West","NorthWest","North")</f>
        <v>NorthWest</v>
      </c>
      <c r="AA2525" s="4">
        <f>CHOOSE(MATCH(Z2525,{"South";"SouthEast";"SouthWest";"North";"NorthEast";"East";"West";"NorthWest"},0),1,2,3,4,5,6,7,8)</f>
        <v>8</v>
      </c>
      <c r="AB2525" s="2">
        <f t="shared" si="396"/>
        <v>1</v>
      </c>
      <c r="AC2525">
        <v>1011.3</v>
      </c>
      <c r="AD2525" t="s">
        <v>2937</v>
      </c>
      <c r="AE2525" s="2">
        <f t="shared" si="397"/>
        <v>1</v>
      </c>
      <c r="AF2525" t="s">
        <v>3435</v>
      </c>
      <c r="AG2525" s="2">
        <f t="shared" si="398"/>
        <v>6</v>
      </c>
      <c r="AH2525" s="2">
        <f t="shared" si="399"/>
        <v>1</v>
      </c>
      <c r="AI2525" s="3">
        <v>449.00000000721769</v>
      </c>
      <c r="AJ2525" s="2">
        <v>1</v>
      </c>
      <c r="AK2525">
        <v>0</v>
      </c>
      <c r="AL2525">
        <v>0.01</v>
      </c>
      <c r="AM2525">
        <v>0</v>
      </c>
      <c r="AN2525" s="2">
        <f>IF((2*G2525+M2525-O2525+3*V2525+2*AB2525+2*AE2525+2*AH2525+3*AJ2525)&gt;=7,1,0)</f>
        <v>1</v>
      </c>
    </row>
    <row r="2526" spans="1:40" x14ac:dyDescent="0.25">
      <c r="A2526" t="s">
        <v>27</v>
      </c>
      <c r="B2526" s="1">
        <v>44720</v>
      </c>
      <c r="C2526" s="6">
        <f t="shared" si="390"/>
        <v>2022</v>
      </c>
      <c r="D2526">
        <v>78.8</v>
      </c>
      <c r="E2526">
        <v>64.400000000000006</v>
      </c>
      <c r="F2526">
        <v>73.2</v>
      </c>
      <c r="G2526" s="2">
        <f t="shared" si="391"/>
        <v>1</v>
      </c>
      <c r="H2526">
        <v>78.8</v>
      </c>
      <c r="I2526">
        <v>64.400000000000006</v>
      </c>
      <c r="J2526">
        <v>73.2</v>
      </c>
      <c r="K2526">
        <v>60.7</v>
      </c>
      <c r="L2526">
        <v>65.3</v>
      </c>
      <c r="M2526" s="2">
        <f t="shared" si="392"/>
        <v>1</v>
      </c>
      <c r="N2526">
        <v>0</v>
      </c>
      <c r="O2526" s="2">
        <f t="shared" si="393"/>
        <v>1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18.3</v>
      </c>
      <c r="V2526" s="2">
        <f t="shared" si="394"/>
        <v>1</v>
      </c>
      <c r="W2526">
        <v>6.9</v>
      </c>
      <c r="X2526" s="2">
        <f t="shared" si="395"/>
        <v>0</v>
      </c>
      <c r="Y2526">
        <v>102</v>
      </c>
      <c r="Z2526" s="2" t="str">
        <f>CHOOSE(MATCH(Y2526,{0;11;80;111;161;191;241;281;341},1),"North","NorthEast","East","SouthEast","South","SouthWest","West","NorthWest","North")</f>
        <v>East</v>
      </c>
      <c r="AA2526" s="4">
        <f>CHOOSE(MATCH(Z2526,{"South";"SouthEast";"SouthWest";"North";"NorthEast";"East";"West";"NorthWest"},0),1,2,3,4,5,6,7,8)</f>
        <v>6</v>
      </c>
      <c r="AB2526" s="2">
        <f t="shared" si="396"/>
        <v>0</v>
      </c>
      <c r="AC2526">
        <v>1010.5</v>
      </c>
      <c r="AD2526" t="s">
        <v>2087</v>
      </c>
      <c r="AE2526" s="2">
        <f t="shared" si="397"/>
        <v>1</v>
      </c>
      <c r="AF2526" t="s">
        <v>3436</v>
      </c>
      <c r="AG2526" s="2">
        <f t="shared" si="398"/>
        <v>6</v>
      </c>
      <c r="AH2526" s="2">
        <f t="shared" si="399"/>
        <v>1</v>
      </c>
      <c r="AI2526" s="3">
        <v>139.99999999534339</v>
      </c>
      <c r="AJ2526" s="2">
        <v>0</v>
      </c>
      <c r="AK2526">
        <v>0</v>
      </c>
      <c r="AL2526">
        <v>0.01</v>
      </c>
      <c r="AM2526">
        <v>0</v>
      </c>
      <c r="AN2526" s="2">
        <f>IF((2*G2526+M2526-O2526+3*V2526+2*AB2526+2*AE2526+2*AH2526+3*AJ2526)&gt;=7,1,0)</f>
        <v>1</v>
      </c>
    </row>
    <row r="2527" spans="1:40" x14ac:dyDescent="0.25">
      <c r="A2527" t="s">
        <v>27</v>
      </c>
      <c r="B2527" s="1">
        <v>44725</v>
      </c>
      <c r="C2527" s="6">
        <f t="shared" si="390"/>
        <v>2022</v>
      </c>
      <c r="D2527">
        <v>78.8</v>
      </c>
      <c r="E2527">
        <v>73.400000000000006</v>
      </c>
      <c r="F2527">
        <v>75.400000000000006</v>
      </c>
      <c r="G2527" s="2">
        <f t="shared" si="391"/>
        <v>1</v>
      </c>
      <c r="H2527">
        <v>78.8</v>
      </c>
      <c r="I2527">
        <v>73.400000000000006</v>
      </c>
      <c r="J2527">
        <v>75.400000000000006</v>
      </c>
      <c r="K2527">
        <v>64.900000000000006</v>
      </c>
      <c r="L2527">
        <v>70.2</v>
      </c>
      <c r="M2527" s="2">
        <f t="shared" si="392"/>
        <v>0</v>
      </c>
      <c r="N2527">
        <v>1.6E-2</v>
      </c>
      <c r="O2527" s="2">
        <f t="shared" si="393"/>
        <v>0</v>
      </c>
      <c r="P2527">
        <v>100</v>
      </c>
      <c r="Q2527">
        <v>4.17</v>
      </c>
      <c r="R2527" t="s">
        <v>182</v>
      </c>
      <c r="S2527">
        <v>0</v>
      </c>
      <c r="T2527">
        <v>0</v>
      </c>
      <c r="U2527">
        <v>36.200000000000003</v>
      </c>
      <c r="V2527" s="2">
        <f t="shared" si="394"/>
        <v>1</v>
      </c>
      <c r="W2527">
        <v>20.8</v>
      </c>
      <c r="X2527" s="2">
        <f t="shared" si="395"/>
        <v>1</v>
      </c>
      <c r="Y2527">
        <v>298</v>
      </c>
      <c r="Z2527" s="2" t="str">
        <f>CHOOSE(MATCH(Y2527,{0;11;80;111;161;191;241;281;341},1),"North","NorthEast","East","SouthEast","South","SouthWest","West","NorthWest","North")</f>
        <v>NorthWest</v>
      </c>
      <c r="AA2527" s="4">
        <f>CHOOSE(MATCH(Z2527,{"South";"SouthEast";"SouthWest";"North";"NorthEast";"East";"West";"NorthWest"},0),1,2,3,4,5,6,7,8)</f>
        <v>8</v>
      </c>
      <c r="AB2527" s="2">
        <f t="shared" si="396"/>
        <v>1</v>
      </c>
      <c r="AC2527">
        <v>1009.3</v>
      </c>
      <c r="AD2527" t="s">
        <v>2274</v>
      </c>
      <c r="AE2527" s="2">
        <f t="shared" si="397"/>
        <v>1</v>
      </c>
      <c r="AF2527" t="s">
        <v>3437</v>
      </c>
      <c r="AG2527" s="2">
        <f t="shared" si="398"/>
        <v>6</v>
      </c>
      <c r="AH2527" s="2">
        <f t="shared" si="399"/>
        <v>1</v>
      </c>
      <c r="AI2527" s="3">
        <v>1583.999999997905</v>
      </c>
      <c r="AJ2527" s="2">
        <v>1</v>
      </c>
      <c r="AK2527">
        <v>0</v>
      </c>
      <c r="AL2527">
        <v>0.5</v>
      </c>
      <c r="AM2527">
        <v>0</v>
      </c>
      <c r="AN2527" s="2">
        <f>IF((2*G2527+M2527-O2527+3*V2527+2*AB2527+2*AE2527+2*AH2527+3*AJ2527)&gt;=7,1,0)</f>
        <v>1</v>
      </c>
    </row>
    <row r="2528" spans="1:40" x14ac:dyDescent="0.25">
      <c r="A2528" t="s">
        <v>27</v>
      </c>
      <c r="B2528" s="1">
        <v>44727</v>
      </c>
      <c r="C2528" s="6">
        <f t="shared" si="390"/>
        <v>2022</v>
      </c>
      <c r="D2528">
        <v>80.599999999999994</v>
      </c>
      <c r="E2528">
        <v>69.8</v>
      </c>
      <c r="F2528">
        <v>76.8</v>
      </c>
      <c r="G2528" s="2">
        <f t="shared" si="391"/>
        <v>1</v>
      </c>
      <c r="H2528">
        <v>83.3</v>
      </c>
      <c r="I2528">
        <v>69.8</v>
      </c>
      <c r="J2528">
        <v>77.3</v>
      </c>
      <c r="K2528">
        <v>64.7</v>
      </c>
      <c r="L2528">
        <v>66.599999999999994</v>
      </c>
      <c r="M2528" s="2">
        <f t="shared" si="392"/>
        <v>0</v>
      </c>
      <c r="N2528">
        <v>0</v>
      </c>
      <c r="O2528" s="2">
        <f t="shared" si="393"/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28.4</v>
      </c>
      <c r="V2528" s="2">
        <f t="shared" si="394"/>
        <v>1</v>
      </c>
      <c r="W2528">
        <v>16.100000000000001</v>
      </c>
      <c r="X2528" s="2">
        <f t="shared" si="395"/>
        <v>1</v>
      </c>
      <c r="Y2528">
        <v>301.39999999999998</v>
      </c>
      <c r="Z2528" s="2" t="str">
        <f>CHOOSE(MATCH(Y2528,{0;11;80;111;161;191;241;281;341},1),"North","NorthEast","East","SouthEast","South","SouthWest","West","NorthWest","North")</f>
        <v>NorthWest</v>
      </c>
      <c r="AA2528" s="4">
        <f>CHOOSE(MATCH(Z2528,{"South";"SouthEast";"SouthWest";"North";"NorthEast";"East";"West";"NorthWest"},0),1,2,3,4,5,6,7,8)</f>
        <v>8</v>
      </c>
      <c r="AB2528" s="2">
        <f t="shared" si="396"/>
        <v>1</v>
      </c>
      <c r="AC2528">
        <v>1014.3</v>
      </c>
      <c r="AD2528" t="s">
        <v>1135</v>
      </c>
      <c r="AE2528" s="2">
        <f t="shared" si="397"/>
        <v>1</v>
      </c>
      <c r="AF2528" t="s">
        <v>3438</v>
      </c>
      <c r="AG2528" s="2">
        <f t="shared" si="398"/>
        <v>6</v>
      </c>
      <c r="AH2528" s="2">
        <f t="shared" si="399"/>
        <v>1</v>
      </c>
      <c r="AI2528" s="3">
        <v>140.99999999860299</v>
      </c>
      <c r="AJ2528" s="2">
        <v>0</v>
      </c>
      <c r="AK2528">
        <v>0</v>
      </c>
      <c r="AL2528">
        <v>0.01</v>
      </c>
      <c r="AM2528">
        <v>0</v>
      </c>
      <c r="AN2528" s="2">
        <f>IF((2*G2528+M2528-O2528+3*V2528+2*AB2528+2*AE2528+2*AH2528+3*AJ2528)&gt;=7,1,0)</f>
        <v>1</v>
      </c>
    </row>
    <row r="2529" spans="1:40" x14ac:dyDescent="0.25">
      <c r="A2529" t="s">
        <v>27</v>
      </c>
      <c r="B2529" s="1">
        <v>44728</v>
      </c>
      <c r="C2529" s="6">
        <f t="shared" si="390"/>
        <v>2022</v>
      </c>
      <c r="D2529">
        <v>80.599999999999994</v>
      </c>
      <c r="E2529">
        <v>68</v>
      </c>
      <c r="F2529">
        <v>75.599999999999994</v>
      </c>
      <c r="G2529" s="2">
        <f t="shared" si="391"/>
        <v>1</v>
      </c>
      <c r="H2529">
        <v>82.8</v>
      </c>
      <c r="I2529">
        <v>68</v>
      </c>
      <c r="J2529">
        <v>75.7</v>
      </c>
      <c r="K2529">
        <v>66.599999999999994</v>
      </c>
      <c r="L2529">
        <v>74.099999999999994</v>
      </c>
      <c r="M2529" s="2">
        <f t="shared" si="392"/>
        <v>0</v>
      </c>
      <c r="N2529">
        <v>0</v>
      </c>
      <c r="O2529" s="2">
        <f t="shared" si="393"/>
        <v>1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28</v>
      </c>
      <c r="V2529" s="2">
        <f t="shared" si="394"/>
        <v>1</v>
      </c>
      <c r="W2529">
        <v>17.2</v>
      </c>
      <c r="X2529" s="2">
        <f t="shared" si="395"/>
        <v>1</v>
      </c>
      <c r="Y2529">
        <v>302.89999999999998</v>
      </c>
      <c r="Z2529" s="2" t="str">
        <f>CHOOSE(MATCH(Y2529,{0;11;80;111;161;191;241;281;341},1),"North","NorthEast","East","SouthEast","South","SouthWest","West","NorthWest","North")</f>
        <v>NorthWest</v>
      </c>
      <c r="AA2529" s="4">
        <f>CHOOSE(MATCH(Z2529,{"South";"SouthEast";"SouthWest";"North";"NorthEast";"East";"West";"NorthWest"},0),1,2,3,4,5,6,7,8)</f>
        <v>8</v>
      </c>
      <c r="AB2529" s="2">
        <f t="shared" si="396"/>
        <v>1</v>
      </c>
      <c r="AC2529">
        <v>1014.8</v>
      </c>
      <c r="AD2529" t="s">
        <v>1079</v>
      </c>
      <c r="AE2529" s="2">
        <f t="shared" si="397"/>
        <v>1</v>
      </c>
      <c r="AF2529" t="s">
        <v>3439</v>
      </c>
      <c r="AG2529" s="2">
        <f t="shared" si="398"/>
        <v>6</v>
      </c>
      <c r="AH2529" s="2">
        <f t="shared" si="399"/>
        <v>1</v>
      </c>
      <c r="AI2529" s="3">
        <v>130.00000000465661</v>
      </c>
      <c r="AJ2529" s="2">
        <v>0</v>
      </c>
      <c r="AK2529">
        <v>0.1</v>
      </c>
      <c r="AL2529">
        <v>0</v>
      </c>
      <c r="AM2529">
        <v>0</v>
      </c>
      <c r="AN2529" s="2">
        <f>IF((2*G2529+M2529-O2529+3*V2529+2*AB2529+2*AE2529+2*AH2529+3*AJ2529)&gt;=7,1,0)</f>
        <v>1</v>
      </c>
    </row>
    <row r="2530" spans="1:40" x14ac:dyDescent="0.25">
      <c r="A2530" t="s">
        <v>27</v>
      </c>
      <c r="B2530" s="1">
        <v>44730</v>
      </c>
      <c r="C2530" s="6">
        <f t="shared" si="390"/>
        <v>2022</v>
      </c>
      <c r="D2530">
        <v>80.599999999999994</v>
      </c>
      <c r="E2530">
        <v>66.2</v>
      </c>
      <c r="F2530">
        <v>75.400000000000006</v>
      </c>
      <c r="G2530" s="2">
        <f t="shared" si="391"/>
        <v>1</v>
      </c>
      <c r="H2530">
        <v>81.5</v>
      </c>
      <c r="I2530">
        <v>66.2</v>
      </c>
      <c r="J2530">
        <v>75.599999999999994</v>
      </c>
      <c r="K2530">
        <v>60.1</v>
      </c>
      <c r="L2530">
        <v>59.7</v>
      </c>
      <c r="M2530" s="2">
        <f t="shared" si="392"/>
        <v>1</v>
      </c>
      <c r="N2530">
        <v>0</v>
      </c>
      <c r="O2530" s="2">
        <f t="shared" si="393"/>
        <v>1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32.9</v>
      </c>
      <c r="V2530" s="2">
        <f t="shared" si="394"/>
        <v>1</v>
      </c>
      <c r="W2530">
        <v>21.9</v>
      </c>
      <c r="X2530" s="2">
        <f t="shared" si="395"/>
        <v>1</v>
      </c>
      <c r="Y2530">
        <v>297.5</v>
      </c>
      <c r="Z2530" s="2" t="str">
        <f>CHOOSE(MATCH(Y2530,{0;11;80;111;161;191;241;281;341},1),"North","NorthEast","East","SouthEast","South","SouthWest","West","NorthWest","North")</f>
        <v>NorthWest</v>
      </c>
      <c r="AA2530" s="4">
        <f>CHOOSE(MATCH(Z2530,{"South";"SouthEast";"SouthWest";"North";"NorthEast";"East";"West";"NorthWest"},0),1,2,3,4,5,6,7,8)</f>
        <v>8</v>
      </c>
      <c r="AB2530" s="2">
        <f t="shared" si="396"/>
        <v>1</v>
      </c>
      <c r="AC2530">
        <v>1012.3</v>
      </c>
      <c r="AD2530" t="s">
        <v>1111</v>
      </c>
      <c r="AE2530" s="2">
        <f t="shared" si="397"/>
        <v>1</v>
      </c>
      <c r="AF2530" t="s">
        <v>3440</v>
      </c>
      <c r="AG2530" s="2">
        <f t="shared" si="398"/>
        <v>6</v>
      </c>
      <c r="AH2530" s="2">
        <f t="shared" si="399"/>
        <v>1</v>
      </c>
      <c r="AI2530" s="3">
        <v>750.00000000349246</v>
      </c>
      <c r="AJ2530" s="2">
        <v>1</v>
      </c>
      <c r="AK2530">
        <v>0</v>
      </c>
      <c r="AL2530">
        <v>5</v>
      </c>
      <c r="AM2530">
        <v>0</v>
      </c>
      <c r="AN2530" s="2">
        <f>IF((2*G2530+M2530-O2530+3*V2530+2*AB2530+2*AE2530+2*AH2530+3*AJ2530)&gt;=7,1,0)</f>
        <v>1</v>
      </c>
    </row>
    <row r="2531" spans="1:40" x14ac:dyDescent="0.25">
      <c r="A2531" t="s">
        <v>27</v>
      </c>
      <c r="B2531" s="1">
        <v>44734</v>
      </c>
      <c r="C2531" s="6">
        <f t="shared" si="390"/>
        <v>2022</v>
      </c>
      <c r="D2531">
        <v>86</v>
      </c>
      <c r="E2531">
        <v>68</v>
      </c>
      <c r="F2531">
        <v>78.099999999999994</v>
      </c>
      <c r="G2531" s="2">
        <f t="shared" si="391"/>
        <v>1</v>
      </c>
      <c r="H2531">
        <v>89.6</v>
      </c>
      <c r="I2531">
        <v>68</v>
      </c>
      <c r="J2531">
        <v>79.599999999999994</v>
      </c>
      <c r="K2531">
        <v>66.2</v>
      </c>
      <c r="L2531">
        <v>68.599999999999994</v>
      </c>
      <c r="M2531" s="2">
        <f t="shared" si="392"/>
        <v>0</v>
      </c>
      <c r="N2531">
        <v>0</v>
      </c>
      <c r="O2531" s="2">
        <f t="shared" si="393"/>
        <v>1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27.7</v>
      </c>
      <c r="V2531" s="2">
        <f t="shared" si="394"/>
        <v>1</v>
      </c>
      <c r="W2531">
        <v>9.1999999999999993</v>
      </c>
      <c r="X2531" s="2">
        <f t="shared" si="395"/>
        <v>0</v>
      </c>
      <c r="Y2531">
        <v>163.19999999999999</v>
      </c>
      <c r="Z2531" s="2" t="str">
        <f>CHOOSE(MATCH(Y2531,{0;11;80;111;161;191;241;281;341},1),"North","NorthEast","East","SouthEast","South","SouthWest","West","NorthWest","North")</f>
        <v>South</v>
      </c>
      <c r="AA2531" s="4">
        <f>CHOOSE(MATCH(Z2531,{"South";"SouthEast";"SouthWest";"North";"NorthEast";"East";"West";"NorthWest"},0),1,2,3,4,5,6,7,8)</f>
        <v>1</v>
      </c>
      <c r="AB2531" s="2">
        <f t="shared" si="396"/>
        <v>0</v>
      </c>
      <c r="AC2531">
        <v>1010.5</v>
      </c>
      <c r="AD2531" t="s">
        <v>1763</v>
      </c>
      <c r="AE2531" s="2">
        <f t="shared" si="397"/>
        <v>0</v>
      </c>
      <c r="AF2531" t="s">
        <v>3441</v>
      </c>
      <c r="AG2531" s="2">
        <f t="shared" si="398"/>
        <v>6</v>
      </c>
      <c r="AH2531" s="2">
        <f t="shared" si="399"/>
        <v>1</v>
      </c>
      <c r="AI2531" s="3">
        <v>1440</v>
      </c>
      <c r="AJ2531" s="2">
        <v>1</v>
      </c>
      <c r="AK2531">
        <v>0</v>
      </c>
      <c r="AL2531">
        <v>4</v>
      </c>
      <c r="AM2531">
        <v>0</v>
      </c>
      <c r="AN2531" s="2">
        <f>IF((2*G2531+M2531-O2531+3*V2531+2*AB2531+2*AE2531+2*AH2531+3*AJ2531)&gt;=7,1,0)</f>
        <v>1</v>
      </c>
    </row>
    <row r="2532" spans="1:40" x14ac:dyDescent="0.25">
      <c r="A2532" t="s">
        <v>27</v>
      </c>
      <c r="B2532" s="1">
        <v>44740</v>
      </c>
      <c r="C2532" s="6">
        <f t="shared" si="390"/>
        <v>2022</v>
      </c>
      <c r="D2532">
        <v>82.4</v>
      </c>
      <c r="E2532">
        <v>75.2</v>
      </c>
      <c r="F2532">
        <v>79</v>
      </c>
      <c r="G2532" s="2">
        <f t="shared" si="391"/>
        <v>1</v>
      </c>
      <c r="H2532">
        <v>85.4</v>
      </c>
      <c r="I2532">
        <v>75.2</v>
      </c>
      <c r="J2532">
        <v>80</v>
      </c>
      <c r="K2532">
        <v>66.400000000000006</v>
      </c>
      <c r="L2532">
        <v>65.599999999999994</v>
      </c>
      <c r="M2532" s="2">
        <f t="shared" si="392"/>
        <v>1</v>
      </c>
      <c r="N2532">
        <v>0</v>
      </c>
      <c r="O2532" s="2">
        <f t="shared" si="393"/>
        <v>1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37.4</v>
      </c>
      <c r="V2532" s="2">
        <f t="shared" si="394"/>
        <v>1</v>
      </c>
      <c r="W2532">
        <v>21.9</v>
      </c>
      <c r="X2532" s="2">
        <f t="shared" si="395"/>
        <v>1</v>
      </c>
      <c r="Y2532">
        <v>307.7</v>
      </c>
      <c r="Z2532" s="2" t="str">
        <f>CHOOSE(MATCH(Y2532,{0;11;80;111;161;191;241;281;341},1),"North","NorthEast","East","SouthEast","South","SouthWest","West","NorthWest","North")</f>
        <v>NorthWest</v>
      </c>
      <c r="AA2532" s="4">
        <f>CHOOSE(MATCH(Z2532,{"South";"SouthEast";"SouthWest";"North";"NorthEast";"East";"West";"NorthWest"},0),1,2,3,4,5,6,7,8)</f>
        <v>8</v>
      </c>
      <c r="AB2532" s="2">
        <f t="shared" si="396"/>
        <v>1</v>
      </c>
      <c r="AC2532">
        <v>1013</v>
      </c>
      <c r="AD2532" t="s">
        <v>3135</v>
      </c>
      <c r="AE2532" s="2">
        <f t="shared" si="397"/>
        <v>1</v>
      </c>
      <c r="AF2532" t="s">
        <v>3442</v>
      </c>
      <c r="AG2532" s="2">
        <f t="shared" si="398"/>
        <v>6</v>
      </c>
      <c r="AH2532" s="2">
        <f t="shared" si="399"/>
        <v>1</v>
      </c>
      <c r="AI2532" s="3">
        <v>3016.0000000032601</v>
      </c>
      <c r="AJ2532" s="2">
        <v>1</v>
      </c>
      <c r="AK2532">
        <v>7</v>
      </c>
      <c r="AL2532">
        <v>0</v>
      </c>
      <c r="AM2532">
        <v>0</v>
      </c>
      <c r="AN2532" s="2">
        <f>IF((2*G2532+M2532-O2532+3*V2532+2*AB2532+2*AE2532+2*AH2532+3*AJ2532)&gt;=7,1,0)</f>
        <v>1</v>
      </c>
    </row>
    <row r="2533" spans="1:40" x14ac:dyDescent="0.25">
      <c r="A2533" t="s">
        <v>27</v>
      </c>
      <c r="B2533" s="1">
        <v>44744</v>
      </c>
      <c r="C2533" s="6">
        <f t="shared" si="390"/>
        <v>2022</v>
      </c>
      <c r="D2533">
        <v>86</v>
      </c>
      <c r="E2533">
        <v>78.8</v>
      </c>
      <c r="F2533">
        <v>81.5</v>
      </c>
      <c r="G2533" s="2">
        <f t="shared" si="391"/>
        <v>1</v>
      </c>
      <c r="H2533">
        <v>88.4</v>
      </c>
      <c r="I2533">
        <v>78.8</v>
      </c>
      <c r="J2533">
        <v>82.8</v>
      </c>
      <c r="K2533">
        <v>65.599999999999994</v>
      </c>
      <c r="L2533">
        <v>58.9</v>
      </c>
      <c r="M2533" s="2">
        <f t="shared" si="392"/>
        <v>1</v>
      </c>
      <c r="N2533">
        <v>0</v>
      </c>
      <c r="O2533" s="2">
        <f t="shared" si="393"/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34.9</v>
      </c>
      <c r="V2533" s="2">
        <f t="shared" si="394"/>
        <v>1</v>
      </c>
      <c r="W2533">
        <v>23</v>
      </c>
      <c r="X2533" s="2">
        <f t="shared" si="395"/>
        <v>1</v>
      </c>
      <c r="Y2533">
        <v>296.8</v>
      </c>
      <c r="Z2533" s="2" t="str">
        <f>CHOOSE(MATCH(Y2533,{0;11;80;111;161;191;241;281;341},1),"North","NorthEast","East","SouthEast","South","SouthWest","West","NorthWest","North")</f>
        <v>NorthWest</v>
      </c>
      <c r="AA2533" s="4">
        <f>CHOOSE(MATCH(Z2533,{"South";"SouthEast";"SouthWest";"North";"NorthEast";"East";"West";"NorthWest"},0),1,2,3,4,5,6,7,8)</f>
        <v>8</v>
      </c>
      <c r="AB2533" s="2">
        <f t="shared" si="396"/>
        <v>1</v>
      </c>
      <c r="AC2533">
        <v>1011.5</v>
      </c>
      <c r="AD2533" t="s">
        <v>1127</v>
      </c>
      <c r="AE2533" s="2">
        <f t="shared" si="397"/>
        <v>1</v>
      </c>
      <c r="AF2533" t="s">
        <v>3443</v>
      </c>
      <c r="AG2533" s="2">
        <f t="shared" si="398"/>
        <v>7</v>
      </c>
      <c r="AH2533" s="2">
        <f t="shared" si="399"/>
        <v>1</v>
      </c>
      <c r="AI2533" s="3">
        <v>4343.0000000016298</v>
      </c>
      <c r="AJ2533" s="2">
        <v>1</v>
      </c>
      <c r="AK2533">
        <v>0</v>
      </c>
      <c r="AL2533">
        <v>10</v>
      </c>
      <c r="AM2533">
        <v>0</v>
      </c>
      <c r="AN2533" s="2">
        <f>IF((2*G2533+M2533-O2533+3*V2533+2*AB2533+2*AE2533+2*AH2533+3*AJ2533)&gt;=7,1,0)</f>
        <v>1</v>
      </c>
    </row>
    <row r="2534" spans="1:40" x14ac:dyDescent="0.25">
      <c r="A2534" t="s">
        <v>27</v>
      </c>
      <c r="B2534" s="1">
        <v>44748</v>
      </c>
      <c r="C2534" s="6">
        <f t="shared" si="390"/>
        <v>2022</v>
      </c>
      <c r="D2534">
        <v>86</v>
      </c>
      <c r="E2534">
        <v>69.8</v>
      </c>
      <c r="F2534">
        <v>80</v>
      </c>
      <c r="G2534" s="2">
        <f t="shared" si="391"/>
        <v>1</v>
      </c>
      <c r="H2534">
        <v>85.5</v>
      </c>
      <c r="I2534">
        <v>69.8</v>
      </c>
      <c r="J2534">
        <v>79.900000000000006</v>
      </c>
      <c r="K2534">
        <v>60.3</v>
      </c>
      <c r="L2534">
        <v>52.2</v>
      </c>
      <c r="M2534" s="2">
        <f t="shared" si="392"/>
        <v>1</v>
      </c>
      <c r="N2534">
        <v>0</v>
      </c>
      <c r="O2534" s="2">
        <f t="shared" si="393"/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29.8</v>
      </c>
      <c r="V2534" s="2">
        <f t="shared" si="394"/>
        <v>1</v>
      </c>
      <c r="W2534">
        <v>21.9</v>
      </c>
      <c r="X2534" s="2">
        <f t="shared" si="395"/>
        <v>1</v>
      </c>
      <c r="Y2534">
        <v>296.3</v>
      </c>
      <c r="Z2534" s="2" t="str">
        <f>CHOOSE(MATCH(Y2534,{0;11;80;111;161;191;241;281;341},1),"North","NorthEast","East","SouthEast","South","SouthWest","West","NorthWest","North")</f>
        <v>NorthWest</v>
      </c>
      <c r="AA2534" s="4">
        <f>CHOOSE(MATCH(Z2534,{"South";"SouthEast";"SouthWest";"North";"NorthEast";"East";"West";"NorthWest"},0),1,2,3,4,5,6,7,8)</f>
        <v>8</v>
      </c>
      <c r="AB2534" s="2">
        <f t="shared" si="396"/>
        <v>1</v>
      </c>
      <c r="AC2534">
        <v>1010</v>
      </c>
      <c r="AD2534" t="s">
        <v>3444</v>
      </c>
      <c r="AE2534" s="2">
        <f t="shared" si="397"/>
        <v>1</v>
      </c>
      <c r="AF2534" t="s">
        <v>3445</v>
      </c>
      <c r="AG2534" s="2">
        <f t="shared" si="398"/>
        <v>7</v>
      </c>
      <c r="AH2534" s="2">
        <f t="shared" si="399"/>
        <v>1</v>
      </c>
      <c r="AI2534" s="3">
        <v>88.000000003958121</v>
      </c>
      <c r="AJ2534" s="2">
        <v>0</v>
      </c>
      <c r="AK2534">
        <v>0</v>
      </c>
      <c r="AL2534">
        <v>0.1</v>
      </c>
      <c r="AM2534">
        <v>0</v>
      </c>
      <c r="AN2534" s="2">
        <f>IF((2*G2534+M2534-O2534+3*V2534+2*AB2534+2*AE2534+2*AH2534+3*AJ2534)&gt;=7,1,0)</f>
        <v>1</v>
      </c>
    </row>
    <row r="2535" spans="1:40" x14ac:dyDescent="0.25">
      <c r="A2535" t="s">
        <v>27</v>
      </c>
      <c r="B2535" s="1">
        <v>44757</v>
      </c>
      <c r="C2535" s="6">
        <f t="shared" si="390"/>
        <v>2022</v>
      </c>
      <c r="D2535">
        <v>82.4</v>
      </c>
      <c r="E2535">
        <v>75.2</v>
      </c>
      <c r="F2535">
        <v>79</v>
      </c>
      <c r="G2535" s="2">
        <f t="shared" si="391"/>
        <v>1</v>
      </c>
      <c r="H2535">
        <v>84</v>
      </c>
      <c r="I2535">
        <v>75.2</v>
      </c>
      <c r="J2535">
        <v>79.599999999999994</v>
      </c>
      <c r="K2535">
        <v>63.3</v>
      </c>
      <c r="L2535">
        <v>59</v>
      </c>
      <c r="M2535" s="2">
        <f t="shared" si="392"/>
        <v>1</v>
      </c>
      <c r="N2535">
        <v>0</v>
      </c>
      <c r="O2535" s="2">
        <f t="shared" si="393"/>
        <v>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30</v>
      </c>
      <c r="V2535" s="2">
        <f t="shared" si="394"/>
        <v>1</v>
      </c>
      <c r="W2535">
        <v>26.4</v>
      </c>
      <c r="X2535" s="2">
        <f t="shared" si="395"/>
        <v>1</v>
      </c>
      <c r="Y2535">
        <v>293.7</v>
      </c>
      <c r="Z2535" s="2" t="str">
        <f>CHOOSE(MATCH(Y2535,{0;11;80;111;161;191;241;281;341},1),"North","NorthEast","East","SouthEast","South","SouthWest","West","NorthWest","North")</f>
        <v>NorthWest</v>
      </c>
      <c r="AA2535" s="4">
        <f>CHOOSE(MATCH(Z2535,{"South";"SouthEast";"SouthWest";"North";"NorthEast";"East";"West";"NorthWest"},0),1,2,3,4,5,6,7,8)</f>
        <v>8</v>
      </c>
      <c r="AB2535" s="2">
        <f t="shared" si="396"/>
        <v>1</v>
      </c>
      <c r="AC2535">
        <v>1009.6</v>
      </c>
      <c r="AD2535" t="s">
        <v>3446</v>
      </c>
      <c r="AE2535" s="2">
        <f t="shared" si="397"/>
        <v>0</v>
      </c>
      <c r="AF2535" t="s">
        <v>3447</v>
      </c>
      <c r="AG2535" s="2">
        <f t="shared" si="398"/>
        <v>7</v>
      </c>
      <c r="AH2535" s="2">
        <f t="shared" si="399"/>
        <v>1</v>
      </c>
      <c r="AI2535" s="3">
        <v>20046.000000005592</v>
      </c>
      <c r="AJ2535" s="2">
        <v>1</v>
      </c>
      <c r="AK2535">
        <v>0</v>
      </c>
      <c r="AL2535">
        <v>3364</v>
      </c>
      <c r="AM2535">
        <v>0</v>
      </c>
      <c r="AN2535" s="2">
        <f>IF((2*G2535+M2535-O2535+3*V2535+2*AB2535+2*AE2535+2*AH2535+3*AJ2535)&gt;=7,1,0)</f>
        <v>1</v>
      </c>
    </row>
    <row r="2536" spans="1:40" x14ac:dyDescent="0.25">
      <c r="A2536" t="s">
        <v>27</v>
      </c>
      <c r="B2536" s="1">
        <v>44757</v>
      </c>
      <c r="C2536" s="6">
        <f t="shared" si="390"/>
        <v>2022</v>
      </c>
      <c r="D2536">
        <v>82.4</v>
      </c>
      <c r="E2536">
        <v>75.2</v>
      </c>
      <c r="F2536">
        <v>79</v>
      </c>
      <c r="G2536" s="2">
        <f t="shared" si="391"/>
        <v>1</v>
      </c>
      <c r="H2536">
        <v>84</v>
      </c>
      <c r="I2536">
        <v>75.2</v>
      </c>
      <c r="J2536">
        <v>79.599999999999994</v>
      </c>
      <c r="K2536">
        <v>63.3</v>
      </c>
      <c r="L2536">
        <v>59</v>
      </c>
      <c r="M2536" s="2">
        <f t="shared" si="392"/>
        <v>1</v>
      </c>
      <c r="N2536">
        <v>0</v>
      </c>
      <c r="O2536" s="2">
        <f t="shared" si="393"/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30</v>
      </c>
      <c r="V2536" s="2">
        <f t="shared" si="394"/>
        <v>1</v>
      </c>
      <c r="W2536">
        <v>26.4</v>
      </c>
      <c r="X2536" s="2">
        <f t="shared" si="395"/>
        <v>1</v>
      </c>
      <c r="Y2536">
        <v>293.7</v>
      </c>
      <c r="Z2536" s="2" t="str">
        <f>CHOOSE(MATCH(Y2536,{0;11;80;111;161;191;241;281;341},1),"North","NorthEast","East","SouthEast","South","SouthWest","West","NorthWest","North")</f>
        <v>NorthWest</v>
      </c>
      <c r="AA2536" s="4">
        <f>CHOOSE(MATCH(Z2536,{"South";"SouthEast";"SouthWest";"North";"NorthEast";"East";"West";"NorthWest"},0),1,2,3,4,5,6,7,8)</f>
        <v>8</v>
      </c>
      <c r="AB2536" s="2">
        <f t="shared" si="396"/>
        <v>1</v>
      </c>
      <c r="AC2536">
        <v>1009.6</v>
      </c>
      <c r="AD2536" t="s">
        <v>1121</v>
      </c>
      <c r="AE2536" s="2">
        <f t="shared" si="397"/>
        <v>1</v>
      </c>
      <c r="AF2536" t="s">
        <v>3448</v>
      </c>
      <c r="AG2536" s="2">
        <f t="shared" si="398"/>
        <v>7</v>
      </c>
      <c r="AH2536" s="2">
        <f t="shared" si="399"/>
        <v>1</v>
      </c>
      <c r="AI2536" s="3">
        <v>8327.9999999993015</v>
      </c>
      <c r="AJ2536" s="2">
        <v>1</v>
      </c>
      <c r="AK2536">
        <v>0</v>
      </c>
      <c r="AL2536">
        <v>60</v>
      </c>
      <c r="AM2536">
        <v>0</v>
      </c>
      <c r="AN2536" s="2">
        <f>IF((2*G2536+M2536-O2536+3*V2536+2*AB2536+2*AE2536+2*AH2536+3*AJ2536)&gt;=7,1,0)</f>
        <v>1</v>
      </c>
    </row>
    <row r="2537" spans="1:40" x14ac:dyDescent="0.25">
      <c r="A2537" t="s">
        <v>27</v>
      </c>
      <c r="B2537" s="1">
        <v>44760</v>
      </c>
      <c r="C2537" s="6">
        <f t="shared" si="390"/>
        <v>2022</v>
      </c>
      <c r="D2537">
        <v>84.2</v>
      </c>
      <c r="E2537">
        <v>77</v>
      </c>
      <c r="F2537">
        <v>80.7</v>
      </c>
      <c r="G2537" s="2">
        <f t="shared" si="391"/>
        <v>1</v>
      </c>
      <c r="H2537">
        <v>85.7</v>
      </c>
      <c r="I2537">
        <v>77</v>
      </c>
      <c r="J2537">
        <v>81.400000000000006</v>
      </c>
      <c r="K2537">
        <v>64.599999999999994</v>
      </c>
      <c r="L2537">
        <v>58.4</v>
      </c>
      <c r="M2537" s="2">
        <f t="shared" si="392"/>
        <v>1</v>
      </c>
      <c r="N2537">
        <v>0</v>
      </c>
      <c r="O2537" s="2">
        <f t="shared" si="393"/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41.2</v>
      </c>
      <c r="V2537" s="2">
        <f t="shared" si="394"/>
        <v>1</v>
      </c>
      <c r="W2537">
        <v>21.9</v>
      </c>
      <c r="X2537" s="2">
        <f t="shared" si="395"/>
        <v>1</v>
      </c>
      <c r="Y2537">
        <v>297.60000000000002</v>
      </c>
      <c r="Z2537" s="2" t="str">
        <f>CHOOSE(MATCH(Y2537,{0;11;80;111;161;191;241;281;341},1),"North","NorthEast","East","SouthEast","South","SouthWest","West","NorthWest","North")</f>
        <v>NorthWest</v>
      </c>
      <c r="AA2537" s="4">
        <f>CHOOSE(MATCH(Z2537,{"South";"SouthEast";"SouthWest";"North";"NorthEast";"East";"West";"NorthWest"},0),1,2,3,4,5,6,7,8)</f>
        <v>8</v>
      </c>
      <c r="AB2537" s="2">
        <f t="shared" si="396"/>
        <v>1</v>
      </c>
      <c r="AC2537">
        <v>1013.5</v>
      </c>
      <c r="AD2537" t="s">
        <v>1234</v>
      </c>
      <c r="AE2537" s="2">
        <f t="shared" si="397"/>
        <v>1</v>
      </c>
      <c r="AF2537" t="s">
        <v>3449</v>
      </c>
      <c r="AG2537" s="2">
        <f t="shared" si="398"/>
        <v>7</v>
      </c>
      <c r="AH2537" s="2">
        <f t="shared" si="399"/>
        <v>1</v>
      </c>
      <c r="AI2537" s="3">
        <v>3909.9999999941788</v>
      </c>
      <c r="AJ2537" s="2">
        <v>1</v>
      </c>
      <c r="AK2537">
        <v>0</v>
      </c>
      <c r="AL2537">
        <v>35</v>
      </c>
      <c r="AM2537">
        <v>0</v>
      </c>
      <c r="AN2537" s="2">
        <f>IF((2*G2537+M2537-O2537+3*V2537+2*AB2537+2*AE2537+2*AH2537+3*AJ2537)&gt;=7,1,0)</f>
        <v>1</v>
      </c>
    </row>
    <row r="2538" spans="1:40" x14ac:dyDescent="0.25">
      <c r="A2538" t="s">
        <v>27</v>
      </c>
      <c r="B2538" s="1">
        <v>44761</v>
      </c>
      <c r="C2538" s="6">
        <f t="shared" si="390"/>
        <v>2022</v>
      </c>
      <c r="D2538">
        <v>80.599999999999994</v>
      </c>
      <c r="E2538">
        <v>73.400000000000006</v>
      </c>
      <c r="F2538">
        <v>76.5</v>
      </c>
      <c r="G2538" s="2">
        <f t="shared" si="391"/>
        <v>1</v>
      </c>
      <c r="H2538">
        <v>81.900000000000006</v>
      </c>
      <c r="I2538">
        <v>73.400000000000006</v>
      </c>
      <c r="J2538">
        <v>76.599999999999994</v>
      </c>
      <c r="K2538">
        <v>62.3</v>
      </c>
      <c r="L2538">
        <v>61.8</v>
      </c>
      <c r="M2538" s="2">
        <f t="shared" si="392"/>
        <v>1</v>
      </c>
      <c r="N2538">
        <v>0</v>
      </c>
      <c r="O2538" s="2">
        <f t="shared" si="393"/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34.4</v>
      </c>
      <c r="V2538" s="2">
        <f t="shared" si="394"/>
        <v>1</v>
      </c>
      <c r="W2538">
        <v>23</v>
      </c>
      <c r="X2538" s="2">
        <f t="shared" si="395"/>
        <v>1</v>
      </c>
      <c r="Y2538">
        <v>299.39999999999998</v>
      </c>
      <c r="Z2538" s="2" t="str">
        <f>CHOOSE(MATCH(Y2538,{0;11;80;111;161;191;241;281;341},1),"North","NorthEast","East","SouthEast","South","SouthWest","West","NorthWest","North")</f>
        <v>NorthWest</v>
      </c>
      <c r="AA2538" s="4">
        <f>CHOOSE(MATCH(Z2538,{"South";"SouthEast";"SouthWest";"North";"NorthEast";"East";"West";"NorthWest"},0),1,2,3,4,5,6,7,8)</f>
        <v>8</v>
      </c>
      <c r="AB2538" s="2">
        <f t="shared" si="396"/>
        <v>1</v>
      </c>
      <c r="AC2538">
        <v>1014</v>
      </c>
      <c r="AD2538" t="s">
        <v>3450</v>
      </c>
      <c r="AE2538" s="2">
        <f t="shared" si="397"/>
        <v>0</v>
      </c>
      <c r="AF2538" t="s">
        <v>3451</v>
      </c>
      <c r="AG2538" s="2">
        <f t="shared" si="398"/>
        <v>7</v>
      </c>
      <c r="AH2538" s="2">
        <f t="shared" si="399"/>
        <v>1</v>
      </c>
      <c r="AI2538" s="3">
        <v>1833.000000002794</v>
      </c>
      <c r="AJ2538" s="2">
        <v>1</v>
      </c>
      <c r="AK2538">
        <v>0</v>
      </c>
      <c r="AL2538">
        <v>60</v>
      </c>
      <c r="AM2538">
        <v>0</v>
      </c>
      <c r="AN2538" s="2">
        <f>IF((2*G2538+M2538-O2538+3*V2538+2*AB2538+2*AE2538+2*AH2538+3*AJ2538)&gt;=7,1,0)</f>
        <v>1</v>
      </c>
    </row>
    <row r="2539" spans="1:40" x14ac:dyDescent="0.25">
      <c r="A2539" t="s">
        <v>27</v>
      </c>
      <c r="B2539" s="1">
        <v>44761</v>
      </c>
      <c r="C2539" s="6">
        <f t="shared" si="390"/>
        <v>2022</v>
      </c>
      <c r="D2539">
        <v>80.599999999999994</v>
      </c>
      <c r="E2539">
        <v>73.400000000000006</v>
      </c>
      <c r="F2539">
        <v>76.5</v>
      </c>
      <c r="G2539" s="2">
        <f t="shared" si="391"/>
        <v>1</v>
      </c>
      <c r="H2539">
        <v>81.900000000000006</v>
      </c>
      <c r="I2539">
        <v>73.400000000000006</v>
      </c>
      <c r="J2539">
        <v>76.599999999999994</v>
      </c>
      <c r="K2539">
        <v>62.3</v>
      </c>
      <c r="L2539">
        <v>61.8</v>
      </c>
      <c r="M2539" s="2">
        <f t="shared" si="392"/>
        <v>1</v>
      </c>
      <c r="N2539">
        <v>0</v>
      </c>
      <c r="O2539" s="2">
        <f t="shared" si="393"/>
        <v>1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34.4</v>
      </c>
      <c r="V2539" s="2">
        <f t="shared" si="394"/>
        <v>1</v>
      </c>
      <c r="W2539">
        <v>23</v>
      </c>
      <c r="X2539" s="2">
        <f t="shared" si="395"/>
        <v>1</v>
      </c>
      <c r="Y2539">
        <v>299.39999999999998</v>
      </c>
      <c r="Z2539" s="2" t="str">
        <f>CHOOSE(MATCH(Y2539,{0;11;80;111;161;191;241;281;341},1),"North","NorthEast","East","SouthEast","South","SouthWest","West","NorthWest","North")</f>
        <v>NorthWest</v>
      </c>
      <c r="AA2539" s="4">
        <f>CHOOSE(MATCH(Z2539,{"South";"SouthEast";"SouthWest";"North";"NorthEast";"East";"West";"NorthWest"},0),1,2,3,4,5,6,7,8)</f>
        <v>8</v>
      </c>
      <c r="AB2539" s="2">
        <f t="shared" si="396"/>
        <v>1</v>
      </c>
      <c r="AC2539">
        <v>1014</v>
      </c>
      <c r="AD2539" t="s">
        <v>3080</v>
      </c>
      <c r="AE2539" s="2">
        <f t="shared" si="397"/>
        <v>1</v>
      </c>
      <c r="AF2539" t="s">
        <v>3452</v>
      </c>
      <c r="AG2539" s="2">
        <f t="shared" si="398"/>
        <v>7</v>
      </c>
      <c r="AH2539" s="2">
        <f t="shared" si="399"/>
        <v>1</v>
      </c>
      <c r="AI2539" s="3">
        <v>4787.0000000030268</v>
      </c>
      <c r="AJ2539" s="2">
        <v>1</v>
      </c>
      <c r="AK2539">
        <v>0</v>
      </c>
      <c r="AL2539">
        <v>400</v>
      </c>
      <c r="AM2539">
        <v>0</v>
      </c>
      <c r="AN2539" s="2">
        <f>IF((2*G2539+M2539-O2539+3*V2539+2*AB2539+2*AE2539+2*AH2539+3*AJ2539)&gt;=7,1,0)</f>
        <v>1</v>
      </c>
    </row>
    <row r="2540" spans="1:40" x14ac:dyDescent="0.25">
      <c r="A2540" t="s">
        <v>27</v>
      </c>
      <c r="B2540" s="1">
        <v>44766</v>
      </c>
      <c r="C2540" s="6">
        <f t="shared" si="390"/>
        <v>2022</v>
      </c>
      <c r="D2540">
        <v>87.8</v>
      </c>
      <c r="E2540">
        <v>78.8</v>
      </c>
      <c r="F2540">
        <v>83</v>
      </c>
      <c r="G2540" s="2">
        <f t="shared" si="391"/>
        <v>1</v>
      </c>
      <c r="H2540">
        <v>89.4</v>
      </c>
      <c r="I2540">
        <v>78.8</v>
      </c>
      <c r="J2540">
        <v>84.3</v>
      </c>
      <c r="K2540">
        <v>63.9</v>
      </c>
      <c r="L2540">
        <v>53</v>
      </c>
      <c r="M2540" s="2">
        <f t="shared" si="392"/>
        <v>1</v>
      </c>
      <c r="N2540">
        <v>0</v>
      </c>
      <c r="O2540" s="2">
        <f t="shared" si="393"/>
        <v>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30</v>
      </c>
      <c r="V2540" s="2">
        <f t="shared" si="394"/>
        <v>1</v>
      </c>
      <c r="W2540">
        <v>18.3</v>
      </c>
      <c r="X2540" s="2">
        <f t="shared" si="395"/>
        <v>1</v>
      </c>
      <c r="Y2540">
        <v>301.2</v>
      </c>
      <c r="Z2540" s="2" t="str">
        <f>CHOOSE(MATCH(Y2540,{0;11;80;111;161;191;241;281;341},1),"North","NorthEast","East","SouthEast","South","SouthWest","West","NorthWest","North")</f>
        <v>NorthWest</v>
      </c>
      <c r="AA2540" s="4">
        <f>CHOOSE(MATCH(Z2540,{"South";"SouthEast";"SouthWest";"North";"NorthEast";"East";"West";"NorthWest"},0),1,2,3,4,5,6,7,8)</f>
        <v>8</v>
      </c>
      <c r="AB2540" s="2">
        <f t="shared" si="396"/>
        <v>1</v>
      </c>
      <c r="AC2540">
        <v>1011.1</v>
      </c>
      <c r="AD2540" t="s">
        <v>3453</v>
      </c>
      <c r="AE2540" s="2">
        <f t="shared" si="397"/>
        <v>1</v>
      </c>
      <c r="AF2540" t="s">
        <v>3454</v>
      </c>
      <c r="AG2540" s="2">
        <f t="shared" si="398"/>
        <v>7</v>
      </c>
      <c r="AH2540" s="2">
        <f t="shared" si="399"/>
        <v>1</v>
      </c>
      <c r="AI2540" s="3">
        <v>139.00000000256111</v>
      </c>
      <c r="AJ2540" s="2">
        <v>0</v>
      </c>
      <c r="AK2540">
        <v>0</v>
      </c>
      <c r="AL2540">
        <v>0.05</v>
      </c>
      <c r="AM2540">
        <v>0</v>
      </c>
      <c r="AN2540" s="2">
        <f>IF((2*G2540+M2540-O2540+3*V2540+2*AB2540+2*AE2540+2*AH2540+3*AJ2540)&gt;=7,1,0)</f>
        <v>1</v>
      </c>
    </row>
    <row r="2541" spans="1:40" x14ac:dyDescent="0.25">
      <c r="A2541" t="s">
        <v>27</v>
      </c>
      <c r="B2541" s="1">
        <v>44766</v>
      </c>
      <c r="C2541" s="6">
        <f t="shared" si="390"/>
        <v>2022</v>
      </c>
      <c r="D2541">
        <v>87.8</v>
      </c>
      <c r="E2541">
        <v>78.8</v>
      </c>
      <c r="F2541">
        <v>83</v>
      </c>
      <c r="G2541" s="2">
        <f t="shared" si="391"/>
        <v>1</v>
      </c>
      <c r="H2541">
        <v>89.4</v>
      </c>
      <c r="I2541">
        <v>78.8</v>
      </c>
      <c r="J2541">
        <v>84.3</v>
      </c>
      <c r="K2541">
        <v>63.9</v>
      </c>
      <c r="L2541">
        <v>53</v>
      </c>
      <c r="M2541" s="2">
        <f t="shared" si="392"/>
        <v>1</v>
      </c>
      <c r="N2541">
        <v>0</v>
      </c>
      <c r="O2541" s="2">
        <f t="shared" si="393"/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30</v>
      </c>
      <c r="V2541" s="2">
        <f t="shared" si="394"/>
        <v>1</v>
      </c>
      <c r="W2541">
        <v>18.3</v>
      </c>
      <c r="X2541" s="2">
        <f t="shared" si="395"/>
        <v>1</v>
      </c>
      <c r="Y2541">
        <v>301.2</v>
      </c>
      <c r="Z2541" s="2" t="str">
        <f>CHOOSE(MATCH(Y2541,{0;11;80;111;161;191;241;281;341},1),"North","NorthEast","East","SouthEast","South","SouthWest","West","NorthWest","North")</f>
        <v>NorthWest</v>
      </c>
      <c r="AA2541" s="4">
        <f>CHOOSE(MATCH(Z2541,{"South";"SouthEast";"SouthWest";"North";"NorthEast";"East";"West";"NorthWest"},0),1,2,3,4,5,6,7,8)</f>
        <v>8</v>
      </c>
      <c r="AB2541" s="2">
        <f t="shared" si="396"/>
        <v>1</v>
      </c>
      <c r="AC2541">
        <v>1011.1</v>
      </c>
      <c r="AD2541" t="s">
        <v>3455</v>
      </c>
      <c r="AE2541" s="2">
        <f t="shared" si="397"/>
        <v>1</v>
      </c>
      <c r="AF2541" t="s">
        <v>3456</v>
      </c>
      <c r="AG2541" s="2">
        <f t="shared" si="398"/>
        <v>7</v>
      </c>
      <c r="AH2541" s="2">
        <f t="shared" si="399"/>
        <v>1</v>
      </c>
      <c r="AI2541" s="3">
        <v>5514.0000000048894</v>
      </c>
      <c r="AJ2541" s="2">
        <v>1</v>
      </c>
      <c r="AK2541">
        <v>0</v>
      </c>
      <c r="AL2541">
        <v>5</v>
      </c>
      <c r="AM2541">
        <v>0</v>
      </c>
      <c r="AN2541" s="2">
        <f>IF((2*G2541+M2541-O2541+3*V2541+2*AB2541+2*AE2541+2*AH2541+3*AJ2541)&gt;=7,1,0)</f>
        <v>1</v>
      </c>
    </row>
    <row r="2542" spans="1:40" x14ac:dyDescent="0.25">
      <c r="A2542" t="s">
        <v>27</v>
      </c>
      <c r="B2542" s="1">
        <v>44767</v>
      </c>
      <c r="C2542" s="6">
        <f t="shared" si="390"/>
        <v>2022</v>
      </c>
      <c r="D2542">
        <v>87.8</v>
      </c>
      <c r="E2542">
        <v>77</v>
      </c>
      <c r="F2542">
        <v>83.5</v>
      </c>
      <c r="G2542" s="2">
        <f t="shared" si="391"/>
        <v>1</v>
      </c>
      <c r="H2542">
        <v>91.5</v>
      </c>
      <c r="I2542">
        <v>77</v>
      </c>
      <c r="J2542">
        <v>85.8</v>
      </c>
      <c r="K2542">
        <v>66.2</v>
      </c>
      <c r="L2542">
        <v>56.2</v>
      </c>
      <c r="M2542" s="2">
        <f t="shared" si="392"/>
        <v>1</v>
      </c>
      <c r="N2542">
        <v>0</v>
      </c>
      <c r="O2542" s="2">
        <f t="shared" si="393"/>
        <v>1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32.200000000000003</v>
      </c>
      <c r="V2542" s="2">
        <f t="shared" si="394"/>
        <v>1</v>
      </c>
      <c r="W2542">
        <v>13.9</v>
      </c>
      <c r="X2542" s="2">
        <f t="shared" si="395"/>
        <v>0</v>
      </c>
      <c r="Y2542">
        <v>305.8</v>
      </c>
      <c r="Z2542" s="2" t="str">
        <f>CHOOSE(MATCH(Y2542,{0;11;80;111;161;191;241;281;341},1),"North","NorthEast","East","SouthEast","South","SouthWest","West","NorthWest","North")</f>
        <v>NorthWest</v>
      </c>
      <c r="AA2542" s="4">
        <f>CHOOSE(MATCH(Z2542,{"South";"SouthEast";"SouthWest";"North";"NorthEast";"East";"West";"NorthWest"},0),1,2,3,4,5,6,7,8)</f>
        <v>8</v>
      </c>
      <c r="AB2542" s="2">
        <f t="shared" si="396"/>
        <v>1</v>
      </c>
      <c r="AC2542">
        <v>1009.1</v>
      </c>
      <c r="AD2542" t="s">
        <v>3457</v>
      </c>
      <c r="AE2542" s="2">
        <f t="shared" si="397"/>
        <v>1</v>
      </c>
      <c r="AF2542" t="s">
        <v>3458</v>
      </c>
      <c r="AG2542" s="2">
        <f t="shared" si="398"/>
        <v>7</v>
      </c>
      <c r="AH2542" s="2">
        <f t="shared" si="399"/>
        <v>1</v>
      </c>
      <c r="AI2542" s="3">
        <v>3120.9999999997672</v>
      </c>
      <c r="AJ2542" s="2">
        <v>1</v>
      </c>
      <c r="AK2542">
        <v>1</v>
      </c>
      <c r="AL2542">
        <v>0</v>
      </c>
      <c r="AM2542">
        <v>0</v>
      </c>
      <c r="AN2542" s="2">
        <f>IF((2*G2542+M2542-O2542+3*V2542+2*AB2542+2*AE2542+2*AH2542+3*AJ2542)&gt;=7,1,0)</f>
        <v>1</v>
      </c>
    </row>
    <row r="2543" spans="1:40" x14ac:dyDescent="0.25">
      <c r="A2543" t="s">
        <v>27</v>
      </c>
      <c r="B2543" s="1">
        <v>44767</v>
      </c>
      <c r="C2543" s="6">
        <f t="shared" si="390"/>
        <v>2022</v>
      </c>
      <c r="D2543">
        <v>87.8</v>
      </c>
      <c r="E2543">
        <v>77</v>
      </c>
      <c r="F2543">
        <v>83.5</v>
      </c>
      <c r="G2543" s="2">
        <f t="shared" si="391"/>
        <v>1</v>
      </c>
      <c r="H2543">
        <v>91.5</v>
      </c>
      <c r="I2543">
        <v>77</v>
      </c>
      <c r="J2543">
        <v>85.8</v>
      </c>
      <c r="K2543">
        <v>66.2</v>
      </c>
      <c r="L2543">
        <v>56.2</v>
      </c>
      <c r="M2543" s="2">
        <f t="shared" si="392"/>
        <v>1</v>
      </c>
      <c r="N2543">
        <v>0</v>
      </c>
      <c r="O2543" s="2">
        <f t="shared" si="393"/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32.200000000000003</v>
      </c>
      <c r="V2543" s="2">
        <f t="shared" si="394"/>
        <v>1</v>
      </c>
      <c r="W2543">
        <v>13.9</v>
      </c>
      <c r="X2543" s="2">
        <f t="shared" si="395"/>
        <v>0</v>
      </c>
      <c r="Y2543">
        <v>305.8</v>
      </c>
      <c r="Z2543" s="2" t="str">
        <f>CHOOSE(MATCH(Y2543,{0;11;80;111;161;191;241;281;341},1),"North","NorthEast","East","SouthEast","South","SouthWest","West","NorthWest","North")</f>
        <v>NorthWest</v>
      </c>
      <c r="AA2543" s="4">
        <f>CHOOSE(MATCH(Z2543,{"South";"SouthEast";"SouthWest";"North";"NorthEast";"East";"West";"NorthWest"},0),1,2,3,4,5,6,7,8)</f>
        <v>8</v>
      </c>
      <c r="AB2543" s="2">
        <f t="shared" si="396"/>
        <v>1</v>
      </c>
      <c r="AC2543">
        <v>1009.1</v>
      </c>
      <c r="AD2543" t="s">
        <v>3459</v>
      </c>
      <c r="AE2543" s="2">
        <f t="shared" si="397"/>
        <v>0</v>
      </c>
      <c r="AF2543" t="s">
        <v>3460</v>
      </c>
      <c r="AG2543" s="2">
        <f t="shared" si="398"/>
        <v>7</v>
      </c>
      <c r="AH2543" s="2">
        <f t="shared" si="399"/>
        <v>1</v>
      </c>
      <c r="AI2543" s="3">
        <v>2112.9999999934812</v>
      </c>
      <c r="AJ2543" s="2">
        <v>1</v>
      </c>
      <c r="AK2543">
        <v>0</v>
      </c>
      <c r="AL2543">
        <v>20</v>
      </c>
      <c r="AM2543">
        <v>0</v>
      </c>
      <c r="AN2543" s="2">
        <f>IF((2*G2543+M2543-O2543+3*V2543+2*AB2543+2*AE2543+2*AH2543+3*AJ2543)&gt;=7,1,0)</f>
        <v>1</v>
      </c>
    </row>
    <row r="2544" spans="1:40" x14ac:dyDescent="0.25">
      <c r="A2544" t="s">
        <v>27</v>
      </c>
      <c r="B2544" s="1">
        <v>44770</v>
      </c>
      <c r="C2544" s="6">
        <f t="shared" si="390"/>
        <v>2022</v>
      </c>
      <c r="D2544">
        <v>87.8</v>
      </c>
      <c r="E2544">
        <v>71.599999999999994</v>
      </c>
      <c r="F2544">
        <v>79.2</v>
      </c>
      <c r="G2544" s="2">
        <f t="shared" si="391"/>
        <v>1</v>
      </c>
      <c r="H2544">
        <v>92</v>
      </c>
      <c r="I2544">
        <v>71.599999999999994</v>
      </c>
      <c r="J2544">
        <v>80.900000000000006</v>
      </c>
      <c r="K2544">
        <v>65.599999999999994</v>
      </c>
      <c r="L2544">
        <v>63.8</v>
      </c>
      <c r="M2544" s="2">
        <f t="shared" si="392"/>
        <v>1</v>
      </c>
      <c r="N2544">
        <v>0</v>
      </c>
      <c r="O2544" s="2">
        <f t="shared" si="393"/>
        <v>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22.4</v>
      </c>
      <c r="V2544" s="2">
        <f t="shared" si="394"/>
        <v>1</v>
      </c>
      <c r="W2544">
        <v>16.100000000000001</v>
      </c>
      <c r="X2544" s="2">
        <f t="shared" si="395"/>
        <v>1</v>
      </c>
      <c r="Y2544">
        <v>293</v>
      </c>
      <c r="Z2544" s="2" t="str">
        <f>CHOOSE(MATCH(Y2544,{0;11;80;111;161;191;241;281;341},1),"North","NorthEast","East","SouthEast","South","SouthWest","West","NorthWest","North")</f>
        <v>NorthWest</v>
      </c>
      <c r="AA2544" s="4">
        <f>CHOOSE(MATCH(Z2544,{"South";"SouthEast";"SouthWest";"North";"NorthEast";"East";"West";"NorthWest"},0),1,2,3,4,5,6,7,8)</f>
        <v>8</v>
      </c>
      <c r="AB2544" s="2">
        <f t="shared" si="396"/>
        <v>1</v>
      </c>
      <c r="AC2544">
        <v>1008.1</v>
      </c>
      <c r="AD2544" t="s">
        <v>3461</v>
      </c>
      <c r="AE2544" s="2">
        <f t="shared" si="397"/>
        <v>0</v>
      </c>
      <c r="AF2544" t="s">
        <v>3462</v>
      </c>
      <c r="AG2544" s="2">
        <f t="shared" si="398"/>
        <v>7</v>
      </c>
      <c r="AH2544" s="2">
        <f t="shared" si="399"/>
        <v>1</v>
      </c>
      <c r="AI2544" s="3">
        <v>1277.000000003027</v>
      </c>
      <c r="AJ2544" s="2">
        <v>1</v>
      </c>
      <c r="AK2544">
        <v>0</v>
      </c>
      <c r="AL2544">
        <v>2</v>
      </c>
      <c r="AM2544">
        <v>0</v>
      </c>
      <c r="AN2544" s="2">
        <f>IF((2*G2544+M2544-O2544+3*V2544+2*AB2544+2*AE2544+2*AH2544+3*AJ2544)&gt;=7,1,0)</f>
        <v>1</v>
      </c>
    </row>
    <row r="2545" spans="1:40" x14ac:dyDescent="0.25">
      <c r="A2545" t="s">
        <v>27</v>
      </c>
      <c r="B2545" s="1">
        <v>44775</v>
      </c>
      <c r="C2545" s="6">
        <f t="shared" si="390"/>
        <v>2022</v>
      </c>
      <c r="D2545">
        <v>86</v>
      </c>
      <c r="E2545">
        <v>77</v>
      </c>
      <c r="F2545">
        <v>81.7</v>
      </c>
      <c r="G2545" s="2">
        <f t="shared" si="391"/>
        <v>1</v>
      </c>
      <c r="H2545">
        <v>88.4</v>
      </c>
      <c r="I2545">
        <v>77</v>
      </c>
      <c r="J2545">
        <v>82.9</v>
      </c>
      <c r="K2545">
        <v>66.400000000000006</v>
      </c>
      <c r="L2545">
        <v>60.5</v>
      </c>
      <c r="M2545" s="2">
        <f t="shared" si="392"/>
        <v>1</v>
      </c>
      <c r="N2545">
        <v>0</v>
      </c>
      <c r="O2545" s="2">
        <f t="shared" si="393"/>
        <v>1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33.6</v>
      </c>
      <c r="V2545" s="2">
        <f t="shared" si="394"/>
        <v>1</v>
      </c>
      <c r="W2545">
        <v>19.7</v>
      </c>
      <c r="X2545" s="2">
        <f t="shared" si="395"/>
        <v>1</v>
      </c>
      <c r="Y2545">
        <v>300.89999999999998</v>
      </c>
      <c r="Z2545" s="2" t="str">
        <f>CHOOSE(MATCH(Y2545,{0;11;80;111;161;191;241;281;341},1),"North","NorthEast","East","SouthEast","South","SouthWest","West","NorthWest","North")</f>
        <v>NorthWest</v>
      </c>
      <c r="AA2545" s="4">
        <f>CHOOSE(MATCH(Z2545,{"South";"SouthEast";"SouthWest";"North";"NorthEast";"East";"West";"NorthWest"},0),1,2,3,4,5,6,7,8)</f>
        <v>8</v>
      </c>
      <c r="AB2545" s="2">
        <f t="shared" si="396"/>
        <v>1</v>
      </c>
      <c r="AC2545">
        <v>1009.1</v>
      </c>
      <c r="AD2545" t="s">
        <v>1205</v>
      </c>
      <c r="AE2545" s="2">
        <f t="shared" si="397"/>
        <v>1</v>
      </c>
      <c r="AF2545" t="s">
        <v>3463</v>
      </c>
      <c r="AG2545" s="2">
        <f t="shared" si="398"/>
        <v>8</v>
      </c>
      <c r="AH2545" s="2">
        <f t="shared" si="399"/>
        <v>1</v>
      </c>
      <c r="AI2545" s="3">
        <v>1332.000000004191</v>
      </c>
      <c r="AJ2545" s="2">
        <v>1</v>
      </c>
      <c r="AK2545">
        <v>0</v>
      </c>
      <c r="AL2545">
        <v>1</v>
      </c>
      <c r="AM2545">
        <v>0</v>
      </c>
      <c r="AN2545" s="2">
        <f>IF((2*G2545+M2545-O2545+3*V2545+2*AB2545+2*AE2545+2*AH2545+3*AJ2545)&gt;=7,1,0)</f>
        <v>1</v>
      </c>
    </row>
    <row r="2546" spans="1:40" x14ac:dyDescent="0.25">
      <c r="A2546" t="s">
        <v>27</v>
      </c>
      <c r="B2546" s="1">
        <v>44776</v>
      </c>
      <c r="C2546" s="6">
        <f t="shared" si="390"/>
        <v>2022</v>
      </c>
      <c r="D2546">
        <v>84.2</v>
      </c>
      <c r="E2546">
        <v>78.8</v>
      </c>
      <c r="F2546">
        <v>80.900000000000006</v>
      </c>
      <c r="G2546" s="2">
        <f t="shared" si="391"/>
        <v>1</v>
      </c>
      <c r="H2546">
        <v>87.4</v>
      </c>
      <c r="I2546">
        <v>78.8</v>
      </c>
      <c r="J2546">
        <v>82.3</v>
      </c>
      <c r="K2546">
        <v>65.5</v>
      </c>
      <c r="L2546">
        <v>59.6</v>
      </c>
      <c r="M2546" s="2">
        <f t="shared" si="392"/>
        <v>1</v>
      </c>
      <c r="N2546">
        <v>0</v>
      </c>
      <c r="O2546" s="2">
        <f t="shared" si="393"/>
        <v>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33.1</v>
      </c>
      <c r="V2546" s="2">
        <f t="shared" si="394"/>
        <v>1</v>
      </c>
      <c r="W2546">
        <v>20.8</v>
      </c>
      <c r="X2546" s="2">
        <f t="shared" si="395"/>
        <v>1</v>
      </c>
      <c r="Y2546">
        <v>297.10000000000002</v>
      </c>
      <c r="Z2546" s="2" t="str">
        <f>CHOOSE(MATCH(Y2546,{0;11;80;111;161;191;241;281;341},1),"North","NorthEast","East","SouthEast","South","SouthWest","West","NorthWest","North")</f>
        <v>NorthWest</v>
      </c>
      <c r="AA2546" s="4">
        <f>CHOOSE(MATCH(Z2546,{"South";"SouthEast";"SouthWest";"North";"NorthEast";"East";"West";"NorthWest"},0),1,2,3,4,5,6,7,8)</f>
        <v>8</v>
      </c>
      <c r="AB2546" s="2">
        <f t="shared" si="396"/>
        <v>1</v>
      </c>
      <c r="AC2546">
        <v>1009.5</v>
      </c>
      <c r="AD2546" t="s">
        <v>2210</v>
      </c>
      <c r="AE2546" s="2">
        <f t="shared" si="397"/>
        <v>1</v>
      </c>
      <c r="AF2546" t="s">
        <v>3464</v>
      </c>
      <c r="AG2546" s="2">
        <f t="shared" si="398"/>
        <v>8</v>
      </c>
      <c r="AH2546" s="2">
        <f t="shared" si="399"/>
        <v>1</v>
      </c>
      <c r="AI2546" s="3">
        <v>1769.999999996508</v>
      </c>
      <c r="AJ2546" s="2">
        <v>1</v>
      </c>
      <c r="AK2546">
        <v>0</v>
      </c>
      <c r="AL2546">
        <v>9</v>
      </c>
      <c r="AM2546">
        <v>0</v>
      </c>
      <c r="AN2546" s="2">
        <f>IF((2*G2546+M2546-O2546+3*V2546+2*AB2546+2*AE2546+2*AH2546+3*AJ2546)&gt;=7,1,0)</f>
        <v>1</v>
      </c>
    </row>
    <row r="2547" spans="1:40" x14ac:dyDescent="0.25">
      <c r="A2547" t="s">
        <v>27</v>
      </c>
      <c r="B2547" s="1">
        <v>44779</v>
      </c>
      <c r="C2547" s="6">
        <f t="shared" si="390"/>
        <v>2022</v>
      </c>
      <c r="D2547">
        <v>84.2</v>
      </c>
      <c r="E2547">
        <v>75.2</v>
      </c>
      <c r="F2547">
        <v>80.5</v>
      </c>
      <c r="G2547" s="2">
        <f t="shared" si="391"/>
        <v>1</v>
      </c>
      <c r="H2547">
        <v>88.5</v>
      </c>
      <c r="I2547">
        <v>75.2</v>
      </c>
      <c r="J2547">
        <v>82.1</v>
      </c>
      <c r="K2547">
        <v>66.2</v>
      </c>
      <c r="L2547">
        <v>61.9</v>
      </c>
      <c r="M2547" s="2">
        <f t="shared" si="392"/>
        <v>1</v>
      </c>
      <c r="N2547">
        <v>0</v>
      </c>
      <c r="O2547" s="2">
        <f t="shared" si="393"/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34.4</v>
      </c>
      <c r="V2547" s="2">
        <f t="shared" si="394"/>
        <v>1</v>
      </c>
      <c r="W2547">
        <v>21.9</v>
      </c>
      <c r="X2547" s="2">
        <f t="shared" si="395"/>
        <v>1</v>
      </c>
      <c r="Y2547">
        <v>296.8</v>
      </c>
      <c r="Z2547" s="2" t="str">
        <f>CHOOSE(MATCH(Y2547,{0;11;80;111;161;191;241;281;341},1),"North","NorthEast","East","SouthEast","South","SouthWest","West","NorthWest","North")</f>
        <v>NorthWest</v>
      </c>
      <c r="AA2547" s="4">
        <f>CHOOSE(MATCH(Z2547,{"South";"SouthEast";"SouthWest";"North";"NorthEast";"East";"West";"NorthWest"},0),1,2,3,4,5,6,7,8)</f>
        <v>8</v>
      </c>
      <c r="AB2547" s="2">
        <f t="shared" si="396"/>
        <v>1</v>
      </c>
      <c r="AC2547">
        <v>1007.3</v>
      </c>
      <c r="AD2547" t="s">
        <v>1787</v>
      </c>
      <c r="AE2547" s="2">
        <f t="shared" si="397"/>
        <v>0</v>
      </c>
      <c r="AF2547" t="s">
        <v>3465</v>
      </c>
      <c r="AG2547" s="2">
        <f t="shared" si="398"/>
        <v>8</v>
      </c>
      <c r="AH2547" s="2">
        <f t="shared" si="399"/>
        <v>1</v>
      </c>
      <c r="AI2547" s="3">
        <v>1805.999999998603</v>
      </c>
      <c r="AJ2547" s="2">
        <v>1</v>
      </c>
      <c r="AK2547">
        <v>10</v>
      </c>
      <c r="AL2547">
        <v>0</v>
      </c>
      <c r="AM2547">
        <v>0</v>
      </c>
      <c r="AN2547" s="2">
        <f>IF((2*G2547+M2547-O2547+3*V2547+2*AB2547+2*AE2547+2*AH2547+3*AJ2547)&gt;=7,1,0)</f>
        <v>1</v>
      </c>
    </row>
    <row r="2548" spans="1:40" x14ac:dyDescent="0.25">
      <c r="A2548" t="s">
        <v>27</v>
      </c>
      <c r="B2548" s="1">
        <v>44784</v>
      </c>
      <c r="C2548" s="6">
        <f t="shared" si="390"/>
        <v>2022</v>
      </c>
      <c r="D2548">
        <v>82.4</v>
      </c>
      <c r="E2548">
        <v>77</v>
      </c>
      <c r="F2548">
        <v>79.2</v>
      </c>
      <c r="G2548" s="2">
        <f t="shared" si="391"/>
        <v>1</v>
      </c>
      <c r="H2548">
        <v>86.2</v>
      </c>
      <c r="I2548">
        <v>77</v>
      </c>
      <c r="J2548">
        <v>80.5</v>
      </c>
      <c r="K2548">
        <v>68.5</v>
      </c>
      <c r="L2548">
        <v>69.900000000000006</v>
      </c>
      <c r="M2548" s="2">
        <f t="shared" si="392"/>
        <v>0</v>
      </c>
      <c r="N2548">
        <v>0</v>
      </c>
      <c r="O2548" s="2">
        <f t="shared" si="393"/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30.2</v>
      </c>
      <c r="V2548" s="2">
        <f t="shared" si="394"/>
        <v>1</v>
      </c>
      <c r="W2548">
        <v>19.7</v>
      </c>
      <c r="X2548" s="2">
        <f t="shared" si="395"/>
        <v>1</v>
      </c>
      <c r="Y2548">
        <v>299.8</v>
      </c>
      <c r="Z2548" s="2" t="str">
        <f>CHOOSE(MATCH(Y2548,{0;11;80;111;161;191;241;281;341},1),"North","NorthEast","East","SouthEast","South","SouthWest","West","NorthWest","North")</f>
        <v>NorthWest</v>
      </c>
      <c r="AA2548" s="4">
        <f>CHOOSE(MATCH(Z2548,{"South";"SouthEast";"SouthWest";"North";"NorthEast";"East";"West";"NorthWest"},0),1,2,3,4,5,6,7,8)</f>
        <v>8</v>
      </c>
      <c r="AB2548" s="2">
        <f t="shared" si="396"/>
        <v>1</v>
      </c>
      <c r="AC2548">
        <v>1009.5</v>
      </c>
      <c r="AD2548" t="s">
        <v>3466</v>
      </c>
      <c r="AE2548" s="2">
        <f t="shared" si="397"/>
        <v>0</v>
      </c>
      <c r="AF2548" t="s">
        <v>3467</v>
      </c>
      <c r="AG2548" s="2">
        <f t="shared" si="398"/>
        <v>8</v>
      </c>
      <c r="AH2548" s="2">
        <f t="shared" si="399"/>
        <v>1</v>
      </c>
      <c r="AI2548" s="3">
        <v>303.99999999557622</v>
      </c>
      <c r="AJ2548" s="2">
        <v>0</v>
      </c>
      <c r="AK2548">
        <v>0</v>
      </c>
      <c r="AL2548">
        <v>0.01</v>
      </c>
      <c r="AM2548">
        <v>0</v>
      </c>
      <c r="AN2548" s="2">
        <f>IF((2*G2548+M2548-O2548+3*V2548+2*AB2548+2*AE2548+2*AH2548+3*AJ2548)&gt;=7,1,0)</f>
        <v>1</v>
      </c>
    </row>
    <row r="2549" spans="1:40" x14ac:dyDescent="0.25">
      <c r="A2549" t="s">
        <v>27</v>
      </c>
      <c r="B2549" s="1">
        <v>44786</v>
      </c>
      <c r="C2549" s="6">
        <f t="shared" si="390"/>
        <v>2022</v>
      </c>
      <c r="D2549">
        <v>84.2</v>
      </c>
      <c r="E2549">
        <v>69.8</v>
      </c>
      <c r="F2549">
        <v>78.400000000000006</v>
      </c>
      <c r="G2549" s="2">
        <f t="shared" si="391"/>
        <v>1</v>
      </c>
      <c r="H2549">
        <v>87.4</v>
      </c>
      <c r="I2549">
        <v>69.8</v>
      </c>
      <c r="J2549">
        <v>80</v>
      </c>
      <c r="K2549">
        <v>67.3</v>
      </c>
      <c r="L2549">
        <v>69.400000000000006</v>
      </c>
      <c r="M2549" s="2">
        <f t="shared" si="392"/>
        <v>0</v>
      </c>
      <c r="N2549">
        <v>0</v>
      </c>
      <c r="O2549" s="2">
        <f t="shared" si="393"/>
        <v>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26.4</v>
      </c>
      <c r="V2549" s="2">
        <f t="shared" si="394"/>
        <v>1</v>
      </c>
      <c r="W2549">
        <v>16.100000000000001</v>
      </c>
      <c r="X2549" s="2">
        <f t="shared" si="395"/>
        <v>1</v>
      </c>
      <c r="Y2549">
        <v>310.8</v>
      </c>
      <c r="Z2549" s="2" t="str">
        <f>CHOOSE(MATCH(Y2549,{0;11;80;111;161;191;241;281;341},1),"North","NorthEast","East","SouthEast","South","SouthWest","West","NorthWest","North")</f>
        <v>NorthWest</v>
      </c>
      <c r="AA2549" s="4">
        <f>CHOOSE(MATCH(Z2549,{"South";"SouthEast";"SouthWest";"North";"NorthEast";"East";"West";"NorthWest"},0),1,2,3,4,5,6,7,8)</f>
        <v>8</v>
      </c>
      <c r="AB2549" s="2">
        <f t="shared" si="396"/>
        <v>1</v>
      </c>
      <c r="AC2549">
        <v>1009.4</v>
      </c>
      <c r="AD2549" t="s">
        <v>2208</v>
      </c>
      <c r="AE2549" s="2">
        <f t="shared" si="397"/>
        <v>1</v>
      </c>
      <c r="AF2549" t="s">
        <v>3468</v>
      </c>
      <c r="AG2549" s="2">
        <f t="shared" si="398"/>
        <v>8</v>
      </c>
      <c r="AH2549" s="2">
        <f t="shared" si="399"/>
        <v>1</v>
      </c>
      <c r="AI2549" s="3">
        <v>8311.9999999995343</v>
      </c>
      <c r="AJ2549" s="2">
        <v>1</v>
      </c>
      <c r="AK2549">
        <v>0</v>
      </c>
      <c r="AL2549">
        <v>30</v>
      </c>
      <c r="AM2549">
        <v>0</v>
      </c>
      <c r="AN2549" s="2">
        <f>IF((2*G2549+M2549-O2549+3*V2549+2*AB2549+2*AE2549+2*AH2549+3*AJ2549)&gt;=7,1,0)</f>
        <v>1</v>
      </c>
    </row>
    <row r="2550" spans="1:40" x14ac:dyDescent="0.25">
      <c r="A2550" t="s">
        <v>27</v>
      </c>
      <c r="B2550" s="1">
        <v>44790</v>
      </c>
      <c r="C2550" s="6">
        <f t="shared" si="390"/>
        <v>2022</v>
      </c>
      <c r="D2550">
        <v>86</v>
      </c>
      <c r="E2550">
        <v>71.599999999999994</v>
      </c>
      <c r="F2550">
        <v>79.5</v>
      </c>
      <c r="G2550" s="2">
        <f t="shared" si="391"/>
        <v>1</v>
      </c>
      <c r="H2550">
        <v>95.2</v>
      </c>
      <c r="I2550">
        <v>71.599999999999994</v>
      </c>
      <c r="J2550">
        <v>82.9</v>
      </c>
      <c r="K2550">
        <v>67.8</v>
      </c>
      <c r="L2550">
        <v>68.099999999999994</v>
      </c>
      <c r="M2550" s="2">
        <f t="shared" si="392"/>
        <v>0</v>
      </c>
      <c r="N2550">
        <v>0</v>
      </c>
      <c r="O2550" s="2">
        <f t="shared" si="393"/>
        <v>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24.6</v>
      </c>
      <c r="V2550" s="2">
        <f t="shared" si="394"/>
        <v>1</v>
      </c>
      <c r="W2550">
        <v>19.7</v>
      </c>
      <c r="X2550" s="2">
        <f t="shared" si="395"/>
        <v>1</v>
      </c>
      <c r="Y2550">
        <v>294.2</v>
      </c>
      <c r="Z2550" s="2" t="str">
        <f>CHOOSE(MATCH(Y2550,{0;11;80;111;161;191;241;281;341},1),"North","NorthEast","East","SouthEast","South","SouthWest","West","NorthWest","North")</f>
        <v>NorthWest</v>
      </c>
      <c r="AA2550" s="4">
        <f>CHOOSE(MATCH(Z2550,{"South";"SouthEast";"SouthWest";"North";"NorthEast";"East";"West";"NorthWest"},0),1,2,3,4,5,6,7,8)</f>
        <v>8</v>
      </c>
      <c r="AB2550" s="2">
        <f t="shared" si="396"/>
        <v>1</v>
      </c>
      <c r="AC2550">
        <v>1009.9</v>
      </c>
      <c r="AD2550" t="s">
        <v>3469</v>
      </c>
      <c r="AE2550" s="2">
        <f t="shared" si="397"/>
        <v>0</v>
      </c>
      <c r="AF2550" t="s">
        <v>3470</v>
      </c>
      <c r="AG2550" s="2">
        <f t="shared" si="398"/>
        <v>8</v>
      </c>
      <c r="AH2550" s="2">
        <f t="shared" si="399"/>
        <v>1</v>
      </c>
      <c r="AI2550" s="3">
        <v>3210.9999999997672</v>
      </c>
      <c r="AJ2550" s="2">
        <v>1</v>
      </c>
      <c r="AK2550">
        <v>0</v>
      </c>
      <c r="AL2550">
        <v>600</v>
      </c>
      <c r="AM2550">
        <v>0</v>
      </c>
      <c r="AN2550" s="2">
        <f>IF((2*G2550+M2550-O2550+3*V2550+2*AB2550+2*AE2550+2*AH2550+3*AJ2550)&gt;=7,1,0)</f>
        <v>1</v>
      </c>
    </row>
    <row r="2551" spans="1:40" x14ac:dyDescent="0.25">
      <c r="A2551" t="s">
        <v>27</v>
      </c>
      <c r="B2551" s="1">
        <v>44812</v>
      </c>
      <c r="C2551" s="6">
        <f t="shared" si="390"/>
        <v>2022</v>
      </c>
      <c r="D2551">
        <v>78.8</v>
      </c>
      <c r="E2551">
        <v>73.400000000000006</v>
      </c>
      <c r="F2551">
        <v>75.7</v>
      </c>
      <c r="G2551" s="2">
        <f t="shared" si="391"/>
        <v>1</v>
      </c>
      <c r="H2551">
        <v>78.8</v>
      </c>
      <c r="I2551">
        <v>73.400000000000006</v>
      </c>
      <c r="J2551">
        <v>75.7</v>
      </c>
      <c r="K2551">
        <v>64</v>
      </c>
      <c r="L2551">
        <v>67.2</v>
      </c>
      <c r="M2551" s="2">
        <f t="shared" si="392"/>
        <v>0</v>
      </c>
      <c r="N2551">
        <v>0</v>
      </c>
      <c r="O2551" s="2">
        <f t="shared" si="393"/>
        <v>1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26.4</v>
      </c>
      <c r="V2551" s="2">
        <f t="shared" si="394"/>
        <v>1</v>
      </c>
      <c r="W2551">
        <v>17.2</v>
      </c>
      <c r="X2551" s="2">
        <f t="shared" si="395"/>
        <v>1</v>
      </c>
      <c r="Y2551">
        <v>309.3</v>
      </c>
      <c r="Z2551" s="2" t="str">
        <f>CHOOSE(MATCH(Y2551,{0;11;80;111;161;191;241;281;341},1),"North","NorthEast","East","SouthEast","South","SouthWest","West","NorthWest","North")</f>
        <v>NorthWest</v>
      </c>
      <c r="AA2551" s="4">
        <f>CHOOSE(MATCH(Z2551,{"South";"SouthEast";"SouthWest";"North";"NorthEast";"East";"West";"NorthWest"},0),1,2,3,4,5,6,7,8)</f>
        <v>8</v>
      </c>
      <c r="AB2551" s="2">
        <f t="shared" si="396"/>
        <v>1</v>
      </c>
      <c r="AC2551">
        <v>1015.3</v>
      </c>
      <c r="AD2551" t="s">
        <v>1249</v>
      </c>
      <c r="AE2551" s="2">
        <f t="shared" si="397"/>
        <v>1</v>
      </c>
      <c r="AF2551" t="s">
        <v>3471</v>
      </c>
      <c r="AG2551" s="2">
        <f t="shared" si="398"/>
        <v>9</v>
      </c>
      <c r="AH2551" s="2">
        <f t="shared" si="399"/>
        <v>0</v>
      </c>
      <c r="AI2551" s="3">
        <v>65.000000002328306</v>
      </c>
      <c r="AJ2551" s="2">
        <v>0</v>
      </c>
      <c r="AK2551">
        <v>0</v>
      </c>
      <c r="AL2551">
        <v>100</v>
      </c>
      <c r="AM2551">
        <v>0</v>
      </c>
      <c r="AN2551" s="2">
        <f>IF((2*G2551+M2551-O2551+3*V2551+2*AB2551+2*AE2551+2*AH2551+3*AJ2551)&gt;=7,1,0)</f>
        <v>1</v>
      </c>
    </row>
    <row r="2552" spans="1:40" x14ac:dyDescent="0.25">
      <c r="A2552" t="s">
        <v>27</v>
      </c>
      <c r="B2552" s="1">
        <v>44813</v>
      </c>
      <c r="C2552" s="6">
        <f t="shared" si="390"/>
        <v>2022</v>
      </c>
      <c r="D2552">
        <v>82.4</v>
      </c>
      <c r="E2552">
        <v>64.400000000000006</v>
      </c>
      <c r="F2552">
        <v>74.5</v>
      </c>
      <c r="G2552" s="2">
        <f t="shared" si="391"/>
        <v>1</v>
      </c>
      <c r="H2552">
        <v>84</v>
      </c>
      <c r="I2552">
        <v>64.400000000000006</v>
      </c>
      <c r="J2552">
        <v>74.900000000000006</v>
      </c>
      <c r="K2552">
        <v>62.5</v>
      </c>
      <c r="L2552">
        <v>67.099999999999994</v>
      </c>
      <c r="M2552" s="2">
        <f t="shared" si="392"/>
        <v>0</v>
      </c>
      <c r="N2552">
        <v>0</v>
      </c>
      <c r="O2552" s="2">
        <f t="shared" si="393"/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21</v>
      </c>
      <c r="V2552" s="2">
        <f t="shared" si="394"/>
        <v>1</v>
      </c>
      <c r="W2552">
        <v>15</v>
      </c>
      <c r="X2552" s="2">
        <f t="shared" si="395"/>
        <v>0</v>
      </c>
      <c r="Y2552">
        <v>297.89999999999998</v>
      </c>
      <c r="Z2552" s="2" t="str">
        <f>CHOOSE(MATCH(Y2552,{0;11;80;111;161;191;241;281;341},1),"North","NorthEast","East","SouthEast","South","SouthWest","West","NorthWest","North")</f>
        <v>NorthWest</v>
      </c>
      <c r="AA2552" s="4">
        <f>CHOOSE(MATCH(Z2552,{"South";"SouthEast";"SouthWest";"North";"NorthEast";"East";"West";"NorthWest"},0),1,2,3,4,5,6,7,8)</f>
        <v>8</v>
      </c>
      <c r="AB2552" s="2">
        <f t="shared" si="396"/>
        <v>1</v>
      </c>
      <c r="AC2552">
        <v>1016.4</v>
      </c>
      <c r="AD2552" t="s">
        <v>1138</v>
      </c>
      <c r="AE2552" s="2">
        <f t="shared" si="397"/>
        <v>1</v>
      </c>
      <c r="AF2552" t="s">
        <v>3472</v>
      </c>
      <c r="AG2552" s="2">
        <f t="shared" si="398"/>
        <v>9</v>
      </c>
      <c r="AH2552" s="2">
        <f t="shared" si="399"/>
        <v>0</v>
      </c>
      <c r="AI2552" s="3">
        <v>1746.000000002095</v>
      </c>
      <c r="AJ2552" s="2">
        <v>1</v>
      </c>
      <c r="AK2552">
        <v>0</v>
      </c>
      <c r="AL2552">
        <v>200</v>
      </c>
      <c r="AM2552">
        <v>0</v>
      </c>
      <c r="AN2552" s="2">
        <f>IF((2*G2552+M2552-O2552+3*V2552+2*AB2552+2*AE2552+2*AH2552+3*AJ2552)&gt;=7,1,0)</f>
        <v>1</v>
      </c>
    </row>
    <row r="2553" spans="1:40" x14ac:dyDescent="0.25">
      <c r="A2553" t="s">
        <v>27</v>
      </c>
      <c r="B2553" s="1">
        <v>44814</v>
      </c>
      <c r="C2553" s="6">
        <f t="shared" si="390"/>
        <v>2022</v>
      </c>
      <c r="D2553">
        <v>86</v>
      </c>
      <c r="E2553">
        <v>66.2</v>
      </c>
      <c r="F2553">
        <v>76.900000000000006</v>
      </c>
      <c r="G2553" s="2">
        <f t="shared" si="391"/>
        <v>1</v>
      </c>
      <c r="H2553">
        <v>92</v>
      </c>
      <c r="I2553">
        <v>66.2</v>
      </c>
      <c r="J2553">
        <v>78.5</v>
      </c>
      <c r="K2553">
        <v>63.8</v>
      </c>
      <c r="L2553">
        <v>65.099999999999994</v>
      </c>
      <c r="M2553" s="2">
        <f t="shared" si="392"/>
        <v>1</v>
      </c>
      <c r="N2553">
        <v>0</v>
      </c>
      <c r="O2553" s="2">
        <f t="shared" si="393"/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18.100000000000001</v>
      </c>
      <c r="V2553" s="2">
        <f t="shared" si="394"/>
        <v>1</v>
      </c>
      <c r="W2553">
        <v>10.3</v>
      </c>
      <c r="X2553" s="2">
        <f t="shared" si="395"/>
        <v>0</v>
      </c>
      <c r="Y2553">
        <v>175.3</v>
      </c>
      <c r="Z2553" s="2" t="str">
        <f>CHOOSE(MATCH(Y2553,{0;11;80;111;161;191;241;281;341},1),"North","NorthEast","East","SouthEast","South","SouthWest","West","NorthWest","North")</f>
        <v>South</v>
      </c>
      <c r="AA2553" s="4">
        <f>CHOOSE(MATCH(Z2553,{"South";"SouthEast";"SouthWest";"North";"NorthEast";"East";"West";"NorthWest"},0),1,2,3,4,5,6,7,8)</f>
        <v>1</v>
      </c>
      <c r="AB2553" s="2">
        <f t="shared" si="396"/>
        <v>0</v>
      </c>
      <c r="AC2553">
        <v>1014.4</v>
      </c>
      <c r="AD2553" t="s">
        <v>3342</v>
      </c>
      <c r="AE2553" s="2">
        <f t="shared" si="397"/>
        <v>1</v>
      </c>
      <c r="AF2553" t="s">
        <v>3473</v>
      </c>
      <c r="AG2553" s="2">
        <f t="shared" si="398"/>
        <v>9</v>
      </c>
      <c r="AH2553" s="2">
        <f t="shared" si="399"/>
        <v>0</v>
      </c>
      <c r="AI2553" s="3">
        <v>141.0000000090804</v>
      </c>
      <c r="AJ2553" s="2">
        <v>0</v>
      </c>
      <c r="AK2553">
        <v>0</v>
      </c>
      <c r="AL2553">
        <v>0.1</v>
      </c>
      <c r="AM2553">
        <v>0</v>
      </c>
      <c r="AN2553" s="2">
        <f>IF((2*G2553+M2553-O2553+3*V2553+2*AB2553+2*AE2553+2*AH2553+3*AJ2553)&gt;=7,1,0)</f>
        <v>1</v>
      </c>
    </row>
    <row r="2554" spans="1:40" x14ac:dyDescent="0.25">
      <c r="A2554" t="s">
        <v>27</v>
      </c>
      <c r="B2554" s="1">
        <v>44816</v>
      </c>
      <c r="C2554" s="6">
        <f t="shared" si="390"/>
        <v>2022</v>
      </c>
      <c r="D2554">
        <v>84.2</v>
      </c>
      <c r="E2554">
        <v>71.599999999999994</v>
      </c>
      <c r="F2554">
        <v>78.400000000000006</v>
      </c>
      <c r="G2554" s="2">
        <f t="shared" si="391"/>
        <v>1</v>
      </c>
      <c r="H2554">
        <v>89.6</v>
      </c>
      <c r="I2554">
        <v>71.599999999999994</v>
      </c>
      <c r="J2554">
        <v>80.099999999999994</v>
      </c>
      <c r="K2554">
        <v>66.900000000000006</v>
      </c>
      <c r="L2554">
        <v>68.5</v>
      </c>
      <c r="M2554" s="2">
        <f t="shared" si="392"/>
        <v>0</v>
      </c>
      <c r="N2554">
        <v>0</v>
      </c>
      <c r="O2554" s="2">
        <f t="shared" si="393"/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29.3</v>
      </c>
      <c r="V2554" s="2">
        <f t="shared" si="394"/>
        <v>1</v>
      </c>
      <c r="W2554">
        <v>21.9</v>
      </c>
      <c r="X2554" s="2">
        <f t="shared" si="395"/>
        <v>1</v>
      </c>
      <c r="Y2554">
        <v>295.39999999999998</v>
      </c>
      <c r="Z2554" s="2" t="str">
        <f>CHOOSE(MATCH(Y2554,{0;11;80;111;161;191;241;281;341},1),"North","NorthEast","East","SouthEast","South","SouthWest","West","NorthWest","North")</f>
        <v>NorthWest</v>
      </c>
      <c r="AA2554" s="4">
        <f>CHOOSE(MATCH(Z2554,{"South";"SouthEast";"SouthWest";"North";"NorthEast";"East";"West";"NorthWest"},0),1,2,3,4,5,6,7,8)</f>
        <v>8</v>
      </c>
      <c r="AB2554" s="2">
        <f t="shared" si="396"/>
        <v>1</v>
      </c>
      <c r="AC2554">
        <v>1008.2</v>
      </c>
      <c r="AD2554" t="s">
        <v>2202</v>
      </c>
      <c r="AE2554" s="2">
        <f t="shared" si="397"/>
        <v>0</v>
      </c>
      <c r="AF2554" t="s">
        <v>3474</v>
      </c>
      <c r="AG2554" s="2">
        <f t="shared" si="398"/>
        <v>9</v>
      </c>
      <c r="AH2554" s="2">
        <f t="shared" si="399"/>
        <v>0</v>
      </c>
      <c r="AI2554" s="3">
        <v>524.00000000023283</v>
      </c>
      <c r="AJ2554" s="2">
        <v>1</v>
      </c>
      <c r="AK2554">
        <v>0</v>
      </c>
      <c r="AL2554">
        <v>0.5</v>
      </c>
      <c r="AM2554">
        <v>0</v>
      </c>
      <c r="AN2554" s="2">
        <f>IF((2*G2554+M2554-O2554+3*V2554+2*AB2554+2*AE2554+2*AH2554+3*AJ2554)&gt;=7,1,0)</f>
        <v>1</v>
      </c>
    </row>
    <row r="2555" spans="1:40" x14ac:dyDescent="0.25">
      <c r="A2555" t="s">
        <v>27</v>
      </c>
      <c r="B2555" s="1">
        <v>44819</v>
      </c>
      <c r="C2555" s="6">
        <f t="shared" si="390"/>
        <v>2022</v>
      </c>
      <c r="D2555">
        <v>82.4</v>
      </c>
      <c r="E2555">
        <v>62.6</v>
      </c>
      <c r="F2555">
        <v>72.599999999999994</v>
      </c>
      <c r="G2555" s="2">
        <f t="shared" si="391"/>
        <v>1</v>
      </c>
      <c r="H2555">
        <v>86.2</v>
      </c>
      <c r="I2555">
        <v>62.6</v>
      </c>
      <c r="J2555">
        <v>73</v>
      </c>
      <c r="K2555">
        <v>59.6</v>
      </c>
      <c r="L2555">
        <v>64.3</v>
      </c>
      <c r="M2555" s="2">
        <f t="shared" si="392"/>
        <v>1</v>
      </c>
      <c r="N2555">
        <v>0</v>
      </c>
      <c r="O2555" s="2">
        <f t="shared" si="393"/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17.2</v>
      </c>
      <c r="V2555" s="2">
        <f t="shared" si="394"/>
        <v>1</v>
      </c>
      <c r="W2555">
        <v>8</v>
      </c>
      <c r="X2555" s="2">
        <f t="shared" si="395"/>
        <v>0</v>
      </c>
      <c r="Y2555">
        <v>108.5</v>
      </c>
      <c r="Z2555" s="2" t="str">
        <f>CHOOSE(MATCH(Y2555,{0;11;80;111;161;191;241;281;341},1),"North","NorthEast","East","SouthEast","South","SouthWest","West","NorthWest","North")</f>
        <v>East</v>
      </c>
      <c r="AA2555" s="4">
        <f>CHOOSE(MATCH(Z2555,{"South";"SouthEast";"SouthWest";"North";"NorthEast";"East";"West";"NorthWest"},0),1,2,3,4,5,6,7,8)</f>
        <v>6</v>
      </c>
      <c r="AB2555" s="2">
        <f t="shared" si="396"/>
        <v>0</v>
      </c>
      <c r="AC2555">
        <v>1014.9</v>
      </c>
      <c r="AD2555" t="s">
        <v>1165</v>
      </c>
      <c r="AE2555" s="2">
        <f t="shared" si="397"/>
        <v>0</v>
      </c>
      <c r="AF2555" t="s">
        <v>3475</v>
      </c>
      <c r="AG2555" s="2">
        <f t="shared" si="398"/>
        <v>9</v>
      </c>
      <c r="AH2555" s="2">
        <f t="shared" si="399"/>
        <v>0</v>
      </c>
      <c r="AI2555" s="3">
        <v>200.00000000232831</v>
      </c>
      <c r="AJ2555" s="2">
        <v>0</v>
      </c>
      <c r="AK2555">
        <v>0</v>
      </c>
      <c r="AL2555">
        <v>0.5</v>
      </c>
      <c r="AM2555">
        <v>0</v>
      </c>
      <c r="AN2555" s="2">
        <f>IF((2*G2555+M2555-O2555+3*V2555+2*AB2555+2*AE2555+2*AH2555+3*AJ2555)&gt;=7,1,0)</f>
        <v>0</v>
      </c>
    </row>
    <row r="2556" spans="1:40" x14ac:dyDescent="0.25">
      <c r="A2556" t="s">
        <v>27</v>
      </c>
      <c r="B2556" s="1">
        <v>44822</v>
      </c>
      <c r="C2556" s="6">
        <f t="shared" si="390"/>
        <v>2022</v>
      </c>
      <c r="D2556">
        <v>86</v>
      </c>
      <c r="E2556">
        <v>71.599999999999994</v>
      </c>
      <c r="F2556">
        <v>78.599999999999994</v>
      </c>
      <c r="G2556" s="2">
        <f t="shared" si="391"/>
        <v>1</v>
      </c>
      <c r="H2556">
        <v>92</v>
      </c>
      <c r="I2556">
        <v>71.599999999999994</v>
      </c>
      <c r="J2556">
        <v>81.099999999999994</v>
      </c>
      <c r="K2556">
        <v>69.599999999999994</v>
      </c>
      <c r="L2556">
        <v>74.7</v>
      </c>
      <c r="M2556" s="2">
        <f t="shared" si="392"/>
        <v>0</v>
      </c>
      <c r="N2556">
        <v>0</v>
      </c>
      <c r="O2556" s="2">
        <f t="shared" si="393"/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23.7</v>
      </c>
      <c r="V2556" s="2">
        <f t="shared" si="394"/>
        <v>1</v>
      </c>
      <c r="W2556">
        <v>18.3</v>
      </c>
      <c r="X2556" s="2">
        <f t="shared" si="395"/>
        <v>1</v>
      </c>
      <c r="Y2556">
        <v>285.8</v>
      </c>
      <c r="Z2556" s="2" t="str">
        <f>CHOOSE(MATCH(Y2556,{0;11;80;111;161;191;241;281;341},1),"North","NorthEast","East","SouthEast","South","SouthWest","West","NorthWest","North")</f>
        <v>NorthWest</v>
      </c>
      <c r="AA2556" s="4">
        <f>CHOOSE(MATCH(Z2556,{"South";"SouthEast";"SouthWest";"North";"NorthEast";"East";"West";"NorthWest"},0),1,2,3,4,5,6,7,8)</f>
        <v>8</v>
      </c>
      <c r="AB2556" s="2">
        <f t="shared" si="396"/>
        <v>1</v>
      </c>
      <c r="AC2556">
        <v>1009.2</v>
      </c>
      <c r="AD2556" t="s">
        <v>3476</v>
      </c>
      <c r="AE2556" s="2">
        <f t="shared" si="397"/>
        <v>1</v>
      </c>
      <c r="AF2556" t="s">
        <v>3477</v>
      </c>
      <c r="AG2556" s="2">
        <f t="shared" si="398"/>
        <v>9</v>
      </c>
      <c r="AH2556" s="2">
        <f t="shared" si="399"/>
        <v>0</v>
      </c>
      <c r="AI2556" s="3">
        <v>4222.9999999981374</v>
      </c>
      <c r="AJ2556" s="2">
        <v>1</v>
      </c>
      <c r="AK2556">
        <v>0</v>
      </c>
      <c r="AL2556">
        <v>800</v>
      </c>
      <c r="AM2556">
        <v>0</v>
      </c>
      <c r="AN2556" s="2">
        <f>IF((2*G2556+M2556-O2556+3*V2556+2*AB2556+2*AE2556+2*AH2556+3*AJ2556)&gt;=7,1,0)</f>
        <v>1</v>
      </c>
    </row>
    <row r="2557" spans="1:40" x14ac:dyDescent="0.25">
      <c r="A2557" t="s">
        <v>27</v>
      </c>
      <c r="B2557" s="1">
        <v>44823</v>
      </c>
      <c r="C2557" s="6">
        <f t="shared" si="390"/>
        <v>2022</v>
      </c>
      <c r="D2557">
        <v>82.4</v>
      </c>
      <c r="E2557">
        <v>68</v>
      </c>
      <c r="F2557">
        <v>76.3</v>
      </c>
      <c r="G2557" s="2">
        <f t="shared" si="391"/>
        <v>1</v>
      </c>
      <c r="H2557">
        <v>84</v>
      </c>
      <c r="I2557">
        <v>68</v>
      </c>
      <c r="J2557">
        <v>76.7</v>
      </c>
      <c r="K2557">
        <v>63</v>
      </c>
      <c r="L2557">
        <v>63.9</v>
      </c>
      <c r="M2557" s="2">
        <f t="shared" si="392"/>
        <v>1</v>
      </c>
      <c r="N2557">
        <v>0</v>
      </c>
      <c r="O2557" s="2">
        <f t="shared" si="393"/>
        <v>1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23.5</v>
      </c>
      <c r="V2557" s="2">
        <f t="shared" si="394"/>
        <v>1</v>
      </c>
      <c r="W2557">
        <v>11.4</v>
      </c>
      <c r="X2557" s="2">
        <f t="shared" si="395"/>
        <v>0</v>
      </c>
      <c r="Y2557">
        <v>307.39999999999998</v>
      </c>
      <c r="Z2557" s="2" t="str">
        <f>CHOOSE(MATCH(Y2557,{0;11;80;111;161;191;241;281;341},1),"North","NorthEast","East","SouthEast","South","SouthWest","West","NorthWest","North")</f>
        <v>NorthWest</v>
      </c>
      <c r="AA2557" s="4">
        <f>CHOOSE(MATCH(Z2557,{"South";"SouthEast";"SouthWest";"North";"NorthEast";"East";"West";"NorthWest"},0),1,2,3,4,5,6,7,8)</f>
        <v>8</v>
      </c>
      <c r="AB2557" s="2">
        <f t="shared" si="396"/>
        <v>1</v>
      </c>
      <c r="AC2557">
        <v>1012</v>
      </c>
      <c r="AD2557" t="s">
        <v>2805</v>
      </c>
      <c r="AE2557" s="2">
        <f t="shared" si="397"/>
        <v>0</v>
      </c>
      <c r="AF2557" t="s">
        <v>3478</v>
      </c>
      <c r="AG2557" s="2">
        <f t="shared" si="398"/>
        <v>9</v>
      </c>
      <c r="AH2557" s="2">
        <f t="shared" si="399"/>
        <v>0</v>
      </c>
      <c r="AI2557" s="3">
        <v>70.000000008149073</v>
      </c>
      <c r="AJ2557" s="2">
        <v>0</v>
      </c>
      <c r="AK2557">
        <v>0</v>
      </c>
      <c r="AL2557">
        <v>0.01</v>
      </c>
      <c r="AM2557">
        <v>0</v>
      </c>
      <c r="AN2557" s="2">
        <f>IF((2*G2557+M2557-O2557+3*V2557+2*AB2557+2*AE2557+2*AH2557+3*AJ2557)&gt;=7,1,0)</f>
        <v>1</v>
      </c>
    </row>
    <row r="2558" spans="1:40" x14ac:dyDescent="0.25">
      <c r="A2558" t="s">
        <v>27</v>
      </c>
      <c r="B2558" s="1">
        <v>44827</v>
      </c>
      <c r="C2558" s="6">
        <f t="shared" si="390"/>
        <v>2022</v>
      </c>
      <c r="D2558">
        <v>71.599999999999994</v>
      </c>
      <c r="E2558">
        <v>60.8</v>
      </c>
      <c r="F2558">
        <v>67.099999999999994</v>
      </c>
      <c r="G2558" s="2">
        <f t="shared" si="391"/>
        <v>0</v>
      </c>
      <c r="H2558">
        <v>71.599999999999994</v>
      </c>
      <c r="I2558">
        <v>60.8</v>
      </c>
      <c r="J2558">
        <v>67.099999999999994</v>
      </c>
      <c r="K2558">
        <v>55.4</v>
      </c>
      <c r="L2558">
        <v>67</v>
      </c>
      <c r="M2558" s="2">
        <f t="shared" si="392"/>
        <v>0</v>
      </c>
      <c r="N2558">
        <v>2E-3</v>
      </c>
      <c r="O2558" s="2">
        <f t="shared" si="393"/>
        <v>1</v>
      </c>
      <c r="P2558">
        <v>100</v>
      </c>
      <c r="Q2558">
        <v>4.17</v>
      </c>
      <c r="R2558" t="s">
        <v>182</v>
      </c>
      <c r="S2558">
        <v>0</v>
      </c>
      <c r="T2558">
        <v>0</v>
      </c>
      <c r="U2558">
        <v>23</v>
      </c>
      <c r="V2558" s="2">
        <f t="shared" si="394"/>
        <v>1</v>
      </c>
      <c r="W2558">
        <v>10.3</v>
      </c>
      <c r="X2558" s="2">
        <f t="shared" si="395"/>
        <v>0</v>
      </c>
      <c r="Y2558">
        <v>75.8</v>
      </c>
      <c r="Z2558" s="2" t="str">
        <f>CHOOSE(MATCH(Y2558,{0;11;80;111;161;191;241;281;341},1),"North","NorthEast","East","SouthEast","South","SouthWest","West","NorthWest","North")</f>
        <v>NorthEast</v>
      </c>
      <c r="AA2558" s="4">
        <f>CHOOSE(MATCH(Z2558,{"South";"SouthEast";"SouthWest";"North";"NorthEast";"East";"West";"NorthWest"},0),1,2,3,4,5,6,7,8)</f>
        <v>5</v>
      </c>
      <c r="AB2558" s="2">
        <f t="shared" si="396"/>
        <v>1</v>
      </c>
      <c r="AC2558">
        <v>1015.2</v>
      </c>
      <c r="AD2558" t="s">
        <v>2884</v>
      </c>
      <c r="AE2558" s="2">
        <f t="shared" si="397"/>
        <v>1</v>
      </c>
      <c r="AF2558" t="s">
        <v>3479</v>
      </c>
      <c r="AG2558" s="2">
        <f t="shared" si="398"/>
        <v>9</v>
      </c>
      <c r="AH2558" s="2">
        <f t="shared" si="399"/>
        <v>0</v>
      </c>
      <c r="AI2558" s="3">
        <v>1296.999999994878</v>
      </c>
      <c r="AJ2558" s="2">
        <v>1</v>
      </c>
      <c r="AK2558">
        <v>100</v>
      </c>
      <c r="AL2558">
        <v>0</v>
      </c>
      <c r="AM2558">
        <v>0</v>
      </c>
      <c r="AN2558" s="2">
        <f>IF((2*G2558+M2558-O2558+3*V2558+2*AB2558+2*AE2558+2*AH2558+3*AJ2558)&gt;=7,1,0)</f>
        <v>1</v>
      </c>
    </row>
    <row r="2559" spans="1:40" x14ac:dyDescent="0.25">
      <c r="A2559" t="s">
        <v>27</v>
      </c>
      <c r="B2559" s="1">
        <v>44830</v>
      </c>
      <c r="C2559" s="6">
        <f t="shared" si="390"/>
        <v>2022</v>
      </c>
      <c r="D2559">
        <v>77</v>
      </c>
      <c r="E2559">
        <v>59</v>
      </c>
      <c r="F2559">
        <v>67.7</v>
      </c>
      <c r="G2559" s="2">
        <f t="shared" si="391"/>
        <v>0</v>
      </c>
      <c r="H2559">
        <v>77</v>
      </c>
      <c r="I2559">
        <v>59</v>
      </c>
      <c r="J2559">
        <v>67.7</v>
      </c>
      <c r="K2559">
        <v>58</v>
      </c>
      <c r="L2559">
        <v>71.8</v>
      </c>
      <c r="M2559" s="2">
        <f t="shared" si="392"/>
        <v>0</v>
      </c>
      <c r="N2559">
        <v>0</v>
      </c>
      <c r="O2559" s="2">
        <f t="shared" si="393"/>
        <v>1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20.8</v>
      </c>
      <c r="V2559" s="2">
        <f t="shared" si="394"/>
        <v>1</v>
      </c>
      <c r="W2559">
        <v>10.3</v>
      </c>
      <c r="X2559" s="2">
        <f t="shared" si="395"/>
        <v>0</v>
      </c>
      <c r="Y2559">
        <v>132.1</v>
      </c>
      <c r="Z2559" s="2" t="str">
        <f>CHOOSE(MATCH(Y2559,{0;11;80;111;161;191;241;281;341},1),"North","NorthEast","East","SouthEast","South","SouthWest","West","NorthWest","North")</f>
        <v>SouthEast</v>
      </c>
      <c r="AA2559" s="4">
        <f>CHOOSE(MATCH(Z2559,{"South";"SouthEast";"SouthWest";"North";"NorthEast";"East";"West";"NorthWest"},0),1,2,3,4,5,6,7,8)</f>
        <v>2</v>
      </c>
      <c r="AB2559" s="2">
        <f t="shared" si="396"/>
        <v>0</v>
      </c>
      <c r="AC2559">
        <v>1016.5</v>
      </c>
      <c r="AD2559" t="s">
        <v>3480</v>
      </c>
      <c r="AE2559" s="2">
        <f t="shared" si="397"/>
        <v>0</v>
      </c>
      <c r="AF2559" t="s">
        <v>3481</v>
      </c>
      <c r="AG2559" s="2">
        <f t="shared" si="398"/>
        <v>9</v>
      </c>
      <c r="AH2559" s="2">
        <f t="shared" si="399"/>
        <v>0</v>
      </c>
      <c r="AI2559" s="3">
        <v>635.99999999860302</v>
      </c>
      <c r="AJ2559" s="2">
        <v>1</v>
      </c>
      <c r="AK2559">
        <v>0</v>
      </c>
      <c r="AL2559">
        <v>130</v>
      </c>
      <c r="AM2559">
        <v>0</v>
      </c>
      <c r="AN2559" s="2">
        <f>IF((2*G2559+M2559-O2559+3*V2559+2*AB2559+2*AE2559+2*AH2559+3*AJ2559)&gt;=7,1,0)</f>
        <v>0</v>
      </c>
    </row>
    <row r="2560" spans="1:40" x14ac:dyDescent="0.25">
      <c r="A2560" t="s">
        <v>27</v>
      </c>
      <c r="B2560" s="1">
        <v>44831</v>
      </c>
      <c r="C2560" s="6">
        <f t="shared" si="390"/>
        <v>2022</v>
      </c>
      <c r="D2560">
        <v>86</v>
      </c>
      <c r="E2560">
        <v>64.400000000000006</v>
      </c>
      <c r="F2560">
        <v>75.7</v>
      </c>
      <c r="G2560" s="2">
        <f t="shared" si="391"/>
        <v>1</v>
      </c>
      <c r="H2560">
        <v>87.5</v>
      </c>
      <c r="I2560">
        <v>64.400000000000006</v>
      </c>
      <c r="J2560">
        <v>76.400000000000006</v>
      </c>
      <c r="K2560">
        <v>60.3</v>
      </c>
      <c r="L2560">
        <v>60.3</v>
      </c>
      <c r="M2560" s="2">
        <f t="shared" si="392"/>
        <v>1</v>
      </c>
      <c r="N2560">
        <v>0</v>
      </c>
      <c r="O2560" s="2">
        <f t="shared" si="393"/>
        <v>1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27.7</v>
      </c>
      <c r="V2560" s="2">
        <f t="shared" si="394"/>
        <v>1</v>
      </c>
      <c r="W2560">
        <v>15</v>
      </c>
      <c r="X2560" s="2">
        <f t="shared" si="395"/>
        <v>0</v>
      </c>
      <c r="Y2560">
        <v>167.4</v>
      </c>
      <c r="Z2560" s="2" t="str">
        <f>CHOOSE(MATCH(Y2560,{0;11;80;111;161;191;241;281;341},1),"North","NorthEast","East","SouthEast","South","SouthWest","West","NorthWest","North")</f>
        <v>South</v>
      </c>
      <c r="AA2560" s="4">
        <f>CHOOSE(MATCH(Z2560,{"South";"SouthEast";"SouthWest";"North";"NorthEast";"East";"West";"NorthWest"},0),1,2,3,4,5,6,7,8)</f>
        <v>1</v>
      </c>
      <c r="AB2560" s="2">
        <f t="shared" si="396"/>
        <v>0</v>
      </c>
      <c r="AC2560">
        <v>1011.7</v>
      </c>
      <c r="AD2560" t="s">
        <v>1757</v>
      </c>
      <c r="AE2560" s="2">
        <f t="shared" si="397"/>
        <v>1</v>
      </c>
      <c r="AF2560" t="s">
        <v>3482</v>
      </c>
      <c r="AG2560" s="2">
        <f t="shared" si="398"/>
        <v>9</v>
      </c>
      <c r="AH2560" s="2">
        <f t="shared" si="399"/>
        <v>0</v>
      </c>
      <c r="AI2560" s="3">
        <v>313.99999999674043</v>
      </c>
      <c r="AJ2560" s="2">
        <v>0</v>
      </c>
      <c r="AK2560">
        <v>0</v>
      </c>
      <c r="AL2560">
        <v>0.3</v>
      </c>
      <c r="AM2560">
        <v>0</v>
      </c>
      <c r="AN2560" s="2">
        <f>IF((2*G2560+M2560-O2560+3*V2560+2*AB2560+2*AE2560+2*AH2560+3*AJ2560)&gt;=7,1,0)</f>
        <v>1</v>
      </c>
    </row>
    <row r="2561" spans="1:40" x14ac:dyDescent="0.25">
      <c r="A2561" t="s">
        <v>27</v>
      </c>
      <c r="B2561" s="1">
        <v>44832</v>
      </c>
      <c r="C2561" s="6">
        <f t="shared" si="390"/>
        <v>2022</v>
      </c>
      <c r="D2561">
        <v>82.4</v>
      </c>
      <c r="E2561">
        <v>75.2</v>
      </c>
      <c r="F2561">
        <v>79.8</v>
      </c>
      <c r="G2561" s="2">
        <f t="shared" si="391"/>
        <v>1</v>
      </c>
      <c r="H2561">
        <v>87.2</v>
      </c>
      <c r="I2561">
        <v>75.2</v>
      </c>
      <c r="J2561">
        <v>81.3</v>
      </c>
      <c r="K2561">
        <v>65</v>
      </c>
      <c r="L2561">
        <v>62.4</v>
      </c>
      <c r="M2561" s="2">
        <f t="shared" si="392"/>
        <v>1</v>
      </c>
      <c r="N2561">
        <v>0</v>
      </c>
      <c r="O2561" s="2">
        <f t="shared" si="393"/>
        <v>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25.3</v>
      </c>
      <c r="V2561" s="2">
        <f t="shared" si="394"/>
        <v>1</v>
      </c>
      <c r="W2561">
        <v>13.9</v>
      </c>
      <c r="X2561" s="2">
        <f t="shared" si="395"/>
        <v>0</v>
      </c>
      <c r="Y2561">
        <v>147.69999999999999</v>
      </c>
      <c r="Z2561" s="2" t="str">
        <f>CHOOSE(MATCH(Y2561,{0;11;80;111;161;191;241;281;341},1),"North","NorthEast","East","SouthEast","South","SouthWest","West","NorthWest","North")</f>
        <v>SouthEast</v>
      </c>
      <c r="AA2561" s="4">
        <f>CHOOSE(MATCH(Z2561,{"South";"SouthEast";"SouthWest";"North";"NorthEast";"East";"West";"NorthWest"},0),1,2,3,4,5,6,7,8)</f>
        <v>2</v>
      </c>
      <c r="AB2561" s="2">
        <f t="shared" si="396"/>
        <v>0</v>
      </c>
      <c r="AC2561">
        <v>1010.5</v>
      </c>
      <c r="AD2561" t="s">
        <v>3080</v>
      </c>
      <c r="AE2561" s="2">
        <f t="shared" si="397"/>
        <v>1</v>
      </c>
      <c r="AF2561" t="s">
        <v>3483</v>
      </c>
      <c r="AG2561" s="2">
        <f t="shared" si="398"/>
        <v>9</v>
      </c>
      <c r="AH2561" s="2">
        <f t="shared" si="399"/>
        <v>0</v>
      </c>
      <c r="AI2561" s="3">
        <v>190.00000000116421</v>
      </c>
      <c r="AJ2561" s="2">
        <v>0</v>
      </c>
      <c r="AK2561">
        <v>0</v>
      </c>
      <c r="AL2561">
        <v>0.5</v>
      </c>
      <c r="AM2561">
        <v>0</v>
      </c>
      <c r="AN2561" s="2">
        <f>IF((2*G2561+M2561-O2561+3*V2561+2*AB2561+2*AE2561+2*AH2561+3*AJ2561)&gt;=7,1,0)</f>
        <v>1</v>
      </c>
    </row>
    <row r="2562" spans="1:40" x14ac:dyDescent="0.25">
      <c r="A2562" t="s">
        <v>27</v>
      </c>
      <c r="B2562" s="1">
        <v>44832</v>
      </c>
      <c r="C2562" s="6">
        <f t="shared" si="390"/>
        <v>2022</v>
      </c>
      <c r="D2562">
        <v>82.4</v>
      </c>
      <c r="E2562">
        <v>75.2</v>
      </c>
      <c r="F2562">
        <v>79.8</v>
      </c>
      <c r="G2562" s="2">
        <f t="shared" si="391"/>
        <v>1</v>
      </c>
      <c r="H2562">
        <v>87.2</v>
      </c>
      <c r="I2562">
        <v>75.2</v>
      </c>
      <c r="J2562">
        <v>81.3</v>
      </c>
      <c r="K2562">
        <v>65</v>
      </c>
      <c r="L2562">
        <v>62.4</v>
      </c>
      <c r="M2562" s="2">
        <f t="shared" si="392"/>
        <v>1</v>
      </c>
      <c r="N2562">
        <v>0</v>
      </c>
      <c r="O2562" s="2">
        <f t="shared" si="393"/>
        <v>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25.3</v>
      </c>
      <c r="V2562" s="2">
        <f t="shared" si="394"/>
        <v>1</v>
      </c>
      <c r="W2562">
        <v>13.9</v>
      </c>
      <c r="X2562" s="2">
        <f t="shared" si="395"/>
        <v>0</v>
      </c>
      <c r="Y2562">
        <v>147.69999999999999</v>
      </c>
      <c r="Z2562" s="2" t="str">
        <f>CHOOSE(MATCH(Y2562,{0;11;80;111;161;191;241;281;341},1),"North","NorthEast","East","SouthEast","South","SouthWest","West","NorthWest","North")</f>
        <v>SouthEast</v>
      </c>
      <c r="AA2562" s="4">
        <f>CHOOSE(MATCH(Z2562,{"South";"SouthEast";"SouthWest";"North";"NorthEast";"East";"West";"NorthWest"},0),1,2,3,4,5,6,7,8)</f>
        <v>2</v>
      </c>
      <c r="AB2562" s="2">
        <f t="shared" si="396"/>
        <v>0</v>
      </c>
      <c r="AC2562">
        <v>1010.5</v>
      </c>
      <c r="AD2562" t="s">
        <v>1274</v>
      </c>
      <c r="AE2562" s="2">
        <f t="shared" si="397"/>
        <v>1</v>
      </c>
      <c r="AF2562" t="s">
        <v>3484</v>
      </c>
      <c r="AG2562" s="2">
        <f t="shared" si="398"/>
        <v>9</v>
      </c>
      <c r="AH2562" s="2">
        <f t="shared" si="399"/>
        <v>0</v>
      </c>
      <c r="AI2562" s="3">
        <v>355.00000000465661</v>
      </c>
      <c r="AJ2562" s="2">
        <v>0</v>
      </c>
      <c r="AK2562">
        <v>2</v>
      </c>
      <c r="AL2562">
        <v>0</v>
      </c>
      <c r="AM2562">
        <v>0</v>
      </c>
      <c r="AN2562" s="2">
        <f>IF((2*G2562+M2562-O2562+3*V2562+2*AB2562+2*AE2562+2*AH2562+3*AJ2562)&gt;=7,1,0)</f>
        <v>1</v>
      </c>
    </row>
    <row r="2563" spans="1:40" x14ac:dyDescent="0.25">
      <c r="A2563" t="s">
        <v>27</v>
      </c>
      <c r="B2563" s="1">
        <v>44835</v>
      </c>
      <c r="C2563" s="6">
        <f t="shared" ref="C2563:C2626" si="400">YEAR(B2563)</f>
        <v>2022</v>
      </c>
      <c r="D2563">
        <v>80.7</v>
      </c>
      <c r="E2563">
        <v>69.8</v>
      </c>
      <c r="F2563">
        <v>75.3</v>
      </c>
      <c r="G2563" s="2">
        <f t="shared" ref="G2563:G2626" si="401">IF(F2563&lt;=70,0,1)</f>
        <v>1</v>
      </c>
      <c r="H2563">
        <v>86.3</v>
      </c>
      <c r="I2563">
        <v>69.8</v>
      </c>
      <c r="J2563">
        <v>76.2</v>
      </c>
      <c r="K2563">
        <v>69.7</v>
      </c>
      <c r="L2563">
        <v>82.9</v>
      </c>
      <c r="M2563" s="2">
        <f t="shared" ref="M2563:M2626" si="402">IF(L2563&lt;=66,1,0)</f>
        <v>0</v>
      </c>
      <c r="N2563">
        <v>0</v>
      </c>
      <c r="O2563" s="2">
        <f t="shared" ref="O2563:O2626" si="403">IF(N2563&lt;=0.01,1,0)</f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16.100000000000001</v>
      </c>
      <c r="V2563" s="2">
        <f t="shared" ref="V2563:V2626" si="404">IF(U2563&lt;=9,0,1)</f>
        <v>1</v>
      </c>
      <c r="W2563">
        <v>9.1999999999999993</v>
      </c>
      <c r="X2563" s="2">
        <f t="shared" ref="X2563:X2626" si="405">IF(W2563&gt;=16,1,0)</f>
        <v>0</v>
      </c>
      <c r="Y2563">
        <v>131.30000000000001</v>
      </c>
      <c r="Z2563" s="2" t="str">
        <f>CHOOSE(MATCH(Y2563,{0;11;80;111;161;191;241;281;341},1),"North","NorthEast","East","SouthEast","South","SouthWest","West","NorthWest","North")</f>
        <v>SouthEast</v>
      </c>
      <c r="AA2563" s="4">
        <f>CHOOSE(MATCH(Z2563,{"South";"SouthEast";"SouthWest";"North";"NorthEast";"East";"West";"NorthWest"},0),1,2,3,4,5,6,7,8)</f>
        <v>2</v>
      </c>
      <c r="AB2563" s="2">
        <f t="shared" ref="AB2563:AB2626" si="406">IF(OR(AA2563=4,AA2563=5,AA2563=8),1,0)</f>
        <v>0</v>
      </c>
      <c r="AC2563">
        <v>1019.3</v>
      </c>
      <c r="AD2563" t="s">
        <v>3485</v>
      </c>
      <c r="AE2563" s="2">
        <f t="shared" ref="AE2563:AE2626" si="407">IF(TIMEVALUE(AD2563)&lt;=TIME(12,30,0),0,1)</f>
        <v>1</v>
      </c>
      <c r="AF2563" t="s">
        <v>3486</v>
      </c>
      <c r="AG2563" s="2">
        <f t="shared" ref="AG2563:AG2626" si="408">MONTH(AF2563)</f>
        <v>10</v>
      </c>
      <c r="AH2563" s="2">
        <f t="shared" ref="AH2563:AH2626" si="409">IF(OR(AG2563=6,AG2563=7,AG2563=8),1,0)</f>
        <v>0</v>
      </c>
      <c r="AI2563" s="3">
        <v>1497.000000007683</v>
      </c>
      <c r="AJ2563" s="2">
        <v>1</v>
      </c>
      <c r="AK2563">
        <v>0</v>
      </c>
      <c r="AL2563">
        <v>10</v>
      </c>
      <c r="AM2563">
        <v>0</v>
      </c>
      <c r="AN2563" s="2">
        <f>IF((2*G2563+M2563-O2563+3*V2563+2*AB2563+2*AE2563+2*AH2563+3*AJ2563)&gt;=7,1,0)</f>
        <v>1</v>
      </c>
    </row>
    <row r="2564" spans="1:40" x14ac:dyDescent="0.25">
      <c r="A2564" t="s">
        <v>27</v>
      </c>
      <c r="B2564" s="1">
        <v>44838</v>
      </c>
      <c r="C2564" s="6">
        <f t="shared" si="400"/>
        <v>2022</v>
      </c>
      <c r="D2564">
        <v>78.8</v>
      </c>
      <c r="E2564">
        <v>62.6</v>
      </c>
      <c r="F2564">
        <v>70.599999999999994</v>
      </c>
      <c r="G2564" s="2">
        <f t="shared" si="401"/>
        <v>1</v>
      </c>
      <c r="H2564">
        <v>78.8</v>
      </c>
      <c r="I2564">
        <v>62.6</v>
      </c>
      <c r="J2564">
        <v>70.599999999999994</v>
      </c>
      <c r="K2564">
        <v>61</v>
      </c>
      <c r="L2564">
        <v>72.599999999999994</v>
      </c>
      <c r="M2564" s="2">
        <f t="shared" si="402"/>
        <v>0</v>
      </c>
      <c r="N2564">
        <v>0</v>
      </c>
      <c r="O2564" s="2">
        <f t="shared" si="403"/>
        <v>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28.9</v>
      </c>
      <c r="V2564" s="2">
        <f t="shared" si="404"/>
        <v>1</v>
      </c>
      <c r="W2564">
        <v>12.8</v>
      </c>
      <c r="X2564" s="2">
        <f t="shared" si="405"/>
        <v>0</v>
      </c>
      <c r="Y2564">
        <v>342.2</v>
      </c>
      <c r="Z2564" s="2" t="str">
        <f>CHOOSE(MATCH(Y2564,{0;11;80;111;161;191;241;281;341},1),"North","NorthEast","East","SouthEast","South","SouthWest","West","NorthWest","North")</f>
        <v>North</v>
      </c>
      <c r="AA2564" s="4">
        <f>CHOOSE(MATCH(Z2564,{"South";"SouthEast";"SouthWest";"North";"NorthEast";"East";"West";"NorthWest"},0),1,2,3,4,5,6,7,8)</f>
        <v>4</v>
      </c>
      <c r="AB2564" s="2">
        <f t="shared" si="406"/>
        <v>1</v>
      </c>
      <c r="AC2564">
        <v>1014.3</v>
      </c>
      <c r="AD2564" t="s">
        <v>3487</v>
      </c>
      <c r="AE2564" s="2">
        <f t="shared" si="407"/>
        <v>0</v>
      </c>
      <c r="AF2564" t="s">
        <v>3488</v>
      </c>
      <c r="AG2564" s="2">
        <f t="shared" si="408"/>
        <v>10</v>
      </c>
      <c r="AH2564" s="2">
        <f t="shared" si="409"/>
        <v>0</v>
      </c>
      <c r="AI2564" s="3">
        <v>567.9999999969732</v>
      </c>
      <c r="AJ2564" s="2">
        <v>1</v>
      </c>
      <c r="AK2564">
        <v>0</v>
      </c>
      <c r="AL2564">
        <v>0.5</v>
      </c>
      <c r="AM2564">
        <v>0</v>
      </c>
      <c r="AN2564" s="2">
        <f>IF((2*G2564+M2564-O2564+3*V2564+2*AB2564+2*AE2564+2*AH2564+3*AJ2564)&gt;=7,1,0)</f>
        <v>1</v>
      </c>
    </row>
    <row r="2565" spans="1:40" x14ac:dyDescent="0.25">
      <c r="A2565" t="s">
        <v>27</v>
      </c>
      <c r="B2565" s="1">
        <v>44839</v>
      </c>
      <c r="C2565" s="6">
        <f t="shared" si="400"/>
        <v>2022</v>
      </c>
      <c r="D2565">
        <v>73.400000000000006</v>
      </c>
      <c r="E2565">
        <v>68</v>
      </c>
      <c r="F2565">
        <v>70.400000000000006</v>
      </c>
      <c r="G2565" s="2">
        <f t="shared" si="401"/>
        <v>1</v>
      </c>
      <c r="H2565">
        <v>73.400000000000006</v>
      </c>
      <c r="I2565">
        <v>68</v>
      </c>
      <c r="J2565">
        <v>70.400000000000006</v>
      </c>
      <c r="K2565">
        <v>53.8</v>
      </c>
      <c r="L2565">
        <v>56</v>
      </c>
      <c r="M2565" s="2">
        <f t="shared" si="402"/>
        <v>1</v>
      </c>
      <c r="N2565">
        <v>0</v>
      </c>
      <c r="O2565" s="2">
        <f t="shared" si="403"/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34.4</v>
      </c>
      <c r="V2565" s="2">
        <f t="shared" si="404"/>
        <v>1</v>
      </c>
      <c r="W2565">
        <v>18.399999999999999</v>
      </c>
      <c r="X2565" s="2">
        <f t="shared" si="405"/>
        <v>1</v>
      </c>
      <c r="Y2565">
        <v>328.3</v>
      </c>
      <c r="Z2565" s="2" t="str">
        <f>CHOOSE(MATCH(Y2565,{0;11;80;111;161;191;241;281;341},1),"North","NorthEast","East","SouthEast","South","SouthWest","West","NorthWest","North")</f>
        <v>NorthWest</v>
      </c>
      <c r="AA2565" s="4">
        <f>CHOOSE(MATCH(Z2565,{"South";"SouthEast";"SouthWest";"North";"NorthEast";"East";"West";"NorthWest"},0),1,2,3,4,5,6,7,8)</f>
        <v>8</v>
      </c>
      <c r="AB2565" s="2">
        <f t="shared" si="406"/>
        <v>1</v>
      </c>
      <c r="AC2565">
        <v>1021.4</v>
      </c>
      <c r="AD2565" t="s">
        <v>2418</v>
      </c>
      <c r="AE2565" s="2">
        <f t="shared" si="407"/>
        <v>0</v>
      </c>
      <c r="AF2565" t="s">
        <v>3489</v>
      </c>
      <c r="AG2565" s="2">
        <f t="shared" si="408"/>
        <v>10</v>
      </c>
      <c r="AH2565" s="2">
        <f t="shared" si="409"/>
        <v>0</v>
      </c>
      <c r="AI2565" s="3">
        <v>2077.9999999946449</v>
      </c>
      <c r="AJ2565" s="2">
        <v>1</v>
      </c>
      <c r="AK2565">
        <v>0</v>
      </c>
      <c r="AL2565">
        <v>2</v>
      </c>
      <c r="AM2565">
        <v>0</v>
      </c>
      <c r="AN2565" s="2">
        <f>IF((2*G2565+M2565-O2565+3*V2565+2*AB2565+2*AE2565+2*AH2565+3*AJ2565)&gt;=7,1,0)</f>
        <v>1</v>
      </c>
    </row>
    <row r="2566" spans="1:40" x14ac:dyDescent="0.25">
      <c r="A2566" t="s">
        <v>27</v>
      </c>
      <c r="B2566" s="1">
        <v>44839</v>
      </c>
      <c r="C2566" s="6">
        <f t="shared" si="400"/>
        <v>2022</v>
      </c>
      <c r="D2566">
        <v>73.400000000000006</v>
      </c>
      <c r="E2566">
        <v>68</v>
      </c>
      <c r="F2566">
        <v>70.400000000000006</v>
      </c>
      <c r="G2566" s="2">
        <f t="shared" si="401"/>
        <v>1</v>
      </c>
      <c r="H2566">
        <v>73.400000000000006</v>
      </c>
      <c r="I2566">
        <v>68</v>
      </c>
      <c r="J2566">
        <v>70.400000000000006</v>
      </c>
      <c r="K2566">
        <v>53.8</v>
      </c>
      <c r="L2566">
        <v>56</v>
      </c>
      <c r="M2566" s="2">
        <f t="shared" si="402"/>
        <v>1</v>
      </c>
      <c r="N2566">
        <v>0</v>
      </c>
      <c r="O2566" s="2">
        <f t="shared" si="403"/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34.4</v>
      </c>
      <c r="V2566" s="2">
        <f t="shared" si="404"/>
        <v>1</v>
      </c>
      <c r="W2566">
        <v>18.399999999999999</v>
      </c>
      <c r="X2566" s="2">
        <f t="shared" si="405"/>
        <v>1</v>
      </c>
      <c r="Y2566">
        <v>328.3</v>
      </c>
      <c r="Z2566" s="2" t="str">
        <f>CHOOSE(MATCH(Y2566,{0;11;80;111;161;191;241;281;341},1),"North","NorthEast","East","SouthEast","South","SouthWest","West","NorthWest","North")</f>
        <v>NorthWest</v>
      </c>
      <c r="AA2566" s="4">
        <f>CHOOSE(MATCH(Z2566,{"South";"SouthEast";"SouthWest";"North";"NorthEast";"East";"West";"NorthWest"},0),1,2,3,4,5,6,7,8)</f>
        <v>8</v>
      </c>
      <c r="AB2566" s="2">
        <f t="shared" si="406"/>
        <v>1</v>
      </c>
      <c r="AC2566">
        <v>1021.4</v>
      </c>
      <c r="AD2566" t="s">
        <v>1274</v>
      </c>
      <c r="AE2566" s="2">
        <f t="shared" si="407"/>
        <v>1</v>
      </c>
      <c r="AF2566" t="s">
        <v>3490</v>
      </c>
      <c r="AG2566" s="2">
        <f t="shared" si="408"/>
        <v>10</v>
      </c>
      <c r="AH2566" s="2">
        <f t="shared" si="409"/>
        <v>0</v>
      </c>
      <c r="AI2566" s="3">
        <v>230.99999999860299</v>
      </c>
      <c r="AJ2566" s="2">
        <v>0</v>
      </c>
      <c r="AK2566">
        <v>0</v>
      </c>
      <c r="AL2566">
        <v>20</v>
      </c>
      <c r="AM2566">
        <v>0</v>
      </c>
      <c r="AN2566" s="2">
        <f>IF((2*G2566+M2566-O2566+3*V2566+2*AB2566+2*AE2566+2*AH2566+3*AJ2566)&gt;=7,1,0)</f>
        <v>1</v>
      </c>
    </row>
    <row r="2567" spans="1:40" x14ac:dyDescent="0.25">
      <c r="A2567" t="s">
        <v>27</v>
      </c>
      <c r="B2567" s="1">
        <v>44842</v>
      </c>
      <c r="C2567" s="6">
        <f t="shared" si="400"/>
        <v>2022</v>
      </c>
      <c r="D2567">
        <v>73.400000000000006</v>
      </c>
      <c r="E2567">
        <v>68</v>
      </c>
      <c r="F2567">
        <v>70.3</v>
      </c>
      <c r="G2567" s="2">
        <f t="shared" si="401"/>
        <v>1</v>
      </c>
      <c r="H2567">
        <v>73.400000000000006</v>
      </c>
      <c r="I2567">
        <v>68</v>
      </c>
      <c r="J2567">
        <v>70.3</v>
      </c>
      <c r="K2567">
        <v>58.9</v>
      </c>
      <c r="L2567">
        <v>67.099999999999994</v>
      </c>
      <c r="M2567" s="2">
        <f t="shared" si="402"/>
        <v>0</v>
      </c>
      <c r="N2567">
        <v>4.0000000000000001E-3</v>
      </c>
      <c r="O2567" s="2">
        <f t="shared" si="403"/>
        <v>1</v>
      </c>
      <c r="P2567">
        <v>100</v>
      </c>
      <c r="Q2567">
        <v>4.17</v>
      </c>
      <c r="R2567" t="s">
        <v>182</v>
      </c>
      <c r="S2567">
        <v>0</v>
      </c>
      <c r="T2567">
        <v>0</v>
      </c>
      <c r="U2567">
        <v>31.8</v>
      </c>
      <c r="V2567" s="2">
        <f t="shared" si="404"/>
        <v>1</v>
      </c>
      <c r="W2567">
        <v>19.600000000000001</v>
      </c>
      <c r="X2567" s="2">
        <f t="shared" si="405"/>
        <v>1</v>
      </c>
      <c r="Y2567">
        <v>326</v>
      </c>
      <c r="Z2567" s="2" t="str">
        <f>CHOOSE(MATCH(Y2567,{0;11;80;111;161;191;241;281;341},1),"North","NorthEast","East","SouthEast","South","SouthWest","West","NorthWest","North")</f>
        <v>NorthWest</v>
      </c>
      <c r="AA2567" s="4">
        <f>CHOOSE(MATCH(Z2567,{"South";"SouthEast";"SouthWest";"North";"NorthEast";"East";"West";"NorthWest"},0),1,2,3,4,5,6,7,8)</f>
        <v>8</v>
      </c>
      <c r="AB2567" s="2">
        <f t="shared" si="406"/>
        <v>1</v>
      </c>
      <c r="AC2567">
        <v>1017.3</v>
      </c>
      <c r="AD2567" t="s">
        <v>2172</v>
      </c>
      <c r="AE2567" s="2">
        <f t="shared" si="407"/>
        <v>1</v>
      </c>
      <c r="AF2567" t="s">
        <v>3491</v>
      </c>
      <c r="AG2567" s="2">
        <f t="shared" si="408"/>
        <v>10</v>
      </c>
      <c r="AH2567" s="2">
        <f t="shared" si="409"/>
        <v>0</v>
      </c>
      <c r="AI2567" s="3">
        <v>829.99999999185093</v>
      </c>
      <c r="AJ2567" s="2">
        <v>1</v>
      </c>
      <c r="AK2567">
        <v>1</v>
      </c>
      <c r="AL2567">
        <v>0</v>
      </c>
      <c r="AM2567">
        <v>0</v>
      </c>
      <c r="AN2567" s="2">
        <f>IF((2*G2567+M2567-O2567+3*V2567+2*AB2567+2*AE2567+2*AH2567+3*AJ2567)&gt;=7,1,0)</f>
        <v>1</v>
      </c>
    </row>
    <row r="2568" spans="1:40" x14ac:dyDescent="0.25">
      <c r="A2568" t="s">
        <v>27</v>
      </c>
      <c r="B2568" s="1">
        <v>44843</v>
      </c>
      <c r="C2568" s="6">
        <f t="shared" si="400"/>
        <v>2022</v>
      </c>
      <c r="D2568">
        <v>73.400000000000006</v>
      </c>
      <c r="E2568">
        <v>64.400000000000006</v>
      </c>
      <c r="F2568">
        <v>70</v>
      </c>
      <c r="G2568" s="2">
        <f t="shared" si="401"/>
        <v>0</v>
      </c>
      <c r="H2568">
        <v>73.400000000000006</v>
      </c>
      <c r="I2568">
        <v>64.400000000000006</v>
      </c>
      <c r="J2568">
        <v>70</v>
      </c>
      <c r="K2568">
        <v>58.6</v>
      </c>
      <c r="L2568">
        <v>67.3</v>
      </c>
      <c r="M2568" s="2">
        <f t="shared" si="402"/>
        <v>0</v>
      </c>
      <c r="N2568">
        <v>0</v>
      </c>
      <c r="O2568" s="2">
        <f t="shared" si="403"/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25.3</v>
      </c>
      <c r="V2568" s="2">
        <f t="shared" si="404"/>
        <v>1</v>
      </c>
      <c r="W2568">
        <v>12.8</v>
      </c>
      <c r="X2568" s="2">
        <f t="shared" si="405"/>
        <v>0</v>
      </c>
      <c r="Y2568">
        <v>318.2</v>
      </c>
      <c r="Z2568" s="2" t="str">
        <f>CHOOSE(MATCH(Y2568,{0;11;80;111;161;191;241;281;341},1),"North","NorthEast","East","SouthEast","South","SouthWest","West","NorthWest","North")</f>
        <v>NorthWest</v>
      </c>
      <c r="AA2568" s="4">
        <f>CHOOSE(MATCH(Z2568,{"South";"SouthEast";"SouthWest";"North";"NorthEast";"East";"West";"NorthWest"},0),1,2,3,4,5,6,7,8)</f>
        <v>8</v>
      </c>
      <c r="AB2568" s="2">
        <f t="shared" si="406"/>
        <v>1</v>
      </c>
      <c r="AC2568">
        <v>1018.6</v>
      </c>
      <c r="AD2568" t="s">
        <v>3492</v>
      </c>
      <c r="AE2568" s="2">
        <f t="shared" si="407"/>
        <v>0</v>
      </c>
      <c r="AF2568" t="s">
        <v>3493</v>
      </c>
      <c r="AG2568" s="2">
        <f t="shared" si="408"/>
        <v>10</v>
      </c>
      <c r="AH2568" s="2">
        <f t="shared" si="409"/>
        <v>0</v>
      </c>
      <c r="AI2568" s="3">
        <v>487.0000000053551</v>
      </c>
      <c r="AJ2568" s="2">
        <v>1</v>
      </c>
      <c r="AK2568">
        <v>0</v>
      </c>
      <c r="AL2568">
        <v>5</v>
      </c>
      <c r="AM2568">
        <v>0</v>
      </c>
      <c r="AN2568" s="2">
        <f>IF((2*G2568+M2568-O2568+3*V2568+2*AB2568+2*AE2568+2*AH2568+3*AJ2568)&gt;=7,1,0)</f>
        <v>1</v>
      </c>
    </row>
    <row r="2569" spans="1:40" x14ac:dyDescent="0.25">
      <c r="A2569" t="s">
        <v>27</v>
      </c>
      <c r="B2569" s="1">
        <v>44844</v>
      </c>
      <c r="C2569" s="6">
        <f t="shared" si="400"/>
        <v>2022</v>
      </c>
      <c r="D2569">
        <v>75.2</v>
      </c>
      <c r="E2569">
        <v>59</v>
      </c>
      <c r="F2569">
        <v>67.7</v>
      </c>
      <c r="G2569" s="2">
        <f t="shared" si="401"/>
        <v>0</v>
      </c>
      <c r="H2569">
        <v>75.2</v>
      </c>
      <c r="I2569">
        <v>59</v>
      </c>
      <c r="J2569">
        <v>67.7</v>
      </c>
      <c r="K2569">
        <v>59.1</v>
      </c>
      <c r="L2569">
        <v>74.7</v>
      </c>
      <c r="M2569" s="2">
        <f t="shared" si="402"/>
        <v>0</v>
      </c>
      <c r="N2569">
        <v>0</v>
      </c>
      <c r="O2569" s="2">
        <f t="shared" si="403"/>
        <v>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21.9</v>
      </c>
      <c r="V2569" s="2">
        <f t="shared" si="404"/>
        <v>1</v>
      </c>
      <c r="W2569">
        <v>11.4</v>
      </c>
      <c r="X2569" s="2">
        <f t="shared" si="405"/>
        <v>0</v>
      </c>
      <c r="Y2569">
        <v>295.3</v>
      </c>
      <c r="Z2569" s="2" t="str">
        <f>CHOOSE(MATCH(Y2569,{0;11;80;111;161;191;241;281;341},1),"North","NorthEast","East","SouthEast","South","SouthWest","West","NorthWest","North")</f>
        <v>NorthWest</v>
      </c>
      <c r="AA2569" s="4">
        <f>CHOOSE(MATCH(Z2569,{"South";"SouthEast";"SouthWest";"North";"NorthEast";"East";"West";"NorthWest"},0),1,2,3,4,5,6,7,8)</f>
        <v>8</v>
      </c>
      <c r="AB2569" s="2">
        <f t="shared" si="406"/>
        <v>1</v>
      </c>
      <c r="AC2569">
        <v>1020.8</v>
      </c>
      <c r="AD2569" t="s">
        <v>3494</v>
      </c>
      <c r="AE2569" s="2">
        <f t="shared" si="407"/>
        <v>1</v>
      </c>
      <c r="AF2569" t="s">
        <v>3495</v>
      </c>
      <c r="AG2569" s="2">
        <f t="shared" si="408"/>
        <v>10</v>
      </c>
      <c r="AH2569" s="2">
        <f t="shared" si="409"/>
        <v>0</v>
      </c>
      <c r="AI2569" s="3">
        <v>152.99999999580899</v>
      </c>
      <c r="AJ2569" s="2">
        <v>0</v>
      </c>
      <c r="AK2569">
        <v>0</v>
      </c>
      <c r="AL2569">
        <v>0.5</v>
      </c>
      <c r="AM2569">
        <v>0</v>
      </c>
      <c r="AN2569" s="2">
        <f>IF((2*G2569+M2569-O2569+3*V2569+2*AB2569+2*AE2569+2*AH2569+3*AJ2569)&gt;=7,1,0)</f>
        <v>0</v>
      </c>
    </row>
    <row r="2570" spans="1:40" x14ac:dyDescent="0.25">
      <c r="A2570" t="s">
        <v>27</v>
      </c>
      <c r="B2570" s="1">
        <v>44845</v>
      </c>
      <c r="C2570" s="6">
        <f t="shared" si="400"/>
        <v>2022</v>
      </c>
      <c r="D2570">
        <v>75.2</v>
      </c>
      <c r="E2570">
        <v>60.8</v>
      </c>
      <c r="F2570">
        <v>67.599999999999994</v>
      </c>
      <c r="G2570" s="2">
        <f t="shared" si="401"/>
        <v>0</v>
      </c>
      <c r="H2570">
        <v>75.2</v>
      </c>
      <c r="I2570">
        <v>60.8</v>
      </c>
      <c r="J2570">
        <v>67.599999999999994</v>
      </c>
      <c r="K2570">
        <v>59.8</v>
      </c>
      <c r="L2570">
        <v>77.099999999999994</v>
      </c>
      <c r="M2570" s="2">
        <f t="shared" si="402"/>
        <v>0</v>
      </c>
      <c r="N2570">
        <v>0</v>
      </c>
      <c r="O2570" s="2">
        <f t="shared" si="403"/>
        <v>1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18.3</v>
      </c>
      <c r="V2570" s="2">
        <f t="shared" si="404"/>
        <v>1</v>
      </c>
      <c r="W2570">
        <v>9.1999999999999993</v>
      </c>
      <c r="X2570" s="2">
        <f t="shared" si="405"/>
        <v>0</v>
      </c>
      <c r="Y2570">
        <v>228.1</v>
      </c>
      <c r="Z2570" s="2" t="str">
        <f>CHOOSE(MATCH(Y2570,{0;11;80;111;161;191;241;281;341},1),"North","NorthEast","East","SouthEast","South","SouthWest","West","NorthWest","North")</f>
        <v>SouthWest</v>
      </c>
      <c r="AA2570" s="4">
        <f>CHOOSE(MATCH(Z2570,{"South";"SouthEast";"SouthWest";"North";"NorthEast";"East";"West";"NorthWest"},0),1,2,3,4,5,6,7,8)</f>
        <v>3</v>
      </c>
      <c r="AB2570" s="2">
        <f t="shared" si="406"/>
        <v>0</v>
      </c>
      <c r="AC2570">
        <v>1020</v>
      </c>
      <c r="AD2570" t="s">
        <v>3023</v>
      </c>
      <c r="AE2570" s="2">
        <f t="shared" si="407"/>
        <v>1</v>
      </c>
      <c r="AF2570" t="s">
        <v>3496</v>
      </c>
      <c r="AG2570" s="2">
        <f t="shared" si="408"/>
        <v>10</v>
      </c>
      <c r="AH2570" s="2">
        <f t="shared" si="409"/>
        <v>0</v>
      </c>
      <c r="AI2570" s="3">
        <v>859.99999999534339</v>
      </c>
      <c r="AJ2570" s="2">
        <v>1</v>
      </c>
      <c r="AK2570">
        <v>0</v>
      </c>
      <c r="AL2570">
        <v>15</v>
      </c>
      <c r="AM2570">
        <v>0</v>
      </c>
      <c r="AN2570" s="2">
        <f>IF((2*G2570+M2570-O2570+3*V2570+2*AB2570+2*AE2570+2*AH2570+3*AJ2570)&gt;=7,1,0)</f>
        <v>1</v>
      </c>
    </row>
    <row r="2571" spans="1:40" x14ac:dyDescent="0.25">
      <c r="A2571" t="s">
        <v>27</v>
      </c>
      <c r="B2571" s="1">
        <v>44845</v>
      </c>
      <c r="C2571" s="6">
        <f t="shared" si="400"/>
        <v>2022</v>
      </c>
      <c r="D2571">
        <v>75.2</v>
      </c>
      <c r="E2571">
        <v>60.8</v>
      </c>
      <c r="F2571">
        <v>67.599999999999994</v>
      </c>
      <c r="G2571" s="2">
        <f t="shared" si="401"/>
        <v>0</v>
      </c>
      <c r="H2571">
        <v>75.2</v>
      </c>
      <c r="I2571">
        <v>60.8</v>
      </c>
      <c r="J2571">
        <v>67.599999999999994</v>
      </c>
      <c r="K2571">
        <v>59.8</v>
      </c>
      <c r="L2571">
        <v>77.099999999999994</v>
      </c>
      <c r="M2571" s="2">
        <f t="shared" si="402"/>
        <v>0</v>
      </c>
      <c r="N2571">
        <v>0</v>
      </c>
      <c r="O2571" s="2">
        <f t="shared" si="403"/>
        <v>1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18.3</v>
      </c>
      <c r="V2571" s="2">
        <f t="shared" si="404"/>
        <v>1</v>
      </c>
      <c r="W2571">
        <v>9.1999999999999993</v>
      </c>
      <c r="X2571" s="2">
        <f t="shared" si="405"/>
        <v>0</v>
      </c>
      <c r="Y2571">
        <v>228.1</v>
      </c>
      <c r="Z2571" s="2" t="str">
        <f>CHOOSE(MATCH(Y2571,{0;11;80;111;161;191;241;281;341},1),"North","NorthEast","East","SouthEast","South","SouthWest","West","NorthWest","North")</f>
        <v>SouthWest</v>
      </c>
      <c r="AA2571" s="4">
        <f>CHOOSE(MATCH(Z2571,{"South";"SouthEast";"SouthWest";"North";"NorthEast";"East";"West";"NorthWest"},0),1,2,3,4,5,6,7,8)</f>
        <v>3</v>
      </c>
      <c r="AB2571" s="2">
        <f t="shared" si="406"/>
        <v>0</v>
      </c>
      <c r="AC2571">
        <v>1020</v>
      </c>
      <c r="AD2571" t="s">
        <v>2031</v>
      </c>
      <c r="AE2571" s="2">
        <f t="shared" si="407"/>
        <v>1</v>
      </c>
      <c r="AF2571" t="s">
        <v>3497</v>
      </c>
      <c r="AG2571" s="2">
        <f t="shared" si="408"/>
        <v>10</v>
      </c>
      <c r="AH2571" s="2">
        <f t="shared" si="409"/>
        <v>0</v>
      </c>
      <c r="AI2571" s="3">
        <v>243.0000000062864</v>
      </c>
      <c r="AJ2571" s="2">
        <v>0</v>
      </c>
      <c r="AK2571">
        <v>0</v>
      </c>
      <c r="AL2571">
        <v>1</v>
      </c>
      <c r="AM2571">
        <v>0</v>
      </c>
      <c r="AN2571" s="2">
        <f>IF((2*G2571+M2571-O2571+3*V2571+2*AB2571+2*AE2571+2*AH2571+3*AJ2571)&gt;=7,1,0)</f>
        <v>0</v>
      </c>
    </row>
    <row r="2572" spans="1:40" x14ac:dyDescent="0.25">
      <c r="A2572" t="s">
        <v>27</v>
      </c>
      <c r="B2572" s="1">
        <v>44855</v>
      </c>
      <c r="C2572" s="6">
        <f t="shared" si="400"/>
        <v>2022</v>
      </c>
      <c r="D2572">
        <v>69.8</v>
      </c>
      <c r="E2572">
        <v>64.400000000000006</v>
      </c>
      <c r="F2572">
        <v>67.099999999999994</v>
      </c>
      <c r="G2572" s="2">
        <f t="shared" si="401"/>
        <v>0</v>
      </c>
      <c r="H2572">
        <v>69.8</v>
      </c>
      <c r="I2572">
        <v>64.400000000000006</v>
      </c>
      <c r="J2572">
        <v>67.099999999999994</v>
      </c>
      <c r="K2572">
        <v>54.6</v>
      </c>
      <c r="L2572">
        <v>64.7</v>
      </c>
      <c r="M2572" s="2">
        <f t="shared" si="402"/>
        <v>1</v>
      </c>
      <c r="N2572">
        <v>0</v>
      </c>
      <c r="O2572" s="2">
        <f t="shared" si="403"/>
        <v>1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34</v>
      </c>
      <c r="V2572" s="2">
        <f t="shared" si="404"/>
        <v>1</v>
      </c>
      <c r="W2572">
        <v>19.7</v>
      </c>
      <c r="X2572" s="2">
        <f t="shared" si="405"/>
        <v>1</v>
      </c>
      <c r="Y2572">
        <v>315</v>
      </c>
      <c r="Z2572" s="2" t="str">
        <f>CHOOSE(MATCH(Y2572,{0;11;80;111;161;191;241;281;341},1),"North","NorthEast","East","SouthEast","South","SouthWest","West","NorthWest","North")</f>
        <v>NorthWest</v>
      </c>
      <c r="AA2572" s="4">
        <f>CHOOSE(MATCH(Z2572,{"South";"SouthEast";"SouthWest";"North";"NorthEast";"East";"West";"NorthWest"},0),1,2,3,4,5,6,7,8)</f>
        <v>8</v>
      </c>
      <c r="AB2572" s="2">
        <f t="shared" si="406"/>
        <v>1</v>
      </c>
      <c r="AC2572">
        <v>1020</v>
      </c>
      <c r="AD2572" t="s">
        <v>3498</v>
      </c>
      <c r="AE2572" s="2">
        <f t="shared" si="407"/>
        <v>0</v>
      </c>
      <c r="AF2572" t="s">
        <v>3499</v>
      </c>
      <c r="AG2572" s="2">
        <f t="shared" si="408"/>
        <v>10</v>
      </c>
      <c r="AH2572" s="2">
        <f t="shared" si="409"/>
        <v>0</v>
      </c>
      <c r="AI2572" s="3">
        <v>773.99999999790452</v>
      </c>
      <c r="AJ2572" s="2">
        <v>1</v>
      </c>
      <c r="AK2572">
        <v>0</v>
      </c>
      <c r="AL2572">
        <v>1</v>
      </c>
      <c r="AM2572">
        <v>0</v>
      </c>
      <c r="AN2572" s="2">
        <f>IF((2*G2572+M2572-O2572+3*V2572+2*AB2572+2*AE2572+2*AH2572+3*AJ2572)&gt;=7,1,0)</f>
        <v>1</v>
      </c>
    </row>
    <row r="2573" spans="1:40" x14ac:dyDescent="0.25">
      <c r="A2573" t="s">
        <v>27</v>
      </c>
      <c r="B2573" s="1">
        <v>44859</v>
      </c>
      <c r="C2573" s="6">
        <f t="shared" si="400"/>
        <v>2022</v>
      </c>
      <c r="D2573">
        <v>77</v>
      </c>
      <c r="E2573">
        <v>59</v>
      </c>
      <c r="F2573">
        <v>66.8</v>
      </c>
      <c r="G2573" s="2">
        <f t="shared" si="401"/>
        <v>0</v>
      </c>
      <c r="H2573">
        <v>77</v>
      </c>
      <c r="I2573">
        <v>59</v>
      </c>
      <c r="J2573">
        <v>66.8</v>
      </c>
      <c r="K2573">
        <v>55.3</v>
      </c>
      <c r="L2573">
        <v>68</v>
      </c>
      <c r="M2573" s="2">
        <f t="shared" si="402"/>
        <v>0</v>
      </c>
      <c r="N2573">
        <v>0</v>
      </c>
      <c r="O2573" s="2">
        <f t="shared" si="403"/>
        <v>1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17.7</v>
      </c>
      <c r="V2573" s="2">
        <f t="shared" si="404"/>
        <v>1</v>
      </c>
      <c r="W2573">
        <v>5.8</v>
      </c>
      <c r="X2573" s="2">
        <f t="shared" si="405"/>
        <v>0</v>
      </c>
      <c r="Y2573">
        <v>193.5</v>
      </c>
      <c r="Z2573" s="2" t="str">
        <f>CHOOSE(MATCH(Y2573,{0;11;80;111;161;191;241;281;341},1),"North","NorthEast","East","SouthEast","South","SouthWest","West","NorthWest","North")</f>
        <v>SouthWest</v>
      </c>
      <c r="AA2573" s="4">
        <f>CHOOSE(MATCH(Z2573,{"South";"SouthEast";"SouthWest";"North";"NorthEast";"East";"West";"NorthWest"},0),1,2,3,4,5,6,7,8)</f>
        <v>3</v>
      </c>
      <c r="AB2573" s="2">
        <f t="shared" si="406"/>
        <v>0</v>
      </c>
      <c r="AC2573">
        <v>1018.4</v>
      </c>
      <c r="AD2573" t="s">
        <v>2656</v>
      </c>
      <c r="AE2573" s="2">
        <f t="shared" si="407"/>
        <v>1</v>
      </c>
      <c r="AF2573" t="s">
        <v>3500</v>
      </c>
      <c r="AG2573" s="2">
        <f t="shared" si="408"/>
        <v>10</v>
      </c>
      <c r="AH2573" s="2">
        <f t="shared" si="409"/>
        <v>0</v>
      </c>
      <c r="AI2573" s="3">
        <v>103.0000000004657</v>
      </c>
      <c r="AJ2573" s="2">
        <v>0</v>
      </c>
      <c r="AK2573">
        <v>0</v>
      </c>
      <c r="AL2573">
        <v>0.1</v>
      </c>
      <c r="AM2573">
        <v>0</v>
      </c>
      <c r="AN2573" s="2">
        <f>IF((2*G2573+M2573-O2573+3*V2573+2*AB2573+2*AE2573+2*AH2573+3*AJ2573)&gt;=7,1,0)</f>
        <v>0</v>
      </c>
    </row>
    <row r="2574" spans="1:40" x14ac:dyDescent="0.25">
      <c r="A2574" t="s">
        <v>27</v>
      </c>
      <c r="B2574" s="1">
        <v>44861</v>
      </c>
      <c r="C2574" s="6">
        <f t="shared" si="400"/>
        <v>2022</v>
      </c>
      <c r="D2574">
        <v>73.400000000000006</v>
      </c>
      <c r="E2574">
        <v>59</v>
      </c>
      <c r="F2574">
        <v>66.099999999999994</v>
      </c>
      <c r="G2574" s="2">
        <f t="shared" si="401"/>
        <v>0</v>
      </c>
      <c r="H2574">
        <v>73.400000000000006</v>
      </c>
      <c r="I2574">
        <v>59</v>
      </c>
      <c r="J2574">
        <v>66.099999999999994</v>
      </c>
      <c r="K2574">
        <v>60.2</v>
      </c>
      <c r="L2574">
        <v>81.599999999999994</v>
      </c>
      <c r="M2574" s="2">
        <f t="shared" si="402"/>
        <v>0</v>
      </c>
      <c r="N2574">
        <v>0</v>
      </c>
      <c r="O2574" s="2">
        <f t="shared" si="403"/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18.3</v>
      </c>
      <c r="V2574" s="2">
        <f t="shared" si="404"/>
        <v>1</v>
      </c>
      <c r="W2574">
        <v>9.1999999999999993</v>
      </c>
      <c r="X2574" s="2">
        <f t="shared" si="405"/>
        <v>0</v>
      </c>
      <c r="Y2574">
        <v>237.5</v>
      </c>
      <c r="Z2574" s="2" t="str">
        <f>CHOOSE(MATCH(Y2574,{0;11;80;111;161;191;241;281;341},1),"North","NorthEast","East","SouthEast","South","SouthWest","West","NorthWest","North")</f>
        <v>SouthWest</v>
      </c>
      <c r="AA2574" s="4">
        <f>CHOOSE(MATCH(Z2574,{"South";"SouthEast";"SouthWest";"North";"NorthEast";"East";"West";"NorthWest"},0),1,2,3,4,5,6,7,8)</f>
        <v>3</v>
      </c>
      <c r="AB2574" s="2">
        <f t="shared" si="406"/>
        <v>0</v>
      </c>
      <c r="AC2574">
        <v>1021.5</v>
      </c>
      <c r="AD2574" t="s">
        <v>2210</v>
      </c>
      <c r="AE2574" s="2">
        <f t="shared" si="407"/>
        <v>1</v>
      </c>
      <c r="AF2574" t="s">
        <v>3501</v>
      </c>
      <c r="AG2574" s="2">
        <f t="shared" si="408"/>
        <v>10</v>
      </c>
      <c r="AH2574" s="2">
        <f t="shared" si="409"/>
        <v>0</v>
      </c>
      <c r="AI2574" s="3">
        <v>239.99999999650751</v>
      </c>
      <c r="AJ2574" s="2">
        <v>0</v>
      </c>
      <c r="AK2574">
        <v>0</v>
      </c>
      <c r="AL2574">
        <v>1</v>
      </c>
      <c r="AM2574">
        <v>0</v>
      </c>
      <c r="AN2574" s="2">
        <f>IF((2*G2574+M2574-O2574+3*V2574+2*AB2574+2*AE2574+2*AH2574+3*AJ2574)&gt;=7,1,0)</f>
        <v>0</v>
      </c>
    </row>
    <row r="2575" spans="1:40" x14ac:dyDescent="0.25">
      <c r="A2575" t="s">
        <v>27</v>
      </c>
      <c r="B2575" s="1">
        <v>44862</v>
      </c>
      <c r="C2575" s="6">
        <f t="shared" si="400"/>
        <v>2022</v>
      </c>
      <c r="D2575">
        <v>71.599999999999994</v>
      </c>
      <c r="E2575">
        <v>66.2</v>
      </c>
      <c r="F2575">
        <v>67.8</v>
      </c>
      <c r="G2575" s="2">
        <f t="shared" si="401"/>
        <v>0</v>
      </c>
      <c r="H2575">
        <v>71.599999999999994</v>
      </c>
      <c r="I2575">
        <v>66.2</v>
      </c>
      <c r="J2575">
        <v>67.8</v>
      </c>
      <c r="K2575">
        <v>58</v>
      </c>
      <c r="L2575">
        <v>71.2</v>
      </c>
      <c r="M2575" s="2">
        <f t="shared" si="402"/>
        <v>0</v>
      </c>
      <c r="N2575">
        <v>0</v>
      </c>
      <c r="O2575" s="2">
        <f t="shared" si="403"/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31.5</v>
      </c>
      <c r="V2575" s="2">
        <f t="shared" si="404"/>
        <v>1</v>
      </c>
      <c r="W2575">
        <v>20.8</v>
      </c>
      <c r="X2575" s="2">
        <f t="shared" si="405"/>
        <v>1</v>
      </c>
      <c r="Y2575">
        <v>304.10000000000002</v>
      </c>
      <c r="Z2575" s="2" t="str">
        <f>CHOOSE(MATCH(Y2575,{0;11;80;111;161;191;241;281;341},1),"North","NorthEast","East","SouthEast","South","SouthWest","West","NorthWest","North")</f>
        <v>NorthWest</v>
      </c>
      <c r="AA2575" s="4">
        <f>CHOOSE(MATCH(Z2575,{"South";"SouthEast";"SouthWest";"North";"NorthEast";"East";"West";"NorthWest"},0),1,2,3,4,5,6,7,8)</f>
        <v>8</v>
      </c>
      <c r="AB2575" s="2">
        <f t="shared" si="406"/>
        <v>1</v>
      </c>
      <c r="AC2575">
        <v>1021.5</v>
      </c>
      <c r="AD2575" t="s">
        <v>1900</v>
      </c>
      <c r="AE2575" s="2">
        <f t="shared" si="407"/>
        <v>1</v>
      </c>
      <c r="AF2575" t="s">
        <v>3502</v>
      </c>
      <c r="AG2575" s="2">
        <f t="shared" si="408"/>
        <v>10</v>
      </c>
      <c r="AH2575" s="2">
        <f t="shared" si="409"/>
        <v>0</v>
      </c>
      <c r="AI2575" s="3">
        <v>919.99999999185093</v>
      </c>
      <c r="AJ2575" s="2">
        <v>1</v>
      </c>
      <c r="AK2575">
        <v>0</v>
      </c>
      <c r="AL2575">
        <v>4</v>
      </c>
      <c r="AM2575">
        <v>0</v>
      </c>
      <c r="AN2575" s="2">
        <f>IF((2*G2575+M2575-O2575+3*V2575+2*AB2575+2*AE2575+2*AH2575+3*AJ2575)&gt;=7,1,0)</f>
        <v>1</v>
      </c>
    </row>
    <row r="2576" spans="1:40" x14ac:dyDescent="0.25">
      <c r="A2576" t="s">
        <v>27</v>
      </c>
      <c r="B2576" s="1">
        <v>44863</v>
      </c>
      <c r="C2576" s="6">
        <f t="shared" si="400"/>
        <v>2022</v>
      </c>
      <c r="D2576">
        <v>69.8</v>
      </c>
      <c r="E2576">
        <v>64.400000000000006</v>
      </c>
      <c r="F2576">
        <v>66.7</v>
      </c>
      <c r="G2576" s="2">
        <f t="shared" si="401"/>
        <v>0</v>
      </c>
      <c r="H2576">
        <v>69.8</v>
      </c>
      <c r="I2576">
        <v>64.400000000000006</v>
      </c>
      <c r="J2576">
        <v>66.7</v>
      </c>
      <c r="K2576">
        <v>57.8</v>
      </c>
      <c r="L2576">
        <v>73.3</v>
      </c>
      <c r="M2576" s="2">
        <f t="shared" si="402"/>
        <v>0</v>
      </c>
      <c r="N2576">
        <v>0</v>
      </c>
      <c r="O2576" s="2">
        <f t="shared" si="403"/>
        <v>1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25.9</v>
      </c>
      <c r="V2576" s="2">
        <f t="shared" si="404"/>
        <v>1</v>
      </c>
      <c r="W2576">
        <v>17.2</v>
      </c>
      <c r="X2576" s="2">
        <f t="shared" si="405"/>
        <v>1</v>
      </c>
      <c r="Y2576">
        <v>310.89999999999998</v>
      </c>
      <c r="Z2576" s="2" t="str">
        <f>CHOOSE(MATCH(Y2576,{0;11;80;111;161;191;241;281;341},1),"North","NorthEast","East","SouthEast","South","SouthWest","West","NorthWest","North")</f>
        <v>NorthWest</v>
      </c>
      <c r="AA2576" s="4">
        <f>CHOOSE(MATCH(Z2576,{"South";"SouthEast";"SouthWest";"North";"NorthEast";"East";"West";"NorthWest"},0),1,2,3,4,5,6,7,8)</f>
        <v>8</v>
      </c>
      <c r="AB2576" s="2">
        <f t="shared" si="406"/>
        <v>1</v>
      </c>
      <c r="AC2576">
        <v>1019.6</v>
      </c>
      <c r="AD2576" t="s">
        <v>2416</v>
      </c>
      <c r="AE2576" s="2">
        <f t="shared" si="407"/>
        <v>1</v>
      </c>
      <c r="AF2576" t="s">
        <v>3503</v>
      </c>
      <c r="AG2576" s="2">
        <f t="shared" si="408"/>
        <v>10</v>
      </c>
      <c r="AH2576" s="2">
        <f t="shared" si="409"/>
        <v>0</v>
      </c>
      <c r="AI2576" s="3">
        <v>162.00000000419101</v>
      </c>
      <c r="AJ2576" s="2">
        <v>0</v>
      </c>
      <c r="AK2576">
        <v>0.5</v>
      </c>
      <c r="AL2576">
        <v>0</v>
      </c>
      <c r="AM2576">
        <v>0</v>
      </c>
      <c r="AN2576" s="2">
        <f>IF((2*G2576+M2576-O2576+3*V2576+2*AB2576+2*AE2576+2*AH2576+3*AJ2576)&gt;=7,1,0)</f>
        <v>0</v>
      </c>
    </row>
    <row r="2577" spans="1:40" x14ac:dyDescent="0.25">
      <c r="A2577" t="s">
        <v>27</v>
      </c>
      <c r="B2577" s="1">
        <v>44864</v>
      </c>
      <c r="C2577" s="6">
        <f t="shared" si="400"/>
        <v>2022</v>
      </c>
      <c r="D2577">
        <v>68</v>
      </c>
      <c r="E2577">
        <v>60.8</v>
      </c>
      <c r="F2577">
        <v>65.3</v>
      </c>
      <c r="G2577" s="2">
        <f t="shared" si="401"/>
        <v>0</v>
      </c>
      <c r="H2577">
        <v>68</v>
      </c>
      <c r="I2577">
        <v>60.8</v>
      </c>
      <c r="J2577">
        <v>65.3</v>
      </c>
      <c r="K2577">
        <v>56.4</v>
      </c>
      <c r="L2577">
        <v>73.2</v>
      </c>
      <c r="M2577" s="2">
        <f t="shared" si="402"/>
        <v>0</v>
      </c>
      <c r="N2577">
        <v>0</v>
      </c>
      <c r="O2577" s="2">
        <f t="shared" si="403"/>
        <v>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23</v>
      </c>
      <c r="V2577" s="2">
        <f t="shared" si="404"/>
        <v>1</v>
      </c>
      <c r="W2577">
        <v>13.9</v>
      </c>
      <c r="X2577" s="2">
        <f t="shared" si="405"/>
        <v>0</v>
      </c>
      <c r="Y2577">
        <v>309.60000000000002</v>
      </c>
      <c r="Z2577" s="2" t="str">
        <f>CHOOSE(MATCH(Y2577,{0;11;80;111;161;191;241;281;341},1),"North","NorthEast","East","SouthEast","South","SouthWest","West","NorthWest","North")</f>
        <v>NorthWest</v>
      </c>
      <c r="AA2577" s="4">
        <f>CHOOSE(MATCH(Z2577,{"South";"SouthEast";"SouthWest";"North";"NorthEast";"East";"West";"NorthWest"},0),1,2,3,4,5,6,7,8)</f>
        <v>8</v>
      </c>
      <c r="AB2577" s="2">
        <f t="shared" si="406"/>
        <v>1</v>
      </c>
      <c r="AC2577">
        <v>1018.1</v>
      </c>
      <c r="AD2577" t="s">
        <v>3504</v>
      </c>
      <c r="AE2577" s="2">
        <f t="shared" si="407"/>
        <v>1</v>
      </c>
      <c r="AF2577" t="s">
        <v>3505</v>
      </c>
      <c r="AG2577" s="2">
        <f t="shared" si="408"/>
        <v>10</v>
      </c>
      <c r="AH2577" s="2">
        <f t="shared" si="409"/>
        <v>0</v>
      </c>
      <c r="AI2577" s="3">
        <v>182.00000000651929</v>
      </c>
      <c r="AJ2577" s="2">
        <v>0</v>
      </c>
      <c r="AK2577">
        <v>0</v>
      </c>
      <c r="AL2577">
        <v>4</v>
      </c>
      <c r="AM2577">
        <v>0</v>
      </c>
      <c r="AN2577" s="2">
        <f>IF((2*G2577+M2577-O2577+3*V2577+2*AB2577+2*AE2577+2*AH2577+3*AJ2577)&gt;=7,1,0)</f>
        <v>0</v>
      </c>
    </row>
    <row r="2578" spans="1:40" x14ac:dyDescent="0.25">
      <c r="A2578" t="s">
        <v>27</v>
      </c>
      <c r="B2578" s="1">
        <v>44869</v>
      </c>
      <c r="C2578" s="6">
        <f t="shared" si="400"/>
        <v>2022</v>
      </c>
      <c r="D2578">
        <v>73.400000000000006</v>
      </c>
      <c r="E2578">
        <v>55.4</v>
      </c>
      <c r="F2578">
        <v>63.2</v>
      </c>
      <c r="G2578" s="2">
        <f t="shared" si="401"/>
        <v>0</v>
      </c>
      <c r="H2578">
        <v>73.400000000000006</v>
      </c>
      <c r="I2578">
        <v>55.4</v>
      </c>
      <c r="J2578">
        <v>63.2</v>
      </c>
      <c r="K2578">
        <v>53.3</v>
      </c>
      <c r="L2578">
        <v>70.7</v>
      </c>
      <c r="M2578" s="2">
        <f t="shared" si="402"/>
        <v>0</v>
      </c>
      <c r="N2578">
        <v>0</v>
      </c>
      <c r="O2578" s="2">
        <f t="shared" si="403"/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10.3</v>
      </c>
      <c r="V2578" s="2">
        <f t="shared" si="404"/>
        <v>1</v>
      </c>
      <c r="W2578">
        <v>10.3</v>
      </c>
      <c r="X2578" s="2">
        <f t="shared" si="405"/>
        <v>0</v>
      </c>
      <c r="Y2578">
        <v>160.69999999999999</v>
      </c>
      <c r="Z2578" s="2" t="str">
        <f>CHOOSE(MATCH(Y2578,{0;11;80;111;161;191;241;281;341},1),"North","NorthEast","East","SouthEast","South","SouthWest","West","NorthWest","North")</f>
        <v>SouthEast</v>
      </c>
      <c r="AA2578" s="4">
        <f>CHOOSE(MATCH(Z2578,{"South";"SouthEast";"SouthWest";"North";"NorthEast";"East";"West";"NorthWest"},0),1,2,3,4,5,6,7,8)</f>
        <v>2</v>
      </c>
      <c r="AB2578" s="2">
        <f t="shared" si="406"/>
        <v>0</v>
      </c>
      <c r="AC2578">
        <v>1016.8</v>
      </c>
      <c r="AD2578" t="s">
        <v>3506</v>
      </c>
      <c r="AE2578" s="2">
        <f t="shared" si="407"/>
        <v>0</v>
      </c>
      <c r="AF2578" t="s">
        <v>3507</v>
      </c>
      <c r="AG2578" s="2">
        <f t="shared" si="408"/>
        <v>11</v>
      </c>
      <c r="AH2578" s="2">
        <f t="shared" si="409"/>
        <v>0</v>
      </c>
      <c r="AI2578" s="3">
        <v>740.00000000232831</v>
      </c>
      <c r="AJ2578" s="2">
        <v>1</v>
      </c>
      <c r="AK2578">
        <v>0.15</v>
      </c>
      <c r="AL2578">
        <v>0</v>
      </c>
      <c r="AM2578">
        <v>0</v>
      </c>
      <c r="AN2578" s="2">
        <f>IF((2*G2578+M2578-O2578+3*V2578+2*AB2578+2*AE2578+2*AH2578+3*AJ2578)&gt;=7,1,0)</f>
        <v>0</v>
      </c>
    </row>
    <row r="2579" spans="1:40" x14ac:dyDescent="0.25">
      <c r="A2579" t="s">
        <v>27</v>
      </c>
      <c r="B2579" s="1">
        <v>44870</v>
      </c>
      <c r="C2579" s="6">
        <f t="shared" si="400"/>
        <v>2022</v>
      </c>
      <c r="D2579">
        <v>77</v>
      </c>
      <c r="E2579">
        <v>55.4</v>
      </c>
      <c r="F2579">
        <v>66.099999999999994</v>
      </c>
      <c r="G2579" s="2">
        <f t="shared" si="401"/>
        <v>0</v>
      </c>
      <c r="H2579">
        <v>77</v>
      </c>
      <c r="I2579">
        <v>55.4</v>
      </c>
      <c r="J2579">
        <v>66.099999999999994</v>
      </c>
      <c r="K2579">
        <v>54.1</v>
      </c>
      <c r="L2579">
        <v>66.400000000000006</v>
      </c>
      <c r="M2579" s="2">
        <f t="shared" si="402"/>
        <v>0</v>
      </c>
      <c r="N2579">
        <v>0</v>
      </c>
      <c r="O2579" s="2">
        <f t="shared" si="403"/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24</v>
      </c>
      <c r="V2579" s="2">
        <f t="shared" si="404"/>
        <v>1</v>
      </c>
      <c r="W2579">
        <v>20.8</v>
      </c>
      <c r="X2579" s="2">
        <f t="shared" si="405"/>
        <v>1</v>
      </c>
      <c r="Y2579">
        <v>177.1</v>
      </c>
      <c r="Z2579" s="2" t="str">
        <f>CHOOSE(MATCH(Y2579,{0;11;80;111;161;191;241;281;341},1),"North","NorthEast","East","SouthEast","South","SouthWest","West","NorthWest","North")</f>
        <v>South</v>
      </c>
      <c r="AA2579" s="4">
        <f>CHOOSE(MATCH(Z2579,{"South";"SouthEast";"SouthWest";"North";"NorthEast";"East";"West";"NorthWest"},0),1,2,3,4,5,6,7,8)</f>
        <v>1</v>
      </c>
      <c r="AB2579" s="2">
        <f t="shared" si="406"/>
        <v>0</v>
      </c>
      <c r="AC2579">
        <v>1014.7</v>
      </c>
      <c r="AD2579" t="s">
        <v>3375</v>
      </c>
      <c r="AE2579" s="2">
        <f t="shared" si="407"/>
        <v>1</v>
      </c>
      <c r="AF2579" t="s">
        <v>3508</v>
      </c>
      <c r="AG2579" s="2">
        <f t="shared" si="408"/>
        <v>11</v>
      </c>
      <c r="AH2579" s="2">
        <f t="shared" si="409"/>
        <v>0</v>
      </c>
      <c r="AI2579" s="3">
        <v>587.99999999930151</v>
      </c>
      <c r="AJ2579" s="2">
        <v>1</v>
      </c>
      <c r="AK2579">
        <v>0</v>
      </c>
      <c r="AL2579">
        <v>200</v>
      </c>
      <c r="AM2579">
        <v>0</v>
      </c>
      <c r="AN2579" s="2">
        <f>IF((2*G2579+M2579-O2579+3*V2579+2*AB2579+2*AE2579+2*AH2579+3*AJ2579)&gt;=7,1,0)</f>
        <v>1</v>
      </c>
    </row>
    <row r="2580" spans="1:40" x14ac:dyDescent="0.25">
      <c r="A2580" t="s">
        <v>27</v>
      </c>
      <c r="B2580" s="1">
        <v>44870</v>
      </c>
      <c r="C2580" s="6">
        <f t="shared" si="400"/>
        <v>2022</v>
      </c>
      <c r="D2580">
        <v>77</v>
      </c>
      <c r="E2580">
        <v>55.4</v>
      </c>
      <c r="F2580">
        <v>66.099999999999994</v>
      </c>
      <c r="G2580" s="2">
        <f t="shared" si="401"/>
        <v>0</v>
      </c>
      <c r="H2580">
        <v>77</v>
      </c>
      <c r="I2580">
        <v>55.4</v>
      </c>
      <c r="J2580">
        <v>66.099999999999994</v>
      </c>
      <c r="K2580">
        <v>54.1</v>
      </c>
      <c r="L2580">
        <v>66.400000000000006</v>
      </c>
      <c r="M2580" s="2">
        <f t="shared" si="402"/>
        <v>0</v>
      </c>
      <c r="N2580">
        <v>0</v>
      </c>
      <c r="O2580" s="2">
        <f t="shared" si="403"/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24</v>
      </c>
      <c r="V2580" s="2">
        <f t="shared" si="404"/>
        <v>1</v>
      </c>
      <c r="W2580">
        <v>20.8</v>
      </c>
      <c r="X2580" s="2">
        <f t="shared" si="405"/>
        <v>1</v>
      </c>
      <c r="Y2580">
        <v>177.1</v>
      </c>
      <c r="Z2580" s="2" t="str">
        <f>CHOOSE(MATCH(Y2580,{0;11;80;111;161;191;241;281;341},1),"North","NorthEast","East","SouthEast","South","SouthWest","West","NorthWest","North")</f>
        <v>South</v>
      </c>
      <c r="AA2580" s="4">
        <f>CHOOSE(MATCH(Z2580,{"South";"SouthEast";"SouthWest";"North";"NorthEast";"East";"West";"NorthWest"},0),1,2,3,4,5,6,7,8)</f>
        <v>1</v>
      </c>
      <c r="AB2580" s="2">
        <f t="shared" si="406"/>
        <v>0</v>
      </c>
      <c r="AC2580">
        <v>1014.7</v>
      </c>
      <c r="AD2580" t="s">
        <v>3431</v>
      </c>
      <c r="AE2580" s="2">
        <f t="shared" si="407"/>
        <v>1</v>
      </c>
      <c r="AF2580" t="s">
        <v>3509</v>
      </c>
      <c r="AG2580" s="2">
        <f t="shared" si="408"/>
        <v>11</v>
      </c>
      <c r="AH2580" s="2">
        <f t="shared" si="409"/>
        <v>0</v>
      </c>
      <c r="AI2580" s="3">
        <v>133.9999999967404</v>
      </c>
      <c r="AJ2580" s="2">
        <v>0</v>
      </c>
      <c r="AK2580">
        <v>0</v>
      </c>
      <c r="AL2580">
        <v>3</v>
      </c>
      <c r="AM2580">
        <v>0</v>
      </c>
      <c r="AN2580" s="2">
        <f>IF((2*G2580+M2580-O2580+3*V2580+2*AB2580+2*AE2580+2*AH2580+3*AJ2580)&gt;=7,1,0)</f>
        <v>0</v>
      </c>
    </row>
    <row r="2581" spans="1:40" x14ac:dyDescent="0.25">
      <c r="A2581" t="s">
        <v>27</v>
      </c>
      <c r="B2581" s="1">
        <v>44870</v>
      </c>
      <c r="C2581" s="6">
        <f t="shared" si="400"/>
        <v>2022</v>
      </c>
      <c r="D2581">
        <v>77</v>
      </c>
      <c r="E2581">
        <v>55.4</v>
      </c>
      <c r="F2581">
        <v>66.099999999999994</v>
      </c>
      <c r="G2581" s="2">
        <f t="shared" si="401"/>
        <v>0</v>
      </c>
      <c r="H2581">
        <v>77</v>
      </c>
      <c r="I2581">
        <v>55.4</v>
      </c>
      <c r="J2581">
        <v>66.099999999999994</v>
      </c>
      <c r="K2581">
        <v>54.1</v>
      </c>
      <c r="L2581">
        <v>66.400000000000006</v>
      </c>
      <c r="M2581" s="2">
        <f t="shared" si="402"/>
        <v>0</v>
      </c>
      <c r="N2581">
        <v>0</v>
      </c>
      <c r="O2581" s="2">
        <f t="shared" si="403"/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24</v>
      </c>
      <c r="V2581" s="2">
        <f t="shared" si="404"/>
        <v>1</v>
      </c>
      <c r="W2581">
        <v>20.8</v>
      </c>
      <c r="X2581" s="2">
        <f t="shared" si="405"/>
        <v>1</v>
      </c>
      <c r="Y2581">
        <v>177.1</v>
      </c>
      <c r="Z2581" s="2" t="str">
        <f>CHOOSE(MATCH(Y2581,{0;11;80;111;161;191;241;281;341},1),"North","NorthEast","East","SouthEast","South","SouthWest","West","NorthWest","North")</f>
        <v>South</v>
      </c>
      <c r="AA2581" s="4">
        <f>CHOOSE(MATCH(Z2581,{"South";"SouthEast";"SouthWest";"North";"NorthEast";"East";"West";"NorthWest"},0),1,2,3,4,5,6,7,8)</f>
        <v>1</v>
      </c>
      <c r="AB2581" s="2">
        <f t="shared" si="406"/>
        <v>0</v>
      </c>
      <c r="AC2581">
        <v>1014.7</v>
      </c>
      <c r="AD2581" t="s">
        <v>1201</v>
      </c>
      <c r="AE2581" s="2">
        <f t="shared" si="407"/>
        <v>1</v>
      </c>
      <c r="AF2581" t="s">
        <v>3510</v>
      </c>
      <c r="AG2581" s="2">
        <f t="shared" si="408"/>
        <v>11</v>
      </c>
      <c r="AH2581" s="2">
        <f t="shared" si="409"/>
        <v>0</v>
      </c>
      <c r="AI2581" s="3">
        <v>300.00000000349252</v>
      </c>
      <c r="AJ2581" s="2">
        <v>0</v>
      </c>
      <c r="AK2581">
        <v>0</v>
      </c>
      <c r="AL2581">
        <v>3</v>
      </c>
      <c r="AM2581">
        <v>0</v>
      </c>
      <c r="AN2581" s="2">
        <f>IF((2*G2581+M2581-O2581+3*V2581+2*AB2581+2*AE2581+2*AH2581+3*AJ2581)&gt;=7,1,0)</f>
        <v>0</v>
      </c>
    </row>
    <row r="2582" spans="1:40" x14ac:dyDescent="0.25">
      <c r="A2582" t="s">
        <v>27</v>
      </c>
      <c r="B2582" s="1">
        <v>44871</v>
      </c>
      <c r="C2582" s="6">
        <f t="shared" si="400"/>
        <v>2022</v>
      </c>
      <c r="D2582">
        <v>75.2</v>
      </c>
      <c r="E2582">
        <v>62.6</v>
      </c>
      <c r="F2582">
        <v>68.2</v>
      </c>
      <c r="G2582" s="2">
        <f t="shared" si="401"/>
        <v>0</v>
      </c>
      <c r="H2582">
        <v>75.2</v>
      </c>
      <c r="I2582">
        <v>62.6</v>
      </c>
      <c r="J2582">
        <v>68.2</v>
      </c>
      <c r="K2582">
        <v>58.5</v>
      </c>
      <c r="L2582">
        <v>72</v>
      </c>
      <c r="M2582" s="2">
        <f t="shared" si="402"/>
        <v>0</v>
      </c>
      <c r="N2582">
        <v>0</v>
      </c>
      <c r="O2582" s="2">
        <f t="shared" si="403"/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38</v>
      </c>
      <c r="V2582" s="2">
        <f t="shared" si="404"/>
        <v>1</v>
      </c>
      <c r="W2582">
        <v>23</v>
      </c>
      <c r="X2582" s="2">
        <f t="shared" si="405"/>
        <v>1</v>
      </c>
      <c r="Y2582">
        <v>186</v>
      </c>
      <c r="Z2582" s="2" t="str">
        <f>CHOOSE(MATCH(Y2582,{0;11;80;111;161;191;241;281;341},1),"North","NorthEast","East","SouthEast","South","SouthWest","West","NorthWest","North")</f>
        <v>South</v>
      </c>
      <c r="AA2582" s="4">
        <f>CHOOSE(MATCH(Z2582,{"South";"SouthEast";"SouthWest";"North";"NorthEast";"East";"West";"NorthWest"},0),1,2,3,4,5,6,7,8)</f>
        <v>1</v>
      </c>
      <c r="AB2582" s="2">
        <f t="shared" si="406"/>
        <v>0</v>
      </c>
      <c r="AC2582">
        <v>1010.8</v>
      </c>
      <c r="AD2582" t="s">
        <v>3511</v>
      </c>
      <c r="AE2582" s="2">
        <f t="shared" si="407"/>
        <v>1</v>
      </c>
      <c r="AF2582" t="s">
        <v>3512</v>
      </c>
      <c r="AG2582" s="2">
        <f t="shared" si="408"/>
        <v>11</v>
      </c>
      <c r="AH2582" s="2">
        <f t="shared" si="409"/>
        <v>0</v>
      </c>
      <c r="AI2582" s="3">
        <v>161.9999999937136</v>
      </c>
      <c r="AJ2582" s="2">
        <v>0</v>
      </c>
      <c r="AK2582">
        <v>0</v>
      </c>
      <c r="AL2582">
        <v>0.1</v>
      </c>
      <c r="AM2582">
        <v>0</v>
      </c>
      <c r="AN2582" s="2">
        <f>IF((2*G2582+M2582-O2582+3*V2582+2*AB2582+2*AE2582+2*AH2582+3*AJ2582)&gt;=7,1,0)</f>
        <v>0</v>
      </c>
    </row>
    <row r="2583" spans="1:40" x14ac:dyDescent="0.25">
      <c r="A2583" t="s">
        <v>27</v>
      </c>
      <c r="B2583" s="1">
        <v>44871</v>
      </c>
      <c r="C2583" s="6">
        <f t="shared" si="400"/>
        <v>2022</v>
      </c>
      <c r="D2583">
        <v>75.2</v>
      </c>
      <c r="E2583">
        <v>62.6</v>
      </c>
      <c r="F2583">
        <v>68.2</v>
      </c>
      <c r="G2583" s="2">
        <f t="shared" si="401"/>
        <v>0</v>
      </c>
      <c r="H2583">
        <v>75.2</v>
      </c>
      <c r="I2583">
        <v>62.6</v>
      </c>
      <c r="J2583">
        <v>68.2</v>
      </c>
      <c r="K2583">
        <v>58.5</v>
      </c>
      <c r="L2583">
        <v>72</v>
      </c>
      <c r="M2583" s="2">
        <f t="shared" si="402"/>
        <v>0</v>
      </c>
      <c r="N2583">
        <v>0</v>
      </c>
      <c r="O2583" s="2">
        <f t="shared" si="403"/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38</v>
      </c>
      <c r="V2583" s="2">
        <f t="shared" si="404"/>
        <v>1</v>
      </c>
      <c r="W2583">
        <v>23</v>
      </c>
      <c r="X2583" s="2">
        <f t="shared" si="405"/>
        <v>1</v>
      </c>
      <c r="Y2583">
        <v>186</v>
      </c>
      <c r="Z2583" s="2" t="str">
        <f>CHOOSE(MATCH(Y2583,{0;11;80;111;161;191;241;281;341},1),"North","NorthEast","East","SouthEast","South","SouthWest","West","NorthWest","North")</f>
        <v>South</v>
      </c>
      <c r="AA2583" s="4">
        <f>CHOOSE(MATCH(Z2583,{"South";"SouthEast";"SouthWest";"North";"NorthEast";"East";"West";"NorthWest"},0),1,2,3,4,5,6,7,8)</f>
        <v>1</v>
      </c>
      <c r="AB2583" s="2">
        <f t="shared" si="406"/>
        <v>0</v>
      </c>
      <c r="AC2583">
        <v>1010.8</v>
      </c>
      <c r="AD2583" t="s">
        <v>1218</v>
      </c>
      <c r="AE2583" s="2">
        <f t="shared" si="407"/>
        <v>0</v>
      </c>
      <c r="AF2583" t="s">
        <v>3513</v>
      </c>
      <c r="AG2583" s="2">
        <f t="shared" si="408"/>
        <v>11</v>
      </c>
      <c r="AH2583" s="2">
        <f t="shared" si="409"/>
        <v>0</v>
      </c>
      <c r="AI2583" s="3">
        <v>296.00000000093132</v>
      </c>
      <c r="AJ2583" s="2">
        <v>0</v>
      </c>
      <c r="AK2583">
        <v>1</v>
      </c>
      <c r="AL2583">
        <v>0</v>
      </c>
      <c r="AM2583">
        <v>0</v>
      </c>
      <c r="AN2583" s="2">
        <f>IF((2*G2583+M2583-O2583+3*V2583+2*AB2583+2*AE2583+2*AH2583+3*AJ2583)&gt;=7,1,0)</f>
        <v>0</v>
      </c>
    </row>
    <row r="2584" spans="1:40" x14ac:dyDescent="0.25">
      <c r="A2584" t="s">
        <v>27</v>
      </c>
      <c r="B2584" s="1">
        <v>44876</v>
      </c>
      <c r="C2584" s="6">
        <f t="shared" si="400"/>
        <v>2022</v>
      </c>
      <c r="D2584">
        <v>68</v>
      </c>
      <c r="E2584">
        <v>57.2</v>
      </c>
      <c r="F2584">
        <v>62.8</v>
      </c>
      <c r="G2584" s="2">
        <f t="shared" si="401"/>
        <v>0</v>
      </c>
      <c r="H2584">
        <v>68</v>
      </c>
      <c r="I2584">
        <v>57.2</v>
      </c>
      <c r="J2584">
        <v>62.8</v>
      </c>
      <c r="K2584">
        <v>54.4</v>
      </c>
      <c r="L2584">
        <v>74.7</v>
      </c>
      <c r="M2584" s="2">
        <f t="shared" si="402"/>
        <v>0</v>
      </c>
      <c r="N2584">
        <v>0</v>
      </c>
      <c r="O2584" s="2">
        <f t="shared" si="403"/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23.5</v>
      </c>
      <c r="V2584" s="2">
        <f t="shared" si="404"/>
        <v>1</v>
      </c>
      <c r="W2584">
        <v>13.9</v>
      </c>
      <c r="X2584" s="2">
        <f t="shared" si="405"/>
        <v>0</v>
      </c>
      <c r="Y2584">
        <v>306.60000000000002</v>
      </c>
      <c r="Z2584" s="2" t="str">
        <f>CHOOSE(MATCH(Y2584,{0;11;80;111;161;191;241;281;341},1),"North","NorthEast","East","SouthEast","South","SouthWest","West","NorthWest","North")</f>
        <v>NorthWest</v>
      </c>
      <c r="AA2584" s="4">
        <f>CHOOSE(MATCH(Z2584,{"South";"SouthEast";"SouthWest";"North";"NorthEast";"East";"West";"NorthWest"},0),1,2,3,4,5,6,7,8)</f>
        <v>8</v>
      </c>
      <c r="AB2584" s="2">
        <f t="shared" si="406"/>
        <v>1</v>
      </c>
      <c r="AC2584">
        <v>1024.0999999999999</v>
      </c>
      <c r="AD2584" t="s">
        <v>2778</v>
      </c>
      <c r="AE2584" s="2">
        <f t="shared" si="407"/>
        <v>1</v>
      </c>
      <c r="AF2584" t="s">
        <v>3514</v>
      </c>
      <c r="AG2584" s="2">
        <f t="shared" si="408"/>
        <v>11</v>
      </c>
      <c r="AH2584" s="2">
        <f t="shared" si="409"/>
        <v>0</v>
      </c>
      <c r="AI2584" s="3">
        <v>124.0000000060536</v>
      </c>
      <c r="AJ2584" s="2">
        <v>0</v>
      </c>
      <c r="AK2584">
        <v>0</v>
      </c>
      <c r="AL2584">
        <v>0.1</v>
      </c>
      <c r="AM2584">
        <v>0</v>
      </c>
      <c r="AN2584" s="2">
        <f>IF((2*G2584+M2584-O2584+3*V2584+2*AB2584+2*AE2584+2*AH2584+3*AJ2584)&gt;=7,1,0)</f>
        <v>0</v>
      </c>
    </row>
    <row r="2585" spans="1:40" x14ac:dyDescent="0.25">
      <c r="A2585" t="s">
        <v>27</v>
      </c>
      <c r="B2585" s="1">
        <v>44880</v>
      </c>
      <c r="C2585" s="6">
        <f t="shared" si="400"/>
        <v>2022</v>
      </c>
      <c r="D2585">
        <v>64.400000000000006</v>
      </c>
      <c r="E2585">
        <v>53.6</v>
      </c>
      <c r="F2585">
        <v>61.6</v>
      </c>
      <c r="G2585" s="2">
        <f t="shared" si="401"/>
        <v>0</v>
      </c>
      <c r="H2585">
        <v>64.400000000000006</v>
      </c>
      <c r="I2585">
        <v>53.6</v>
      </c>
      <c r="J2585">
        <v>61.6</v>
      </c>
      <c r="K2585">
        <v>52</v>
      </c>
      <c r="L2585">
        <v>71</v>
      </c>
      <c r="M2585" s="2">
        <f t="shared" si="402"/>
        <v>0</v>
      </c>
      <c r="N2585">
        <v>0</v>
      </c>
      <c r="O2585" s="2">
        <f t="shared" si="403"/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25.7</v>
      </c>
      <c r="V2585" s="2">
        <f t="shared" si="404"/>
        <v>1</v>
      </c>
      <c r="W2585">
        <v>16.100000000000001</v>
      </c>
      <c r="X2585" s="2">
        <f t="shared" si="405"/>
        <v>1</v>
      </c>
      <c r="Y2585">
        <v>315.7</v>
      </c>
      <c r="Z2585" s="2" t="str">
        <f>CHOOSE(MATCH(Y2585,{0;11;80;111;161;191;241;281;341},1),"North","NorthEast","East","SouthEast","South","SouthWest","West","NorthWest","North")</f>
        <v>NorthWest</v>
      </c>
      <c r="AA2585" s="4">
        <f>CHOOSE(MATCH(Z2585,{"South";"SouthEast";"SouthWest";"North";"NorthEast";"East";"West";"NorthWest"},0),1,2,3,4,5,6,7,8)</f>
        <v>8</v>
      </c>
      <c r="AB2585" s="2">
        <f t="shared" si="406"/>
        <v>1</v>
      </c>
      <c r="AC2585">
        <v>1019</v>
      </c>
      <c r="AD2585" t="s">
        <v>3078</v>
      </c>
      <c r="AE2585" s="2">
        <f t="shared" si="407"/>
        <v>1</v>
      </c>
      <c r="AF2585" t="s">
        <v>3515</v>
      </c>
      <c r="AG2585" s="2">
        <f t="shared" si="408"/>
        <v>11</v>
      </c>
      <c r="AH2585" s="2">
        <f t="shared" si="409"/>
        <v>0</v>
      </c>
      <c r="AI2585" s="3">
        <v>129.99999999417921</v>
      </c>
      <c r="AJ2585" s="2">
        <v>0</v>
      </c>
      <c r="AK2585">
        <v>0</v>
      </c>
      <c r="AL2585">
        <v>0.5</v>
      </c>
      <c r="AM2585">
        <v>0</v>
      </c>
      <c r="AN2585" s="2">
        <f>IF((2*G2585+M2585-O2585+3*V2585+2*AB2585+2*AE2585+2*AH2585+3*AJ2585)&gt;=7,1,0)</f>
        <v>0</v>
      </c>
    </row>
    <row r="2586" spans="1:40" x14ac:dyDescent="0.25">
      <c r="A2586" t="s">
        <v>27</v>
      </c>
      <c r="B2586" s="1">
        <v>44882</v>
      </c>
      <c r="C2586" s="6">
        <f t="shared" si="400"/>
        <v>2022</v>
      </c>
      <c r="D2586">
        <v>75.2</v>
      </c>
      <c r="E2586">
        <v>59</v>
      </c>
      <c r="F2586">
        <v>66.5</v>
      </c>
      <c r="G2586" s="2">
        <f t="shared" si="401"/>
        <v>0</v>
      </c>
      <c r="H2586">
        <v>75.2</v>
      </c>
      <c r="I2586">
        <v>59</v>
      </c>
      <c r="J2586">
        <v>66.5</v>
      </c>
      <c r="K2586">
        <v>54.9</v>
      </c>
      <c r="L2586">
        <v>67.7</v>
      </c>
      <c r="M2586" s="2">
        <f t="shared" si="402"/>
        <v>0</v>
      </c>
      <c r="N2586">
        <v>0</v>
      </c>
      <c r="O2586" s="2">
        <f t="shared" si="403"/>
        <v>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23</v>
      </c>
      <c r="V2586" s="2">
        <f t="shared" si="404"/>
        <v>1</v>
      </c>
      <c r="W2586">
        <v>21.9</v>
      </c>
      <c r="X2586" s="2">
        <f t="shared" si="405"/>
        <v>1</v>
      </c>
      <c r="Y2586">
        <v>173.1</v>
      </c>
      <c r="Z2586" s="2" t="str">
        <f>CHOOSE(MATCH(Y2586,{0;11;80;111;161;191;241;281;341},1),"North","NorthEast","East","SouthEast","South","SouthWest","West","NorthWest","North")</f>
        <v>South</v>
      </c>
      <c r="AA2586" s="4">
        <f>CHOOSE(MATCH(Z2586,{"South";"SouthEast";"SouthWest";"North";"NorthEast";"East";"West";"NorthWest"},0),1,2,3,4,5,6,7,8)</f>
        <v>1</v>
      </c>
      <c r="AB2586" s="2">
        <f t="shared" si="406"/>
        <v>0</v>
      </c>
      <c r="AC2586">
        <v>1011.8</v>
      </c>
      <c r="AD2586" t="s">
        <v>1855</v>
      </c>
      <c r="AE2586" s="2">
        <f t="shared" si="407"/>
        <v>1</v>
      </c>
      <c r="AF2586" t="s">
        <v>3516</v>
      </c>
      <c r="AG2586" s="2">
        <f t="shared" si="408"/>
        <v>11</v>
      </c>
      <c r="AH2586" s="2">
        <f t="shared" si="409"/>
        <v>0</v>
      </c>
      <c r="AI2586" s="3">
        <v>191.00000000442381</v>
      </c>
      <c r="AJ2586" s="2">
        <v>0</v>
      </c>
      <c r="AK2586">
        <v>0</v>
      </c>
      <c r="AL2586">
        <v>10</v>
      </c>
      <c r="AM2586">
        <v>0</v>
      </c>
      <c r="AN2586" s="2">
        <f>IF((2*G2586+M2586-O2586+3*V2586+2*AB2586+2*AE2586+2*AH2586+3*AJ2586)&gt;=7,1,0)</f>
        <v>0</v>
      </c>
    </row>
    <row r="2587" spans="1:40" x14ac:dyDescent="0.25">
      <c r="A2587" t="s">
        <v>27</v>
      </c>
      <c r="B2587" s="1">
        <v>44882</v>
      </c>
      <c r="C2587" s="6">
        <f t="shared" si="400"/>
        <v>2022</v>
      </c>
      <c r="D2587">
        <v>75.2</v>
      </c>
      <c r="E2587">
        <v>59</v>
      </c>
      <c r="F2587">
        <v>66.5</v>
      </c>
      <c r="G2587" s="2">
        <f t="shared" si="401"/>
        <v>0</v>
      </c>
      <c r="H2587">
        <v>75.2</v>
      </c>
      <c r="I2587">
        <v>59</v>
      </c>
      <c r="J2587">
        <v>66.5</v>
      </c>
      <c r="K2587">
        <v>54.9</v>
      </c>
      <c r="L2587">
        <v>67.7</v>
      </c>
      <c r="M2587" s="2">
        <f t="shared" si="402"/>
        <v>0</v>
      </c>
      <c r="N2587">
        <v>0</v>
      </c>
      <c r="O2587" s="2">
        <f t="shared" si="403"/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23</v>
      </c>
      <c r="V2587" s="2">
        <f t="shared" si="404"/>
        <v>1</v>
      </c>
      <c r="W2587">
        <v>21.9</v>
      </c>
      <c r="X2587" s="2">
        <f t="shared" si="405"/>
        <v>1</v>
      </c>
      <c r="Y2587">
        <v>173.1</v>
      </c>
      <c r="Z2587" s="2" t="str">
        <f>CHOOSE(MATCH(Y2587,{0;11;80;111;161;191;241;281;341},1),"North","NorthEast","East","SouthEast","South","SouthWest","West","NorthWest","North")</f>
        <v>South</v>
      </c>
      <c r="AA2587" s="4">
        <f>CHOOSE(MATCH(Z2587,{"South";"SouthEast";"SouthWest";"North";"NorthEast";"East";"West";"NorthWest"},0),1,2,3,4,5,6,7,8)</f>
        <v>1</v>
      </c>
      <c r="AB2587" s="2">
        <f t="shared" si="406"/>
        <v>0</v>
      </c>
      <c r="AC2587">
        <v>1011.8</v>
      </c>
      <c r="AD2587" t="s">
        <v>1254</v>
      </c>
      <c r="AE2587" s="2">
        <f t="shared" si="407"/>
        <v>1</v>
      </c>
      <c r="AF2587" t="s">
        <v>3517</v>
      </c>
      <c r="AG2587" s="2">
        <f t="shared" si="408"/>
        <v>11</v>
      </c>
      <c r="AH2587" s="2">
        <f t="shared" si="409"/>
        <v>0</v>
      </c>
      <c r="AI2587" s="3">
        <v>180</v>
      </c>
      <c r="AJ2587" s="2">
        <v>0</v>
      </c>
      <c r="AK2587">
        <v>0</v>
      </c>
      <c r="AL2587">
        <v>0.5</v>
      </c>
      <c r="AM2587">
        <v>0</v>
      </c>
      <c r="AN2587" s="2">
        <f>IF((2*G2587+M2587-O2587+3*V2587+2*AB2587+2*AE2587+2*AH2587+3*AJ2587)&gt;=7,1,0)</f>
        <v>0</v>
      </c>
    </row>
    <row r="2588" spans="1:40" x14ac:dyDescent="0.25">
      <c r="A2588" t="s">
        <v>27</v>
      </c>
      <c r="B2588" s="1">
        <v>44885</v>
      </c>
      <c r="C2588" s="6">
        <f t="shared" si="400"/>
        <v>2022</v>
      </c>
      <c r="D2588">
        <v>75.2</v>
      </c>
      <c r="E2588">
        <v>68</v>
      </c>
      <c r="F2588">
        <v>71.5</v>
      </c>
      <c r="G2588" s="2">
        <f t="shared" si="401"/>
        <v>1</v>
      </c>
      <c r="H2588">
        <v>75.2</v>
      </c>
      <c r="I2588">
        <v>68</v>
      </c>
      <c r="J2588">
        <v>71.5</v>
      </c>
      <c r="K2588">
        <v>53.8</v>
      </c>
      <c r="L2588">
        <v>54.9</v>
      </c>
      <c r="M2588" s="2">
        <f t="shared" si="402"/>
        <v>1</v>
      </c>
      <c r="N2588">
        <v>0</v>
      </c>
      <c r="O2588" s="2">
        <f t="shared" si="403"/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35.799999999999997</v>
      </c>
      <c r="V2588" s="2">
        <f t="shared" si="404"/>
        <v>1</v>
      </c>
      <c r="W2588">
        <v>25.3</v>
      </c>
      <c r="X2588" s="2">
        <f t="shared" si="405"/>
        <v>1</v>
      </c>
      <c r="Y2588">
        <v>176.6</v>
      </c>
      <c r="Z2588" s="2" t="str">
        <f>CHOOSE(MATCH(Y2588,{0;11;80;111;161;191;241;281;341},1),"North","NorthEast","East","SouthEast","South","SouthWest","West","NorthWest","North")</f>
        <v>South</v>
      </c>
      <c r="AA2588" s="4">
        <f>CHOOSE(MATCH(Z2588,{"South";"SouthEast";"SouthWest";"North";"NorthEast";"East";"West";"NorthWest"},0),1,2,3,4,5,6,7,8)</f>
        <v>1</v>
      </c>
      <c r="AB2588" s="2">
        <f t="shared" si="406"/>
        <v>0</v>
      </c>
      <c r="AC2588">
        <v>1017.6</v>
      </c>
      <c r="AD2588" t="s">
        <v>2486</v>
      </c>
      <c r="AE2588" s="2">
        <f t="shared" si="407"/>
        <v>1</v>
      </c>
      <c r="AF2588" t="s">
        <v>3518</v>
      </c>
      <c r="AG2588" s="2">
        <f t="shared" si="408"/>
        <v>11</v>
      </c>
      <c r="AH2588" s="2">
        <f t="shared" si="409"/>
        <v>0</v>
      </c>
      <c r="AI2588" s="3">
        <v>1127.000000006519</v>
      </c>
      <c r="AJ2588" s="2">
        <v>1</v>
      </c>
      <c r="AK2588">
        <v>0</v>
      </c>
      <c r="AL2588">
        <v>0.5</v>
      </c>
      <c r="AM2588">
        <v>0</v>
      </c>
      <c r="AN2588" s="2">
        <f>IF((2*G2588+M2588-O2588+3*V2588+2*AB2588+2*AE2588+2*AH2588+3*AJ2588)&gt;=7,1,0)</f>
        <v>1</v>
      </c>
    </row>
    <row r="2589" spans="1:40" x14ac:dyDescent="0.25">
      <c r="A2589" t="s">
        <v>27</v>
      </c>
      <c r="B2589" s="1">
        <v>44886</v>
      </c>
      <c r="C2589" s="6">
        <f t="shared" si="400"/>
        <v>2022</v>
      </c>
      <c r="D2589">
        <v>75.2</v>
      </c>
      <c r="E2589">
        <v>59</v>
      </c>
      <c r="F2589">
        <v>68.5</v>
      </c>
      <c r="G2589" s="2">
        <f t="shared" si="401"/>
        <v>0</v>
      </c>
      <c r="H2589">
        <v>75.2</v>
      </c>
      <c r="I2589">
        <v>59</v>
      </c>
      <c r="J2589">
        <v>68.5</v>
      </c>
      <c r="K2589">
        <v>57</v>
      </c>
      <c r="L2589">
        <v>67.8</v>
      </c>
      <c r="M2589" s="2">
        <f t="shared" si="402"/>
        <v>0</v>
      </c>
      <c r="N2589">
        <v>4.0000000000000001E-3</v>
      </c>
      <c r="O2589" s="2">
        <f t="shared" si="403"/>
        <v>1</v>
      </c>
      <c r="P2589">
        <v>100</v>
      </c>
      <c r="Q2589">
        <v>4.17</v>
      </c>
      <c r="R2589" t="s">
        <v>182</v>
      </c>
      <c r="S2589">
        <v>0</v>
      </c>
      <c r="T2589">
        <v>0</v>
      </c>
      <c r="U2589">
        <v>42.5</v>
      </c>
      <c r="V2589" s="2">
        <f t="shared" si="404"/>
        <v>1</v>
      </c>
      <c r="W2589">
        <v>19.5</v>
      </c>
      <c r="X2589" s="2">
        <f t="shared" si="405"/>
        <v>1</v>
      </c>
      <c r="Y2589">
        <v>184.3</v>
      </c>
      <c r="Z2589" s="2" t="str">
        <f>CHOOSE(MATCH(Y2589,{0;11;80;111;161;191;241;281;341},1),"North","NorthEast","East","SouthEast","South","SouthWest","West","NorthWest","North")</f>
        <v>South</v>
      </c>
      <c r="AA2589" s="4">
        <f>CHOOSE(MATCH(Z2589,{"South";"SouthEast";"SouthWest";"North";"NorthEast";"East";"West";"NorthWest"},0),1,2,3,4,5,6,7,8)</f>
        <v>1</v>
      </c>
      <c r="AB2589" s="2">
        <f t="shared" si="406"/>
        <v>0</v>
      </c>
      <c r="AC2589">
        <v>1014.2</v>
      </c>
      <c r="AD2589" t="s">
        <v>2486</v>
      </c>
      <c r="AE2589" s="2">
        <f t="shared" si="407"/>
        <v>1</v>
      </c>
      <c r="AF2589" t="s">
        <v>3519</v>
      </c>
      <c r="AG2589" s="2">
        <f t="shared" si="408"/>
        <v>11</v>
      </c>
      <c r="AH2589" s="2">
        <f t="shared" si="409"/>
        <v>0</v>
      </c>
      <c r="AI2589" s="3">
        <v>86.000000007916242</v>
      </c>
      <c r="AJ2589" s="2">
        <v>0</v>
      </c>
      <c r="AK2589">
        <v>0</v>
      </c>
      <c r="AL2589">
        <v>20</v>
      </c>
      <c r="AM2589">
        <v>0</v>
      </c>
      <c r="AN2589" s="2">
        <f>IF((2*G2589+M2589-O2589+3*V2589+2*AB2589+2*AE2589+2*AH2589+3*AJ2589)&gt;=7,1,0)</f>
        <v>0</v>
      </c>
    </row>
    <row r="2590" spans="1:40" x14ac:dyDescent="0.25">
      <c r="A2590" t="s">
        <v>27</v>
      </c>
      <c r="B2590" s="1">
        <v>44894</v>
      </c>
      <c r="C2590" s="6">
        <f t="shared" si="400"/>
        <v>2022</v>
      </c>
      <c r="D2590">
        <v>64.400000000000006</v>
      </c>
      <c r="E2590">
        <v>55.4</v>
      </c>
      <c r="F2590">
        <v>59.6</v>
      </c>
      <c r="G2590" s="2">
        <f t="shared" si="401"/>
        <v>0</v>
      </c>
      <c r="H2590">
        <v>64.400000000000006</v>
      </c>
      <c r="I2590">
        <v>55.4</v>
      </c>
      <c r="J2590">
        <v>59.6</v>
      </c>
      <c r="K2590">
        <v>55.1</v>
      </c>
      <c r="L2590">
        <v>85.3</v>
      </c>
      <c r="M2590" s="2">
        <f t="shared" si="402"/>
        <v>0</v>
      </c>
      <c r="N2590">
        <v>1.4279999999999999</v>
      </c>
      <c r="O2590" s="2">
        <f t="shared" si="403"/>
        <v>0</v>
      </c>
      <c r="P2590">
        <v>100</v>
      </c>
      <c r="Q2590">
        <v>12.5</v>
      </c>
      <c r="R2590" t="s">
        <v>182</v>
      </c>
      <c r="S2590">
        <v>0</v>
      </c>
      <c r="T2590">
        <v>0</v>
      </c>
      <c r="U2590">
        <v>16.3</v>
      </c>
      <c r="V2590" s="2">
        <f t="shared" si="404"/>
        <v>1</v>
      </c>
      <c r="W2590">
        <v>15</v>
      </c>
      <c r="X2590" s="2">
        <f t="shared" si="405"/>
        <v>0</v>
      </c>
      <c r="Y2590">
        <v>321.60000000000002</v>
      </c>
      <c r="Z2590" s="2" t="str">
        <f>CHOOSE(MATCH(Y2590,{0;11;80;111;161;191;241;281;341},1),"North","NorthEast","East","SouthEast","South","SouthWest","West","NorthWest","North")</f>
        <v>NorthWest</v>
      </c>
      <c r="AA2590" s="4">
        <f>CHOOSE(MATCH(Z2590,{"South";"SouthEast";"SouthWest";"North";"NorthEast";"East";"West";"NorthWest"},0),1,2,3,4,5,6,7,8)</f>
        <v>8</v>
      </c>
      <c r="AB2590" s="2">
        <f t="shared" si="406"/>
        <v>1</v>
      </c>
      <c r="AC2590">
        <v>1012</v>
      </c>
      <c r="AD2590" t="s">
        <v>3520</v>
      </c>
      <c r="AE2590" s="2">
        <f t="shared" si="407"/>
        <v>1</v>
      </c>
      <c r="AF2590" t="s">
        <v>3521</v>
      </c>
      <c r="AG2590" s="2">
        <f t="shared" si="408"/>
        <v>11</v>
      </c>
      <c r="AH2590" s="2">
        <f t="shared" si="409"/>
        <v>0</v>
      </c>
      <c r="AI2590" s="3">
        <v>59.00000000372529</v>
      </c>
      <c r="AJ2590" s="2">
        <v>0</v>
      </c>
      <c r="AK2590">
        <v>0</v>
      </c>
      <c r="AL2590">
        <v>5</v>
      </c>
      <c r="AM2590">
        <v>0</v>
      </c>
      <c r="AN2590" s="2">
        <f>IF((2*G2590+M2590-O2590+3*V2590+2*AB2590+2*AE2590+2*AH2590+3*AJ2590)&gt;=7,1,0)</f>
        <v>1</v>
      </c>
    </row>
    <row r="2591" spans="1:40" x14ac:dyDescent="0.25">
      <c r="A2591" t="s">
        <v>27</v>
      </c>
      <c r="B2591" s="1">
        <v>44917</v>
      </c>
      <c r="C2591" s="6">
        <f t="shared" si="400"/>
        <v>2022</v>
      </c>
      <c r="D2591">
        <v>59</v>
      </c>
      <c r="E2591">
        <v>50</v>
      </c>
      <c r="F2591">
        <v>55.2</v>
      </c>
      <c r="G2591" s="2">
        <f t="shared" si="401"/>
        <v>0</v>
      </c>
      <c r="H2591">
        <v>59</v>
      </c>
      <c r="I2591">
        <v>47.8</v>
      </c>
      <c r="J2591">
        <v>55.1</v>
      </c>
      <c r="K2591">
        <v>47.5</v>
      </c>
      <c r="L2591">
        <v>75.5</v>
      </c>
      <c r="M2591" s="2">
        <f t="shared" si="402"/>
        <v>0</v>
      </c>
      <c r="N2591">
        <v>0</v>
      </c>
      <c r="O2591" s="2">
        <f t="shared" si="403"/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16.100000000000001</v>
      </c>
      <c r="V2591" s="2">
        <f t="shared" si="404"/>
        <v>1</v>
      </c>
      <c r="W2591">
        <v>6.9</v>
      </c>
      <c r="X2591" s="2">
        <f t="shared" si="405"/>
        <v>0</v>
      </c>
      <c r="Y2591">
        <v>207</v>
      </c>
      <c r="Z2591" s="2" t="str">
        <f>CHOOSE(MATCH(Y2591,{0;11;80;111;161;191;241;281;341},1),"North","NorthEast","East","SouthEast","South","SouthWest","West","NorthWest","North")</f>
        <v>SouthWest</v>
      </c>
      <c r="AA2591" s="4">
        <f>CHOOSE(MATCH(Z2591,{"South";"SouthEast";"SouthWest";"North";"NorthEast";"East";"West";"NorthWest"},0),1,2,3,4,5,6,7,8)</f>
        <v>3</v>
      </c>
      <c r="AB2591" s="2">
        <f t="shared" si="406"/>
        <v>0</v>
      </c>
      <c r="AC2591">
        <v>1018</v>
      </c>
      <c r="AD2591" t="s">
        <v>3100</v>
      </c>
      <c r="AE2591" s="2">
        <f t="shared" si="407"/>
        <v>1</v>
      </c>
      <c r="AF2591" t="s">
        <v>3522</v>
      </c>
      <c r="AG2591" s="2">
        <f t="shared" si="408"/>
        <v>12</v>
      </c>
      <c r="AH2591" s="2">
        <f t="shared" si="409"/>
        <v>0</v>
      </c>
      <c r="AI2591" s="3">
        <v>130.99999999743889</v>
      </c>
      <c r="AJ2591" s="2">
        <v>0</v>
      </c>
      <c r="AK2591">
        <v>0.1</v>
      </c>
      <c r="AL2591">
        <v>0</v>
      </c>
      <c r="AM2591">
        <v>0</v>
      </c>
      <c r="AN2591" s="2">
        <f>IF((2*G2591+M2591-O2591+3*V2591+2*AB2591+2*AE2591+2*AH2591+3*AJ2591)&gt;=7,1,0)</f>
        <v>0</v>
      </c>
    </row>
    <row r="2592" spans="1:40" x14ac:dyDescent="0.25">
      <c r="A2592" t="s">
        <v>27</v>
      </c>
      <c r="B2592" s="1">
        <v>44920</v>
      </c>
      <c r="C2592" s="6">
        <f t="shared" si="400"/>
        <v>2022</v>
      </c>
      <c r="D2592">
        <v>62.6</v>
      </c>
      <c r="E2592">
        <v>50</v>
      </c>
      <c r="F2592">
        <v>56.3</v>
      </c>
      <c r="G2592" s="2">
        <f t="shared" si="401"/>
        <v>0</v>
      </c>
      <c r="H2592">
        <v>62.6</v>
      </c>
      <c r="I2592">
        <v>46.7</v>
      </c>
      <c r="J2592">
        <v>56</v>
      </c>
      <c r="K2592">
        <v>49.6</v>
      </c>
      <c r="L2592">
        <v>78.599999999999994</v>
      </c>
      <c r="M2592" s="2">
        <f t="shared" si="402"/>
        <v>0</v>
      </c>
      <c r="N2592">
        <v>0</v>
      </c>
      <c r="O2592" s="2">
        <f t="shared" si="403"/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25.9</v>
      </c>
      <c r="V2592" s="2">
        <f t="shared" si="404"/>
        <v>1</v>
      </c>
      <c r="W2592">
        <v>19.7</v>
      </c>
      <c r="X2592" s="2">
        <f t="shared" si="405"/>
        <v>1</v>
      </c>
      <c r="Y2592">
        <v>315</v>
      </c>
      <c r="Z2592" s="2" t="str">
        <f>CHOOSE(MATCH(Y2592,{0;11;80;111;161;191;241;281;341},1),"North","NorthEast","East","SouthEast","South","SouthWest","West","NorthWest","North")</f>
        <v>NorthWest</v>
      </c>
      <c r="AA2592" s="4">
        <f>CHOOSE(MATCH(Z2592,{"South";"SouthEast";"SouthWest";"North";"NorthEast";"East";"West";"NorthWest"},0),1,2,3,4,5,6,7,8)</f>
        <v>8</v>
      </c>
      <c r="AB2592" s="2">
        <f t="shared" si="406"/>
        <v>1</v>
      </c>
      <c r="AC2592">
        <v>1019.8</v>
      </c>
      <c r="AD2592" t="s">
        <v>1962</v>
      </c>
      <c r="AE2592" s="2">
        <f t="shared" si="407"/>
        <v>1</v>
      </c>
      <c r="AF2592" t="s">
        <v>3523</v>
      </c>
      <c r="AG2592" s="2">
        <f t="shared" si="408"/>
        <v>12</v>
      </c>
      <c r="AH2592" s="2">
        <f t="shared" si="409"/>
        <v>0</v>
      </c>
      <c r="AI2592" s="3">
        <v>124.9999999988358</v>
      </c>
      <c r="AJ2592" s="2">
        <v>0</v>
      </c>
      <c r="AK2592">
        <v>0</v>
      </c>
      <c r="AL2592">
        <v>3</v>
      </c>
      <c r="AM2592">
        <v>0</v>
      </c>
      <c r="AN2592" s="2">
        <f>IF((2*G2592+M2592-O2592+3*V2592+2*AB2592+2*AE2592+2*AH2592+3*AJ2592)&gt;=7,1,0)</f>
        <v>0</v>
      </c>
    </row>
    <row r="2593" spans="1:40" x14ac:dyDescent="0.25">
      <c r="A2593" t="s">
        <v>27</v>
      </c>
      <c r="B2593" s="1">
        <v>44921</v>
      </c>
      <c r="C2593" s="6">
        <f t="shared" si="400"/>
        <v>2022</v>
      </c>
      <c r="D2593">
        <v>62.6</v>
      </c>
      <c r="E2593">
        <v>50</v>
      </c>
      <c r="F2593">
        <v>58.7</v>
      </c>
      <c r="G2593" s="2">
        <f t="shared" si="401"/>
        <v>0</v>
      </c>
      <c r="H2593">
        <v>62.6</v>
      </c>
      <c r="I2593">
        <v>47.8</v>
      </c>
      <c r="J2593">
        <v>58.6</v>
      </c>
      <c r="K2593">
        <v>49.2</v>
      </c>
      <c r="L2593">
        <v>71.099999999999994</v>
      </c>
      <c r="M2593" s="2">
        <f t="shared" si="402"/>
        <v>0</v>
      </c>
      <c r="N2593">
        <v>3.5000000000000003E-2</v>
      </c>
      <c r="O2593" s="2">
        <f t="shared" si="403"/>
        <v>0</v>
      </c>
      <c r="P2593">
        <v>100</v>
      </c>
      <c r="Q2593">
        <v>4.17</v>
      </c>
      <c r="R2593" t="s">
        <v>182</v>
      </c>
      <c r="S2593">
        <v>0</v>
      </c>
      <c r="T2593">
        <v>0</v>
      </c>
      <c r="U2593">
        <v>30</v>
      </c>
      <c r="V2593" s="2">
        <f t="shared" si="404"/>
        <v>1</v>
      </c>
      <c r="W2593">
        <v>18.3</v>
      </c>
      <c r="X2593" s="2">
        <f t="shared" si="405"/>
        <v>1</v>
      </c>
      <c r="Y2593">
        <v>326.2</v>
      </c>
      <c r="Z2593" s="2" t="str">
        <f>CHOOSE(MATCH(Y2593,{0;11;80;111;161;191;241;281;341},1),"North","NorthEast","East","SouthEast","South","SouthWest","West","NorthWest","North")</f>
        <v>NorthWest</v>
      </c>
      <c r="AA2593" s="4">
        <f>CHOOSE(MATCH(Z2593,{"South";"SouthEast";"SouthWest";"North";"NorthEast";"East";"West";"NorthWest"},0),1,2,3,4,5,6,7,8)</f>
        <v>8</v>
      </c>
      <c r="AB2593" s="2">
        <f t="shared" si="406"/>
        <v>1</v>
      </c>
      <c r="AC2593">
        <v>1026.9000000000001</v>
      </c>
      <c r="AD2593" t="s">
        <v>3524</v>
      </c>
      <c r="AE2593" s="2">
        <f t="shared" si="407"/>
        <v>1</v>
      </c>
      <c r="AF2593" t="s">
        <v>3525</v>
      </c>
      <c r="AG2593" s="2">
        <f t="shared" si="408"/>
        <v>12</v>
      </c>
      <c r="AH2593" s="2">
        <f t="shared" si="409"/>
        <v>0</v>
      </c>
      <c r="AI2593" s="3">
        <v>44.00000000721775</v>
      </c>
      <c r="AJ2593" s="2">
        <v>0</v>
      </c>
      <c r="AK2593">
        <v>0</v>
      </c>
      <c r="AL2593">
        <v>3</v>
      </c>
      <c r="AM2593">
        <v>0</v>
      </c>
      <c r="AN2593" s="2">
        <f>IF((2*G2593+M2593-O2593+3*V2593+2*AB2593+2*AE2593+2*AH2593+3*AJ2593)&gt;=7,1,0)</f>
        <v>1</v>
      </c>
    </row>
    <row r="2594" spans="1:40" x14ac:dyDescent="0.25">
      <c r="A2594" t="s">
        <v>27</v>
      </c>
      <c r="B2594" s="1">
        <v>44922</v>
      </c>
      <c r="C2594" s="6">
        <f t="shared" si="400"/>
        <v>2022</v>
      </c>
      <c r="D2594">
        <v>66.2</v>
      </c>
      <c r="E2594">
        <v>48.2</v>
      </c>
      <c r="F2594">
        <v>56.4</v>
      </c>
      <c r="G2594" s="2">
        <f t="shared" si="401"/>
        <v>0</v>
      </c>
      <c r="H2594">
        <v>66.2</v>
      </c>
      <c r="I2594">
        <v>43.7</v>
      </c>
      <c r="J2594">
        <v>55.8</v>
      </c>
      <c r="K2594">
        <v>50.7</v>
      </c>
      <c r="L2594">
        <v>81.400000000000006</v>
      </c>
      <c r="M2594" s="2">
        <f t="shared" si="402"/>
        <v>0</v>
      </c>
      <c r="N2594">
        <v>0</v>
      </c>
      <c r="O2594" s="2">
        <f t="shared" si="403"/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15</v>
      </c>
      <c r="V2594" s="2">
        <f t="shared" si="404"/>
        <v>1</v>
      </c>
      <c r="W2594">
        <v>13.9</v>
      </c>
      <c r="X2594" s="2">
        <f t="shared" si="405"/>
        <v>0</v>
      </c>
      <c r="Y2594">
        <v>202.6</v>
      </c>
      <c r="Z2594" s="2" t="str">
        <f>CHOOSE(MATCH(Y2594,{0;11;80;111;161;191;241;281;341},1),"North","NorthEast","East","SouthEast","South","SouthWest","West","NorthWest","North")</f>
        <v>SouthWest</v>
      </c>
      <c r="AA2594" s="4">
        <f>CHOOSE(MATCH(Z2594,{"South";"SouthEast";"SouthWest";"North";"NorthEast";"East";"West";"NorthWest"},0),1,2,3,4,5,6,7,8)</f>
        <v>3</v>
      </c>
      <c r="AB2594" s="2">
        <f t="shared" si="406"/>
        <v>0</v>
      </c>
      <c r="AC2594">
        <v>1026</v>
      </c>
      <c r="AD2594" t="s">
        <v>3526</v>
      </c>
      <c r="AE2594" s="2">
        <f t="shared" si="407"/>
        <v>0</v>
      </c>
      <c r="AF2594" t="s">
        <v>3527</v>
      </c>
      <c r="AG2594" s="2">
        <f t="shared" si="408"/>
        <v>12</v>
      </c>
      <c r="AH2594" s="2">
        <f t="shared" si="409"/>
        <v>0</v>
      </c>
      <c r="AI2594" s="3">
        <v>72.999999996973202</v>
      </c>
      <c r="AJ2594" s="2">
        <v>0</v>
      </c>
      <c r="AK2594">
        <v>0</v>
      </c>
      <c r="AL2594">
        <v>2</v>
      </c>
      <c r="AM2594">
        <v>0</v>
      </c>
      <c r="AN2594" s="2">
        <f>IF((2*G2594+M2594-O2594+3*V2594+2*AB2594+2*AE2594+2*AH2594+3*AJ2594)&gt;=7,1,0)</f>
        <v>0</v>
      </c>
    </row>
    <row r="2595" spans="1:40" x14ac:dyDescent="0.25">
      <c r="A2595" t="s">
        <v>27</v>
      </c>
      <c r="B2595" s="1">
        <v>44922</v>
      </c>
      <c r="C2595" s="6">
        <f t="shared" si="400"/>
        <v>2022</v>
      </c>
      <c r="D2595">
        <v>66.2</v>
      </c>
      <c r="E2595">
        <v>48.2</v>
      </c>
      <c r="F2595">
        <v>56.4</v>
      </c>
      <c r="G2595" s="2">
        <f t="shared" si="401"/>
        <v>0</v>
      </c>
      <c r="H2595">
        <v>66.2</v>
      </c>
      <c r="I2595">
        <v>43.7</v>
      </c>
      <c r="J2595">
        <v>55.8</v>
      </c>
      <c r="K2595">
        <v>50.7</v>
      </c>
      <c r="L2595">
        <v>81.400000000000006</v>
      </c>
      <c r="M2595" s="2">
        <f t="shared" si="402"/>
        <v>0</v>
      </c>
      <c r="N2595">
        <v>0</v>
      </c>
      <c r="O2595" s="2">
        <f t="shared" si="403"/>
        <v>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15</v>
      </c>
      <c r="V2595" s="2">
        <f t="shared" si="404"/>
        <v>1</v>
      </c>
      <c r="W2595">
        <v>13.9</v>
      </c>
      <c r="X2595" s="2">
        <f t="shared" si="405"/>
        <v>0</v>
      </c>
      <c r="Y2595">
        <v>202.6</v>
      </c>
      <c r="Z2595" s="2" t="str">
        <f>CHOOSE(MATCH(Y2595,{0;11;80;111;161;191;241;281;341},1),"North","NorthEast","East","SouthEast","South","SouthWest","West","NorthWest","North")</f>
        <v>SouthWest</v>
      </c>
      <c r="AA2595" s="4">
        <f>CHOOSE(MATCH(Z2595,{"South";"SouthEast";"SouthWest";"North";"NorthEast";"East";"West";"NorthWest"},0),1,2,3,4,5,6,7,8)</f>
        <v>3</v>
      </c>
      <c r="AB2595" s="2">
        <f t="shared" si="406"/>
        <v>0</v>
      </c>
      <c r="AC2595">
        <v>1026</v>
      </c>
      <c r="AD2595" t="s">
        <v>1111</v>
      </c>
      <c r="AE2595" s="2">
        <f t="shared" si="407"/>
        <v>1</v>
      </c>
      <c r="AF2595" t="s">
        <v>3528</v>
      </c>
      <c r="AG2595" s="2">
        <f t="shared" si="408"/>
        <v>12</v>
      </c>
      <c r="AH2595" s="2">
        <f t="shared" si="409"/>
        <v>0</v>
      </c>
      <c r="AI2595" s="3">
        <v>100.0000000011642</v>
      </c>
      <c r="AJ2595" s="2">
        <v>0</v>
      </c>
      <c r="AK2595">
        <v>0</v>
      </c>
      <c r="AL2595">
        <v>1</v>
      </c>
      <c r="AM2595">
        <v>0</v>
      </c>
      <c r="AN2595" s="2">
        <f>IF((2*G2595+M2595-O2595+3*V2595+2*AB2595+2*AE2595+2*AH2595+3*AJ2595)&gt;=7,1,0)</f>
        <v>0</v>
      </c>
    </row>
    <row r="2596" spans="1:40" x14ac:dyDescent="0.25">
      <c r="A2596" t="s">
        <v>27</v>
      </c>
      <c r="B2596" s="1">
        <v>44935</v>
      </c>
      <c r="C2596" s="6">
        <f t="shared" si="400"/>
        <v>2023</v>
      </c>
      <c r="D2596">
        <v>62.6</v>
      </c>
      <c r="E2596">
        <v>48.2</v>
      </c>
      <c r="F2596">
        <v>55</v>
      </c>
      <c r="G2596" s="2">
        <f t="shared" si="401"/>
        <v>0</v>
      </c>
      <c r="H2596">
        <v>62.6</v>
      </c>
      <c r="I2596">
        <v>44.6</v>
      </c>
      <c r="J2596">
        <v>54.8</v>
      </c>
      <c r="K2596">
        <v>48.8</v>
      </c>
      <c r="L2596">
        <v>80</v>
      </c>
      <c r="M2596" s="2">
        <f t="shared" si="402"/>
        <v>0</v>
      </c>
      <c r="N2596">
        <v>0</v>
      </c>
      <c r="O2596" s="2">
        <f t="shared" si="403"/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15</v>
      </c>
      <c r="V2596" s="2">
        <f t="shared" si="404"/>
        <v>1</v>
      </c>
      <c r="W2596">
        <v>11.4</v>
      </c>
      <c r="X2596" s="2">
        <f t="shared" si="405"/>
        <v>0</v>
      </c>
      <c r="Y2596">
        <v>175.2</v>
      </c>
      <c r="Z2596" s="2" t="str">
        <f>CHOOSE(MATCH(Y2596,{0;11;80;111;161;191;241;281;341},1),"North","NorthEast","East","SouthEast","South","SouthWest","West","NorthWest","North")</f>
        <v>South</v>
      </c>
      <c r="AA2596" s="4">
        <f>CHOOSE(MATCH(Z2596,{"South";"SouthEast";"SouthWest";"North";"NorthEast";"East";"West";"NorthWest"},0),1,2,3,4,5,6,7,8)</f>
        <v>1</v>
      </c>
      <c r="AB2596" s="2">
        <f t="shared" si="406"/>
        <v>0</v>
      </c>
      <c r="AC2596">
        <v>1021.1</v>
      </c>
      <c r="AD2596" t="s">
        <v>2372</v>
      </c>
      <c r="AE2596" s="2">
        <f t="shared" si="407"/>
        <v>0</v>
      </c>
      <c r="AF2596" t="s">
        <v>3529</v>
      </c>
      <c r="AG2596" s="2">
        <f t="shared" si="408"/>
        <v>1</v>
      </c>
      <c r="AH2596" s="2">
        <f t="shared" si="409"/>
        <v>0</v>
      </c>
      <c r="AI2596" s="3">
        <v>145.9999999939464</v>
      </c>
      <c r="AJ2596" s="2">
        <v>0</v>
      </c>
      <c r="AK2596">
        <v>0</v>
      </c>
      <c r="AL2596">
        <v>3</v>
      </c>
      <c r="AM2596">
        <v>0</v>
      </c>
      <c r="AN2596" s="2">
        <f>IF((2*G2596+M2596-O2596+3*V2596+2*AB2596+2*AE2596+2*AH2596+3*AJ2596)&gt;=7,1,0)</f>
        <v>0</v>
      </c>
    </row>
    <row r="2597" spans="1:40" x14ac:dyDescent="0.25">
      <c r="A2597" t="s">
        <v>27</v>
      </c>
      <c r="B2597" s="1">
        <v>44969</v>
      </c>
      <c r="C2597" s="6">
        <f t="shared" si="400"/>
        <v>2023</v>
      </c>
      <c r="D2597">
        <v>53.6</v>
      </c>
      <c r="E2597">
        <v>46.4</v>
      </c>
      <c r="F2597">
        <v>49.7</v>
      </c>
      <c r="G2597" s="2">
        <f t="shared" si="401"/>
        <v>0</v>
      </c>
      <c r="H2597">
        <v>53.6</v>
      </c>
      <c r="I2597">
        <v>39.5</v>
      </c>
      <c r="J2597">
        <v>47.3</v>
      </c>
      <c r="K2597">
        <v>37.6</v>
      </c>
      <c r="L2597">
        <v>63.3</v>
      </c>
      <c r="M2597" s="2">
        <f t="shared" si="402"/>
        <v>1</v>
      </c>
      <c r="N2597">
        <v>8.9999999999999993E-3</v>
      </c>
      <c r="O2597" s="2">
        <f t="shared" si="403"/>
        <v>1</v>
      </c>
      <c r="P2597">
        <v>100</v>
      </c>
      <c r="Q2597">
        <v>4.17</v>
      </c>
      <c r="R2597" t="s">
        <v>182</v>
      </c>
      <c r="S2597">
        <v>0</v>
      </c>
      <c r="T2597">
        <v>0</v>
      </c>
      <c r="U2597">
        <v>25.3</v>
      </c>
      <c r="V2597" s="2">
        <f t="shared" si="404"/>
        <v>1</v>
      </c>
      <c r="W2597">
        <v>18.3</v>
      </c>
      <c r="X2597" s="2">
        <f t="shared" si="405"/>
        <v>1</v>
      </c>
      <c r="Y2597">
        <v>313.39999999999998</v>
      </c>
      <c r="Z2597" s="2" t="str">
        <f>CHOOSE(MATCH(Y2597,{0;11;80;111;161;191;241;281;341},1),"North","NorthEast","East","SouthEast","South","SouthWest","West","NorthWest","North")</f>
        <v>NorthWest</v>
      </c>
      <c r="AA2597" s="4">
        <f>CHOOSE(MATCH(Z2597,{"South";"SouthEast";"SouthWest";"North";"NorthEast";"East";"West";"NorthWest"},0),1,2,3,4,5,6,7,8)</f>
        <v>8</v>
      </c>
      <c r="AB2597" s="2">
        <f t="shared" si="406"/>
        <v>1</v>
      </c>
      <c r="AC2597">
        <v>1026.2</v>
      </c>
      <c r="AD2597" t="s">
        <v>1866</v>
      </c>
      <c r="AE2597" s="2">
        <f t="shared" si="407"/>
        <v>1</v>
      </c>
      <c r="AF2597" t="s">
        <v>3530</v>
      </c>
      <c r="AG2597" s="2">
        <f t="shared" si="408"/>
        <v>2</v>
      </c>
      <c r="AH2597" s="2">
        <f t="shared" si="409"/>
        <v>0</v>
      </c>
      <c r="AI2597" s="3">
        <v>1729.9999999918509</v>
      </c>
      <c r="AJ2597" s="2">
        <v>1</v>
      </c>
      <c r="AK2597">
        <v>0</v>
      </c>
      <c r="AL2597">
        <v>140</v>
      </c>
      <c r="AM2597">
        <v>0</v>
      </c>
      <c r="AN2597" s="2">
        <f>IF((2*G2597+M2597-O2597+3*V2597+2*AB2597+2*AE2597+2*AH2597+3*AJ2597)&gt;=7,1,0)</f>
        <v>1</v>
      </c>
    </row>
    <row r="2598" spans="1:40" x14ac:dyDescent="0.25">
      <c r="A2598" t="s">
        <v>27</v>
      </c>
      <c r="B2598" s="1">
        <v>44970</v>
      </c>
      <c r="C2598" s="6">
        <f t="shared" si="400"/>
        <v>2023</v>
      </c>
      <c r="D2598">
        <v>55.4</v>
      </c>
      <c r="E2598">
        <v>48.2</v>
      </c>
      <c r="F2598">
        <v>52.5</v>
      </c>
      <c r="G2598" s="2">
        <f t="shared" si="401"/>
        <v>0</v>
      </c>
      <c r="H2598">
        <v>55.4</v>
      </c>
      <c r="I2598">
        <v>43.6</v>
      </c>
      <c r="J2598">
        <v>52.1</v>
      </c>
      <c r="K2598">
        <v>41.2</v>
      </c>
      <c r="L2598">
        <v>65.599999999999994</v>
      </c>
      <c r="M2598" s="2">
        <f t="shared" si="402"/>
        <v>1</v>
      </c>
      <c r="N2598">
        <v>0</v>
      </c>
      <c r="O2598" s="2">
        <f t="shared" si="403"/>
        <v>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32.700000000000003</v>
      </c>
      <c r="V2598" s="2">
        <f t="shared" si="404"/>
        <v>1</v>
      </c>
      <c r="W2598">
        <v>20.8</v>
      </c>
      <c r="X2598" s="2">
        <f t="shared" si="405"/>
        <v>1</v>
      </c>
      <c r="Y2598">
        <v>337.8</v>
      </c>
      <c r="Z2598" s="2" t="str">
        <f>CHOOSE(MATCH(Y2598,{0;11;80;111;161;191;241;281;341},1),"North","NorthEast","East","SouthEast","South","SouthWest","West","NorthWest","North")</f>
        <v>NorthWest</v>
      </c>
      <c r="AA2598" s="4">
        <f>CHOOSE(MATCH(Z2598,{"South";"SouthEast";"SouthWest";"North";"NorthEast";"East";"West";"NorthWest"},0),1,2,3,4,5,6,7,8)</f>
        <v>8</v>
      </c>
      <c r="AB2598" s="2">
        <f t="shared" si="406"/>
        <v>1</v>
      </c>
      <c r="AC2598">
        <v>1028.2</v>
      </c>
      <c r="AD2598" t="s">
        <v>3531</v>
      </c>
      <c r="AE2598" s="2">
        <f t="shared" si="407"/>
        <v>1</v>
      </c>
      <c r="AF2598" t="s">
        <v>3532</v>
      </c>
      <c r="AG2598" s="2">
        <f t="shared" si="408"/>
        <v>2</v>
      </c>
      <c r="AH2598" s="2">
        <f t="shared" si="409"/>
        <v>0</v>
      </c>
      <c r="AI2598" s="3">
        <v>183.99999999208379</v>
      </c>
      <c r="AJ2598" s="2">
        <v>0</v>
      </c>
      <c r="AK2598">
        <v>0</v>
      </c>
      <c r="AL2598">
        <v>10</v>
      </c>
      <c r="AM2598">
        <v>0</v>
      </c>
      <c r="AN2598" s="2">
        <f>IF((2*G2598+M2598-O2598+3*V2598+2*AB2598+2*AE2598+2*AH2598+3*AJ2598)&gt;=7,1,0)</f>
        <v>1</v>
      </c>
    </row>
    <row r="2599" spans="1:40" x14ac:dyDescent="0.25">
      <c r="A2599" t="s">
        <v>27</v>
      </c>
      <c r="B2599" s="1">
        <v>44970</v>
      </c>
      <c r="C2599" s="6">
        <f t="shared" si="400"/>
        <v>2023</v>
      </c>
      <c r="D2599">
        <v>55.4</v>
      </c>
      <c r="E2599">
        <v>48.2</v>
      </c>
      <c r="F2599">
        <v>52.5</v>
      </c>
      <c r="G2599" s="2">
        <f t="shared" si="401"/>
        <v>0</v>
      </c>
      <c r="H2599">
        <v>55.4</v>
      </c>
      <c r="I2599">
        <v>43.6</v>
      </c>
      <c r="J2599">
        <v>52.1</v>
      </c>
      <c r="K2599">
        <v>41.2</v>
      </c>
      <c r="L2599">
        <v>65.599999999999994</v>
      </c>
      <c r="M2599" s="2">
        <f t="shared" si="402"/>
        <v>1</v>
      </c>
      <c r="N2599">
        <v>0</v>
      </c>
      <c r="O2599" s="2">
        <f t="shared" si="403"/>
        <v>1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32.700000000000003</v>
      </c>
      <c r="V2599" s="2">
        <f t="shared" si="404"/>
        <v>1</v>
      </c>
      <c r="W2599">
        <v>20.8</v>
      </c>
      <c r="X2599" s="2">
        <f t="shared" si="405"/>
        <v>1</v>
      </c>
      <c r="Y2599">
        <v>337.8</v>
      </c>
      <c r="Z2599" s="2" t="str">
        <f>CHOOSE(MATCH(Y2599,{0;11;80;111;161;191;241;281;341},1),"North","NorthEast","East","SouthEast","South","SouthWest","West","NorthWest","North")</f>
        <v>NorthWest</v>
      </c>
      <c r="AA2599" s="4">
        <f>CHOOSE(MATCH(Z2599,{"South";"SouthEast";"SouthWest";"North";"NorthEast";"East";"West";"NorthWest"},0),1,2,3,4,5,6,7,8)</f>
        <v>8</v>
      </c>
      <c r="AB2599" s="2">
        <f t="shared" si="406"/>
        <v>1</v>
      </c>
      <c r="AC2599">
        <v>1028.2</v>
      </c>
      <c r="AD2599" t="s">
        <v>2384</v>
      </c>
      <c r="AE2599" s="2">
        <f t="shared" si="407"/>
        <v>0</v>
      </c>
      <c r="AF2599" t="s">
        <v>3533</v>
      </c>
      <c r="AG2599" s="2">
        <f t="shared" si="408"/>
        <v>2</v>
      </c>
      <c r="AH2599" s="2">
        <f t="shared" si="409"/>
        <v>0</v>
      </c>
      <c r="AI2599" s="3">
        <v>206.00000000093129</v>
      </c>
      <c r="AJ2599" s="2">
        <v>0</v>
      </c>
      <c r="AK2599">
        <v>0</v>
      </c>
      <c r="AL2599">
        <v>0.3</v>
      </c>
      <c r="AM2599">
        <v>0</v>
      </c>
      <c r="AN2599" s="2">
        <f>IF((2*G2599+M2599-O2599+3*V2599+2*AB2599+2*AE2599+2*AH2599+3*AJ2599)&gt;=7,1,0)</f>
        <v>0</v>
      </c>
    </row>
    <row r="2600" spans="1:40" x14ac:dyDescent="0.25">
      <c r="A2600" t="s">
        <v>27</v>
      </c>
      <c r="B2600" s="1">
        <v>44974</v>
      </c>
      <c r="C2600" s="6">
        <f t="shared" si="400"/>
        <v>2023</v>
      </c>
      <c r="D2600">
        <v>59</v>
      </c>
      <c r="E2600">
        <v>42.8</v>
      </c>
      <c r="F2600">
        <v>50.3</v>
      </c>
      <c r="G2600" s="2">
        <f t="shared" si="401"/>
        <v>0</v>
      </c>
      <c r="H2600">
        <v>59</v>
      </c>
      <c r="I2600">
        <v>38</v>
      </c>
      <c r="J2600">
        <v>48</v>
      </c>
      <c r="K2600">
        <v>43.7</v>
      </c>
      <c r="L2600">
        <v>78.8</v>
      </c>
      <c r="M2600" s="2">
        <f t="shared" si="402"/>
        <v>0</v>
      </c>
      <c r="N2600">
        <v>0</v>
      </c>
      <c r="O2600" s="2">
        <f t="shared" si="403"/>
        <v>1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12.8</v>
      </c>
      <c r="V2600" s="2">
        <f t="shared" si="404"/>
        <v>1</v>
      </c>
      <c r="W2600">
        <v>11.4</v>
      </c>
      <c r="X2600" s="2">
        <f t="shared" si="405"/>
        <v>0</v>
      </c>
      <c r="Y2600">
        <v>161.1</v>
      </c>
      <c r="Z2600" s="2" t="str">
        <f>CHOOSE(MATCH(Y2600,{0;11;80;111;161;191;241;281;341},1),"North","NorthEast","East","SouthEast","South","SouthWest","West","NorthWest","North")</f>
        <v>South</v>
      </c>
      <c r="AA2600" s="4">
        <f>CHOOSE(MATCH(Z2600,{"South";"SouthEast";"SouthWest";"North";"NorthEast";"East";"West";"NorthWest"},0),1,2,3,4,5,6,7,8)</f>
        <v>1</v>
      </c>
      <c r="AB2600" s="2">
        <f t="shared" si="406"/>
        <v>0</v>
      </c>
      <c r="AC2600">
        <v>1029.8</v>
      </c>
      <c r="AD2600" t="s">
        <v>1103</v>
      </c>
      <c r="AE2600" s="2">
        <f t="shared" si="407"/>
        <v>1</v>
      </c>
      <c r="AF2600" t="s">
        <v>3534</v>
      </c>
      <c r="AG2600" s="2">
        <f t="shared" si="408"/>
        <v>2</v>
      </c>
      <c r="AH2600" s="2">
        <f t="shared" si="409"/>
        <v>0</v>
      </c>
      <c r="AI2600" s="3">
        <v>50.999999998603023</v>
      </c>
      <c r="AJ2600" s="2">
        <v>0</v>
      </c>
      <c r="AK2600">
        <v>0</v>
      </c>
      <c r="AL2600">
        <v>0.01</v>
      </c>
      <c r="AM2600">
        <v>0</v>
      </c>
      <c r="AN2600" s="2">
        <f>IF((2*G2600+M2600-O2600+3*V2600+2*AB2600+2*AE2600+2*AH2600+3*AJ2600)&gt;=7,1,0)</f>
        <v>0</v>
      </c>
    </row>
    <row r="2601" spans="1:40" x14ac:dyDescent="0.25">
      <c r="A2601" t="s">
        <v>27</v>
      </c>
      <c r="B2601" s="1">
        <v>44975</v>
      </c>
      <c r="C2601" s="6">
        <f t="shared" si="400"/>
        <v>2023</v>
      </c>
      <c r="D2601">
        <v>62.6</v>
      </c>
      <c r="E2601">
        <v>46.4</v>
      </c>
      <c r="F2601">
        <v>53.8</v>
      </c>
      <c r="G2601" s="2">
        <f t="shared" si="401"/>
        <v>0</v>
      </c>
      <c r="H2601">
        <v>62.6</v>
      </c>
      <c r="I2601">
        <v>40.6</v>
      </c>
      <c r="J2601">
        <v>52.1</v>
      </c>
      <c r="K2601">
        <v>47.9</v>
      </c>
      <c r="L2601">
        <v>81.099999999999994</v>
      </c>
      <c r="M2601" s="2">
        <f t="shared" si="402"/>
        <v>0</v>
      </c>
      <c r="N2601">
        <v>0</v>
      </c>
      <c r="O2601" s="2">
        <f t="shared" si="403"/>
        <v>1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17.2</v>
      </c>
      <c r="V2601" s="2">
        <f t="shared" si="404"/>
        <v>1</v>
      </c>
      <c r="W2601">
        <v>13.9</v>
      </c>
      <c r="X2601" s="2">
        <f t="shared" si="405"/>
        <v>0</v>
      </c>
      <c r="Y2601">
        <v>232.6</v>
      </c>
      <c r="Z2601" s="2" t="str">
        <f>CHOOSE(MATCH(Y2601,{0;11;80;111;161;191;241;281;341},1),"North","NorthEast","East","SouthEast","South","SouthWest","West","NorthWest","North")</f>
        <v>SouthWest</v>
      </c>
      <c r="AA2601" s="4">
        <f>CHOOSE(MATCH(Z2601,{"South";"SouthEast";"SouthWest";"North";"NorthEast";"East";"West";"NorthWest"},0),1,2,3,4,5,6,7,8)</f>
        <v>3</v>
      </c>
      <c r="AB2601" s="2">
        <f t="shared" si="406"/>
        <v>0</v>
      </c>
      <c r="AC2601">
        <v>1027.5</v>
      </c>
      <c r="AD2601" t="s">
        <v>1264</v>
      </c>
      <c r="AE2601" s="2">
        <f t="shared" si="407"/>
        <v>1</v>
      </c>
      <c r="AF2601" t="s">
        <v>3535</v>
      </c>
      <c r="AG2601" s="2">
        <f t="shared" si="408"/>
        <v>2</v>
      </c>
      <c r="AH2601" s="2">
        <f t="shared" si="409"/>
        <v>0</v>
      </c>
      <c r="AI2601" s="3">
        <v>110.00000000232831</v>
      </c>
      <c r="AJ2601" s="2">
        <v>0</v>
      </c>
      <c r="AK2601">
        <v>0</v>
      </c>
      <c r="AL2601">
        <v>0.5</v>
      </c>
      <c r="AM2601">
        <v>0</v>
      </c>
      <c r="AN2601" s="2">
        <f>IF((2*G2601+M2601-O2601+3*V2601+2*AB2601+2*AE2601+2*AH2601+3*AJ2601)&gt;=7,1,0)</f>
        <v>0</v>
      </c>
    </row>
    <row r="2602" spans="1:40" x14ac:dyDescent="0.25">
      <c r="A2602" t="s">
        <v>27</v>
      </c>
      <c r="B2602" s="1">
        <v>44975</v>
      </c>
      <c r="C2602" s="6">
        <f t="shared" si="400"/>
        <v>2023</v>
      </c>
      <c r="D2602">
        <v>62.6</v>
      </c>
      <c r="E2602">
        <v>46.4</v>
      </c>
      <c r="F2602">
        <v>53.8</v>
      </c>
      <c r="G2602" s="2">
        <f t="shared" si="401"/>
        <v>0</v>
      </c>
      <c r="H2602">
        <v>62.6</v>
      </c>
      <c r="I2602">
        <v>40.6</v>
      </c>
      <c r="J2602">
        <v>52.1</v>
      </c>
      <c r="K2602">
        <v>47.9</v>
      </c>
      <c r="L2602">
        <v>81.099999999999994</v>
      </c>
      <c r="M2602" s="2">
        <f t="shared" si="402"/>
        <v>0</v>
      </c>
      <c r="N2602">
        <v>0</v>
      </c>
      <c r="O2602" s="2">
        <f t="shared" si="403"/>
        <v>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17.2</v>
      </c>
      <c r="V2602" s="2">
        <f t="shared" si="404"/>
        <v>1</v>
      </c>
      <c r="W2602">
        <v>13.9</v>
      </c>
      <c r="X2602" s="2">
        <f t="shared" si="405"/>
        <v>0</v>
      </c>
      <c r="Y2602">
        <v>232.6</v>
      </c>
      <c r="Z2602" s="2" t="str">
        <f>CHOOSE(MATCH(Y2602,{0;11;80;111;161;191;241;281;341},1),"North","NorthEast","East","SouthEast","South","SouthWest","West","NorthWest","North")</f>
        <v>SouthWest</v>
      </c>
      <c r="AA2602" s="4">
        <f>CHOOSE(MATCH(Z2602,{"South";"SouthEast";"SouthWest";"North";"NorthEast";"East";"West";"NorthWest"},0),1,2,3,4,5,6,7,8)</f>
        <v>3</v>
      </c>
      <c r="AB2602" s="2">
        <f t="shared" si="406"/>
        <v>0</v>
      </c>
      <c r="AC2602">
        <v>1027.5</v>
      </c>
      <c r="AD2602" t="s">
        <v>3446</v>
      </c>
      <c r="AE2602" s="2">
        <f t="shared" si="407"/>
        <v>0</v>
      </c>
      <c r="AF2602" t="s">
        <v>3536</v>
      </c>
      <c r="AG2602" s="2">
        <f t="shared" si="408"/>
        <v>2</v>
      </c>
      <c r="AH2602" s="2">
        <f t="shared" si="409"/>
        <v>0</v>
      </c>
      <c r="AI2602" s="3">
        <v>222.00000000069849</v>
      </c>
      <c r="AJ2602" s="2">
        <v>0</v>
      </c>
      <c r="AK2602">
        <v>0</v>
      </c>
      <c r="AL2602">
        <v>0.5</v>
      </c>
      <c r="AM2602">
        <v>0</v>
      </c>
      <c r="AN2602" s="2">
        <f>IF((2*G2602+M2602-O2602+3*V2602+2*AB2602+2*AE2602+2*AH2602+3*AJ2602)&gt;=7,1,0)</f>
        <v>0</v>
      </c>
    </row>
    <row r="2603" spans="1:40" x14ac:dyDescent="0.25">
      <c r="A2603" t="s">
        <v>27</v>
      </c>
      <c r="B2603" s="1">
        <v>44983</v>
      </c>
      <c r="C2603" s="6">
        <f t="shared" si="400"/>
        <v>2023</v>
      </c>
      <c r="D2603">
        <v>68</v>
      </c>
      <c r="E2603">
        <v>55.4</v>
      </c>
      <c r="F2603">
        <v>62.1</v>
      </c>
      <c r="G2603" s="2">
        <f t="shared" si="401"/>
        <v>0</v>
      </c>
      <c r="H2603">
        <v>68</v>
      </c>
      <c r="I2603">
        <v>55.4</v>
      </c>
      <c r="J2603">
        <v>62.1</v>
      </c>
      <c r="K2603">
        <v>50.2</v>
      </c>
      <c r="L2603">
        <v>66.2</v>
      </c>
      <c r="M2603" s="2">
        <f t="shared" si="402"/>
        <v>0</v>
      </c>
      <c r="N2603">
        <v>0</v>
      </c>
      <c r="O2603" s="2">
        <f t="shared" si="403"/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45.9</v>
      </c>
      <c r="V2603" s="2">
        <f t="shared" si="404"/>
        <v>1</v>
      </c>
      <c r="W2603">
        <v>33.299999999999997</v>
      </c>
      <c r="X2603" s="2">
        <f t="shared" si="405"/>
        <v>1</v>
      </c>
      <c r="Y2603">
        <v>171</v>
      </c>
      <c r="Z2603" s="2" t="str">
        <f>CHOOSE(MATCH(Y2603,{0;11;80;111;161;191;241;281;341},1),"North","NorthEast","East","SouthEast","South","SouthWest","West","NorthWest","North")</f>
        <v>South</v>
      </c>
      <c r="AA2603" s="4">
        <f>CHOOSE(MATCH(Z2603,{"South";"SouthEast";"SouthWest";"North";"NorthEast";"East";"West";"NorthWest"},0),1,2,3,4,5,6,7,8)</f>
        <v>1</v>
      </c>
      <c r="AB2603" s="2">
        <f t="shared" si="406"/>
        <v>0</v>
      </c>
      <c r="AC2603">
        <v>1014.6</v>
      </c>
      <c r="AD2603" t="s">
        <v>1071</v>
      </c>
      <c r="AE2603" s="2">
        <f t="shared" si="407"/>
        <v>0</v>
      </c>
      <c r="AF2603" t="s">
        <v>3537</v>
      </c>
      <c r="AG2603" s="2">
        <f t="shared" si="408"/>
        <v>2</v>
      </c>
      <c r="AH2603" s="2">
        <f t="shared" si="409"/>
        <v>0</v>
      </c>
      <c r="AI2603" s="3">
        <v>69.999999997671694</v>
      </c>
      <c r="AJ2603" s="2">
        <v>0</v>
      </c>
      <c r="AK2603">
        <v>0</v>
      </c>
      <c r="AL2603">
        <v>1</v>
      </c>
      <c r="AM2603">
        <v>0</v>
      </c>
      <c r="AN2603" s="2">
        <f>IF((2*G2603+M2603-O2603+3*V2603+2*AB2603+2*AE2603+2*AH2603+3*AJ2603)&gt;=7,1,0)</f>
        <v>0</v>
      </c>
    </row>
    <row r="2604" spans="1:40" x14ac:dyDescent="0.25">
      <c r="A2604" t="s">
        <v>27</v>
      </c>
      <c r="B2604" s="1">
        <v>44986</v>
      </c>
      <c r="C2604" s="6">
        <f t="shared" si="400"/>
        <v>2023</v>
      </c>
      <c r="D2604">
        <v>66.2</v>
      </c>
      <c r="E2604">
        <v>55.4</v>
      </c>
      <c r="F2604">
        <v>60.5</v>
      </c>
      <c r="G2604" s="2">
        <f t="shared" si="401"/>
        <v>0</v>
      </c>
      <c r="H2604">
        <v>66.2</v>
      </c>
      <c r="I2604">
        <v>55.4</v>
      </c>
      <c r="J2604">
        <v>60.5</v>
      </c>
      <c r="K2604">
        <v>52.5</v>
      </c>
      <c r="L2604">
        <v>76</v>
      </c>
      <c r="M2604" s="2">
        <f t="shared" si="402"/>
        <v>0</v>
      </c>
      <c r="N2604">
        <v>0</v>
      </c>
      <c r="O2604" s="2">
        <f t="shared" si="403"/>
        <v>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17.2</v>
      </c>
      <c r="V2604" s="2">
        <f t="shared" si="404"/>
        <v>1</v>
      </c>
      <c r="W2604">
        <v>9.1999999999999993</v>
      </c>
      <c r="X2604" s="2">
        <f t="shared" si="405"/>
        <v>0</v>
      </c>
      <c r="Y2604">
        <v>263.89999999999998</v>
      </c>
      <c r="Z2604" s="2" t="str">
        <f>CHOOSE(MATCH(Y2604,{0;11;80;111;161;191;241;281;341},1),"North","NorthEast","East","SouthEast","South","SouthWest","West","NorthWest","North")</f>
        <v>West</v>
      </c>
      <c r="AA2604" s="4">
        <f>CHOOSE(MATCH(Z2604,{"South";"SouthEast";"SouthWest";"North";"NorthEast";"East";"West";"NorthWest"},0),1,2,3,4,5,6,7,8)</f>
        <v>7</v>
      </c>
      <c r="AB2604" s="2">
        <f t="shared" si="406"/>
        <v>0</v>
      </c>
      <c r="AC2604">
        <v>1015.3</v>
      </c>
      <c r="AD2604" t="s">
        <v>2359</v>
      </c>
      <c r="AE2604" s="2">
        <f t="shared" si="407"/>
        <v>1</v>
      </c>
      <c r="AF2604" t="s">
        <v>3538</v>
      </c>
      <c r="AG2604" s="2">
        <f t="shared" si="408"/>
        <v>3</v>
      </c>
      <c r="AH2604" s="2">
        <f t="shared" si="409"/>
        <v>0</v>
      </c>
      <c r="AI2604" s="3">
        <v>40.000000004656613</v>
      </c>
      <c r="AJ2604" s="2">
        <v>0</v>
      </c>
      <c r="AK2604">
        <v>0</v>
      </c>
      <c r="AL2604">
        <v>0.02</v>
      </c>
      <c r="AM2604">
        <v>0</v>
      </c>
      <c r="AN2604" s="2">
        <f>IF((2*G2604+M2604-O2604+3*V2604+2*AB2604+2*AE2604+2*AH2604+3*AJ2604)&gt;=7,1,0)</f>
        <v>0</v>
      </c>
    </row>
    <row r="2605" spans="1:40" x14ac:dyDescent="0.25">
      <c r="A2605" t="s">
        <v>27</v>
      </c>
      <c r="B2605" s="1">
        <v>44987</v>
      </c>
      <c r="C2605" s="6">
        <f t="shared" si="400"/>
        <v>2023</v>
      </c>
      <c r="D2605">
        <v>64.400000000000006</v>
      </c>
      <c r="E2605">
        <v>57.2</v>
      </c>
      <c r="F2605">
        <v>59.8</v>
      </c>
      <c r="G2605" s="2">
        <f t="shared" si="401"/>
        <v>0</v>
      </c>
      <c r="H2605">
        <v>64.400000000000006</v>
      </c>
      <c r="I2605">
        <v>57.2</v>
      </c>
      <c r="J2605">
        <v>59.8</v>
      </c>
      <c r="K2605">
        <v>55.1</v>
      </c>
      <c r="L2605">
        <v>84.7</v>
      </c>
      <c r="M2605" s="2">
        <f t="shared" si="402"/>
        <v>0</v>
      </c>
      <c r="N2605">
        <v>0</v>
      </c>
      <c r="O2605" s="2">
        <f t="shared" si="403"/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23</v>
      </c>
      <c r="V2605" s="2">
        <f t="shared" si="404"/>
        <v>1</v>
      </c>
      <c r="W2605">
        <v>13.9</v>
      </c>
      <c r="X2605" s="2">
        <f t="shared" si="405"/>
        <v>0</v>
      </c>
      <c r="Y2605">
        <v>341.8</v>
      </c>
      <c r="Z2605" s="2" t="str">
        <f>CHOOSE(MATCH(Y2605,{0;11;80;111;161;191;241;281;341},1),"North","NorthEast","East","SouthEast","South","SouthWest","West","NorthWest","North")</f>
        <v>North</v>
      </c>
      <c r="AA2605" s="4">
        <f>CHOOSE(MATCH(Z2605,{"South";"SouthEast";"SouthWest";"North";"NorthEast";"East";"West";"NorthWest"},0),1,2,3,4,5,6,7,8)</f>
        <v>4</v>
      </c>
      <c r="AB2605" s="2">
        <f t="shared" si="406"/>
        <v>1</v>
      </c>
      <c r="AC2605">
        <v>1015.1</v>
      </c>
      <c r="AD2605" t="s">
        <v>1075</v>
      </c>
      <c r="AE2605" s="2">
        <f t="shared" si="407"/>
        <v>1</v>
      </c>
      <c r="AF2605" t="s">
        <v>3539</v>
      </c>
      <c r="AG2605" s="2">
        <f t="shared" si="408"/>
        <v>3</v>
      </c>
      <c r="AH2605" s="2">
        <f t="shared" si="409"/>
        <v>0</v>
      </c>
      <c r="AI2605" s="3">
        <v>140.00000000582079</v>
      </c>
      <c r="AJ2605" s="2">
        <v>0</v>
      </c>
      <c r="AK2605">
        <v>0</v>
      </c>
      <c r="AL2605">
        <v>0.5</v>
      </c>
      <c r="AM2605">
        <v>0</v>
      </c>
      <c r="AN2605" s="2">
        <f>IF((2*G2605+M2605-O2605+3*V2605+2*AB2605+2*AE2605+2*AH2605+3*AJ2605)&gt;=7,1,0)</f>
        <v>0</v>
      </c>
    </row>
    <row r="2606" spans="1:40" x14ac:dyDescent="0.25">
      <c r="A2606" t="s">
        <v>27</v>
      </c>
      <c r="B2606" s="1">
        <v>44988</v>
      </c>
      <c r="C2606" s="6">
        <f t="shared" si="400"/>
        <v>2023</v>
      </c>
      <c r="D2606">
        <v>62.6</v>
      </c>
      <c r="E2606">
        <v>49.9</v>
      </c>
      <c r="F2606">
        <v>56.5</v>
      </c>
      <c r="G2606" s="2">
        <f t="shared" si="401"/>
        <v>0</v>
      </c>
      <c r="H2606">
        <v>62.6</v>
      </c>
      <c r="I2606">
        <v>47.7</v>
      </c>
      <c r="J2606">
        <v>56.3</v>
      </c>
      <c r="K2606">
        <v>51.8</v>
      </c>
      <c r="L2606">
        <v>84.9</v>
      </c>
      <c r="M2606" s="2">
        <f t="shared" si="402"/>
        <v>0</v>
      </c>
      <c r="N2606">
        <v>0</v>
      </c>
      <c r="O2606" s="2">
        <f t="shared" si="403"/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19.899999999999999</v>
      </c>
      <c r="V2606" s="2">
        <f t="shared" si="404"/>
        <v>1</v>
      </c>
      <c r="W2606">
        <v>13.9</v>
      </c>
      <c r="X2606" s="2">
        <f t="shared" si="405"/>
        <v>0</v>
      </c>
      <c r="Y2606">
        <v>298.10000000000002</v>
      </c>
      <c r="Z2606" s="2" t="str">
        <f>CHOOSE(MATCH(Y2606,{0;11;80;111;161;191;241;281;341},1),"North","NorthEast","East","SouthEast","South","SouthWest","West","NorthWest","North")</f>
        <v>NorthWest</v>
      </c>
      <c r="AA2606" s="4">
        <f>CHOOSE(MATCH(Z2606,{"South";"SouthEast";"SouthWest";"North";"NorthEast";"East";"West";"NorthWest"},0),1,2,3,4,5,6,7,8)</f>
        <v>8</v>
      </c>
      <c r="AB2606" s="2">
        <f t="shared" si="406"/>
        <v>1</v>
      </c>
      <c r="AC2606">
        <v>1016.7</v>
      </c>
      <c r="AD2606" t="s">
        <v>3540</v>
      </c>
      <c r="AE2606" s="2">
        <f t="shared" si="407"/>
        <v>1</v>
      </c>
      <c r="AF2606" t="s">
        <v>3541</v>
      </c>
      <c r="AG2606" s="2">
        <f t="shared" si="408"/>
        <v>3</v>
      </c>
      <c r="AH2606" s="2">
        <f t="shared" si="409"/>
        <v>0</v>
      </c>
      <c r="AI2606" s="3">
        <v>1534.0000000025609</v>
      </c>
      <c r="AJ2606" s="2">
        <v>1</v>
      </c>
      <c r="AK2606">
        <v>0</v>
      </c>
      <c r="AL2606">
        <v>15</v>
      </c>
      <c r="AM2606">
        <v>0</v>
      </c>
      <c r="AN2606" s="2">
        <f>IF((2*G2606+M2606-O2606+3*V2606+2*AB2606+2*AE2606+2*AH2606+3*AJ2606)&gt;=7,1,0)</f>
        <v>1</v>
      </c>
    </row>
    <row r="2607" spans="1:40" x14ac:dyDescent="0.25">
      <c r="A2607" t="s">
        <v>27</v>
      </c>
      <c r="B2607" s="1">
        <v>44990</v>
      </c>
      <c r="C2607" s="6">
        <f t="shared" si="400"/>
        <v>2023</v>
      </c>
      <c r="D2607">
        <v>62.6</v>
      </c>
      <c r="E2607">
        <v>53.6</v>
      </c>
      <c r="F2607">
        <v>57.4</v>
      </c>
      <c r="G2607" s="2">
        <f t="shared" si="401"/>
        <v>0</v>
      </c>
      <c r="H2607">
        <v>62.6</v>
      </c>
      <c r="I2607">
        <v>53.6</v>
      </c>
      <c r="J2607">
        <v>57.4</v>
      </c>
      <c r="K2607">
        <v>50</v>
      </c>
      <c r="L2607">
        <v>77</v>
      </c>
      <c r="M2607" s="2">
        <f t="shared" si="402"/>
        <v>0</v>
      </c>
      <c r="N2607">
        <v>3.9E-2</v>
      </c>
      <c r="O2607" s="2">
        <f t="shared" si="403"/>
        <v>0</v>
      </c>
      <c r="P2607">
        <v>100</v>
      </c>
      <c r="Q2607">
        <v>4.17</v>
      </c>
      <c r="R2607" t="s">
        <v>182</v>
      </c>
      <c r="S2607">
        <v>0</v>
      </c>
      <c r="T2607">
        <v>0</v>
      </c>
      <c r="U2607">
        <v>28.4</v>
      </c>
      <c r="V2607" s="2">
        <f t="shared" si="404"/>
        <v>1</v>
      </c>
      <c r="W2607">
        <v>23</v>
      </c>
      <c r="X2607" s="2">
        <f t="shared" si="405"/>
        <v>1</v>
      </c>
      <c r="Y2607">
        <v>273.10000000000002</v>
      </c>
      <c r="Z2607" s="2" t="str">
        <f>CHOOSE(MATCH(Y2607,{0;11;80;111;161;191;241;281;341},1),"North","NorthEast","East","SouthEast","South","SouthWest","West","NorthWest","North")</f>
        <v>West</v>
      </c>
      <c r="AA2607" s="4">
        <f>CHOOSE(MATCH(Z2607,{"South";"SouthEast";"SouthWest";"North";"NorthEast";"East";"West";"NorthWest"},0),1,2,3,4,5,6,7,8)</f>
        <v>7</v>
      </c>
      <c r="AB2607" s="2">
        <f t="shared" si="406"/>
        <v>0</v>
      </c>
      <c r="AC2607">
        <v>1011.1</v>
      </c>
      <c r="AD2607" t="s">
        <v>1103</v>
      </c>
      <c r="AE2607" s="2">
        <f t="shared" si="407"/>
        <v>1</v>
      </c>
      <c r="AF2607" t="s">
        <v>3542</v>
      </c>
      <c r="AG2607" s="2">
        <f t="shared" si="408"/>
        <v>3</v>
      </c>
      <c r="AH2607" s="2">
        <f t="shared" si="409"/>
        <v>0</v>
      </c>
      <c r="AI2607" s="3">
        <v>180</v>
      </c>
      <c r="AJ2607" s="2">
        <v>0</v>
      </c>
      <c r="AK2607">
        <v>2</v>
      </c>
      <c r="AL2607">
        <v>0.5</v>
      </c>
      <c r="AM2607">
        <v>0</v>
      </c>
      <c r="AN2607" s="2">
        <f>IF((2*G2607+M2607-O2607+3*V2607+2*AB2607+2*AE2607+2*AH2607+3*AJ2607)&gt;=7,1,0)</f>
        <v>0</v>
      </c>
    </row>
    <row r="2608" spans="1:40" x14ac:dyDescent="0.25">
      <c r="A2608" t="s">
        <v>27</v>
      </c>
      <c r="B2608" s="1">
        <v>44995</v>
      </c>
      <c r="C2608" s="6">
        <f t="shared" si="400"/>
        <v>2023</v>
      </c>
      <c r="D2608">
        <v>66.2</v>
      </c>
      <c r="E2608">
        <v>51.8</v>
      </c>
      <c r="F2608">
        <v>58.9</v>
      </c>
      <c r="G2608" s="2">
        <f t="shared" si="401"/>
        <v>0</v>
      </c>
      <c r="H2608">
        <v>66.2</v>
      </c>
      <c r="I2608">
        <v>51.8</v>
      </c>
      <c r="J2608">
        <v>58.9</v>
      </c>
      <c r="K2608">
        <v>53.3</v>
      </c>
      <c r="L2608">
        <v>82.2</v>
      </c>
      <c r="M2608" s="2">
        <f t="shared" si="402"/>
        <v>0</v>
      </c>
      <c r="N2608">
        <v>0</v>
      </c>
      <c r="O2608" s="2">
        <f t="shared" si="403"/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24.2</v>
      </c>
      <c r="V2608" s="2">
        <f t="shared" si="404"/>
        <v>1</v>
      </c>
      <c r="W2608">
        <v>17.2</v>
      </c>
      <c r="X2608" s="2">
        <f t="shared" si="405"/>
        <v>1</v>
      </c>
      <c r="Y2608">
        <v>148.80000000000001</v>
      </c>
      <c r="Z2608" s="2" t="str">
        <f>CHOOSE(MATCH(Y2608,{0;11;80;111;161;191;241;281;341},1),"North","NorthEast","East","SouthEast","South","SouthWest","West","NorthWest","North")</f>
        <v>SouthEast</v>
      </c>
      <c r="AA2608" s="4">
        <f>CHOOSE(MATCH(Z2608,{"South";"SouthEast";"SouthWest";"North";"NorthEast";"East";"West";"NorthWest"},0),1,2,3,4,5,6,7,8)</f>
        <v>2</v>
      </c>
      <c r="AB2608" s="2">
        <f t="shared" si="406"/>
        <v>0</v>
      </c>
      <c r="AC2608">
        <v>1013.9</v>
      </c>
      <c r="AD2608" t="s">
        <v>1914</v>
      </c>
      <c r="AE2608" s="2">
        <f t="shared" si="407"/>
        <v>1</v>
      </c>
      <c r="AF2608" t="s">
        <v>3543</v>
      </c>
      <c r="AG2608" s="2">
        <f t="shared" si="408"/>
        <v>3</v>
      </c>
      <c r="AH2608" s="2">
        <f t="shared" si="409"/>
        <v>0</v>
      </c>
      <c r="AI2608" s="3">
        <v>135</v>
      </c>
      <c r="AJ2608" s="2">
        <v>0</v>
      </c>
      <c r="AK2608">
        <v>0</v>
      </c>
      <c r="AL2608">
        <v>0.3</v>
      </c>
      <c r="AM2608">
        <v>0</v>
      </c>
      <c r="AN2608" s="2">
        <f>IF((2*G2608+M2608-O2608+3*V2608+2*AB2608+2*AE2608+2*AH2608+3*AJ2608)&gt;=7,1,0)</f>
        <v>0</v>
      </c>
    </row>
    <row r="2609" spans="1:40" x14ac:dyDescent="0.25">
      <c r="A2609" t="s">
        <v>27</v>
      </c>
      <c r="B2609" s="1">
        <v>44996</v>
      </c>
      <c r="C2609" s="6">
        <f t="shared" si="400"/>
        <v>2023</v>
      </c>
      <c r="D2609">
        <v>71.599999999999994</v>
      </c>
      <c r="E2609">
        <v>57.2</v>
      </c>
      <c r="F2609">
        <v>63.7</v>
      </c>
      <c r="G2609" s="2">
        <f t="shared" si="401"/>
        <v>0</v>
      </c>
      <c r="H2609">
        <v>71.599999999999994</v>
      </c>
      <c r="I2609">
        <v>57.2</v>
      </c>
      <c r="J2609">
        <v>63.7</v>
      </c>
      <c r="K2609">
        <v>52.3</v>
      </c>
      <c r="L2609">
        <v>67.599999999999994</v>
      </c>
      <c r="M2609" s="2">
        <f t="shared" si="402"/>
        <v>0</v>
      </c>
      <c r="N2609">
        <v>0</v>
      </c>
      <c r="O2609" s="2">
        <f t="shared" si="403"/>
        <v>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36.9</v>
      </c>
      <c r="V2609" s="2">
        <f t="shared" si="404"/>
        <v>1</v>
      </c>
      <c r="W2609">
        <v>25.3</v>
      </c>
      <c r="X2609" s="2">
        <f t="shared" si="405"/>
        <v>1</v>
      </c>
      <c r="Y2609">
        <v>160.30000000000001</v>
      </c>
      <c r="Z2609" s="2" t="str">
        <f>CHOOSE(MATCH(Y2609,{0;11;80;111;161;191;241;281;341},1),"North","NorthEast","East","SouthEast","South","SouthWest","West","NorthWest","North")</f>
        <v>SouthEast</v>
      </c>
      <c r="AA2609" s="4">
        <f>CHOOSE(MATCH(Z2609,{"South";"SouthEast";"SouthWest";"North";"NorthEast";"East";"West";"NorthWest"},0),1,2,3,4,5,6,7,8)</f>
        <v>2</v>
      </c>
      <c r="AB2609" s="2">
        <f t="shared" si="406"/>
        <v>0</v>
      </c>
      <c r="AC2609">
        <v>1006.9</v>
      </c>
      <c r="AD2609" t="s">
        <v>1978</v>
      </c>
      <c r="AE2609" s="2">
        <f t="shared" si="407"/>
        <v>0</v>
      </c>
      <c r="AF2609" t="s">
        <v>3544</v>
      </c>
      <c r="AG2609" s="2">
        <f t="shared" si="408"/>
        <v>3</v>
      </c>
      <c r="AH2609" s="2">
        <f t="shared" si="409"/>
        <v>0</v>
      </c>
      <c r="AI2609" s="3">
        <v>364.99999999534339</v>
      </c>
      <c r="AJ2609" s="2">
        <v>1</v>
      </c>
      <c r="AK2609">
        <v>0</v>
      </c>
      <c r="AL2609">
        <v>1</v>
      </c>
      <c r="AM2609">
        <v>0</v>
      </c>
      <c r="AN2609" s="2">
        <f>IF((2*G2609+M2609-O2609+3*V2609+2*AB2609+2*AE2609+2*AH2609+3*AJ2609)&gt;=7,1,0)</f>
        <v>0</v>
      </c>
    </row>
    <row r="2610" spans="1:40" x14ac:dyDescent="0.25">
      <c r="A2610" t="s">
        <v>27</v>
      </c>
      <c r="B2610" s="1">
        <v>44996</v>
      </c>
      <c r="C2610" s="6">
        <f t="shared" si="400"/>
        <v>2023</v>
      </c>
      <c r="D2610">
        <v>71.599999999999994</v>
      </c>
      <c r="E2610">
        <v>57.2</v>
      </c>
      <c r="F2610">
        <v>63.7</v>
      </c>
      <c r="G2610" s="2">
        <f t="shared" si="401"/>
        <v>0</v>
      </c>
      <c r="H2610">
        <v>71.599999999999994</v>
      </c>
      <c r="I2610">
        <v>57.2</v>
      </c>
      <c r="J2610">
        <v>63.7</v>
      </c>
      <c r="K2610">
        <v>52.3</v>
      </c>
      <c r="L2610">
        <v>67.599999999999994</v>
      </c>
      <c r="M2610" s="2">
        <f t="shared" si="402"/>
        <v>0</v>
      </c>
      <c r="N2610">
        <v>0</v>
      </c>
      <c r="O2610" s="2">
        <f t="shared" si="403"/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36.9</v>
      </c>
      <c r="V2610" s="2">
        <f t="shared" si="404"/>
        <v>1</v>
      </c>
      <c r="W2610">
        <v>25.3</v>
      </c>
      <c r="X2610" s="2">
        <f t="shared" si="405"/>
        <v>1</v>
      </c>
      <c r="Y2610">
        <v>160.30000000000001</v>
      </c>
      <c r="Z2610" s="2" t="str">
        <f>CHOOSE(MATCH(Y2610,{0;11;80;111;161;191;241;281;341},1),"North","NorthEast","East","SouthEast","South","SouthWest","West","NorthWest","North")</f>
        <v>SouthEast</v>
      </c>
      <c r="AA2610" s="4">
        <f>CHOOSE(MATCH(Z2610,{"South";"SouthEast";"SouthWest";"North";"NorthEast";"East";"West";"NorthWest"},0),1,2,3,4,5,6,7,8)</f>
        <v>2</v>
      </c>
      <c r="AB2610" s="2">
        <f t="shared" si="406"/>
        <v>0</v>
      </c>
      <c r="AC2610">
        <v>1006.9</v>
      </c>
      <c r="AD2610" t="s">
        <v>1966</v>
      </c>
      <c r="AE2610" s="2">
        <f t="shared" si="407"/>
        <v>1</v>
      </c>
      <c r="AF2610" t="s">
        <v>3545</v>
      </c>
      <c r="AG2610" s="2">
        <f t="shared" si="408"/>
        <v>3</v>
      </c>
      <c r="AH2610" s="2">
        <f t="shared" si="409"/>
        <v>0</v>
      </c>
      <c r="AI2610" s="3">
        <v>464.99999999650748</v>
      </c>
      <c r="AJ2610" s="2">
        <v>1</v>
      </c>
      <c r="AK2610">
        <v>0</v>
      </c>
      <c r="AL2610">
        <v>1</v>
      </c>
      <c r="AM2610">
        <v>0</v>
      </c>
      <c r="AN2610" s="2">
        <f>IF((2*G2610+M2610-O2610+3*V2610+2*AB2610+2*AE2610+2*AH2610+3*AJ2610)&gt;=7,1,0)</f>
        <v>1</v>
      </c>
    </row>
    <row r="2611" spans="1:40" x14ac:dyDescent="0.25">
      <c r="A2611" t="s">
        <v>27</v>
      </c>
      <c r="B2611" s="1">
        <v>45005</v>
      </c>
      <c r="C2611" s="6">
        <f t="shared" si="400"/>
        <v>2023</v>
      </c>
      <c r="D2611">
        <v>60.8</v>
      </c>
      <c r="E2611">
        <v>53.6</v>
      </c>
      <c r="F2611">
        <v>57.9</v>
      </c>
      <c r="G2611" s="2">
        <f t="shared" si="401"/>
        <v>0</v>
      </c>
      <c r="H2611">
        <v>60.8</v>
      </c>
      <c r="I2611">
        <v>53.6</v>
      </c>
      <c r="J2611">
        <v>57.9</v>
      </c>
      <c r="K2611">
        <v>50.4</v>
      </c>
      <c r="L2611">
        <v>76.400000000000006</v>
      </c>
      <c r="M2611" s="2">
        <f t="shared" si="402"/>
        <v>0</v>
      </c>
      <c r="N2611">
        <v>0</v>
      </c>
      <c r="O2611" s="2">
        <f t="shared" si="403"/>
        <v>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30.9</v>
      </c>
      <c r="V2611" s="2">
        <f t="shared" si="404"/>
        <v>1</v>
      </c>
      <c r="W2611">
        <v>23</v>
      </c>
      <c r="X2611" s="2">
        <f t="shared" si="405"/>
        <v>1</v>
      </c>
      <c r="Y2611">
        <v>302.8</v>
      </c>
      <c r="Z2611" s="2" t="str">
        <f>CHOOSE(MATCH(Y2611,{0;11;80;111;161;191;241;281;341},1),"North","NorthEast","East","SouthEast","South","SouthWest","West","NorthWest","North")</f>
        <v>NorthWest</v>
      </c>
      <c r="AA2611" s="4">
        <f>CHOOSE(MATCH(Z2611,{"South";"SouthEast";"SouthWest";"North";"NorthEast";"East";"West";"NorthWest"},0),1,2,3,4,5,6,7,8)</f>
        <v>8</v>
      </c>
      <c r="AB2611" s="2">
        <f t="shared" si="406"/>
        <v>1</v>
      </c>
      <c r="AC2611">
        <v>1018.5</v>
      </c>
      <c r="AD2611" t="s">
        <v>2717</v>
      </c>
      <c r="AE2611" s="2">
        <f t="shared" si="407"/>
        <v>1</v>
      </c>
      <c r="AF2611" t="s">
        <v>3546</v>
      </c>
      <c r="AG2611" s="2">
        <f t="shared" si="408"/>
        <v>3</v>
      </c>
      <c r="AH2611" s="2">
        <f t="shared" si="409"/>
        <v>0</v>
      </c>
      <c r="AI2611" s="3">
        <v>82.999999998137355</v>
      </c>
      <c r="AJ2611" s="2">
        <v>0</v>
      </c>
      <c r="AK2611">
        <v>0.1</v>
      </c>
      <c r="AL2611">
        <v>0</v>
      </c>
      <c r="AM2611">
        <v>0</v>
      </c>
      <c r="AN2611" s="2">
        <f>IF((2*G2611+M2611-O2611+3*V2611+2*AB2611+2*AE2611+2*AH2611+3*AJ2611)&gt;=7,1,0)</f>
        <v>0</v>
      </c>
    </row>
    <row r="2612" spans="1:40" x14ac:dyDescent="0.25">
      <c r="A2612" t="s">
        <v>27</v>
      </c>
      <c r="B2612" s="1">
        <v>45010</v>
      </c>
      <c r="C2612" s="6">
        <f t="shared" si="400"/>
        <v>2023</v>
      </c>
      <c r="D2612">
        <v>64.400000000000006</v>
      </c>
      <c r="E2612">
        <v>50</v>
      </c>
      <c r="F2612">
        <v>58.3</v>
      </c>
      <c r="G2612" s="2">
        <f t="shared" si="401"/>
        <v>0</v>
      </c>
      <c r="H2612">
        <v>64.400000000000006</v>
      </c>
      <c r="I2612">
        <v>50</v>
      </c>
      <c r="J2612">
        <v>58.3</v>
      </c>
      <c r="K2612">
        <v>53.3</v>
      </c>
      <c r="L2612">
        <v>84</v>
      </c>
      <c r="M2612" s="2">
        <f t="shared" si="402"/>
        <v>0</v>
      </c>
      <c r="N2612">
        <v>0</v>
      </c>
      <c r="O2612" s="2">
        <f t="shared" si="403"/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21.7</v>
      </c>
      <c r="V2612" s="2">
        <f t="shared" si="404"/>
        <v>1</v>
      </c>
      <c r="W2612">
        <v>12.8</v>
      </c>
      <c r="X2612" s="2">
        <f t="shared" si="405"/>
        <v>0</v>
      </c>
      <c r="Y2612">
        <v>298.60000000000002</v>
      </c>
      <c r="Z2612" s="2" t="str">
        <f>CHOOSE(MATCH(Y2612,{0;11;80;111;161;191;241;281;341},1),"North","NorthEast","East","SouthEast","South","SouthWest","West","NorthWest","North")</f>
        <v>NorthWest</v>
      </c>
      <c r="AA2612" s="4">
        <f>CHOOSE(MATCH(Z2612,{"South";"SouthEast";"SouthWest";"North";"NorthEast";"East";"West";"NorthWest"},0),1,2,3,4,5,6,7,8)</f>
        <v>8</v>
      </c>
      <c r="AB2612" s="2">
        <f t="shared" si="406"/>
        <v>1</v>
      </c>
      <c r="AC2612">
        <v>1013.3</v>
      </c>
      <c r="AD2612" t="s">
        <v>3297</v>
      </c>
      <c r="AE2612" s="2">
        <f t="shared" si="407"/>
        <v>1</v>
      </c>
      <c r="AF2612" t="s">
        <v>3547</v>
      </c>
      <c r="AG2612" s="2">
        <f t="shared" si="408"/>
        <v>3</v>
      </c>
      <c r="AH2612" s="2">
        <f t="shared" si="409"/>
        <v>0</v>
      </c>
      <c r="AI2612" s="3">
        <v>232.9999999946449</v>
      </c>
      <c r="AJ2612" s="2">
        <v>0</v>
      </c>
      <c r="AK2612">
        <v>0</v>
      </c>
      <c r="AL2612">
        <v>0.1</v>
      </c>
      <c r="AM2612">
        <v>0</v>
      </c>
      <c r="AN2612" s="2">
        <f>IF((2*G2612+M2612-O2612+3*V2612+2*AB2612+2*AE2612+2*AH2612+3*AJ2612)&gt;=7,1,0)</f>
        <v>0</v>
      </c>
    </row>
    <row r="2613" spans="1:40" x14ac:dyDescent="0.25">
      <c r="A2613" t="s">
        <v>27</v>
      </c>
      <c r="B2613" s="1">
        <v>45011</v>
      </c>
      <c r="C2613" s="6">
        <f t="shared" si="400"/>
        <v>2023</v>
      </c>
      <c r="D2613">
        <v>68</v>
      </c>
      <c r="E2613">
        <v>53.6</v>
      </c>
      <c r="F2613">
        <v>59.9</v>
      </c>
      <c r="G2613" s="2">
        <f t="shared" si="401"/>
        <v>0</v>
      </c>
      <c r="H2613">
        <v>68</v>
      </c>
      <c r="I2613">
        <v>53.6</v>
      </c>
      <c r="J2613">
        <v>59.9</v>
      </c>
      <c r="K2613">
        <v>53.6</v>
      </c>
      <c r="L2613">
        <v>80</v>
      </c>
      <c r="M2613" s="2">
        <f t="shared" si="402"/>
        <v>0</v>
      </c>
      <c r="N2613">
        <v>0</v>
      </c>
      <c r="O2613" s="2">
        <f t="shared" si="403"/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23.5</v>
      </c>
      <c r="V2613" s="2">
        <f t="shared" si="404"/>
        <v>1</v>
      </c>
      <c r="W2613">
        <v>16.100000000000001</v>
      </c>
      <c r="X2613" s="2">
        <f t="shared" si="405"/>
        <v>1</v>
      </c>
      <c r="Y2613">
        <v>203.8</v>
      </c>
      <c r="Z2613" s="2" t="str">
        <f>CHOOSE(MATCH(Y2613,{0;11;80;111;161;191;241;281;341},1),"North","NorthEast","East","SouthEast","South","SouthWest","West","NorthWest","North")</f>
        <v>SouthWest</v>
      </c>
      <c r="AA2613" s="4">
        <f>CHOOSE(MATCH(Z2613,{"South";"SouthEast";"SouthWest";"North";"NorthEast";"East";"West";"NorthWest"},0),1,2,3,4,5,6,7,8)</f>
        <v>3</v>
      </c>
      <c r="AB2613" s="2">
        <f t="shared" si="406"/>
        <v>0</v>
      </c>
      <c r="AC2613">
        <v>1011</v>
      </c>
      <c r="AD2613" t="s">
        <v>2216</v>
      </c>
      <c r="AE2613" s="2">
        <f t="shared" si="407"/>
        <v>1</v>
      </c>
      <c r="AF2613" t="s">
        <v>3548</v>
      </c>
      <c r="AG2613" s="2">
        <f t="shared" si="408"/>
        <v>3</v>
      </c>
      <c r="AH2613" s="2">
        <f t="shared" si="409"/>
        <v>0</v>
      </c>
      <c r="AI2613" s="3">
        <v>709.0000000060536</v>
      </c>
      <c r="AJ2613" s="2">
        <v>1</v>
      </c>
      <c r="AK2613">
        <v>0</v>
      </c>
      <c r="AL2613">
        <v>0.5</v>
      </c>
      <c r="AM2613">
        <v>0</v>
      </c>
      <c r="AN2613" s="2">
        <f>IF((2*G2613+M2613-O2613+3*V2613+2*AB2613+2*AE2613+2*AH2613+3*AJ2613)&gt;=7,1,0)</f>
        <v>1</v>
      </c>
    </row>
    <row r="2614" spans="1:40" x14ac:dyDescent="0.25">
      <c r="A2614" t="s">
        <v>27</v>
      </c>
      <c r="B2614" s="1">
        <v>45011</v>
      </c>
      <c r="C2614" s="6">
        <f t="shared" si="400"/>
        <v>2023</v>
      </c>
      <c r="D2614">
        <v>68</v>
      </c>
      <c r="E2614">
        <v>53.6</v>
      </c>
      <c r="F2614">
        <v>59.9</v>
      </c>
      <c r="G2614" s="2">
        <f t="shared" si="401"/>
        <v>0</v>
      </c>
      <c r="H2614">
        <v>68</v>
      </c>
      <c r="I2614">
        <v>53.6</v>
      </c>
      <c r="J2614">
        <v>59.9</v>
      </c>
      <c r="K2614">
        <v>53.6</v>
      </c>
      <c r="L2614">
        <v>80</v>
      </c>
      <c r="M2614" s="2">
        <f t="shared" si="402"/>
        <v>0</v>
      </c>
      <c r="N2614">
        <v>0</v>
      </c>
      <c r="O2614" s="2">
        <f t="shared" si="403"/>
        <v>1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23.5</v>
      </c>
      <c r="V2614" s="2">
        <f t="shared" si="404"/>
        <v>1</v>
      </c>
      <c r="W2614">
        <v>16.100000000000001</v>
      </c>
      <c r="X2614" s="2">
        <f t="shared" si="405"/>
        <v>1</v>
      </c>
      <c r="Y2614">
        <v>203.8</v>
      </c>
      <c r="Z2614" s="2" t="str">
        <f>CHOOSE(MATCH(Y2614,{0;11;80;111;161;191;241;281;341},1),"North","NorthEast","East","SouthEast","South","SouthWest","West","NorthWest","North")</f>
        <v>SouthWest</v>
      </c>
      <c r="AA2614" s="4">
        <f>CHOOSE(MATCH(Z2614,{"South";"SouthEast";"SouthWest";"North";"NorthEast";"East";"West";"NorthWest"},0),1,2,3,4,5,6,7,8)</f>
        <v>3</v>
      </c>
      <c r="AB2614" s="2">
        <f t="shared" si="406"/>
        <v>0</v>
      </c>
      <c r="AC2614">
        <v>1011</v>
      </c>
      <c r="AD2614" t="s">
        <v>2188</v>
      </c>
      <c r="AE2614" s="2">
        <f t="shared" si="407"/>
        <v>1</v>
      </c>
      <c r="AF2614" t="s">
        <v>3549</v>
      </c>
      <c r="AG2614" s="2">
        <f t="shared" si="408"/>
        <v>3</v>
      </c>
      <c r="AH2614" s="2">
        <f t="shared" si="409"/>
        <v>0</v>
      </c>
      <c r="AI2614" s="3">
        <v>1663.9999999967399</v>
      </c>
      <c r="AJ2614" s="2">
        <v>1</v>
      </c>
      <c r="AK2614">
        <v>0</v>
      </c>
      <c r="AL2614">
        <v>80</v>
      </c>
      <c r="AM2614">
        <v>0</v>
      </c>
      <c r="AN2614" s="2">
        <f>IF((2*G2614+M2614-O2614+3*V2614+2*AB2614+2*AE2614+2*AH2614+3*AJ2614)&gt;=7,1,0)</f>
        <v>1</v>
      </c>
    </row>
    <row r="2615" spans="1:40" x14ac:dyDescent="0.25">
      <c r="A2615" t="s">
        <v>27</v>
      </c>
      <c r="B2615" s="1">
        <v>45011</v>
      </c>
      <c r="C2615" s="6">
        <f t="shared" si="400"/>
        <v>2023</v>
      </c>
      <c r="D2615">
        <v>68</v>
      </c>
      <c r="E2615">
        <v>53.6</v>
      </c>
      <c r="F2615">
        <v>59.9</v>
      </c>
      <c r="G2615" s="2">
        <f t="shared" si="401"/>
        <v>0</v>
      </c>
      <c r="H2615">
        <v>68</v>
      </c>
      <c r="I2615">
        <v>53.6</v>
      </c>
      <c r="J2615">
        <v>59.9</v>
      </c>
      <c r="K2615">
        <v>53.6</v>
      </c>
      <c r="L2615">
        <v>80</v>
      </c>
      <c r="M2615" s="2">
        <f t="shared" si="402"/>
        <v>0</v>
      </c>
      <c r="N2615">
        <v>0</v>
      </c>
      <c r="O2615" s="2">
        <f t="shared" si="403"/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23.5</v>
      </c>
      <c r="V2615" s="2">
        <f t="shared" si="404"/>
        <v>1</v>
      </c>
      <c r="W2615">
        <v>16.100000000000001</v>
      </c>
      <c r="X2615" s="2">
        <f t="shared" si="405"/>
        <v>1</v>
      </c>
      <c r="Y2615">
        <v>203.8</v>
      </c>
      <c r="Z2615" s="2" t="str">
        <f>CHOOSE(MATCH(Y2615,{0;11;80;111;161;191;241;281;341},1),"North","NorthEast","East","SouthEast","South","SouthWest","West","NorthWest","North")</f>
        <v>SouthWest</v>
      </c>
      <c r="AA2615" s="4">
        <f>CHOOSE(MATCH(Z2615,{"South";"SouthEast";"SouthWest";"North";"NorthEast";"East";"West";"NorthWest"},0),1,2,3,4,5,6,7,8)</f>
        <v>3</v>
      </c>
      <c r="AB2615" s="2">
        <f t="shared" si="406"/>
        <v>0</v>
      </c>
      <c r="AC2615">
        <v>1011</v>
      </c>
      <c r="AD2615" t="s">
        <v>1119</v>
      </c>
      <c r="AE2615" s="2">
        <f t="shared" si="407"/>
        <v>0</v>
      </c>
      <c r="AF2615" t="s">
        <v>3550</v>
      </c>
      <c r="AG2615" s="2">
        <f t="shared" si="408"/>
        <v>3</v>
      </c>
      <c r="AH2615" s="2">
        <f t="shared" si="409"/>
        <v>0</v>
      </c>
      <c r="AI2615" s="3">
        <v>94.999999995343387</v>
      </c>
      <c r="AJ2615" s="2">
        <v>0</v>
      </c>
      <c r="AK2615">
        <v>0</v>
      </c>
      <c r="AL2615">
        <v>0.1</v>
      </c>
      <c r="AM2615">
        <v>0</v>
      </c>
      <c r="AN2615" s="2">
        <f>IF((2*G2615+M2615-O2615+3*V2615+2*AB2615+2*AE2615+2*AH2615+3*AJ2615)&gt;=7,1,0)</f>
        <v>0</v>
      </c>
    </row>
    <row r="2616" spans="1:40" x14ac:dyDescent="0.25">
      <c r="A2616" t="s">
        <v>27</v>
      </c>
      <c r="B2616" s="1">
        <v>45013</v>
      </c>
      <c r="C2616" s="6">
        <f t="shared" si="400"/>
        <v>2023</v>
      </c>
      <c r="D2616">
        <v>66.2</v>
      </c>
      <c r="E2616">
        <v>55.4</v>
      </c>
      <c r="F2616">
        <v>61.6</v>
      </c>
      <c r="G2616" s="2">
        <f t="shared" si="401"/>
        <v>0</v>
      </c>
      <c r="H2616">
        <v>66.2</v>
      </c>
      <c r="I2616">
        <v>55.4</v>
      </c>
      <c r="J2616">
        <v>61.6</v>
      </c>
      <c r="K2616">
        <v>49</v>
      </c>
      <c r="L2616">
        <v>64.3</v>
      </c>
      <c r="M2616" s="2">
        <f t="shared" si="402"/>
        <v>1</v>
      </c>
      <c r="N2616">
        <v>0</v>
      </c>
      <c r="O2616" s="2">
        <f t="shared" si="403"/>
        <v>1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36.9</v>
      </c>
      <c r="V2616" s="2">
        <f t="shared" si="404"/>
        <v>1</v>
      </c>
      <c r="W2616">
        <v>31.1</v>
      </c>
      <c r="X2616" s="2">
        <f t="shared" si="405"/>
        <v>1</v>
      </c>
      <c r="Y2616">
        <v>276.89999999999998</v>
      </c>
      <c r="Z2616" s="2" t="str">
        <f>CHOOSE(MATCH(Y2616,{0;11;80;111;161;191;241;281;341},1),"North","NorthEast","East","SouthEast","South","SouthWest","West","NorthWest","North")</f>
        <v>West</v>
      </c>
      <c r="AA2616" s="4">
        <f>CHOOSE(MATCH(Z2616,{"South";"SouthEast";"SouthWest";"North";"NorthEast";"East";"West";"NorthWest"},0),1,2,3,4,5,6,7,8)</f>
        <v>7</v>
      </c>
      <c r="AB2616" s="2">
        <f t="shared" si="406"/>
        <v>0</v>
      </c>
      <c r="AC2616">
        <v>1011.7</v>
      </c>
      <c r="AD2616" t="s">
        <v>2832</v>
      </c>
      <c r="AE2616" s="2">
        <f t="shared" si="407"/>
        <v>1</v>
      </c>
      <c r="AF2616" t="s">
        <v>3551</v>
      </c>
      <c r="AG2616" s="2">
        <f t="shared" si="408"/>
        <v>3</v>
      </c>
      <c r="AH2616" s="2">
        <f t="shared" si="409"/>
        <v>0</v>
      </c>
      <c r="AI2616" s="3">
        <v>174.00000000139701</v>
      </c>
      <c r="AJ2616" s="2">
        <v>0</v>
      </c>
      <c r="AK2616">
        <v>2</v>
      </c>
      <c r="AL2616">
        <v>0</v>
      </c>
      <c r="AM2616">
        <v>0</v>
      </c>
      <c r="AN2616" s="2">
        <f>IF((2*G2616+M2616-O2616+3*V2616+2*AB2616+2*AE2616+2*AH2616+3*AJ2616)&gt;=7,1,0)</f>
        <v>0</v>
      </c>
    </row>
    <row r="2617" spans="1:40" x14ac:dyDescent="0.25">
      <c r="A2617" t="s">
        <v>27</v>
      </c>
      <c r="B2617" s="1">
        <v>45015</v>
      </c>
      <c r="C2617" s="6">
        <f t="shared" si="400"/>
        <v>2023</v>
      </c>
      <c r="D2617">
        <v>60.8</v>
      </c>
      <c r="E2617">
        <v>42.8</v>
      </c>
      <c r="F2617">
        <v>52.5</v>
      </c>
      <c r="G2617" s="2">
        <f t="shared" si="401"/>
        <v>0</v>
      </c>
      <c r="H2617">
        <v>60.8</v>
      </c>
      <c r="I2617">
        <v>37</v>
      </c>
      <c r="J2617">
        <v>50.9</v>
      </c>
      <c r="K2617">
        <v>38.6</v>
      </c>
      <c r="L2617">
        <v>60.2</v>
      </c>
      <c r="M2617" s="2">
        <f t="shared" si="402"/>
        <v>1</v>
      </c>
      <c r="N2617">
        <v>0</v>
      </c>
      <c r="O2617" s="2">
        <f t="shared" si="403"/>
        <v>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25.5</v>
      </c>
      <c r="V2617" s="2">
        <f t="shared" si="404"/>
        <v>1</v>
      </c>
      <c r="W2617">
        <v>16.100000000000001</v>
      </c>
      <c r="X2617" s="2">
        <f t="shared" si="405"/>
        <v>1</v>
      </c>
      <c r="Y2617">
        <v>270.10000000000002</v>
      </c>
      <c r="Z2617" s="2" t="str">
        <f>CHOOSE(MATCH(Y2617,{0;11;80;111;161;191;241;281;341},1),"North","NorthEast","East","SouthEast","South","SouthWest","West","NorthWest","North")</f>
        <v>West</v>
      </c>
      <c r="AA2617" s="4">
        <f>CHOOSE(MATCH(Z2617,{"South";"SouthEast";"SouthWest";"North";"NorthEast";"East";"West";"NorthWest"},0),1,2,3,4,5,6,7,8)</f>
        <v>7</v>
      </c>
      <c r="AB2617" s="2">
        <f t="shared" si="406"/>
        <v>0</v>
      </c>
      <c r="AC2617">
        <v>1025</v>
      </c>
      <c r="AD2617" t="s">
        <v>2781</v>
      </c>
      <c r="AE2617" s="2">
        <f t="shared" si="407"/>
        <v>1</v>
      </c>
      <c r="AF2617" t="s">
        <v>3552</v>
      </c>
      <c r="AG2617" s="2">
        <f t="shared" si="408"/>
        <v>3</v>
      </c>
      <c r="AH2617" s="2">
        <f t="shared" si="409"/>
        <v>0</v>
      </c>
      <c r="AI2617" s="3">
        <v>296.99999999371357</v>
      </c>
      <c r="AJ2617" s="2">
        <v>0</v>
      </c>
      <c r="AK2617">
        <v>0</v>
      </c>
      <c r="AL2617">
        <v>0.5</v>
      </c>
      <c r="AM2617">
        <v>0</v>
      </c>
      <c r="AN2617" s="2">
        <f>IF((2*G2617+M2617-O2617+3*V2617+2*AB2617+2*AE2617+2*AH2617+3*AJ2617)&gt;=7,1,0)</f>
        <v>0</v>
      </c>
    </row>
    <row r="2618" spans="1:40" x14ac:dyDescent="0.25">
      <c r="A2618" t="s">
        <v>27</v>
      </c>
      <c r="B2618" s="1">
        <v>45015</v>
      </c>
      <c r="C2618" s="6">
        <f t="shared" si="400"/>
        <v>2023</v>
      </c>
      <c r="D2618">
        <v>60.8</v>
      </c>
      <c r="E2618">
        <v>42.8</v>
      </c>
      <c r="F2618">
        <v>52.5</v>
      </c>
      <c r="G2618" s="2">
        <f t="shared" si="401"/>
        <v>0</v>
      </c>
      <c r="H2618">
        <v>60.8</v>
      </c>
      <c r="I2618">
        <v>37</v>
      </c>
      <c r="J2618">
        <v>50.9</v>
      </c>
      <c r="K2618">
        <v>38.6</v>
      </c>
      <c r="L2618">
        <v>60.2</v>
      </c>
      <c r="M2618" s="2">
        <f t="shared" si="402"/>
        <v>1</v>
      </c>
      <c r="N2618">
        <v>0</v>
      </c>
      <c r="O2618" s="2">
        <f t="shared" si="403"/>
        <v>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25.5</v>
      </c>
      <c r="V2618" s="2">
        <f t="shared" si="404"/>
        <v>1</v>
      </c>
      <c r="W2618">
        <v>16.100000000000001</v>
      </c>
      <c r="X2618" s="2">
        <f t="shared" si="405"/>
        <v>1</v>
      </c>
      <c r="Y2618">
        <v>270.10000000000002</v>
      </c>
      <c r="Z2618" s="2" t="str">
        <f>CHOOSE(MATCH(Y2618,{0;11;80;111;161;191;241;281;341},1),"North","NorthEast","East","SouthEast","South","SouthWest","West","NorthWest","North")</f>
        <v>West</v>
      </c>
      <c r="AA2618" s="4">
        <f>CHOOSE(MATCH(Z2618,{"South";"SouthEast";"SouthWest";"North";"NorthEast";"East";"West";"NorthWest"},0),1,2,3,4,5,6,7,8)</f>
        <v>7</v>
      </c>
      <c r="AB2618" s="2">
        <f t="shared" si="406"/>
        <v>0</v>
      </c>
      <c r="AC2618">
        <v>1025</v>
      </c>
      <c r="AD2618" t="s">
        <v>3553</v>
      </c>
      <c r="AE2618" s="2">
        <f t="shared" si="407"/>
        <v>1</v>
      </c>
      <c r="AF2618" t="s">
        <v>3554</v>
      </c>
      <c r="AG2618" s="2">
        <f t="shared" si="408"/>
        <v>3</v>
      </c>
      <c r="AH2618" s="2">
        <f t="shared" si="409"/>
        <v>0</v>
      </c>
      <c r="AI2618" s="3">
        <v>0</v>
      </c>
      <c r="AJ2618" s="2">
        <v>0</v>
      </c>
      <c r="AK2618">
        <v>0</v>
      </c>
      <c r="AL2618">
        <v>0.1</v>
      </c>
      <c r="AM2618">
        <v>0</v>
      </c>
      <c r="AN2618" s="2">
        <f>IF((2*G2618+M2618-O2618+3*V2618+2*AB2618+2*AE2618+2*AH2618+3*AJ2618)&gt;=7,1,0)</f>
        <v>0</v>
      </c>
    </row>
    <row r="2619" spans="1:40" x14ac:dyDescent="0.25">
      <c r="A2619" t="s">
        <v>27</v>
      </c>
      <c r="B2619" s="1">
        <v>45015</v>
      </c>
      <c r="C2619" s="6">
        <f t="shared" si="400"/>
        <v>2023</v>
      </c>
      <c r="D2619">
        <v>60.8</v>
      </c>
      <c r="E2619">
        <v>42.8</v>
      </c>
      <c r="F2619">
        <v>52.5</v>
      </c>
      <c r="G2619" s="2">
        <f t="shared" si="401"/>
        <v>0</v>
      </c>
      <c r="H2619">
        <v>60.8</v>
      </c>
      <c r="I2619">
        <v>37</v>
      </c>
      <c r="J2619">
        <v>50.9</v>
      </c>
      <c r="K2619">
        <v>38.6</v>
      </c>
      <c r="L2619">
        <v>60.2</v>
      </c>
      <c r="M2619" s="2">
        <f t="shared" si="402"/>
        <v>1</v>
      </c>
      <c r="N2619">
        <v>0</v>
      </c>
      <c r="O2619" s="2">
        <f t="shared" si="403"/>
        <v>1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25.5</v>
      </c>
      <c r="V2619" s="2">
        <f t="shared" si="404"/>
        <v>1</v>
      </c>
      <c r="W2619">
        <v>16.100000000000001</v>
      </c>
      <c r="X2619" s="2">
        <f t="shared" si="405"/>
        <v>1</v>
      </c>
      <c r="Y2619">
        <v>270.10000000000002</v>
      </c>
      <c r="Z2619" s="2" t="str">
        <f>CHOOSE(MATCH(Y2619,{0;11;80;111;161;191;241;281;341},1),"North","NorthEast","East","SouthEast","South","SouthWest","West","NorthWest","North")</f>
        <v>West</v>
      </c>
      <c r="AA2619" s="4">
        <f>CHOOSE(MATCH(Z2619,{"South";"SouthEast";"SouthWest";"North";"NorthEast";"East";"West";"NorthWest"},0),1,2,3,4,5,6,7,8)</f>
        <v>7</v>
      </c>
      <c r="AB2619" s="2">
        <f t="shared" si="406"/>
        <v>0</v>
      </c>
      <c r="AC2619">
        <v>1025</v>
      </c>
      <c r="AD2619" t="s">
        <v>1113</v>
      </c>
      <c r="AE2619" s="2">
        <f t="shared" si="407"/>
        <v>1</v>
      </c>
      <c r="AF2619" t="s">
        <v>3555</v>
      </c>
      <c r="AG2619" s="2">
        <f t="shared" si="408"/>
        <v>3</v>
      </c>
      <c r="AH2619" s="2">
        <f t="shared" si="409"/>
        <v>0</v>
      </c>
      <c r="AI2619" s="3">
        <v>1519.9999999988361</v>
      </c>
      <c r="AJ2619" s="2">
        <v>1</v>
      </c>
      <c r="AK2619">
        <v>0</v>
      </c>
      <c r="AL2619">
        <v>20</v>
      </c>
      <c r="AM2619">
        <v>0</v>
      </c>
      <c r="AN2619" s="2">
        <f>IF((2*G2619+M2619-O2619+3*V2619+2*AB2619+2*AE2619+2*AH2619+3*AJ2619)&gt;=7,1,0)</f>
        <v>1</v>
      </c>
    </row>
    <row r="2620" spans="1:40" x14ac:dyDescent="0.25">
      <c r="A2620" t="s">
        <v>27</v>
      </c>
      <c r="B2620" s="1">
        <v>45017</v>
      </c>
      <c r="C2620" s="6">
        <f t="shared" si="400"/>
        <v>2023</v>
      </c>
      <c r="D2620">
        <v>75.2</v>
      </c>
      <c r="E2620">
        <v>53.6</v>
      </c>
      <c r="F2620">
        <v>62.9</v>
      </c>
      <c r="G2620" s="2">
        <f t="shared" si="401"/>
        <v>0</v>
      </c>
      <c r="H2620">
        <v>75.2</v>
      </c>
      <c r="I2620">
        <v>53.6</v>
      </c>
      <c r="J2620">
        <v>62.9</v>
      </c>
      <c r="K2620">
        <v>53.3</v>
      </c>
      <c r="L2620">
        <v>72</v>
      </c>
      <c r="M2620" s="2">
        <f t="shared" si="402"/>
        <v>0</v>
      </c>
      <c r="N2620">
        <v>0</v>
      </c>
      <c r="O2620" s="2">
        <f t="shared" si="403"/>
        <v>1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34.4</v>
      </c>
      <c r="V2620" s="2">
        <f t="shared" si="404"/>
        <v>1</v>
      </c>
      <c r="W2620">
        <v>17.2</v>
      </c>
      <c r="X2620" s="2">
        <f t="shared" si="405"/>
        <v>1</v>
      </c>
      <c r="Y2620">
        <v>167.5</v>
      </c>
      <c r="Z2620" s="2" t="str">
        <f>CHOOSE(MATCH(Y2620,{0;11;80;111;161;191;241;281;341},1),"North","NorthEast","East","SouthEast","South","SouthWest","West","NorthWest","North")</f>
        <v>South</v>
      </c>
      <c r="AA2620" s="4">
        <f>CHOOSE(MATCH(Z2620,{"South";"SouthEast";"SouthWest";"North";"NorthEast";"East";"West";"NorthWest"},0),1,2,3,4,5,6,7,8)</f>
        <v>1</v>
      </c>
      <c r="AB2620" s="2">
        <f t="shared" si="406"/>
        <v>0</v>
      </c>
      <c r="AC2620">
        <v>1014.6</v>
      </c>
      <c r="AD2620" t="s">
        <v>3556</v>
      </c>
      <c r="AE2620" s="2">
        <f t="shared" si="407"/>
        <v>1</v>
      </c>
      <c r="AF2620" t="s">
        <v>3557</v>
      </c>
      <c r="AG2620" s="2">
        <f t="shared" si="408"/>
        <v>4</v>
      </c>
      <c r="AH2620" s="2">
        <f t="shared" si="409"/>
        <v>0</v>
      </c>
      <c r="AI2620" s="3">
        <v>216.9999999948777</v>
      </c>
      <c r="AJ2620" s="2">
        <v>0</v>
      </c>
      <c r="AK2620">
        <v>0</v>
      </c>
      <c r="AL2620">
        <v>0.5</v>
      </c>
      <c r="AM2620">
        <v>0</v>
      </c>
      <c r="AN2620" s="2">
        <f>IF((2*G2620+M2620-O2620+3*V2620+2*AB2620+2*AE2620+2*AH2620+3*AJ2620)&gt;=7,1,0)</f>
        <v>0</v>
      </c>
    </row>
    <row r="2621" spans="1:40" x14ac:dyDescent="0.25">
      <c r="A2621" t="s">
        <v>27</v>
      </c>
      <c r="B2621" s="1">
        <v>45018</v>
      </c>
      <c r="C2621" s="6">
        <f t="shared" si="400"/>
        <v>2023</v>
      </c>
      <c r="D2621">
        <v>78.8</v>
      </c>
      <c r="E2621">
        <v>55.4</v>
      </c>
      <c r="F2621">
        <v>68.2</v>
      </c>
      <c r="G2621" s="2">
        <f t="shared" si="401"/>
        <v>0</v>
      </c>
      <c r="H2621">
        <v>78.8</v>
      </c>
      <c r="I2621">
        <v>55.4</v>
      </c>
      <c r="J2621">
        <v>68.2</v>
      </c>
      <c r="K2621">
        <v>48.4</v>
      </c>
      <c r="L2621">
        <v>50.4</v>
      </c>
      <c r="M2621" s="2">
        <f t="shared" si="402"/>
        <v>1</v>
      </c>
      <c r="N2621">
        <v>0</v>
      </c>
      <c r="O2621" s="2">
        <f t="shared" si="403"/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34.4</v>
      </c>
      <c r="V2621" s="2">
        <f t="shared" si="404"/>
        <v>1</v>
      </c>
      <c r="W2621">
        <v>23</v>
      </c>
      <c r="X2621" s="2">
        <f t="shared" si="405"/>
        <v>1</v>
      </c>
      <c r="Y2621">
        <v>171.5</v>
      </c>
      <c r="Z2621" s="2" t="str">
        <f>CHOOSE(MATCH(Y2621,{0;11;80;111;161;191;241;281;341},1),"North","NorthEast","East","SouthEast","South","SouthWest","West","NorthWest","North")</f>
        <v>South</v>
      </c>
      <c r="AA2621" s="4">
        <f>CHOOSE(MATCH(Z2621,{"South";"SouthEast";"SouthWest";"North";"NorthEast";"East";"West";"NorthWest"},0),1,2,3,4,5,6,7,8)</f>
        <v>1</v>
      </c>
      <c r="AB2621" s="2">
        <f t="shared" si="406"/>
        <v>0</v>
      </c>
      <c r="AC2621">
        <v>1010.7</v>
      </c>
      <c r="AD2621" t="s">
        <v>2654</v>
      </c>
      <c r="AE2621" s="2">
        <f t="shared" si="407"/>
        <v>1</v>
      </c>
      <c r="AF2621" t="s">
        <v>3558</v>
      </c>
      <c r="AG2621" s="2">
        <f t="shared" si="408"/>
        <v>4</v>
      </c>
      <c r="AH2621" s="2">
        <f t="shared" si="409"/>
        <v>0</v>
      </c>
      <c r="AI2621" s="3">
        <v>1598.00000000163</v>
      </c>
      <c r="AJ2621" s="2">
        <v>1</v>
      </c>
      <c r="AK2621">
        <v>0.1</v>
      </c>
      <c r="AL2621">
        <v>0</v>
      </c>
      <c r="AM2621">
        <v>0</v>
      </c>
      <c r="AN2621" s="2">
        <f>IF((2*G2621+M2621-O2621+3*V2621+2*AB2621+2*AE2621+2*AH2621+3*AJ2621)&gt;=7,1,0)</f>
        <v>1</v>
      </c>
    </row>
    <row r="2622" spans="1:40" x14ac:dyDescent="0.25">
      <c r="A2622" t="s">
        <v>27</v>
      </c>
      <c r="B2622" s="1">
        <v>45019</v>
      </c>
      <c r="C2622" s="6">
        <f t="shared" si="400"/>
        <v>2023</v>
      </c>
      <c r="D2622">
        <v>75.2</v>
      </c>
      <c r="E2622">
        <v>59</v>
      </c>
      <c r="F2622">
        <v>69.5</v>
      </c>
      <c r="G2622" s="2">
        <f t="shared" si="401"/>
        <v>0</v>
      </c>
      <c r="H2622">
        <v>75.2</v>
      </c>
      <c r="I2622">
        <v>59</v>
      </c>
      <c r="J2622">
        <v>69.5</v>
      </c>
      <c r="K2622">
        <v>51.6</v>
      </c>
      <c r="L2622">
        <v>54.6</v>
      </c>
      <c r="M2622" s="2">
        <f t="shared" si="402"/>
        <v>1</v>
      </c>
      <c r="N2622">
        <v>0</v>
      </c>
      <c r="O2622" s="2">
        <f t="shared" si="403"/>
        <v>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47.2</v>
      </c>
      <c r="V2622" s="2">
        <f t="shared" si="404"/>
        <v>1</v>
      </c>
      <c r="W2622">
        <v>34.4</v>
      </c>
      <c r="X2622" s="2">
        <f t="shared" si="405"/>
        <v>1</v>
      </c>
      <c r="Y2622">
        <v>168.2</v>
      </c>
      <c r="Z2622" s="2" t="str">
        <f>CHOOSE(MATCH(Y2622,{0;11;80;111;161;191;241;281;341},1),"North","NorthEast","East","SouthEast","South","SouthWest","West","NorthWest","North")</f>
        <v>South</v>
      </c>
      <c r="AA2622" s="4">
        <f>CHOOSE(MATCH(Z2622,{"South";"SouthEast";"SouthWest";"North";"NorthEast";"East";"West";"NorthWest"},0),1,2,3,4,5,6,7,8)</f>
        <v>1</v>
      </c>
      <c r="AB2622" s="2">
        <f t="shared" si="406"/>
        <v>0</v>
      </c>
      <c r="AC2622">
        <v>1004.6</v>
      </c>
      <c r="AD2622" t="s">
        <v>2141</v>
      </c>
      <c r="AE2622" s="2">
        <f t="shared" si="407"/>
        <v>1</v>
      </c>
      <c r="AF2622" t="s">
        <v>3559</v>
      </c>
      <c r="AG2622" s="2">
        <f t="shared" si="408"/>
        <v>4</v>
      </c>
      <c r="AH2622" s="2">
        <f t="shared" si="409"/>
        <v>0</v>
      </c>
      <c r="AI2622" s="3">
        <v>2110.0000000046571</v>
      </c>
      <c r="AJ2622" s="2">
        <v>1</v>
      </c>
      <c r="AK2622">
        <v>10</v>
      </c>
      <c r="AL2622">
        <v>0</v>
      </c>
      <c r="AM2622">
        <v>0</v>
      </c>
      <c r="AN2622" s="2">
        <f>IF((2*G2622+M2622-O2622+3*V2622+2*AB2622+2*AE2622+2*AH2622+3*AJ2622)&gt;=7,1,0)</f>
        <v>1</v>
      </c>
    </row>
    <row r="2623" spans="1:40" x14ac:dyDescent="0.25">
      <c r="A2623" t="s">
        <v>27</v>
      </c>
      <c r="B2623" s="1">
        <v>45022</v>
      </c>
      <c r="C2623" s="6">
        <f t="shared" si="400"/>
        <v>2023</v>
      </c>
      <c r="D2623">
        <v>66.2</v>
      </c>
      <c r="E2623">
        <v>53.6</v>
      </c>
      <c r="F2623">
        <v>57.4</v>
      </c>
      <c r="G2623" s="2">
        <f t="shared" si="401"/>
        <v>0</v>
      </c>
      <c r="H2623">
        <v>66.2</v>
      </c>
      <c r="I2623">
        <v>53.6</v>
      </c>
      <c r="J2623">
        <v>57.4</v>
      </c>
      <c r="K2623">
        <v>52.2</v>
      </c>
      <c r="L2623">
        <v>83.3</v>
      </c>
      <c r="M2623" s="2">
        <f t="shared" si="402"/>
        <v>0</v>
      </c>
      <c r="N2623">
        <v>0</v>
      </c>
      <c r="O2623" s="2">
        <f t="shared" si="403"/>
        <v>1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28.9</v>
      </c>
      <c r="V2623" s="2">
        <f t="shared" si="404"/>
        <v>1</v>
      </c>
      <c r="W2623">
        <v>18.3</v>
      </c>
      <c r="X2623" s="2">
        <f t="shared" si="405"/>
        <v>1</v>
      </c>
      <c r="Y2623">
        <v>174.5</v>
      </c>
      <c r="Z2623" s="2" t="str">
        <f>CHOOSE(MATCH(Y2623,{0;11;80;111;161;191;241;281;341},1),"North","NorthEast","East","SouthEast","South","SouthWest","West","NorthWest","North")</f>
        <v>South</v>
      </c>
      <c r="AA2623" s="4">
        <f>CHOOSE(MATCH(Z2623,{"South";"SouthEast";"SouthWest";"North";"NorthEast";"East";"West";"NorthWest"},0),1,2,3,4,5,6,7,8)</f>
        <v>1</v>
      </c>
      <c r="AB2623" s="2">
        <f t="shared" si="406"/>
        <v>0</v>
      </c>
      <c r="AC2623">
        <v>1013.3</v>
      </c>
      <c r="AD2623" t="s">
        <v>3560</v>
      </c>
      <c r="AE2623" s="2">
        <f t="shared" si="407"/>
        <v>0</v>
      </c>
      <c r="AF2623" t="s">
        <v>3561</v>
      </c>
      <c r="AG2623" s="2">
        <f t="shared" si="408"/>
        <v>4</v>
      </c>
      <c r="AH2623" s="2">
        <f t="shared" si="409"/>
        <v>0</v>
      </c>
      <c r="AI2623" s="3">
        <v>172.99999999813741</v>
      </c>
      <c r="AJ2623" s="2">
        <v>0</v>
      </c>
      <c r="AK2623">
        <v>3</v>
      </c>
      <c r="AL2623">
        <v>0</v>
      </c>
      <c r="AM2623">
        <v>0</v>
      </c>
      <c r="AN2623" s="2">
        <f>IF((2*G2623+M2623-O2623+3*V2623+2*AB2623+2*AE2623+2*AH2623+3*AJ2623)&gt;=7,1,0)</f>
        <v>0</v>
      </c>
    </row>
    <row r="2624" spans="1:40" x14ac:dyDescent="0.25">
      <c r="A2624" t="s">
        <v>27</v>
      </c>
      <c r="B2624" s="1">
        <v>45025</v>
      </c>
      <c r="C2624" s="6">
        <f t="shared" si="400"/>
        <v>2023</v>
      </c>
      <c r="D2624">
        <v>66.2</v>
      </c>
      <c r="E2624">
        <v>57.2</v>
      </c>
      <c r="F2624">
        <v>60.2</v>
      </c>
      <c r="G2624" s="2">
        <f t="shared" si="401"/>
        <v>0</v>
      </c>
      <c r="H2624">
        <v>66.2</v>
      </c>
      <c r="I2624">
        <v>57.2</v>
      </c>
      <c r="J2624">
        <v>60.2</v>
      </c>
      <c r="K2624">
        <v>53.1</v>
      </c>
      <c r="L2624">
        <v>77.7</v>
      </c>
      <c r="M2624" s="2">
        <f t="shared" si="402"/>
        <v>0</v>
      </c>
      <c r="N2624">
        <v>0</v>
      </c>
      <c r="O2624" s="2">
        <f t="shared" si="403"/>
        <v>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19.5</v>
      </c>
      <c r="V2624" s="2">
        <f t="shared" si="404"/>
        <v>1</v>
      </c>
      <c r="W2624">
        <v>8.1</v>
      </c>
      <c r="X2624" s="2">
        <f t="shared" si="405"/>
        <v>0</v>
      </c>
      <c r="Y2624">
        <v>358.5</v>
      </c>
      <c r="Z2624" s="2" t="str">
        <f>CHOOSE(MATCH(Y2624,{0;11;80;111;161;191;241;281;341},1),"North","NorthEast","East","SouthEast","South","SouthWest","West","NorthWest","North")</f>
        <v>North</v>
      </c>
      <c r="AA2624" s="4">
        <f>CHOOSE(MATCH(Z2624,{"South";"SouthEast";"SouthWest";"North";"NorthEast";"East";"West";"NorthWest"},0),1,2,3,4,5,6,7,8)</f>
        <v>4</v>
      </c>
      <c r="AB2624" s="2">
        <f t="shared" si="406"/>
        <v>1</v>
      </c>
      <c r="AC2624">
        <v>1015.2</v>
      </c>
      <c r="AD2624" t="s">
        <v>1868</v>
      </c>
      <c r="AE2624" s="2">
        <f t="shared" si="407"/>
        <v>1</v>
      </c>
      <c r="AF2624" t="s">
        <v>3562</v>
      </c>
      <c r="AG2624" s="2">
        <f t="shared" si="408"/>
        <v>4</v>
      </c>
      <c r="AH2624" s="2">
        <f t="shared" si="409"/>
        <v>0</v>
      </c>
      <c r="AI2624" s="3">
        <v>135</v>
      </c>
      <c r="AJ2624" s="2">
        <v>0</v>
      </c>
      <c r="AK2624">
        <v>0.3</v>
      </c>
      <c r="AL2624">
        <v>0</v>
      </c>
      <c r="AM2624">
        <v>0</v>
      </c>
      <c r="AN2624" s="2">
        <f>IF((2*G2624+M2624-O2624+3*V2624+2*AB2624+2*AE2624+2*AH2624+3*AJ2624)&gt;=7,1,0)</f>
        <v>0</v>
      </c>
    </row>
    <row r="2625" spans="1:40" x14ac:dyDescent="0.25">
      <c r="A2625" t="s">
        <v>27</v>
      </c>
      <c r="B2625" s="1">
        <v>45034</v>
      </c>
      <c r="C2625" s="6">
        <f t="shared" si="400"/>
        <v>2023</v>
      </c>
      <c r="D2625">
        <v>68</v>
      </c>
      <c r="E2625">
        <v>55.4</v>
      </c>
      <c r="F2625">
        <v>61.2</v>
      </c>
      <c r="G2625" s="2">
        <f t="shared" si="401"/>
        <v>0</v>
      </c>
      <c r="H2625">
        <v>68</v>
      </c>
      <c r="I2625">
        <v>55.4</v>
      </c>
      <c r="J2625">
        <v>61.2</v>
      </c>
      <c r="K2625">
        <v>53.2</v>
      </c>
      <c r="L2625">
        <v>75.8</v>
      </c>
      <c r="M2625" s="2">
        <f t="shared" si="402"/>
        <v>0</v>
      </c>
      <c r="N2625">
        <v>0</v>
      </c>
      <c r="O2625" s="2">
        <f t="shared" si="403"/>
        <v>1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20.8</v>
      </c>
      <c r="V2625" s="2">
        <f t="shared" si="404"/>
        <v>1</v>
      </c>
      <c r="W2625">
        <v>11.4</v>
      </c>
      <c r="X2625" s="2">
        <f t="shared" si="405"/>
        <v>0</v>
      </c>
      <c r="Y2625">
        <v>303.7</v>
      </c>
      <c r="Z2625" s="2" t="str">
        <f>CHOOSE(MATCH(Y2625,{0;11;80;111;161;191;241;281;341},1),"North","NorthEast","East","SouthEast","South","SouthWest","West","NorthWest","North")</f>
        <v>NorthWest</v>
      </c>
      <c r="AA2625" s="4">
        <f>CHOOSE(MATCH(Z2625,{"South";"SouthEast";"SouthWest";"North";"NorthEast";"East";"West";"NorthWest"},0),1,2,3,4,5,6,7,8)</f>
        <v>8</v>
      </c>
      <c r="AB2625" s="2">
        <f t="shared" si="406"/>
        <v>1</v>
      </c>
      <c r="AC2625">
        <v>1011.7</v>
      </c>
      <c r="AD2625" t="s">
        <v>3401</v>
      </c>
      <c r="AE2625" s="2">
        <f t="shared" si="407"/>
        <v>1</v>
      </c>
      <c r="AF2625" t="s">
        <v>3563</v>
      </c>
      <c r="AG2625" s="2">
        <f t="shared" si="408"/>
        <v>4</v>
      </c>
      <c r="AH2625" s="2">
        <f t="shared" si="409"/>
        <v>0</v>
      </c>
      <c r="AI2625" s="3">
        <v>116.00000000093129</v>
      </c>
      <c r="AJ2625" s="2">
        <v>0</v>
      </c>
      <c r="AK2625">
        <v>0</v>
      </c>
      <c r="AL2625">
        <v>0.02</v>
      </c>
      <c r="AM2625">
        <v>0</v>
      </c>
      <c r="AN2625" s="2">
        <f>IF((2*G2625+M2625-O2625+3*V2625+2*AB2625+2*AE2625+2*AH2625+3*AJ2625)&gt;=7,1,0)</f>
        <v>0</v>
      </c>
    </row>
    <row r="2626" spans="1:40" x14ac:dyDescent="0.25">
      <c r="A2626" t="s">
        <v>27</v>
      </c>
      <c r="B2626" s="1">
        <v>45034</v>
      </c>
      <c r="C2626" s="6">
        <f t="shared" si="400"/>
        <v>2023</v>
      </c>
      <c r="D2626">
        <v>68</v>
      </c>
      <c r="E2626">
        <v>55.4</v>
      </c>
      <c r="F2626">
        <v>61.2</v>
      </c>
      <c r="G2626" s="2">
        <f t="shared" si="401"/>
        <v>0</v>
      </c>
      <c r="H2626">
        <v>68</v>
      </c>
      <c r="I2626">
        <v>55.4</v>
      </c>
      <c r="J2626">
        <v>61.2</v>
      </c>
      <c r="K2626">
        <v>53.2</v>
      </c>
      <c r="L2626">
        <v>75.8</v>
      </c>
      <c r="M2626" s="2">
        <f t="shared" si="402"/>
        <v>0</v>
      </c>
      <c r="N2626">
        <v>0</v>
      </c>
      <c r="O2626" s="2">
        <f t="shared" si="403"/>
        <v>1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20.8</v>
      </c>
      <c r="V2626" s="2">
        <f t="shared" si="404"/>
        <v>1</v>
      </c>
      <c r="W2626">
        <v>11.4</v>
      </c>
      <c r="X2626" s="2">
        <f t="shared" si="405"/>
        <v>0</v>
      </c>
      <c r="Y2626">
        <v>303.7</v>
      </c>
      <c r="Z2626" s="2" t="str">
        <f>CHOOSE(MATCH(Y2626,{0;11;80;111;161;191;241;281;341},1),"North","NorthEast","East","SouthEast","South","SouthWest","West","NorthWest","North")</f>
        <v>NorthWest</v>
      </c>
      <c r="AA2626" s="4">
        <f>CHOOSE(MATCH(Z2626,{"South";"SouthEast";"SouthWest";"North";"NorthEast";"East";"West";"NorthWest"},0),1,2,3,4,5,6,7,8)</f>
        <v>8</v>
      </c>
      <c r="AB2626" s="2">
        <f t="shared" si="406"/>
        <v>1</v>
      </c>
      <c r="AC2626">
        <v>1011.7</v>
      </c>
      <c r="AD2626" t="s">
        <v>1861</v>
      </c>
      <c r="AE2626" s="2">
        <f t="shared" si="407"/>
        <v>0</v>
      </c>
      <c r="AF2626" t="s">
        <v>3564</v>
      </c>
      <c r="AG2626" s="2">
        <f t="shared" si="408"/>
        <v>4</v>
      </c>
      <c r="AH2626" s="2">
        <f t="shared" si="409"/>
        <v>0</v>
      </c>
      <c r="AI2626" s="3">
        <v>180</v>
      </c>
      <c r="AJ2626" s="2">
        <v>0</v>
      </c>
      <c r="AK2626">
        <v>0</v>
      </c>
      <c r="AL2626">
        <v>4</v>
      </c>
      <c r="AM2626">
        <v>0</v>
      </c>
      <c r="AN2626" s="2">
        <f>IF((2*G2626+M2626-O2626+3*V2626+2*AB2626+2*AE2626+2*AH2626+3*AJ2626)&gt;=7,1,0)</f>
        <v>0</v>
      </c>
    </row>
    <row r="2627" spans="1:40" x14ac:dyDescent="0.25">
      <c r="A2627" t="s">
        <v>27</v>
      </c>
      <c r="B2627" s="1">
        <v>45034</v>
      </c>
      <c r="C2627" s="6">
        <f t="shared" ref="C2627:C2690" si="410">YEAR(B2627)</f>
        <v>2023</v>
      </c>
      <c r="D2627">
        <v>68</v>
      </c>
      <c r="E2627">
        <v>55.4</v>
      </c>
      <c r="F2627">
        <v>61.2</v>
      </c>
      <c r="G2627" s="2">
        <f t="shared" ref="G2627:G2690" si="411">IF(F2627&lt;=70,0,1)</f>
        <v>0</v>
      </c>
      <c r="H2627">
        <v>68</v>
      </c>
      <c r="I2627">
        <v>55.4</v>
      </c>
      <c r="J2627">
        <v>61.2</v>
      </c>
      <c r="K2627">
        <v>53.2</v>
      </c>
      <c r="L2627">
        <v>75.8</v>
      </c>
      <c r="M2627" s="2">
        <f t="shared" ref="M2627:M2690" si="412">IF(L2627&lt;=66,1,0)</f>
        <v>0</v>
      </c>
      <c r="N2627">
        <v>0</v>
      </c>
      <c r="O2627" s="2">
        <f t="shared" ref="O2627:O2690" si="413">IF(N2627&lt;=0.01,1,0)</f>
        <v>1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20.8</v>
      </c>
      <c r="V2627" s="2">
        <f t="shared" ref="V2627:V2690" si="414">IF(U2627&lt;=9,0,1)</f>
        <v>1</v>
      </c>
      <c r="W2627">
        <v>11.4</v>
      </c>
      <c r="X2627" s="2">
        <f t="shared" ref="X2627:X2690" si="415">IF(W2627&gt;=16,1,0)</f>
        <v>0</v>
      </c>
      <c r="Y2627">
        <v>303.7</v>
      </c>
      <c r="Z2627" s="2" t="str">
        <f>CHOOSE(MATCH(Y2627,{0;11;80;111;161;191;241;281;341},1),"North","NorthEast","East","SouthEast","South","SouthWest","West","NorthWest","North")</f>
        <v>NorthWest</v>
      </c>
      <c r="AA2627" s="4">
        <f>CHOOSE(MATCH(Z2627,{"South";"SouthEast";"SouthWest";"North";"NorthEast";"East";"West";"NorthWest"},0),1,2,3,4,5,6,7,8)</f>
        <v>8</v>
      </c>
      <c r="AB2627" s="2">
        <f t="shared" ref="AB2627:AB2690" si="416">IF(OR(AA2627=4,AA2627=5,AA2627=8),1,0)</f>
        <v>1</v>
      </c>
      <c r="AC2627">
        <v>1011.7</v>
      </c>
      <c r="AD2627" t="s">
        <v>2150</v>
      </c>
      <c r="AE2627" s="2">
        <f t="shared" ref="AE2627:AE2690" si="417">IF(TIMEVALUE(AD2627)&lt;=TIME(12,30,0),0,1)</f>
        <v>0</v>
      </c>
      <c r="AF2627" t="s">
        <v>3565</v>
      </c>
      <c r="AG2627" s="2">
        <f t="shared" ref="AG2627:AG2690" si="418">MONTH(AF2627)</f>
        <v>4</v>
      </c>
      <c r="AH2627" s="2">
        <f t="shared" ref="AH2627:AH2690" si="419">IF(OR(AG2627=6,AG2627=7,AG2627=8),1,0)</f>
        <v>0</v>
      </c>
      <c r="AI2627" s="3">
        <v>101.999999997206</v>
      </c>
      <c r="AJ2627" s="2">
        <v>0</v>
      </c>
      <c r="AK2627">
        <v>0</v>
      </c>
      <c r="AL2627">
        <v>0.05</v>
      </c>
      <c r="AM2627">
        <v>0</v>
      </c>
      <c r="AN2627" s="2">
        <f>IF((2*G2627+M2627-O2627+3*V2627+2*AB2627+2*AE2627+2*AH2627+3*AJ2627)&gt;=7,1,0)</f>
        <v>0</v>
      </c>
    </row>
    <row r="2628" spans="1:40" x14ac:dyDescent="0.25">
      <c r="A2628" t="s">
        <v>27</v>
      </c>
      <c r="B2628" s="1">
        <v>45042</v>
      </c>
      <c r="C2628" s="6">
        <f t="shared" si="410"/>
        <v>2023</v>
      </c>
      <c r="D2628">
        <v>73.400000000000006</v>
      </c>
      <c r="E2628">
        <v>59</v>
      </c>
      <c r="F2628">
        <v>64.900000000000006</v>
      </c>
      <c r="G2628" s="2">
        <f t="shared" si="411"/>
        <v>0</v>
      </c>
      <c r="H2628">
        <v>73.400000000000006</v>
      </c>
      <c r="I2628">
        <v>59</v>
      </c>
      <c r="J2628">
        <v>64.900000000000006</v>
      </c>
      <c r="K2628">
        <v>53.8</v>
      </c>
      <c r="L2628">
        <v>68.599999999999994</v>
      </c>
      <c r="M2628" s="2">
        <f t="shared" si="412"/>
        <v>0</v>
      </c>
      <c r="N2628">
        <v>0</v>
      </c>
      <c r="O2628" s="2">
        <f t="shared" si="413"/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25.9</v>
      </c>
      <c r="V2628" s="2">
        <f t="shared" si="414"/>
        <v>1</v>
      </c>
      <c r="W2628">
        <v>13.9</v>
      </c>
      <c r="X2628" s="2">
        <f t="shared" si="415"/>
        <v>0</v>
      </c>
      <c r="Y2628">
        <v>161.80000000000001</v>
      </c>
      <c r="Z2628" s="2" t="str">
        <f>CHOOSE(MATCH(Y2628,{0;11;80;111;161;191;241;281;341},1),"North","NorthEast","East","SouthEast","South","SouthWest","West","NorthWest","North")</f>
        <v>South</v>
      </c>
      <c r="AA2628" s="4">
        <f>CHOOSE(MATCH(Z2628,{"South";"SouthEast";"SouthWest";"North";"NorthEast";"East";"West";"NorthWest"},0),1,2,3,4,5,6,7,8)</f>
        <v>1</v>
      </c>
      <c r="AB2628" s="2">
        <f t="shared" si="416"/>
        <v>0</v>
      </c>
      <c r="AC2628">
        <v>1009.7</v>
      </c>
      <c r="AD2628" t="s">
        <v>1123</v>
      </c>
      <c r="AE2628" s="2">
        <f t="shared" si="417"/>
        <v>1</v>
      </c>
      <c r="AF2628" t="s">
        <v>3566</v>
      </c>
      <c r="AG2628" s="2">
        <f t="shared" si="418"/>
        <v>4</v>
      </c>
      <c r="AH2628" s="2">
        <f t="shared" si="419"/>
        <v>0</v>
      </c>
      <c r="AI2628" s="3">
        <v>92.999999999301508</v>
      </c>
      <c r="AJ2628" s="2">
        <v>0</v>
      </c>
      <c r="AK2628">
        <v>0</v>
      </c>
      <c r="AL2628">
        <v>0.04</v>
      </c>
      <c r="AM2628">
        <v>0</v>
      </c>
      <c r="AN2628" s="2">
        <f>IF((2*G2628+M2628-O2628+3*V2628+2*AB2628+2*AE2628+2*AH2628+3*AJ2628)&gt;=7,1,0)</f>
        <v>0</v>
      </c>
    </row>
    <row r="2629" spans="1:40" x14ac:dyDescent="0.25">
      <c r="A2629" t="s">
        <v>27</v>
      </c>
      <c r="B2629" s="1">
        <v>45043</v>
      </c>
      <c r="C2629" s="6">
        <f t="shared" si="410"/>
        <v>2023</v>
      </c>
      <c r="D2629">
        <v>66.2</v>
      </c>
      <c r="E2629">
        <v>59</v>
      </c>
      <c r="F2629">
        <v>62.2</v>
      </c>
      <c r="G2629" s="2">
        <f t="shared" si="411"/>
        <v>0</v>
      </c>
      <c r="H2629">
        <v>66.2</v>
      </c>
      <c r="I2629">
        <v>59</v>
      </c>
      <c r="J2629">
        <v>62.2</v>
      </c>
      <c r="K2629">
        <v>49.9</v>
      </c>
      <c r="L2629">
        <v>64.7</v>
      </c>
      <c r="M2629" s="2">
        <f t="shared" si="412"/>
        <v>1</v>
      </c>
      <c r="N2629">
        <v>0.129</v>
      </c>
      <c r="O2629" s="2">
        <f t="shared" si="413"/>
        <v>0</v>
      </c>
      <c r="P2629">
        <v>100</v>
      </c>
      <c r="Q2629">
        <v>4.17</v>
      </c>
      <c r="R2629" t="s">
        <v>182</v>
      </c>
      <c r="S2629">
        <v>0</v>
      </c>
      <c r="T2629">
        <v>0</v>
      </c>
      <c r="U2629">
        <v>29.1</v>
      </c>
      <c r="V2629" s="2">
        <f t="shared" si="414"/>
        <v>1</v>
      </c>
      <c r="W2629">
        <v>21.9</v>
      </c>
      <c r="X2629" s="2">
        <f t="shared" si="415"/>
        <v>1</v>
      </c>
      <c r="Y2629">
        <v>305.60000000000002</v>
      </c>
      <c r="Z2629" s="2" t="str">
        <f>CHOOSE(MATCH(Y2629,{0;11;80;111;161;191;241;281;341},1),"North","NorthEast","East","SouthEast","South","SouthWest","West","NorthWest","North")</f>
        <v>NorthWest</v>
      </c>
      <c r="AA2629" s="4">
        <f>CHOOSE(MATCH(Z2629,{"South";"SouthEast";"SouthWest";"North";"NorthEast";"East";"West";"NorthWest"},0),1,2,3,4,5,6,7,8)</f>
        <v>8</v>
      </c>
      <c r="AB2629" s="2">
        <f t="shared" si="416"/>
        <v>1</v>
      </c>
      <c r="AC2629">
        <v>1011.6</v>
      </c>
      <c r="AD2629" t="s">
        <v>2043</v>
      </c>
      <c r="AE2629" s="2">
        <f t="shared" si="417"/>
        <v>1</v>
      </c>
      <c r="AF2629" t="s">
        <v>3567</v>
      </c>
      <c r="AG2629" s="2">
        <f t="shared" si="418"/>
        <v>4</v>
      </c>
      <c r="AH2629" s="2">
        <f t="shared" si="419"/>
        <v>0</v>
      </c>
      <c r="AI2629" s="3">
        <v>130.99999999743889</v>
      </c>
      <c r="AJ2629" s="2">
        <v>0</v>
      </c>
      <c r="AK2629">
        <v>0</v>
      </c>
      <c r="AL2629">
        <v>1</v>
      </c>
      <c r="AM2629">
        <v>0</v>
      </c>
      <c r="AN2629" s="2">
        <f>IF((2*G2629+M2629-O2629+3*V2629+2*AB2629+2*AE2629+2*AH2629+3*AJ2629)&gt;=7,1,0)</f>
        <v>1</v>
      </c>
    </row>
    <row r="2630" spans="1:40" x14ac:dyDescent="0.25">
      <c r="A2630" t="s">
        <v>27</v>
      </c>
      <c r="B2630" s="1">
        <v>45078</v>
      </c>
      <c r="C2630" s="6">
        <f t="shared" si="410"/>
        <v>2023</v>
      </c>
      <c r="D2630">
        <v>73.400000000000006</v>
      </c>
      <c r="E2630">
        <v>64.400000000000006</v>
      </c>
      <c r="F2630">
        <v>69.599999999999994</v>
      </c>
      <c r="G2630" s="2">
        <f t="shared" si="411"/>
        <v>0</v>
      </c>
      <c r="H2630">
        <v>73.400000000000006</v>
      </c>
      <c r="I2630">
        <v>64.400000000000006</v>
      </c>
      <c r="J2630">
        <v>69.599999999999994</v>
      </c>
      <c r="K2630">
        <v>66.3</v>
      </c>
      <c r="L2630">
        <v>89.2</v>
      </c>
      <c r="M2630" s="2">
        <f t="shared" si="412"/>
        <v>0</v>
      </c>
      <c r="N2630">
        <v>1E-3</v>
      </c>
      <c r="O2630" s="2">
        <f t="shared" si="413"/>
        <v>1</v>
      </c>
      <c r="P2630">
        <v>100</v>
      </c>
      <c r="Q2630">
        <v>4.17</v>
      </c>
      <c r="R2630" t="s">
        <v>182</v>
      </c>
      <c r="S2630">
        <v>0</v>
      </c>
      <c r="T2630">
        <v>0</v>
      </c>
      <c r="U2630">
        <v>26.4</v>
      </c>
      <c r="V2630" s="2">
        <f t="shared" si="414"/>
        <v>1</v>
      </c>
      <c r="W2630">
        <v>15</v>
      </c>
      <c r="X2630" s="2">
        <f t="shared" si="415"/>
        <v>0</v>
      </c>
      <c r="Y2630">
        <v>25.3</v>
      </c>
      <c r="Z2630" s="2" t="str">
        <f>CHOOSE(MATCH(Y2630,{0;11;80;111;161;191;241;281;341},1),"North","NorthEast","East","SouthEast","South","SouthWest","West","NorthWest","North")</f>
        <v>NorthEast</v>
      </c>
      <c r="AA2630" s="4">
        <f>CHOOSE(MATCH(Z2630,{"South";"SouthEast";"SouthWest";"North";"NorthEast";"East";"West";"NorthWest"},0),1,2,3,4,5,6,7,8)</f>
        <v>5</v>
      </c>
      <c r="AB2630" s="2">
        <f t="shared" si="416"/>
        <v>1</v>
      </c>
      <c r="AC2630">
        <v>1011.9</v>
      </c>
      <c r="AD2630" t="s">
        <v>1976</v>
      </c>
      <c r="AE2630" s="2">
        <f t="shared" si="417"/>
        <v>0</v>
      </c>
      <c r="AF2630" t="s">
        <v>3568</v>
      </c>
      <c r="AG2630" s="2">
        <f t="shared" si="418"/>
        <v>6</v>
      </c>
      <c r="AH2630" s="2">
        <f t="shared" si="419"/>
        <v>1</v>
      </c>
      <c r="AI2630" s="3">
        <v>387.9999999969732</v>
      </c>
      <c r="AJ2630" s="2">
        <v>1</v>
      </c>
      <c r="AK2630">
        <v>0</v>
      </c>
      <c r="AL2630">
        <v>3</v>
      </c>
      <c r="AM2630">
        <v>0</v>
      </c>
      <c r="AN2630" s="2">
        <f>IF((2*G2630+M2630-O2630+3*V2630+2*AB2630+2*AE2630+2*AH2630+3*AJ2630)&gt;=7,1,0)</f>
        <v>1</v>
      </c>
    </row>
    <row r="2631" spans="1:40" x14ac:dyDescent="0.25">
      <c r="A2631" t="s">
        <v>27</v>
      </c>
      <c r="B2631" s="1">
        <v>45092</v>
      </c>
      <c r="C2631" s="6">
        <f t="shared" si="410"/>
        <v>2023</v>
      </c>
      <c r="D2631">
        <v>78.8</v>
      </c>
      <c r="E2631">
        <v>64.400000000000006</v>
      </c>
      <c r="F2631">
        <v>72.400000000000006</v>
      </c>
      <c r="G2631" s="2">
        <f t="shared" si="411"/>
        <v>1</v>
      </c>
      <c r="H2631">
        <v>78.8</v>
      </c>
      <c r="I2631">
        <v>64.400000000000006</v>
      </c>
      <c r="J2631">
        <v>72.400000000000006</v>
      </c>
      <c r="K2631">
        <v>62.4</v>
      </c>
      <c r="L2631">
        <v>71.5</v>
      </c>
      <c r="M2631" s="2">
        <f t="shared" si="412"/>
        <v>0</v>
      </c>
      <c r="N2631">
        <v>0</v>
      </c>
      <c r="O2631" s="2">
        <f t="shared" si="413"/>
        <v>1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13.9</v>
      </c>
      <c r="V2631" s="2">
        <f t="shared" si="414"/>
        <v>1</v>
      </c>
      <c r="W2631">
        <v>11.4</v>
      </c>
      <c r="X2631" s="2">
        <f t="shared" si="415"/>
        <v>0</v>
      </c>
      <c r="Y2631">
        <v>96.4</v>
      </c>
      <c r="Z2631" s="2" t="str">
        <f>CHOOSE(MATCH(Y2631,{0;11;80;111;161;191;241;281;341},1),"North","NorthEast","East","SouthEast","South","SouthWest","West","NorthWest","North")</f>
        <v>East</v>
      </c>
      <c r="AA2631" s="4">
        <f>CHOOSE(MATCH(Z2631,{"South";"SouthEast";"SouthWest";"North";"NorthEast";"East";"West";"NorthWest"},0),1,2,3,4,5,6,7,8)</f>
        <v>6</v>
      </c>
      <c r="AB2631" s="2">
        <f t="shared" si="416"/>
        <v>0</v>
      </c>
      <c r="AC2631">
        <v>1011.4</v>
      </c>
      <c r="AD2631" t="s">
        <v>1184</v>
      </c>
      <c r="AE2631" s="2">
        <f t="shared" si="417"/>
        <v>1</v>
      </c>
      <c r="AF2631" t="s">
        <v>3569</v>
      </c>
      <c r="AG2631" s="2">
        <f t="shared" si="418"/>
        <v>6</v>
      </c>
      <c r="AH2631" s="2">
        <f t="shared" si="419"/>
        <v>1</v>
      </c>
      <c r="AI2631" s="3">
        <v>145.00000000116421</v>
      </c>
      <c r="AJ2631" s="2">
        <v>0</v>
      </c>
      <c r="AK2631">
        <v>0</v>
      </c>
      <c r="AL2631">
        <v>0.1</v>
      </c>
      <c r="AM2631">
        <v>0</v>
      </c>
      <c r="AN2631" s="2">
        <f>IF((2*G2631+M2631-O2631+3*V2631+2*AB2631+2*AE2631+2*AH2631+3*AJ2631)&gt;=7,1,0)</f>
        <v>1</v>
      </c>
    </row>
    <row r="2632" spans="1:40" x14ac:dyDescent="0.25">
      <c r="A2632" t="s">
        <v>27</v>
      </c>
      <c r="B2632" s="1">
        <v>45108</v>
      </c>
      <c r="C2632" s="6">
        <f t="shared" si="410"/>
        <v>2023</v>
      </c>
      <c r="D2632">
        <v>82.4</v>
      </c>
      <c r="E2632">
        <v>69.8</v>
      </c>
      <c r="F2632">
        <v>76.2</v>
      </c>
      <c r="G2632" s="2">
        <f t="shared" si="411"/>
        <v>1</v>
      </c>
      <c r="H2632">
        <v>88.3</v>
      </c>
      <c r="I2632">
        <v>69.8</v>
      </c>
      <c r="J2632">
        <v>77.8</v>
      </c>
      <c r="K2632">
        <v>69.8</v>
      </c>
      <c r="L2632">
        <v>80.900000000000006</v>
      </c>
      <c r="M2632" s="2">
        <f t="shared" si="412"/>
        <v>0</v>
      </c>
      <c r="N2632">
        <v>0</v>
      </c>
      <c r="O2632" s="2">
        <f t="shared" si="413"/>
        <v>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22.8</v>
      </c>
      <c r="V2632" s="2">
        <f t="shared" si="414"/>
        <v>1</v>
      </c>
      <c r="W2632">
        <v>9.1999999999999993</v>
      </c>
      <c r="X2632" s="2">
        <f t="shared" si="415"/>
        <v>0</v>
      </c>
      <c r="Y2632">
        <v>335.5</v>
      </c>
      <c r="Z2632" s="2" t="str">
        <f>CHOOSE(MATCH(Y2632,{0;11;80;111;161;191;241;281;341},1),"North","NorthEast","East","SouthEast","South","SouthWest","West","NorthWest","North")</f>
        <v>NorthWest</v>
      </c>
      <c r="AA2632" s="4">
        <f>CHOOSE(MATCH(Z2632,{"South";"SouthEast";"SouthWest";"North";"NorthEast";"East";"West";"NorthWest"},0),1,2,3,4,5,6,7,8)</f>
        <v>8</v>
      </c>
      <c r="AB2632" s="2">
        <f t="shared" si="416"/>
        <v>1</v>
      </c>
      <c r="AC2632">
        <v>1011.4</v>
      </c>
      <c r="AD2632" t="s">
        <v>3570</v>
      </c>
      <c r="AE2632" s="2">
        <f t="shared" si="417"/>
        <v>1</v>
      </c>
      <c r="AF2632" t="s">
        <v>3571</v>
      </c>
      <c r="AG2632" s="2">
        <f t="shared" si="418"/>
        <v>7</v>
      </c>
      <c r="AH2632" s="2">
        <f t="shared" si="419"/>
        <v>1</v>
      </c>
      <c r="AI2632" s="3">
        <v>746.00000000093132</v>
      </c>
      <c r="AJ2632" s="2">
        <v>1</v>
      </c>
      <c r="AK2632">
        <v>0</v>
      </c>
      <c r="AL2632">
        <v>1</v>
      </c>
      <c r="AM2632">
        <v>0</v>
      </c>
      <c r="AN2632" s="2">
        <f>IF((2*G2632+M2632-O2632+3*V2632+2*AB2632+2*AE2632+2*AH2632+3*AJ2632)&gt;=7,1,0)</f>
        <v>1</v>
      </c>
    </row>
    <row r="2633" spans="1:40" x14ac:dyDescent="0.25">
      <c r="A2633" t="s">
        <v>27</v>
      </c>
      <c r="B2633" s="1">
        <v>45111</v>
      </c>
      <c r="C2633" s="6">
        <f t="shared" si="410"/>
        <v>2023</v>
      </c>
      <c r="D2633">
        <v>84.2</v>
      </c>
      <c r="E2633">
        <v>75.2</v>
      </c>
      <c r="F2633">
        <v>79.2</v>
      </c>
      <c r="G2633" s="2">
        <f t="shared" si="411"/>
        <v>1</v>
      </c>
      <c r="H2633">
        <v>89.6</v>
      </c>
      <c r="I2633">
        <v>75.2</v>
      </c>
      <c r="J2633">
        <v>81.5</v>
      </c>
      <c r="K2633">
        <v>71.3</v>
      </c>
      <c r="L2633">
        <v>77.3</v>
      </c>
      <c r="M2633" s="2">
        <f t="shared" si="412"/>
        <v>0</v>
      </c>
      <c r="N2633">
        <v>0</v>
      </c>
      <c r="O2633" s="2">
        <f t="shared" si="413"/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24.2</v>
      </c>
      <c r="V2633" s="2">
        <f t="shared" si="414"/>
        <v>1</v>
      </c>
      <c r="W2633">
        <v>15</v>
      </c>
      <c r="X2633" s="2">
        <f t="shared" si="415"/>
        <v>0</v>
      </c>
      <c r="Y2633">
        <v>315.2</v>
      </c>
      <c r="Z2633" s="2" t="str">
        <f>CHOOSE(MATCH(Y2633,{0;11;80;111;161;191;241;281;341},1),"North","NorthEast","East","SouthEast","South","SouthWest","West","NorthWest","North")</f>
        <v>NorthWest</v>
      </c>
      <c r="AA2633" s="4">
        <f>CHOOSE(MATCH(Z2633,{"South";"SouthEast";"SouthWest";"North";"NorthEast";"East";"West";"NorthWest"},0),1,2,3,4,5,6,7,8)</f>
        <v>8</v>
      </c>
      <c r="AB2633" s="2">
        <f t="shared" si="416"/>
        <v>1</v>
      </c>
      <c r="AC2633">
        <v>1011.8</v>
      </c>
      <c r="AD2633" t="s">
        <v>3161</v>
      </c>
      <c r="AE2633" s="2">
        <f t="shared" si="417"/>
        <v>1</v>
      </c>
      <c r="AF2633" t="s">
        <v>3572</v>
      </c>
      <c r="AG2633" s="2">
        <f t="shared" si="418"/>
        <v>7</v>
      </c>
      <c r="AH2633" s="2">
        <f t="shared" si="419"/>
        <v>1</v>
      </c>
      <c r="AI2633" s="3">
        <v>3306.0000000055879</v>
      </c>
      <c r="AJ2633" s="2">
        <v>1</v>
      </c>
      <c r="AK2633">
        <v>0</v>
      </c>
      <c r="AL2633">
        <v>6.5</v>
      </c>
      <c r="AM2633">
        <v>0</v>
      </c>
      <c r="AN2633" s="2">
        <f>IF((2*G2633+M2633-O2633+3*V2633+2*AB2633+2*AE2633+2*AH2633+3*AJ2633)&gt;=7,1,0)</f>
        <v>1</v>
      </c>
    </row>
    <row r="2634" spans="1:40" x14ac:dyDescent="0.25">
      <c r="A2634" t="s">
        <v>27</v>
      </c>
      <c r="B2634" s="1">
        <v>45117</v>
      </c>
      <c r="C2634" s="6">
        <f t="shared" si="410"/>
        <v>2023</v>
      </c>
      <c r="D2634">
        <v>84.2</v>
      </c>
      <c r="E2634">
        <v>69.7</v>
      </c>
      <c r="F2634">
        <v>78.900000000000006</v>
      </c>
      <c r="G2634" s="2">
        <f t="shared" si="411"/>
        <v>1</v>
      </c>
      <c r="H2634">
        <v>85.7</v>
      </c>
      <c r="I2634">
        <v>69.7</v>
      </c>
      <c r="J2634">
        <v>79.8</v>
      </c>
      <c r="K2634">
        <v>66.3</v>
      </c>
      <c r="L2634">
        <v>66</v>
      </c>
      <c r="M2634" s="2">
        <f t="shared" si="412"/>
        <v>1</v>
      </c>
      <c r="N2634">
        <v>0</v>
      </c>
      <c r="O2634" s="2">
        <f t="shared" si="413"/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40</v>
      </c>
      <c r="V2634" s="2">
        <f t="shared" si="414"/>
        <v>1</v>
      </c>
      <c r="W2634">
        <v>19.7</v>
      </c>
      <c r="X2634" s="2">
        <f t="shared" si="415"/>
        <v>1</v>
      </c>
      <c r="Y2634">
        <v>307.5</v>
      </c>
      <c r="Z2634" s="2" t="str">
        <f>CHOOSE(MATCH(Y2634,{0;11;80;111;161;191;241;281;341},1),"North","NorthEast","East","SouthEast","South","SouthWest","West","NorthWest","North")</f>
        <v>NorthWest</v>
      </c>
      <c r="AA2634" s="4">
        <f>CHOOSE(MATCH(Z2634,{"South";"SouthEast";"SouthWest";"North";"NorthEast";"East";"West";"NorthWest"},0),1,2,3,4,5,6,7,8)</f>
        <v>8</v>
      </c>
      <c r="AB2634" s="2">
        <f t="shared" si="416"/>
        <v>1</v>
      </c>
      <c r="AC2634">
        <v>1016.3</v>
      </c>
      <c r="AD2634" t="s">
        <v>1866</v>
      </c>
      <c r="AE2634" s="2">
        <f t="shared" si="417"/>
        <v>1</v>
      </c>
      <c r="AF2634" t="s">
        <v>3573</v>
      </c>
      <c r="AG2634" s="2">
        <f t="shared" si="418"/>
        <v>7</v>
      </c>
      <c r="AH2634" s="2">
        <f t="shared" si="419"/>
        <v>1</v>
      </c>
      <c r="AI2634" s="3">
        <v>1084.9999999953429</v>
      </c>
      <c r="AJ2634" s="2">
        <v>1</v>
      </c>
      <c r="AK2634">
        <v>1</v>
      </c>
      <c r="AL2634">
        <v>0</v>
      </c>
      <c r="AM2634">
        <v>0</v>
      </c>
      <c r="AN2634" s="2">
        <f>IF((2*G2634+M2634-O2634+3*V2634+2*AB2634+2*AE2634+2*AH2634+3*AJ2634)&gt;=7,1,0)</f>
        <v>1</v>
      </c>
    </row>
    <row r="2635" spans="1:40" x14ac:dyDescent="0.25">
      <c r="A2635" t="s">
        <v>27</v>
      </c>
      <c r="B2635" s="1">
        <v>45117</v>
      </c>
      <c r="C2635" s="6">
        <f t="shared" si="410"/>
        <v>2023</v>
      </c>
      <c r="D2635">
        <v>84.2</v>
      </c>
      <c r="E2635">
        <v>69.7</v>
      </c>
      <c r="F2635">
        <v>78.900000000000006</v>
      </c>
      <c r="G2635" s="2">
        <f t="shared" si="411"/>
        <v>1</v>
      </c>
      <c r="H2635">
        <v>85.7</v>
      </c>
      <c r="I2635">
        <v>69.7</v>
      </c>
      <c r="J2635">
        <v>79.8</v>
      </c>
      <c r="K2635">
        <v>66.3</v>
      </c>
      <c r="L2635">
        <v>66</v>
      </c>
      <c r="M2635" s="2">
        <f t="shared" si="412"/>
        <v>1</v>
      </c>
      <c r="N2635">
        <v>0</v>
      </c>
      <c r="O2635" s="2">
        <f t="shared" si="413"/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40</v>
      </c>
      <c r="V2635" s="2">
        <f t="shared" si="414"/>
        <v>1</v>
      </c>
      <c r="W2635">
        <v>19.7</v>
      </c>
      <c r="X2635" s="2">
        <f t="shared" si="415"/>
        <v>1</v>
      </c>
      <c r="Y2635">
        <v>307.5</v>
      </c>
      <c r="Z2635" s="2" t="str">
        <f>CHOOSE(MATCH(Y2635,{0;11;80;111;161;191;241;281;341},1),"North","NorthEast","East","SouthEast","South","SouthWest","West","NorthWest","North")</f>
        <v>NorthWest</v>
      </c>
      <c r="AA2635" s="4">
        <f>CHOOSE(MATCH(Z2635,{"South";"SouthEast";"SouthWest";"North";"NorthEast";"East";"West";"NorthWest"},0),1,2,3,4,5,6,7,8)</f>
        <v>8</v>
      </c>
      <c r="AB2635" s="2">
        <f t="shared" si="416"/>
        <v>1</v>
      </c>
      <c r="AC2635">
        <v>1016.3</v>
      </c>
      <c r="AD2635" t="s">
        <v>1075</v>
      </c>
      <c r="AE2635" s="2">
        <f t="shared" si="417"/>
        <v>1</v>
      </c>
      <c r="AF2635" t="s">
        <v>3574</v>
      </c>
      <c r="AG2635" s="2">
        <f t="shared" si="418"/>
        <v>7</v>
      </c>
      <c r="AH2635" s="2">
        <f t="shared" si="419"/>
        <v>1</v>
      </c>
      <c r="AI2635" s="3">
        <v>1602.000000004191</v>
      </c>
      <c r="AJ2635" s="2">
        <v>1</v>
      </c>
      <c r="AK2635">
        <v>0</v>
      </c>
      <c r="AL2635">
        <v>1</v>
      </c>
      <c r="AM2635">
        <v>0</v>
      </c>
      <c r="AN2635" s="2">
        <f>IF((2*G2635+M2635-O2635+3*V2635+2*AB2635+2*AE2635+2*AH2635+3*AJ2635)&gt;=7,1,0)</f>
        <v>1</v>
      </c>
    </row>
    <row r="2636" spans="1:40" x14ac:dyDescent="0.25">
      <c r="A2636" t="s">
        <v>27</v>
      </c>
      <c r="B2636" s="1">
        <v>45121</v>
      </c>
      <c r="C2636" s="6">
        <f t="shared" si="410"/>
        <v>2023</v>
      </c>
      <c r="D2636">
        <v>91.4</v>
      </c>
      <c r="E2636">
        <v>73.400000000000006</v>
      </c>
      <c r="F2636">
        <v>82.9</v>
      </c>
      <c r="G2636" s="2">
        <f t="shared" si="411"/>
        <v>1</v>
      </c>
      <c r="H2636">
        <v>100.6</v>
      </c>
      <c r="I2636">
        <v>73.400000000000006</v>
      </c>
      <c r="J2636">
        <v>86.6</v>
      </c>
      <c r="K2636">
        <v>67.599999999999994</v>
      </c>
      <c r="L2636">
        <v>60.7</v>
      </c>
      <c r="M2636" s="2">
        <f t="shared" si="412"/>
        <v>1</v>
      </c>
      <c r="N2636">
        <v>0</v>
      </c>
      <c r="O2636" s="2">
        <f t="shared" si="413"/>
        <v>1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28.6</v>
      </c>
      <c r="V2636" s="2">
        <f t="shared" si="414"/>
        <v>1</v>
      </c>
      <c r="W2636">
        <v>13.9</v>
      </c>
      <c r="X2636" s="2">
        <f t="shared" si="415"/>
        <v>0</v>
      </c>
      <c r="Y2636">
        <v>281.8</v>
      </c>
      <c r="Z2636" s="2" t="str">
        <f>CHOOSE(MATCH(Y2636,{0;11;80;111;161;191;241;281;341},1),"North","NorthEast","East","SouthEast","South","SouthWest","West","NorthWest","North")</f>
        <v>NorthWest</v>
      </c>
      <c r="AA2636" s="4">
        <f>CHOOSE(MATCH(Z2636,{"South";"SouthEast";"SouthWest";"North";"NorthEast";"East";"West";"NorthWest"},0),1,2,3,4,5,6,7,8)</f>
        <v>8</v>
      </c>
      <c r="AB2636" s="2">
        <f t="shared" si="416"/>
        <v>1</v>
      </c>
      <c r="AC2636">
        <v>1012.2</v>
      </c>
      <c r="AD2636" t="s">
        <v>2013</v>
      </c>
      <c r="AE2636" s="2">
        <f t="shared" si="417"/>
        <v>1</v>
      </c>
      <c r="AF2636" t="s">
        <v>3575</v>
      </c>
      <c r="AG2636" s="2">
        <f t="shared" si="418"/>
        <v>7</v>
      </c>
      <c r="AH2636" s="2">
        <f t="shared" si="419"/>
        <v>1</v>
      </c>
      <c r="AI2636" s="3">
        <v>3255.9999999997672</v>
      </c>
      <c r="AJ2636" s="2">
        <v>1</v>
      </c>
      <c r="AK2636">
        <v>0</v>
      </c>
      <c r="AL2636">
        <v>160</v>
      </c>
      <c r="AM2636">
        <v>0</v>
      </c>
      <c r="AN2636" s="2">
        <f>IF((2*G2636+M2636-O2636+3*V2636+2*AB2636+2*AE2636+2*AH2636+3*AJ2636)&gt;=7,1,0)</f>
        <v>1</v>
      </c>
    </row>
    <row r="2637" spans="1:40" x14ac:dyDescent="0.25">
      <c r="A2637" t="s">
        <v>27</v>
      </c>
      <c r="B2637" s="1">
        <v>45125</v>
      </c>
      <c r="C2637" s="6">
        <f t="shared" si="410"/>
        <v>2023</v>
      </c>
      <c r="D2637">
        <v>87.8</v>
      </c>
      <c r="E2637">
        <v>78.8</v>
      </c>
      <c r="F2637">
        <v>83</v>
      </c>
      <c r="G2637" s="2">
        <f t="shared" si="411"/>
        <v>1</v>
      </c>
      <c r="H2637">
        <v>95.8</v>
      </c>
      <c r="I2637">
        <v>78.8</v>
      </c>
      <c r="J2637">
        <v>85.8</v>
      </c>
      <c r="K2637">
        <v>67</v>
      </c>
      <c r="L2637">
        <v>58.8</v>
      </c>
      <c r="M2637" s="2">
        <f t="shared" si="412"/>
        <v>1</v>
      </c>
      <c r="N2637">
        <v>0</v>
      </c>
      <c r="O2637" s="2">
        <f t="shared" si="413"/>
        <v>1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37.4</v>
      </c>
      <c r="V2637" s="2">
        <f t="shared" si="414"/>
        <v>1</v>
      </c>
      <c r="W2637">
        <v>23</v>
      </c>
      <c r="X2637" s="2">
        <f t="shared" si="415"/>
        <v>1</v>
      </c>
      <c r="Y2637">
        <v>298.10000000000002</v>
      </c>
      <c r="Z2637" s="2" t="str">
        <f>CHOOSE(MATCH(Y2637,{0;11;80;111;161;191;241;281;341},1),"North","NorthEast","East","SouthEast","South","SouthWest","West","NorthWest","North")</f>
        <v>NorthWest</v>
      </c>
      <c r="AA2637" s="4">
        <f>CHOOSE(MATCH(Z2637,{"South";"SouthEast";"SouthWest";"North";"NorthEast";"East";"West";"NorthWest"},0),1,2,3,4,5,6,7,8)</f>
        <v>8</v>
      </c>
      <c r="AB2637" s="2">
        <f t="shared" si="416"/>
        <v>1</v>
      </c>
      <c r="AC2637">
        <v>1010.3</v>
      </c>
      <c r="AD2637" t="s">
        <v>3576</v>
      </c>
      <c r="AE2637" s="2">
        <f t="shared" si="417"/>
        <v>1</v>
      </c>
      <c r="AF2637" t="s">
        <v>3577</v>
      </c>
      <c r="AG2637" s="2">
        <f t="shared" si="418"/>
        <v>7</v>
      </c>
      <c r="AH2637" s="2">
        <f t="shared" si="419"/>
        <v>1</v>
      </c>
      <c r="AI2637" s="3">
        <v>784.99999999185093</v>
      </c>
      <c r="AJ2637" s="2">
        <v>1</v>
      </c>
      <c r="AK2637">
        <v>0</v>
      </c>
      <c r="AL2637">
        <v>0.2</v>
      </c>
      <c r="AM2637">
        <v>0</v>
      </c>
      <c r="AN2637" s="2">
        <f>IF((2*G2637+M2637-O2637+3*V2637+2*AB2637+2*AE2637+2*AH2637+3*AJ2637)&gt;=7,1,0)</f>
        <v>1</v>
      </c>
    </row>
    <row r="2638" spans="1:40" x14ac:dyDescent="0.25">
      <c r="A2638" t="s">
        <v>27</v>
      </c>
      <c r="B2638" s="1">
        <v>45125</v>
      </c>
      <c r="C2638" s="6">
        <f t="shared" si="410"/>
        <v>2023</v>
      </c>
      <c r="D2638">
        <v>87.8</v>
      </c>
      <c r="E2638">
        <v>78.8</v>
      </c>
      <c r="F2638">
        <v>83</v>
      </c>
      <c r="G2638" s="2">
        <f t="shared" si="411"/>
        <v>1</v>
      </c>
      <c r="H2638">
        <v>95.8</v>
      </c>
      <c r="I2638">
        <v>78.8</v>
      </c>
      <c r="J2638">
        <v>85.8</v>
      </c>
      <c r="K2638">
        <v>67</v>
      </c>
      <c r="L2638">
        <v>58.8</v>
      </c>
      <c r="M2638" s="2">
        <f t="shared" si="412"/>
        <v>1</v>
      </c>
      <c r="N2638">
        <v>0</v>
      </c>
      <c r="O2638" s="2">
        <f t="shared" si="413"/>
        <v>1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37.4</v>
      </c>
      <c r="V2638" s="2">
        <f t="shared" si="414"/>
        <v>1</v>
      </c>
      <c r="W2638">
        <v>23</v>
      </c>
      <c r="X2638" s="2">
        <f t="shared" si="415"/>
        <v>1</v>
      </c>
      <c r="Y2638">
        <v>298.10000000000002</v>
      </c>
      <c r="Z2638" s="2" t="str">
        <f>CHOOSE(MATCH(Y2638,{0;11;80;111;161;191;241;281;341},1),"North","NorthEast","East","SouthEast","South","SouthWest","West","NorthWest","North")</f>
        <v>NorthWest</v>
      </c>
      <c r="AA2638" s="4">
        <f>CHOOSE(MATCH(Z2638,{"South";"SouthEast";"SouthWest";"North";"NorthEast";"East";"West";"NorthWest"},0),1,2,3,4,5,6,7,8)</f>
        <v>8</v>
      </c>
      <c r="AB2638" s="2">
        <f t="shared" si="416"/>
        <v>1</v>
      </c>
      <c r="AC2638">
        <v>1010.3</v>
      </c>
      <c r="AD2638" t="s">
        <v>2591</v>
      </c>
      <c r="AE2638" s="2">
        <f t="shared" si="417"/>
        <v>1</v>
      </c>
      <c r="AF2638" t="s">
        <v>3578</v>
      </c>
      <c r="AG2638" s="2">
        <f t="shared" si="418"/>
        <v>7</v>
      </c>
      <c r="AH2638" s="2">
        <f t="shared" si="419"/>
        <v>1</v>
      </c>
      <c r="AI2638" s="3">
        <v>1141.999999992549</v>
      </c>
      <c r="AJ2638" s="2">
        <v>1</v>
      </c>
      <c r="AK2638">
        <v>0</v>
      </c>
      <c r="AL2638">
        <v>0.5</v>
      </c>
      <c r="AM2638">
        <v>0</v>
      </c>
      <c r="AN2638" s="2">
        <f>IF((2*G2638+M2638-O2638+3*V2638+2*AB2638+2*AE2638+2*AH2638+3*AJ2638)&gt;=7,1,0)</f>
        <v>1</v>
      </c>
    </row>
    <row r="2639" spans="1:40" x14ac:dyDescent="0.25">
      <c r="A2639" t="s">
        <v>27</v>
      </c>
      <c r="B2639" s="1">
        <v>45125</v>
      </c>
      <c r="C2639" s="6">
        <f t="shared" si="410"/>
        <v>2023</v>
      </c>
      <c r="D2639">
        <v>87.8</v>
      </c>
      <c r="E2639">
        <v>78.8</v>
      </c>
      <c r="F2639">
        <v>83</v>
      </c>
      <c r="G2639" s="2">
        <f t="shared" si="411"/>
        <v>1</v>
      </c>
      <c r="H2639">
        <v>95.8</v>
      </c>
      <c r="I2639">
        <v>78.8</v>
      </c>
      <c r="J2639">
        <v>85.8</v>
      </c>
      <c r="K2639">
        <v>67</v>
      </c>
      <c r="L2639">
        <v>58.8</v>
      </c>
      <c r="M2639" s="2">
        <f t="shared" si="412"/>
        <v>1</v>
      </c>
      <c r="N2639">
        <v>0</v>
      </c>
      <c r="O2639" s="2">
        <f t="shared" si="413"/>
        <v>1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37.4</v>
      </c>
      <c r="V2639" s="2">
        <f t="shared" si="414"/>
        <v>1</v>
      </c>
      <c r="W2639">
        <v>23</v>
      </c>
      <c r="X2639" s="2">
        <f t="shared" si="415"/>
        <v>1</v>
      </c>
      <c r="Y2639">
        <v>298.10000000000002</v>
      </c>
      <c r="Z2639" s="2" t="str">
        <f>CHOOSE(MATCH(Y2639,{0;11;80;111;161;191;241;281;341},1),"North","NorthEast","East","SouthEast","South","SouthWest","West","NorthWest","North")</f>
        <v>NorthWest</v>
      </c>
      <c r="AA2639" s="4">
        <f>CHOOSE(MATCH(Z2639,{"South";"SouthEast";"SouthWest";"North";"NorthEast";"East";"West";"NorthWest"},0),1,2,3,4,5,6,7,8)</f>
        <v>8</v>
      </c>
      <c r="AB2639" s="2">
        <f t="shared" si="416"/>
        <v>1</v>
      </c>
      <c r="AC2639">
        <v>1010.3</v>
      </c>
      <c r="AD2639" t="s">
        <v>1960</v>
      </c>
      <c r="AE2639" s="2">
        <f t="shared" si="417"/>
        <v>1</v>
      </c>
      <c r="AF2639" t="s">
        <v>3579</v>
      </c>
      <c r="AG2639" s="2">
        <f t="shared" si="418"/>
        <v>7</v>
      </c>
      <c r="AH2639" s="2">
        <f t="shared" si="419"/>
        <v>1</v>
      </c>
      <c r="AI2639" s="3">
        <v>39.999999994179227</v>
      </c>
      <c r="AJ2639" s="2">
        <v>0</v>
      </c>
      <c r="AK2639">
        <v>0</v>
      </c>
      <c r="AL2639">
        <v>0.01</v>
      </c>
      <c r="AM2639">
        <v>0</v>
      </c>
      <c r="AN2639" s="2">
        <f>IF((2*G2639+M2639-O2639+3*V2639+2*AB2639+2*AE2639+2*AH2639+3*AJ2639)&gt;=7,1,0)</f>
        <v>1</v>
      </c>
    </row>
    <row r="2640" spans="1:40" x14ac:dyDescent="0.25">
      <c r="A2640" t="s">
        <v>27</v>
      </c>
      <c r="B2640" s="1">
        <v>45130</v>
      </c>
      <c r="C2640" s="6">
        <f t="shared" si="410"/>
        <v>2023</v>
      </c>
      <c r="D2640">
        <v>96.8</v>
      </c>
      <c r="E2640">
        <v>77</v>
      </c>
      <c r="F2640">
        <v>86.9</v>
      </c>
      <c r="G2640" s="2">
        <f t="shared" si="411"/>
        <v>1</v>
      </c>
      <c r="H2640">
        <v>105.3</v>
      </c>
      <c r="I2640">
        <v>77</v>
      </c>
      <c r="J2640">
        <v>91.1</v>
      </c>
      <c r="K2640">
        <v>66.8</v>
      </c>
      <c r="L2640">
        <v>51.7</v>
      </c>
      <c r="M2640" s="2">
        <f t="shared" si="412"/>
        <v>1</v>
      </c>
      <c r="N2640">
        <v>0</v>
      </c>
      <c r="O2640" s="2">
        <f t="shared" si="413"/>
        <v>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28.4</v>
      </c>
      <c r="V2640" s="2">
        <f t="shared" si="414"/>
        <v>1</v>
      </c>
      <c r="W2640">
        <v>17.2</v>
      </c>
      <c r="X2640" s="2">
        <f t="shared" si="415"/>
        <v>1</v>
      </c>
      <c r="Y2640">
        <v>285.8</v>
      </c>
      <c r="Z2640" s="2" t="str">
        <f>CHOOSE(MATCH(Y2640,{0;11;80;111;161;191;241;281;341},1),"North","NorthEast","East","SouthEast","South","SouthWest","West","NorthWest","North")</f>
        <v>NorthWest</v>
      </c>
      <c r="AA2640" s="4">
        <f>CHOOSE(MATCH(Z2640,{"South";"SouthEast";"SouthWest";"North";"NorthEast";"East";"West";"NorthWest"},0),1,2,3,4,5,6,7,8)</f>
        <v>8</v>
      </c>
      <c r="AB2640" s="2">
        <f t="shared" si="416"/>
        <v>1</v>
      </c>
      <c r="AC2640">
        <v>1013.3</v>
      </c>
      <c r="AD2640" t="s">
        <v>3580</v>
      </c>
      <c r="AE2640" s="2">
        <f t="shared" si="417"/>
        <v>1</v>
      </c>
      <c r="AF2640" t="s">
        <v>3581</v>
      </c>
      <c r="AG2640" s="2">
        <f t="shared" si="418"/>
        <v>7</v>
      </c>
      <c r="AH2640" s="2">
        <f t="shared" si="419"/>
        <v>1</v>
      </c>
      <c r="AI2640" s="3">
        <v>645.99999999976717</v>
      </c>
      <c r="AJ2640" s="2">
        <v>1</v>
      </c>
      <c r="AK2640">
        <v>0</v>
      </c>
      <c r="AL2640">
        <v>1</v>
      </c>
      <c r="AM2640">
        <v>0</v>
      </c>
      <c r="AN2640" s="2">
        <f>IF((2*G2640+M2640-O2640+3*V2640+2*AB2640+2*AE2640+2*AH2640+3*AJ2640)&gt;=7,1,0)</f>
        <v>1</v>
      </c>
    </row>
    <row r="2641" spans="1:40" x14ac:dyDescent="0.25">
      <c r="A2641" t="s">
        <v>27</v>
      </c>
      <c r="B2641" s="1">
        <v>45132</v>
      </c>
      <c r="C2641" s="6">
        <f t="shared" si="410"/>
        <v>2023</v>
      </c>
      <c r="D2641">
        <v>91.4</v>
      </c>
      <c r="E2641">
        <v>78.8</v>
      </c>
      <c r="F2641">
        <v>85.2</v>
      </c>
      <c r="G2641" s="2">
        <f t="shared" si="411"/>
        <v>1</v>
      </c>
      <c r="H2641">
        <v>98.6</v>
      </c>
      <c r="I2641">
        <v>78.8</v>
      </c>
      <c r="J2641">
        <v>89.1</v>
      </c>
      <c r="K2641">
        <v>68.599999999999994</v>
      </c>
      <c r="L2641">
        <v>58.1</v>
      </c>
      <c r="M2641" s="2">
        <f t="shared" si="412"/>
        <v>1</v>
      </c>
      <c r="N2641">
        <v>0</v>
      </c>
      <c r="O2641" s="2">
        <f t="shared" si="413"/>
        <v>1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37.1</v>
      </c>
      <c r="V2641" s="2">
        <f t="shared" si="414"/>
        <v>1</v>
      </c>
      <c r="W2641">
        <v>16.100000000000001</v>
      </c>
      <c r="X2641" s="2">
        <f t="shared" si="415"/>
        <v>1</v>
      </c>
      <c r="Y2641">
        <v>309.39999999999998</v>
      </c>
      <c r="Z2641" s="2" t="str">
        <f>CHOOSE(MATCH(Y2641,{0;11;80;111;161;191;241;281;341},1),"North","NorthEast","East","SouthEast","South","SouthWest","West","NorthWest","North")</f>
        <v>NorthWest</v>
      </c>
      <c r="AA2641" s="4">
        <f>CHOOSE(MATCH(Z2641,{"South";"SouthEast";"SouthWest";"North";"NorthEast";"East";"West";"NorthWest"},0),1,2,3,4,5,6,7,8)</f>
        <v>8</v>
      </c>
      <c r="AB2641" s="2">
        <f t="shared" si="416"/>
        <v>1</v>
      </c>
      <c r="AC2641">
        <v>1010.5</v>
      </c>
      <c r="AD2641" t="s">
        <v>1274</v>
      </c>
      <c r="AE2641" s="2">
        <f t="shared" si="417"/>
        <v>1</v>
      </c>
      <c r="AF2641" t="s">
        <v>3582</v>
      </c>
      <c r="AG2641" s="2">
        <f t="shared" si="418"/>
        <v>7</v>
      </c>
      <c r="AH2641" s="2">
        <f t="shared" si="419"/>
        <v>1</v>
      </c>
      <c r="AI2641" s="3">
        <v>2601.000000002095</v>
      </c>
      <c r="AJ2641" s="2">
        <v>1</v>
      </c>
      <c r="AK2641">
        <v>0</v>
      </c>
      <c r="AL2641">
        <v>0.5</v>
      </c>
      <c r="AM2641">
        <v>0</v>
      </c>
      <c r="AN2641" s="2">
        <f>IF((2*G2641+M2641-O2641+3*V2641+2*AB2641+2*AE2641+2*AH2641+3*AJ2641)&gt;=7,1,0)</f>
        <v>1</v>
      </c>
    </row>
    <row r="2642" spans="1:40" x14ac:dyDescent="0.25">
      <c r="A2642" t="s">
        <v>27</v>
      </c>
      <c r="B2642" s="1">
        <v>45132</v>
      </c>
      <c r="C2642" s="6">
        <f t="shared" si="410"/>
        <v>2023</v>
      </c>
      <c r="D2642">
        <v>91.4</v>
      </c>
      <c r="E2642">
        <v>78.8</v>
      </c>
      <c r="F2642">
        <v>85.2</v>
      </c>
      <c r="G2642" s="2">
        <f t="shared" si="411"/>
        <v>1</v>
      </c>
      <c r="H2642">
        <v>98.6</v>
      </c>
      <c r="I2642">
        <v>78.8</v>
      </c>
      <c r="J2642">
        <v>89.1</v>
      </c>
      <c r="K2642">
        <v>68.599999999999994</v>
      </c>
      <c r="L2642">
        <v>58.1</v>
      </c>
      <c r="M2642" s="2">
        <f t="shared" si="412"/>
        <v>1</v>
      </c>
      <c r="N2642">
        <v>0</v>
      </c>
      <c r="O2642" s="2">
        <f t="shared" si="413"/>
        <v>1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37.1</v>
      </c>
      <c r="V2642" s="2">
        <f t="shared" si="414"/>
        <v>1</v>
      </c>
      <c r="W2642">
        <v>16.100000000000001</v>
      </c>
      <c r="X2642" s="2">
        <f t="shared" si="415"/>
        <v>1</v>
      </c>
      <c r="Y2642">
        <v>309.39999999999998</v>
      </c>
      <c r="Z2642" s="2" t="str">
        <f>CHOOSE(MATCH(Y2642,{0;11;80;111;161;191;241;281;341},1),"North","NorthEast","East","SouthEast","South","SouthWest","West","NorthWest","North")</f>
        <v>NorthWest</v>
      </c>
      <c r="AA2642" s="4">
        <f>CHOOSE(MATCH(Z2642,{"South";"SouthEast";"SouthWest";"North";"NorthEast";"East";"West";"NorthWest"},0),1,2,3,4,5,6,7,8)</f>
        <v>8</v>
      </c>
      <c r="AB2642" s="2">
        <f t="shared" si="416"/>
        <v>1</v>
      </c>
      <c r="AC2642">
        <v>1010.5</v>
      </c>
      <c r="AD2642" t="s">
        <v>3583</v>
      </c>
      <c r="AE2642" s="2">
        <f t="shared" si="417"/>
        <v>0</v>
      </c>
      <c r="AF2642" t="s">
        <v>3584</v>
      </c>
      <c r="AG2642" s="2">
        <f t="shared" si="418"/>
        <v>7</v>
      </c>
      <c r="AH2642" s="2">
        <f t="shared" si="419"/>
        <v>1</v>
      </c>
      <c r="AI2642" s="3">
        <v>1550.0000000023281</v>
      </c>
      <c r="AJ2642" s="2">
        <v>1</v>
      </c>
      <c r="AK2642">
        <v>0.5</v>
      </c>
      <c r="AL2642">
        <v>0</v>
      </c>
      <c r="AM2642">
        <v>0</v>
      </c>
      <c r="AN2642" s="2">
        <f>IF((2*G2642+M2642-O2642+3*V2642+2*AB2642+2*AE2642+2*AH2642+3*AJ2642)&gt;=7,1,0)</f>
        <v>1</v>
      </c>
    </row>
    <row r="2643" spans="1:40" x14ac:dyDescent="0.25">
      <c r="A2643" t="s">
        <v>27</v>
      </c>
      <c r="B2643" s="1">
        <v>45138</v>
      </c>
      <c r="C2643" s="6">
        <f t="shared" si="410"/>
        <v>2023</v>
      </c>
      <c r="D2643">
        <v>89.6</v>
      </c>
      <c r="E2643">
        <v>77</v>
      </c>
      <c r="F2643">
        <v>84.1</v>
      </c>
      <c r="G2643" s="2">
        <f t="shared" si="411"/>
        <v>1</v>
      </c>
      <c r="H2643">
        <v>96.3</v>
      </c>
      <c r="I2643">
        <v>77</v>
      </c>
      <c r="J2643">
        <v>87</v>
      </c>
      <c r="K2643">
        <v>67</v>
      </c>
      <c r="L2643">
        <v>56.9</v>
      </c>
      <c r="M2643" s="2">
        <f t="shared" si="412"/>
        <v>1</v>
      </c>
      <c r="N2643">
        <v>0</v>
      </c>
      <c r="O2643" s="2">
        <f t="shared" si="413"/>
        <v>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32.4</v>
      </c>
      <c r="V2643" s="2">
        <f t="shared" si="414"/>
        <v>1</v>
      </c>
      <c r="W2643">
        <v>17.2</v>
      </c>
      <c r="X2643" s="2">
        <f t="shared" si="415"/>
        <v>1</v>
      </c>
      <c r="Y2643">
        <v>296.10000000000002</v>
      </c>
      <c r="Z2643" s="2" t="str">
        <f>CHOOSE(MATCH(Y2643,{0;11;80;111;161;191;241;281;341},1),"North","NorthEast","East","SouthEast","South","SouthWest","West","NorthWest","North")</f>
        <v>NorthWest</v>
      </c>
      <c r="AA2643" s="4">
        <f>CHOOSE(MATCH(Z2643,{"South";"SouthEast";"SouthWest";"North";"NorthEast";"East";"West";"NorthWest"},0),1,2,3,4,5,6,7,8)</f>
        <v>8</v>
      </c>
      <c r="AB2643" s="2">
        <f t="shared" si="416"/>
        <v>1</v>
      </c>
      <c r="AC2643">
        <v>1006.7</v>
      </c>
      <c r="AD2643" t="s">
        <v>3585</v>
      </c>
      <c r="AE2643" s="2">
        <f t="shared" si="417"/>
        <v>1</v>
      </c>
      <c r="AF2643" t="s">
        <v>3586</v>
      </c>
      <c r="AG2643" s="2">
        <f t="shared" si="418"/>
        <v>7</v>
      </c>
      <c r="AH2643" s="2">
        <f t="shared" si="419"/>
        <v>1</v>
      </c>
      <c r="AI2643" s="3">
        <v>0</v>
      </c>
      <c r="AJ2643" s="2">
        <v>0</v>
      </c>
      <c r="AK2643">
        <v>1</v>
      </c>
      <c r="AL2643">
        <v>0</v>
      </c>
      <c r="AM2643">
        <v>0</v>
      </c>
      <c r="AN2643" s="2">
        <f>IF((2*G2643+M2643-O2643+3*V2643+2*AB2643+2*AE2643+2*AH2643+3*AJ2643)&gt;=7,1,0)</f>
        <v>1</v>
      </c>
    </row>
    <row r="2644" spans="1:40" x14ac:dyDescent="0.25">
      <c r="A2644" t="s">
        <v>27</v>
      </c>
      <c r="B2644" s="1">
        <v>45144</v>
      </c>
      <c r="C2644" s="6">
        <f t="shared" si="410"/>
        <v>2023</v>
      </c>
      <c r="D2644">
        <v>87.8</v>
      </c>
      <c r="E2644">
        <v>73.400000000000006</v>
      </c>
      <c r="F2644">
        <v>81.7</v>
      </c>
      <c r="G2644" s="2">
        <f t="shared" si="411"/>
        <v>1</v>
      </c>
      <c r="H2644">
        <v>97.2</v>
      </c>
      <c r="I2644">
        <v>73.400000000000006</v>
      </c>
      <c r="J2644">
        <v>85.3</v>
      </c>
      <c r="K2644">
        <v>71.099999999999994</v>
      </c>
      <c r="L2644">
        <v>70.8</v>
      </c>
      <c r="M2644" s="2">
        <f t="shared" si="412"/>
        <v>0</v>
      </c>
      <c r="N2644">
        <v>0</v>
      </c>
      <c r="O2644" s="2">
        <f t="shared" si="413"/>
        <v>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23</v>
      </c>
      <c r="V2644" s="2">
        <f t="shared" si="414"/>
        <v>1</v>
      </c>
      <c r="W2644">
        <v>23</v>
      </c>
      <c r="X2644" s="2">
        <f t="shared" si="415"/>
        <v>1</v>
      </c>
      <c r="Y2644">
        <v>284.60000000000002</v>
      </c>
      <c r="Z2644" s="2" t="str">
        <f>CHOOSE(MATCH(Y2644,{0;11;80;111;161;191;241;281;341},1),"North","NorthEast","East","SouthEast","South","SouthWest","West","NorthWest","North")</f>
        <v>NorthWest</v>
      </c>
      <c r="AA2644" s="4">
        <f>CHOOSE(MATCH(Z2644,{"South";"SouthEast";"SouthWest";"North";"NorthEast";"East";"West";"NorthWest"},0),1,2,3,4,5,6,7,8)</f>
        <v>8</v>
      </c>
      <c r="AB2644" s="2">
        <f t="shared" si="416"/>
        <v>1</v>
      </c>
      <c r="AC2644">
        <v>1007.6</v>
      </c>
      <c r="AD2644" t="s">
        <v>3587</v>
      </c>
      <c r="AE2644" s="2">
        <f t="shared" si="417"/>
        <v>1</v>
      </c>
      <c r="AF2644" t="s">
        <v>3588</v>
      </c>
      <c r="AG2644" s="2">
        <f t="shared" si="418"/>
        <v>8</v>
      </c>
      <c r="AH2644" s="2">
        <f t="shared" si="419"/>
        <v>1</v>
      </c>
      <c r="AI2644" s="3">
        <v>2136.9999999983702</v>
      </c>
      <c r="AJ2644" s="2">
        <v>1</v>
      </c>
      <c r="AK2644">
        <v>0</v>
      </c>
      <c r="AL2644">
        <v>90</v>
      </c>
      <c r="AM2644">
        <v>0</v>
      </c>
      <c r="AN2644" s="2">
        <f>IF((2*G2644+M2644-O2644+3*V2644+2*AB2644+2*AE2644+2*AH2644+3*AJ2644)&gt;=7,1,0)</f>
        <v>1</v>
      </c>
    </row>
    <row r="2645" spans="1:40" x14ac:dyDescent="0.25">
      <c r="A2645" t="s">
        <v>27</v>
      </c>
      <c r="B2645" s="1">
        <v>45146</v>
      </c>
      <c r="C2645" s="6">
        <f t="shared" si="410"/>
        <v>2023</v>
      </c>
      <c r="D2645">
        <v>84.2</v>
      </c>
      <c r="E2645">
        <v>71.599999999999994</v>
      </c>
      <c r="F2645">
        <v>80</v>
      </c>
      <c r="G2645" s="2">
        <f t="shared" si="411"/>
        <v>1</v>
      </c>
      <c r="H2645">
        <v>91</v>
      </c>
      <c r="I2645">
        <v>71.599999999999994</v>
      </c>
      <c r="J2645">
        <v>83.3</v>
      </c>
      <c r="K2645">
        <v>70.5</v>
      </c>
      <c r="L2645">
        <v>73.099999999999994</v>
      </c>
      <c r="M2645" s="2">
        <f t="shared" si="412"/>
        <v>0</v>
      </c>
      <c r="N2645">
        <v>0</v>
      </c>
      <c r="O2645" s="2">
        <f t="shared" si="413"/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24.2</v>
      </c>
      <c r="V2645" s="2">
        <f t="shared" si="414"/>
        <v>1</v>
      </c>
      <c r="W2645">
        <v>17.2</v>
      </c>
      <c r="X2645" s="2">
        <f t="shared" si="415"/>
        <v>1</v>
      </c>
      <c r="Y2645">
        <v>302</v>
      </c>
      <c r="Z2645" s="2" t="str">
        <f>CHOOSE(MATCH(Y2645,{0;11;80;111;161;191;241;281;341},1),"North","NorthEast","East","SouthEast","South","SouthWest","West","NorthWest","North")</f>
        <v>NorthWest</v>
      </c>
      <c r="AA2645" s="4">
        <f>CHOOSE(MATCH(Z2645,{"South";"SouthEast";"SouthWest";"North";"NorthEast";"East";"West";"NorthWest"},0),1,2,3,4,5,6,7,8)</f>
        <v>8</v>
      </c>
      <c r="AB2645" s="2">
        <f t="shared" si="416"/>
        <v>1</v>
      </c>
      <c r="AC2645">
        <v>1009</v>
      </c>
      <c r="AD2645" t="s">
        <v>1960</v>
      </c>
      <c r="AE2645" s="2">
        <f t="shared" si="417"/>
        <v>1</v>
      </c>
      <c r="AF2645" t="s">
        <v>3589</v>
      </c>
      <c r="AG2645" s="2">
        <f t="shared" si="418"/>
        <v>8</v>
      </c>
      <c r="AH2645" s="2">
        <f t="shared" si="419"/>
        <v>1</v>
      </c>
      <c r="AI2645" s="3">
        <v>1845</v>
      </c>
      <c r="AJ2645" s="2">
        <v>1</v>
      </c>
      <c r="AK2645">
        <v>0</v>
      </c>
      <c r="AL2645">
        <v>2.5</v>
      </c>
      <c r="AM2645">
        <v>0</v>
      </c>
      <c r="AN2645" s="2">
        <f>IF((2*G2645+M2645-O2645+3*V2645+2*AB2645+2*AE2645+2*AH2645+3*AJ2645)&gt;=7,1,0)</f>
        <v>1</v>
      </c>
    </row>
    <row r="2646" spans="1:40" x14ac:dyDescent="0.25">
      <c r="A2646" t="s">
        <v>27</v>
      </c>
      <c r="B2646" s="1">
        <v>45148</v>
      </c>
      <c r="C2646" s="6">
        <f t="shared" si="410"/>
        <v>2023</v>
      </c>
      <c r="D2646">
        <v>84.2</v>
      </c>
      <c r="E2646">
        <v>77</v>
      </c>
      <c r="F2646">
        <v>79.900000000000006</v>
      </c>
      <c r="G2646" s="2">
        <f t="shared" si="411"/>
        <v>1</v>
      </c>
      <c r="H2646">
        <v>88.4</v>
      </c>
      <c r="I2646">
        <v>77</v>
      </c>
      <c r="J2646">
        <v>80.8</v>
      </c>
      <c r="K2646">
        <v>65</v>
      </c>
      <c r="L2646">
        <v>60.9</v>
      </c>
      <c r="M2646" s="2">
        <f t="shared" si="412"/>
        <v>1</v>
      </c>
      <c r="N2646">
        <v>0</v>
      </c>
      <c r="O2646" s="2">
        <f t="shared" si="413"/>
        <v>1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26.8</v>
      </c>
      <c r="V2646" s="2">
        <f t="shared" si="414"/>
        <v>1</v>
      </c>
      <c r="W2646">
        <v>16.100000000000001</v>
      </c>
      <c r="X2646" s="2">
        <f t="shared" si="415"/>
        <v>1</v>
      </c>
      <c r="Y2646">
        <v>307.39999999999998</v>
      </c>
      <c r="Z2646" s="2" t="str">
        <f>CHOOSE(MATCH(Y2646,{0;11;80;111;161;191;241;281;341},1),"North","NorthEast","East","SouthEast","South","SouthWest","West","NorthWest","North")</f>
        <v>NorthWest</v>
      </c>
      <c r="AA2646" s="4">
        <f>CHOOSE(MATCH(Z2646,{"South";"SouthEast";"SouthWest";"North";"NorthEast";"East";"West";"NorthWest"},0),1,2,3,4,5,6,7,8)</f>
        <v>8</v>
      </c>
      <c r="AB2646" s="2">
        <f t="shared" si="416"/>
        <v>1</v>
      </c>
      <c r="AC2646">
        <v>1013.7</v>
      </c>
      <c r="AD2646" t="s">
        <v>2591</v>
      </c>
      <c r="AE2646" s="2">
        <f t="shared" si="417"/>
        <v>1</v>
      </c>
      <c r="AF2646" t="s">
        <v>3590</v>
      </c>
      <c r="AG2646" s="2">
        <f t="shared" si="418"/>
        <v>8</v>
      </c>
      <c r="AH2646" s="2">
        <f t="shared" si="419"/>
        <v>1</v>
      </c>
      <c r="AI2646" s="3">
        <v>1427.999999992317</v>
      </c>
      <c r="AJ2646" s="2">
        <v>1</v>
      </c>
      <c r="AK2646">
        <v>0</v>
      </c>
      <c r="AL2646">
        <v>8</v>
      </c>
      <c r="AM2646">
        <v>0</v>
      </c>
      <c r="AN2646" s="2">
        <f>IF((2*G2646+M2646-O2646+3*V2646+2*AB2646+2*AE2646+2*AH2646+3*AJ2646)&gt;=7,1,0)</f>
        <v>1</v>
      </c>
    </row>
    <row r="2647" spans="1:40" x14ac:dyDescent="0.25">
      <c r="A2647" t="s">
        <v>27</v>
      </c>
      <c r="B2647" s="1">
        <v>45154</v>
      </c>
      <c r="C2647" s="6">
        <f t="shared" si="410"/>
        <v>2023</v>
      </c>
      <c r="D2647">
        <v>86</v>
      </c>
      <c r="E2647">
        <v>71.599999999999994</v>
      </c>
      <c r="F2647">
        <v>80.2</v>
      </c>
      <c r="G2647" s="2">
        <f t="shared" si="411"/>
        <v>1</v>
      </c>
      <c r="H2647">
        <v>92</v>
      </c>
      <c r="I2647">
        <v>71.599999999999994</v>
      </c>
      <c r="J2647">
        <v>83.1</v>
      </c>
      <c r="K2647">
        <v>70.599999999999994</v>
      </c>
      <c r="L2647">
        <v>73.2</v>
      </c>
      <c r="M2647" s="2">
        <f t="shared" si="412"/>
        <v>0</v>
      </c>
      <c r="N2647">
        <v>0</v>
      </c>
      <c r="O2647" s="2">
        <f t="shared" si="413"/>
        <v>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28.6</v>
      </c>
      <c r="V2647" s="2">
        <f t="shared" si="414"/>
        <v>1</v>
      </c>
      <c r="W2647">
        <v>17.2</v>
      </c>
      <c r="X2647" s="2">
        <f t="shared" si="415"/>
        <v>1</v>
      </c>
      <c r="Y2647">
        <v>297.60000000000002</v>
      </c>
      <c r="Z2647" s="2" t="str">
        <f>CHOOSE(MATCH(Y2647,{0;11;80;111;161;191;241;281;341},1),"North","NorthEast","East","SouthEast","South","SouthWest","West","NorthWest","North")</f>
        <v>NorthWest</v>
      </c>
      <c r="AA2647" s="4">
        <f>CHOOSE(MATCH(Z2647,{"South";"SouthEast";"SouthWest";"North";"NorthEast";"East";"West";"NorthWest"},0),1,2,3,4,5,6,7,8)</f>
        <v>8</v>
      </c>
      <c r="AB2647" s="2">
        <f t="shared" si="416"/>
        <v>1</v>
      </c>
      <c r="AC2647">
        <v>1011.7</v>
      </c>
      <c r="AD2647" t="s">
        <v>3591</v>
      </c>
      <c r="AE2647" s="2">
        <f t="shared" si="417"/>
        <v>0</v>
      </c>
      <c r="AF2647" t="s">
        <v>3592</v>
      </c>
      <c r="AG2647" s="2">
        <f t="shared" si="418"/>
        <v>8</v>
      </c>
      <c r="AH2647" s="2">
        <f t="shared" si="419"/>
        <v>1</v>
      </c>
      <c r="AI2647" s="3">
        <v>3332.0000000065188</v>
      </c>
      <c r="AJ2647" s="2">
        <v>1</v>
      </c>
      <c r="AK2647">
        <v>0</v>
      </c>
      <c r="AL2647">
        <v>2</v>
      </c>
      <c r="AM2647">
        <v>0</v>
      </c>
      <c r="AN2647" s="2">
        <f>IF((2*G2647+M2647-O2647+3*V2647+2*AB2647+2*AE2647+2*AH2647+3*AJ2647)&gt;=7,1,0)</f>
        <v>1</v>
      </c>
    </row>
    <row r="2648" spans="1:40" x14ac:dyDescent="0.25">
      <c r="A2648" t="s">
        <v>27</v>
      </c>
      <c r="B2648" s="1">
        <v>45154</v>
      </c>
      <c r="C2648" s="6">
        <f t="shared" si="410"/>
        <v>2023</v>
      </c>
      <c r="D2648">
        <v>86</v>
      </c>
      <c r="E2648">
        <v>71.599999999999994</v>
      </c>
      <c r="F2648">
        <v>80.2</v>
      </c>
      <c r="G2648" s="2">
        <f t="shared" si="411"/>
        <v>1</v>
      </c>
      <c r="H2648">
        <v>92</v>
      </c>
      <c r="I2648">
        <v>71.599999999999994</v>
      </c>
      <c r="J2648">
        <v>83.1</v>
      </c>
      <c r="K2648">
        <v>70.599999999999994</v>
      </c>
      <c r="L2648">
        <v>73.2</v>
      </c>
      <c r="M2648" s="2">
        <f t="shared" si="412"/>
        <v>0</v>
      </c>
      <c r="N2648">
        <v>0</v>
      </c>
      <c r="O2648" s="2">
        <f t="shared" si="413"/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28.6</v>
      </c>
      <c r="V2648" s="2">
        <f t="shared" si="414"/>
        <v>1</v>
      </c>
      <c r="W2648">
        <v>17.2</v>
      </c>
      <c r="X2648" s="2">
        <f t="shared" si="415"/>
        <v>1</v>
      </c>
      <c r="Y2648">
        <v>297.60000000000002</v>
      </c>
      <c r="Z2648" s="2" t="str">
        <f>CHOOSE(MATCH(Y2648,{0;11;80;111;161;191;241;281;341},1),"North","NorthEast","East","SouthEast","South","SouthWest","West","NorthWest","North")</f>
        <v>NorthWest</v>
      </c>
      <c r="AA2648" s="4">
        <f>CHOOSE(MATCH(Z2648,{"South";"SouthEast";"SouthWest";"North";"NorthEast";"East";"West";"NorthWest"},0),1,2,3,4,5,6,7,8)</f>
        <v>8</v>
      </c>
      <c r="AB2648" s="2">
        <f t="shared" si="416"/>
        <v>1</v>
      </c>
      <c r="AC2648">
        <v>1011.7</v>
      </c>
      <c r="AD2648" t="s">
        <v>2501</v>
      </c>
      <c r="AE2648" s="2">
        <f t="shared" si="417"/>
        <v>1</v>
      </c>
      <c r="AF2648" t="s">
        <v>3593</v>
      </c>
      <c r="AG2648" s="2">
        <f t="shared" si="418"/>
        <v>8</v>
      </c>
      <c r="AH2648" s="2">
        <f t="shared" si="419"/>
        <v>1</v>
      </c>
      <c r="AI2648" s="3">
        <v>135.99999999278231</v>
      </c>
      <c r="AJ2648" s="2">
        <v>0</v>
      </c>
      <c r="AK2648">
        <v>0</v>
      </c>
      <c r="AL2648">
        <v>8</v>
      </c>
      <c r="AM2648">
        <v>0</v>
      </c>
      <c r="AN2648" s="2">
        <f>IF((2*G2648+M2648-O2648+3*V2648+2*AB2648+2*AE2648+2*AH2648+3*AJ2648)&gt;=7,1,0)</f>
        <v>1</v>
      </c>
    </row>
    <row r="2649" spans="1:40" x14ac:dyDescent="0.25">
      <c r="A2649" t="s">
        <v>27</v>
      </c>
      <c r="B2649" s="1">
        <v>45155</v>
      </c>
      <c r="C2649" s="6">
        <f t="shared" si="410"/>
        <v>2023</v>
      </c>
      <c r="D2649">
        <v>87.8</v>
      </c>
      <c r="E2649">
        <v>73.400000000000006</v>
      </c>
      <c r="F2649">
        <v>81.8</v>
      </c>
      <c r="G2649" s="2">
        <f t="shared" si="411"/>
        <v>1</v>
      </c>
      <c r="H2649">
        <v>95.8</v>
      </c>
      <c r="I2649">
        <v>73.400000000000006</v>
      </c>
      <c r="J2649">
        <v>85.9</v>
      </c>
      <c r="K2649">
        <v>71.400000000000006</v>
      </c>
      <c r="L2649">
        <v>71.400000000000006</v>
      </c>
      <c r="M2649" s="2">
        <f t="shared" si="412"/>
        <v>0</v>
      </c>
      <c r="N2649">
        <v>0</v>
      </c>
      <c r="O2649" s="2">
        <f t="shared" si="413"/>
        <v>1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28.6</v>
      </c>
      <c r="V2649" s="2">
        <f t="shared" si="414"/>
        <v>1</v>
      </c>
      <c r="W2649">
        <v>16.100000000000001</v>
      </c>
      <c r="X2649" s="2">
        <f t="shared" si="415"/>
        <v>1</v>
      </c>
      <c r="Y2649">
        <v>303.89999999999998</v>
      </c>
      <c r="Z2649" s="2" t="str">
        <f>CHOOSE(MATCH(Y2649,{0;11;80;111;161;191;241;281;341},1),"North","NorthEast","East","SouthEast","South","SouthWest","West","NorthWest","North")</f>
        <v>NorthWest</v>
      </c>
      <c r="AA2649" s="4">
        <f>CHOOSE(MATCH(Z2649,{"South";"SouthEast";"SouthWest";"North";"NorthEast";"East";"West";"NorthWest"},0),1,2,3,4,5,6,7,8)</f>
        <v>8</v>
      </c>
      <c r="AB2649" s="2">
        <f t="shared" si="416"/>
        <v>1</v>
      </c>
      <c r="AC2649">
        <v>1010</v>
      </c>
      <c r="AD2649" t="s">
        <v>3337</v>
      </c>
      <c r="AE2649" s="2">
        <f t="shared" si="417"/>
        <v>0</v>
      </c>
      <c r="AF2649" t="s">
        <v>3594</v>
      </c>
      <c r="AG2649" s="2">
        <f t="shared" si="418"/>
        <v>8</v>
      </c>
      <c r="AH2649" s="2">
        <f t="shared" si="419"/>
        <v>1</v>
      </c>
      <c r="AI2649" s="3">
        <v>294.00000000488939</v>
      </c>
      <c r="AJ2649" s="2">
        <v>0</v>
      </c>
      <c r="AK2649">
        <v>0</v>
      </c>
      <c r="AL2649">
        <v>0.2</v>
      </c>
      <c r="AM2649">
        <v>0</v>
      </c>
      <c r="AN2649" s="2">
        <f>IF((2*G2649+M2649-O2649+3*V2649+2*AB2649+2*AE2649+2*AH2649+3*AJ2649)&gt;=7,1,0)</f>
        <v>1</v>
      </c>
    </row>
    <row r="2650" spans="1:40" x14ac:dyDescent="0.25">
      <c r="A2650" t="s">
        <v>27</v>
      </c>
      <c r="B2650" s="1">
        <v>45161</v>
      </c>
      <c r="C2650" s="6">
        <f t="shared" si="410"/>
        <v>2023</v>
      </c>
      <c r="D2650">
        <v>86</v>
      </c>
      <c r="E2650">
        <v>69.8</v>
      </c>
      <c r="F2650">
        <v>79.5</v>
      </c>
      <c r="G2650" s="2">
        <f t="shared" si="411"/>
        <v>1</v>
      </c>
      <c r="H2650">
        <v>95.1</v>
      </c>
      <c r="I2650">
        <v>69.8</v>
      </c>
      <c r="J2650">
        <v>82.4</v>
      </c>
      <c r="K2650">
        <v>69.3</v>
      </c>
      <c r="L2650">
        <v>72.400000000000006</v>
      </c>
      <c r="M2650" s="2">
        <f t="shared" si="412"/>
        <v>0</v>
      </c>
      <c r="N2650">
        <v>0</v>
      </c>
      <c r="O2650" s="2">
        <f t="shared" si="413"/>
        <v>1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20.8</v>
      </c>
      <c r="V2650" s="2">
        <f t="shared" si="414"/>
        <v>1</v>
      </c>
      <c r="W2650">
        <v>10.3</v>
      </c>
      <c r="X2650" s="2">
        <f t="shared" si="415"/>
        <v>0</v>
      </c>
      <c r="Y2650">
        <v>258.8</v>
      </c>
      <c r="Z2650" s="2" t="str">
        <f>CHOOSE(MATCH(Y2650,{0;11;80;111;161;191;241;281;341},1),"North","NorthEast","East","SouthEast","South","SouthWest","West","NorthWest","North")</f>
        <v>West</v>
      </c>
      <c r="AA2650" s="4">
        <f>CHOOSE(MATCH(Z2650,{"South";"SouthEast";"SouthWest";"North";"NorthEast";"East";"West";"NorthWest"},0),1,2,3,4,5,6,7,8)</f>
        <v>7</v>
      </c>
      <c r="AB2650" s="2">
        <f t="shared" si="416"/>
        <v>0</v>
      </c>
      <c r="AC2650">
        <v>1010.5</v>
      </c>
      <c r="AD2650" t="s">
        <v>3595</v>
      </c>
      <c r="AE2650" s="2">
        <f t="shared" si="417"/>
        <v>0</v>
      </c>
      <c r="AF2650" t="s">
        <v>3596</v>
      </c>
      <c r="AG2650" s="2">
        <f t="shared" si="418"/>
        <v>8</v>
      </c>
      <c r="AH2650" s="2">
        <f t="shared" si="419"/>
        <v>1</v>
      </c>
      <c r="AI2650" s="3">
        <v>66.999999998370185</v>
      </c>
      <c r="AJ2650" s="2">
        <v>0</v>
      </c>
      <c r="AK2650">
        <v>0</v>
      </c>
      <c r="AL2650">
        <v>0.1</v>
      </c>
      <c r="AM2650">
        <v>0</v>
      </c>
      <c r="AN2650" s="2">
        <f>IF((2*G2650+M2650-O2650+3*V2650+2*AB2650+2*AE2650+2*AH2650+3*AJ2650)&gt;=7,1,0)</f>
        <v>0</v>
      </c>
    </row>
    <row r="2651" spans="1:40" x14ac:dyDescent="0.25">
      <c r="A2651" t="s">
        <v>27</v>
      </c>
      <c r="B2651" s="1">
        <v>45161</v>
      </c>
      <c r="C2651" s="6">
        <f t="shared" si="410"/>
        <v>2023</v>
      </c>
      <c r="D2651">
        <v>86</v>
      </c>
      <c r="E2651">
        <v>69.8</v>
      </c>
      <c r="F2651">
        <v>79.5</v>
      </c>
      <c r="G2651" s="2">
        <f t="shared" si="411"/>
        <v>1</v>
      </c>
      <c r="H2651">
        <v>95.1</v>
      </c>
      <c r="I2651">
        <v>69.8</v>
      </c>
      <c r="J2651">
        <v>82.4</v>
      </c>
      <c r="K2651">
        <v>69.3</v>
      </c>
      <c r="L2651">
        <v>72.400000000000006</v>
      </c>
      <c r="M2651" s="2">
        <f t="shared" si="412"/>
        <v>0</v>
      </c>
      <c r="N2651">
        <v>0</v>
      </c>
      <c r="O2651" s="2">
        <f t="shared" si="413"/>
        <v>1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20.8</v>
      </c>
      <c r="V2651" s="2">
        <f t="shared" si="414"/>
        <v>1</v>
      </c>
      <c r="W2651">
        <v>10.3</v>
      </c>
      <c r="X2651" s="2">
        <f t="shared" si="415"/>
        <v>0</v>
      </c>
      <c r="Y2651">
        <v>258.8</v>
      </c>
      <c r="Z2651" s="2" t="str">
        <f>CHOOSE(MATCH(Y2651,{0;11;80;111;161;191;241;281;341},1),"North","NorthEast","East","SouthEast","South","SouthWest","West","NorthWest","North")</f>
        <v>West</v>
      </c>
      <c r="AA2651" s="4">
        <f>CHOOSE(MATCH(Z2651,{"South";"SouthEast";"SouthWest";"North";"NorthEast";"East";"West";"NorthWest"},0),1,2,3,4,5,6,7,8)</f>
        <v>7</v>
      </c>
      <c r="AB2651" s="2">
        <f t="shared" si="416"/>
        <v>0</v>
      </c>
      <c r="AC2651">
        <v>1010.5</v>
      </c>
      <c r="AD2651" t="s">
        <v>1107</v>
      </c>
      <c r="AE2651" s="2">
        <f t="shared" si="417"/>
        <v>1</v>
      </c>
      <c r="AF2651" t="s">
        <v>3597</v>
      </c>
      <c r="AG2651" s="2">
        <f t="shared" si="418"/>
        <v>8</v>
      </c>
      <c r="AH2651" s="2">
        <f t="shared" si="419"/>
        <v>1</v>
      </c>
      <c r="AI2651" s="3">
        <v>2594.0000000002328</v>
      </c>
      <c r="AJ2651" s="2">
        <v>1</v>
      </c>
      <c r="AK2651">
        <v>2</v>
      </c>
      <c r="AL2651">
        <v>0</v>
      </c>
      <c r="AM2651">
        <v>0</v>
      </c>
      <c r="AN2651" s="2">
        <f>IF((2*G2651+M2651-O2651+3*V2651+2*AB2651+2*AE2651+2*AH2651+3*AJ2651)&gt;=7,1,0)</f>
        <v>1</v>
      </c>
    </row>
    <row r="2652" spans="1:40" x14ac:dyDescent="0.25">
      <c r="A2652" t="s">
        <v>27</v>
      </c>
      <c r="B2652" s="1">
        <v>45163</v>
      </c>
      <c r="C2652" s="6">
        <f t="shared" si="410"/>
        <v>2023</v>
      </c>
      <c r="D2652">
        <v>89.6</v>
      </c>
      <c r="E2652">
        <v>75.2</v>
      </c>
      <c r="F2652">
        <v>83.4</v>
      </c>
      <c r="G2652" s="2">
        <f t="shared" si="411"/>
        <v>1</v>
      </c>
      <c r="H2652">
        <v>98.1</v>
      </c>
      <c r="I2652">
        <v>75.2</v>
      </c>
      <c r="J2652">
        <v>86.1</v>
      </c>
      <c r="K2652">
        <v>67.8</v>
      </c>
      <c r="L2652">
        <v>60.3</v>
      </c>
      <c r="M2652" s="2">
        <f t="shared" si="412"/>
        <v>1</v>
      </c>
      <c r="N2652">
        <v>0</v>
      </c>
      <c r="O2652" s="2">
        <f t="shared" si="413"/>
        <v>1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29.8</v>
      </c>
      <c r="V2652" s="2">
        <f t="shared" si="414"/>
        <v>1</v>
      </c>
      <c r="W2652">
        <v>18.3</v>
      </c>
      <c r="X2652" s="2">
        <f t="shared" si="415"/>
        <v>1</v>
      </c>
      <c r="Y2652">
        <v>302.2</v>
      </c>
      <c r="Z2652" s="2" t="str">
        <f>CHOOSE(MATCH(Y2652,{0;11;80;111;161;191;241;281;341},1),"North","NorthEast","East","SouthEast","South","SouthWest","West","NorthWest","North")</f>
        <v>NorthWest</v>
      </c>
      <c r="AA2652" s="4">
        <f>CHOOSE(MATCH(Z2652,{"South";"SouthEast";"SouthWest";"North";"NorthEast";"East";"West";"NorthWest"},0),1,2,3,4,5,6,7,8)</f>
        <v>8</v>
      </c>
      <c r="AB2652" s="2">
        <f t="shared" si="416"/>
        <v>1</v>
      </c>
      <c r="AC2652">
        <v>1011.3</v>
      </c>
      <c r="AD2652" t="s">
        <v>1868</v>
      </c>
      <c r="AE2652" s="2">
        <f t="shared" si="417"/>
        <v>1</v>
      </c>
      <c r="AF2652" t="s">
        <v>3598</v>
      </c>
      <c r="AG2652" s="2">
        <f t="shared" si="418"/>
        <v>8</v>
      </c>
      <c r="AH2652" s="2">
        <f t="shared" si="419"/>
        <v>1</v>
      </c>
      <c r="AI2652" s="3">
        <v>299.99999999301508</v>
      </c>
      <c r="AJ2652" s="2">
        <v>0</v>
      </c>
      <c r="AK2652">
        <v>0</v>
      </c>
      <c r="AL2652">
        <v>15</v>
      </c>
      <c r="AM2652">
        <v>0</v>
      </c>
      <c r="AN2652" s="2">
        <f>IF((2*G2652+M2652-O2652+3*V2652+2*AB2652+2*AE2652+2*AH2652+3*AJ2652)&gt;=7,1,0)</f>
        <v>1</v>
      </c>
    </row>
    <row r="2653" spans="1:40" x14ac:dyDescent="0.25">
      <c r="A2653" t="s">
        <v>27</v>
      </c>
      <c r="B2653" s="1">
        <v>45163</v>
      </c>
      <c r="C2653" s="6">
        <f t="shared" si="410"/>
        <v>2023</v>
      </c>
      <c r="D2653">
        <v>89.6</v>
      </c>
      <c r="E2653">
        <v>75.2</v>
      </c>
      <c r="F2653">
        <v>83.4</v>
      </c>
      <c r="G2653" s="2">
        <f t="shared" si="411"/>
        <v>1</v>
      </c>
      <c r="H2653">
        <v>98.1</v>
      </c>
      <c r="I2653">
        <v>75.2</v>
      </c>
      <c r="J2653">
        <v>86.1</v>
      </c>
      <c r="K2653">
        <v>67.8</v>
      </c>
      <c r="L2653">
        <v>60.3</v>
      </c>
      <c r="M2653" s="2">
        <f t="shared" si="412"/>
        <v>1</v>
      </c>
      <c r="N2653">
        <v>0</v>
      </c>
      <c r="O2653" s="2">
        <f t="shared" si="413"/>
        <v>1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29.8</v>
      </c>
      <c r="V2653" s="2">
        <f t="shared" si="414"/>
        <v>1</v>
      </c>
      <c r="W2653">
        <v>18.3</v>
      </c>
      <c r="X2653" s="2">
        <f t="shared" si="415"/>
        <v>1</v>
      </c>
      <c r="Y2653">
        <v>302.2</v>
      </c>
      <c r="Z2653" s="2" t="str">
        <f>CHOOSE(MATCH(Y2653,{0;11;80;111;161;191;241;281;341},1),"North","NorthEast","East","SouthEast","South","SouthWest","West","NorthWest","North")</f>
        <v>NorthWest</v>
      </c>
      <c r="AA2653" s="4">
        <f>CHOOSE(MATCH(Z2653,{"South";"SouthEast";"SouthWest";"North";"NorthEast";"East";"West";"NorthWest"},0),1,2,3,4,5,6,7,8)</f>
        <v>8</v>
      </c>
      <c r="AB2653" s="2">
        <f t="shared" si="416"/>
        <v>1</v>
      </c>
      <c r="AC2653">
        <v>1011.3</v>
      </c>
      <c r="AD2653" t="s">
        <v>1201</v>
      </c>
      <c r="AE2653" s="2">
        <f t="shared" si="417"/>
        <v>1</v>
      </c>
      <c r="AF2653" t="s">
        <v>3599</v>
      </c>
      <c r="AG2653" s="2">
        <f t="shared" si="418"/>
        <v>8</v>
      </c>
      <c r="AH2653" s="2">
        <f t="shared" si="419"/>
        <v>1</v>
      </c>
      <c r="AI2653" s="3">
        <v>78.999999995576218</v>
      </c>
      <c r="AJ2653" s="2">
        <v>0</v>
      </c>
      <c r="AK2653">
        <v>0</v>
      </c>
      <c r="AL2653">
        <v>0.01</v>
      </c>
      <c r="AM2653">
        <v>0</v>
      </c>
      <c r="AN2653" s="2">
        <f>IF((2*G2653+M2653-O2653+3*V2653+2*AB2653+2*AE2653+2*AH2653+3*AJ2653)&gt;=7,1,0)</f>
        <v>1</v>
      </c>
    </row>
    <row r="2654" spans="1:40" x14ac:dyDescent="0.25">
      <c r="A2654" t="s">
        <v>27</v>
      </c>
      <c r="B2654" s="1">
        <v>45165</v>
      </c>
      <c r="C2654" s="6">
        <f t="shared" si="410"/>
        <v>2023</v>
      </c>
      <c r="D2654">
        <v>87.8</v>
      </c>
      <c r="E2654">
        <v>75.2</v>
      </c>
      <c r="F2654">
        <v>81.2</v>
      </c>
      <c r="G2654" s="2">
        <f t="shared" si="411"/>
        <v>1</v>
      </c>
      <c r="H2654">
        <v>90.6</v>
      </c>
      <c r="I2654">
        <v>75.2</v>
      </c>
      <c r="J2654">
        <v>82.8</v>
      </c>
      <c r="K2654">
        <v>63.6</v>
      </c>
      <c r="L2654">
        <v>55.7</v>
      </c>
      <c r="M2654" s="2">
        <f t="shared" si="412"/>
        <v>1</v>
      </c>
      <c r="N2654">
        <v>0</v>
      </c>
      <c r="O2654" s="2">
        <f t="shared" si="413"/>
        <v>1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33.299999999999997</v>
      </c>
      <c r="V2654" s="2">
        <f t="shared" si="414"/>
        <v>1</v>
      </c>
      <c r="W2654">
        <v>23</v>
      </c>
      <c r="X2654" s="2">
        <f t="shared" si="415"/>
        <v>1</v>
      </c>
      <c r="Y2654">
        <v>283.7</v>
      </c>
      <c r="Z2654" s="2" t="str">
        <f>CHOOSE(MATCH(Y2654,{0;11;80;111;161;191;241;281;341},1),"North","NorthEast","East","SouthEast","South","SouthWest","West","NorthWest","North")</f>
        <v>NorthWest</v>
      </c>
      <c r="AA2654" s="4">
        <f>CHOOSE(MATCH(Z2654,{"South";"SouthEast";"SouthWest";"North";"NorthEast";"East";"West";"NorthWest"},0),1,2,3,4,5,6,7,8)</f>
        <v>8</v>
      </c>
      <c r="AB2654" s="2">
        <f t="shared" si="416"/>
        <v>1</v>
      </c>
      <c r="AC2654">
        <v>1008.7</v>
      </c>
      <c r="AD2654" t="s">
        <v>3121</v>
      </c>
      <c r="AE2654" s="2">
        <f t="shared" si="417"/>
        <v>1</v>
      </c>
      <c r="AF2654" t="s">
        <v>3600</v>
      </c>
      <c r="AG2654" s="2">
        <f t="shared" si="418"/>
        <v>8</v>
      </c>
      <c r="AH2654" s="2">
        <f t="shared" si="419"/>
        <v>1</v>
      </c>
      <c r="AI2654" s="3">
        <v>1694.0000000002331</v>
      </c>
      <c r="AJ2654" s="2">
        <v>1</v>
      </c>
      <c r="AK2654">
        <v>4</v>
      </c>
      <c r="AL2654">
        <v>4</v>
      </c>
      <c r="AM2654">
        <v>0</v>
      </c>
      <c r="AN2654" s="2">
        <f>IF((2*G2654+M2654-O2654+3*V2654+2*AB2654+2*AE2654+2*AH2654+3*AJ2654)&gt;=7,1,0)</f>
        <v>1</v>
      </c>
    </row>
    <row r="2655" spans="1:40" x14ac:dyDescent="0.25">
      <c r="A2655" t="s">
        <v>27</v>
      </c>
      <c r="B2655" s="1">
        <v>45184</v>
      </c>
      <c r="C2655" s="6">
        <f t="shared" si="410"/>
        <v>2023</v>
      </c>
      <c r="D2655">
        <v>82.4</v>
      </c>
      <c r="E2655">
        <v>66.2</v>
      </c>
      <c r="F2655">
        <v>75</v>
      </c>
      <c r="G2655" s="2">
        <f t="shared" si="411"/>
        <v>1</v>
      </c>
      <c r="H2655">
        <v>84.7</v>
      </c>
      <c r="I2655">
        <v>66.2</v>
      </c>
      <c r="J2655">
        <v>75.7</v>
      </c>
      <c r="K2655">
        <v>61.5</v>
      </c>
      <c r="L2655">
        <v>63.4</v>
      </c>
      <c r="M2655" s="2">
        <f t="shared" si="412"/>
        <v>1</v>
      </c>
      <c r="N2655">
        <v>0</v>
      </c>
      <c r="O2655" s="2">
        <f t="shared" si="413"/>
        <v>1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25.3</v>
      </c>
      <c r="V2655" s="2">
        <f t="shared" si="414"/>
        <v>1</v>
      </c>
      <c r="W2655">
        <v>13.9</v>
      </c>
      <c r="X2655" s="2">
        <f t="shared" si="415"/>
        <v>0</v>
      </c>
      <c r="Y2655">
        <v>287.7</v>
      </c>
      <c r="Z2655" s="2" t="str">
        <f>CHOOSE(MATCH(Y2655,{0;11;80;111;161;191;241;281;341},1),"North","NorthEast","East","SouthEast","South","SouthWest","West","NorthWest","North")</f>
        <v>NorthWest</v>
      </c>
      <c r="AA2655" s="4">
        <f>CHOOSE(MATCH(Z2655,{"South";"SouthEast";"SouthWest";"North";"NorthEast";"East";"West";"NorthWest"},0),1,2,3,4,5,6,7,8)</f>
        <v>8</v>
      </c>
      <c r="AB2655" s="2">
        <f t="shared" si="416"/>
        <v>1</v>
      </c>
      <c r="AC2655">
        <v>1015.2</v>
      </c>
      <c r="AD2655" t="s">
        <v>3601</v>
      </c>
      <c r="AE2655" s="2">
        <f t="shared" si="417"/>
        <v>0</v>
      </c>
      <c r="AF2655" t="s">
        <v>3602</v>
      </c>
      <c r="AG2655" s="2">
        <f t="shared" si="418"/>
        <v>9</v>
      </c>
      <c r="AH2655" s="2">
        <f t="shared" si="419"/>
        <v>0</v>
      </c>
      <c r="AI2655" s="3">
        <v>3367.9999999981369</v>
      </c>
      <c r="AJ2655" s="2">
        <v>1</v>
      </c>
      <c r="AK2655">
        <v>0</v>
      </c>
      <c r="AL2655">
        <v>1</v>
      </c>
      <c r="AM2655">
        <v>0</v>
      </c>
      <c r="AN2655" s="2">
        <f>IF((2*G2655+M2655-O2655+3*V2655+2*AB2655+2*AE2655+2*AH2655+3*AJ2655)&gt;=7,1,0)</f>
        <v>1</v>
      </c>
    </row>
    <row r="2656" spans="1:40" x14ac:dyDescent="0.25">
      <c r="A2656" t="s">
        <v>27</v>
      </c>
      <c r="B2656" s="1">
        <v>45184</v>
      </c>
      <c r="C2656" s="6">
        <f t="shared" si="410"/>
        <v>2023</v>
      </c>
      <c r="D2656">
        <v>82.4</v>
      </c>
      <c r="E2656">
        <v>66.2</v>
      </c>
      <c r="F2656">
        <v>75</v>
      </c>
      <c r="G2656" s="2">
        <f t="shared" si="411"/>
        <v>1</v>
      </c>
      <c r="H2656">
        <v>84.7</v>
      </c>
      <c r="I2656">
        <v>66.2</v>
      </c>
      <c r="J2656">
        <v>75.7</v>
      </c>
      <c r="K2656">
        <v>61.5</v>
      </c>
      <c r="L2656">
        <v>63.4</v>
      </c>
      <c r="M2656" s="2">
        <f t="shared" si="412"/>
        <v>1</v>
      </c>
      <c r="N2656">
        <v>0</v>
      </c>
      <c r="O2656" s="2">
        <f t="shared" si="413"/>
        <v>1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25.3</v>
      </c>
      <c r="V2656" s="2">
        <f t="shared" si="414"/>
        <v>1</v>
      </c>
      <c r="W2656">
        <v>13.9</v>
      </c>
      <c r="X2656" s="2">
        <f t="shared" si="415"/>
        <v>0</v>
      </c>
      <c r="Y2656">
        <v>287.7</v>
      </c>
      <c r="Z2656" s="2" t="str">
        <f>CHOOSE(MATCH(Y2656,{0;11;80;111;161;191;241;281;341},1),"North","NorthEast","East","SouthEast","South","SouthWest","West","NorthWest","North")</f>
        <v>NorthWest</v>
      </c>
      <c r="AA2656" s="4">
        <f>CHOOSE(MATCH(Z2656,{"South";"SouthEast";"SouthWest";"North";"NorthEast";"East";"West";"NorthWest"},0),1,2,3,4,5,6,7,8)</f>
        <v>8</v>
      </c>
      <c r="AB2656" s="2">
        <f t="shared" si="416"/>
        <v>1</v>
      </c>
      <c r="AC2656">
        <v>1015.2</v>
      </c>
      <c r="AD2656" t="s">
        <v>3603</v>
      </c>
      <c r="AE2656" s="2">
        <f t="shared" si="417"/>
        <v>0</v>
      </c>
      <c r="AF2656" t="s">
        <v>3604</v>
      </c>
      <c r="AG2656" s="2">
        <f t="shared" si="418"/>
        <v>9</v>
      </c>
      <c r="AH2656" s="2">
        <f t="shared" si="419"/>
        <v>0</v>
      </c>
      <c r="AI2656" s="3">
        <v>162.9999999969732</v>
      </c>
      <c r="AJ2656" s="2">
        <v>0</v>
      </c>
      <c r="AK2656">
        <v>0.5</v>
      </c>
      <c r="AL2656">
        <v>0</v>
      </c>
      <c r="AM2656">
        <v>0</v>
      </c>
      <c r="AN2656" s="2">
        <f>IF((2*G2656+M2656-O2656+3*V2656+2*AB2656+2*AE2656+2*AH2656+3*AJ2656)&gt;=7,1,0)</f>
        <v>1</v>
      </c>
    </row>
    <row r="2657" spans="1:40" x14ac:dyDescent="0.25">
      <c r="A2657" t="s">
        <v>27</v>
      </c>
      <c r="B2657" s="1">
        <v>45187</v>
      </c>
      <c r="C2657" s="6">
        <f t="shared" si="410"/>
        <v>2023</v>
      </c>
      <c r="D2657">
        <v>78.8</v>
      </c>
      <c r="E2657">
        <v>73.400000000000006</v>
      </c>
      <c r="F2657">
        <v>75.900000000000006</v>
      </c>
      <c r="G2657" s="2">
        <f t="shared" si="411"/>
        <v>1</v>
      </c>
      <c r="H2657">
        <v>78.8</v>
      </c>
      <c r="I2657">
        <v>73.400000000000006</v>
      </c>
      <c r="J2657">
        <v>75.900000000000006</v>
      </c>
      <c r="K2657">
        <v>64</v>
      </c>
      <c r="L2657">
        <v>66.8</v>
      </c>
      <c r="M2657" s="2">
        <f t="shared" si="412"/>
        <v>0</v>
      </c>
      <c r="N2657">
        <v>0</v>
      </c>
      <c r="O2657" s="2">
        <f t="shared" si="413"/>
        <v>1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35.299999999999997</v>
      </c>
      <c r="V2657" s="2">
        <f t="shared" si="414"/>
        <v>1</v>
      </c>
      <c r="W2657">
        <v>23</v>
      </c>
      <c r="X2657" s="2">
        <f t="shared" si="415"/>
        <v>1</v>
      </c>
      <c r="Y2657">
        <v>302.5</v>
      </c>
      <c r="Z2657" s="2" t="str">
        <f>CHOOSE(MATCH(Y2657,{0;11;80;111;161;191;241;281;341},1),"North","NorthEast","East","SouthEast","South","SouthWest","West","NorthWest","North")</f>
        <v>NorthWest</v>
      </c>
      <c r="AA2657" s="4">
        <f>CHOOSE(MATCH(Z2657,{"South";"SouthEast";"SouthWest";"North";"NorthEast";"East";"West";"NorthWest"},0),1,2,3,4,5,6,7,8)</f>
        <v>8</v>
      </c>
      <c r="AB2657" s="2">
        <f t="shared" si="416"/>
        <v>1</v>
      </c>
      <c r="AC2657">
        <v>1013.8</v>
      </c>
      <c r="AD2657" t="s">
        <v>3605</v>
      </c>
      <c r="AE2657" s="2">
        <f t="shared" si="417"/>
        <v>0</v>
      </c>
      <c r="AF2657" t="s">
        <v>3606</v>
      </c>
      <c r="AG2657" s="2">
        <f t="shared" si="418"/>
        <v>9</v>
      </c>
      <c r="AH2657" s="2">
        <f t="shared" si="419"/>
        <v>0</v>
      </c>
      <c r="AI2657" s="3">
        <v>1962.000000004191</v>
      </c>
      <c r="AJ2657" s="2">
        <v>1</v>
      </c>
      <c r="AK2657">
        <v>0.5</v>
      </c>
      <c r="AL2657">
        <v>0</v>
      </c>
      <c r="AM2657">
        <v>0</v>
      </c>
      <c r="AN2657" s="2">
        <f>IF((2*G2657+M2657-O2657+3*V2657+2*AB2657+2*AE2657+2*AH2657+3*AJ2657)&gt;=7,1,0)</f>
        <v>1</v>
      </c>
    </row>
    <row r="2658" spans="1:40" x14ac:dyDescent="0.25">
      <c r="A2658" t="s">
        <v>27</v>
      </c>
      <c r="B2658" s="1">
        <v>45191</v>
      </c>
      <c r="C2658" s="6">
        <f t="shared" si="410"/>
        <v>2023</v>
      </c>
      <c r="D2658">
        <v>84.2</v>
      </c>
      <c r="E2658">
        <v>68</v>
      </c>
      <c r="F2658">
        <v>75.2</v>
      </c>
      <c r="G2658" s="2">
        <f t="shared" si="411"/>
        <v>1</v>
      </c>
      <c r="H2658">
        <v>86.2</v>
      </c>
      <c r="I2658">
        <v>68</v>
      </c>
      <c r="J2658">
        <v>76</v>
      </c>
      <c r="K2658">
        <v>60.2</v>
      </c>
      <c r="L2658">
        <v>60.2</v>
      </c>
      <c r="M2658" s="2">
        <f t="shared" si="412"/>
        <v>1</v>
      </c>
      <c r="N2658">
        <v>0</v>
      </c>
      <c r="O2658" s="2">
        <f t="shared" si="413"/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21.9</v>
      </c>
      <c r="V2658" s="2">
        <f t="shared" si="414"/>
        <v>1</v>
      </c>
      <c r="W2658">
        <v>8.1</v>
      </c>
      <c r="X2658" s="2">
        <f t="shared" si="415"/>
        <v>0</v>
      </c>
      <c r="Y2658">
        <v>168.3</v>
      </c>
      <c r="Z2658" s="2" t="str">
        <f>CHOOSE(MATCH(Y2658,{0;11;80;111;161;191;241;281;341},1),"North","NorthEast","East","SouthEast","South","SouthWest","West","NorthWest","North")</f>
        <v>South</v>
      </c>
      <c r="AA2658" s="4">
        <f>CHOOSE(MATCH(Z2658,{"South";"SouthEast";"SouthWest";"North";"NorthEast";"East";"West";"NorthWest"},0),1,2,3,4,5,6,7,8)</f>
        <v>1</v>
      </c>
      <c r="AB2658" s="2">
        <f t="shared" si="416"/>
        <v>0</v>
      </c>
      <c r="AC2658">
        <v>1016.3</v>
      </c>
      <c r="AD2658" t="s">
        <v>1796</v>
      </c>
      <c r="AE2658" s="2">
        <f t="shared" si="417"/>
        <v>1</v>
      </c>
      <c r="AF2658" t="s">
        <v>3607</v>
      </c>
      <c r="AG2658" s="2">
        <f t="shared" si="418"/>
        <v>9</v>
      </c>
      <c r="AH2658" s="2">
        <f t="shared" si="419"/>
        <v>0</v>
      </c>
      <c r="AI2658" s="3">
        <v>78.000000002793968</v>
      </c>
      <c r="AJ2658" s="2">
        <v>0</v>
      </c>
      <c r="AK2658">
        <v>0.1</v>
      </c>
      <c r="AL2658">
        <v>0</v>
      </c>
      <c r="AM2658">
        <v>0</v>
      </c>
      <c r="AN2658" s="2">
        <f>IF((2*G2658+M2658-O2658+3*V2658+2*AB2658+2*AE2658+2*AH2658+3*AJ2658)&gt;=7,1,0)</f>
        <v>1</v>
      </c>
    </row>
    <row r="2659" spans="1:40" x14ac:dyDescent="0.25">
      <c r="A2659" t="s">
        <v>27</v>
      </c>
      <c r="B2659" s="1">
        <v>45193</v>
      </c>
      <c r="C2659" s="6">
        <f t="shared" si="410"/>
        <v>2023</v>
      </c>
      <c r="D2659">
        <v>89.6</v>
      </c>
      <c r="E2659">
        <v>69.8</v>
      </c>
      <c r="F2659">
        <v>79.099999999999994</v>
      </c>
      <c r="G2659" s="2">
        <f t="shared" si="411"/>
        <v>1</v>
      </c>
      <c r="H2659">
        <v>90.3</v>
      </c>
      <c r="I2659">
        <v>69.8</v>
      </c>
      <c r="J2659">
        <v>79.400000000000006</v>
      </c>
      <c r="K2659">
        <v>57.4</v>
      </c>
      <c r="L2659">
        <v>48</v>
      </c>
      <c r="M2659" s="2">
        <f t="shared" si="412"/>
        <v>1</v>
      </c>
      <c r="N2659">
        <v>0</v>
      </c>
      <c r="O2659" s="2">
        <f t="shared" si="413"/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20.100000000000001</v>
      </c>
      <c r="V2659" s="2">
        <f t="shared" si="414"/>
        <v>1</v>
      </c>
      <c r="W2659">
        <v>9.1999999999999993</v>
      </c>
      <c r="X2659" s="2">
        <f t="shared" si="415"/>
        <v>0</v>
      </c>
      <c r="Y2659">
        <v>168</v>
      </c>
      <c r="Z2659" s="2" t="str">
        <f>CHOOSE(MATCH(Y2659,{0;11;80;111;161;191;241;281;341},1),"North","NorthEast","East","SouthEast","South","SouthWest","West","NorthWest","North")</f>
        <v>South</v>
      </c>
      <c r="AA2659" s="4">
        <f>CHOOSE(MATCH(Z2659,{"South";"SouthEast";"SouthWest";"North";"NorthEast";"East";"West";"NorthWest"},0),1,2,3,4,5,6,7,8)</f>
        <v>1</v>
      </c>
      <c r="AB2659" s="2">
        <f t="shared" si="416"/>
        <v>0</v>
      </c>
      <c r="AC2659">
        <v>1012.8</v>
      </c>
      <c r="AD2659" t="s">
        <v>3608</v>
      </c>
      <c r="AE2659" s="2">
        <f t="shared" si="417"/>
        <v>1</v>
      </c>
      <c r="AF2659" t="s">
        <v>3609</v>
      </c>
      <c r="AG2659" s="2">
        <f t="shared" si="418"/>
        <v>9</v>
      </c>
      <c r="AH2659" s="2">
        <f t="shared" si="419"/>
        <v>0</v>
      </c>
      <c r="AI2659" s="3">
        <v>873.99999999906868</v>
      </c>
      <c r="AJ2659" s="2">
        <v>1</v>
      </c>
      <c r="AK2659">
        <v>0</v>
      </c>
      <c r="AL2659">
        <v>25</v>
      </c>
      <c r="AM2659">
        <v>0</v>
      </c>
      <c r="AN2659" s="2">
        <f>IF((2*G2659+M2659-O2659+3*V2659+2*AB2659+2*AE2659+2*AH2659+3*AJ2659)&gt;=7,1,0)</f>
        <v>1</v>
      </c>
    </row>
    <row r="2660" spans="1:40" x14ac:dyDescent="0.25">
      <c r="A2660" t="s">
        <v>27</v>
      </c>
      <c r="B2660" s="1">
        <v>45194</v>
      </c>
      <c r="C2660" s="6">
        <f t="shared" si="410"/>
        <v>2023</v>
      </c>
      <c r="D2660">
        <v>84.2</v>
      </c>
      <c r="E2660">
        <v>68</v>
      </c>
      <c r="F2660">
        <v>77</v>
      </c>
      <c r="G2660" s="2">
        <f t="shared" si="411"/>
        <v>1</v>
      </c>
      <c r="H2660">
        <v>89.6</v>
      </c>
      <c r="I2660">
        <v>68</v>
      </c>
      <c r="J2660">
        <v>78.599999999999994</v>
      </c>
      <c r="K2660">
        <v>62.2</v>
      </c>
      <c r="L2660">
        <v>62.2</v>
      </c>
      <c r="M2660" s="2">
        <f t="shared" si="412"/>
        <v>1</v>
      </c>
      <c r="N2660">
        <v>0</v>
      </c>
      <c r="O2660" s="2">
        <f t="shared" si="413"/>
        <v>1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20.8</v>
      </c>
      <c r="V2660" s="2">
        <f t="shared" si="414"/>
        <v>1</v>
      </c>
      <c r="W2660">
        <v>9.1999999999999993</v>
      </c>
      <c r="X2660" s="2">
        <f t="shared" si="415"/>
        <v>0</v>
      </c>
      <c r="Y2660">
        <v>185.8</v>
      </c>
      <c r="Z2660" s="2" t="str">
        <f>CHOOSE(MATCH(Y2660,{0;11;80;111;161;191;241;281;341},1),"North","NorthEast","East","SouthEast","South","SouthWest","West","NorthWest","North")</f>
        <v>South</v>
      </c>
      <c r="AA2660" s="4">
        <f>CHOOSE(MATCH(Z2660,{"South";"SouthEast";"SouthWest";"North";"NorthEast";"East";"West";"NorthWest"},0),1,2,3,4,5,6,7,8)</f>
        <v>1</v>
      </c>
      <c r="AB2660" s="2">
        <f t="shared" si="416"/>
        <v>0</v>
      </c>
      <c r="AC2660">
        <v>1011.2</v>
      </c>
      <c r="AD2660" t="s">
        <v>3045</v>
      </c>
      <c r="AE2660" s="2">
        <f t="shared" si="417"/>
        <v>1</v>
      </c>
      <c r="AF2660" t="s">
        <v>3610</v>
      </c>
      <c r="AG2660" s="2">
        <f t="shared" si="418"/>
        <v>9</v>
      </c>
      <c r="AH2660" s="2">
        <f t="shared" si="419"/>
        <v>0</v>
      </c>
      <c r="AI2660" s="3">
        <v>233.0000000051223</v>
      </c>
      <c r="AJ2660" s="2">
        <v>0</v>
      </c>
      <c r="AK2660">
        <v>0.01</v>
      </c>
      <c r="AL2660">
        <v>0</v>
      </c>
      <c r="AM2660">
        <v>0</v>
      </c>
      <c r="AN2660" s="2">
        <f>IF((2*G2660+M2660-O2660+3*V2660+2*AB2660+2*AE2660+2*AH2660+3*AJ2660)&gt;=7,1,0)</f>
        <v>1</v>
      </c>
    </row>
    <row r="2661" spans="1:40" x14ac:dyDescent="0.25">
      <c r="A2661" t="s">
        <v>27</v>
      </c>
      <c r="B2661" s="1">
        <v>45200</v>
      </c>
      <c r="C2661" s="6">
        <f t="shared" si="410"/>
        <v>2023</v>
      </c>
      <c r="D2661">
        <v>80.599999999999994</v>
      </c>
      <c r="E2661">
        <v>69.8</v>
      </c>
      <c r="F2661">
        <v>74.8</v>
      </c>
      <c r="G2661" s="2">
        <f t="shared" si="411"/>
        <v>1</v>
      </c>
      <c r="H2661">
        <v>82.3</v>
      </c>
      <c r="I2661">
        <v>69.8</v>
      </c>
      <c r="J2661">
        <v>74.900000000000006</v>
      </c>
      <c r="K2661">
        <v>61.6</v>
      </c>
      <c r="L2661">
        <v>64</v>
      </c>
      <c r="M2661" s="2">
        <f t="shared" si="412"/>
        <v>1</v>
      </c>
      <c r="N2661">
        <v>0</v>
      </c>
      <c r="O2661" s="2">
        <f t="shared" si="413"/>
        <v>1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34.9</v>
      </c>
      <c r="V2661" s="2">
        <f t="shared" si="414"/>
        <v>1</v>
      </c>
      <c r="W2661">
        <v>17.2</v>
      </c>
      <c r="X2661" s="2">
        <f t="shared" si="415"/>
        <v>1</v>
      </c>
      <c r="Y2661">
        <v>298.8</v>
      </c>
      <c r="Z2661" s="2" t="str">
        <f>CHOOSE(MATCH(Y2661,{0;11;80;111;161;191;241;281;341},1),"North","NorthEast","East","SouthEast","South","SouthWest","West","NorthWest","North")</f>
        <v>NorthWest</v>
      </c>
      <c r="AA2661" s="4">
        <f>CHOOSE(MATCH(Z2661,{"South";"SouthEast";"SouthWest";"North";"NorthEast";"East";"West";"NorthWest"},0),1,2,3,4,5,6,7,8)</f>
        <v>8</v>
      </c>
      <c r="AB2661" s="2">
        <f t="shared" si="416"/>
        <v>1</v>
      </c>
      <c r="AC2661">
        <v>1016.2</v>
      </c>
      <c r="AD2661" t="s">
        <v>3611</v>
      </c>
      <c r="AE2661" s="2">
        <f t="shared" si="417"/>
        <v>1</v>
      </c>
      <c r="AF2661" t="s">
        <v>3612</v>
      </c>
      <c r="AG2661" s="2">
        <f t="shared" si="418"/>
        <v>10</v>
      </c>
      <c r="AH2661" s="2">
        <f t="shared" si="419"/>
        <v>0</v>
      </c>
      <c r="AI2661" s="3">
        <v>913.00000000046566</v>
      </c>
      <c r="AJ2661" s="2">
        <v>1</v>
      </c>
      <c r="AK2661">
        <v>0</v>
      </c>
      <c r="AL2661">
        <v>5</v>
      </c>
      <c r="AM2661">
        <v>0</v>
      </c>
      <c r="AN2661" s="2">
        <f>IF((2*G2661+M2661-O2661+3*V2661+2*AB2661+2*AE2661+2*AH2661+3*AJ2661)&gt;=7,1,0)</f>
        <v>1</v>
      </c>
    </row>
    <row r="2662" spans="1:40" x14ac:dyDescent="0.25">
      <c r="A2662" t="s">
        <v>27</v>
      </c>
      <c r="B2662" s="1">
        <v>45201</v>
      </c>
      <c r="C2662" s="6">
        <f t="shared" si="410"/>
        <v>2023</v>
      </c>
      <c r="D2662">
        <v>78.8</v>
      </c>
      <c r="E2662">
        <v>71.599999999999994</v>
      </c>
      <c r="F2662">
        <v>75.3</v>
      </c>
      <c r="G2662" s="2">
        <f t="shared" si="411"/>
        <v>1</v>
      </c>
      <c r="H2662">
        <v>78.8</v>
      </c>
      <c r="I2662">
        <v>71.599999999999994</v>
      </c>
      <c r="J2662">
        <v>75.3</v>
      </c>
      <c r="K2662">
        <v>60.4</v>
      </c>
      <c r="L2662">
        <v>60.5</v>
      </c>
      <c r="M2662" s="2">
        <f t="shared" si="412"/>
        <v>1</v>
      </c>
      <c r="N2662">
        <v>0</v>
      </c>
      <c r="O2662" s="2">
        <f t="shared" si="413"/>
        <v>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42.3</v>
      </c>
      <c r="V2662" s="2">
        <f t="shared" si="414"/>
        <v>1</v>
      </c>
      <c r="W2662">
        <v>20.8</v>
      </c>
      <c r="X2662" s="2">
        <f t="shared" si="415"/>
        <v>1</v>
      </c>
      <c r="Y2662">
        <v>315.39999999999998</v>
      </c>
      <c r="Z2662" s="2" t="str">
        <f>CHOOSE(MATCH(Y2662,{0;11;80;111;161;191;241;281;341},1),"North","NorthEast","East","SouthEast","South","SouthWest","West","NorthWest","North")</f>
        <v>NorthWest</v>
      </c>
      <c r="AA2662" s="4">
        <f>CHOOSE(MATCH(Z2662,{"South";"SouthEast";"SouthWest";"North";"NorthEast";"East";"West";"NorthWest"},0),1,2,3,4,5,6,7,8)</f>
        <v>8</v>
      </c>
      <c r="AB2662" s="2">
        <f t="shared" si="416"/>
        <v>1</v>
      </c>
      <c r="AC2662">
        <v>1017.3</v>
      </c>
      <c r="AD2662" t="s">
        <v>2790</v>
      </c>
      <c r="AE2662" s="2">
        <f t="shared" si="417"/>
        <v>1</v>
      </c>
      <c r="AF2662" t="s">
        <v>3613</v>
      </c>
      <c r="AG2662" s="2">
        <f t="shared" si="418"/>
        <v>10</v>
      </c>
      <c r="AH2662" s="2">
        <f t="shared" si="419"/>
        <v>0</v>
      </c>
      <c r="AI2662" s="3">
        <v>3659.0000000037248</v>
      </c>
      <c r="AJ2662" s="2">
        <v>1</v>
      </c>
      <c r="AK2662">
        <v>0</v>
      </c>
      <c r="AL2662">
        <v>2</v>
      </c>
      <c r="AM2662">
        <v>0</v>
      </c>
      <c r="AN2662" s="2">
        <f>IF((2*G2662+M2662-O2662+3*V2662+2*AB2662+2*AE2662+2*AH2662+3*AJ2662)&gt;=7,1,0)</f>
        <v>1</v>
      </c>
    </row>
    <row r="2663" spans="1:40" x14ac:dyDescent="0.25">
      <c r="A2663" t="s">
        <v>27</v>
      </c>
      <c r="B2663" s="1">
        <v>45201</v>
      </c>
      <c r="C2663" s="6">
        <f t="shared" si="410"/>
        <v>2023</v>
      </c>
      <c r="D2663">
        <v>78.8</v>
      </c>
      <c r="E2663">
        <v>71.599999999999994</v>
      </c>
      <c r="F2663">
        <v>75.3</v>
      </c>
      <c r="G2663" s="2">
        <f t="shared" si="411"/>
        <v>1</v>
      </c>
      <c r="H2663">
        <v>78.8</v>
      </c>
      <c r="I2663">
        <v>71.599999999999994</v>
      </c>
      <c r="J2663">
        <v>75.3</v>
      </c>
      <c r="K2663">
        <v>60.4</v>
      </c>
      <c r="L2663">
        <v>60.5</v>
      </c>
      <c r="M2663" s="2">
        <f t="shared" si="412"/>
        <v>1</v>
      </c>
      <c r="N2663">
        <v>0</v>
      </c>
      <c r="O2663" s="2">
        <f t="shared" si="413"/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42.3</v>
      </c>
      <c r="V2663" s="2">
        <f t="shared" si="414"/>
        <v>1</v>
      </c>
      <c r="W2663">
        <v>20.8</v>
      </c>
      <c r="X2663" s="2">
        <f t="shared" si="415"/>
        <v>1</v>
      </c>
      <c r="Y2663">
        <v>315.39999999999998</v>
      </c>
      <c r="Z2663" s="2" t="str">
        <f>CHOOSE(MATCH(Y2663,{0;11;80;111;161;191;241;281;341},1),"North","NorthEast","East","SouthEast","South","SouthWest","West","NorthWest","North")</f>
        <v>NorthWest</v>
      </c>
      <c r="AA2663" s="4">
        <f>CHOOSE(MATCH(Z2663,{"South";"SouthEast";"SouthWest";"North";"NorthEast";"East";"West";"NorthWest"},0),1,2,3,4,5,6,7,8)</f>
        <v>8</v>
      </c>
      <c r="AB2663" s="2">
        <f t="shared" si="416"/>
        <v>1</v>
      </c>
      <c r="AC2663">
        <v>1017.3</v>
      </c>
      <c r="AD2663" t="s">
        <v>1759</v>
      </c>
      <c r="AE2663" s="2">
        <f t="shared" si="417"/>
        <v>1</v>
      </c>
      <c r="AF2663" t="s">
        <v>3614</v>
      </c>
      <c r="AG2663" s="2">
        <f t="shared" si="418"/>
        <v>10</v>
      </c>
      <c r="AH2663" s="2">
        <f t="shared" si="419"/>
        <v>0</v>
      </c>
      <c r="AI2663" s="3">
        <v>213.000000002794</v>
      </c>
      <c r="AJ2663" s="2">
        <v>0</v>
      </c>
      <c r="AK2663">
        <v>0</v>
      </c>
      <c r="AL2663">
        <v>3</v>
      </c>
      <c r="AM2663">
        <v>0</v>
      </c>
      <c r="AN2663" s="2">
        <f>IF((2*G2663+M2663-O2663+3*V2663+2*AB2663+2*AE2663+2*AH2663+3*AJ2663)&gt;=7,1,0)</f>
        <v>1</v>
      </c>
    </row>
    <row r="2664" spans="1:40" x14ac:dyDescent="0.25">
      <c r="A2664" t="s">
        <v>27</v>
      </c>
      <c r="B2664" s="1">
        <v>45201</v>
      </c>
      <c r="C2664" s="6">
        <f t="shared" si="410"/>
        <v>2023</v>
      </c>
      <c r="D2664">
        <v>78.8</v>
      </c>
      <c r="E2664">
        <v>71.599999999999994</v>
      </c>
      <c r="F2664">
        <v>75.3</v>
      </c>
      <c r="G2664" s="2">
        <f t="shared" si="411"/>
        <v>1</v>
      </c>
      <c r="H2664">
        <v>78.8</v>
      </c>
      <c r="I2664">
        <v>71.599999999999994</v>
      </c>
      <c r="J2664">
        <v>75.3</v>
      </c>
      <c r="K2664">
        <v>60.4</v>
      </c>
      <c r="L2664">
        <v>60.5</v>
      </c>
      <c r="M2664" s="2">
        <f t="shared" si="412"/>
        <v>1</v>
      </c>
      <c r="N2664">
        <v>0</v>
      </c>
      <c r="O2664" s="2">
        <f t="shared" si="413"/>
        <v>1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42.3</v>
      </c>
      <c r="V2664" s="2">
        <f t="shared" si="414"/>
        <v>1</v>
      </c>
      <c r="W2664">
        <v>20.8</v>
      </c>
      <c r="X2664" s="2">
        <f t="shared" si="415"/>
        <v>1</v>
      </c>
      <c r="Y2664">
        <v>315.39999999999998</v>
      </c>
      <c r="Z2664" s="2" t="str">
        <f>CHOOSE(MATCH(Y2664,{0;11;80;111;161;191;241;281;341},1),"North","NorthEast","East","SouthEast","South","SouthWest","West","NorthWest","North")</f>
        <v>NorthWest</v>
      </c>
      <c r="AA2664" s="4">
        <f>CHOOSE(MATCH(Z2664,{"South";"SouthEast";"SouthWest";"North";"NorthEast";"East";"West";"NorthWest"},0),1,2,3,4,5,6,7,8)</f>
        <v>8</v>
      </c>
      <c r="AB2664" s="2">
        <f t="shared" si="416"/>
        <v>1</v>
      </c>
      <c r="AC2664">
        <v>1017.3</v>
      </c>
      <c r="AD2664" t="s">
        <v>3615</v>
      </c>
      <c r="AE2664" s="2">
        <f t="shared" si="417"/>
        <v>1</v>
      </c>
      <c r="AF2664" t="s">
        <v>3616</v>
      </c>
      <c r="AG2664" s="2">
        <f t="shared" si="418"/>
        <v>10</v>
      </c>
      <c r="AH2664" s="2">
        <f t="shared" si="419"/>
        <v>0</v>
      </c>
      <c r="AI2664" s="3">
        <v>1652.0000000100119</v>
      </c>
      <c r="AJ2664" s="2">
        <v>1</v>
      </c>
      <c r="AK2664">
        <v>0</v>
      </c>
      <c r="AL2664">
        <v>1</v>
      </c>
      <c r="AM2664">
        <v>0</v>
      </c>
      <c r="AN2664" s="2">
        <f>IF((2*G2664+M2664-O2664+3*V2664+2*AB2664+2*AE2664+2*AH2664+3*AJ2664)&gt;=7,1,0)</f>
        <v>1</v>
      </c>
    </row>
    <row r="2665" spans="1:40" x14ac:dyDescent="0.25">
      <c r="A2665" t="s">
        <v>27</v>
      </c>
      <c r="B2665" s="1">
        <v>45210</v>
      </c>
      <c r="C2665" s="6">
        <f t="shared" si="410"/>
        <v>2023</v>
      </c>
      <c r="D2665">
        <v>75.2</v>
      </c>
      <c r="E2665">
        <v>69.8</v>
      </c>
      <c r="F2665">
        <v>72.099999999999994</v>
      </c>
      <c r="G2665" s="2">
        <f t="shared" si="411"/>
        <v>1</v>
      </c>
      <c r="H2665">
        <v>75.2</v>
      </c>
      <c r="I2665">
        <v>69.8</v>
      </c>
      <c r="J2665">
        <v>72.099999999999994</v>
      </c>
      <c r="K2665">
        <v>57.9</v>
      </c>
      <c r="L2665">
        <v>61.9</v>
      </c>
      <c r="M2665" s="2">
        <f t="shared" si="412"/>
        <v>1</v>
      </c>
      <c r="N2665">
        <v>0</v>
      </c>
      <c r="O2665" s="2">
        <f t="shared" si="413"/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34.700000000000003</v>
      </c>
      <c r="V2665" s="2">
        <f t="shared" si="414"/>
        <v>1</v>
      </c>
      <c r="W2665">
        <v>20.8</v>
      </c>
      <c r="X2665" s="2">
        <f t="shared" si="415"/>
        <v>1</v>
      </c>
      <c r="Y2665">
        <v>314.39999999999998</v>
      </c>
      <c r="Z2665" s="2" t="str">
        <f>CHOOSE(MATCH(Y2665,{0;11;80;111;161;191;241;281;341},1),"North","NorthEast","East","SouthEast","South","SouthWest","West","NorthWest","North")</f>
        <v>NorthWest</v>
      </c>
      <c r="AA2665" s="4">
        <f>CHOOSE(MATCH(Z2665,{"South";"SouthEast";"SouthWest";"North";"NorthEast";"East";"West";"NorthWest"},0),1,2,3,4,5,6,7,8)</f>
        <v>8</v>
      </c>
      <c r="AB2665" s="2">
        <f t="shared" si="416"/>
        <v>1</v>
      </c>
      <c r="AC2665">
        <v>1018.6</v>
      </c>
      <c r="AD2665" t="s">
        <v>1838</v>
      </c>
      <c r="AE2665" s="2">
        <f t="shared" si="417"/>
        <v>1</v>
      </c>
      <c r="AF2665" t="s">
        <v>3617</v>
      </c>
      <c r="AG2665" s="2">
        <f t="shared" si="418"/>
        <v>10</v>
      </c>
      <c r="AH2665" s="2">
        <f t="shared" si="419"/>
        <v>0</v>
      </c>
      <c r="AI2665" s="3">
        <v>151.00000001024449</v>
      </c>
      <c r="AJ2665" s="2">
        <v>0</v>
      </c>
      <c r="AK2665">
        <v>0</v>
      </c>
      <c r="AL2665">
        <v>10</v>
      </c>
      <c r="AM2665">
        <v>0</v>
      </c>
      <c r="AN2665" s="2">
        <f>IF((2*G2665+M2665-O2665+3*V2665+2*AB2665+2*AE2665+2*AH2665+3*AJ2665)&gt;=7,1,0)</f>
        <v>1</v>
      </c>
    </row>
    <row r="2666" spans="1:40" x14ac:dyDescent="0.25">
      <c r="A2666" t="s">
        <v>27</v>
      </c>
      <c r="B2666" s="1">
        <v>45224</v>
      </c>
      <c r="C2666" s="6">
        <f t="shared" si="410"/>
        <v>2023</v>
      </c>
      <c r="D2666">
        <v>75.3</v>
      </c>
      <c r="E2666">
        <v>59</v>
      </c>
      <c r="F2666">
        <v>68.400000000000006</v>
      </c>
      <c r="G2666" s="2">
        <f t="shared" si="411"/>
        <v>0</v>
      </c>
      <c r="H2666">
        <v>75.3</v>
      </c>
      <c r="I2666">
        <v>59</v>
      </c>
      <c r="J2666">
        <v>68.400000000000006</v>
      </c>
      <c r="K2666">
        <v>60.9</v>
      </c>
      <c r="L2666">
        <v>77.599999999999994</v>
      </c>
      <c r="M2666" s="2">
        <f t="shared" si="412"/>
        <v>0</v>
      </c>
      <c r="N2666">
        <v>0</v>
      </c>
      <c r="O2666" s="2">
        <f t="shared" si="413"/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13.9</v>
      </c>
      <c r="V2666" s="2">
        <f t="shared" si="414"/>
        <v>1</v>
      </c>
      <c r="W2666">
        <v>11.4</v>
      </c>
      <c r="X2666" s="2">
        <f t="shared" si="415"/>
        <v>0</v>
      </c>
      <c r="Y2666">
        <v>152.19999999999999</v>
      </c>
      <c r="Z2666" s="2" t="str">
        <f>CHOOSE(MATCH(Y2666,{0;11;80;111;161;191;241;281;341},1),"North","NorthEast","East","SouthEast","South","SouthWest","West","NorthWest","North")</f>
        <v>SouthEast</v>
      </c>
      <c r="AA2666" s="4">
        <f>CHOOSE(MATCH(Z2666,{"South";"SouthEast";"SouthWest";"North";"NorthEast";"East";"West";"NorthWest"},0),1,2,3,4,5,6,7,8)</f>
        <v>2</v>
      </c>
      <c r="AB2666" s="2">
        <f t="shared" si="416"/>
        <v>0</v>
      </c>
      <c r="AC2666">
        <v>1014.5</v>
      </c>
      <c r="AD2666" t="s">
        <v>1785</v>
      </c>
      <c r="AE2666" s="2">
        <f t="shared" si="417"/>
        <v>1</v>
      </c>
      <c r="AF2666" t="s">
        <v>3618</v>
      </c>
      <c r="AG2666" s="2">
        <f t="shared" si="418"/>
        <v>10</v>
      </c>
      <c r="AH2666" s="2">
        <f t="shared" si="419"/>
        <v>0</v>
      </c>
      <c r="AI2666" s="3">
        <v>974.99999999301508</v>
      </c>
      <c r="AJ2666" s="2">
        <v>1</v>
      </c>
      <c r="AK2666">
        <v>0</v>
      </c>
      <c r="AL2666">
        <v>1</v>
      </c>
      <c r="AM2666">
        <v>0</v>
      </c>
      <c r="AN2666" s="2">
        <f>IF((2*G2666+M2666-O2666+3*V2666+2*AB2666+2*AE2666+2*AH2666+3*AJ2666)&gt;=7,1,0)</f>
        <v>1</v>
      </c>
    </row>
    <row r="2667" spans="1:40" x14ac:dyDescent="0.25">
      <c r="A2667" t="s">
        <v>27</v>
      </c>
      <c r="B2667" s="1">
        <v>45226</v>
      </c>
      <c r="C2667" s="6">
        <f t="shared" si="410"/>
        <v>2023</v>
      </c>
      <c r="D2667">
        <v>84.2</v>
      </c>
      <c r="E2667">
        <v>68</v>
      </c>
      <c r="F2667">
        <v>73.900000000000006</v>
      </c>
      <c r="G2667" s="2">
        <f t="shared" si="411"/>
        <v>1</v>
      </c>
      <c r="H2667">
        <v>83.5</v>
      </c>
      <c r="I2667">
        <v>68</v>
      </c>
      <c r="J2667">
        <v>73.8</v>
      </c>
      <c r="K2667">
        <v>61.3</v>
      </c>
      <c r="L2667">
        <v>65.8</v>
      </c>
      <c r="M2667" s="2">
        <f t="shared" si="412"/>
        <v>1</v>
      </c>
      <c r="N2667">
        <v>0</v>
      </c>
      <c r="O2667" s="2">
        <f t="shared" si="413"/>
        <v>1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30.2</v>
      </c>
      <c r="V2667" s="2">
        <f t="shared" si="414"/>
        <v>1</v>
      </c>
      <c r="W2667">
        <v>18.3</v>
      </c>
      <c r="X2667" s="2">
        <f t="shared" si="415"/>
        <v>1</v>
      </c>
      <c r="Y2667">
        <v>168.1</v>
      </c>
      <c r="Z2667" s="2" t="str">
        <f>CHOOSE(MATCH(Y2667,{0;11;80;111;161;191;241;281;341},1),"North","NorthEast","East","SouthEast","South","SouthWest","West","NorthWest","North")</f>
        <v>South</v>
      </c>
      <c r="AA2667" s="4">
        <f>CHOOSE(MATCH(Z2667,{"South";"SouthEast";"SouthWest";"North";"NorthEast";"East";"West";"NorthWest"},0),1,2,3,4,5,6,7,8)</f>
        <v>1</v>
      </c>
      <c r="AB2667" s="2">
        <f t="shared" si="416"/>
        <v>0</v>
      </c>
      <c r="AC2667">
        <v>1011.3</v>
      </c>
      <c r="AD2667" t="s">
        <v>2263</v>
      </c>
      <c r="AE2667" s="2">
        <f t="shared" si="417"/>
        <v>0</v>
      </c>
      <c r="AF2667" t="s">
        <v>3619</v>
      </c>
      <c r="AG2667" s="2">
        <f t="shared" si="418"/>
        <v>10</v>
      </c>
      <c r="AH2667" s="2">
        <f t="shared" si="419"/>
        <v>0</v>
      </c>
      <c r="AI2667" s="3">
        <v>121.0000000067521</v>
      </c>
      <c r="AJ2667" s="2">
        <v>0</v>
      </c>
      <c r="AK2667">
        <v>0.03</v>
      </c>
      <c r="AL2667">
        <v>0</v>
      </c>
      <c r="AM2667">
        <v>0</v>
      </c>
      <c r="AN2667" s="2">
        <f>IF((2*G2667+M2667-O2667+3*V2667+2*AB2667+2*AE2667+2*AH2667+3*AJ2667)&gt;=7,1,0)</f>
        <v>0</v>
      </c>
    </row>
    <row r="2668" spans="1:40" x14ac:dyDescent="0.25">
      <c r="A2668" t="s">
        <v>27</v>
      </c>
      <c r="B2668" s="1">
        <v>45234</v>
      </c>
      <c r="C2668" s="6">
        <f t="shared" si="410"/>
        <v>2023</v>
      </c>
      <c r="D2668">
        <v>91.4</v>
      </c>
      <c r="E2668">
        <v>75.099999999999994</v>
      </c>
      <c r="F2668">
        <v>81.599999999999994</v>
      </c>
      <c r="G2668" s="2">
        <f t="shared" si="411"/>
        <v>1</v>
      </c>
      <c r="H2668">
        <v>88.1</v>
      </c>
      <c r="I2668">
        <v>75.099999999999994</v>
      </c>
      <c r="J2668">
        <v>80.400000000000006</v>
      </c>
      <c r="K2668">
        <v>49.9</v>
      </c>
      <c r="L2668">
        <v>35</v>
      </c>
      <c r="M2668" s="2">
        <f t="shared" si="412"/>
        <v>1</v>
      </c>
      <c r="N2668">
        <v>0</v>
      </c>
      <c r="O2668" s="2">
        <f t="shared" si="413"/>
        <v>1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33.299999999999997</v>
      </c>
      <c r="V2668" s="2">
        <f t="shared" si="414"/>
        <v>1</v>
      </c>
      <c r="W2668">
        <v>19.7</v>
      </c>
      <c r="X2668" s="2">
        <f t="shared" si="415"/>
        <v>1</v>
      </c>
      <c r="Y2668">
        <v>183.8</v>
      </c>
      <c r="Z2668" s="2" t="str">
        <f>CHOOSE(MATCH(Y2668,{0;11;80;111;161;191;241;281;341},1),"North","NorthEast","East","SouthEast","South","SouthWest","West","NorthWest","North")</f>
        <v>South</v>
      </c>
      <c r="AA2668" s="4">
        <f>CHOOSE(MATCH(Z2668,{"South";"SouthEast";"SouthWest";"North";"NorthEast";"East";"West";"NorthWest"},0),1,2,3,4,5,6,7,8)</f>
        <v>1</v>
      </c>
      <c r="AB2668" s="2">
        <f t="shared" si="416"/>
        <v>0</v>
      </c>
      <c r="AC2668">
        <v>1009.9</v>
      </c>
      <c r="AD2668" t="s">
        <v>3312</v>
      </c>
      <c r="AE2668" s="2">
        <f t="shared" si="417"/>
        <v>0</v>
      </c>
      <c r="AF2668" t="s">
        <v>3620</v>
      </c>
      <c r="AG2668" s="2">
        <f t="shared" si="418"/>
        <v>11</v>
      </c>
      <c r="AH2668" s="2">
        <f t="shared" si="419"/>
        <v>0</v>
      </c>
      <c r="AI2668" s="3">
        <v>45</v>
      </c>
      <c r="AJ2668" s="2">
        <v>0</v>
      </c>
      <c r="AK2668">
        <v>0</v>
      </c>
      <c r="AL2668">
        <v>0.5</v>
      </c>
      <c r="AM2668">
        <v>0</v>
      </c>
      <c r="AN2668" s="2">
        <f>IF((2*G2668+M2668-O2668+3*V2668+2*AB2668+2*AE2668+2*AH2668+3*AJ2668)&gt;=7,1,0)</f>
        <v>0</v>
      </c>
    </row>
    <row r="2669" spans="1:40" x14ac:dyDescent="0.25">
      <c r="A2669" t="s">
        <v>27</v>
      </c>
      <c r="B2669" s="1">
        <v>45234</v>
      </c>
      <c r="C2669" s="6">
        <f t="shared" si="410"/>
        <v>2023</v>
      </c>
      <c r="D2669">
        <v>91.4</v>
      </c>
      <c r="E2669">
        <v>75.099999999999994</v>
      </c>
      <c r="F2669">
        <v>81.599999999999994</v>
      </c>
      <c r="G2669" s="2">
        <f t="shared" si="411"/>
        <v>1</v>
      </c>
      <c r="H2669">
        <v>88.1</v>
      </c>
      <c r="I2669">
        <v>75.099999999999994</v>
      </c>
      <c r="J2669">
        <v>80.400000000000006</v>
      </c>
      <c r="K2669">
        <v>49.9</v>
      </c>
      <c r="L2669">
        <v>35</v>
      </c>
      <c r="M2669" s="2">
        <f t="shared" si="412"/>
        <v>1</v>
      </c>
      <c r="N2669">
        <v>0</v>
      </c>
      <c r="O2669" s="2">
        <f t="shared" si="413"/>
        <v>1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33.299999999999997</v>
      </c>
      <c r="V2669" s="2">
        <f t="shared" si="414"/>
        <v>1</v>
      </c>
      <c r="W2669">
        <v>19.7</v>
      </c>
      <c r="X2669" s="2">
        <f t="shared" si="415"/>
        <v>1</v>
      </c>
      <c r="Y2669">
        <v>183.8</v>
      </c>
      <c r="Z2669" s="2" t="str">
        <f>CHOOSE(MATCH(Y2669,{0;11;80;111;161;191;241;281;341},1),"North","NorthEast","East","SouthEast","South","SouthWest","West","NorthWest","North")</f>
        <v>South</v>
      </c>
      <c r="AA2669" s="4">
        <f>CHOOSE(MATCH(Z2669,{"South";"SouthEast";"SouthWest";"North";"NorthEast";"East";"West";"NorthWest"},0),1,2,3,4,5,6,7,8)</f>
        <v>1</v>
      </c>
      <c r="AB2669" s="2">
        <f t="shared" si="416"/>
        <v>0</v>
      </c>
      <c r="AC2669">
        <v>1009.9</v>
      </c>
      <c r="AD2669" t="s">
        <v>2820</v>
      </c>
      <c r="AE2669" s="2">
        <f t="shared" si="417"/>
        <v>1</v>
      </c>
      <c r="AF2669" t="s">
        <v>3621</v>
      </c>
      <c r="AG2669" s="2">
        <f t="shared" si="418"/>
        <v>11</v>
      </c>
      <c r="AH2669" s="2">
        <f t="shared" si="419"/>
        <v>0</v>
      </c>
      <c r="AI2669" s="3">
        <v>2102.999999992317</v>
      </c>
      <c r="AJ2669" s="2">
        <v>1</v>
      </c>
      <c r="AK2669">
        <v>2</v>
      </c>
      <c r="AL2669">
        <v>0</v>
      </c>
      <c r="AM2669">
        <v>0</v>
      </c>
      <c r="AN2669" s="2">
        <f>IF((2*G2669+M2669-O2669+3*V2669+2*AB2669+2*AE2669+2*AH2669+3*AJ2669)&gt;=7,1,0)</f>
        <v>1</v>
      </c>
    </row>
    <row r="2670" spans="1:40" x14ac:dyDescent="0.25">
      <c r="A2670" t="s">
        <v>27</v>
      </c>
      <c r="B2670" s="1">
        <v>45236</v>
      </c>
      <c r="C2670" s="6">
        <f t="shared" si="410"/>
        <v>2023</v>
      </c>
      <c r="D2670">
        <v>80.599999999999994</v>
      </c>
      <c r="E2670">
        <v>66.2</v>
      </c>
      <c r="F2670">
        <v>72.2</v>
      </c>
      <c r="G2670" s="2">
        <f t="shared" si="411"/>
        <v>1</v>
      </c>
      <c r="H2670">
        <v>80.8</v>
      </c>
      <c r="I2670">
        <v>66.2</v>
      </c>
      <c r="J2670">
        <v>72.2</v>
      </c>
      <c r="K2670">
        <v>61.5</v>
      </c>
      <c r="L2670">
        <v>70.099999999999994</v>
      </c>
      <c r="M2670" s="2">
        <f t="shared" si="412"/>
        <v>0</v>
      </c>
      <c r="N2670">
        <v>0</v>
      </c>
      <c r="O2670" s="2">
        <f t="shared" si="413"/>
        <v>1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17.2</v>
      </c>
      <c r="V2670" s="2">
        <f t="shared" si="414"/>
        <v>1</v>
      </c>
      <c r="W2670">
        <v>11.4</v>
      </c>
      <c r="X2670" s="2">
        <f t="shared" si="415"/>
        <v>0</v>
      </c>
      <c r="Y2670">
        <v>159.6</v>
      </c>
      <c r="Z2670" s="2" t="str">
        <f>CHOOSE(MATCH(Y2670,{0;11;80;111;161;191;241;281;341},1),"North","NorthEast","East","SouthEast","South","SouthWest","West","NorthWest","North")</f>
        <v>SouthEast</v>
      </c>
      <c r="AA2670" s="4">
        <f>CHOOSE(MATCH(Z2670,{"South";"SouthEast";"SouthWest";"North";"NorthEast";"East";"West";"NorthWest"},0),1,2,3,4,5,6,7,8)</f>
        <v>2</v>
      </c>
      <c r="AB2670" s="2">
        <f t="shared" si="416"/>
        <v>0</v>
      </c>
      <c r="AC2670">
        <v>1016.7</v>
      </c>
      <c r="AD2670" t="s">
        <v>3622</v>
      </c>
      <c r="AE2670" s="2">
        <f t="shared" si="417"/>
        <v>0</v>
      </c>
      <c r="AF2670" t="s">
        <v>3623</v>
      </c>
      <c r="AG2670" s="2">
        <f t="shared" si="418"/>
        <v>11</v>
      </c>
      <c r="AH2670" s="2">
        <f t="shared" si="419"/>
        <v>0</v>
      </c>
      <c r="AI2670" s="3">
        <v>384.99999999767169</v>
      </c>
      <c r="AJ2670" s="2">
        <v>1</v>
      </c>
      <c r="AK2670">
        <v>0</v>
      </c>
      <c r="AL2670">
        <v>0.5</v>
      </c>
      <c r="AM2670">
        <v>0</v>
      </c>
      <c r="AN2670" s="2">
        <f>IF((2*G2670+M2670-O2670+3*V2670+2*AB2670+2*AE2670+2*AH2670+3*AJ2670)&gt;=7,1,0)</f>
        <v>1</v>
      </c>
    </row>
    <row r="2671" spans="1:40" x14ac:dyDescent="0.25">
      <c r="A2671" t="s">
        <v>27</v>
      </c>
      <c r="B2671" s="1">
        <v>45241</v>
      </c>
      <c r="C2671" s="6">
        <f t="shared" si="410"/>
        <v>2023</v>
      </c>
      <c r="D2671">
        <v>82.4</v>
      </c>
      <c r="E2671">
        <v>69.8</v>
      </c>
      <c r="F2671">
        <v>73.7</v>
      </c>
      <c r="G2671" s="2">
        <f t="shared" si="411"/>
        <v>1</v>
      </c>
      <c r="H2671">
        <v>81.400000000000006</v>
      </c>
      <c r="I2671">
        <v>69.8</v>
      </c>
      <c r="J2671">
        <v>73.7</v>
      </c>
      <c r="K2671">
        <v>58.9</v>
      </c>
      <c r="L2671">
        <v>61</v>
      </c>
      <c r="M2671" s="2">
        <f t="shared" si="412"/>
        <v>1</v>
      </c>
      <c r="N2671">
        <v>0</v>
      </c>
      <c r="O2671" s="2">
        <f t="shared" si="413"/>
        <v>1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34.4</v>
      </c>
      <c r="V2671" s="2">
        <f t="shared" si="414"/>
        <v>1</v>
      </c>
      <c r="W2671">
        <v>30</v>
      </c>
      <c r="X2671" s="2">
        <f t="shared" si="415"/>
        <v>1</v>
      </c>
      <c r="Y2671">
        <v>175.8</v>
      </c>
      <c r="Z2671" s="2" t="str">
        <f>CHOOSE(MATCH(Y2671,{0;11;80;111;161;191;241;281;341},1),"North","NorthEast","East","SouthEast","South","SouthWest","West","NorthWest","North")</f>
        <v>South</v>
      </c>
      <c r="AA2671" s="4">
        <f>CHOOSE(MATCH(Z2671,{"South";"SouthEast";"SouthWest";"North";"NorthEast";"East";"West";"NorthWest"},0),1,2,3,4,5,6,7,8)</f>
        <v>1</v>
      </c>
      <c r="AB2671" s="2">
        <f t="shared" si="416"/>
        <v>0</v>
      </c>
      <c r="AC2671">
        <v>1014.7</v>
      </c>
      <c r="AD2671" t="s">
        <v>3624</v>
      </c>
      <c r="AE2671" s="2">
        <f t="shared" si="417"/>
        <v>0</v>
      </c>
      <c r="AF2671" t="s">
        <v>3625</v>
      </c>
      <c r="AG2671" s="2">
        <f t="shared" si="418"/>
        <v>11</v>
      </c>
      <c r="AH2671" s="2">
        <f t="shared" si="419"/>
        <v>0</v>
      </c>
      <c r="AI2671" s="3">
        <v>1847.999999999302</v>
      </c>
      <c r="AJ2671" s="2">
        <v>1</v>
      </c>
      <c r="AK2671">
        <v>0</v>
      </c>
      <c r="AL2671">
        <v>3</v>
      </c>
      <c r="AM2671">
        <v>0</v>
      </c>
      <c r="AN2671" s="2">
        <f>IF((2*G2671+M2671-O2671+3*V2671+2*AB2671+2*AE2671+2*AH2671+3*AJ2671)&gt;=7,1,0)</f>
        <v>1</v>
      </c>
    </row>
    <row r="2672" spans="1:40" x14ac:dyDescent="0.25">
      <c r="A2672" t="s">
        <v>27</v>
      </c>
      <c r="B2672" s="1">
        <v>45245</v>
      </c>
      <c r="C2672" s="6">
        <f t="shared" si="410"/>
        <v>2023</v>
      </c>
      <c r="D2672">
        <v>75.2</v>
      </c>
      <c r="E2672">
        <v>57.2</v>
      </c>
      <c r="F2672">
        <v>65.7</v>
      </c>
      <c r="G2672" s="2">
        <f t="shared" si="411"/>
        <v>0</v>
      </c>
      <c r="H2672">
        <v>75.2</v>
      </c>
      <c r="I2672">
        <v>57.2</v>
      </c>
      <c r="J2672">
        <v>65.7</v>
      </c>
      <c r="K2672">
        <v>54.7</v>
      </c>
      <c r="L2672">
        <v>68.599999999999994</v>
      </c>
      <c r="M2672" s="2">
        <f t="shared" si="412"/>
        <v>0</v>
      </c>
      <c r="N2672">
        <v>0</v>
      </c>
      <c r="O2672" s="2">
        <f t="shared" si="413"/>
        <v>1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18.3</v>
      </c>
      <c r="V2672" s="2">
        <f t="shared" si="414"/>
        <v>1</v>
      </c>
      <c r="W2672">
        <v>12.7</v>
      </c>
      <c r="X2672" s="2">
        <f t="shared" si="415"/>
        <v>0</v>
      </c>
      <c r="Y2672">
        <v>164</v>
      </c>
      <c r="Z2672" s="2" t="str">
        <f>CHOOSE(MATCH(Y2672,{0;11;80;111;161;191;241;281;341},1),"North","NorthEast","East","SouthEast","South","SouthWest","West","NorthWest","North")</f>
        <v>South</v>
      </c>
      <c r="AA2672" s="4">
        <f>CHOOSE(MATCH(Z2672,{"South";"SouthEast";"SouthWest";"North";"NorthEast";"East";"West";"NorthWest"},0),1,2,3,4,5,6,7,8)</f>
        <v>1</v>
      </c>
      <c r="AB2672" s="2">
        <f t="shared" si="416"/>
        <v>0</v>
      </c>
      <c r="AC2672">
        <v>1015.3</v>
      </c>
      <c r="AD2672" t="s">
        <v>1254</v>
      </c>
      <c r="AE2672" s="2">
        <f t="shared" si="417"/>
        <v>1</v>
      </c>
      <c r="AF2672" t="s">
        <v>3626</v>
      </c>
      <c r="AG2672" s="2">
        <f t="shared" si="418"/>
        <v>11</v>
      </c>
      <c r="AH2672" s="2">
        <f t="shared" si="419"/>
        <v>0</v>
      </c>
      <c r="AI2672" s="3">
        <v>225</v>
      </c>
      <c r="AJ2672" s="2">
        <v>0</v>
      </c>
      <c r="AK2672">
        <v>0</v>
      </c>
      <c r="AL2672">
        <v>1.5</v>
      </c>
      <c r="AM2672">
        <v>0</v>
      </c>
      <c r="AN2672" s="2">
        <f>IF((2*G2672+M2672-O2672+3*V2672+2*AB2672+2*AE2672+2*AH2672+3*AJ2672)&gt;=7,1,0)</f>
        <v>0</v>
      </c>
    </row>
    <row r="2673" spans="1:40" x14ac:dyDescent="0.25">
      <c r="A2673" t="s">
        <v>27</v>
      </c>
      <c r="B2673" s="1">
        <v>45246</v>
      </c>
      <c r="C2673" s="6">
        <f t="shared" si="410"/>
        <v>2023</v>
      </c>
      <c r="D2673">
        <v>75.2</v>
      </c>
      <c r="E2673">
        <v>62.6</v>
      </c>
      <c r="F2673">
        <v>68.5</v>
      </c>
      <c r="G2673" s="2">
        <f t="shared" si="411"/>
        <v>0</v>
      </c>
      <c r="H2673">
        <v>75.2</v>
      </c>
      <c r="I2673">
        <v>62.6</v>
      </c>
      <c r="J2673">
        <v>68.5</v>
      </c>
      <c r="K2673">
        <v>60.7</v>
      </c>
      <c r="L2673">
        <v>76.900000000000006</v>
      </c>
      <c r="M2673" s="2">
        <f t="shared" si="412"/>
        <v>0</v>
      </c>
      <c r="N2673">
        <v>0</v>
      </c>
      <c r="O2673" s="2">
        <f t="shared" si="413"/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25.9</v>
      </c>
      <c r="V2673" s="2">
        <f t="shared" si="414"/>
        <v>1</v>
      </c>
      <c r="W2673">
        <v>19.7</v>
      </c>
      <c r="X2673" s="2">
        <f t="shared" si="415"/>
        <v>1</v>
      </c>
      <c r="Y2673">
        <v>357.3</v>
      </c>
      <c r="Z2673" s="2" t="str">
        <f>CHOOSE(MATCH(Y2673,{0;11;80;111;161;191;241;281;341},1),"North","NorthEast","East","SouthEast","South","SouthWest","West","NorthWest","North")</f>
        <v>North</v>
      </c>
      <c r="AA2673" s="4">
        <f>CHOOSE(MATCH(Z2673,{"South";"SouthEast";"SouthWest";"North";"NorthEast";"East";"West";"NorthWest"},0),1,2,3,4,5,6,7,8)</f>
        <v>4</v>
      </c>
      <c r="AB2673" s="2">
        <f t="shared" si="416"/>
        <v>1</v>
      </c>
      <c r="AC2673">
        <v>1016.5</v>
      </c>
      <c r="AD2673" t="s">
        <v>3627</v>
      </c>
      <c r="AE2673" s="2">
        <f t="shared" si="417"/>
        <v>1</v>
      </c>
      <c r="AF2673" t="s">
        <v>3628</v>
      </c>
      <c r="AG2673" s="2">
        <f t="shared" si="418"/>
        <v>11</v>
      </c>
      <c r="AH2673" s="2">
        <f t="shared" si="419"/>
        <v>0</v>
      </c>
      <c r="AI2673" s="3">
        <v>178.00000000395809</v>
      </c>
      <c r="AJ2673" s="2">
        <v>0</v>
      </c>
      <c r="AK2673">
        <v>0</v>
      </c>
      <c r="AL2673">
        <v>0.5</v>
      </c>
      <c r="AM2673">
        <v>0</v>
      </c>
      <c r="AN2673" s="2">
        <f>IF((2*G2673+M2673-O2673+3*V2673+2*AB2673+2*AE2673+2*AH2673+3*AJ2673)&gt;=7,1,0)</f>
        <v>0</v>
      </c>
    </row>
    <row r="2674" spans="1:40" x14ac:dyDescent="0.25">
      <c r="A2674" t="s">
        <v>27</v>
      </c>
      <c r="B2674" s="1">
        <v>45248</v>
      </c>
      <c r="C2674" s="6">
        <f t="shared" si="410"/>
        <v>2023</v>
      </c>
      <c r="D2674">
        <v>77</v>
      </c>
      <c r="E2674">
        <v>57.2</v>
      </c>
      <c r="F2674">
        <v>67.099999999999994</v>
      </c>
      <c r="G2674" s="2">
        <f t="shared" si="411"/>
        <v>0</v>
      </c>
      <c r="H2674">
        <v>77</v>
      </c>
      <c r="I2674">
        <v>57.2</v>
      </c>
      <c r="J2674">
        <v>67.099999999999994</v>
      </c>
      <c r="K2674">
        <v>53.9</v>
      </c>
      <c r="L2674">
        <v>64.3</v>
      </c>
      <c r="M2674" s="2">
        <f t="shared" si="412"/>
        <v>1</v>
      </c>
      <c r="N2674">
        <v>1.7000000000000001E-2</v>
      </c>
      <c r="O2674" s="2">
        <f t="shared" si="413"/>
        <v>0</v>
      </c>
      <c r="P2674">
        <v>100</v>
      </c>
      <c r="Q2674">
        <v>4.17</v>
      </c>
      <c r="R2674" t="s">
        <v>182</v>
      </c>
      <c r="S2674">
        <v>0</v>
      </c>
      <c r="T2674">
        <v>0</v>
      </c>
      <c r="U2674">
        <v>41.2</v>
      </c>
      <c r="V2674" s="2">
        <f t="shared" si="414"/>
        <v>1</v>
      </c>
      <c r="W2674">
        <v>28.9</v>
      </c>
      <c r="X2674" s="2">
        <f t="shared" si="415"/>
        <v>1</v>
      </c>
      <c r="Y2674">
        <v>240.9</v>
      </c>
      <c r="Z2674" s="2" t="str">
        <f>CHOOSE(MATCH(Y2674,{0;11;80;111;161;191;241;281;341},1),"North","NorthEast","East","SouthEast","South","SouthWest","West","NorthWest","North")</f>
        <v>SouthWest</v>
      </c>
      <c r="AA2674" s="4">
        <f>CHOOSE(MATCH(Z2674,{"South";"SouthEast";"SouthWest";"North";"NorthEast";"East";"West";"NorthWest"},0),1,2,3,4,5,6,7,8)</f>
        <v>3</v>
      </c>
      <c r="AB2674" s="2">
        <f t="shared" si="416"/>
        <v>0</v>
      </c>
      <c r="AC2674">
        <v>1009.5</v>
      </c>
      <c r="AD2674" t="s">
        <v>2111</v>
      </c>
      <c r="AE2674" s="2">
        <f t="shared" si="417"/>
        <v>0</v>
      </c>
      <c r="AF2674" t="s">
        <v>3629</v>
      </c>
      <c r="AG2674" s="2">
        <f t="shared" si="418"/>
        <v>11</v>
      </c>
      <c r="AH2674" s="2">
        <f t="shared" si="419"/>
        <v>0</v>
      </c>
      <c r="AI2674" s="3">
        <v>169.99999999883579</v>
      </c>
      <c r="AJ2674" s="2">
        <v>0</v>
      </c>
      <c r="AK2674">
        <v>0</v>
      </c>
      <c r="AL2674">
        <v>1</v>
      </c>
      <c r="AM2674">
        <v>0</v>
      </c>
      <c r="AN2674" s="2">
        <f>IF((2*G2674+M2674-O2674+3*V2674+2*AB2674+2*AE2674+2*AH2674+3*AJ2674)&gt;=7,1,0)</f>
        <v>0</v>
      </c>
    </row>
    <row r="2675" spans="1:40" x14ac:dyDescent="0.25">
      <c r="A2675" t="s">
        <v>27</v>
      </c>
      <c r="B2675" s="1">
        <v>45248</v>
      </c>
      <c r="C2675" s="6">
        <f t="shared" si="410"/>
        <v>2023</v>
      </c>
      <c r="D2675">
        <v>77</v>
      </c>
      <c r="E2675">
        <v>57.2</v>
      </c>
      <c r="F2675">
        <v>67.099999999999994</v>
      </c>
      <c r="G2675" s="2">
        <f t="shared" si="411"/>
        <v>0</v>
      </c>
      <c r="H2675">
        <v>77</v>
      </c>
      <c r="I2675">
        <v>57.2</v>
      </c>
      <c r="J2675">
        <v>67.099999999999994</v>
      </c>
      <c r="K2675">
        <v>53.9</v>
      </c>
      <c r="L2675">
        <v>64.3</v>
      </c>
      <c r="M2675" s="2">
        <f t="shared" si="412"/>
        <v>1</v>
      </c>
      <c r="N2675">
        <v>1.7000000000000001E-2</v>
      </c>
      <c r="O2675" s="2">
        <f t="shared" si="413"/>
        <v>0</v>
      </c>
      <c r="P2675">
        <v>100</v>
      </c>
      <c r="Q2675">
        <v>4.17</v>
      </c>
      <c r="R2675" t="s">
        <v>182</v>
      </c>
      <c r="S2675">
        <v>0</v>
      </c>
      <c r="T2675">
        <v>0</v>
      </c>
      <c r="U2675">
        <v>41.2</v>
      </c>
      <c r="V2675" s="2">
        <f t="shared" si="414"/>
        <v>1</v>
      </c>
      <c r="W2675">
        <v>28.9</v>
      </c>
      <c r="X2675" s="2">
        <f t="shared" si="415"/>
        <v>1</v>
      </c>
      <c r="Y2675">
        <v>240.9</v>
      </c>
      <c r="Z2675" s="2" t="str">
        <f>CHOOSE(MATCH(Y2675,{0;11;80;111;161;191;241;281;341},1),"North","NorthEast","East","SouthEast","South","SouthWest","West","NorthWest","North")</f>
        <v>SouthWest</v>
      </c>
      <c r="AA2675" s="4">
        <f>CHOOSE(MATCH(Z2675,{"South";"SouthEast";"SouthWest";"North";"NorthEast";"East";"West";"NorthWest"},0),1,2,3,4,5,6,7,8)</f>
        <v>3</v>
      </c>
      <c r="AB2675" s="2">
        <f t="shared" si="416"/>
        <v>0</v>
      </c>
      <c r="AC2675">
        <v>1009.5</v>
      </c>
      <c r="AD2675" t="s">
        <v>2844</v>
      </c>
      <c r="AE2675" s="2">
        <f t="shared" si="417"/>
        <v>1</v>
      </c>
      <c r="AF2675" t="s">
        <v>3630</v>
      </c>
      <c r="AG2675" s="2">
        <f t="shared" si="418"/>
        <v>11</v>
      </c>
      <c r="AH2675" s="2">
        <f t="shared" si="419"/>
        <v>0</v>
      </c>
      <c r="AI2675" s="3">
        <v>1170.999999992782</v>
      </c>
      <c r="AJ2675" s="2">
        <v>1</v>
      </c>
      <c r="AK2675">
        <v>1</v>
      </c>
      <c r="AL2675">
        <v>0</v>
      </c>
      <c r="AM2675">
        <v>0</v>
      </c>
      <c r="AN2675" s="2">
        <f>IF((2*G2675+M2675-O2675+3*V2675+2*AB2675+2*AE2675+2*AH2675+3*AJ2675)&gt;=7,1,0)</f>
        <v>1</v>
      </c>
    </row>
    <row r="2676" spans="1:40" x14ac:dyDescent="0.25">
      <c r="A2676" t="s">
        <v>27</v>
      </c>
      <c r="B2676" s="1">
        <v>45249</v>
      </c>
      <c r="C2676" s="6">
        <f t="shared" si="410"/>
        <v>2023</v>
      </c>
      <c r="D2676">
        <v>60.8</v>
      </c>
      <c r="E2676">
        <v>55.4</v>
      </c>
      <c r="F2676">
        <v>59.2</v>
      </c>
      <c r="G2676" s="2">
        <f t="shared" si="411"/>
        <v>0</v>
      </c>
      <c r="H2676">
        <v>60.8</v>
      </c>
      <c r="I2676">
        <v>55.4</v>
      </c>
      <c r="J2676">
        <v>59.2</v>
      </c>
      <c r="K2676">
        <v>44.6</v>
      </c>
      <c r="L2676">
        <v>60</v>
      </c>
      <c r="M2676" s="2">
        <f t="shared" si="412"/>
        <v>1</v>
      </c>
      <c r="N2676">
        <v>1.248</v>
      </c>
      <c r="O2676" s="2">
        <f t="shared" si="413"/>
        <v>0</v>
      </c>
      <c r="P2676">
        <v>100</v>
      </c>
      <c r="Q2676">
        <v>8.33</v>
      </c>
      <c r="R2676" t="s">
        <v>182</v>
      </c>
      <c r="S2676">
        <v>0</v>
      </c>
      <c r="T2676">
        <v>0</v>
      </c>
      <c r="U2676">
        <v>37.4</v>
      </c>
      <c r="V2676" s="2">
        <f t="shared" si="414"/>
        <v>1</v>
      </c>
      <c r="W2676">
        <v>26.4</v>
      </c>
      <c r="X2676" s="2">
        <f t="shared" si="415"/>
        <v>1</v>
      </c>
      <c r="Y2676">
        <v>317.2</v>
      </c>
      <c r="Z2676" s="2" t="str">
        <f>CHOOSE(MATCH(Y2676,{0;11;80;111;161;191;241;281;341},1),"North","NorthEast","East","SouthEast","South","SouthWest","West","NorthWest","North")</f>
        <v>NorthWest</v>
      </c>
      <c r="AA2676" s="4">
        <f>CHOOSE(MATCH(Z2676,{"South";"SouthEast";"SouthWest";"North";"NorthEast";"East";"West";"NorthWest"},0),1,2,3,4,5,6,7,8)</f>
        <v>8</v>
      </c>
      <c r="AB2676" s="2">
        <f t="shared" si="416"/>
        <v>1</v>
      </c>
      <c r="AC2676">
        <v>1013.8</v>
      </c>
      <c r="AD2676" t="s">
        <v>3631</v>
      </c>
      <c r="AE2676" s="2">
        <f t="shared" si="417"/>
        <v>1</v>
      </c>
      <c r="AF2676" t="s">
        <v>3632</v>
      </c>
      <c r="AG2676" s="2">
        <f t="shared" si="418"/>
        <v>11</v>
      </c>
      <c r="AH2676" s="2">
        <f t="shared" si="419"/>
        <v>0</v>
      </c>
      <c r="AI2676" s="3">
        <v>268.00000000395812</v>
      </c>
      <c r="AJ2676" s="2">
        <v>0</v>
      </c>
      <c r="AK2676">
        <v>0.5</v>
      </c>
      <c r="AL2676">
        <v>0</v>
      </c>
      <c r="AM2676">
        <v>0</v>
      </c>
      <c r="AN2676" s="2">
        <f>IF((2*G2676+M2676-O2676+3*V2676+2*AB2676+2*AE2676+2*AH2676+3*AJ2676)&gt;=7,1,0)</f>
        <v>1</v>
      </c>
    </row>
    <row r="2677" spans="1:40" x14ac:dyDescent="0.25">
      <c r="A2677" t="s">
        <v>27</v>
      </c>
      <c r="B2677" s="1">
        <v>45250</v>
      </c>
      <c r="C2677" s="6">
        <f t="shared" si="410"/>
        <v>2023</v>
      </c>
      <c r="D2677">
        <v>68</v>
      </c>
      <c r="E2677">
        <v>53.6</v>
      </c>
      <c r="F2677">
        <v>60.1</v>
      </c>
      <c r="G2677" s="2">
        <f t="shared" si="411"/>
        <v>0</v>
      </c>
      <c r="H2677">
        <v>68</v>
      </c>
      <c r="I2677">
        <v>53.6</v>
      </c>
      <c r="J2677">
        <v>60.1</v>
      </c>
      <c r="K2677">
        <v>46</v>
      </c>
      <c r="L2677">
        <v>60.3</v>
      </c>
      <c r="M2677" s="2">
        <f t="shared" si="412"/>
        <v>1</v>
      </c>
      <c r="N2677">
        <v>0</v>
      </c>
      <c r="O2677" s="2">
        <f t="shared" si="413"/>
        <v>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17.899999999999999</v>
      </c>
      <c r="V2677" s="2">
        <f t="shared" si="414"/>
        <v>1</v>
      </c>
      <c r="W2677">
        <v>9.1999999999999993</v>
      </c>
      <c r="X2677" s="2">
        <f t="shared" si="415"/>
        <v>0</v>
      </c>
      <c r="Y2677">
        <v>218.3</v>
      </c>
      <c r="Z2677" s="2" t="str">
        <f>CHOOSE(MATCH(Y2677,{0;11;80;111;161;191;241;281;341},1),"North","NorthEast","East","SouthEast","South","SouthWest","West","NorthWest","North")</f>
        <v>SouthWest</v>
      </c>
      <c r="AA2677" s="4">
        <f>CHOOSE(MATCH(Z2677,{"South";"SouthEast";"SouthWest";"North";"NorthEast";"East";"West";"NorthWest"},0),1,2,3,4,5,6,7,8)</f>
        <v>3</v>
      </c>
      <c r="AB2677" s="2">
        <f t="shared" si="416"/>
        <v>0</v>
      </c>
      <c r="AC2677">
        <v>1017</v>
      </c>
      <c r="AD2677" t="s">
        <v>3395</v>
      </c>
      <c r="AE2677" s="2">
        <f t="shared" si="417"/>
        <v>1</v>
      </c>
      <c r="AF2677" t="s">
        <v>3633</v>
      </c>
      <c r="AG2677" s="2">
        <f t="shared" si="418"/>
        <v>11</v>
      </c>
      <c r="AH2677" s="2">
        <f t="shared" si="419"/>
        <v>0</v>
      </c>
      <c r="AI2677" s="3">
        <v>1193.9999999944121</v>
      </c>
      <c r="AJ2677" s="2">
        <v>1</v>
      </c>
      <c r="AK2677">
        <v>0</v>
      </c>
      <c r="AL2677">
        <v>1</v>
      </c>
      <c r="AM2677">
        <v>0</v>
      </c>
      <c r="AN2677" s="2">
        <f>IF((2*G2677+M2677-O2677+3*V2677+2*AB2677+2*AE2677+2*AH2677+3*AJ2677)&gt;=7,1,0)</f>
        <v>1</v>
      </c>
    </row>
    <row r="2678" spans="1:40" x14ac:dyDescent="0.25">
      <c r="A2678" t="s">
        <v>27</v>
      </c>
      <c r="B2678" s="1">
        <v>45250</v>
      </c>
      <c r="C2678" s="6">
        <f t="shared" si="410"/>
        <v>2023</v>
      </c>
      <c r="D2678">
        <v>68</v>
      </c>
      <c r="E2678">
        <v>53.6</v>
      </c>
      <c r="F2678">
        <v>60.1</v>
      </c>
      <c r="G2678" s="2">
        <f t="shared" si="411"/>
        <v>0</v>
      </c>
      <c r="H2678">
        <v>68</v>
      </c>
      <c r="I2678">
        <v>53.6</v>
      </c>
      <c r="J2678">
        <v>60.1</v>
      </c>
      <c r="K2678">
        <v>46</v>
      </c>
      <c r="L2678">
        <v>60.3</v>
      </c>
      <c r="M2678" s="2">
        <f t="shared" si="412"/>
        <v>1</v>
      </c>
      <c r="N2678">
        <v>0</v>
      </c>
      <c r="O2678" s="2">
        <f t="shared" si="413"/>
        <v>1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17.899999999999999</v>
      </c>
      <c r="V2678" s="2">
        <f t="shared" si="414"/>
        <v>1</v>
      </c>
      <c r="W2678">
        <v>9.1999999999999993</v>
      </c>
      <c r="X2678" s="2">
        <f t="shared" si="415"/>
        <v>0</v>
      </c>
      <c r="Y2678">
        <v>218.3</v>
      </c>
      <c r="Z2678" s="2" t="str">
        <f>CHOOSE(MATCH(Y2678,{0;11;80;111;161;191;241;281;341},1),"North","NorthEast","East","SouthEast","South","SouthWest","West","NorthWest","North")</f>
        <v>SouthWest</v>
      </c>
      <c r="AA2678" s="4">
        <f>CHOOSE(MATCH(Z2678,{"South";"SouthEast";"SouthWest";"North";"NorthEast";"East";"West";"NorthWest"},0),1,2,3,4,5,6,7,8)</f>
        <v>3</v>
      </c>
      <c r="AB2678" s="2">
        <f t="shared" si="416"/>
        <v>0</v>
      </c>
      <c r="AC2678">
        <v>1017</v>
      </c>
      <c r="AD2678" t="s">
        <v>1138</v>
      </c>
      <c r="AE2678" s="2">
        <f t="shared" si="417"/>
        <v>1</v>
      </c>
      <c r="AF2678" t="s">
        <v>3634</v>
      </c>
      <c r="AG2678" s="2">
        <f t="shared" si="418"/>
        <v>11</v>
      </c>
      <c r="AH2678" s="2">
        <f t="shared" si="419"/>
        <v>0</v>
      </c>
      <c r="AI2678" s="3">
        <v>1776.0000000055879</v>
      </c>
      <c r="AJ2678" s="2">
        <v>1</v>
      </c>
      <c r="AK2678">
        <v>0</v>
      </c>
      <c r="AL2678">
        <v>2</v>
      </c>
      <c r="AM2678">
        <v>0</v>
      </c>
      <c r="AN2678" s="2">
        <f>IF((2*G2678+M2678-O2678+3*V2678+2*AB2678+2*AE2678+2*AH2678+3*AJ2678)&gt;=7,1,0)</f>
        <v>1</v>
      </c>
    </row>
    <row r="2679" spans="1:40" x14ac:dyDescent="0.25">
      <c r="A2679" t="s">
        <v>27</v>
      </c>
      <c r="B2679" s="1">
        <v>45251</v>
      </c>
      <c r="C2679" s="6">
        <f t="shared" si="410"/>
        <v>2023</v>
      </c>
      <c r="D2679">
        <v>71.599999999999994</v>
      </c>
      <c r="E2679">
        <v>55.4</v>
      </c>
      <c r="F2679">
        <v>62.9</v>
      </c>
      <c r="G2679" s="2">
        <f t="shared" si="411"/>
        <v>0</v>
      </c>
      <c r="H2679">
        <v>71.599999999999994</v>
      </c>
      <c r="I2679">
        <v>55.4</v>
      </c>
      <c r="J2679">
        <v>62.9</v>
      </c>
      <c r="K2679">
        <v>52.6</v>
      </c>
      <c r="L2679">
        <v>69.8</v>
      </c>
      <c r="M2679" s="2">
        <f t="shared" si="412"/>
        <v>0</v>
      </c>
      <c r="N2679">
        <v>0</v>
      </c>
      <c r="O2679" s="2">
        <f t="shared" si="413"/>
        <v>1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20.8</v>
      </c>
      <c r="V2679" s="2">
        <f t="shared" si="414"/>
        <v>1</v>
      </c>
      <c r="W2679">
        <v>12.8</v>
      </c>
      <c r="X2679" s="2">
        <f t="shared" si="415"/>
        <v>0</v>
      </c>
      <c r="Y2679">
        <v>162.19999999999999</v>
      </c>
      <c r="Z2679" s="2" t="str">
        <f>CHOOSE(MATCH(Y2679,{0;11;80;111;161;191;241;281;341},1),"North","NorthEast","East","SouthEast","South","SouthWest","West","NorthWest","North")</f>
        <v>South</v>
      </c>
      <c r="AA2679" s="4">
        <f>CHOOSE(MATCH(Z2679,{"South";"SouthEast";"SouthWest";"North";"NorthEast";"East";"West";"NorthWest"},0),1,2,3,4,5,6,7,8)</f>
        <v>1</v>
      </c>
      <c r="AB2679" s="2">
        <f t="shared" si="416"/>
        <v>0</v>
      </c>
      <c r="AC2679">
        <v>1015.1</v>
      </c>
      <c r="AD2679" t="s">
        <v>1089</v>
      </c>
      <c r="AE2679" s="2">
        <f t="shared" si="417"/>
        <v>1</v>
      </c>
      <c r="AF2679" t="s">
        <v>3635</v>
      </c>
      <c r="AG2679" s="2">
        <f t="shared" si="418"/>
        <v>11</v>
      </c>
      <c r="AH2679" s="2">
        <f t="shared" si="419"/>
        <v>0</v>
      </c>
      <c r="AI2679" s="3">
        <v>199.9999999918509</v>
      </c>
      <c r="AJ2679" s="2">
        <v>0</v>
      </c>
      <c r="AK2679">
        <v>0</v>
      </c>
      <c r="AL2679">
        <v>1</v>
      </c>
      <c r="AM2679">
        <v>0</v>
      </c>
      <c r="AN2679" s="2">
        <f>IF((2*G2679+M2679-O2679+3*V2679+2*AB2679+2*AE2679+2*AH2679+3*AJ2679)&gt;=7,1,0)</f>
        <v>0</v>
      </c>
    </row>
    <row r="2680" spans="1:40" x14ac:dyDescent="0.25">
      <c r="A2680" t="s">
        <v>27</v>
      </c>
      <c r="B2680" s="1">
        <v>45252</v>
      </c>
      <c r="C2680" s="6">
        <f t="shared" si="410"/>
        <v>2023</v>
      </c>
      <c r="D2680">
        <v>76.900000000000006</v>
      </c>
      <c r="E2680">
        <v>64.400000000000006</v>
      </c>
      <c r="F2680">
        <v>68.599999999999994</v>
      </c>
      <c r="G2680" s="2">
        <f t="shared" si="411"/>
        <v>0</v>
      </c>
      <c r="H2680">
        <v>76.900000000000006</v>
      </c>
      <c r="I2680">
        <v>64.400000000000006</v>
      </c>
      <c r="J2680">
        <v>68.599999999999994</v>
      </c>
      <c r="K2680">
        <v>57.4</v>
      </c>
      <c r="L2680">
        <v>68.8</v>
      </c>
      <c r="M2680" s="2">
        <f t="shared" si="412"/>
        <v>0</v>
      </c>
      <c r="N2680">
        <v>0</v>
      </c>
      <c r="O2680" s="2">
        <f t="shared" si="413"/>
        <v>1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28.9</v>
      </c>
      <c r="V2680" s="2">
        <f t="shared" si="414"/>
        <v>1</v>
      </c>
      <c r="W2680">
        <v>18.3</v>
      </c>
      <c r="X2680" s="2">
        <f t="shared" si="415"/>
        <v>1</v>
      </c>
      <c r="Y2680">
        <v>176.2</v>
      </c>
      <c r="Z2680" s="2" t="str">
        <f>CHOOSE(MATCH(Y2680,{0;11;80;111;161;191;241;281;341},1),"North","NorthEast","East","SouthEast","South","SouthWest","West","NorthWest","North")</f>
        <v>South</v>
      </c>
      <c r="AA2680" s="4">
        <f>CHOOSE(MATCH(Z2680,{"South";"SouthEast";"SouthWest";"North";"NorthEast";"East";"West";"NorthWest"},0),1,2,3,4,5,6,7,8)</f>
        <v>1</v>
      </c>
      <c r="AB2680" s="2">
        <f t="shared" si="416"/>
        <v>0</v>
      </c>
      <c r="AC2680">
        <v>1012.8</v>
      </c>
      <c r="AD2680" t="s">
        <v>1794</v>
      </c>
      <c r="AE2680" s="2">
        <f t="shared" si="417"/>
        <v>1</v>
      </c>
      <c r="AF2680" t="s">
        <v>3636</v>
      </c>
      <c r="AG2680" s="2">
        <f t="shared" si="418"/>
        <v>11</v>
      </c>
      <c r="AH2680" s="2">
        <f t="shared" si="419"/>
        <v>0</v>
      </c>
      <c r="AI2680" s="3">
        <v>190.00000000116421</v>
      </c>
      <c r="AJ2680" s="2">
        <v>0</v>
      </c>
      <c r="AK2680">
        <v>0.2</v>
      </c>
      <c r="AL2680">
        <v>0</v>
      </c>
      <c r="AM2680">
        <v>0</v>
      </c>
      <c r="AN2680" s="2">
        <f>IF((2*G2680+M2680-O2680+3*V2680+2*AB2680+2*AE2680+2*AH2680+3*AJ2680)&gt;=7,1,0)</f>
        <v>0</v>
      </c>
    </row>
    <row r="2681" spans="1:40" x14ac:dyDescent="0.25">
      <c r="A2681" t="s">
        <v>27</v>
      </c>
      <c r="B2681" s="1">
        <v>45255</v>
      </c>
      <c r="C2681" s="6">
        <f t="shared" si="410"/>
        <v>2023</v>
      </c>
      <c r="D2681">
        <v>73.400000000000006</v>
      </c>
      <c r="E2681">
        <v>62.6</v>
      </c>
      <c r="F2681">
        <v>66.7</v>
      </c>
      <c r="G2681" s="2">
        <f t="shared" si="411"/>
        <v>0</v>
      </c>
      <c r="H2681">
        <v>73.400000000000006</v>
      </c>
      <c r="I2681">
        <v>62.6</v>
      </c>
      <c r="J2681">
        <v>66.7</v>
      </c>
      <c r="K2681">
        <v>54.8</v>
      </c>
      <c r="L2681">
        <v>67.3</v>
      </c>
      <c r="M2681" s="2">
        <f t="shared" si="412"/>
        <v>0</v>
      </c>
      <c r="N2681">
        <v>2.7E-2</v>
      </c>
      <c r="O2681" s="2">
        <f t="shared" si="413"/>
        <v>0</v>
      </c>
      <c r="P2681">
        <v>100</v>
      </c>
      <c r="Q2681">
        <v>4.17</v>
      </c>
      <c r="R2681" t="s">
        <v>182</v>
      </c>
      <c r="S2681">
        <v>0</v>
      </c>
      <c r="T2681">
        <v>0</v>
      </c>
      <c r="U2681">
        <v>46.1</v>
      </c>
      <c r="V2681" s="2">
        <f t="shared" si="414"/>
        <v>1</v>
      </c>
      <c r="W2681">
        <v>26.4</v>
      </c>
      <c r="X2681" s="2">
        <f t="shared" si="415"/>
        <v>1</v>
      </c>
      <c r="Y2681">
        <v>192.1</v>
      </c>
      <c r="Z2681" s="2" t="str">
        <f>CHOOSE(MATCH(Y2681,{0;11;80;111;161;191;241;281;341},1),"North","NorthEast","East","SouthEast","South","SouthWest","West","NorthWest","North")</f>
        <v>SouthWest</v>
      </c>
      <c r="AA2681" s="4">
        <f>CHOOSE(MATCH(Z2681,{"South";"SouthEast";"SouthWest";"North";"NorthEast";"East";"West";"NorthWest"},0),1,2,3,4,5,6,7,8)</f>
        <v>3</v>
      </c>
      <c r="AB2681" s="2">
        <f t="shared" si="416"/>
        <v>0</v>
      </c>
      <c r="AC2681">
        <v>998.1</v>
      </c>
      <c r="AD2681" t="s">
        <v>1069</v>
      </c>
      <c r="AE2681" s="2">
        <f t="shared" si="417"/>
        <v>1</v>
      </c>
      <c r="AF2681" t="s">
        <v>3637</v>
      </c>
      <c r="AG2681" s="2">
        <f t="shared" si="418"/>
        <v>11</v>
      </c>
      <c r="AH2681" s="2">
        <f t="shared" si="419"/>
        <v>0</v>
      </c>
      <c r="AI2681" s="3">
        <v>162.9999999969732</v>
      </c>
      <c r="AJ2681" s="2">
        <v>0</v>
      </c>
      <c r="AK2681">
        <v>0</v>
      </c>
      <c r="AL2681">
        <v>1</v>
      </c>
      <c r="AM2681">
        <v>0</v>
      </c>
      <c r="AN2681" s="2">
        <f>IF((2*G2681+M2681-O2681+3*V2681+2*AB2681+2*AE2681+2*AH2681+3*AJ2681)&gt;=7,1,0)</f>
        <v>0</v>
      </c>
    </row>
    <row r="2682" spans="1:40" x14ac:dyDescent="0.25">
      <c r="A2682" t="s">
        <v>27</v>
      </c>
      <c r="B2682" s="1">
        <v>45258</v>
      </c>
      <c r="C2682" s="6">
        <f t="shared" si="410"/>
        <v>2023</v>
      </c>
      <c r="D2682">
        <v>68</v>
      </c>
      <c r="E2682">
        <v>50</v>
      </c>
      <c r="F2682">
        <v>60.3</v>
      </c>
      <c r="G2682" s="2">
        <f t="shared" si="411"/>
        <v>0</v>
      </c>
      <c r="H2682">
        <v>68</v>
      </c>
      <c r="I2682">
        <v>50</v>
      </c>
      <c r="J2682">
        <v>60.3</v>
      </c>
      <c r="K2682">
        <v>45.9</v>
      </c>
      <c r="L2682">
        <v>59.3</v>
      </c>
      <c r="M2682" s="2">
        <f t="shared" si="412"/>
        <v>1</v>
      </c>
      <c r="N2682">
        <v>0</v>
      </c>
      <c r="O2682" s="2">
        <f t="shared" si="413"/>
        <v>1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38</v>
      </c>
      <c r="V2682" s="2">
        <f t="shared" si="414"/>
        <v>1</v>
      </c>
      <c r="W2682">
        <v>26.4</v>
      </c>
      <c r="X2682" s="2">
        <f t="shared" si="415"/>
        <v>1</v>
      </c>
      <c r="Y2682">
        <v>178.2</v>
      </c>
      <c r="Z2682" s="2" t="str">
        <f>CHOOSE(MATCH(Y2682,{0;11;80;111;161;191;241;281;341},1),"North","NorthEast","East","SouthEast","South","SouthWest","West","NorthWest","North")</f>
        <v>South</v>
      </c>
      <c r="AA2682" s="4">
        <f>CHOOSE(MATCH(Z2682,{"South";"SouthEast";"SouthWest";"North";"NorthEast";"East";"West";"NorthWest"},0),1,2,3,4,5,6,7,8)</f>
        <v>1</v>
      </c>
      <c r="AB2682" s="2">
        <f t="shared" si="416"/>
        <v>0</v>
      </c>
      <c r="AC2682">
        <v>1015.6</v>
      </c>
      <c r="AD2682" t="s">
        <v>3019</v>
      </c>
      <c r="AE2682" s="2">
        <f t="shared" si="417"/>
        <v>0</v>
      </c>
      <c r="AF2682" t="s">
        <v>3638</v>
      </c>
      <c r="AG2682" s="2">
        <f t="shared" si="418"/>
        <v>11</v>
      </c>
      <c r="AH2682" s="2">
        <f t="shared" si="419"/>
        <v>0</v>
      </c>
      <c r="AI2682" s="3">
        <v>775.00000000116415</v>
      </c>
      <c r="AJ2682" s="2">
        <v>1</v>
      </c>
      <c r="AK2682">
        <v>1</v>
      </c>
      <c r="AL2682">
        <v>0</v>
      </c>
      <c r="AM2682">
        <v>0</v>
      </c>
      <c r="AN2682" s="2">
        <f>IF((2*G2682+M2682-O2682+3*V2682+2*AB2682+2*AE2682+2*AH2682+3*AJ2682)&gt;=7,1,0)</f>
        <v>0</v>
      </c>
    </row>
    <row r="2683" spans="1:40" x14ac:dyDescent="0.25">
      <c r="A2683" t="s">
        <v>27</v>
      </c>
      <c r="B2683" s="1">
        <v>45259</v>
      </c>
      <c r="C2683" s="6">
        <f t="shared" si="410"/>
        <v>2023</v>
      </c>
      <c r="D2683">
        <v>71.599999999999994</v>
      </c>
      <c r="E2683">
        <v>64.400000000000006</v>
      </c>
      <c r="F2683">
        <v>67</v>
      </c>
      <c r="G2683" s="2">
        <f t="shared" si="411"/>
        <v>0</v>
      </c>
      <c r="H2683">
        <v>71.599999999999994</v>
      </c>
      <c r="I2683">
        <v>64.400000000000006</v>
      </c>
      <c r="J2683">
        <v>67</v>
      </c>
      <c r="K2683">
        <v>52.1</v>
      </c>
      <c r="L2683">
        <v>58.9</v>
      </c>
      <c r="M2683" s="2">
        <f t="shared" si="412"/>
        <v>1</v>
      </c>
      <c r="N2683">
        <v>0</v>
      </c>
      <c r="O2683" s="2">
        <f t="shared" si="413"/>
        <v>1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34.4</v>
      </c>
      <c r="V2683" s="2">
        <f t="shared" si="414"/>
        <v>1</v>
      </c>
      <c r="W2683">
        <v>25.3</v>
      </c>
      <c r="X2683" s="2">
        <f t="shared" si="415"/>
        <v>1</v>
      </c>
      <c r="Y2683">
        <v>175.3</v>
      </c>
      <c r="Z2683" s="2" t="str">
        <f>CHOOSE(MATCH(Y2683,{0;11;80;111;161;191;241;281;341},1),"North","NorthEast","East","SouthEast","South","SouthWest","West","NorthWest","North")</f>
        <v>South</v>
      </c>
      <c r="AA2683" s="4">
        <f>CHOOSE(MATCH(Z2683,{"South";"SouthEast";"SouthWest";"North";"NorthEast";"East";"West";"NorthWest"},0),1,2,3,4,5,6,7,8)</f>
        <v>1</v>
      </c>
      <c r="AB2683" s="2">
        <f t="shared" si="416"/>
        <v>0</v>
      </c>
      <c r="AC2683">
        <v>1012.8</v>
      </c>
      <c r="AD2683" t="s">
        <v>3639</v>
      </c>
      <c r="AE2683" s="2">
        <f t="shared" si="417"/>
        <v>0</v>
      </c>
      <c r="AF2683" t="s">
        <v>3640</v>
      </c>
      <c r="AG2683" s="2">
        <f t="shared" si="418"/>
        <v>11</v>
      </c>
      <c r="AH2683" s="2">
        <f t="shared" si="419"/>
        <v>0</v>
      </c>
      <c r="AI2683" s="3">
        <v>436.99999999953428</v>
      </c>
      <c r="AJ2683" s="2">
        <v>1</v>
      </c>
      <c r="AK2683">
        <v>2</v>
      </c>
      <c r="AL2683">
        <v>0</v>
      </c>
      <c r="AM2683">
        <v>0</v>
      </c>
      <c r="AN2683" s="2">
        <f>IF((2*G2683+M2683-O2683+3*V2683+2*AB2683+2*AE2683+2*AH2683+3*AJ2683)&gt;=7,1,0)</f>
        <v>0</v>
      </c>
    </row>
    <row r="2684" spans="1:40" x14ac:dyDescent="0.25">
      <c r="A2684" t="s">
        <v>27</v>
      </c>
      <c r="B2684" s="1">
        <v>45263</v>
      </c>
      <c r="C2684" s="6">
        <f t="shared" si="410"/>
        <v>2023</v>
      </c>
      <c r="D2684">
        <v>73.400000000000006</v>
      </c>
      <c r="E2684">
        <v>64.400000000000006</v>
      </c>
      <c r="F2684">
        <v>67</v>
      </c>
      <c r="G2684" s="2">
        <f t="shared" si="411"/>
        <v>0</v>
      </c>
      <c r="H2684">
        <v>73.400000000000006</v>
      </c>
      <c r="I2684">
        <v>64.400000000000006</v>
      </c>
      <c r="J2684">
        <v>67</v>
      </c>
      <c r="K2684">
        <v>52.3</v>
      </c>
      <c r="L2684">
        <v>59.9</v>
      </c>
      <c r="M2684" s="2">
        <f t="shared" si="412"/>
        <v>1</v>
      </c>
      <c r="N2684">
        <v>0</v>
      </c>
      <c r="O2684" s="2">
        <f t="shared" si="413"/>
        <v>1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35.6</v>
      </c>
      <c r="V2684" s="2">
        <f t="shared" si="414"/>
        <v>1</v>
      </c>
      <c r="W2684">
        <v>24.2</v>
      </c>
      <c r="X2684" s="2">
        <f t="shared" si="415"/>
        <v>1</v>
      </c>
      <c r="Y2684">
        <v>171.8</v>
      </c>
      <c r="Z2684" s="2" t="str">
        <f>CHOOSE(MATCH(Y2684,{0;11;80;111;161;191;241;281;341},1),"North","NorthEast","East","SouthEast","South","SouthWest","West","NorthWest","North")</f>
        <v>South</v>
      </c>
      <c r="AA2684" s="4">
        <f>CHOOSE(MATCH(Z2684,{"South";"SouthEast";"SouthWest";"North";"NorthEast";"East";"West";"NorthWest"},0),1,2,3,4,5,6,7,8)</f>
        <v>1</v>
      </c>
      <c r="AB2684" s="2">
        <f t="shared" si="416"/>
        <v>0</v>
      </c>
      <c r="AC2684">
        <v>1016.3</v>
      </c>
      <c r="AD2684" t="s">
        <v>1111</v>
      </c>
      <c r="AE2684" s="2">
        <f t="shared" si="417"/>
        <v>1</v>
      </c>
      <c r="AF2684" t="s">
        <v>3641</v>
      </c>
      <c r="AG2684" s="2">
        <f t="shared" si="418"/>
        <v>12</v>
      </c>
      <c r="AH2684" s="2">
        <f t="shared" si="419"/>
        <v>0</v>
      </c>
      <c r="AI2684" s="3">
        <v>1319.999999996508</v>
      </c>
      <c r="AJ2684" s="2">
        <v>1</v>
      </c>
      <c r="AK2684">
        <v>0</v>
      </c>
      <c r="AL2684">
        <v>7</v>
      </c>
      <c r="AM2684">
        <v>0</v>
      </c>
      <c r="AN2684" s="2">
        <f>IF((2*G2684+M2684-O2684+3*V2684+2*AB2684+2*AE2684+2*AH2684+3*AJ2684)&gt;=7,1,0)</f>
        <v>1</v>
      </c>
    </row>
    <row r="2685" spans="1:40" x14ac:dyDescent="0.25">
      <c r="A2685" t="s">
        <v>27</v>
      </c>
      <c r="B2685" s="1">
        <v>45264</v>
      </c>
      <c r="C2685" s="6">
        <f t="shared" si="410"/>
        <v>2023</v>
      </c>
      <c r="D2685">
        <v>69.8</v>
      </c>
      <c r="E2685">
        <v>57.2</v>
      </c>
      <c r="F2685">
        <v>63.7</v>
      </c>
      <c r="G2685" s="2">
        <f t="shared" si="411"/>
        <v>0</v>
      </c>
      <c r="H2685">
        <v>69.8</v>
      </c>
      <c r="I2685">
        <v>57.2</v>
      </c>
      <c r="J2685">
        <v>63.7</v>
      </c>
      <c r="K2685">
        <v>54.4</v>
      </c>
      <c r="L2685">
        <v>72.3</v>
      </c>
      <c r="M2685" s="2">
        <f t="shared" si="412"/>
        <v>0</v>
      </c>
      <c r="N2685">
        <v>0</v>
      </c>
      <c r="O2685" s="2">
        <f t="shared" si="413"/>
        <v>1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16.100000000000001</v>
      </c>
      <c r="V2685" s="2">
        <f t="shared" si="414"/>
        <v>1</v>
      </c>
      <c r="W2685">
        <v>18.3</v>
      </c>
      <c r="X2685" s="2">
        <f t="shared" si="415"/>
        <v>1</v>
      </c>
      <c r="Y2685">
        <v>167.9</v>
      </c>
      <c r="Z2685" s="2" t="str">
        <f>CHOOSE(MATCH(Y2685,{0;11;80;111;161;191;241;281;341},1),"North","NorthEast","East","SouthEast","South","SouthWest","West","NorthWest","North")</f>
        <v>South</v>
      </c>
      <c r="AA2685" s="4">
        <f>CHOOSE(MATCH(Z2685,{"South";"SouthEast";"SouthWest";"North";"NorthEast";"East";"West";"NorthWest"},0),1,2,3,4,5,6,7,8)</f>
        <v>1</v>
      </c>
      <c r="AB2685" s="2">
        <f t="shared" si="416"/>
        <v>0</v>
      </c>
      <c r="AC2685">
        <v>1016.9</v>
      </c>
      <c r="AD2685" t="s">
        <v>1215</v>
      </c>
      <c r="AE2685" s="2">
        <f t="shared" si="417"/>
        <v>1</v>
      </c>
      <c r="AF2685" t="s">
        <v>3642</v>
      </c>
      <c r="AG2685" s="2">
        <f t="shared" si="418"/>
        <v>12</v>
      </c>
      <c r="AH2685" s="2">
        <f t="shared" si="419"/>
        <v>0</v>
      </c>
      <c r="AI2685" s="3">
        <v>1059.9999999976719</v>
      </c>
      <c r="AJ2685" s="2">
        <v>1</v>
      </c>
      <c r="AK2685">
        <v>0</v>
      </c>
      <c r="AL2685">
        <v>1</v>
      </c>
      <c r="AM2685">
        <v>0</v>
      </c>
      <c r="AN2685" s="2">
        <f>IF((2*G2685+M2685-O2685+3*V2685+2*AB2685+2*AE2685+2*AH2685+3*AJ2685)&gt;=7,1,0)</f>
        <v>1</v>
      </c>
    </row>
    <row r="2686" spans="1:40" x14ac:dyDescent="0.25">
      <c r="A2686" t="s">
        <v>27</v>
      </c>
      <c r="B2686" s="1">
        <v>45266</v>
      </c>
      <c r="C2686" s="6">
        <f t="shared" si="410"/>
        <v>2023</v>
      </c>
      <c r="D2686">
        <v>68</v>
      </c>
      <c r="E2686">
        <v>59</v>
      </c>
      <c r="F2686">
        <v>63.4</v>
      </c>
      <c r="G2686" s="2">
        <f t="shared" si="411"/>
        <v>0</v>
      </c>
      <c r="H2686">
        <v>68</v>
      </c>
      <c r="I2686">
        <v>59</v>
      </c>
      <c r="J2686">
        <v>63.4</v>
      </c>
      <c r="K2686">
        <v>51.9</v>
      </c>
      <c r="L2686">
        <v>66.8</v>
      </c>
      <c r="M2686" s="2">
        <f t="shared" si="412"/>
        <v>0</v>
      </c>
      <c r="N2686">
        <v>0</v>
      </c>
      <c r="O2686" s="2">
        <f t="shared" si="413"/>
        <v>1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25.3</v>
      </c>
      <c r="V2686" s="2">
        <f t="shared" si="414"/>
        <v>1</v>
      </c>
      <c r="W2686">
        <v>16.100000000000001</v>
      </c>
      <c r="X2686" s="2">
        <f t="shared" si="415"/>
        <v>1</v>
      </c>
      <c r="Y2686">
        <v>218.5</v>
      </c>
      <c r="Z2686" s="2" t="str">
        <f>CHOOSE(MATCH(Y2686,{0;11;80;111;161;191;241;281;341},1),"North","NorthEast","East","SouthEast","South","SouthWest","West","NorthWest","North")</f>
        <v>SouthWest</v>
      </c>
      <c r="AA2686" s="4">
        <f>CHOOSE(MATCH(Z2686,{"South";"SouthEast";"SouthWest";"North";"NorthEast";"East";"West";"NorthWest"},0),1,2,3,4,5,6,7,8)</f>
        <v>3</v>
      </c>
      <c r="AB2686" s="2">
        <f t="shared" si="416"/>
        <v>0</v>
      </c>
      <c r="AC2686">
        <v>1011.6</v>
      </c>
      <c r="AD2686" t="s">
        <v>1252</v>
      </c>
      <c r="AE2686" s="2">
        <f t="shared" si="417"/>
        <v>1</v>
      </c>
      <c r="AF2686" t="s">
        <v>3643</v>
      </c>
      <c r="AG2686" s="2">
        <f t="shared" si="418"/>
        <v>12</v>
      </c>
      <c r="AH2686" s="2">
        <f t="shared" si="419"/>
        <v>0</v>
      </c>
      <c r="AI2686" s="3">
        <v>135</v>
      </c>
      <c r="AJ2686" s="2">
        <v>0</v>
      </c>
      <c r="AK2686">
        <v>0.02</v>
      </c>
      <c r="AL2686">
        <v>0.02</v>
      </c>
      <c r="AM2686">
        <v>0</v>
      </c>
      <c r="AN2686" s="2">
        <f>IF((2*G2686+M2686-O2686+3*V2686+2*AB2686+2*AE2686+2*AH2686+3*AJ2686)&gt;=7,1,0)</f>
        <v>0</v>
      </c>
    </row>
    <row r="2687" spans="1:40" x14ac:dyDescent="0.25">
      <c r="A2687" t="s">
        <v>27</v>
      </c>
      <c r="B2687" s="1">
        <v>45266</v>
      </c>
      <c r="C2687" s="6">
        <f t="shared" si="410"/>
        <v>2023</v>
      </c>
      <c r="D2687">
        <v>68</v>
      </c>
      <c r="E2687">
        <v>59</v>
      </c>
      <c r="F2687">
        <v>63.4</v>
      </c>
      <c r="G2687" s="2">
        <f t="shared" si="411"/>
        <v>0</v>
      </c>
      <c r="H2687">
        <v>68</v>
      </c>
      <c r="I2687">
        <v>59</v>
      </c>
      <c r="J2687">
        <v>63.4</v>
      </c>
      <c r="K2687">
        <v>51.9</v>
      </c>
      <c r="L2687">
        <v>66.8</v>
      </c>
      <c r="M2687" s="2">
        <f t="shared" si="412"/>
        <v>0</v>
      </c>
      <c r="N2687">
        <v>0</v>
      </c>
      <c r="O2687" s="2">
        <f t="shared" si="413"/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25.3</v>
      </c>
      <c r="V2687" s="2">
        <f t="shared" si="414"/>
        <v>1</v>
      </c>
      <c r="W2687">
        <v>16.100000000000001</v>
      </c>
      <c r="X2687" s="2">
        <f t="shared" si="415"/>
        <v>1</v>
      </c>
      <c r="Y2687">
        <v>218.5</v>
      </c>
      <c r="Z2687" s="2" t="str">
        <f>CHOOSE(MATCH(Y2687,{0;11;80;111;161;191;241;281;341},1),"North","NorthEast","East","SouthEast","South","SouthWest","West","NorthWest","North")</f>
        <v>SouthWest</v>
      </c>
      <c r="AA2687" s="4">
        <f>CHOOSE(MATCH(Z2687,{"South";"SouthEast";"SouthWest";"North";"NorthEast";"East";"West";"NorthWest"},0),1,2,3,4,5,6,7,8)</f>
        <v>3</v>
      </c>
      <c r="AB2687" s="2">
        <f t="shared" si="416"/>
        <v>0</v>
      </c>
      <c r="AC2687">
        <v>1011.6</v>
      </c>
      <c r="AD2687" t="s">
        <v>2413</v>
      </c>
      <c r="AE2687" s="2">
        <f t="shared" si="417"/>
        <v>0</v>
      </c>
      <c r="AF2687" t="s">
        <v>3644</v>
      </c>
      <c r="AG2687" s="2">
        <f t="shared" si="418"/>
        <v>12</v>
      </c>
      <c r="AH2687" s="2">
        <f t="shared" si="419"/>
        <v>0</v>
      </c>
      <c r="AI2687" s="3">
        <v>1551.0000000055879</v>
      </c>
      <c r="AJ2687" s="2">
        <v>1</v>
      </c>
      <c r="AK2687">
        <v>0</v>
      </c>
      <c r="AL2687">
        <v>20</v>
      </c>
      <c r="AM2687">
        <v>0</v>
      </c>
      <c r="AN2687" s="2">
        <f>IF((2*G2687+M2687-O2687+3*V2687+2*AB2687+2*AE2687+2*AH2687+3*AJ2687)&gt;=7,1,0)</f>
        <v>0</v>
      </c>
    </row>
    <row r="2688" spans="1:40" x14ac:dyDescent="0.25">
      <c r="A2688" t="s">
        <v>27</v>
      </c>
      <c r="B2688" s="1">
        <v>45269</v>
      </c>
      <c r="C2688" s="6">
        <f t="shared" si="410"/>
        <v>2023</v>
      </c>
      <c r="D2688">
        <v>60.8</v>
      </c>
      <c r="E2688">
        <v>50</v>
      </c>
      <c r="F2688">
        <v>56</v>
      </c>
      <c r="G2688" s="2">
        <f t="shared" si="411"/>
        <v>0</v>
      </c>
      <c r="H2688">
        <v>60.8</v>
      </c>
      <c r="I2688">
        <v>50</v>
      </c>
      <c r="J2688">
        <v>56</v>
      </c>
      <c r="K2688">
        <v>46.5</v>
      </c>
      <c r="L2688">
        <v>71.5</v>
      </c>
      <c r="M2688" s="2">
        <f t="shared" si="412"/>
        <v>0</v>
      </c>
      <c r="N2688">
        <v>0</v>
      </c>
      <c r="O2688" s="2">
        <f t="shared" si="413"/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19.7</v>
      </c>
      <c r="V2688" s="2">
        <f t="shared" si="414"/>
        <v>1</v>
      </c>
      <c r="W2688">
        <v>15</v>
      </c>
      <c r="X2688" s="2">
        <f t="shared" si="415"/>
        <v>0</v>
      </c>
      <c r="Y2688">
        <v>315.39999999999998</v>
      </c>
      <c r="Z2688" s="2" t="str">
        <f>CHOOSE(MATCH(Y2688,{0;11;80;111;161;191;241;281;341},1),"North","NorthEast","East","SouthEast","South","SouthWest","West","NorthWest","North")</f>
        <v>NorthWest</v>
      </c>
      <c r="AA2688" s="4">
        <f>CHOOSE(MATCH(Z2688,{"South";"SouthEast";"SouthWest";"North";"NorthEast";"East";"West";"NorthWest"},0),1,2,3,4,5,6,7,8)</f>
        <v>8</v>
      </c>
      <c r="AB2688" s="2">
        <f t="shared" si="416"/>
        <v>1</v>
      </c>
      <c r="AC2688">
        <v>1013.7</v>
      </c>
      <c r="AD2688" t="s">
        <v>3645</v>
      </c>
      <c r="AE2688" s="2">
        <f t="shared" si="417"/>
        <v>1</v>
      </c>
      <c r="AF2688" t="s">
        <v>3646</v>
      </c>
      <c r="AG2688" s="2">
        <f t="shared" si="418"/>
        <v>12</v>
      </c>
      <c r="AH2688" s="2">
        <f t="shared" si="419"/>
        <v>0</v>
      </c>
      <c r="AI2688" s="3">
        <v>129.99999999417921</v>
      </c>
      <c r="AJ2688" s="2">
        <v>0</v>
      </c>
      <c r="AK2688">
        <v>0</v>
      </c>
      <c r="AL2688">
        <v>1</v>
      </c>
      <c r="AM2688">
        <v>0</v>
      </c>
      <c r="AN2688" s="2">
        <f>IF((2*G2688+M2688-O2688+3*V2688+2*AB2688+2*AE2688+2*AH2688+3*AJ2688)&gt;=7,1,0)</f>
        <v>0</v>
      </c>
    </row>
    <row r="2689" spans="1:40" x14ac:dyDescent="0.25">
      <c r="A2689" t="s">
        <v>27</v>
      </c>
      <c r="B2689" s="1">
        <v>45271</v>
      </c>
      <c r="C2689" s="6">
        <f t="shared" si="410"/>
        <v>2023</v>
      </c>
      <c r="D2689">
        <v>62.6</v>
      </c>
      <c r="E2689">
        <v>51.8</v>
      </c>
      <c r="F2689">
        <v>57.1</v>
      </c>
      <c r="G2689" s="2">
        <f t="shared" si="411"/>
        <v>0</v>
      </c>
      <c r="H2689">
        <v>62.6</v>
      </c>
      <c r="I2689">
        <v>51.8</v>
      </c>
      <c r="J2689">
        <v>57.1</v>
      </c>
      <c r="K2689">
        <v>52</v>
      </c>
      <c r="L2689">
        <v>83.3</v>
      </c>
      <c r="M2689" s="2">
        <f t="shared" si="412"/>
        <v>0</v>
      </c>
      <c r="N2689">
        <v>0.90100000000000002</v>
      </c>
      <c r="O2689" s="2">
        <f t="shared" si="413"/>
        <v>0</v>
      </c>
      <c r="P2689">
        <v>100</v>
      </c>
      <c r="Q2689">
        <v>8.33</v>
      </c>
      <c r="R2689" t="s">
        <v>182</v>
      </c>
      <c r="S2689">
        <v>0</v>
      </c>
      <c r="T2689">
        <v>0</v>
      </c>
      <c r="U2689">
        <v>21.9</v>
      </c>
      <c r="V2689" s="2">
        <f t="shared" si="414"/>
        <v>1</v>
      </c>
      <c r="W2689">
        <v>11.4</v>
      </c>
      <c r="X2689" s="2">
        <f t="shared" si="415"/>
        <v>0</v>
      </c>
      <c r="Y2689">
        <v>350</v>
      </c>
      <c r="Z2689" s="2" t="str">
        <f>CHOOSE(MATCH(Y2689,{0;11;80;111;161;191;241;281;341},1),"North","NorthEast","East","SouthEast","South","SouthWest","West","NorthWest","North")</f>
        <v>North</v>
      </c>
      <c r="AA2689" s="4">
        <f>CHOOSE(MATCH(Z2689,{"South";"SouthEast";"SouthWest";"North";"NorthEast";"East";"West";"NorthWest"},0),1,2,3,4,5,6,7,8)</f>
        <v>4</v>
      </c>
      <c r="AB2689" s="2">
        <f t="shared" si="416"/>
        <v>1</v>
      </c>
      <c r="AC2689">
        <v>1013.5</v>
      </c>
      <c r="AD2689" t="s">
        <v>3647</v>
      </c>
      <c r="AE2689" s="2">
        <f t="shared" si="417"/>
        <v>1</v>
      </c>
      <c r="AF2689" t="s">
        <v>3648</v>
      </c>
      <c r="AG2689" s="2">
        <f t="shared" si="418"/>
        <v>12</v>
      </c>
      <c r="AH2689" s="2">
        <f t="shared" si="419"/>
        <v>0</v>
      </c>
      <c r="AI2689" s="3">
        <v>95.999999998603016</v>
      </c>
      <c r="AJ2689" s="2">
        <v>0</v>
      </c>
      <c r="AK2689">
        <v>0</v>
      </c>
      <c r="AL2689">
        <v>0.15</v>
      </c>
      <c r="AM2689">
        <v>0</v>
      </c>
      <c r="AN2689" s="2">
        <f>IF((2*G2689+M2689-O2689+3*V2689+2*AB2689+2*AE2689+2*AH2689+3*AJ2689)&gt;=7,1,0)</f>
        <v>1</v>
      </c>
    </row>
    <row r="2690" spans="1:40" x14ac:dyDescent="0.25">
      <c r="A2690" t="s">
        <v>27</v>
      </c>
      <c r="B2690" s="1">
        <v>45275</v>
      </c>
      <c r="C2690" s="6">
        <f t="shared" si="410"/>
        <v>2023</v>
      </c>
      <c r="D2690">
        <v>69.8</v>
      </c>
      <c r="E2690">
        <v>59.8</v>
      </c>
      <c r="F2690">
        <v>65.900000000000006</v>
      </c>
      <c r="G2690" s="2">
        <f t="shared" si="411"/>
        <v>0</v>
      </c>
      <c r="H2690">
        <v>69.8</v>
      </c>
      <c r="I2690">
        <v>59.8</v>
      </c>
      <c r="J2690">
        <v>65.900000000000006</v>
      </c>
      <c r="K2690">
        <v>54.4</v>
      </c>
      <c r="L2690">
        <v>67</v>
      </c>
      <c r="M2690" s="2">
        <f t="shared" si="412"/>
        <v>0</v>
      </c>
      <c r="N2690">
        <v>0</v>
      </c>
      <c r="O2690" s="2">
        <f t="shared" si="413"/>
        <v>1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41.4</v>
      </c>
      <c r="V2690" s="2">
        <f t="shared" si="414"/>
        <v>1</v>
      </c>
      <c r="W2690">
        <v>30</v>
      </c>
      <c r="X2690" s="2">
        <f t="shared" si="415"/>
        <v>1</v>
      </c>
      <c r="Y2690">
        <v>179.7</v>
      </c>
      <c r="Z2690" s="2" t="str">
        <f>CHOOSE(MATCH(Y2690,{0;11;80;111;161;191;241;281;341},1),"North","NorthEast","East","SouthEast","South","SouthWest","West","NorthWest","North")</f>
        <v>South</v>
      </c>
      <c r="AA2690" s="4">
        <f>CHOOSE(MATCH(Z2690,{"South";"SouthEast";"SouthWest";"North";"NorthEast";"East";"West";"NorthWest"},0),1,2,3,4,5,6,7,8)</f>
        <v>1</v>
      </c>
      <c r="AB2690" s="2">
        <f t="shared" si="416"/>
        <v>0</v>
      </c>
      <c r="AC2690">
        <v>1015.2</v>
      </c>
      <c r="AD2690" t="s">
        <v>1125</v>
      </c>
      <c r="AE2690" s="2">
        <f t="shared" si="417"/>
        <v>1</v>
      </c>
      <c r="AF2690" t="s">
        <v>3649</v>
      </c>
      <c r="AG2690" s="2">
        <f t="shared" si="418"/>
        <v>12</v>
      </c>
      <c r="AH2690" s="2">
        <f t="shared" si="419"/>
        <v>0</v>
      </c>
      <c r="AI2690" s="3">
        <v>614.00000000023283</v>
      </c>
      <c r="AJ2690" s="2">
        <v>1</v>
      </c>
      <c r="AK2690">
        <v>0</v>
      </c>
      <c r="AL2690">
        <v>0.2</v>
      </c>
      <c r="AM2690">
        <v>0</v>
      </c>
      <c r="AN2690" s="2">
        <f>IF((2*G2690+M2690-O2690+3*V2690+2*AB2690+2*AE2690+2*AH2690+3*AJ2690)&gt;=7,1,0)</f>
        <v>1</v>
      </c>
    </row>
    <row r="2691" spans="1:40" x14ac:dyDescent="0.25">
      <c r="A2691" t="s">
        <v>27</v>
      </c>
      <c r="B2691" s="1">
        <v>45275</v>
      </c>
      <c r="C2691" s="6">
        <f t="shared" ref="C2691:C2754" si="420">YEAR(B2691)</f>
        <v>2023</v>
      </c>
      <c r="D2691">
        <v>69.8</v>
      </c>
      <c r="E2691">
        <v>59.8</v>
      </c>
      <c r="F2691">
        <v>65.900000000000006</v>
      </c>
      <c r="G2691" s="2">
        <f t="shared" ref="G2691:G2754" si="421">IF(F2691&lt;=70,0,1)</f>
        <v>0</v>
      </c>
      <c r="H2691">
        <v>69.8</v>
      </c>
      <c r="I2691">
        <v>59.8</v>
      </c>
      <c r="J2691">
        <v>65.900000000000006</v>
      </c>
      <c r="K2691">
        <v>54.4</v>
      </c>
      <c r="L2691">
        <v>67</v>
      </c>
      <c r="M2691" s="2">
        <f t="shared" ref="M2691:M2754" si="422">IF(L2691&lt;=66,1,0)</f>
        <v>0</v>
      </c>
      <c r="N2691">
        <v>0</v>
      </c>
      <c r="O2691" s="2">
        <f t="shared" ref="O2691:O2754" si="423">IF(N2691&lt;=0.01,1,0)</f>
        <v>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41.4</v>
      </c>
      <c r="V2691" s="2">
        <f t="shared" ref="V2691:V2754" si="424">IF(U2691&lt;=9,0,1)</f>
        <v>1</v>
      </c>
      <c r="W2691">
        <v>30</v>
      </c>
      <c r="X2691" s="2">
        <f t="shared" ref="X2691:X2754" si="425">IF(W2691&gt;=16,1,0)</f>
        <v>1</v>
      </c>
      <c r="Y2691">
        <v>179.7</v>
      </c>
      <c r="Z2691" s="2" t="str">
        <f>CHOOSE(MATCH(Y2691,{0;11;80;111;161;191;241;281;341},1),"North","NorthEast","East","SouthEast","South","SouthWest","West","NorthWest","North")</f>
        <v>South</v>
      </c>
      <c r="AA2691" s="4">
        <f>CHOOSE(MATCH(Z2691,{"South";"SouthEast";"SouthWest";"North";"NorthEast";"East";"West";"NorthWest"},0),1,2,3,4,5,6,7,8)</f>
        <v>1</v>
      </c>
      <c r="AB2691" s="2">
        <f t="shared" ref="AB2691:AB2754" si="426">IF(OR(AA2691=4,AA2691=5,AA2691=8),1,0)</f>
        <v>0</v>
      </c>
      <c r="AC2691">
        <v>1015.2</v>
      </c>
      <c r="AD2691" t="s">
        <v>1942</v>
      </c>
      <c r="AE2691" s="2">
        <f t="shared" ref="AE2691:AE2754" si="427">IF(TIMEVALUE(AD2691)&lt;=TIME(12,30,0),0,1)</f>
        <v>1</v>
      </c>
      <c r="AF2691" t="s">
        <v>3650</v>
      </c>
      <c r="AG2691" s="2">
        <f t="shared" ref="AG2691:AG2754" si="428">MONTH(AF2691)</f>
        <v>12</v>
      </c>
      <c r="AH2691" s="2">
        <f t="shared" ref="AH2691:AH2754" si="429">IF(OR(AG2691=6,AG2691=7,AG2691=8),1,0)</f>
        <v>0</v>
      </c>
      <c r="AI2691" s="3">
        <v>306.00000000209548</v>
      </c>
      <c r="AJ2691" s="2">
        <v>0</v>
      </c>
      <c r="AK2691">
        <v>0</v>
      </c>
      <c r="AL2691">
        <v>0.1</v>
      </c>
      <c r="AM2691">
        <v>0</v>
      </c>
      <c r="AN2691" s="2">
        <f>IF((2*G2691+M2691-O2691+3*V2691+2*AB2691+2*AE2691+2*AH2691+3*AJ2691)&gt;=7,1,0)</f>
        <v>0</v>
      </c>
    </row>
    <row r="2692" spans="1:40" x14ac:dyDescent="0.25">
      <c r="A2692" t="s">
        <v>27</v>
      </c>
      <c r="B2692" s="1">
        <v>45275</v>
      </c>
      <c r="C2692" s="6">
        <f t="shared" si="420"/>
        <v>2023</v>
      </c>
      <c r="D2692">
        <v>69.8</v>
      </c>
      <c r="E2692">
        <v>59.8</v>
      </c>
      <c r="F2692">
        <v>65.900000000000006</v>
      </c>
      <c r="G2692" s="2">
        <f t="shared" si="421"/>
        <v>0</v>
      </c>
      <c r="H2692">
        <v>69.8</v>
      </c>
      <c r="I2692">
        <v>59.8</v>
      </c>
      <c r="J2692">
        <v>65.900000000000006</v>
      </c>
      <c r="K2692">
        <v>54.4</v>
      </c>
      <c r="L2692">
        <v>67</v>
      </c>
      <c r="M2692" s="2">
        <f t="shared" si="422"/>
        <v>0</v>
      </c>
      <c r="N2692">
        <v>0</v>
      </c>
      <c r="O2692" s="2">
        <f t="shared" si="423"/>
        <v>1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41.4</v>
      </c>
      <c r="V2692" s="2">
        <f t="shared" si="424"/>
        <v>1</v>
      </c>
      <c r="W2692">
        <v>30</v>
      </c>
      <c r="X2692" s="2">
        <f t="shared" si="425"/>
        <v>1</v>
      </c>
      <c r="Y2692">
        <v>179.7</v>
      </c>
      <c r="Z2692" s="2" t="str">
        <f>CHOOSE(MATCH(Y2692,{0;11;80;111;161;191;241;281;341},1),"North","NorthEast","East","SouthEast","South","SouthWest","West","NorthWest","North")</f>
        <v>South</v>
      </c>
      <c r="AA2692" s="4">
        <f>CHOOSE(MATCH(Z2692,{"South";"SouthEast";"SouthWest";"North";"NorthEast";"East";"West";"NorthWest"},0),1,2,3,4,5,6,7,8)</f>
        <v>1</v>
      </c>
      <c r="AB2692" s="2">
        <f t="shared" si="426"/>
        <v>0</v>
      </c>
      <c r="AC2692">
        <v>1015.2</v>
      </c>
      <c r="AD2692" t="s">
        <v>1125</v>
      </c>
      <c r="AE2692" s="2">
        <f t="shared" si="427"/>
        <v>1</v>
      </c>
      <c r="AF2692" t="s">
        <v>3649</v>
      </c>
      <c r="AG2692" s="2">
        <f t="shared" si="428"/>
        <v>12</v>
      </c>
      <c r="AH2692" s="2">
        <f t="shared" si="429"/>
        <v>0</v>
      </c>
      <c r="AI2692" s="3">
        <v>430.00000000814907</v>
      </c>
      <c r="AJ2692" s="2">
        <v>1</v>
      </c>
      <c r="AK2692">
        <v>0</v>
      </c>
      <c r="AL2692">
        <v>6</v>
      </c>
      <c r="AM2692">
        <v>0</v>
      </c>
      <c r="AN2692" s="2">
        <f>IF((2*G2692+M2692-O2692+3*V2692+2*AB2692+2*AE2692+2*AH2692+3*AJ2692)&gt;=7,1,0)</f>
        <v>1</v>
      </c>
    </row>
    <row r="2693" spans="1:40" x14ac:dyDescent="0.25">
      <c r="A2693" t="s">
        <v>27</v>
      </c>
      <c r="B2693" s="1">
        <v>45280</v>
      </c>
      <c r="C2693" s="6">
        <f t="shared" si="420"/>
        <v>2023</v>
      </c>
      <c r="D2693">
        <v>68</v>
      </c>
      <c r="E2693">
        <v>48.2</v>
      </c>
      <c r="F2693">
        <v>57.7</v>
      </c>
      <c r="G2693" s="2">
        <f t="shared" si="421"/>
        <v>0</v>
      </c>
      <c r="H2693">
        <v>68</v>
      </c>
      <c r="I2693">
        <v>45.6</v>
      </c>
      <c r="J2693">
        <v>57.4</v>
      </c>
      <c r="K2693">
        <v>47.9</v>
      </c>
      <c r="L2693">
        <v>72.8</v>
      </c>
      <c r="M2693" s="2">
        <f t="shared" si="422"/>
        <v>0</v>
      </c>
      <c r="N2693">
        <v>1.6E-2</v>
      </c>
      <c r="O2693" s="2">
        <f t="shared" si="423"/>
        <v>0</v>
      </c>
      <c r="P2693">
        <v>100</v>
      </c>
      <c r="Q2693">
        <v>4.17</v>
      </c>
      <c r="R2693" t="s">
        <v>182</v>
      </c>
      <c r="S2693">
        <v>0</v>
      </c>
      <c r="T2693">
        <v>0</v>
      </c>
      <c r="U2693">
        <v>23</v>
      </c>
      <c r="V2693" s="2">
        <f t="shared" si="424"/>
        <v>1</v>
      </c>
      <c r="W2693">
        <v>16.100000000000001</v>
      </c>
      <c r="X2693" s="2">
        <f t="shared" si="425"/>
        <v>1</v>
      </c>
      <c r="Y2693">
        <v>164.7</v>
      </c>
      <c r="Z2693" s="2" t="str">
        <f>CHOOSE(MATCH(Y2693,{0;11;80;111;161;191;241;281;341},1),"North","NorthEast","East","SouthEast","South","SouthWest","West","NorthWest","North")</f>
        <v>South</v>
      </c>
      <c r="AA2693" s="4">
        <f>CHOOSE(MATCH(Z2693,{"South";"SouthEast";"SouthWest";"North";"NorthEast";"East";"West";"NorthWest"},0),1,2,3,4,5,6,7,8)</f>
        <v>1</v>
      </c>
      <c r="AB2693" s="2">
        <f t="shared" si="426"/>
        <v>0</v>
      </c>
      <c r="AC2693">
        <v>1016.3</v>
      </c>
      <c r="AD2693" t="s">
        <v>2562</v>
      </c>
      <c r="AE2693" s="2">
        <f t="shared" si="427"/>
        <v>0</v>
      </c>
      <c r="AF2693" t="s">
        <v>3651</v>
      </c>
      <c r="AG2693" s="2">
        <f t="shared" si="428"/>
        <v>12</v>
      </c>
      <c r="AH2693" s="2">
        <f t="shared" si="429"/>
        <v>0</v>
      </c>
      <c r="AI2693" s="3">
        <v>188.9999999979045</v>
      </c>
      <c r="AJ2693" s="2">
        <v>0</v>
      </c>
      <c r="AK2693">
        <v>0.1</v>
      </c>
      <c r="AL2693">
        <v>0</v>
      </c>
      <c r="AM2693">
        <v>0</v>
      </c>
      <c r="AN2693" s="2">
        <f>IF((2*G2693+M2693-O2693+3*V2693+2*AB2693+2*AE2693+2*AH2693+3*AJ2693)&gt;=7,1,0)</f>
        <v>0</v>
      </c>
    </row>
    <row r="2694" spans="1:40" x14ac:dyDescent="0.25">
      <c r="A2694" t="s">
        <v>27</v>
      </c>
      <c r="B2694" s="1">
        <v>45286</v>
      </c>
      <c r="C2694" s="6">
        <f t="shared" si="420"/>
        <v>2023</v>
      </c>
      <c r="D2694">
        <v>68</v>
      </c>
      <c r="E2694">
        <v>53.6</v>
      </c>
      <c r="F2694">
        <v>61.1</v>
      </c>
      <c r="G2694" s="2">
        <f t="shared" si="421"/>
        <v>0</v>
      </c>
      <c r="H2694">
        <v>68</v>
      </c>
      <c r="I2694">
        <v>53.6</v>
      </c>
      <c r="J2694">
        <v>61.1</v>
      </c>
      <c r="K2694">
        <v>51.9</v>
      </c>
      <c r="L2694">
        <v>72.3</v>
      </c>
      <c r="M2694" s="2">
        <f t="shared" si="422"/>
        <v>0</v>
      </c>
      <c r="N2694">
        <v>0</v>
      </c>
      <c r="O2694" s="2">
        <f t="shared" si="423"/>
        <v>1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23</v>
      </c>
      <c r="V2694" s="2">
        <f t="shared" si="424"/>
        <v>1</v>
      </c>
      <c r="W2694">
        <v>11.4</v>
      </c>
      <c r="X2694" s="2">
        <f t="shared" si="425"/>
        <v>0</v>
      </c>
      <c r="Y2694">
        <v>179.8</v>
      </c>
      <c r="Z2694" s="2" t="str">
        <f>CHOOSE(MATCH(Y2694,{0;11;80;111;161;191;241;281;341},1),"North","NorthEast","East","SouthEast","South","SouthWest","West","NorthWest","North")</f>
        <v>South</v>
      </c>
      <c r="AA2694" s="4">
        <f>CHOOSE(MATCH(Z2694,{"South";"SouthEast";"SouthWest";"North";"NorthEast";"East";"West";"NorthWest"},0),1,2,3,4,5,6,7,8)</f>
        <v>1</v>
      </c>
      <c r="AB2694" s="2">
        <f t="shared" si="426"/>
        <v>0</v>
      </c>
      <c r="AC2694">
        <v>1021.1</v>
      </c>
      <c r="AD2694" t="s">
        <v>1794</v>
      </c>
      <c r="AE2694" s="2">
        <f t="shared" si="427"/>
        <v>1</v>
      </c>
      <c r="AF2694" t="s">
        <v>3652</v>
      </c>
      <c r="AG2694" s="2">
        <f t="shared" si="428"/>
        <v>12</v>
      </c>
      <c r="AH2694" s="2">
        <f t="shared" si="429"/>
        <v>0</v>
      </c>
      <c r="AI2694" s="3">
        <v>72.999999996973202</v>
      </c>
      <c r="AJ2694" s="2">
        <v>0</v>
      </c>
      <c r="AK2694">
        <v>0.05</v>
      </c>
      <c r="AL2694">
        <v>0</v>
      </c>
      <c r="AM2694">
        <v>0</v>
      </c>
      <c r="AN2694" s="2">
        <f>IF((2*G2694+M2694-O2694+3*V2694+2*AB2694+2*AE2694+2*AH2694+3*AJ2694)&gt;=7,1,0)</f>
        <v>0</v>
      </c>
    </row>
    <row r="2695" spans="1:40" x14ac:dyDescent="0.25">
      <c r="A2695" t="s">
        <v>27</v>
      </c>
      <c r="B2695" s="1">
        <v>45287</v>
      </c>
      <c r="C2695" s="6">
        <f t="shared" si="420"/>
        <v>2023</v>
      </c>
      <c r="D2695">
        <v>66.2</v>
      </c>
      <c r="E2695">
        <v>57.2</v>
      </c>
      <c r="F2695">
        <v>62.5</v>
      </c>
      <c r="G2695" s="2">
        <f t="shared" si="421"/>
        <v>0</v>
      </c>
      <c r="H2695">
        <v>66.2</v>
      </c>
      <c r="I2695">
        <v>57.2</v>
      </c>
      <c r="J2695">
        <v>62.5</v>
      </c>
      <c r="K2695">
        <v>55.4</v>
      </c>
      <c r="L2695">
        <v>77.599999999999994</v>
      </c>
      <c r="M2695" s="2">
        <f t="shared" si="422"/>
        <v>0</v>
      </c>
      <c r="N2695">
        <v>2E-3</v>
      </c>
      <c r="O2695" s="2">
        <f t="shared" si="423"/>
        <v>1</v>
      </c>
      <c r="P2695">
        <v>100</v>
      </c>
      <c r="Q2695">
        <v>4.17</v>
      </c>
      <c r="R2695" t="s">
        <v>182</v>
      </c>
      <c r="S2695">
        <v>0</v>
      </c>
      <c r="T2695">
        <v>0</v>
      </c>
      <c r="U2695">
        <v>12.8</v>
      </c>
      <c r="V2695" s="2">
        <f t="shared" si="424"/>
        <v>1</v>
      </c>
      <c r="W2695">
        <v>11.4</v>
      </c>
      <c r="X2695" s="2">
        <f t="shared" si="425"/>
        <v>0</v>
      </c>
      <c r="Y2695">
        <v>260.60000000000002</v>
      </c>
      <c r="Z2695" s="2" t="str">
        <f>CHOOSE(MATCH(Y2695,{0;11;80;111;161;191;241;281;341},1),"North","NorthEast","East","SouthEast","South","SouthWest","West","NorthWest","North")</f>
        <v>West</v>
      </c>
      <c r="AA2695" s="4">
        <f>CHOOSE(MATCH(Z2695,{"South";"SouthEast";"SouthWest";"North";"NorthEast";"East";"West";"NorthWest"},0),1,2,3,4,5,6,7,8)</f>
        <v>7</v>
      </c>
      <c r="AB2695" s="2">
        <f t="shared" si="426"/>
        <v>0</v>
      </c>
      <c r="AC2695">
        <v>1022</v>
      </c>
      <c r="AD2695" t="s">
        <v>3653</v>
      </c>
      <c r="AE2695" s="2">
        <f t="shared" si="427"/>
        <v>0</v>
      </c>
      <c r="AF2695" t="s">
        <v>3654</v>
      </c>
      <c r="AG2695" s="2">
        <f t="shared" si="428"/>
        <v>12</v>
      </c>
      <c r="AH2695" s="2">
        <f t="shared" si="429"/>
        <v>0</v>
      </c>
      <c r="AI2695" s="3">
        <v>506.00000000442378</v>
      </c>
      <c r="AJ2695" s="2">
        <v>1</v>
      </c>
      <c r="AK2695">
        <v>0</v>
      </c>
      <c r="AL2695">
        <v>0.5</v>
      </c>
      <c r="AM2695">
        <v>0</v>
      </c>
      <c r="AN2695" s="2">
        <f>IF((2*G2695+M2695-O2695+3*V2695+2*AB2695+2*AE2695+2*AH2695+3*AJ2695)&gt;=7,1,0)</f>
        <v>0</v>
      </c>
    </row>
    <row r="2696" spans="1:40" x14ac:dyDescent="0.25">
      <c r="A2696" t="s">
        <v>27</v>
      </c>
      <c r="B2696" s="1">
        <v>45290</v>
      </c>
      <c r="C2696" s="6">
        <f t="shared" si="420"/>
        <v>2023</v>
      </c>
      <c r="D2696">
        <v>64.400000000000006</v>
      </c>
      <c r="E2696">
        <v>51.8</v>
      </c>
      <c r="F2696">
        <v>57.7</v>
      </c>
      <c r="G2696" s="2">
        <f t="shared" si="421"/>
        <v>0</v>
      </c>
      <c r="H2696">
        <v>64.400000000000006</v>
      </c>
      <c r="I2696">
        <v>51.8</v>
      </c>
      <c r="J2696">
        <v>57.7</v>
      </c>
      <c r="K2696">
        <v>51.1</v>
      </c>
      <c r="L2696">
        <v>79.3</v>
      </c>
      <c r="M2696" s="2">
        <f t="shared" si="422"/>
        <v>0</v>
      </c>
      <c r="N2696">
        <v>0</v>
      </c>
      <c r="O2696" s="2">
        <f t="shared" si="423"/>
        <v>1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13.9</v>
      </c>
      <c r="V2696" s="2">
        <f t="shared" si="424"/>
        <v>1</v>
      </c>
      <c r="W2696">
        <v>10.3</v>
      </c>
      <c r="X2696" s="2">
        <f t="shared" si="425"/>
        <v>0</v>
      </c>
      <c r="Y2696">
        <v>175.5</v>
      </c>
      <c r="Z2696" s="2" t="str">
        <f>CHOOSE(MATCH(Y2696,{0;11;80;111;161;191;241;281;341},1),"North","NorthEast","East","SouthEast","South","SouthWest","West","NorthWest","North")</f>
        <v>South</v>
      </c>
      <c r="AA2696" s="4">
        <f>CHOOSE(MATCH(Z2696,{"South";"SouthEast";"SouthWest";"North";"NorthEast";"East";"West";"NorthWest"},0),1,2,3,4,5,6,7,8)</f>
        <v>1</v>
      </c>
      <c r="AB2696" s="2">
        <f t="shared" si="426"/>
        <v>0</v>
      </c>
      <c r="AC2696">
        <v>1021.6</v>
      </c>
      <c r="AD2696" t="s">
        <v>1111</v>
      </c>
      <c r="AE2696" s="2">
        <f t="shared" si="427"/>
        <v>1</v>
      </c>
      <c r="AF2696" t="s">
        <v>3655</v>
      </c>
      <c r="AG2696" s="2">
        <f t="shared" si="428"/>
        <v>12</v>
      </c>
      <c r="AH2696" s="2">
        <f t="shared" si="429"/>
        <v>0</v>
      </c>
      <c r="AI2696" s="3">
        <v>34.999999998835847</v>
      </c>
      <c r="AJ2696" s="2">
        <v>0</v>
      </c>
      <c r="AK2696">
        <v>0</v>
      </c>
      <c r="AL2696">
        <v>2</v>
      </c>
      <c r="AM2696">
        <v>0</v>
      </c>
      <c r="AN2696" s="2">
        <f>IF((2*G2696+M2696-O2696+3*V2696+2*AB2696+2*AE2696+2*AH2696+3*AJ2696)&gt;=7,1,0)</f>
        <v>0</v>
      </c>
    </row>
    <row r="2697" spans="1:40" x14ac:dyDescent="0.25">
      <c r="A2697" t="s">
        <v>27</v>
      </c>
      <c r="B2697" s="1">
        <v>45294</v>
      </c>
      <c r="C2697" s="6">
        <f t="shared" si="420"/>
        <v>2024</v>
      </c>
      <c r="D2697">
        <v>66.2</v>
      </c>
      <c r="E2697">
        <v>55.4</v>
      </c>
      <c r="F2697">
        <v>60.2</v>
      </c>
      <c r="G2697" s="2">
        <f t="shared" si="421"/>
        <v>0</v>
      </c>
      <c r="H2697">
        <v>66.2</v>
      </c>
      <c r="I2697">
        <v>55.4</v>
      </c>
      <c r="J2697">
        <v>60.2</v>
      </c>
      <c r="K2697">
        <v>50.8</v>
      </c>
      <c r="L2697">
        <v>72</v>
      </c>
      <c r="M2697" s="2">
        <f t="shared" si="422"/>
        <v>0</v>
      </c>
      <c r="N2697">
        <v>0</v>
      </c>
      <c r="O2697" s="2">
        <f t="shared" si="423"/>
        <v>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20.8</v>
      </c>
      <c r="V2697" s="2">
        <f t="shared" si="424"/>
        <v>1</v>
      </c>
      <c r="W2697">
        <v>12.8</v>
      </c>
      <c r="X2697" s="2">
        <f t="shared" si="425"/>
        <v>0</v>
      </c>
      <c r="Y2697">
        <v>192.3</v>
      </c>
      <c r="Z2697" s="2" t="str">
        <f>CHOOSE(MATCH(Y2697,{0;11;80;111;161;191;241;281;341},1),"North","NorthEast","East","SouthEast","South","SouthWest","West","NorthWest","North")</f>
        <v>SouthWest</v>
      </c>
      <c r="AA2697" s="4">
        <f>CHOOSE(MATCH(Z2697,{"South";"SouthEast";"SouthWest";"North";"NorthEast";"East";"West";"NorthWest"},0),1,2,3,4,5,6,7,8)</f>
        <v>3</v>
      </c>
      <c r="AB2697" s="2">
        <f t="shared" si="426"/>
        <v>0</v>
      </c>
      <c r="AC2697">
        <v>1018.4</v>
      </c>
      <c r="AD2697" t="s">
        <v>1750</v>
      </c>
      <c r="AE2697" s="2">
        <f t="shared" si="427"/>
        <v>1</v>
      </c>
      <c r="AF2697" t="s">
        <v>3656</v>
      </c>
      <c r="AG2697" s="2">
        <f t="shared" si="428"/>
        <v>1</v>
      </c>
      <c r="AH2697" s="2">
        <f t="shared" si="429"/>
        <v>0</v>
      </c>
      <c r="AI2697" s="3">
        <v>313.99999999674043</v>
      </c>
      <c r="AJ2697" s="2">
        <v>0</v>
      </c>
      <c r="AK2697">
        <v>0</v>
      </c>
      <c r="AL2697">
        <v>1</v>
      </c>
      <c r="AM2697">
        <v>0</v>
      </c>
      <c r="AN2697" s="2">
        <f>IF((2*G2697+M2697-O2697+3*V2697+2*AB2697+2*AE2697+2*AH2697+3*AJ2697)&gt;=7,1,0)</f>
        <v>0</v>
      </c>
    </row>
    <row r="2698" spans="1:40" x14ac:dyDescent="0.25">
      <c r="A2698" t="s">
        <v>27</v>
      </c>
      <c r="B2698" s="1">
        <v>45296</v>
      </c>
      <c r="C2698" s="6">
        <f t="shared" si="420"/>
        <v>2024</v>
      </c>
      <c r="D2698">
        <v>66.2</v>
      </c>
      <c r="E2698">
        <v>55.4</v>
      </c>
      <c r="F2698">
        <v>60.4</v>
      </c>
      <c r="G2698" s="2">
        <f t="shared" si="421"/>
        <v>0</v>
      </c>
      <c r="H2698">
        <v>66.2</v>
      </c>
      <c r="I2698">
        <v>55.4</v>
      </c>
      <c r="J2698">
        <v>60.4</v>
      </c>
      <c r="K2698">
        <v>53.8</v>
      </c>
      <c r="L2698">
        <v>79.400000000000006</v>
      </c>
      <c r="M2698" s="2">
        <f t="shared" si="422"/>
        <v>0</v>
      </c>
      <c r="N2698">
        <v>0</v>
      </c>
      <c r="O2698" s="2">
        <f t="shared" si="423"/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15</v>
      </c>
      <c r="V2698" s="2">
        <f t="shared" si="424"/>
        <v>1</v>
      </c>
      <c r="W2698">
        <v>8.1</v>
      </c>
      <c r="X2698" s="2">
        <f t="shared" si="425"/>
        <v>0</v>
      </c>
      <c r="Y2698">
        <v>212</v>
      </c>
      <c r="Z2698" s="2" t="str">
        <f>CHOOSE(MATCH(Y2698,{0;11;80;111;161;191;241;281;341},1),"North","NorthEast","East","SouthEast","South","SouthWest","West","NorthWest","North")</f>
        <v>SouthWest</v>
      </c>
      <c r="AA2698" s="4">
        <f>CHOOSE(MATCH(Z2698,{"South";"SouthEast";"SouthWest";"North";"NorthEast";"East";"West";"NorthWest"},0),1,2,3,4,5,6,7,8)</f>
        <v>3</v>
      </c>
      <c r="AB2698" s="2">
        <f t="shared" si="426"/>
        <v>0</v>
      </c>
      <c r="AC2698">
        <v>1018.5</v>
      </c>
      <c r="AD2698" t="s">
        <v>1123</v>
      </c>
      <c r="AE2698" s="2">
        <f t="shared" si="427"/>
        <v>1</v>
      </c>
      <c r="AF2698" t="s">
        <v>3657</v>
      </c>
      <c r="AG2698" s="2">
        <f t="shared" si="428"/>
        <v>1</v>
      </c>
      <c r="AH2698" s="2">
        <f t="shared" si="429"/>
        <v>0</v>
      </c>
      <c r="AI2698" s="3">
        <v>34.999999998835847</v>
      </c>
      <c r="AJ2698" s="2">
        <v>0</v>
      </c>
      <c r="AK2698">
        <v>0</v>
      </c>
      <c r="AL2698">
        <v>1</v>
      </c>
      <c r="AM2698">
        <v>0</v>
      </c>
      <c r="AN2698" s="2">
        <f>IF((2*G2698+M2698-O2698+3*V2698+2*AB2698+2*AE2698+2*AH2698+3*AJ2698)&gt;=7,1,0)</f>
        <v>0</v>
      </c>
    </row>
    <row r="2699" spans="1:40" x14ac:dyDescent="0.25">
      <c r="A2699" t="s">
        <v>27</v>
      </c>
      <c r="B2699" s="1">
        <v>45297</v>
      </c>
      <c r="C2699" s="6">
        <f t="shared" si="420"/>
        <v>2024</v>
      </c>
      <c r="D2699">
        <v>69.8</v>
      </c>
      <c r="E2699">
        <v>55.4</v>
      </c>
      <c r="F2699">
        <v>62.4</v>
      </c>
      <c r="G2699" s="2">
        <f t="shared" si="421"/>
        <v>0</v>
      </c>
      <c r="H2699">
        <v>69.8</v>
      </c>
      <c r="I2699">
        <v>55.4</v>
      </c>
      <c r="J2699">
        <v>62.4</v>
      </c>
      <c r="K2699">
        <v>52.9</v>
      </c>
      <c r="L2699">
        <v>72.2</v>
      </c>
      <c r="M2699" s="2">
        <f t="shared" si="422"/>
        <v>0</v>
      </c>
      <c r="N2699">
        <v>0</v>
      </c>
      <c r="O2699" s="2">
        <f t="shared" si="423"/>
        <v>1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43.8</v>
      </c>
      <c r="V2699" s="2">
        <f t="shared" si="424"/>
        <v>1</v>
      </c>
      <c r="W2699">
        <v>20.8</v>
      </c>
      <c r="X2699" s="2">
        <f t="shared" si="425"/>
        <v>1</v>
      </c>
      <c r="Y2699">
        <v>173.8</v>
      </c>
      <c r="Z2699" s="2" t="str">
        <f>CHOOSE(MATCH(Y2699,{0;11;80;111;161;191;241;281;341},1),"North","NorthEast","East","SouthEast","South","SouthWest","West","NorthWest","North")</f>
        <v>South</v>
      </c>
      <c r="AA2699" s="4">
        <f>CHOOSE(MATCH(Z2699,{"South";"SouthEast";"SouthWest";"North";"NorthEast";"East";"West";"NorthWest"},0),1,2,3,4,5,6,7,8)</f>
        <v>1</v>
      </c>
      <c r="AB2699" s="2">
        <f t="shared" si="426"/>
        <v>0</v>
      </c>
      <c r="AC2699">
        <v>1016.4</v>
      </c>
      <c r="AD2699" t="s">
        <v>3180</v>
      </c>
      <c r="AE2699" s="2">
        <f t="shared" si="427"/>
        <v>1</v>
      </c>
      <c r="AF2699" t="s">
        <v>3658</v>
      </c>
      <c r="AG2699" s="2">
        <f t="shared" si="428"/>
        <v>1</v>
      </c>
      <c r="AH2699" s="2">
        <f t="shared" si="429"/>
        <v>0</v>
      </c>
      <c r="AI2699" s="3">
        <v>28.000000007450581</v>
      </c>
      <c r="AJ2699" s="2">
        <v>0</v>
      </c>
      <c r="AK2699">
        <v>0</v>
      </c>
      <c r="AL2699">
        <v>0.02</v>
      </c>
      <c r="AM2699">
        <v>0</v>
      </c>
      <c r="AN2699" s="2">
        <f>IF((2*G2699+M2699-O2699+3*V2699+2*AB2699+2*AE2699+2*AH2699+3*AJ2699)&gt;=7,1,0)</f>
        <v>0</v>
      </c>
    </row>
    <row r="2700" spans="1:40" x14ac:dyDescent="0.25">
      <c r="A2700" t="s">
        <v>27</v>
      </c>
      <c r="B2700" s="1">
        <v>45310</v>
      </c>
      <c r="C2700" s="6">
        <f t="shared" si="420"/>
        <v>2024</v>
      </c>
      <c r="D2700">
        <v>73.400000000000006</v>
      </c>
      <c r="E2700">
        <v>62.6</v>
      </c>
      <c r="F2700">
        <v>65.400000000000006</v>
      </c>
      <c r="G2700" s="2">
        <f t="shared" si="421"/>
        <v>0</v>
      </c>
      <c r="H2700">
        <v>73.400000000000006</v>
      </c>
      <c r="I2700">
        <v>62.6</v>
      </c>
      <c r="J2700">
        <v>65.400000000000006</v>
      </c>
      <c r="K2700">
        <v>47.5</v>
      </c>
      <c r="L2700">
        <v>53.5</v>
      </c>
      <c r="M2700" s="2">
        <f t="shared" si="422"/>
        <v>1</v>
      </c>
      <c r="N2700">
        <v>0</v>
      </c>
      <c r="O2700" s="2">
        <f t="shared" si="423"/>
        <v>1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31.1</v>
      </c>
      <c r="V2700" s="2">
        <f t="shared" si="424"/>
        <v>1</v>
      </c>
      <c r="W2700">
        <v>20.8</v>
      </c>
      <c r="X2700" s="2">
        <f t="shared" si="425"/>
        <v>1</v>
      </c>
      <c r="Y2700">
        <v>168.3</v>
      </c>
      <c r="Z2700" s="2" t="str">
        <f>CHOOSE(MATCH(Y2700,{0;11;80;111;161;191;241;281;341},1),"North","NorthEast","East","SouthEast","South","SouthWest","West","NorthWest","North")</f>
        <v>South</v>
      </c>
      <c r="AA2700" s="4">
        <f>CHOOSE(MATCH(Z2700,{"South";"SouthEast";"SouthWest";"North";"NorthEast";"East";"West";"NorthWest"},0),1,2,3,4,5,6,7,8)</f>
        <v>1</v>
      </c>
      <c r="AB2700" s="2">
        <f t="shared" si="426"/>
        <v>0</v>
      </c>
      <c r="AC2700">
        <v>1014.6</v>
      </c>
      <c r="AD2700" t="s">
        <v>1983</v>
      </c>
      <c r="AE2700" s="2">
        <f t="shared" si="427"/>
        <v>1</v>
      </c>
      <c r="AF2700" t="s">
        <v>3659</v>
      </c>
      <c r="AG2700" s="2">
        <f t="shared" si="428"/>
        <v>1</v>
      </c>
      <c r="AH2700" s="2">
        <f t="shared" si="429"/>
        <v>0</v>
      </c>
      <c r="AI2700" s="3">
        <v>40.000000004656613</v>
      </c>
      <c r="AJ2700" s="2">
        <v>0</v>
      </c>
      <c r="AK2700">
        <v>0</v>
      </c>
      <c r="AL2700">
        <v>0.2</v>
      </c>
      <c r="AM2700">
        <v>0</v>
      </c>
      <c r="AN2700" s="2">
        <f>IF((2*G2700+M2700-O2700+3*V2700+2*AB2700+2*AE2700+2*AH2700+3*AJ2700)&gt;=7,1,0)</f>
        <v>0</v>
      </c>
    </row>
    <row r="2701" spans="1:40" x14ac:dyDescent="0.25">
      <c r="A2701" t="s">
        <v>27</v>
      </c>
      <c r="B2701" s="1">
        <v>45311</v>
      </c>
      <c r="C2701" s="6">
        <f t="shared" si="420"/>
        <v>2024</v>
      </c>
      <c r="D2701">
        <v>69.8</v>
      </c>
      <c r="E2701">
        <v>57.2</v>
      </c>
      <c r="F2701">
        <v>63.5</v>
      </c>
      <c r="G2701" s="2">
        <f t="shared" si="421"/>
        <v>0</v>
      </c>
      <c r="H2701">
        <v>69.8</v>
      </c>
      <c r="I2701">
        <v>57.2</v>
      </c>
      <c r="J2701">
        <v>63.5</v>
      </c>
      <c r="K2701">
        <v>49.8</v>
      </c>
      <c r="L2701">
        <v>61.3</v>
      </c>
      <c r="M2701" s="2">
        <f t="shared" si="422"/>
        <v>1</v>
      </c>
      <c r="N2701">
        <v>0</v>
      </c>
      <c r="O2701" s="2">
        <f t="shared" si="423"/>
        <v>1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23</v>
      </c>
      <c r="V2701" s="2">
        <f t="shared" si="424"/>
        <v>1</v>
      </c>
      <c r="W2701">
        <v>19.7</v>
      </c>
      <c r="X2701" s="2">
        <f t="shared" si="425"/>
        <v>1</v>
      </c>
      <c r="Y2701">
        <v>158</v>
      </c>
      <c r="Z2701" s="2" t="str">
        <f>CHOOSE(MATCH(Y2701,{0;11;80;111;161;191;241;281;341},1),"North","NorthEast","East","SouthEast","South","SouthWest","West","NorthWest","North")</f>
        <v>SouthEast</v>
      </c>
      <c r="AA2701" s="4">
        <f>CHOOSE(MATCH(Z2701,{"South";"SouthEast";"SouthWest";"North";"NorthEast";"East";"West";"NorthWest"},0),1,2,3,4,5,6,7,8)</f>
        <v>2</v>
      </c>
      <c r="AB2701" s="2">
        <f t="shared" si="426"/>
        <v>0</v>
      </c>
      <c r="AC2701">
        <v>1014.2</v>
      </c>
      <c r="AD2701" t="s">
        <v>3660</v>
      </c>
      <c r="AE2701" s="2">
        <f t="shared" si="427"/>
        <v>1</v>
      </c>
      <c r="AF2701" t="s">
        <v>3661</v>
      </c>
      <c r="AG2701" s="2">
        <f t="shared" si="428"/>
        <v>1</v>
      </c>
      <c r="AH2701" s="2">
        <f t="shared" si="429"/>
        <v>0</v>
      </c>
      <c r="AI2701" s="3">
        <v>659.00000000023283</v>
      </c>
      <c r="AJ2701" s="2">
        <v>1</v>
      </c>
      <c r="AK2701">
        <v>0</v>
      </c>
      <c r="AL2701">
        <v>1</v>
      </c>
      <c r="AM2701">
        <v>0</v>
      </c>
      <c r="AN2701" s="2">
        <f>IF((2*G2701+M2701-O2701+3*V2701+2*AB2701+2*AE2701+2*AH2701+3*AJ2701)&gt;=7,1,0)</f>
        <v>1</v>
      </c>
    </row>
    <row r="2702" spans="1:40" x14ac:dyDescent="0.25">
      <c r="A2702" t="s">
        <v>27</v>
      </c>
      <c r="B2702" s="1">
        <v>45311</v>
      </c>
      <c r="C2702" s="6">
        <f t="shared" si="420"/>
        <v>2024</v>
      </c>
      <c r="D2702">
        <v>69.8</v>
      </c>
      <c r="E2702">
        <v>57.2</v>
      </c>
      <c r="F2702">
        <v>63.5</v>
      </c>
      <c r="G2702" s="2">
        <f t="shared" si="421"/>
        <v>0</v>
      </c>
      <c r="H2702">
        <v>69.8</v>
      </c>
      <c r="I2702">
        <v>57.2</v>
      </c>
      <c r="J2702">
        <v>63.5</v>
      </c>
      <c r="K2702">
        <v>49.8</v>
      </c>
      <c r="L2702">
        <v>61.3</v>
      </c>
      <c r="M2702" s="2">
        <f t="shared" si="422"/>
        <v>1</v>
      </c>
      <c r="N2702">
        <v>0</v>
      </c>
      <c r="O2702" s="2">
        <f t="shared" si="423"/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23</v>
      </c>
      <c r="V2702" s="2">
        <f t="shared" si="424"/>
        <v>1</v>
      </c>
      <c r="W2702">
        <v>19.7</v>
      </c>
      <c r="X2702" s="2">
        <f t="shared" si="425"/>
        <v>1</v>
      </c>
      <c r="Y2702">
        <v>158</v>
      </c>
      <c r="Z2702" s="2" t="str">
        <f>CHOOSE(MATCH(Y2702,{0;11;80;111;161;191;241;281;341},1),"North","NorthEast","East","SouthEast","South","SouthWest","West","NorthWest","North")</f>
        <v>SouthEast</v>
      </c>
      <c r="AA2702" s="4">
        <f>CHOOSE(MATCH(Z2702,{"South";"SouthEast";"SouthWest";"North";"NorthEast";"East";"West";"NorthWest"},0),1,2,3,4,5,6,7,8)</f>
        <v>2</v>
      </c>
      <c r="AB2702" s="2">
        <f t="shared" si="426"/>
        <v>0</v>
      </c>
      <c r="AC2702">
        <v>1014.2</v>
      </c>
      <c r="AD2702" t="s">
        <v>2453</v>
      </c>
      <c r="AE2702" s="2">
        <f t="shared" si="427"/>
        <v>0</v>
      </c>
      <c r="AF2702" t="s">
        <v>3662</v>
      </c>
      <c r="AG2702" s="2">
        <f t="shared" si="428"/>
        <v>1</v>
      </c>
      <c r="AH2702" s="2">
        <f t="shared" si="429"/>
        <v>0</v>
      </c>
      <c r="AI2702" s="3">
        <v>59.99999999650754</v>
      </c>
      <c r="AJ2702" s="2">
        <v>0</v>
      </c>
      <c r="AK2702">
        <v>0</v>
      </c>
      <c r="AL2702">
        <v>0.15</v>
      </c>
      <c r="AM2702">
        <v>0</v>
      </c>
      <c r="AN2702" s="2">
        <f>IF((2*G2702+M2702-O2702+3*V2702+2*AB2702+2*AE2702+2*AH2702+3*AJ2702)&gt;=7,1,0)</f>
        <v>0</v>
      </c>
    </row>
    <row r="2703" spans="1:40" x14ac:dyDescent="0.25">
      <c r="A2703" t="s">
        <v>27</v>
      </c>
      <c r="B2703" s="1">
        <v>45323</v>
      </c>
      <c r="C2703" s="6">
        <f t="shared" si="420"/>
        <v>2024</v>
      </c>
      <c r="D2703">
        <v>53.6</v>
      </c>
      <c r="E2703">
        <v>50</v>
      </c>
      <c r="F2703">
        <v>52</v>
      </c>
      <c r="G2703" s="2">
        <f t="shared" si="421"/>
        <v>0</v>
      </c>
      <c r="H2703">
        <v>53.6</v>
      </c>
      <c r="I2703">
        <v>42.9</v>
      </c>
      <c r="J2703">
        <v>51.4</v>
      </c>
      <c r="K2703">
        <v>44.1</v>
      </c>
      <c r="L2703">
        <v>74.8</v>
      </c>
      <c r="M2703" s="2">
        <f t="shared" si="422"/>
        <v>0</v>
      </c>
      <c r="N2703">
        <v>0.20100000000000001</v>
      </c>
      <c r="O2703" s="2">
        <f t="shared" si="423"/>
        <v>0</v>
      </c>
      <c r="P2703">
        <v>100</v>
      </c>
      <c r="Q2703">
        <v>12.5</v>
      </c>
      <c r="R2703" t="s">
        <v>182</v>
      </c>
      <c r="S2703">
        <v>0</v>
      </c>
      <c r="T2703">
        <v>0</v>
      </c>
      <c r="U2703">
        <v>32.700000000000003</v>
      </c>
      <c r="V2703" s="2">
        <f t="shared" si="424"/>
        <v>1</v>
      </c>
      <c r="W2703">
        <v>24.1</v>
      </c>
      <c r="X2703" s="2">
        <f t="shared" si="425"/>
        <v>1</v>
      </c>
      <c r="Y2703">
        <v>317.60000000000002</v>
      </c>
      <c r="Z2703" s="2" t="str">
        <f>CHOOSE(MATCH(Y2703,{0;11;80;111;161;191;241;281;341},1),"North","NorthEast","East","SouthEast","South","SouthWest","West","NorthWest","North")</f>
        <v>NorthWest</v>
      </c>
      <c r="AA2703" s="4">
        <f>CHOOSE(MATCH(Z2703,{"South";"SouthEast";"SouthWest";"North";"NorthEast";"East";"West";"NorthWest"},0),1,2,3,4,5,6,7,8)</f>
        <v>8</v>
      </c>
      <c r="AB2703" s="2">
        <f t="shared" si="426"/>
        <v>1</v>
      </c>
      <c r="AC2703">
        <v>1024</v>
      </c>
      <c r="AD2703" t="s">
        <v>1243</v>
      </c>
      <c r="AE2703" s="2">
        <f t="shared" si="427"/>
        <v>1</v>
      </c>
      <c r="AF2703" t="s">
        <v>3663</v>
      </c>
      <c r="AG2703" s="2">
        <f t="shared" si="428"/>
        <v>2</v>
      </c>
      <c r="AH2703" s="2">
        <f t="shared" si="429"/>
        <v>0</v>
      </c>
      <c r="AI2703" s="3">
        <v>114.99999999767169</v>
      </c>
      <c r="AJ2703" s="2">
        <v>0</v>
      </c>
      <c r="AK2703">
        <v>0</v>
      </c>
      <c r="AL2703">
        <v>0.4</v>
      </c>
      <c r="AM2703">
        <v>0</v>
      </c>
      <c r="AN2703" s="2">
        <f>IF((2*G2703+M2703-O2703+3*V2703+2*AB2703+2*AE2703+2*AH2703+3*AJ2703)&gt;=7,1,0)</f>
        <v>1</v>
      </c>
    </row>
    <row r="2704" spans="1:40" x14ac:dyDescent="0.25">
      <c r="A2704" t="s">
        <v>27</v>
      </c>
      <c r="B2704" s="1">
        <v>45327</v>
      </c>
      <c r="C2704" s="6">
        <f t="shared" si="420"/>
        <v>2024</v>
      </c>
      <c r="D2704">
        <v>64.400000000000006</v>
      </c>
      <c r="E2704">
        <v>46.4</v>
      </c>
      <c r="F2704">
        <v>55.8</v>
      </c>
      <c r="G2704" s="2">
        <f t="shared" si="421"/>
        <v>0</v>
      </c>
      <c r="H2704">
        <v>64.400000000000006</v>
      </c>
      <c r="I2704">
        <v>41.9</v>
      </c>
      <c r="J2704">
        <v>54.2</v>
      </c>
      <c r="K2704">
        <v>46.8</v>
      </c>
      <c r="L2704">
        <v>72.7</v>
      </c>
      <c r="M2704" s="2">
        <f t="shared" si="422"/>
        <v>0</v>
      </c>
      <c r="N2704">
        <v>0</v>
      </c>
      <c r="O2704" s="2">
        <f t="shared" si="423"/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17.899999999999999</v>
      </c>
      <c r="V2704" s="2">
        <f t="shared" si="424"/>
        <v>1</v>
      </c>
      <c r="W2704">
        <v>12.8</v>
      </c>
      <c r="X2704" s="2">
        <f t="shared" si="425"/>
        <v>0</v>
      </c>
      <c r="Y2704">
        <v>180.5</v>
      </c>
      <c r="Z2704" s="2" t="str">
        <f>CHOOSE(MATCH(Y2704,{0;11;80;111;161;191;241;281;341},1),"North","NorthEast","East","SouthEast","South","SouthWest","West","NorthWest","North")</f>
        <v>South</v>
      </c>
      <c r="AA2704" s="4">
        <f>CHOOSE(MATCH(Z2704,{"South";"SouthEast";"SouthWest";"North";"NorthEast";"East";"West";"NorthWest"},0),1,2,3,4,5,6,7,8)</f>
        <v>1</v>
      </c>
      <c r="AB2704" s="2">
        <f t="shared" si="426"/>
        <v>0</v>
      </c>
      <c r="AC2704">
        <v>1023.3</v>
      </c>
      <c r="AD2704" t="s">
        <v>1800</v>
      </c>
      <c r="AE2704" s="2">
        <f t="shared" si="427"/>
        <v>1</v>
      </c>
      <c r="AF2704" t="s">
        <v>3664</v>
      </c>
      <c r="AG2704" s="2">
        <f t="shared" si="428"/>
        <v>2</v>
      </c>
      <c r="AH2704" s="2">
        <f t="shared" si="429"/>
        <v>0</v>
      </c>
      <c r="AI2704" s="3">
        <v>6961.9999999995343</v>
      </c>
      <c r="AJ2704" s="2">
        <v>1</v>
      </c>
      <c r="AK2704">
        <v>0</v>
      </c>
      <c r="AL2704">
        <v>0.2</v>
      </c>
      <c r="AM2704">
        <v>0</v>
      </c>
      <c r="AN2704" s="2">
        <f>IF((2*G2704+M2704-O2704+3*V2704+2*AB2704+2*AE2704+2*AH2704+3*AJ2704)&gt;=7,1,0)</f>
        <v>1</v>
      </c>
    </row>
    <row r="2705" spans="1:40" x14ac:dyDescent="0.25">
      <c r="A2705" t="s">
        <v>27</v>
      </c>
      <c r="B2705" s="1">
        <v>45330</v>
      </c>
      <c r="C2705" s="6">
        <f t="shared" si="420"/>
        <v>2024</v>
      </c>
      <c r="D2705">
        <v>69.8</v>
      </c>
      <c r="E2705">
        <v>55.4</v>
      </c>
      <c r="F2705">
        <v>61.2</v>
      </c>
      <c r="G2705" s="2">
        <f t="shared" si="421"/>
        <v>0</v>
      </c>
      <c r="H2705">
        <v>69.8</v>
      </c>
      <c r="I2705">
        <v>55.4</v>
      </c>
      <c r="J2705">
        <v>61.2</v>
      </c>
      <c r="K2705">
        <v>48.4</v>
      </c>
      <c r="L2705">
        <v>64.400000000000006</v>
      </c>
      <c r="M2705" s="2">
        <f t="shared" si="422"/>
        <v>1</v>
      </c>
      <c r="N2705">
        <v>0</v>
      </c>
      <c r="O2705" s="2">
        <f t="shared" si="423"/>
        <v>1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28.9</v>
      </c>
      <c r="V2705" s="2">
        <f t="shared" si="424"/>
        <v>1</v>
      </c>
      <c r="W2705">
        <v>18.3</v>
      </c>
      <c r="X2705" s="2">
        <f t="shared" si="425"/>
        <v>1</v>
      </c>
      <c r="Y2705">
        <v>175.7</v>
      </c>
      <c r="Z2705" s="2" t="str">
        <f>CHOOSE(MATCH(Y2705,{0;11;80;111;161;191;241;281;341},1),"North","NorthEast","East","SouthEast","South","SouthWest","West","NorthWest","North")</f>
        <v>South</v>
      </c>
      <c r="AA2705" s="4">
        <f>CHOOSE(MATCH(Z2705,{"South";"SouthEast";"SouthWest";"North";"NorthEast";"East";"West";"NorthWest"},0),1,2,3,4,5,6,7,8)</f>
        <v>1</v>
      </c>
      <c r="AB2705" s="2">
        <f t="shared" si="426"/>
        <v>0</v>
      </c>
      <c r="AC2705">
        <v>1016.5</v>
      </c>
      <c r="AD2705" t="s">
        <v>2339</v>
      </c>
      <c r="AE2705" s="2">
        <f t="shared" si="427"/>
        <v>1</v>
      </c>
      <c r="AF2705" t="s">
        <v>3665</v>
      </c>
      <c r="AG2705" s="2">
        <f t="shared" si="428"/>
        <v>2</v>
      </c>
      <c r="AH2705" s="2">
        <f t="shared" si="429"/>
        <v>0</v>
      </c>
      <c r="AI2705" s="3">
        <v>415.00000000116421</v>
      </c>
      <c r="AJ2705" s="2">
        <v>1</v>
      </c>
      <c r="AK2705">
        <v>0</v>
      </c>
      <c r="AL2705">
        <v>10</v>
      </c>
      <c r="AM2705">
        <v>0</v>
      </c>
      <c r="AN2705" s="2">
        <f>IF((2*G2705+M2705-O2705+3*V2705+2*AB2705+2*AE2705+2*AH2705+3*AJ2705)&gt;=7,1,0)</f>
        <v>1</v>
      </c>
    </row>
    <row r="2706" spans="1:40" x14ac:dyDescent="0.25">
      <c r="A2706" t="s">
        <v>27</v>
      </c>
      <c r="B2706" s="1">
        <v>45332</v>
      </c>
      <c r="C2706" s="6">
        <f t="shared" si="420"/>
        <v>2024</v>
      </c>
      <c r="D2706">
        <v>66.2</v>
      </c>
      <c r="E2706">
        <v>53.6</v>
      </c>
      <c r="F2706">
        <v>59.3</v>
      </c>
      <c r="G2706" s="2">
        <f t="shared" si="421"/>
        <v>0</v>
      </c>
      <c r="H2706">
        <v>66.2</v>
      </c>
      <c r="I2706">
        <v>53.6</v>
      </c>
      <c r="J2706">
        <v>59.3</v>
      </c>
      <c r="K2706">
        <v>49.8</v>
      </c>
      <c r="L2706">
        <v>71.2</v>
      </c>
      <c r="M2706" s="2">
        <f t="shared" si="422"/>
        <v>0</v>
      </c>
      <c r="N2706">
        <v>0</v>
      </c>
      <c r="O2706" s="2">
        <f t="shared" si="423"/>
        <v>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24.2</v>
      </c>
      <c r="V2706" s="2">
        <f t="shared" si="424"/>
        <v>1</v>
      </c>
      <c r="W2706">
        <v>20.8</v>
      </c>
      <c r="X2706" s="2">
        <f t="shared" si="425"/>
        <v>1</v>
      </c>
      <c r="Y2706">
        <v>165.4</v>
      </c>
      <c r="Z2706" s="2" t="str">
        <f>CHOOSE(MATCH(Y2706,{0;11;80;111;161;191;241;281;341},1),"North","NorthEast","East","SouthEast","South","SouthWest","West","NorthWest","North")</f>
        <v>South</v>
      </c>
      <c r="AA2706" s="4">
        <f>CHOOSE(MATCH(Z2706,{"South";"SouthEast";"SouthWest";"North";"NorthEast";"East";"West";"NorthWest"},0),1,2,3,4,5,6,7,8)</f>
        <v>1</v>
      </c>
      <c r="AB2706" s="2">
        <f t="shared" si="426"/>
        <v>0</v>
      </c>
      <c r="AC2706">
        <v>1017.1</v>
      </c>
      <c r="AD2706" t="s">
        <v>3063</v>
      </c>
      <c r="AE2706" s="2">
        <f t="shared" si="427"/>
        <v>1</v>
      </c>
      <c r="AF2706" t="s">
        <v>3666</v>
      </c>
      <c r="AG2706" s="2">
        <f t="shared" si="428"/>
        <v>2</v>
      </c>
      <c r="AH2706" s="2">
        <f t="shared" si="429"/>
        <v>0</v>
      </c>
      <c r="AI2706" s="3">
        <v>477.9999999969732</v>
      </c>
      <c r="AJ2706" s="2">
        <v>1</v>
      </c>
      <c r="AK2706">
        <v>0</v>
      </c>
      <c r="AL2706">
        <v>1</v>
      </c>
      <c r="AM2706">
        <v>0</v>
      </c>
      <c r="AN2706" s="2">
        <f>IF((2*G2706+M2706-O2706+3*V2706+2*AB2706+2*AE2706+2*AH2706+3*AJ2706)&gt;=7,1,0)</f>
        <v>1</v>
      </c>
    </row>
    <row r="2707" spans="1:40" x14ac:dyDescent="0.25">
      <c r="A2707" t="s">
        <v>27</v>
      </c>
      <c r="B2707" s="1">
        <v>45345</v>
      </c>
      <c r="C2707" s="6">
        <f t="shared" si="420"/>
        <v>2024</v>
      </c>
      <c r="D2707">
        <v>66.2</v>
      </c>
      <c r="E2707">
        <v>50</v>
      </c>
      <c r="F2707">
        <v>57.4</v>
      </c>
      <c r="G2707" s="2">
        <f t="shared" si="421"/>
        <v>0</v>
      </c>
      <c r="H2707">
        <v>66.2</v>
      </c>
      <c r="I2707">
        <v>50</v>
      </c>
      <c r="J2707">
        <v>57.4</v>
      </c>
      <c r="K2707">
        <v>48.5</v>
      </c>
      <c r="L2707">
        <v>72.900000000000006</v>
      </c>
      <c r="M2707" s="2">
        <f t="shared" si="422"/>
        <v>0</v>
      </c>
      <c r="N2707">
        <v>0</v>
      </c>
      <c r="O2707" s="2">
        <f t="shared" si="423"/>
        <v>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12.8</v>
      </c>
      <c r="V2707" s="2">
        <f t="shared" si="424"/>
        <v>1</v>
      </c>
      <c r="W2707">
        <v>12.8</v>
      </c>
      <c r="X2707" s="2">
        <f t="shared" si="425"/>
        <v>0</v>
      </c>
      <c r="Y2707">
        <v>140</v>
      </c>
      <c r="Z2707" s="2" t="str">
        <f>CHOOSE(MATCH(Y2707,{0;11;80;111;161;191;241;281;341},1),"North","NorthEast","East","SouthEast","South","SouthWest","West","NorthWest","North")</f>
        <v>SouthEast</v>
      </c>
      <c r="AA2707" s="4">
        <f>CHOOSE(MATCH(Z2707,{"South";"SouthEast";"SouthWest";"North";"NorthEast";"East";"West";"NorthWest"},0),1,2,3,4,5,6,7,8)</f>
        <v>2</v>
      </c>
      <c r="AB2707" s="2">
        <f t="shared" si="426"/>
        <v>0</v>
      </c>
      <c r="AC2707">
        <v>1020.6</v>
      </c>
      <c r="AD2707" t="s">
        <v>1171</v>
      </c>
      <c r="AE2707" s="2">
        <f t="shared" si="427"/>
        <v>0</v>
      </c>
      <c r="AF2707" t="s">
        <v>3667</v>
      </c>
      <c r="AG2707" s="2">
        <f t="shared" si="428"/>
        <v>2</v>
      </c>
      <c r="AH2707" s="2">
        <f t="shared" si="429"/>
        <v>0</v>
      </c>
      <c r="AI2707" s="3">
        <v>155.00000000232831</v>
      </c>
      <c r="AJ2707" s="2">
        <v>0</v>
      </c>
      <c r="AK2707">
        <v>0</v>
      </c>
      <c r="AL2707">
        <v>1.5</v>
      </c>
      <c r="AM2707">
        <v>0</v>
      </c>
      <c r="AN2707" s="2">
        <f>IF((2*G2707+M2707-O2707+3*V2707+2*AB2707+2*AE2707+2*AH2707+3*AJ2707)&gt;=7,1,0)</f>
        <v>0</v>
      </c>
    </row>
    <row r="2708" spans="1:40" x14ac:dyDescent="0.25">
      <c r="A2708" t="s">
        <v>27</v>
      </c>
      <c r="B2708" s="1">
        <v>45351</v>
      </c>
      <c r="C2708" s="6">
        <f t="shared" si="420"/>
        <v>2024</v>
      </c>
      <c r="D2708">
        <v>68</v>
      </c>
      <c r="E2708">
        <v>59</v>
      </c>
      <c r="F2708">
        <v>62.7</v>
      </c>
      <c r="G2708" s="2">
        <f t="shared" si="421"/>
        <v>0</v>
      </c>
      <c r="H2708">
        <v>68</v>
      </c>
      <c r="I2708">
        <v>59</v>
      </c>
      <c r="J2708">
        <v>62.7</v>
      </c>
      <c r="K2708">
        <v>46.7</v>
      </c>
      <c r="L2708">
        <v>56.9</v>
      </c>
      <c r="M2708" s="2">
        <f t="shared" si="422"/>
        <v>1</v>
      </c>
      <c r="N2708">
        <v>0</v>
      </c>
      <c r="O2708" s="2">
        <f t="shared" si="423"/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32.4</v>
      </c>
      <c r="V2708" s="2">
        <f t="shared" si="424"/>
        <v>1</v>
      </c>
      <c r="W2708">
        <v>24.2</v>
      </c>
      <c r="X2708" s="2">
        <f t="shared" si="425"/>
        <v>1</v>
      </c>
      <c r="Y2708">
        <v>164.7</v>
      </c>
      <c r="Z2708" s="2" t="str">
        <f>CHOOSE(MATCH(Y2708,{0;11;80;111;161;191;241;281;341},1),"North","NorthEast","East","SouthEast","South","SouthWest","West","NorthWest","North")</f>
        <v>South</v>
      </c>
      <c r="AA2708" s="4">
        <f>CHOOSE(MATCH(Z2708,{"South";"SouthEast";"SouthWest";"North";"NorthEast";"East";"West";"NorthWest"},0),1,2,3,4,5,6,7,8)</f>
        <v>1</v>
      </c>
      <c r="AB2708" s="2">
        <f t="shared" si="426"/>
        <v>0</v>
      </c>
      <c r="AC2708">
        <v>1016.1</v>
      </c>
      <c r="AD2708" t="s">
        <v>1215</v>
      </c>
      <c r="AE2708" s="2">
        <f t="shared" si="427"/>
        <v>1</v>
      </c>
      <c r="AF2708" t="s">
        <v>3668</v>
      </c>
      <c r="AG2708" s="2">
        <f t="shared" si="428"/>
        <v>2</v>
      </c>
      <c r="AH2708" s="2">
        <f t="shared" si="429"/>
        <v>0</v>
      </c>
      <c r="AI2708" s="3">
        <v>1679.999999996508</v>
      </c>
      <c r="AJ2708" s="2">
        <v>1</v>
      </c>
      <c r="AK2708">
        <v>0</v>
      </c>
      <c r="AL2708">
        <v>230</v>
      </c>
      <c r="AM2708">
        <v>0</v>
      </c>
      <c r="AN2708" s="2">
        <f>IF((2*G2708+M2708-O2708+3*V2708+2*AB2708+2*AE2708+2*AH2708+3*AJ2708)&gt;=7,1,0)</f>
        <v>1</v>
      </c>
    </row>
    <row r="2709" spans="1:40" x14ac:dyDescent="0.25">
      <c r="A2709" t="s">
        <v>27</v>
      </c>
      <c r="B2709" s="1">
        <v>45370</v>
      </c>
      <c r="C2709" s="6">
        <f t="shared" si="420"/>
        <v>2024</v>
      </c>
      <c r="D2709">
        <v>66.2</v>
      </c>
      <c r="E2709">
        <v>48.2</v>
      </c>
      <c r="F2709">
        <v>58.3</v>
      </c>
      <c r="G2709" s="2">
        <f t="shared" si="421"/>
        <v>0</v>
      </c>
      <c r="H2709">
        <v>66.2</v>
      </c>
      <c r="I2709">
        <v>43.3</v>
      </c>
      <c r="J2709">
        <v>58</v>
      </c>
      <c r="K2709">
        <v>49.2</v>
      </c>
      <c r="L2709">
        <v>72</v>
      </c>
      <c r="M2709" s="2">
        <f t="shared" si="422"/>
        <v>0</v>
      </c>
      <c r="N2709">
        <v>0</v>
      </c>
      <c r="O2709" s="2">
        <f t="shared" si="423"/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28.6</v>
      </c>
      <c r="V2709" s="2">
        <f t="shared" si="424"/>
        <v>1</v>
      </c>
      <c r="W2709">
        <v>21.8</v>
      </c>
      <c r="X2709" s="2">
        <f t="shared" si="425"/>
        <v>1</v>
      </c>
      <c r="Y2709">
        <v>272.89999999999998</v>
      </c>
      <c r="Z2709" s="2" t="str">
        <f>CHOOSE(MATCH(Y2709,{0;11;80;111;161;191;241;281;341},1),"North","NorthEast","East","SouthEast","South","SouthWest","West","NorthWest","North")</f>
        <v>West</v>
      </c>
      <c r="AA2709" s="4">
        <f>CHOOSE(MATCH(Z2709,{"South";"SouthEast";"SouthWest";"North";"NorthEast";"East";"West";"NorthWest"},0),1,2,3,4,5,6,7,8)</f>
        <v>7</v>
      </c>
      <c r="AB2709" s="2">
        <f t="shared" si="426"/>
        <v>0</v>
      </c>
      <c r="AC2709">
        <v>1012.5</v>
      </c>
      <c r="AD2709" t="s">
        <v>1075</v>
      </c>
      <c r="AE2709" s="2">
        <f t="shared" si="427"/>
        <v>1</v>
      </c>
      <c r="AF2709" t="s">
        <v>3669</v>
      </c>
      <c r="AG2709" s="2">
        <f t="shared" si="428"/>
        <v>3</v>
      </c>
      <c r="AH2709" s="2">
        <f t="shared" si="429"/>
        <v>0</v>
      </c>
      <c r="AI2709" s="3">
        <v>190.00000000116421</v>
      </c>
      <c r="AJ2709" s="2">
        <v>0</v>
      </c>
      <c r="AK2709">
        <v>0</v>
      </c>
      <c r="AL2709">
        <v>0.5</v>
      </c>
      <c r="AM2709">
        <v>0</v>
      </c>
      <c r="AN2709" s="2">
        <f>IF((2*G2709+M2709-O2709+3*V2709+2*AB2709+2*AE2709+2*AH2709+3*AJ2709)&gt;=7,1,0)</f>
        <v>0</v>
      </c>
    </row>
    <row r="2710" spans="1:40" x14ac:dyDescent="0.25">
      <c r="A2710" t="s">
        <v>27</v>
      </c>
      <c r="B2710" s="1">
        <v>45372</v>
      </c>
      <c r="C2710" s="6">
        <f t="shared" si="420"/>
        <v>2024</v>
      </c>
      <c r="D2710">
        <v>60.8</v>
      </c>
      <c r="E2710">
        <v>48.2</v>
      </c>
      <c r="F2710">
        <v>56.6</v>
      </c>
      <c r="G2710" s="2">
        <f t="shared" si="421"/>
        <v>0</v>
      </c>
      <c r="H2710">
        <v>60.8</v>
      </c>
      <c r="I2710">
        <v>44.6</v>
      </c>
      <c r="J2710">
        <v>56.3</v>
      </c>
      <c r="K2710">
        <v>40.6</v>
      </c>
      <c r="L2710">
        <v>55.3</v>
      </c>
      <c r="M2710" s="2">
        <f t="shared" si="422"/>
        <v>1</v>
      </c>
      <c r="N2710">
        <v>0</v>
      </c>
      <c r="O2710" s="2">
        <f t="shared" si="423"/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38.5</v>
      </c>
      <c r="V2710" s="2">
        <f t="shared" si="424"/>
        <v>1</v>
      </c>
      <c r="W2710">
        <v>19.7</v>
      </c>
      <c r="X2710" s="2">
        <f t="shared" si="425"/>
        <v>1</v>
      </c>
      <c r="Y2710">
        <v>322.10000000000002</v>
      </c>
      <c r="Z2710" s="2" t="str">
        <f>CHOOSE(MATCH(Y2710,{0;11;80;111;161;191;241;281;341},1),"North","NorthEast","East","SouthEast","South","SouthWest","West","NorthWest","North")</f>
        <v>NorthWest</v>
      </c>
      <c r="AA2710" s="4">
        <f>CHOOSE(MATCH(Z2710,{"South";"SouthEast";"SouthWest";"North";"NorthEast";"East";"West";"NorthWest"},0),1,2,3,4,5,6,7,8)</f>
        <v>8</v>
      </c>
      <c r="AB2710" s="2">
        <f t="shared" si="426"/>
        <v>1</v>
      </c>
      <c r="AC2710">
        <v>1020.4</v>
      </c>
      <c r="AD2710" t="s">
        <v>2643</v>
      </c>
      <c r="AE2710" s="2">
        <f t="shared" si="427"/>
        <v>1</v>
      </c>
      <c r="AF2710" t="s">
        <v>3670</v>
      </c>
      <c r="AG2710" s="2">
        <f t="shared" si="428"/>
        <v>3</v>
      </c>
      <c r="AH2710" s="2">
        <f t="shared" si="429"/>
        <v>0</v>
      </c>
      <c r="AI2710" s="3">
        <v>1208.9999999909201</v>
      </c>
      <c r="AJ2710" s="2">
        <v>1</v>
      </c>
      <c r="AK2710">
        <v>0</v>
      </c>
      <c r="AL2710">
        <v>10</v>
      </c>
      <c r="AM2710">
        <v>0</v>
      </c>
      <c r="AN2710" s="2">
        <f>IF((2*G2710+M2710-O2710+3*V2710+2*AB2710+2*AE2710+2*AH2710+3*AJ2710)&gt;=7,1,0)</f>
        <v>1</v>
      </c>
    </row>
    <row r="2711" spans="1:40" x14ac:dyDescent="0.25">
      <c r="A2711" t="s">
        <v>27</v>
      </c>
      <c r="B2711" s="1">
        <v>45375</v>
      </c>
      <c r="C2711" s="6">
        <f t="shared" si="420"/>
        <v>2024</v>
      </c>
      <c r="D2711">
        <v>64.400000000000006</v>
      </c>
      <c r="E2711">
        <v>44.6</v>
      </c>
      <c r="F2711">
        <v>55.6</v>
      </c>
      <c r="G2711" s="2">
        <f t="shared" si="421"/>
        <v>0</v>
      </c>
      <c r="H2711">
        <v>64.400000000000006</v>
      </c>
      <c r="I2711">
        <v>39.700000000000003</v>
      </c>
      <c r="J2711">
        <v>54.9</v>
      </c>
      <c r="K2711">
        <v>44.3</v>
      </c>
      <c r="L2711">
        <v>66.400000000000006</v>
      </c>
      <c r="M2711" s="2">
        <f t="shared" si="422"/>
        <v>0</v>
      </c>
      <c r="N2711">
        <v>0</v>
      </c>
      <c r="O2711" s="2">
        <f t="shared" si="423"/>
        <v>1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19</v>
      </c>
      <c r="V2711" s="2">
        <f t="shared" si="424"/>
        <v>1</v>
      </c>
      <c r="W2711">
        <v>17.2</v>
      </c>
      <c r="X2711" s="2">
        <f t="shared" si="425"/>
        <v>1</v>
      </c>
      <c r="Y2711">
        <v>235.2</v>
      </c>
      <c r="Z2711" s="2" t="str">
        <f>CHOOSE(MATCH(Y2711,{0;11;80;111;161;191;241;281;341},1),"North","NorthEast","East","SouthEast","South","SouthWest","West","NorthWest","North")</f>
        <v>SouthWest</v>
      </c>
      <c r="AA2711" s="4">
        <f>CHOOSE(MATCH(Z2711,{"South";"SouthEast";"SouthWest";"North";"NorthEast";"East";"West";"NorthWest"},0),1,2,3,4,5,6,7,8)</f>
        <v>3</v>
      </c>
      <c r="AB2711" s="2">
        <f t="shared" si="426"/>
        <v>0</v>
      </c>
      <c r="AC2711">
        <v>1014.5</v>
      </c>
      <c r="AD2711" t="s">
        <v>1097</v>
      </c>
      <c r="AE2711" s="2">
        <f t="shared" si="427"/>
        <v>1</v>
      </c>
      <c r="AF2711" t="s">
        <v>3671</v>
      </c>
      <c r="AG2711" s="2">
        <f t="shared" si="428"/>
        <v>3</v>
      </c>
      <c r="AH2711" s="2">
        <f t="shared" si="429"/>
        <v>0</v>
      </c>
      <c r="AI2711" s="3">
        <v>47750.999999998603</v>
      </c>
      <c r="AJ2711" s="2">
        <v>1</v>
      </c>
      <c r="AK2711">
        <v>0</v>
      </c>
      <c r="AL2711">
        <v>100</v>
      </c>
      <c r="AM2711">
        <v>0</v>
      </c>
      <c r="AN2711" s="2">
        <f>IF((2*G2711+M2711-O2711+3*V2711+2*AB2711+2*AE2711+2*AH2711+3*AJ2711)&gt;=7,1,0)</f>
        <v>1</v>
      </c>
    </row>
    <row r="2712" spans="1:40" x14ac:dyDescent="0.25">
      <c r="A2712" t="s">
        <v>27</v>
      </c>
      <c r="B2712" s="1">
        <v>45377</v>
      </c>
      <c r="C2712" s="6">
        <f t="shared" si="420"/>
        <v>2024</v>
      </c>
      <c r="D2712">
        <v>73.3</v>
      </c>
      <c r="E2712">
        <v>57.2</v>
      </c>
      <c r="F2712">
        <v>65.3</v>
      </c>
      <c r="G2712" s="2">
        <f t="shared" si="421"/>
        <v>0</v>
      </c>
      <c r="H2712">
        <v>73.3</v>
      </c>
      <c r="I2712">
        <v>57.2</v>
      </c>
      <c r="J2712">
        <v>65.3</v>
      </c>
      <c r="K2712">
        <v>52.6</v>
      </c>
      <c r="L2712">
        <v>66.400000000000006</v>
      </c>
      <c r="M2712" s="2">
        <f t="shared" si="422"/>
        <v>0</v>
      </c>
      <c r="N2712">
        <v>0</v>
      </c>
      <c r="O2712" s="2">
        <f t="shared" si="423"/>
        <v>1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28.9</v>
      </c>
      <c r="V2712" s="2">
        <f t="shared" si="424"/>
        <v>1</v>
      </c>
      <c r="W2712">
        <v>27.7</v>
      </c>
      <c r="X2712" s="2">
        <f t="shared" si="425"/>
        <v>1</v>
      </c>
      <c r="Y2712">
        <v>153.6</v>
      </c>
      <c r="Z2712" s="2" t="str">
        <f>CHOOSE(MATCH(Y2712,{0;11;80;111;161;191;241;281;341},1),"North","NorthEast","East","SouthEast","South","SouthWest","West","NorthWest","North")</f>
        <v>SouthEast</v>
      </c>
      <c r="AA2712" s="4">
        <f>CHOOSE(MATCH(Z2712,{"South";"SouthEast";"SouthWest";"North";"NorthEast";"East";"West";"NorthWest"},0),1,2,3,4,5,6,7,8)</f>
        <v>2</v>
      </c>
      <c r="AB2712" s="2">
        <f t="shared" si="426"/>
        <v>0</v>
      </c>
      <c r="AC2712">
        <v>1013.1</v>
      </c>
      <c r="AD2712" t="s">
        <v>1191</v>
      </c>
      <c r="AE2712" s="2">
        <f t="shared" si="427"/>
        <v>0</v>
      </c>
      <c r="AF2712" t="s">
        <v>3672</v>
      </c>
      <c r="AG2712" s="2">
        <f t="shared" si="428"/>
        <v>3</v>
      </c>
      <c r="AH2712" s="2">
        <f t="shared" si="429"/>
        <v>0</v>
      </c>
      <c r="AI2712" s="3">
        <v>1313.999999997905</v>
      </c>
      <c r="AJ2712" s="2">
        <v>1</v>
      </c>
      <c r="AK2712">
        <v>0</v>
      </c>
      <c r="AL2712">
        <v>15</v>
      </c>
      <c r="AM2712">
        <v>0</v>
      </c>
      <c r="AN2712" s="2">
        <f>IF((2*G2712+M2712-O2712+3*V2712+2*AB2712+2*AE2712+2*AH2712+3*AJ2712)&gt;=7,1,0)</f>
        <v>0</v>
      </c>
    </row>
    <row r="2713" spans="1:40" x14ac:dyDescent="0.25">
      <c r="A2713" t="s">
        <v>27</v>
      </c>
      <c r="B2713" s="1">
        <v>45378</v>
      </c>
      <c r="C2713" s="6">
        <f t="shared" si="420"/>
        <v>2024</v>
      </c>
      <c r="D2713">
        <v>86</v>
      </c>
      <c r="E2713">
        <v>67.900000000000006</v>
      </c>
      <c r="F2713">
        <v>75.8</v>
      </c>
      <c r="G2713" s="2">
        <f t="shared" si="421"/>
        <v>1</v>
      </c>
      <c r="H2713">
        <v>82.7</v>
      </c>
      <c r="I2713">
        <v>67.900000000000006</v>
      </c>
      <c r="J2713">
        <v>75</v>
      </c>
      <c r="K2713">
        <v>36</v>
      </c>
      <c r="L2713">
        <v>26.2</v>
      </c>
      <c r="M2713" s="2">
        <f t="shared" si="422"/>
        <v>1</v>
      </c>
      <c r="N2713">
        <v>4.0000000000000001E-3</v>
      </c>
      <c r="O2713" s="2">
        <f t="shared" si="423"/>
        <v>1</v>
      </c>
      <c r="P2713">
        <v>100</v>
      </c>
      <c r="Q2713">
        <v>4.17</v>
      </c>
      <c r="R2713" t="s">
        <v>182</v>
      </c>
      <c r="S2713">
        <v>0</v>
      </c>
      <c r="T2713">
        <v>0</v>
      </c>
      <c r="U2713">
        <v>43.8</v>
      </c>
      <c r="V2713" s="2">
        <f t="shared" si="424"/>
        <v>1</v>
      </c>
      <c r="W2713">
        <v>31.1</v>
      </c>
      <c r="X2713" s="2">
        <f t="shared" si="425"/>
        <v>1</v>
      </c>
      <c r="Y2713">
        <v>174.2</v>
      </c>
      <c r="Z2713" s="2" t="str">
        <f>CHOOSE(MATCH(Y2713,{0;11;80;111;161;191;241;281;341},1),"North","NorthEast","East","SouthEast","South","SouthWest","West","NorthWest","North")</f>
        <v>South</v>
      </c>
      <c r="AA2713" s="4">
        <f>CHOOSE(MATCH(Z2713,{"South";"SouthEast";"SouthWest";"North";"NorthEast";"East";"West";"NorthWest"},0),1,2,3,4,5,6,7,8)</f>
        <v>1</v>
      </c>
      <c r="AB2713" s="2">
        <f t="shared" si="426"/>
        <v>0</v>
      </c>
      <c r="AC2713">
        <v>1009.8</v>
      </c>
      <c r="AD2713" t="s">
        <v>2554</v>
      </c>
      <c r="AE2713" s="2">
        <f t="shared" si="427"/>
        <v>0</v>
      </c>
      <c r="AF2713" t="s">
        <v>3673</v>
      </c>
      <c r="AG2713" s="2">
        <f t="shared" si="428"/>
        <v>3</v>
      </c>
      <c r="AH2713" s="2">
        <f t="shared" si="429"/>
        <v>0</v>
      </c>
      <c r="AI2713" s="3">
        <v>1393.0000000039579</v>
      </c>
      <c r="AJ2713" s="2">
        <v>1</v>
      </c>
      <c r="AK2713">
        <v>0</v>
      </c>
      <c r="AL2713">
        <v>0.5</v>
      </c>
      <c r="AM2713">
        <v>0</v>
      </c>
      <c r="AN2713" s="2">
        <f>IF((2*G2713+M2713-O2713+3*V2713+2*AB2713+2*AE2713+2*AH2713+3*AJ2713)&gt;=7,1,0)</f>
        <v>1</v>
      </c>
    </row>
    <row r="2714" spans="1:40" x14ac:dyDescent="0.25">
      <c r="A2714" t="s">
        <v>27</v>
      </c>
      <c r="B2714" s="1">
        <v>45378</v>
      </c>
      <c r="C2714" s="6">
        <f t="shared" si="420"/>
        <v>2024</v>
      </c>
      <c r="D2714">
        <v>86</v>
      </c>
      <c r="E2714">
        <v>67.900000000000006</v>
      </c>
      <c r="F2714">
        <v>75.8</v>
      </c>
      <c r="G2714" s="2">
        <f t="shared" si="421"/>
        <v>1</v>
      </c>
      <c r="H2714">
        <v>82.7</v>
      </c>
      <c r="I2714">
        <v>67.900000000000006</v>
      </c>
      <c r="J2714">
        <v>75</v>
      </c>
      <c r="K2714">
        <v>36</v>
      </c>
      <c r="L2714">
        <v>26.2</v>
      </c>
      <c r="M2714" s="2">
        <f t="shared" si="422"/>
        <v>1</v>
      </c>
      <c r="N2714">
        <v>4.0000000000000001E-3</v>
      </c>
      <c r="O2714" s="2">
        <f t="shared" si="423"/>
        <v>1</v>
      </c>
      <c r="P2714">
        <v>100</v>
      </c>
      <c r="Q2714">
        <v>4.17</v>
      </c>
      <c r="R2714" t="s">
        <v>182</v>
      </c>
      <c r="S2714">
        <v>0</v>
      </c>
      <c r="T2714">
        <v>0</v>
      </c>
      <c r="U2714">
        <v>43.8</v>
      </c>
      <c r="V2714" s="2">
        <f t="shared" si="424"/>
        <v>1</v>
      </c>
      <c r="W2714">
        <v>31.1</v>
      </c>
      <c r="X2714" s="2">
        <f t="shared" si="425"/>
        <v>1</v>
      </c>
      <c r="Y2714">
        <v>174.2</v>
      </c>
      <c r="Z2714" s="2" t="str">
        <f>CHOOSE(MATCH(Y2714,{0;11;80;111;161;191;241;281;341},1),"North","NorthEast","East","SouthEast","South","SouthWest","West","NorthWest","North")</f>
        <v>South</v>
      </c>
      <c r="AA2714" s="4">
        <f>CHOOSE(MATCH(Z2714,{"South";"SouthEast";"SouthWest";"North";"NorthEast";"East";"West";"NorthWest"},0),1,2,3,4,5,6,7,8)</f>
        <v>1</v>
      </c>
      <c r="AB2714" s="2">
        <f t="shared" si="426"/>
        <v>0</v>
      </c>
      <c r="AC2714">
        <v>1009.8</v>
      </c>
      <c r="AD2714" t="s">
        <v>3674</v>
      </c>
      <c r="AE2714" s="2">
        <f t="shared" si="427"/>
        <v>1</v>
      </c>
      <c r="AF2714" t="s">
        <v>3675</v>
      </c>
      <c r="AG2714" s="2">
        <f t="shared" si="428"/>
        <v>3</v>
      </c>
      <c r="AH2714" s="2">
        <f t="shared" si="429"/>
        <v>0</v>
      </c>
      <c r="AI2714" s="3">
        <v>393.00000000279402</v>
      </c>
      <c r="AJ2714" s="2">
        <v>1</v>
      </c>
      <c r="AK2714">
        <v>0</v>
      </c>
      <c r="AL2714">
        <v>2</v>
      </c>
      <c r="AM2714">
        <v>0</v>
      </c>
      <c r="AN2714" s="2">
        <f>IF((2*G2714+M2714-O2714+3*V2714+2*AB2714+2*AE2714+2*AH2714+3*AJ2714)&gt;=7,1,0)</f>
        <v>1</v>
      </c>
    </row>
    <row r="2715" spans="1:40" x14ac:dyDescent="0.25">
      <c r="A2715" t="s">
        <v>27</v>
      </c>
      <c r="B2715" s="1">
        <v>45381</v>
      </c>
      <c r="C2715" s="6">
        <f t="shared" si="420"/>
        <v>2024</v>
      </c>
      <c r="D2715">
        <v>67.900000000000006</v>
      </c>
      <c r="E2715">
        <v>53.5</v>
      </c>
      <c r="F2715">
        <v>61.5</v>
      </c>
      <c r="G2715" s="2">
        <f t="shared" si="421"/>
        <v>0</v>
      </c>
      <c r="H2715">
        <v>67.900000000000006</v>
      </c>
      <c r="I2715">
        <v>53.5</v>
      </c>
      <c r="J2715">
        <v>61.5</v>
      </c>
      <c r="K2715">
        <v>54.7</v>
      </c>
      <c r="L2715">
        <v>78.900000000000006</v>
      </c>
      <c r="M2715" s="2">
        <f t="shared" si="422"/>
        <v>0</v>
      </c>
      <c r="N2715">
        <v>0</v>
      </c>
      <c r="O2715" s="2">
        <f t="shared" si="423"/>
        <v>1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11</v>
      </c>
      <c r="V2715" s="2">
        <f t="shared" si="424"/>
        <v>1</v>
      </c>
      <c r="W2715">
        <v>11.4</v>
      </c>
      <c r="X2715" s="2">
        <f t="shared" si="425"/>
        <v>0</v>
      </c>
      <c r="Y2715">
        <v>137.5</v>
      </c>
      <c r="Z2715" s="2" t="str">
        <f>CHOOSE(MATCH(Y2715,{0;11;80;111;161;191;241;281;341},1),"North","NorthEast","East","SouthEast","South","SouthWest","West","NorthWest","North")</f>
        <v>SouthEast</v>
      </c>
      <c r="AA2715" s="4">
        <f>CHOOSE(MATCH(Z2715,{"South";"SouthEast";"SouthWest";"North";"NorthEast";"East";"West";"NorthWest"},0),1,2,3,4,5,6,7,8)</f>
        <v>2</v>
      </c>
      <c r="AB2715" s="2">
        <f t="shared" si="426"/>
        <v>0</v>
      </c>
      <c r="AC2715">
        <v>1019.2</v>
      </c>
      <c r="AD2715" t="s">
        <v>3526</v>
      </c>
      <c r="AE2715" s="2">
        <f t="shared" si="427"/>
        <v>0</v>
      </c>
      <c r="AF2715" t="s">
        <v>3676</v>
      </c>
      <c r="AG2715" s="2">
        <f t="shared" si="428"/>
        <v>3</v>
      </c>
      <c r="AH2715" s="2">
        <f t="shared" si="429"/>
        <v>0</v>
      </c>
      <c r="AI2715" s="3">
        <v>368.99999999790452</v>
      </c>
      <c r="AJ2715" s="2">
        <v>1</v>
      </c>
      <c r="AK2715">
        <v>0</v>
      </c>
      <c r="AL2715">
        <v>0.3</v>
      </c>
      <c r="AM2715">
        <v>0</v>
      </c>
      <c r="AN2715" s="2">
        <f>IF((2*G2715+M2715-O2715+3*V2715+2*AB2715+2*AE2715+2*AH2715+3*AJ2715)&gt;=7,1,0)</f>
        <v>0</v>
      </c>
    </row>
    <row r="2716" spans="1:40" x14ac:dyDescent="0.25">
      <c r="A2716" t="s">
        <v>27</v>
      </c>
      <c r="B2716" s="1">
        <v>45382</v>
      </c>
      <c r="C2716" s="6">
        <f t="shared" si="420"/>
        <v>2024</v>
      </c>
      <c r="D2716">
        <v>69.7</v>
      </c>
      <c r="E2716">
        <v>53.5</v>
      </c>
      <c r="F2716">
        <v>62.2</v>
      </c>
      <c r="G2716" s="2">
        <f t="shared" si="421"/>
        <v>0</v>
      </c>
      <c r="H2716">
        <v>69.7</v>
      </c>
      <c r="I2716">
        <v>53.5</v>
      </c>
      <c r="J2716">
        <v>62.2</v>
      </c>
      <c r="K2716">
        <v>55.8</v>
      </c>
      <c r="L2716">
        <v>80</v>
      </c>
      <c r="M2716" s="2">
        <f t="shared" si="422"/>
        <v>0</v>
      </c>
      <c r="N2716">
        <v>0</v>
      </c>
      <c r="O2716" s="2">
        <f t="shared" si="423"/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10.7</v>
      </c>
      <c r="V2716" s="2">
        <f t="shared" si="424"/>
        <v>1</v>
      </c>
      <c r="W2716">
        <v>8.1</v>
      </c>
      <c r="X2716" s="2">
        <f t="shared" si="425"/>
        <v>0</v>
      </c>
      <c r="Y2716">
        <v>348.4</v>
      </c>
      <c r="Z2716" s="2" t="str">
        <f>CHOOSE(MATCH(Y2716,{0;11;80;111;161;191;241;281;341},1),"North","NorthEast","East","SouthEast","South","SouthWest","West","NorthWest","North")</f>
        <v>North</v>
      </c>
      <c r="AA2716" s="4">
        <f>CHOOSE(MATCH(Z2716,{"South";"SouthEast";"SouthWest";"North";"NorthEast";"East";"West";"NorthWest"},0),1,2,3,4,5,6,7,8)</f>
        <v>4</v>
      </c>
      <c r="AB2716" s="2">
        <f t="shared" si="426"/>
        <v>1</v>
      </c>
      <c r="AC2716">
        <v>1020.3</v>
      </c>
      <c r="AD2716" t="s">
        <v>3677</v>
      </c>
      <c r="AE2716" s="2">
        <f t="shared" si="427"/>
        <v>1</v>
      </c>
      <c r="AF2716" t="s">
        <v>3678</v>
      </c>
      <c r="AG2716" s="2">
        <f t="shared" si="428"/>
        <v>3</v>
      </c>
      <c r="AH2716" s="2">
        <f t="shared" si="429"/>
        <v>0</v>
      </c>
      <c r="AI2716" s="3">
        <v>207.9999999969732</v>
      </c>
      <c r="AJ2716" s="2">
        <v>0</v>
      </c>
      <c r="AK2716">
        <v>0</v>
      </c>
      <c r="AL2716">
        <v>2</v>
      </c>
      <c r="AM2716">
        <v>0</v>
      </c>
      <c r="AN2716" s="2">
        <f>IF((2*G2716+M2716-O2716+3*V2716+2*AB2716+2*AE2716+2*AH2716+3*AJ2716)&gt;=7,1,0)</f>
        <v>0</v>
      </c>
    </row>
    <row r="2717" spans="1:40" x14ac:dyDescent="0.25">
      <c r="A2717" t="s">
        <v>27</v>
      </c>
      <c r="B2717" s="1">
        <v>45385</v>
      </c>
      <c r="C2717" s="6">
        <f t="shared" si="420"/>
        <v>2024</v>
      </c>
      <c r="D2717">
        <v>71.599999999999994</v>
      </c>
      <c r="E2717">
        <v>59</v>
      </c>
      <c r="F2717">
        <v>67</v>
      </c>
      <c r="G2717" s="2">
        <f t="shared" si="421"/>
        <v>0</v>
      </c>
      <c r="H2717">
        <v>71.599999999999994</v>
      </c>
      <c r="I2717">
        <v>59</v>
      </c>
      <c r="J2717">
        <v>67</v>
      </c>
      <c r="K2717">
        <v>53.6</v>
      </c>
      <c r="L2717">
        <v>63.3</v>
      </c>
      <c r="M2717" s="2">
        <f t="shared" si="422"/>
        <v>1</v>
      </c>
      <c r="N2717">
        <v>0</v>
      </c>
      <c r="O2717" s="2">
        <f t="shared" si="423"/>
        <v>1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16.600000000000001</v>
      </c>
      <c r="V2717" s="2">
        <f t="shared" si="424"/>
        <v>1</v>
      </c>
      <c r="W2717">
        <v>12.8</v>
      </c>
      <c r="X2717" s="2">
        <f t="shared" si="425"/>
        <v>0</v>
      </c>
      <c r="Y2717">
        <v>263.5</v>
      </c>
      <c r="Z2717" s="2" t="str">
        <f>CHOOSE(MATCH(Y2717,{0;11;80;111;161;191;241;281;341},1),"North","NorthEast","East","SouthEast","South","SouthWest","West","NorthWest","North")</f>
        <v>West</v>
      </c>
      <c r="AA2717" s="4">
        <f>CHOOSE(MATCH(Z2717,{"South";"SouthEast";"SouthWest";"North";"NorthEast";"East";"West";"NorthWest"},0),1,2,3,4,5,6,7,8)</f>
        <v>7</v>
      </c>
      <c r="AB2717" s="2">
        <f t="shared" si="426"/>
        <v>0</v>
      </c>
      <c r="AC2717">
        <v>1015.5</v>
      </c>
      <c r="AD2717" t="s">
        <v>1969</v>
      </c>
      <c r="AE2717" s="2">
        <f t="shared" si="427"/>
        <v>1</v>
      </c>
      <c r="AF2717" t="s">
        <v>3679</v>
      </c>
      <c r="AG2717" s="2">
        <f t="shared" si="428"/>
        <v>4</v>
      </c>
      <c r="AH2717" s="2">
        <f t="shared" si="429"/>
        <v>0</v>
      </c>
      <c r="AI2717" s="3">
        <v>263.9999999909196</v>
      </c>
      <c r="AJ2717" s="2">
        <v>0</v>
      </c>
      <c r="AK2717">
        <v>0</v>
      </c>
      <c r="AL2717">
        <v>0.05</v>
      </c>
      <c r="AM2717">
        <v>0</v>
      </c>
      <c r="AN2717" s="2">
        <f>IF((2*G2717+M2717-O2717+3*V2717+2*AB2717+2*AE2717+2*AH2717+3*AJ2717)&gt;=7,1,0)</f>
        <v>0</v>
      </c>
    </row>
    <row r="2718" spans="1:40" x14ac:dyDescent="0.25">
      <c r="A2718" t="s">
        <v>27</v>
      </c>
      <c r="B2718" s="1">
        <v>45385</v>
      </c>
      <c r="C2718" s="6">
        <f t="shared" si="420"/>
        <v>2024</v>
      </c>
      <c r="D2718">
        <v>71.599999999999994</v>
      </c>
      <c r="E2718">
        <v>59</v>
      </c>
      <c r="F2718">
        <v>67</v>
      </c>
      <c r="G2718" s="2">
        <f t="shared" si="421"/>
        <v>0</v>
      </c>
      <c r="H2718">
        <v>71.599999999999994</v>
      </c>
      <c r="I2718">
        <v>59</v>
      </c>
      <c r="J2718">
        <v>67</v>
      </c>
      <c r="K2718">
        <v>53.6</v>
      </c>
      <c r="L2718">
        <v>63.3</v>
      </c>
      <c r="M2718" s="2">
        <f t="shared" si="422"/>
        <v>1</v>
      </c>
      <c r="N2718">
        <v>0</v>
      </c>
      <c r="O2718" s="2">
        <f t="shared" si="423"/>
        <v>1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16.600000000000001</v>
      </c>
      <c r="V2718" s="2">
        <f t="shared" si="424"/>
        <v>1</v>
      </c>
      <c r="W2718">
        <v>12.8</v>
      </c>
      <c r="X2718" s="2">
        <f t="shared" si="425"/>
        <v>0</v>
      </c>
      <c r="Y2718">
        <v>263.5</v>
      </c>
      <c r="Z2718" s="2" t="str">
        <f>CHOOSE(MATCH(Y2718,{0;11;80;111;161;191;241;281;341},1),"North","NorthEast","East","SouthEast","South","SouthWest","West","NorthWest","North")</f>
        <v>West</v>
      </c>
      <c r="AA2718" s="4">
        <f>CHOOSE(MATCH(Z2718,{"South";"SouthEast";"SouthWest";"North";"NorthEast";"East";"West";"NorthWest"},0),1,2,3,4,5,6,7,8)</f>
        <v>7</v>
      </c>
      <c r="AB2718" s="2">
        <f t="shared" si="426"/>
        <v>0</v>
      </c>
      <c r="AC2718">
        <v>1015.5</v>
      </c>
      <c r="AD2718" t="s">
        <v>3680</v>
      </c>
      <c r="AE2718" s="2">
        <f t="shared" si="427"/>
        <v>0</v>
      </c>
      <c r="AF2718" t="s">
        <v>3681</v>
      </c>
      <c r="AG2718" s="2">
        <f t="shared" si="428"/>
        <v>4</v>
      </c>
      <c r="AH2718" s="2">
        <f t="shared" si="429"/>
        <v>0</v>
      </c>
      <c r="AI2718" s="3">
        <v>486.00000000209548</v>
      </c>
      <c r="AJ2718" s="2">
        <v>1</v>
      </c>
      <c r="AK2718">
        <v>0</v>
      </c>
      <c r="AL2718">
        <v>1.3</v>
      </c>
      <c r="AM2718">
        <v>0</v>
      </c>
      <c r="AN2718" s="2">
        <f>IF((2*G2718+M2718-O2718+3*V2718+2*AB2718+2*AE2718+2*AH2718+3*AJ2718)&gt;=7,1,0)</f>
        <v>0</v>
      </c>
    </row>
    <row r="2719" spans="1:40" x14ac:dyDescent="0.25">
      <c r="A2719" t="s">
        <v>27</v>
      </c>
      <c r="B2719" s="1">
        <v>45388</v>
      </c>
      <c r="C2719" s="6">
        <f t="shared" si="420"/>
        <v>2024</v>
      </c>
      <c r="D2719">
        <v>71.599999999999994</v>
      </c>
      <c r="E2719">
        <v>59</v>
      </c>
      <c r="F2719">
        <v>66.5</v>
      </c>
      <c r="G2719" s="2">
        <f t="shared" si="421"/>
        <v>0</v>
      </c>
      <c r="H2719">
        <v>71.599999999999994</v>
      </c>
      <c r="I2719">
        <v>59</v>
      </c>
      <c r="J2719">
        <v>66.5</v>
      </c>
      <c r="K2719">
        <v>47.7</v>
      </c>
      <c r="L2719">
        <v>51.2</v>
      </c>
      <c r="M2719" s="2">
        <f t="shared" si="422"/>
        <v>1</v>
      </c>
      <c r="N2719">
        <v>0</v>
      </c>
      <c r="O2719" s="2">
        <f t="shared" si="423"/>
        <v>1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34.4</v>
      </c>
      <c r="V2719" s="2">
        <f t="shared" si="424"/>
        <v>1</v>
      </c>
      <c r="W2719">
        <v>18.3</v>
      </c>
      <c r="X2719" s="2">
        <f t="shared" si="425"/>
        <v>1</v>
      </c>
      <c r="Y2719">
        <v>302.10000000000002</v>
      </c>
      <c r="Z2719" s="2" t="str">
        <f>CHOOSE(MATCH(Y2719,{0;11;80;111;161;191;241;281;341},1),"North","NorthEast","East","SouthEast","South","SouthWest","West","NorthWest","North")</f>
        <v>NorthWest</v>
      </c>
      <c r="AA2719" s="4">
        <f>CHOOSE(MATCH(Z2719,{"South";"SouthEast";"SouthWest";"North";"NorthEast";"East";"West";"NorthWest"},0),1,2,3,4,5,6,7,8)</f>
        <v>8</v>
      </c>
      <c r="AB2719" s="2">
        <f t="shared" si="426"/>
        <v>1</v>
      </c>
      <c r="AC2719">
        <v>1019.6</v>
      </c>
      <c r="AD2719" t="s">
        <v>3121</v>
      </c>
      <c r="AE2719" s="2">
        <f t="shared" si="427"/>
        <v>1</v>
      </c>
      <c r="AF2719" t="s">
        <v>3682</v>
      </c>
      <c r="AG2719" s="2">
        <f t="shared" si="428"/>
        <v>4</v>
      </c>
      <c r="AH2719" s="2">
        <f t="shared" si="429"/>
        <v>0</v>
      </c>
      <c r="AI2719" s="3">
        <v>937.99999999813735</v>
      </c>
      <c r="AJ2719" s="2">
        <v>1</v>
      </c>
      <c r="AK2719">
        <v>0</v>
      </c>
      <c r="AL2719">
        <v>15</v>
      </c>
      <c r="AM2719">
        <v>0</v>
      </c>
      <c r="AN2719" s="2">
        <f>IF((2*G2719+M2719-O2719+3*V2719+2*AB2719+2*AE2719+2*AH2719+3*AJ2719)&gt;=7,1,0)</f>
        <v>1</v>
      </c>
    </row>
    <row r="2720" spans="1:40" x14ac:dyDescent="0.25">
      <c r="A2720" t="s">
        <v>27</v>
      </c>
      <c r="B2720" s="1">
        <v>45388</v>
      </c>
      <c r="C2720" s="6">
        <f t="shared" si="420"/>
        <v>2024</v>
      </c>
      <c r="D2720">
        <v>71.599999999999994</v>
      </c>
      <c r="E2720">
        <v>59</v>
      </c>
      <c r="F2720">
        <v>66.5</v>
      </c>
      <c r="G2720" s="2">
        <f t="shared" si="421"/>
        <v>0</v>
      </c>
      <c r="H2720">
        <v>71.599999999999994</v>
      </c>
      <c r="I2720">
        <v>59</v>
      </c>
      <c r="J2720">
        <v>66.5</v>
      </c>
      <c r="K2720">
        <v>47.7</v>
      </c>
      <c r="L2720">
        <v>51.2</v>
      </c>
      <c r="M2720" s="2">
        <f t="shared" si="422"/>
        <v>1</v>
      </c>
      <c r="N2720">
        <v>0</v>
      </c>
      <c r="O2720" s="2">
        <f t="shared" si="423"/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34.4</v>
      </c>
      <c r="V2720" s="2">
        <f t="shared" si="424"/>
        <v>1</v>
      </c>
      <c r="W2720">
        <v>18.3</v>
      </c>
      <c r="X2720" s="2">
        <f t="shared" si="425"/>
        <v>1</v>
      </c>
      <c r="Y2720">
        <v>302.10000000000002</v>
      </c>
      <c r="Z2720" s="2" t="str">
        <f>CHOOSE(MATCH(Y2720,{0;11;80;111;161;191;241;281;341},1),"North","NorthEast","East","SouthEast","South","SouthWest","West","NorthWest","North")</f>
        <v>NorthWest</v>
      </c>
      <c r="AA2720" s="4">
        <f>CHOOSE(MATCH(Z2720,{"South";"SouthEast";"SouthWest";"North";"NorthEast";"East";"West";"NorthWest"},0),1,2,3,4,5,6,7,8)</f>
        <v>8</v>
      </c>
      <c r="AB2720" s="2">
        <f t="shared" si="426"/>
        <v>1</v>
      </c>
      <c r="AC2720">
        <v>1019.6</v>
      </c>
      <c r="AD2720" t="s">
        <v>3683</v>
      </c>
      <c r="AE2720" s="2">
        <f t="shared" si="427"/>
        <v>0</v>
      </c>
      <c r="AF2720" t="s">
        <v>3684</v>
      </c>
      <c r="AG2720" s="2">
        <f t="shared" si="428"/>
        <v>4</v>
      </c>
      <c r="AH2720" s="2">
        <f t="shared" si="429"/>
        <v>0</v>
      </c>
      <c r="AI2720" s="3">
        <v>13815</v>
      </c>
      <c r="AJ2720" s="2">
        <v>1</v>
      </c>
      <c r="AK2720">
        <v>320</v>
      </c>
      <c r="AL2720">
        <v>250</v>
      </c>
      <c r="AM2720">
        <v>0</v>
      </c>
      <c r="AN2720" s="2">
        <f>IF((2*G2720+M2720-O2720+3*V2720+2*AB2720+2*AE2720+2*AH2720+3*AJ2720)&gt;=7,1,0)</f>
        <v>1</v>
      </c>
    </row>
    <row r="2721" spans="1:40" x14ac:dyDescent="0.25">
      <c r="A2721" t="s">
        <v>27</v>
      </c>
      <c r="B2721" s="1">
        <v>45389</v>
      </c>
      <c r="C2721" s="6">
        <f t="shared" si="420"/>
        <v>2024</v>
      </c>
      <c r="D2721">
        <v>71.599999999999994</v>
      </c>
      <c r="E2721">
        <v>57.2</v>
      </c>
      <c r="F2721">
        <v>65.8</v>
      </c>
      <c r="G2721" s="2">
        <f t="shared" si="421"/>
        <v>0</v>
      </c>
      <c r="H2721">
        <v>71.599999999999994</v>
      </c>
      <c r="I2721">
        <v>57.2</v>
      </c>
      <c r="J2721">
        <v>65.8</v>
      </c>
      <c r="K2721">
        <v>50.6</v>
      </c>
      <c r="L2721">
        <v>59.4</v>
      </c>
      <c r="M2721" s="2">
        <f t="shared" si="422"/>
        <v>1</v>
      </c>
      <c r="N2721">
        <v>0</v>
      </c>
      <c r="O2721" s="2">
        <f t="shared" si="423"/>
        <v>1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34.700000000000003</v>
      </c>
      <c r="V2721" s="2">
        <f t="shared" si="424"/>
        <v>1</v>
      </c>
      <c r="W2721">
        <v>23</v>
      </c>
      <c r="X2721" s="2">
        <f t="shared" si="425"/>
        <v>1</v>
      </c>
      <c r="Y2721">
        <v>305.10000000000002</v>
      </c>
      <c r="Z2721" s="2" t="str">
        <f>CHOOSE(MATCH(Y2721,{0;11;80;111;161;191;241;281;341},1),"North","NorthEast","East","SouthEast","South","SouthWest","West","NorthWest","North")</f>
        <v>NorthWest</v>
      </c>
      <c r="AA2721" s="4">
        <f>CHOOSE(MATCH(Z2721,{"South";"SouthEast";"SouthWest";"North";"NorthEast";"East";"West";"NorthWest"},0),1,2,3,4,5,6,7,8)</f>
        <v>8</v>
      </c>
      <c r="AB2721" s="2">
        <f t="shared" si="426"/>
        <v>1</v>
      </c>
      <c r="AC2721">
        <v>1014.8</v>
      </c>
      <c r="AD2721" t="s">
        <v>1980</v>
      </c>
      <c r="AE2721" s="2">
        <f t="shared" si="427"/>
        <v>1</v>
      </c>
      <c r="AF2721" t="s">
        <v>3685</v>
      </c>
      <c r="AG2721" s="2">
        <f t="shared" si="428"/>
        <v>4</v>
      </c>
      <c r="AH2721" s="2">
        <f t="shared" si="429"/>
        <v>0</v>
      </c>
      <c r="AI2721" s="3">
        <v>222.00000000069849</v>
      </c>
      <c r="AJ2721" s="2">
        <v>0</v>
      </c>
      <c r="AK2721">
        <v>0</v>
      </c>
      <c r="AL2721">
        <v>6</v>
      </c>
      <c r="AM2721">
        <v>0</v>
      </c>
      <c r="AN2721" s="2">
        <f>IF((2*G2721+M2721-O2721+3*V2721+2*AB2721+2*AE2721+2*AH2721+3*AJ2721)&gt;=7,1,0)</f>
        <v>1</v>
      </c>
    </row>
    <row r="2722" spans="1:40" x14ac:dyDescent="0.25">
      <c r="A2722" t="s">
        <v>27</v>
      </c>
      <c r="B2722" s="1">
        <v>45389</v>
      </c>
      <c r="C2722" s="6">
        <f t="shared" si="420"/>
        <v>2024</v>
      </c>
      <c r="D2722">
        <v>71.599999999999994</v>
      </c>
      <c r="E2722">
        <v>57.2</v>
      </c>
      <c r="F2722">
        <v>65.8</v>
      </c>
      <c r="G2722" s="2">
        <f t="shared" si="421"/>
        <v>0</v>
      </c>
      <c r="H2722">
        <v>71.599999999999994</v>
      </c>
      <c r="I2722">
        <v>57.2</v>
      </c>
      <c r="J2722">
        <v>65.8</v>
      </c>
      <c r="K2722">
        <v>50.6</v>
      </c>
      <c r="L2722">
        <v>59.4</v>
      </c>
      <c r="M2722" s="2">
        <f t="shared" si="422"/>
        <v>1</v>
      </c>
      <c r="N2722">
        <v>0</v>
      </c>
      <c r="O2722" s="2">
        <f t="shared" si="423"/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34.700000000000003</v>
      </c>
      <c r="V2722" s="2">
        <f t="shared" si="424"/>
        <v>1</v>
      </c>
      <c r="W2722">
        <v>23</v>
      </c>
      <c r="X2722" s="2">
        <f t="shared" si="425"/>
        <v>1</v>
      </c>
      <c r="Y2722">
        <v>305.10000000000002</v>
      </c>
      <c r="Z2722" s="2" t="str">
        <f>CHOOSE(MATCH(Y2722,{0;11;80;111;161;191;241;281;341},1),"North","NorthEast","East","SouthEast","South","SouthWest","West","NorthWest","North")</f>
        <v>NorthWest</v>
      </c>
      <c r="AA2722" s="4">
        <f>CHOOSE(MATCH(Z2722,{"South";"SouthEast";"SouthWest";"North";"NorthEast";"East";"West";"NorthWest"},0),1,2,3,4,5,6,7,8)</f>
        <v>8</v>
      </c>
      <c r="AB2722" s="2">
        <f t="shared" si="426"/>
        <v>1</v>
      </c>
      <c r="AC2722">
        <v>1014.8</v>
      </c>
      <c r="AD2722" t="s">
        <v>3615</v>
      </c>
      <c r="AE2722" s="2">
        <f t="shared" si="427"/>
        <v>1</v>
      </c>
      <c r="AF2722" t="s">
        <v>3686</v>
      </c>
      <c r="AG2722" s="2">
        <f t="shared" si="428"/>
        <v>4</v>
      </c>
      <c r="AH2722" s="2">
        <f t="shared" si="429"/>
        <v>0</v>
      </c>
      <c r="AI2722" s="3">
        <v>369.0000000083819</v>
      </c>
      <c r="AJ2722" s="2">
        <v>1</v>
      </c>
      <c r="AK2722">
        <v>0</v>
      </c>
      <c r="AL2722">
        <v>4</v>
      </c>
      <c r="AM2722">
        <v>0</v>
      </c>
      <c r="AN2722" s="2">
        <f>IF((2*G2722+M2722-O2722+3*V2722+2*AB2722+2*AE2722+2*AH2722+3*AJ2722)&gt;=7,1,0)</f>
        <v>1</v>
      </c>
    </row>
    <row r="2723" spans="1:40" x14ac:dyDescent="0.25">
      <c r="A2723" t="s">
        <v>27</v>
      </c>
      <c r="B2723" s="1">
        <v>45391</v>
      </c>
      <c r="C2723" s="6">
        <f t="shared" si="420"/>
        <v>2024</v>
      </c>
      <c r="D2723">
        <v>68</v>
      </c>
      <c r="E2723">
        <v>62.6</v>
      </c>
      <c r="F2723">
        <v>64.8</v>
      </c>
      <c r="G2723" s="2">
        <f t="shared" si="421"/>
        <v>0</v>
      </c>
      <c r="H2723">
        <v>68</v>
      </c>
      <c r="I2723">
        <v>62.6</v>
      </c>
      <c r="J2723">
        <v>64.8</v>
      </c>
      <c r="K2723">
        <v>52.5</v>
      </c>
      <c r="L2723">
        <v>65</v>
      </c>
      <c r="M2723" s="2">
        <f t="shared" si="422"/>
        <v>1</v>
      </c>
      <c r="N2723">
        <v>0</v>
      </c>
      <c r="O2723" s="2">
        <f t="shared" si="423"/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32</v>
      </c>
      <c r="V2723" s="2">
        <f t="shared" si="424"/>
        <v>1</v>
      </c>
      <c r="W2723">
        <v>23</v>
      </c>
      <c r="X2723" s="2">
        <f t="shared" si="425"/>
        <v>1</v>
      </c>
      <c r="Y2723">
        <v>308.60000000000002</v>
      </c>
      <c r="Z2723" s="2" t="str">
        <f>CHOOSE(MATCH(Y2723,{0;11;80;111;161;191;241;281;341},1),"North","NorthEast","East","SouthEast","South","SouthWest","West","NorthWest","North")</f>
        <v>NorthWest</v>
      </c>
      <c r="AA2723" s="4">
        <f>CHOOSE(MATCH(Z2723,{"South";"SouthEast";"SouthWest";"North";"NorthEast";"East";"West";"NorthWest"},0),1,2,3,4,5,6,7,8)</f>
        <v>8</v>
      </c>
      <c r="AB2723" s="2">
        <f t="shared" si="426"/>
        <v>1</v>
      </c>
      <c r="AC2723">
        <v>1014.8</v>
      </c>
      <c r="AD2723" t="s">
        <v>3192</v>
      </c>
      <c r="AE2723" s="2">
        <f t="shared" si="427"/>
        <v>1</v>
      </c>
      <c r="AF2723" t="s">
        <v>3687</v>
      </c>
      <c r="AG2723" s="2">
        <f t="shared" si="428"/>
        <v>4</v>
      </c>
      <c r="AH2723" s="2">
        <f t="shared" si="429"/>
        <v>0</v>
      </c>
      <c r="AI2723" s="3">
        <v>1458.9999999990689</v>
      </c>
      <c r="AJ2723" s="2">
        <v>1</v>
      </c>
      <c r="AK2723">
        <v>0</v>
      </c>
      <c r="AL2723">
        <v>10</v>
      </c>
      <c r="AM2723">
        <v>0</v>
      </c>
      <c r="AN2723" s="2">
        <f>IF((2*G2723+M2723-O2723+3*V2723+2*AB2723+2*AE2723+2*AH2723+3*AJ2723)&gt;=7,1,0)</f>
        <v>1</v>
      </c>
    </row>
    <row r="2724" spans="1:40" x14ac:dyDescent="0.25">
      <c r="A2724" t="s">
        <v>27</v>
      </c>
      <c r="B2724" s="1">
        <v>45392</v>
      </c>
      <c r="C2724" s="6">
        <f t="shared" si="420"/>
        <v>2024</v>
      </c>
      <c r="D2724">
        <v>69.8</v>
      </c>
      <c r="E2724">
        <v>53.6</v>
      </c>
      <c r="F2724">
        <v>63.1</v>
      </c>
      <c r="G2724" s="2">
        <f t="shared" si="421"/>
        <v>0</v>
      </c>
      <c r="H2724">
        <v>69.8</v>
      </c>
      <c r="I2724">
        <v>53.6</v>
      </c>
      <c r="J2724">
        <v>63.1</v>
      </c>
      <c r="K2724">
        <v>48.1</v>
      </c>
      <c r="L2724">
        <v>58.7</v>
      </c>
      <c r="M2724" s="2">
        <f t="shared" si="422"/>
        <v>1</v>
      </c>
      <c r="N2724">
        <v>0</v>
      </c>
      <c r="O2724" s="2">
        <f t="shared" si="423"/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28.6</v>
      </c>
      <c r="V2724" s="2">
        <f t="shared" si="424"/>
        <v>1</v>
      </c>
      <c r="W2724">
        <v>18.3</v>
      </c>
      <c r="X2724" s="2">
        <f t="shared" si="425"/>
        <v>1</v>
      </c>
      <c r="Y2724">
        <v>283.5</v>
      </c>
      <c r="Z2724" s="2" t="str">
        <f>CHOOSE(MATCH(Y2724,{0;11;80;111;161;191;241;281;341},1),"North","NorthEast","East","SouthEast","South","SouthWest","West","NorthWest","North")</f>
        <v>NorthWest</v>
      </c>
      <c r="AA2724" s="4">
        <f>CHOOSE(MATCH(Z2724,{"South";"SouthEast";"SouthWest";"North";"NorthEast";"East";"West";"NorthWest"},0),1,2,3,4,5,6,7,8)</f>
        <v>8</v>
      </c>
      <c r="AB2724" s="2">
        <f t="shared" si="426"/>
        <v>1</v>
      </c>
      <c r="AC2724">
        <v>1015.7</v>
      </c>
      <c r="AD2724" t="s">
        <v>1853</v>
      </c>
      <c r="AE2724" s="2">
        <f t="shared" si="427"/>
        <v>0</v>
      </c>
      <c r="AF2724" t="s">
        <v>3688</v>
      </c>
      <c r="AG2724" s="2">
        <f t="shared" si="428"/>
        <v>4</v>
      </c>
      <c r="AH2724" s="2">
        <f t="shared" si="429"/>
        <v>0</v>
      </c>
      <c r="AI2724" s="3">
        <v>143.9999999979045</v>
      </c>
      <c r="AJ2724" s="2">
        <v>0</v>
      </c>
      <c r="AK2724">
        <v>0</v>
      </c>
      <c r="AL2724">
        <v>1</v>
      </c>
      <c r="AM2724">
        <v>0</v>
      </c>
      <c r="AN2724" s="2">
        <f>IF((2*G2724+M2724-O2724+3*V2724+2*AB2724+2*AE2724+2*AH2724+3*AJ2724)&gt;=7,1,0)</f>
        <v>0</v>
      </c>
    </row>
    <row r="2725" spans="1:40" x14ac:dyDescent="0.25">
      <c r="A2725" t="s">
        <v>27</v>
      </c>
      <c r="B2725" s="1">
        <v>45393</v>
      </c>
      <c r="C2725" s="6">
        <f t="shared" si="420"/>
        <v>2024</v>
      </c>
      <c r="D2725">
        <v>71.599999999999994</v>
      </c>
      <c r="E2725">
        <v>53.6</v>
      </c>
      <c r="F2725">
        <v>63.1</v>
      </c>
      <c r="G2725" s="2">
        <f t="shared" si="421"/>
        <v>0</v>
      </c>
      <c r="H2725">
        <v>71.599999999999994</v>
      </c>
      <c r="I2725">
        <v>53.6</v>
      </c>
      <c r="J2725">
        <v>63.1</v>
      </c>
      <c r="K2725">
        <v>49.9</v>
      </c>
      <c r="L2725">
        <v>63.4</v>
      </c>
      <c r="M2725" s="2">
        <f t="shared" si="422"/>
        <v>1</v>
      </c>
      <c r="N2725">
        <v>0</v>
      </c>
      <c r="O2725" s="2">
        <f t="shared" si="423"/>
        <v>1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25.9</v>
      </c>
      <c r="V2725" s="2">
        <f t="shared" si="424"/>
        <v>1</v>
      </c>
      <c r="W2725">
        <v>17.2</v>
      </c>
      <c r="X2725" s="2">
        <f t="shared" si="425"/>
        <v>1</v>
      </c>
      <c r="Y2725">
        <v>308</v>
      </c>
      <c r="Z2725" s="2" t="str">
        <f>CHOOSE(MATCH(Y2725,{0;11;80;111;161;191;241;281;341},1),"North","NorthEast","East","SouthEast","South","SouthWest","West","NorthWest","North")</f>
        <v>NorthWest</v>
      </c>
      <c r="AA2725" s="4">
        <f>CHOOSE(MATCH(Z2725,{"South";"SouthEast";"SouthWest";"North";"NorthEast";"East";"West";"NorthWest"},0),1,2,3,4,5,6,7,8)</f>
        <v>8</v>
      </c>
      <c r="AB2725" s="2">
        <f t="shared" si="426"/>
        <v>1</v>
      </c>
      <c r="AC2725">
        <v>1018.1</v>
      </c>
      <c r="AD2725" t="s">
        <v>1125</v>
      </c>
      <c r="AE2725" s="2">
        <f t="shared" si="427"/>
        <v>1</v>
      </c>
      <c r="AF2725" t="s">
        <v>3689</v>
      </c>
      <c r="AG2725" s="2">
        <f t="shared" si="428"/>
        <v>4</v>
      </c>
      <c r="AH2725" s="2">
        <f t="shared" si="429"/>
        <v>0</v>
      </c>
      <c r="AI2725" s="3">
        <v>305.00000000931323</v>
      </c>
      <c r="AJ2725" s="2">
        <v>0</v>
      </c>
      <c r="AK2725">
        <v>0</v>
      </c>
      <c r="AL2725">
        <v>0.5</v>
      </c>
      <c r="AM2725">
        <v>0</v>
      </c>
      <c r="AN2725" s="2">
        <f>IF((2*G2725+M2725-O2725+3*V2725+2*AB2725+2*AE2725+2*AH2725+3*AJ2725)&gt;=7,1,0)</f>
        <v>1</v>
      </c>
    </row>
    <row r="2726" spans="1:40" x14ac:dyDescent="0.25">
      <c r="A2726" t="s">
        <v>27</v>
      </c>
      <c r="B2726" s="1">
        <v>45394</v>
      </c>
      <c r="C2726" s="6">
        <f t="shared" si="420"/>
        <v>2024</v>
      </c>
      <c r="D2726">
        <v>68</v>
      </c>
      <c r="E2726">
        <v>53.6</v>
      </c>
      <c r="F2726">
        <v>62.2</v>
      </c>
      <c r="G2726" s="2">
        <f t="shared" si="421"/>
        <v>0</v>
      </c>
      <c r="H2726">
        <v>68</v>
      </c>
      <c r="I2726">
        <v>53.6</v>
      </c>
      <c r="J2726">
        <v>62.2</v>
      </c>
      <c r="K2726">
        <v>53.4</v>
      </c>
      <c r="L2726">
        <v>72.900000000000006</v>
      </c>
      <c r="M2726" s="2">
        <f t="shared" si="422"/>
        <v>0</v>
      </c>
      <c r="N2726">
        <v>0</v>
      </c>
      <c r="O2726" s="2">
        <f t="shared" si="423"/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21.7</v>
      </c>
      <c r="V2726" s="2">
        <f t="shared" si="424"/>
        <v>1</v>
      </c>
      <c r="W2726">
        <v>19.7</v>
      </c>
      <c r="X2726" s="2">
        <f t="shared" si="425"/>
        <v>1</v>
      </c>
      <c r="Y2726">
        <v>297.2</v>
      </c>
      <c r="Z2726" s="2" t="str">
        <f>CHOOSE(MATCH(Y2726,{0;11;80;111;161;191;241;281;341},1),"North","NorthEast","East","SouthEast","South","SouthWest","West","NorthWest","North")</f>
        <v>NorthWest</v>
      </c>
      <c r="AA2726" s="4">
        <f>CHOOSE(MATCH(Z2726,{"South";"SouthEast";"SouthWest";"North";"NorthEast";"East";"West";"NorthWest"},0),1,2,3,4,5,6,7,8)</f>
        <v>8</v>
      </c>
      <c r="AB2726" s="2">
        <f t="shared" si="426"/>
        <v>1</v>
      </c>
      <c r="AC2726">
        <v>1019.5</v>
      </c>
      <c r="AD2726" t="s">
        <v>1924</v>
      </c>
      <c r="AE2726" s="2">
        <f t="shared" si="427"/>
        <v>0</v>
      </c>
      <c r="AF2726" t="s">
        <v>3690</v>
      </c>
      <c r="AG2726" s="2">
        <f t="shared" si="428"/>
        <v>4</v>
      </c>
      <c r="AH2726" s="2">
        <f t="shared" si="429"/>
        <v>0</v>
      </c>
      <c r="AI2726" s="3">
        <v>45</v>
      </c>
      <c r="AJ2726" s="2">
        <v>0</v>
      </c>
      <c r="AK2726">
        <v>0</v>
      </c>
      <c r="AL2726">
        <v>0.01</v>
      </c>
      <c r="AM2726">
        <v>0</v>
      </c>
      <c r="AN2726" s="2">
        <f>IF((2*G2726+M2726-O2726+3*V2726+2*AB2726+2*AE2726+2*AH2726+3*AJ2726)&gt;=7,1,0)</f>
        <v>0</v>
      </c>
    </row>
    <row r="2727" spans="1:40" x14ac:dyDescent="0.25">
      <c r="A2727" t="s">
        <v>27</v>
      </c>
      <c r="B2727" s="1">
        <v>45394</v>
      </c>
      <c r="C2727" s="6">
        <f t="shared" si="420"/>
        <v>2024</v>
      </c>
      <c r="D2727">
        <v>68</v>
      </c>
      <c r="E2727">
        <v>53.6</v>
      </c>
      <c r="F2727">
        <v>62.2</v>
      </c>
      <c r="G2727" s="2">
        <f t="shared" si="421"/>
        <v>0</v>
      </c>
      <c r="H2727">
        <v>68</v>
      </c>
      <c r="I2727">
        <v>53.6</v>
      </c>
      <c r="J2727">
        <v>62.2</v>
      </c>
      <c r="K2727">
        <v>53.4</v>
      </c>
      <c r="L2727">
        <v>72.900000000000006</v>
      </c>
      <c r="M2727" s="2">
        <f t="shared" si="422"/>
        <v>0</v>
      </c>
      <c r="N2727">
        <v>0</v>
      </c>
      <c r="O2727" s="2">
        <f t="shared" si="423"/>
        <v>1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21.7</v>
      </c>
      <c r="V2727" s="2">
        <f t="shared" si="424"/>
        <v>1</v>
      </c>
      <c r="W2727">
        <v>19.7</v>
      </c>
      <c r="X2727" s="2">
        <f t="shared" si="425"/>
        <v>1</v>
      </c>
      <c r="Y2727">
        <v>297.2</v>
      </c>
      <c r="Z2727" s="2" t="str">
        <f>CHOOSE(MATCH(Y2727,{0;11;80;111;161;191;241;281;341},1),"North","NorthEast","East","SouthEast","South","SouthWest","West","NorthWest","North")</f>
        <v>NorthWest</v>
      </c>
      <c r="AA2727" s="4">
        <f>CHOOSE(MATCH(Z2727,{"South";"SouthEast";"SouthWest";"North";"NorthEast";"East";"West";"NorthWest"},0),1,2,3,4,5,6,7,8)</f>
        <v>8</v>
      </c>
      <c r="AB2727" s="2">
        <f t="shared" si="426"/>
        <v>1</v>
      </c>
      <c r="AC2727">
        <v>1019.5</v>
      </c>
      <c r="AD2727" t="s">
        <v>2265</v>
      </c>
      <c r="AE2727" s="2">
        <f t="shared" si="427"/>
        <v>1</v>
      </c>
      <c r="AF2727" t="s">
        <v>3691</v>
      </c>
      <c r="AG2727" s="2">
        <f t="shared" si="428"/>
        <v>4</v>
      </c>
      <c r="AH2727" s="2">
        <f t="shared" si="429"/>
        <v>0</v>
      </c>
      <c r="AI2727" s="3">
        <v>290.99999999511061</v>
      </c>
      <c r="AJ2727" s="2">
        <v>0</v>
      </c>
      <c r="AK2727">
        <v>0</v>
      </c>
      <c r="AL2727">
        <v>5</v>
      </c>
      <c r="AM2727">
        <v>0</v>
      </c>
      <c r="AN2727" s="2">
        <f>IF((2*G2727+M2727-O2727+3*V2727+2*AB2727+2*AE2727+2*AH2727+3*AJ2727)&gt;=7,1,0)</f>
        <v>0</v>
      </c>
    </row>
    <row r="2728" spans="1:40" x14ac:dyDescent="0.25">
      <c r="A2728" t="s">
        <v>27</v>
      </c>
      <c r="B2728" s="1">
        <v>45397</v>
      </c>
      <c r="C2728" s="6">
        <f t="shared" si="420"/>
        <v>2024</v>
      </c>
      <c r="D2728">
        <v>73.400000000000006</v>
      </c>
      <c r="E2728">
        <v>64.400000000000006</v>
      </c>
      <c r="F2728">
        <v>69.3</v>
      </c>
      <c r="G2728" s="2">
        <f t="shared" si="421"/>
        <v>0</v>
      </c>
      <c r="H2728">
        <v>73.400000000000006</v>
      </c>
      <c r="I2728">
        <v>64.400000000000006</v>
      </c>
      <c r="J2728">
        <v>69.3</v>
      </c>
      <c r="K2728">
        <v>55.2</v>
      </c>
      <c r="L2728">
        <v>61.5</v>
      </c>
      <c r="M2728" s="2">
        <f t="shared" si="422"/>
        <v>1</v>
      </c>
      <c r="N2728">
        <v>0</v>
      </c>
      <c r="O2728" s="2">
        <f t="shared" si="423"/>
        <v>1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24.2</v>
      </c>
      <c r="V2728" s="2">
        <f t="shared" si="424"/>
        <v>1</v>
      </c>
      <c r="W2728">
        <v>13.9</v>
      </c>
      <c r="X2728" s="2">
        <f t="shared" si="425"/>
        <v>0</v>
      </c>
      <c r="Y2728">
        <v>308.8</v>
      </c>
      <c r="Z2728" s="2" t="str">
        <f>CHOOSE(MATCH(Y2728,{0;11;80;111;161;191;241;281;341},1),"North","NorthEast","East","SouthEast","South","SouthWest","West","NorthWest","North")</f>
        <v>NorthWest</v>
      </c>
      <c r="AA2728" s="4">
        <f>CHOOSE(MATCH(Z2728,{"South";"SouthEast";"SouthWest";"North";"NorthEast";"East";"West";"NorthWest"},0),1,2,3,4,5,6,7,8)</f>
        <v>8</v>
      </c>
      <c r="AB2728" s="2">
        <f t="shared" si="426"/>
        <v>1</v>
      </c>
      <c r="AC2728">
        <v>1019</v>
      </c>
      <c r="AD2728" t="s">
        <v>2923</v>
      </c>
      <c r="AE2728" s="2">
        <f t="shared" si="427"/>
        <v>0</v>
      </c>
      <c r="AF2728" t="s">
        <v>3692</v>
      </c>
      <c r="AG2728" s="2">
        <f t="shared" si="428"/>
        <v>4</v>
      </c>
      <c r="AH2728" s="2">
        <f t="shared" si="429"/>
        <v>0</v>
      </c>
      <c r="AI2728" s="3">
        <v>185.99999999860299</v>
      </c>
      <c r="AJ2728" s="2">
        <v>0</v>
      </c>
      <c r="AK2728">
        <v>0</v>
      </c>
      <c r="AL2728">
        <v>0.1</v>
      </c>
      <c r="AM2728">
        <v>0</v>
      </c>
      <c r="AN2728" s="2">
        <f>IF((2*G2728+M2728-O2728+3*V2728+2*AB2728+2*AE2728+2*AH2728+3*AJ2728)&gt;=7,1,0)</f>
        <v>0</v>
      </c>
    </row>
    <row r="2729" spans="1:40" x14ac:dyDescent="0.25">
      <c r="A2729" t="s">
        <v>27</v>
      </c>
      <c r="B2729" s="1">
        <v>45397</v>
      </c>
      <c r="C2729" s="6">
        <f t="shared" si="420"/>
        <v>2024</v>
      </c>
      <c r="D2729">
        <v>73.400000000000006</v>
      </c>
      <c r="E2729">
        <v>64.400000000000006</v>
      </c>
      <c r="F2729">
        <v>69.3</v>
      </c>
      <c r="G2729" s="2">
        <f t="shared" si="421"/>
        <v>0</v>
      </c>
      <c r="H2729">
        <v>73.400000000000006</v>
      </c>
      <c r="I2729">
        <v>64.400000000000006</v>
      </c>
      <c r="J2729">
        <v>69.3</v>
      </c>
      <c r="K2729">
        <v>55.2</v>
      </c>
      <c r="L2729">
        <v>61.5</v>
      </c>
      <c r="M2729" s="2">
        <f t="shared" si="422"/>
        <v>1</v>
      </c>
      <c r="N2729">
        <v>0</v>
      </c>
      <c r="O2729" s="2">
        <f t="shared" si="423"/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24.2</v>
      </c>
      <c r="V2729" s="2">
        <f t="shared" si="424"/>
        <v>1</v>
      </c>
      <c r="W2729">
        <v>13.9</v>
      </c>
      <c r="X2729" s="2">
        <f t="shared" si="425"/>
        <v>0</v>
      </c>
      <c r="Y2729">
        <v>308.8</v>
      </c>
      <c r="Z2729" s="2" t="str">
        <f>CHOOSE(MATCH(Y2729,{0;11;80;111;161;191;241;281;341},1),"North","NorthEast","East","SouthEast","South","SouthWest","West","NorthWest","North")</f>
        <v>NorthWest</v>
      </c>
      <c r="AA2729" s="4">
        <f>CHOOSE(MATCH(Z2729,{"South";"SouthEast";"SouthWest";"North";"NorthEast";"East";"West";"NorthWest"},0),1,2,3,4,5,6,7,8)</f>
        <v>8</v>
      </c>
      <c r="AB2729" s="2">
        <f t="shared" si="426"/>
        <v>1</v>
      </c>
      <c r="AC2729">
        <v>1019</v>
      </c>
      <c r="AD2729" t="s">
        <v>3693</v>
      </c>
      <c r="AE2729" s="2">
        <f t="shared" si="427"/>
        <v>0</v>
      </c>
      <c r="AF2729" t="s">
        <v>3694</v>
      </c>
      <c r="AG2729" s="2">
        <f t="shared" si="428"/>
        <v>4</v>
      </c>
      <c r="AH2729" s="2">
        <f t="shared" si="429"/>
        <v>0</v>
      </c>
      <c r="AI2729" s="3">
        <v>117.9999999969732</v>
      </c>
      <c r="AJ2729" s="2">
        <v>0</v>
      </c>
      <c r="AK2729">
        <v>0</v>
      </c>
      <c r="AL2729">
        <v>0.15</v>
      </c>
      <c r="AM2729">
        <v>0</v>
      </c>
      <c r="AN2729" s="2">
        <f>IF((2*G2729+M2729-O2729+3*V2729+2*AB2729+2*AE2729+2*AH2729+3*AJ2729)&gt;=7,1,0)</f>
        <v>0</v>
      </c>
    </row>
    <row r="2730" spans="1:40" x14ac:dyDescent="0.25">
      <c r="A2730" t="s">
        <v>27</v>
      </c>
      <c r="B2730" s="1">
        <v>45399</v>
      </c>
      <c r="C2730" s="6">
        <f t="shared" si="420"/>
        <v>2024</v>
      </c>
      <c r="D2730">
        <v>78.8</v>
      </c>
      <c r="E2730">
        <v>68</v>
      </c>
      <c r="F2730">
        <v>73.599999999999994</v>
      </c>
      <c r="G2730" s="2">
        <f t="shared" si="421"/>
        <v>1</v>
      </c>
      <c r="H2730">
        <v>78.8</v>
      </c>
      <c r="I2730">
        <v>68</v>
      </c>
      <c r="J2730">
        <v>73.599999999999994</v>
      </c>
      <c r="K2730">
        <v>45.3</v>
      </c>
      <c r="L2730">
        <v>37</v>
      </c>
      <c r="M2730" s="2">
        <f t="shared" si="422"/>
        <v>1</v>
      </c>
      <c r="N2730">
        <v>0</v>
      </c>
      <c r="O2730" s="2">
        <f t="shared" si="423"/>
        <v>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42.5</v>
      </c>
      <c r="V2730" s="2">
        <f t="shared" si="424"/>
        <v>1</v>
      </c>
      <c r="W2730">
        <v>31.1</v>
      </c>
      <c r="X2730" s="2">
        <f t="shared" si="425"/>
        <v>1</v>
      </c>
      <c r="Y2730">
        <v>178.1</v>
      </c>
      <c r="Z2730" s="2" t="str">
        <f>CHOOSE(MATCH(Y2730,{0;11;80;111;161;191;241;281;341},1),"North","NorthEast","East","SouthEast","South","SouthWest","West","NorthWest","North")</f>
        <v>South</v>
      </c>
      <c r="AA2730" s="4">
        <f>CHOOSE(MATCH(Z2730,{"South";"SouthEast";"SouthWest";"North";"NorthEast";"East";"West";"NorthWest"},0),1,2,3,4,5,6,7,8)</f>
        <v>1</v>
      </c>
      <c r="AB2730" s="2">
        <f t="shared" si="426"/>
        <v>0</v>
      </c>
      <c r="AC2730">
        <v>1002.6</v>
      </c>
      <c r="AD2730" t="s">
        <v>2998</v>
      </c>
      <c r="AE2730" s="2">
        <f t="shared" si="427"/>
        <v>1</v>
      </c>
      <c r="AF2730" t="s">
        <v>3695</v>
      </c>
      <c r="AG2730" s="2">
        <f t="shared" si="428"/>
        <v>4</v>
      </c>
      <c r="AH2730" s="2">
        <f t="shared" si="429"/>
        <v>0</v>
      </c>
      <c r="AI2730" s="3">
        <v>1098.9999999990689</v>
      </c>
      <c r="AJ2730" s="2">
        <v>1</v>
      </c>
      <c r="AK2730">
        <v>0</v>
      </c>
      <c r="AL2730">
        <v>5</v>
      </c>
      <c r="AM2730">
        <v>0</v>
      </c>
      <c r="AN2730" s="2">
        <f>IF((2*G2730+M2730-O2730+3*V2730+2*AB2730+2*AE2730+2*AH2730+3*AJ2730)&gt;=7,1,0)</f>
        <v>1</v>
      </c>
    </row>
    <row r="2731" spans="1:40" x14ac:dyDescent="0.25">
      <c r="A2731" t="s">
        <v>27</v>
      </c>
      <c r="B2731" s="1">
        <v>45401</v>
      </c>
      <c r="C2731" s="6">
        <f t="shared" si="420"/>
        <v>2024</v>
      </c>
      <c r="D2731">
        <v>69.8</v>
      </c>
      <c r="E2731">
        <v>57.2</v>
      </c>
      <c r="F2731">
        <v>64.5</v>
      </c>
      <c r="G2731" s="2">
        <f t="shared" si="421"/>
        <v>0</v>
      </c>
      <c r="H2731">
        <v>69.8</v>
      </c>
      <c r="I2731">
        <v>57.2</v>
      </c>
      <c r="J2731">
        <v>64.5</v>
      </c>
      <c r="K2731">
        <v>54.4</v>
      </c>
      <c r="L2731">
        <v>70.900000000000006</v>
      </c>
      <c r="M2731" s="2">
        <f t="shared" si="422"/>
        <v>0</v>
      </c>
      <c r="N2731">
        <v>0</v>
      </c>
      <c r="O2731" s="2">
        <f t="shared" si="423"/>
        <v>1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28.9</v>
      </c>
      <c r="V2731" s="2">
        <f t="shared" si="424"/>
        <v>1</v>
      </c>
      <c r="W2731">
        <v>18.3</v>
      </c>
      <c r="X2731" s="2">
        <f t="shared" si="425"/>
        <v>1</v>
      </c>
      <c r="Y2731">
        <v>136.4</v>
      </c>
      <c r="Z2731" s="2" t="str">
        <f>CHOOSE(MATCH(Y2731,{0;11;80;111;161;191;241;281;341},1),"North","NorthEast","East","SouthEast","South","SouthWest","West","NorthWest","North")</f>
        <v>SouthEast</v>
      </c>
      <c r="AA2731" s="4">
        <f>CHOOSE(MATCH(Z2731,{"South";"SouthEast";"SouthWest";"North";"NorthEast";"East";"West";"NorthWest"},0),1,2,3,4,5,6,7,8)</f>
        <v>2</v>
      </c>
      <c r="AB2731" s="2">
        <f t="shared" si="426"/>
        <v>0</v>
      </c>
      <c r="AC2731">
        <v>1010.3</v>
      </c>
      <c r="AD2731" t="s">
        <v>3295</v>
      </c>
      <c r="AE2731" s="2">
        <f t="shared" si="427"/>
        <v>1</v>
      </c>
      <c r="AF2731" t="s">
        <v>3696</v>
      </c>
      <c r="AG2731" s="2">
        <f t="shared" si="428"/>
        <v>4</v>
      </c>
      <c r="AH2731" s="2">
        <f t="shared" si="429"/>
        <v>0</v>
      </c>
      <c r="AI2731" s="3">
        <v>116.00000000093129</v>
      </c>
      <c r="AJ2731" s="2">
        <v>0</v>
      </c>
      <c r="AK2731">
        <v>0</v>
      </c>
      <c r="AL2731">
        <v>1.5</v>
      </c>
      <c r="AM2731">
        <v>0</v>
      </c>
      <c r="AN2731" s="2">
        <f>IF((2*G2731+M2731-O2731+3*V2731+2*AB2731+2*AE2731+2*AH2731+3*AJ2731)&gt;=7,1,0)</f>
        <v>0</v>
      </c>
    </row>
    <row r="2732" spans="1:40" x14ac:dyDescent="0.25">
      <c r="A2732" t="s">
        <v>27</v>
      </c>
      <c r="B2732" s="1">
        <v>45407</v>
      </c>
      <c r="C2732" s="6">
        <f t="shared" si="420"/>
        <v>2024</v>
      </c>
      <c r="D2732">
        <v>73.400000000000006</v>
      </c>
      <c r="E2732">
        <v>57.2</v>
      </c>
      <c r="F2732">
        <v>65.2</v>
      </c>
      <c r="G2732" s="2">
        <f t="shared" si="421"/>
        <v>0</v>
      </c>
      <c r="H2732">
        <v>73.400000000000006</v>
      </c>
      <c r="I2732">
        <v>57.2</v>
      </c>
      <c r="J2732">
        <v>65.2</v>
      </c>
      <c r="K2732">
        <v>51.1</v>
      </c>
      <c r="L2732">
        <v>60.9</v>
      </c>
      <c r="M2732" s="2">
        <f t="shared" si="422"/>
        <v>1</v>
      </c>
      <c r="N2732">
        <v>0</v>
      </c>
      <c r="O2732" s="2">
        <f t="shared" si="423"/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23</v>
      </c>
      <c r="V2732" s="2">
        <f t="shared" si="424"/>
        <v>1</v>
      </c>
      <c r="W2732">
        <v>25.2</v>
      </c>
      <c r="X2732" s="2">
        <f t="shared" si="425"/>
        <v>1</v>
      </c>
      <c r="Y2732">
        <v>292.60000000000002</v>
      </c>
      <c r="Z2732" s="2" t="str">
        <f>CHOOSE(MATCH(Y2732,{0;11;80;111;161;191;241;281;341},1),"North","NorthEast","East","SouthEast","South","SouthWest","West","NorthWest","North")</f>
        <v>NorthWest</v>
      </c>
      <c r="AA2732" s="4">
        <f>CHOOSE(MATCH(Z2732,{"South";"SouthEast";"SouthWest";"North";"NorthEast";"East";"West";"NorthWest"},0),1,2,3,4,5,6,7,8)</f>
        <v>8</v>
      </c>
      <c r="AB2732" s="2">
        <f t="shared" si="426"/>
        <v>1</v>
      </c>
      <c r="AC2732">
        <v>1008.2</v>
      </c>
      <c r="AD2732" t="s">
        <v>3407</v>
      </c>
      <c r="AE2732" s="2">
        <f t="shared" si="427"/>
        <v>0</v>
      </c>
      <c r="AF2732" t="s">
        <v>3697</v>
      </c>
      <c r="AG2732" s="2">
        <f t="shared" si="428"/>
        <v>4</v>
      </c>
      <c r="AH2732" s="2">
        <f t="shared" si="429"/>
        <v>0</v>
      </c>
      <c r="AI2732" s="3">
        <v>1660.0000000046571</v>
      </c>
      <c r="AJ2732" s="2">
        <v>1</v>
      </c>
      <c r="AK2732">
        <v>0</v>
      </c>
      <c r="AL2732">
        <v>10</v>
      </c>
      <c r="AM2732">
        <v>0</v>
      </c>
      <c r="AN2732" s="2">
        <f>IF((2*G2732+M2732-O2732+3*V2732+2*AB2732+2*AE2732+2*AH2732+3*AJ2732)&gt;=7,1,0)</f>
        <v>1</v>
      </c>
    </row>
    <row r="2733" spans="1:40" x14ac:dyDescent="0.25">
      <c r="A2733" t="s">
        <v>27</v>
      </c>
      <c r="B2733" s="1">
        <v>45415</v>
      </c>
      <c r="C2733" s="6">
        <f t="shared" si="420"/>
        <v>2024</v>
      </c>
      <c r="D2733">
        <v>75.2</v>
      </c>
      <c r="E2733">
        <v>59</v>
      </c>
      <c r="F2733">
        <v>68.400000000000006</v>
      </c>
      <c r="G2733" s="2">
        <f t="shared" si="421"/>
        <v>0</v>
      </c>
      <c r="H2733">
        <v>75.2</v>
      </c>
      <c r="I2733">
        <v>59</v>
      </c>
      <c r="J2733">
        <v>68.400000000000006</v>
      </c>
      <c r="K2733">
        <v>54.4</v>
      </c>
      <c r="L2733">
        <v>63</v>
      </c>
      <c r="M2733" s="2">
        <f t="shared" si="422"/>
        <v>1</v>
      </c>
      <c r="N2733">
        <v>0</v>
      </c>
      <c r="O2733" s="2">
        <f t="shared" si="423"/>
        <v>1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30.2</v>
      </c>
      <c r="V2733" s="2">
        <f t="shared" si="424"/>
        <v>1</v>
      </c>
      <c r="W2733">
        <v>24.2</v>
      </c>
      <c r="X2733" s="2">
        <f t="shared" si="425"/>
        <v>1</v>
      </c>
      <c r="Y2733">
        <v>288.3</v>
      </c>
      <c r="Z2733" s="2" t="str">
        <f>CHOOSE(MATCH(Y2733,{0;11;80;111;161;191;241;281;341},1),"North","NorthEast","East","SouthEast","South","SouthWest","West","NorthWest","North")</f>
        <v>NorthWest</v>
      </c>
      <c r="AA2733" s="4">
        <f>CHOOSE(MATCH(Z2733,{"South";"SouthEast";"SouthWest";"North";"NorthEast";"East";"West";"NorthWest"},0),1,2,3,4,5,6,7,8)</f>
        <v>8</v>
      </c>
      <c r="AB2733" s="2">
        <f t="shared" si="426"/>
        <v>1</v>
      </c>
      <c r="AC2733">
        <v>1011.8</v>
      </c>
      <c r="AD2733" t="s">
        <v>3698</v>
      </c>
      <c r="AE2733" s="2">
        <f t="shared" si="427"/>
        <v>1</v>
      </c>
      <c r="AF2733" t="s">
        <v>3699</v>
      </c>
      <c r="AG2733" s="2">
        <f t="shared" si="428"/>
        <v>5</v>
      </c>
      <c r="AH2733" s="2">
        <f t="shared" si="429"/>
        <v>0</v>
      </c>
      <c r="AI2733" s="3">
        <v>1129.0000000025609</v>
      </c>
      <c r="AJ2733" s="2">
        <v>1</v>
      </c>
      <c r="AK2733">
        <v>0</v>
      </c>
      <c r="AL2733">
        <v>0.5</v>
      </c>
      <c r="AM2733">
        <v>0</v>
      </c>
      <c r="AN2733" s="2">
        <f>IF((2*G2733+M2733-O2733+3*V2733+2*AB2733+2*AE2733+2*AH2733+3*AJ2733)&gt;=7,1,0)</f>
        <v>1</v>
      </c>
    </row>
    <row r="2734" spans="1:40" x14ac:dyDescent="0.25">
      <c r="A2734" t="s">
        <v>27</v>
      </c>
      <c r="B2734" s="1">
        <v>45416</v>
      </c>
      <c r="C2734" s="6">
        <f t="shared" si="420"/>
        <v>2024</v>
      </c>
      <c r="D2734">
        <v>73.400000000000006</v>
      </c>
      <c r="E2734">
        <v>62.6</v>
      </c>
      <c r="F2734">
        <v>67.900000000000006</v>
      </c>
      <c r="G2734" s="2">
        <f t="shared" si="421"/>
        <v>0</v>
      </c>
      <c r="H2734">
        <v>73.400000000000006</v>
      </c>
      <c r="I2734">
        <v>62.6</v>
      </c>
      <c r="J2734">
        <v>67.900000000000006</v>
      </c>
      <c r="K2734">
        <v>46.2</v>
      </c>
      <c r="L2734">
        <v>46.6</v>
      </c>
      <c r="M2734" s="2">
        <f t="shared" si="422"/>
        <v>1</v>
      </c>
      <c r="N2734">
        <v>0</v>
      </c>
      <c r="O2734" s="2">
        <f t="shared" si="423"/>
        <v>1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38.9</v>
      </c>
      <c r="V2734" s="2">
        <f t="shared" si="424"/>
        <v>1</v>
      </c>
      <c r="W2734">
        <v>30</v>
      </c>
      <c r="X2734" s="2">
        <f t="shared" si="425"/>
        <v>1</v>
      </c>
      <c r="Y2734">
        <v>280.89999999999998</v>
      </c>
      <c r="Z2734" s="2" t="str">
        <f>CHOOSE(MATCH(Y2734,{0;11;80;111;161;191;241;281;341},1),"North","NorthEast","East","SouthEast","South","SouthWest","West","NorthWest","North")</f>
        <v>West</v>
      </c>
      <c r="AA2734" s="4">
        <f>CHOOSE(MATCH(Z2734,{"South";"SouthEast";"SouthWest";"North";"NorthEast";"East";"West";"NorthWest"},0),1,2,3,4,5,6,7,8)</f>
        <v>7</v>
      </c>
      <c r="AB2734" s="2">
        <f t="shared" si="426"/>
        <v>0</v>
      </c>
      <c r="AC2734">
        <v>1009.9</v>
      </c>
      <c r="AD2734" t="s">
        <v>3700</v>
      </c>
      <c r="AE2734" s="2">
        <f t="shared" si="427"/>
        <v>0</v>
      </c>
      <c r="AF2734" t="s">
        <v>3701</v>
      </c>
      <c r="AG2734" s="2">
        <f t="shared" si="428"/>
        <v>5</v>
      </c>
      <c r="AH2734" s="2">
        <f t="shared" si="429"/>
        <v>0</v>
      </c>
      <c r="AI2734" s="3">
        <v>29.000000000232831</v>
      </c>
      <c r="AJ2734" s="2">
        <v>0</v>
      </c>
      <c r="AK2734">
        <v>0.05</v>
      </c>
      <c r="AL2734">
        <v>0</v>
      </c>
      <c r="AM2734">
        <v>0</v>
      </c>
      <c r="AN2734" s="2">
        <f>IF((2*G2734+M2734-O2734+3*V2734+2*AB2734+2*AE2734+2*AH2734+3*AJ2734)&gt;=7,1,0)</f>
        <v>0</v>
      </c>
    </row>
    <row r="2735" spans="1:40" x14ac:dyDescent="0.25">
      <c r="A2735" t="s">
        <v>27</v>
      </c>
      <c r="B2735" s="1">
        <v>45420</v>
      </c>
      <c r="C2735" s="6">
        <f t="shared" si="420"/>
        <v>2024</v>
      </c>
      <c r="D2735">
        <v>71.599999999999994</v>
      </c>
      <c r="E2735">
        <v>55.4</v>
      </c>
      <c r="F2735">
        <v>65.099999999999994</v>
      </c>
      <c r="G2735" s="2">
        <f t="shared" si="421"/>
        <v>0</v>
      </c>
      <c r="H2735">
        <v>71.599999999999994</v>
      </c>
      <c r="I2735">
        <v>55.4</v>
      </c>
      <c r="J2735">
        <v>65.099999999999994</v>
      </c>
      <c r="K2735">
        <v>50.8</v>
      </c>
      <c r="L2735">
        <v>60.7</v>
      </c>
      <c r="M2735" s="2">
        <f t="shared" si="422"/>
        <v>1</v>
      </c>
      <c r="N2735">
        <v>0</v>
      </c>
      <c r="O2735" s="2">
        <f t="shared" si="423"/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24.2</v>
      </c>
      <c r="V2735" s="2">
        <f t="shared" si="424"/>
        <v>1</v>
      </c>
      <c r="W2735">
        <v>15</v>
      </c>
      <c r="X2735" s="2">
        <f t="shared" si="425"/>
        <v>0</v>
      </c>
      <c r="Y2735">
        <v>156.1</v>
      </c>
      <c r="Z2735" s="2" t="str">
        <f>CHOOSE(MATCH(Y2735,{0;11;80;111;161;191;241;281;341},1),"North","NorthEast","East","SouthEast","South","SouthWest","West","NorthWest","North")</f>
        <v>SouthEast</v>
      </c>
      <c r="AA2735" s="4">
        <f>CHOOSE(MATCH(Z2735,{"South";"SouthEast";"SouthWest";"North";"NorthEast";"East";"West";"NorthWest"},0),1,2,3,4,5,6,7,8)</f>
        <v>2</v>
      </c>
      <c r="AB2735" s="2">
        <f t="shared" si="426"/>
        <v>0</v>
      </c>
      <c r="AC2735">
        <v>1014.5</v>
      </c>
      <c r="AD2735" t="s">
        <v>3455</v>
      </c>
      <c r="AE2735" s="2">
        <f t="shared" si="427"/>
        <v>1</v>
      </c>
      <c r="AF2735" t="s">
        <v>3702</v>
      </c>
      <c r="AG2735" s="2">
        <f t="shared" si="428"/>
        <v>5</v>
      </c>
      <c r="AH2735" s="2">
        <f t="shared" si="429"/>
        <v>0</v>
      </c>
      <c r="AI2735" s="3">
        <v>238.00000000046569</v>
      </c>
      <c r="AJ2735" s="2">
        <v>0</v>
      </c>
      <c r="AK2735">
        <v>0.1</v>
      </c>
      <c r="AL2735">
        <v>0</v>
      </c>
      <c r="AM2735">
        <v>0</v>
      </c>
      <c r="AN2735" s="2">
        <f>IF((2*G2735+M2735-O2735+3*V2735+2*AB2735+2*AE2735+2*AH2735+3*AJ2735)&gt;=7,1,0)</f>
        <v>0</v>
      </c>
    </row>
    <row r="2736" spans="1:40" x14ac:dyDescent="0.25">
      <c r="A2736" t="s">
        <v>27</v>
      </c>
      <c r="B2736" s="1">
        <v>45433</v>
      </c>
      <c r="C2736" s="6">
        <f t="shared" si="420"/>
        <v>2024</v>
      </c>
      <c r="D2736">
        <v>78.8</v>
      </c>
      <c r="E2736">
        <v>64.400000000000006</v>
      </c>
      <c r="F2736">
        <v>72.099999999999994</v>
      </c>
      <c r="G2736" s="2">
        <f t="shared" si="421"/>
        <v>1</v>
      </c>
      <c r="H2736">
        <v>78.8</v>
      </c>
      <c r="I2736">
        <v>64.400000000000006</v>
      </c>
      <c r="J2736">
        <v>72.099999999999994</v>
      </c>
      <c r="K2736">
        <v>62.9</v>
      </c>
      <c r="L2736">
        <v>73.400000000000006</v>
      </c>
      <c r="M2736" s="2">
        <f t="shared" si="422"/>
        <v>0</v>
      </c>
      <c r="N2736">
        <v>0</v>
      </c>
      <c r="O2736" s="2">
        <f t="shared" si="423"/>
        <v>1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24.2</v>
      </c>
      <c r="V2736" s="2">
        <f t="shared" si="424"/>
        <v>1</v>
      </c>
      <c r="W2736">
        <v>9.1999999999999993</v>
      </c>
      <c r="X2736" s="2">
        <f t="shared" si="425"/>
        <v>0</v>
      </c>
      <c r="Y2736">
        <v>105.4</v>
      </c>
      <c r="Z2736" s="2" t="str">
        <f>CHOOSE(MATCH(Y2736,{0;11;80;111;161;191;241;281;341},1),"North","NorthEast","East","SouthEast","South","SouthWest","West","NorthWest","North")</f>
        <v>East</v>
      </c>
      <c r="AA2736" s="4">
        <f>CHOOSE(MATCH(Z2736,{"South";"SouthEast";"SouthWest";"North";"NorthEast";"East";"West";"NorthWest"},0),1,2,3,4,5,6,7,8)</f>
        <v>6</v>
      </c>
      <c r="AB2736" s="2">
        <f t="shared" si="426"/>
        <v>0</v>
      </c>
      <c r="AC2736">
        <v>1013.1</v>
      </c>
      <c r="AD2736" t="s">
        <v>1785</v>
      </c>
      <c r="AE2736" s="2">
        <f t="shared" si="427"/>
        <v>1</v>
      </c>
      <c r="AF2736" t="s">
        <v>3703</v>
      </c>
      <c r="AG2736" s="2">
        <f t="shared" si="428"/>
        <v>5</v>
      </c>
      <c r="AH2736" s="2">
        <f t="shared" si="429"/>
        <v>0</v>
      </c>
      <c r="AI2736" s="3">
        <v>2132.999999995809</v>
      </c>
      <c r="AJ2736" s="2">
        <v>1</v>
      </c>
      <c r="AK2736">
        <v>0</v>
      </c>
      <c r="AL2736">
        <v>10</v>
      </c>
      <c r="AM2736">
        <v>0</v>
      </c>
      <c r="AN2736" s="2">
        <f>IF((2*G2736+M2736-O2736+3*V2736+2*AB2736+2*AE2736+2*AH2736+3*AJ2736)&gt;=7,1,0)</f>
        <v>1</v>
      </c>
    </row>
    <row r="2737" spans="1:40" x14ac:dyDescent="0.25">
      <c r="A2737" t="s">
        <v>27</v>
      </c>
      <c r="B2737" s="1">
        <v>45435</v>
      </c>
      <c r="C2737" s="6">
        <f t="shared" si="420"/>
        <v>2024</v>
      </c>
      <c r="D2737">
        <v>80.599999999999994</v>
      </c>
      <c r="E2737">
        <v>66.2</v>
      </c>
      <c r="F2737">
        <v>74.099999999999994</v>
      </c>
      <c r="G2737" s="2">
        <f t="shared" si="421"/>
        <v>1</v>
      </c>
      <c r="H2737">
        <v>80.3</v>
      </c>
      <c r="I2737">
        <v>66.2</v>
      </c>
      <c r="J2737">
        <v>74</v>
      </c>
      <c r="K2737">
        <v>53.7</v>
      </c>
      <c r="L2737">
        <v>51.3</v>
      </c>
      <c r="M2737" s="2">
        <f t="shared" si="422"/>
        <v>1</v>
      </c>
      <c r="N2737">
        <v>0</v>
      </c>
      <c r="O2737" s="2">
        <f t="shared" si="423"/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35.6</v>
      </c>
      <c r="V2737" s="2">
        <f t="shared" si="424"/>
        <v>1</v>
      </c>
      <c r="W2737">
        <v>23</v>
      </c>
      <c r="X2737" s="2">
        <f t="shared" si="425"/>
        <v>1</v>
      </c>
      <c r="Y2737">
        <v>291.2</v>
      </c>
      <c r="Z2737" s="2" t="str">
        <f>CHOOSE(MATCH(Y2737,{0;11;80;111;161;191;241;281;341},1),"North","NorthEast","East","SouthEast","South","SouthWest","West","NorthWest","North")</f>
        <v>NorthWest</v>
      </c>
      <c r="AA2737" s="4">
        <f>CHOOSE(MATCH(Z2737,{"South";"SouthEast";"SouthWest";"North";"NorthEast";"East";"West";"NorthWest"},0),1,2,3,4,5,6,7,8)</f>
        <v>8</v>
      </c>
      <c r="AB2737" s="2">
        <f t="shared" si="426"/>
        <v>1</v>
      </c>
      <c r="AC2737">
        <v>1013</v>
      </c>
      <c r="AD2737" t="s">
        <v>3704</v>
      </c>
      <c r="AE2737" s="2">
        <f t="shared" si="427"/>
        <v>0</v>
      </c>
      <c r="AF2737" t="s">
        <v>3705</v>
      </c>
      <c r="AG2737" s="2">
        <f t="shared" si="428"/>
        <v>5</v>
      </c>
      <c r="AH2737" s="2">
        <f t="shared" si="429"/>
        <v>0</v>
      </c>
      <c r="AI2737" s="3">
        <v>2944.9999999918509</v>
      </c>
      <c r="AJ2737" s="2">
        <v>1</v>
      </c>
      <c r="AK2737">
        <v>0</v>
      </c>
      <c r="AL2737">
        <v>20</v>
      </c>
      <c r="AM2737">
        <v>0</v>
      </c>
      <c r="AN2737" s="2">
        <f>IF((2*G2737+M2737-O2737+3*V2737+2*AB2737+2*AE2737+2*AH2737+3*AJ2737)&gt;=7,1,0)</f>
        <v>1</v>
      </c>
    </row>
    <row r="2738" spans="1:40" x14ac:dyDescent="0.25">
      <c r="A2738" t="s">
        <v>27</v>
      </c>
      <c r="B2738" s="1">
        <v>45435</v>
      </c>
      <c r="C2738" s="6">
        <f t="shared" si="420"/>
        <v>2024</v>
      </c>
      <c r="D2738">
        <v>80.599999999999994</v>
      </c>
      <c r="E2738">
        <v>66.2</v>
      </c>
      <c r="F2738">
        <v>74.099999999999994</v>
      </c>
      <c r="G2738" s="2">
        <f t="shared" si="421"/>
        <v>1</v>
      </c>
      <c r="H2738">
        <v>80.3</v>
      </c>
      <c r="I2738">
        <v>66.2</v>
      </c>
      <c r="J2738">
        <v>74</v>
      </c>
      <c r="K2738">
        <v>53.7</v>
      </c>
      <c r="L2738">
        <v>51.3</v>
      </c>
      <c r="M2738" s="2">
        <f t="shared" si="422"/>
        <v>1</v>
      </c>
      <c r="N2738">
        <v>0</v>
      </c>
      <c r="O2738" s="2">
        <f t="shared" si="423"/>
        <v>1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35.6</v>
      </c>
      <c r="V2738" s="2">
        <f t="shared" si="424"/>
        <v>1</v>
      </c>
      <c r="W2738">
        <v>23</v>
      </c>
      <c r="X2738" s="2">
        <f t="shared" si="425"/>
        <v>1</v>
      </c>
      <c r="Y2738">
        <v>291.2</v>
      </c>
      <c r="Z2738" s="2" t="str">
        <f>CHOOSE(MATCH(Y2738,{0;11;80;111;161;191;241;281;341},1),"North","NorthEast","East","SouthEast","South","SouthWest","West","NorthWest","North")</f>
        <v>NorthWest</v>
      </c>
      <c r="AA2738" s="4">
        <f>CHOOSE(MATCH(Z2738,{"South";"SouthEast";"SouthWest";"North";"NorthEast";"East";"West";"NorthWest"},0),1,2,3,4,5,6,7,8)</f>
        <v>8</v>
      </c>
      <c r="AB2738" s="2">
        <f t="shared" si="426"/>
        <v>1</v>
      </c>
      <c r="AC2738">
        <v>1013</v>
      </c>
      <c r="AD2738" t="s">
        <v>2748</v>
      </c>
      <c r="AE2738" s="2">
        <f t="shared" si="427"/>
        <v>1</v>
      </c>
      <c r="AF2738" t="s">
        <v>3706</v>
      </c>
      <c r="AG2738" s="2">
        <f t="shared" si="428"/>
        <v>5</v>
      </c>
      <c r="AH2738" s="2">
        <f t="shared" si="429"/>
        <v>0</v>
      </c>
      <c r="AI2738" s="3">
        <v>1167.000000000698</v>
      </c>
      <c r="AJ2738" s="2">
        <v>1</v>
      </c>
      <c r="AK2738">
        <v>0</v>
      </c>
      <c r="AL2738">
        <v>1</v>
      </c>
      <c r="AM2738">
        <v>0</v>
      </c>
      <c r="AN2738" s="2">
        <f>IF((2*G2738+M2738-O2738+3*V2738+2*AB2738+2*AE2738+2*AH2738+3*AJ2738)&gt;=7,1,0)</f>
        <v>1</v>
      </c>
    </row>
    <row r="2739" spans="1:40" x14ac:dyDescent="0.25">
      <c r="A2739" t="s">
        <v>27</v>
      </c>
      <c r="B2739" s="1">
        <v>45446</v>
      </c>
      <c r="C2739" s="6">
        <f t="shared" si="420"/>
        <v>2024</v>
      </c>
      <c r="D2739">
        <v>90.2</v>
      </c>
      <c r="E2739">
        <v>62.6</v>
      </c>
      <c r="F2739">
        <v>74.400000000000006</v>
      </c>
      <c r="G2739" s="2">
        <f t="shared" si="421"/>
        <v>1</v>
      </c>
      <c r="H2739">
        <v>87.2</v>
      </c>
      <c r="I2739">
        <v>62.6</v>
      </c>
      <c r="J2739">
        <v>74.5</v>
      </c>
      <c r="K2739">
        <v>58.2</v>
      </c>
      <c r="L2739">
        <v>58.7</v>
      </c>
      <c r="M2739" s="2">
        <f t="shared" si="422"/>
        <v>1</v>
      </c>
      <c r="N2739">
        <v>0</v>
      </c>
      <c r="O2739" s="2">
        <f t="shared" si="423"/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15</v>
      </c>
      <c r="V2739" s="2">
        <f t="shared" si="424"/>
        <v>1</v>
      </c>
      <c r="W2739">
        <v>9.1999999999999993</v>
      </c>
      <c r="X2739" s="2">
        <f t="shared" si="425"/>
        <v>0</v>
      </c>
      <c r="Y2739">
        <v>249.4</v>
      </c>
      <c r="Z2739" s="2" t="str">
        <f>CHOOSE(MATCH(Y2739,{0;11;80;111;161;191;241;281;341},1),"North","NorthEast","East","SouthEast","South","SouthWest","West","NorthWest","North")</f>
        <v>West</v>
      </c>
      <c r="AA2739" s="4">
        <f>CHOOSE(MATCH(Z2739,{"South";"SouthEast";"SouthWest";"North";"NorthEast";"East";"West";"NorthWest"},0),1,2,3,4,5,6,7,8)</f>
        <v>7</v>
      </c>
      <c r="AB2739" s="2">
        <f t="shared" si="426"/>
        <v>0</v>
      </c>
      <c r="AC2739">
        <v>1014.3</v>
      </c>
      <c r="AD2739" t="s">
        <v>1792</v>
      </c>
      <c r="AE2739" s="2">
        <f t="shared" si="427"/>
        <v>0</v>
      </c>
      <c r="AF2739" t="s">
        <v>3707</v>
      </c>
      <c r="AG2739" s="2">
        <f t="shared" si="428"/>
        <v>6</v>
      </c>
      <c r="AH2739" s="2">
        <f t="shared" si="429"/>
        <v>1</v>
      </c>
      <c r="AI2739" s="3">
        <v>180</v>
      </c>
      <c r="AJ2739" s="2">
        <v>0</v>
      </c>
      <c r="AK2739">
        <v>3</v>
      </c>
      <c r="AL2739">
        <v>0</v>
      </c>
      <c r="AM2739">
        <v>0</v>
      </c>
      <c r="AN2739" s="2">
        <f>IF((2*G2739+M2739-O2739+3*V2739+2*AB2739+2*AE2739+2*AH2739+3*AJ2739)&gt;=7,1,0)</f>
        <v>1</v>
      </c>
    </row>
    <row r="2740" spans="1:40" x14ac:dyDescent="0.25">
      <c r="A2740" t="s">
        <v>27</v>
      </c>
      <c r="B2740" s="1">
        <v>45447</v>
      </c>
      <c r="C2740" s="6">
        <f t="shared" si="420"/>
        <v>2024</v>
      </c>
      <c r="D2740">
        <v>91.4</v>
      </c>
      <c r="E2740">
        <v>69.8</v>
      </c>
      <c r="F2740">
        <v>80.099999999999994</v>
      </c>
      <c r="G2740" s="2">
        <f t="shared" si="421"/>
        <v>1</v>
      </c>
      <c r="H2740">
        <v>88.4</v>
      </c>
      <c r="I2740">
        <v>69.8</v>
      </c>
      <c r="J2740">
        <v>79.3</v>
      </c>
      <c r="K2740">
        <v>53.8</v>
      </c>
      <c r="L2740">
        <v>41.9</v>
      </c>
      <c r="M2740" s="2">
        <f t="shared" si="422"/>
        <v>1</v>
      </c>
      <c r="N2740">
        <v>0</v>
      </c>
      <c r="O2740" s="2">
        <f t="shared" si="423"/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17.899999999999999</v>
      </c>
      <c r="V2740" s="2">
        <f t="shared" si="424"/>
        <v>1</v>
      </c>
      <c r="W2740">
        <v>10.199999999999999</v>
      </c>
      <c r="X2740" s="2">
        <f t="shared" si="425"/>
        <v>0</v>
      </c>
      <c r="Y2740">
        <v>164.7</v>
      </c>
      <c r="Z2740" s="2" t="str">
        <f>CHOOSE(MATCH(Y2740,{0;11;80;111;161;191;241;281;341},1),"North","NorthEast","East","SouthEast","South","SouthWest","West","NorthWest","North")</f>
        <v>South</v>
      </c>
      <c r="AA2740" s="4">
        <f>CHOOSE(MATCH(Z2740,{"South";"SouthEast";"SouthWest";"North";"NorthEast";"East";"West";"NorthWest"},0),1,2,3,4,5,6,7,8)</f>
        <v>1</v>
      </c>
      <c r="AB2740" s="2">
        <f t="shared" si="426"/>
        <v>0</v>
      </c>
      <c r="AC2740">
        <v>1012.2</v>
      </c>
      <c r="AD2740" t="s">
        <v>3708</v>
      </c>
      <c r="AE2740" s="2">
        <f t="shared" si="427"/>
        <v>0</v>
      </c>
      <c r="AF2740" t="s">
        <v>3709</v>
      </c>
      <c r="AG2740" s="2">
        <f t="shared" si="428"/>
        <v>6</v>
      </c>
      <c r="AH2740" s="2">
        <f t="shared" si="429"/>
        <v>1</v>
      </c>
      <c r="AI2740" s="3">
        <v>2025.999999992782</v>
      </c>
      <c r="AJ2740" s="2">
        <v>1</v>
      </c>
      <c r="AK2740">
        <v>3</v>
      </c>
      <c r="AL2740">
        <v>0</v>
      </c>
      <c r="AM2740">
        <v>0</v>
      </c>
      <c r="AN2740" s="2">
        <f>IF((2*G2740+M2740-O2740+3*V2740+2*AB2740+2*AE2740+2*AH2740+3*AJ2740)&gt;=7,1,0)</f>
        <v>1</v>
      </c>
    </row>
    <row r="2741" spans="1:40" x14ac:dyDescent="0.25">
      <c r="A2741" t="s">
        <v>27</v>
      </c>
      <c r="B2741" s="1">
        <v>45448</v>
      </c>
      <c r="C2741" s="6">
        <f t="shared" si="420"/>
        <v>2024</v>
      </c>
      <c r="D2741">
        <v>91.4</v>
      </c>
      <c r="E2741">
        <v>71.599999999999994</v>
      </c>
      <c r="F2741">
        <v>82.1</v>
      </c>
      <c r="G2741" s="2">
        <f t="shared" si="421"/>
        <v>1</v>
      </c>
      <c r="H2741">
        <v>90.1</v>
      </c>
      <c r="I2741">
        <v>71.599999999999994</v>
      </c>
      <c r="J2741">
        <v>82.3</v>
      </c>
      <c r="K2741">
        <v>57.6</v>
      </c>
      <c r="L2741">
        <v>44.1</v>
      </c>
      <c r="M2741" s="2">
        <f t="shared" si="422"/>
        <v>1</v>
      </c>
      <c r="N2741">
        <v>0</v>
      </c>
      <c r="O2741" s="2">
        <f t="shared" si="423"/>
        <v>1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18.3</v>
      </c>
      <c r="V2741" s="2">
        <f t="shared" si="424"/>
        <v>1</v>
      </c>
      <c r="W2741">
        <v>9.1999999999999993</v>
      </c>
      <c r="X2741" s="2">
        <f t="shared" si="425"/>
        <v>0</v>
      </c>
      <c r="Y2741">
        <v>147.80000000000001</v>
      </c>
      <c r="Z2741" s="2" t="str">
        <f>CHOOSE(MATCH(Y2741,{0;11;80;111;161;191;241;281;341},1),"North","NorthEast","East","SouthEast","South","SouthWest","West","NorthWest","North")</f>
        <v>SouthEast</v>
      </c>
      <c r="AA2741" s="4">
        <f>CHOOSE(MATCH(Z2741,{"South";"SouthEast";"SouthWest";"North";"NorthEast";"East";"West";"NorthWest"},0),1,2,3,4,5,6,7,8)</f>
        <v>2</v>
      </c>
      <c r="AB2741" s="2">
        <f t="shared" si="426"/>
        <v>0</v>
      </c>
      <c r="AC2741">
        <v>1012.3</v>
      </c>
      <c r="AD2741" t="s">
        <v>1207</v>
      </c>
      <c r="AE2741" s="2">
        <f t="shared" si="427"/>
        <v>1</v>
      </c>
      <c r="AF2741" t="s">
        <v>3710</v>
      </c>
      <c r="AG2741" s="2">
        <f t="shared" si="428"/>
        <v>6</v>
      </c>
      <c r="AH2741" s="2">
        <f t="shared" si="429"/>
        <v>1</v>
      </c>
      <c r="AI2741" s="3">
        <v>1726.999999992549</v>
      </c>
      <c r="AJ2741" s="2">
        <v>1</v>
      </c>
      <c r="AK2741">
        <v>0</v>
      </c>
      <c r="AL2741">
        <v>1</v>
      </c>
      <c r="AM2741">
        <v>0</v>
      </c>
      <c r="AN2741" s="2">
        <f>IF((2*G2741+M2741-O2741+3*V2741+2*AB2741+2*AE2741+2*AH2741+3*AJ2741)&gt;=7,1,0)</f>
        <v>1</v>
      </c>
    </row>
    <row r="2742" spans="1:40" x14ac:dyDescent="0.25">
      <c r="A2742" t="s">
        <v>27</v>
      </c>
      <c r="B2742" s="1">
        <v>45450</v>
      </c>
      <c r="C2742" s="6">
        <f t="shared" si="420"/>
        <v>2024</v>
      </c>
      <c r="D2742">
        <v>84.2</v>
      </c>
      <c r="E2742">
        <v>73.400000000000006</v>
      </c>
      <c r="F2742">
        <v>78.8</v>
      </c>
      <c r="G2742" s="2">
        <f t="shared" si="421"/>
        <v>1</v>
      </c>
      <c r="H2742">
        <v>87.4</v>
      </c>
      <c r="I2742">
        <v>73.400000000000006</v>
      </c>
      <c r="J2742">
        <v>79.900000000000006</v>
      </c>
      <c r="K2742">
        <v>68.5</v>
      </c>
      <c r="L2742">
        <v>71.5</v>
      </c>
      <c r="M2742" s="2">
        <f t="shared" si="422"/>
        <v>0</v>
      </c>
      <c r="N2742">
        <v>0</v>
      </c>
      <c r="O2742" s="2">
        <f t="shared" si="423"/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21.3</v>
      </c>
      <c r="V2742" s="2">
        <f t="shared" si="424"/>
        <v>1</v>
      </c>
      <c r="W2742">
        <v>13.9</v>
      </c>
      <c r="X2742" s="2">
        <f t="shared" si="425"/>
        <v>0</v>
      </c>
      <c r="Y2742">
        <v>303.7</v>
      </c>
      <c r="Z2742" s="2" t="str">
        <f>CHOOSE(MATCH(Y2742,{0;11;80;111;161;191;241;281;341},1),"North","NorthEast","East","SouthEast","South","SouthWest","West","NorthWest","North")</f>
        <v>NorthWest</v>
      </c>
      <c r="AA2742" s="4">
        <f>CHOOSE(MATCH(Z2742,{"South";"SouthEast";"SouthWest";"North";"NorthEast";"East";"West";"NorthWest"},0),1,2,3,4,5,6,7,8)</f>
        <v>8</v>
      </c>
      <c r="AB2742" s="2">
        <f t="shared" si="426"/>
        <v>1</v>
      </c>
      <c r="AC2742">
        <v>1011</v>
      </c>
      <c r="AD2742" t="s">
        <v>3711</v>
      </c>
      <c r="AE2742" s="2">
        <f t="shared" si="427"/>
        <v>0</v>
      </c>
      <c r="AF2742" t="s">
        <v>3712</v>
      </c>
      <c r="AG2742" s="2">
        <f t="shared" si="428"/>
        <v>6</v>
      </c>
      <c r="AH2742" s="2">
        <f t="shared" si="429"/>
        <v>1</v>
      </c>
      <c r="AI2742" s="3">
        <v>290.00000000232831</v>
      </c>
      <c r="AJ2742" s="2">
        <v>0</v>
      </c>
      <c r="AK2742">
        <v>0</v>
      </c>
      <c r="AL2742">
        <v>8.3000000000000007</v>
      </c>
      <c r="AM2742">
        <v>0</v>
      </c>
      <c r="AN2742" s="2">
        <f>IF((2*G2742+M2742-O2742+3*V2742+2*AB2742+2*AE2742+2*AH2742+3*AJ2742)&gt;=7,1,0)</f>
        <v>1</v>
      </c>
    </row>
    <row r="2743" spans="1:40" x14ac:dyDescent="0.25">
      <c r="A2743" t="s">
        <v>27</v>
      </c>
      <c r="B2743" s="1">
        <v>45463</v>
      </c>
      <c r="C2743" s="6">
        <f t="shared" si="420"/>
        <v>2024</v>
      </c>
      <c r="D2743">
        <v>84.2</v>
      </c>
      <c r="E2743">
        <v>78.8</v>
      </c>
      <c r="F2743">
        <v>81.3</v>
      </c>
      <c r="G2743" s="2">
        <f t="shared" si="421"/>
        <v>1</v>
      </c>
      <c r="H2743">
        <v>86.5</v>
      </c>
      <c r="I2743">
        <v>78.8</v>
      </c>
      <c r="J2743">
        <v>83</v>
      </c>
      <c r="K2743">
        <v>65.3</v>
      </c>
      <c r="L2743">
        <v>58.4</v>
      </c>
      <c r="M2743" s="2">
        <f t="shared" si="422"/>
        <v>1</v>
      </c>
      <c r="N2743">
        <v>0</v>
      </c>
      <c r="O2743" s="2">
        <f t="shared" si="423"/>
        <v>1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27.7</v>
      </c>
      <c r="V2743" s="2">
        <f t="shared" si="424"/>
        <v>1</v>
      </c>
      <c r="W2743">
        <v>21.9</v>
      </c>
      <c r="X2743" s="2">
        <f t="shared" si="425"/>
        <v>1</v>
      </c>
      <c r="Y2743">
        <v>302.60000000000002</v>
      </c>
      <c r="Z2743" s="2" t="str">
        <f>CHOOSE(MATCH(Y2743,{0;11;80;111;161;191;241;281;341},1),"North","NorthEast","East","SouthEast","South","SouthWest","West","NorthWest","North")</f>
        <v>NorthWest</v>
      </c>
      <c r="AA2743" s="4">
        <f>CHOOSE(MATCH(Z2743,{"South";"SouthEast";"SouthWest";"North";"NorthEast";"East";"West";"NorthWest"},0),1,2,3,4,5,6,7,8)</f>
        <v>8</v>
      </c>
      <c r="AB2743" s="2">
        <f t="shared" si="426"/>
        <v>1</v>
      </c>
      <c r="AC2743">
        <v>1010.9</v>
      </c>
      <c r="AD2743" t="s">
        <v>3704</v>
      </c>
      <c r="AE2743" s="2">
        <f t="shared" si="427"/>
        <v>0</v>
      </c>
      <c r="AF2743" t="s">
        <v>3713</v>
      </c>
      <c r="AG2743" s="2">
        <f t="shared" si="428"/>
        <v>6</v>
      </c>
      <c r="AH2743" s="2">
        <f t="shared" si="429"/>
        <v>1</v>
      </c>
      <c r="AI2743" s="3">
        <v>232.9999999946449</v>
      </c>
      <c r="AJ2743" s="2">
        <v>0</v>
      </c>
      <c r="AK2743">
        <v>0</v>
      </c>
      <c r="AL2743">
        <v>0.5</v>
      </c>
      <c r="AM2743">
        <v>0</v>
      </c>
      <c r="AN2743" s="2">
        <f>IF((2*G2743+M2743-O2743+3*V2743+2*AB2743+2*AE2743+2*AH2743+3*AJ2743)&gt;=7,1,0)</f>
        <v>1</v>
      </c>
    </row>
    <row r="2744" spans="1:40" x14ac:dyDescent="0.25">
      <c r="A2744" t="s">
        <v>27</v>
      </c>
      <c r="B2744" s="1">
        <v>45463</v>
      </c>
      <c r="C2744" s="6">
        <f t="shared" si="420"/>
        <v>2024</v>
      </c>
      <c r="D2744">
        <v>84.2</v>
      </c>
      <c r="E2744">
        <v>78.8</v>
      </c>
      <c r="F2744">
        <v>81.3</v>
      </c>
      <c r="G2744" s="2">
        <f t="shared" si="421"/>
        <v>1</v>
      </c>
      <c r="H2744">
        <v>86.5</v>
      </c>
      <c r="I2744">
        <v>78.8</v>
      </c>
      <c r="J2744">
        <v>83</v>
      </c>
      <c r="K2744">
        <v>65.3</v>
      </c>
      <c r="L2744">
        <v>58.4</v>
      </c>
      <c r="M2744" s="2">
        <f t="shared" si="422"/>
        <v>1</v>
      </c>
      <c r="N2744">
        <v>0</v>
      </c>
      <c r="O2744" s="2">
        <f t="shared" si="423"/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27.7</v>
      </c>
      <c r="V2744" s="2">
        <f t="shared" si="424"/>
        <v>1</v>
      </c>
      <c r="W2744">
        <v>21.9</v>
      </c>
      <c r="X2744" s="2">
        <f t="shared" si="425"/>
        <v>1</v>
      </c>
      <c r="Y2744">
        <v>302.60000000000002</v>
      </c>
      <c r="Z2744" s="2" t="str">
        <f>CHOOSE(MATCH(Y2744,{0;11;80;111;161;191;241;281;341},1),"North","NorthEast","East","SouthEast","South","SouthWest","West","NorthWest","North")</f>
        <v>NorthWest</v>
      </c>
      <c r="AA2744" s="4">
        <f>CHOOSE(MATCH(Z2744,{"South";"SouthEast";"SouthWest";"North";"NorthEast";"East";"West";"NorthWest"},0),1,2,3,4,5,6,7,8)</f>
        <v>8</v>
      </c>
      <c r="AB2744" s="2">
        <f t="shared" si="426"/>
        <v>1</v>
      </c>
      <c r="AC2744">
        <v>1010.9</v>
      </c>
      <c r="AD2744" t="s">
        <v>2554</v>
      </c>
      <c r="AE2744" s="2">
        <f t="shared" si="427"/>
        <v>0</v>
      </c>
      <c r="AF2744" t="s">
        <v>3714</v>
      </c>
      <c r="AG2744" s="2">
        <f t="shared" si="428"/>
        <v>6</v>
      </c>
      <c r="AH2744" s="2">
        <f t="shared" si="429"/>
        <v>1</v>
      </c>
      <c r="AI2744" s="3">
        <v>2958.9999999955762</v>
      </c>
      <c r="AJ2744" s="2">
        <v>1</v>
      </c>
      <c r="AK2744">
        <v>0</v>
      </c>
      <c r="AL2744">
        <v>3</v>
      </c>
      <c r="AM2744">
        <v>0</v>
      </c>
      <c r="AN2744" s="2">
        <f>IF((2*G2744+M2744-O2744+3*V2744+2*AB2744+2*AE2744+2*AH2744+3*AJ2744)&gt;=7,1,0)</f>
        <v>1</v>
      </c>
    </row>
    <row r="2745" spans="1:40" x14ac:dyDescent="0.25">
      <c r="A2745" t="s">
        <v>27</v>
      </c>
      <c r="B2745" s="1">
        <v>45463</v>
      </c>
      <c r="C2745" s="6">
        <f t="shared" si="420"/>
        <v>2024</v>
      </c>
      <c r="D2745">
        <v>84.2</v>
      </c>
      <c r="E2745">
        <v>78.8</v>
      </c>
      <c r="F2745">
        <v>81.3</v>
      </c>
      <c r="G2745" s="2">
        <f t="shared" si="421"/>
        <v>1</v>
      </c>
      <c r="H2745">
        <v>86.5</v>
      </c>
      <c r="I2745">
        <v>78.8</v>
      </c>
      <c r="J2745">
        <v>83</v>
      </c>
      <c r="K2745">
        <v>65.3</v>
      </c>
      <c r="L2745">
        <v>58.4</v>
      </c>
      <c r="M2745" s="2">
        <f t="shared" si="422"/>
        <v>1</v>
      </c>
      <c r="N2745">
        <v>0</v>
      </c>
      <c r="O2745" s="2">
        <f t="shared" si="423"/>
        <v>1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27.7</v>
      </c>
      <c r="V2745" s="2">
        <f t="shared" si="424"/>
        <v>1</v>
      </c>
      <c r="W2745">
        <v>21.9</v>
      </c>
      <c r="X2745" s="2">
        <f t="shared" si="425"/>
        <v>1</v>
      </c>
      <c r="Y2745">
        <v>302.60000000000002</v>
      </c>
      <c r="Z2745" s="2" t="str">
        <f>CHOOSE(MATCH(Y2745,{0;11;80;111;161;191;241;281;341},1),"North","NorthEast","East","SouthEast","South","SouthWest","West","NorthWest","North")</f>
        <v>NorthWest</v>
      </c>
      <c r="AA2745" s="4">
        <f>CHOOSE(MATCH(Z2745,{"South";"SouthEast";"SouthWest";"North";"NorthEast";"East";"West";"NorthWest"},0),1,2,3,4,5,6,7,8)</f>
        <v>8</v>
      </c>
      <c r="AB2745" s="2">
        <f t="shared" si="426"/>
        <v>1</v>
      </c>
      <c r="AC2745">
        <v>1010.9</v>
      </c>
      <c r="AD2745" t="s">
        <v>3715</v>
      </c>
      <c r="AE2745" s="2">
        <f t="shared" si="427"/>
        <v>1</v>
      </c>
      <c r="AF2745" t="s">
        <v>3716</v>
      </c>
      <c r="AG2745" s="2">
        <f t="shared" si="428"/>
        <v>6</v>
      </c>
      <c r="AH2745" s="2">
        <f t="shared" si="429"/>
        <v>1</v>
      </c>
      <c r="AI2745" s="3">
        <v>123.9999999955762</v>
      </c>
      <c r="AJ2745" s="2">
        <v>0</v>
      </c>
      <c r="AK2745">
        <v>0</v>
      </c>
      <c r="AL2745">
        <v>0.5</v>
      </c>
      <c r="AM2745">
        <v>0</v>
      </c>
      <c r="AN2745" s="2">
        <f>IF((2*G2745+M2745-O2745+3*V2745+2*AB2745+2*AE2745+2*AH2745+3*AJ2745)&gt;=7,1,0)</f>
        <v>1</v>
      </c>
    </row>
    <row r="2746" spans="1:40" x14ac:dyDescent="0.25">
      <c r="A2746" t="s">
        <v>27</v>
      </c>
      <c r="B2746" s="1">
        <v>45464</v>
      </c>
      <c r="C2746" s="6">
        <f t="shared" si="420"/>
        <v>2024</v>
      </c>
      <c r="D2746">
        <v>87.8</v>
      </c>
      <c r="E2746">
        <v>78.8</v>
      </c>
      <c r="F2746">
        <v>81.8</v>
      </c>
      <c r="G2746" s="2">
        <f t="shared" si="421"/>
        <v>1</v>
      </c>
      <c r="H2746">
        <v>89.4</v>
      </c>
      <c r="I2746">
        <v>78.8</v>
      </c>
      <c r="J2746">
        <v>83.2</v>
      </c>
      <c r="K2746">
        <v>65.400000000000006</v>
      </c>
      <c r="L2746">
        <v>58.1</v>
      </c>
      <c r="M2746" s="2">
        <f t="shared" si="422"/>
        <v>1</v>
      </c>
      <c r="N2746">
        <v>0</v>
      </c>
      <c r="O2746" s="2">
        <f t="shared" si="423"/>
        <v>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28.9</v>
      </c>
      <c r="V2746" s="2">
        <f t="shared" si="424"/>
        <v>1</v>
      </c>
      <c r="W2746">
        <v>21.9</v>
      </c>
      <c r="X2746" s="2">
        <f t="shared" si="425"/>
        <v>1</v>
      </c>
      <c r="Y2746">
        <v>306.39999999999998</v>
      </c>
      <c r="Z2746" s="2" t="str">
        <f>CHOOSE(MATCH(Y2746,{0;11;80;111;161;191;241;281;341},1),"North","NorthEast","East","SouthEast","South","SouthWest","West","NorthWest","North")</f>
        <v>NorthWest</v>
      </c>
      <c r="AA2746" s="4">
        <f>CHOOSE(MATCH(Z2746,{"South";"SouthEast";"SouthWest";"North";"NorthEast";"East";"West";"NorthWest"},0),1,2,3,4,5,6,7,8)</f>
        <v>8</v>
      </c>
      <c r="AB2746" s="2">
        <f t="shared" si="426"/>
        <v>1</v>
      </c>
      <c r="AC2746">
        <v>1009.5</v>
      </c>
      <c r="AD2746" t="s">
        <v>3717</v>
      </c>
      <c r="AE2746" s="2">
        <f t="shared" si="427"/>
        <v>0</v>
      </c>
      <c r="AF2746" t="s">
        <v>3718</v>
      </c>
      <c r="AG2746" s="2">
        <f t="shared" si="428"/>
        <v>6</v>
      </c>
      <c r="AH2746" s="2">
        <f t="shared" si="429"/>
        <v>1</v>
      </c>
      <c r="AI2746" s="3">
        <v>423.00000000628643</v>
      </c>
      <c r="AJ2746" s="2">
        <v>1</v>
      </c>
      <c r="AK2746">
        <v>0</v>
      </c>
      <c r="AL2746">
        <v>2</v>
      </c>
      <c r="AM2746">
        <v>0</v>
      </c>
      <c r="AN2746" s="2">
        <f>IF((2*G2746+M2746-O2746+3*V2746+2*AB2746+2*AE2746+2*AH2746+3*AJ2746)&gt;=7,1,0)</f>
        <v>1</v>
      </c>
    </row>
    <row r="2747" spans="1:40" x14ac:dyDescent="0.25">
      <c r="A2747" t="s">
        <v>27</v>
      </c>
      <c r="B2747" s="1">
        <v>45466</v>
      </c>
      <c r="C2747" s="6">
        <f t="shared" si="420"/>
        <v>2024</v>
      </c>
      <c r="D2747">
        <v>84.2</v>
      </c>
      <c r="E2747">
        <v>68</v>
      </c>
      <c r="F2747">
        <v>77.8</v>
      </c>
      <c r="G2747" s="2">
        <f t="shared" si="421"/>
        <v>1</v>
      </c>
      <c r="H2747">
        <v>86.5</v>
      </c>
      <c r="I2747">
        <v>68</v>
      </c>
      <c r="J2747">
        <v>78.7</v>
      </c>
      <c r="K2747">
        <v>63.5</v>
      </c>
      <c r="L2747">
        <v>62.3</v>
      </c>
      <c r="M2747" s="2">
        <f t="shared" si="422"/>
        <v>1</v>
      </c>
      <c r="N2747">
        <v>0</v>
      </c>
      <c r="O2747" s="2">
        <f t="shared" si="423"/>
        <v>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25.7</v>
      </c>
      <c r="V2747" s="2">
        <f t="shared" si="424"/>
        <v>1</v>
      </c>
      <c r="W2747">
        <v>19.600000000000001</v>
      </c>
      <c r="X2747" s="2">
        <f t="shared" si="425"/>
        <v>1</v>
      </c>
      <c r="Y2747">
        <v>308.7</v>
      </c>
      <c r="Z2747" s="2" t="str">
        <f>CHOOSE(MATCH(Y2747,{0;11;80;111;161;191;241;281;341},1),"North","NorthEast","East","SouthEast","South","SouthWest","West","NorthWest","North")</f>
        <v>NorthWest</v>
      </c>
      <c r="AA2747" s="4">
        <f>CHOOSE(MATCH(Z2747,{"South";"SouthEast";"SouthWest";"North";"NorthEast";"East";"West";"NorthWest"},0),1,2,3,4,5,6,7,8)</f>
        <v>8</v>
      </c>
      <c r="AB2747" s="2">
        <f t="shared" si="426"/>
        <v>1</v>
      </c>
      <c r="AC2747">
        <v>1006.3</v>
      </c>
      <c r="AD2747" t="s">
        <v>2492</v>
      </c>
      <c r="AE2747" s="2">
        <f t="shared" si="427"/>
        <v>1</v>
      </c>
      <c r="AF2747" t="s">
        <v>3719</v>
      </c>
      <c r="AG2747" s="2">
        <f t="shared" si="428"/>
        <v>6</v>
      </c>
      <c r="AH2747" s="2">
        <f t="shared" si="429"/>
        <v>1</v>
      </c>
      <c r="AI2747" s="3">
        <v>3251.999999997206</v>
      </c>
      <c r="AJ2747" s="2">
        <v>1</v>
      </c>
      <c r="AK2747">
        <v>6</v>
      </c>
      <c r="AL2747">
        <v>0</v>
      </c>
      <c r="AM2747">
        <v>0</v>
      </c>
      <c r="AN2747" s="2">
        <f>IF((2*G2747+M2747-O2747+3*V2747+2*AB2747+2*AE2747+2*AH2747+3*AJ2747)&gt;=7,1,0)</f>
        <v>1</v>
      </c>
    </row>
    <row r="2748" spans="1:40" x14ac:dyDescent="0.25">
      <c r="A2748" t="s">
        <v>27</v>
      </c>
      <c r="B2748" s="1">
        <v>45468</v>
      </c>
      <c r="C2748" s="6">
        <f t="shared" si="420"/>
        <v>2024</v>
      </c>
      <c r="D2748">
        <v>84.2</v>
      </c>
      <c r="E2748">
        <v>71.7</v>
      </c>
      <c r="F2748">
        <v>79.099999999999994</v>
      </c>
      <c r="G2748" s="2">
        <f t="shared" si="421"/>
        <v>1</v>
      </c>
      <c r="H2748">
        <v>88.5</v>
      </c>
      <c r="I2748">
        <v>71.7</v>
      </c>
      <c r="J2748">
        <v>80.7</v>
      </c>
      <c r="K2748">
        <v>67</v>
      </c>
      <c r="L2748">
        <v>67.099999999999994</v>
      </c>
      <c r="M2748" s="2">
        <f t="shared" si="422"/>
        <v>0</v>
      </c>
      <c r="N2748">
        <v>0</v>
      </c>
      <c r="O2748" s="2">
        <f t="shared" si="423"/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27.7</v>
      </c>
      <c r="V2748" s="2">
        <f t="shared" si="424"/>
        <v>1</v>
      </c>
      <c r="W2748">
        <v>18.3</v>
      </c>
      <c r="X2748" s="2">
        <f t="shared" si="425"/>
        <v>1</v>
      </c>
      <c r="Y2748">
        <v>296.3</v>
      </c>
      <c r="Z2748" s="2" t="str">
        <f>CHOOSE(MATCH(Y2748,{0;11;80;111;161;191;241;281;341},1),"North","NorthEast","East","SouthEast","South","SouthWest","West","NorthWest","North")</f>
        <v>NorthWest</v>
      </c>
      <c r="AA2748" s="4">
        <f>CHOOSE(MATCH(Z2748,{"South";"SouthEast";"SouthWest";"North";"NorthEast";"East";"West";"NorthWest"},0),1,2,3,4,5,6,7,8)</f>
        <v>8</v>
      </c>
      <c r="AB2748" s="2">
        <f t="shared" si="426"/>
        <v>1</v>
      </c>
      <c r="AC2748">
        <v>1010.6</v>
      </c>
      <c r="AD2748" t="s">
        <v>2188</v>
      </c>
      <c r="AE2748" s="2">
        <f t="shared" si="427"/>
        <v>1</v>
      </c>
      <c r="AF2748" t="s">
        <v>3720</v>
      </c>
      <c r="AG2748" s="2">
        <f t="shared" si="428"/>
        <v>6</v>
      </c>
      <c r="AH2748" s="2">
        <f t="shared" si="429"/>
        <v>1</v>
      </c>
      <c r="AI2748" s="3">
        <v>406.00000000325957</v>
      </c>
      <c r="AJ2748" s="2">
        <v>1</v>
      </c>
      <c r="AK2748">
        <v>0</v>
      </c>
      <c r="AL2748">
        <v>17</v>
      </c>
      <c r="AM2748">
        <v>0</v>
      </c>
      <c r="AN2748" s="2">
        <f>IF((2*G2748+M2748-O2748+3*V2748+2*AB2748+2*AE2748+2*AH2748+3*AJ2748)&gt;=7,1,0)</f>
        <v>1</v>
      </c>
    </row>
    <row r="2749" spans="1:40" x14ac:dyDescent="0.25">
      <c r="A2749" t="s">
        <v>27</v>
      </c>
      <c r="B2749" s="1">
        <v>45469</v>
      </c>
      <c r="C2749" s="6">
        <f t="shared" si="420"/>
        <v>2024</v>
      </c>
      <c r="D2749">
        <v>84.2</v>
      </c>
      <c r="E2749">
        <v>72.599999999999994</v>
      </c>
      <c r="F2749">
        <v>80.2</v>
      </c>
      <c r="G2749" s="2">
        <f t="shared" si="421"/>
        <v>1</v>
      </c>
      <c r="H2749">
        <v>89.6</v>
      </c>
      <c r="I2749">
        <v>72.599999999999994</v>
      </c>
      <c r="J2749">
        <v>82</v>
      </c>
      <c r="K2749">
        <v>67.2</v>
      </c>
      <c r="L2749">
        <v>64.900000000000006</v>
      </c>
      <c r="M2749" s="2">
        <f t="shared" si="422"/>
        <v>1</v>
      </c>
      <c r="N2749">
        <v>0</v>
      </c>
      <c r="O2749" s="2">
        <f t="shared" si="423"/>
        <v>1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28.9</v>
      </c>
      <c r="V2749" s="2">
        <f t="shared" si="424"/>
        <v>1</v>
      </c>
      <c r="W2749">
        <v>23</v>
      </c>
      <c r="X2749" s="2">
        <f t="shared" si="425"/>
        <v>1</v>
      </c>
      <c r="Y2749">
        <v>305.2</v>
      </c>
      <c r="Z2749" s="2" t="str">
        <f>CHOOSE(MATCH(Y2749,{0;11;80;111;161;191;241;281;341},1),"North","NorthEast","East","SouthEast","South","SouthWest","West","NorthWest","North")</f>
        <v>NorthWest</v>
      </c>
      <c r="AA2749" s="4">
        <f>CHOOSE(MATCH(Z2749,{"South";"SouthEast";"SouthWest";"North";"NorthEast";"East";"West";"NorthWest"},0),1,2,3,4,5,6,7,8)</f>
        <v>8</v>
      </c>
      <c r="AB2749" s="2">
        <f t="shared" si="426"/>
        <v>1</v>
      </c>
      <c r="AC2749">
        <v>1010.5</v>
      </c>
      <c r="AD2749" t="s">
        <v>3721</v>
      </c>
      <c r="AE2749" s="2">
        <f t="shared" si="427"/>
        <v>0</v>
      </c>
      <c r="AF2749" t="s">
        <v>3722</v>
      </c>
      <c r="AG2749" s="2">
        <f t="shared" si="428"/>
        <v>6</v>
      </c>
      <c r="AH2749" s="2">
        <f t="shared" si="429"/>
        <v>1</v>
      </c>
      <c r="AI2749" s="3">
        <v>2861.999999993714</v>
      </c>
      <c r="AJ2749" s="2">
        <v>1</v>
      </c>
      <c r="AK2749">
        <v>0</v>
      </c>
      <c r="AL2749">
        <v>800</v>
      </c>
      <c r="AM2749">
        <v>0</v>
      </c>
      <c r="AN2749" s="2">
        <f>IF((2*G2749+M2749-O2749+3*V2749+2*AB2749+2*AE2749+2*AH2749+3*AJ2749)&gt;=7,1,0)</f>
        <v>1</v>
      </c>
    </row>
    <row r="2750" spans="1:40" x14ac:dyDescent="0.25">
      <c r="A2750" t="s">
        <v>27</v>
      </c>
      <c r="B2750" s="1">
        <v>45474</v>
      </c>
      <c r="C2750" s="6">
        <f t="shared" si="420"/>
        <v>2024</v>
      </c>
      <c r="D2750">
        <v>86</v>
      </c>
      <c r="E2750">
        <v>77</v>
      </c>
      <c r="F2750">
        <v>81.5</v>
      </c>
      <c r="G2750" s="2">
        <f t="shared" si="421"/>
        <v>1</v>
      </c>
      <c r="H2750">
        <v>86.7</v>
      </c>
      <c r="I2750">
        <v>77</v>
      </c>
      <c r="J2750">
        <v>82.2</v>
      </c>
      <c r="K2750">
        <v>63</v>
      </c>
      <c r="L2750">
        <v>53.8</v>
      </c>
      <c r="M2750" s="2">
        <f t="shared" si="422"/>
        <v>1</v>
      </c>
      <c r="N2750">
        <v>0</v>
      </c>
      <c r="O2750" s="2">
        <f t="shared" si="423"/>
        <v>1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35.6</v>
      </c>
      <c r="V2750" s="2">
        <f t="shared" si="424"/>
        <v>1</v>
      </c>
      <c r="W2750">
        <v>19.7</v>
      </c>
      <c r="X2750" s="2">
        <f t="shared" si="425"/>
        <v>1</v>
      </c>
      <c r="Y2750">
        <v>297.5</v>
      </c>
      <c r="Z2750" s="2" t="str">
        <f>CHOOSE(MATCH(Y2750,{0;11;80;111;161;191;241;281;341},1),"North","NorthEast","East","SouthEast","South","SouthWest","West","NorthWest","North")</f>
        <v>NorthWest</v>
      </c>
      <c r="AA2750" s="4">
        <f>CHOOSE(MATCH(Z2750,{"South";"SouthEast";"SouthWest";"North";"NorthEast";"East";"West";"NorthWest"},0),1,2,3,4,5,6,7,8)</f>
        <v>8</v>
      </c>
      <c r="AB2750" s="2">
        <f t="shared" si="426"/>
        <v>1</v>
      </c>
      <c r="AC2750">
        <v>1010.6</v>
      </c>
      <c r="AD2750" t="s">
        <v>1203</v>
      </c>
      <c r="AE2750" s="2">
        <f t="shared" si="427"/>
        <v>1</v>
      </c>
      <c r="AF2750" t="s">
        <v>3723</v>
      </c>
      <c r="AG2750" s="2">
        <f t="shared" si="428"/>
        <v>7</v>
      </c>
      <c r="AH2750" s="2">
        <f t="shared" si="429"/>
        <v>1</v>
      </c>
      <c r="AI2750" s="3">
        <v>3120.9999999997672</v>
      </c>
      <c r="AJ2750" s="2">
        <v>1</v>
      </c>
      <c r="AK2750">
        <v>0</v>
      </c>
      <c r="AL2750">
        <v>150</v>
      </c>
      <c r="AM2750">
        <v>0</v>
      </c>
      <c r="AN2750" s="2">
        <f>IF((2*G2750+M2750-O2750+3*V2750+2*AB2750+2*AE2750+2*AH2750+3*AJ2750)&gt;=7,1,0)</f>
        <v>1</v>
      </c>
    </row>
    <row r="2751" spans="1:40" x14ac:dyDescent="0.25">
      <c r="A2751" t="s">
        <v>27</v>
      </c>
      <c r="B2751" s="1">
        <v>45474</v>
      </c>
      <c r="C2751" s="6">
        <f t="shared" si="420"/>
        <v>2024</v>
      </c>
      <c r="D2751">
        <v>86</v>
      </c>
      <c r="E2751">
        <v>77</v>
      </c>
      <c r="F2751">
        <v>81.5</v>
      </c>
      <c r="G2751" s="2">
        <f t="shared" si="421"/>
        <v>1</v>
      </c>
      <c r="H2751">
        <v>86.7</v>
      </c>
      <c r="I2751">
        <v>77</v>
      </c>
      <c r="J2751">
        <v>82.2</v>
      </c>
      <c r="K2751">
        <v>63</v>
      </c>
      <c r="L2751">
        <v>53.8</v>
      </c>
      <c r="M2751" s="2">
        <f t="shared" si="422"/>
        <v>1</v>
      </c>
      <c r="N2751">
        <v>0</v>
      </c>
      <c r="O2751" s="2">
        <f t="shared" si="423"/>
        <v>1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35.6</v>
      </c>
      <c r="V2751" s="2">
        <f t="shared" si="424"/>
        <v>1</v>
      </c>
      <c r="W2751">
        <v>19.7</v>
      </c>
      <c r="X2751" s="2">
        <f t="shared" si="425"/>
        <v>1</v>
      </c>
      <c r="Y2751">
        <v>297.5</v>
      </c>
      <c r="Z2751" s="2" t="str">
        <f>CHOOSE(MATCH(Y2751,{0;11;80;111;161;191;241;281;341},1),"North","NorthEast","East","SouthEast","South","SouthWest","West","NorthWest","North")</f>
        <v>NorthWest</v>
      </c>
      <c r="AA2751" s="4">
        <f>CHOOSE(MATCH(Z2751,{"South";"SouthEast";"SouthWest";"North";"NorthEast";"East";"West";"NorthWest"},0),1,2,3,4,5,6,7,8)</f>
        <v>8</v>
      </c>
      <c r="AB2751" s="2">
        <f t="shared" si="426"/>
        <v>1</v>
      </c>
      <c r="AC2751">
        <v>1010.6</v>
      </c>
      <c r="AD2751" t="s">
        <v>3180</v>
      </c>
      <c r="AE2751" s="2">
        <f t="shared" si="427"/>
        <v>1</v>
      </c>
      <c r="AF2751" t="s">
        <v>3724</v>
      </c>
      <c r="AG2751" s="2">
        <f t="shared" si="428"/>
        <v>7</v>
      </c>
      <c r="AH2751" s="2">
        <f t="shared" si="429"/>
        <v>1</v>
      </c>
      <c r="AI2751" s="3">
        <v>4136.0000000079162</v>
      </c>
      <c r="AJ2751" s="2">
        <v>1</v>
      </c>
      <c r="AK2751">
        <v>0</v>
      </c>
      <c r="AL2751">
        <v>10</v>
      </c>
      <c r="AM2751">
        <v>0</v>
      </c>
      <c r="AN2751" s="2">
        <f>IF((2*G2751+M2751-O2751+3*V2751+2*AB2751+2*AE2751+2*AH2751+3*AJ2751)&gt;=7,1,0)</f>
        <v>1</v>
      </c>
    </row>
    <row r="2752" spans="1:40" x14ac:dyDescent="0.25">
      <c r="A2752" t="s">
        <v>27</v>
      </c>
      <c r="B2752" s="1">
        <v>45474</v>
      </c>
      <c r="C2752" s="6">
        <f t="shared" si="420"/>
        <v>2024</v>
      </c>
      <c r="D2752">
        <v>86</v>
      </c>
      <c r="E2752">
        <v>77</v>
      </c>
      <c r="F2752">
        <v>81.5</v>
      </c>
      <c r="G2752" s="2">
        <f t="shared" si="421"/>
        <v>1</v>
      </c>
      <c r="H2752">
        <v>86.7</v>
      </c>
      <c r="I2752">
        <v>77</v>
      </c>
      <c r="J2752">
        <v>82.2</v>
      </c>
      <c r="K2752">
        <v>63</v>
      </c>
      <c r="L2752">
        <v>53.8</v>
      </c>
      <c r="M2752" s="2">
        <f t="shared" si="422"/>
        <v>1</v>
      </c>
      <c r="N2752">
        <v>0</v>
      </c>
      <c r="O2752" s="2">
        <f t="shared" si="423"/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35.6</v>
      </c>
      <c r="V2752" s="2">
        <f t="shared" si="424"/>
        <v>1</v>
      </c>
      <c r="W2752">
        <v>19.7</v>
      </c>
      <c r="X2752" s="2">
        <f t="shared" si="425"/>
        <v>1</v>
      </c>
      <c r="Y2752">
        <v>297.5</v>
      </c>
      <c r="Z2752" s="2" t="str">
        <f>CHOOSE(MATCH(Y2752,{0;11;80;111;161;191;241;281;341},1),"North","NorthEast","East","SouthEast","South","SouthWest","West","NorthWest","North")</f>
        <v>NorthWest</v>
      </c>
      <c r="AA2752" s="4">
        <f>CHOOSE(MATCH(Z2752,{"South";"SouthEast";"SouthWest";"North";"NorthEast";"East";"West";"NorthWest"},0),1,2,3,4,5,6,7,8)</f>
        <v>8</v>
      </c>
      <c r="AB2752" s="2">
        <f t="shared" si="426"/>
        <v>1</v>
      </c>
      <c r="AC2752">
        <v>1010.6</v>
      </c>
      <c r="AD2752" t="s">
        <v>3725</v>
      </c>
      <c r="AE2752" s="2">
        <f t="shared" si="427"/>
        <v>1</v>
      </c>
      <c r="AF2752" t="s">
        <v>3726</v>
      </c>
      <c r="AG2752" s="2">
        <f t="shared" si="428"/>
        <v>7</v>
      </c>
      <c r="AH2752" s="2">
        <f t="shared" si="429"/>
        <v>1</v>
      </c>
      <c r="AI2752" s="3">
        <v>2932.9999999946449</v>
      </c>
      <c r="AJ2752" s="2">
        <v>1</v>
      </c>
      <c r="AK2752">
        <v>0</v>
      </c>
      <c r="AL2752">
        <v>7</v>
      </c>
      <c r="AM2752">
        <v>0</v>
      </c>
      <c r="AN2752" s="2">
        <f>IF((2*G2752+M2752-O2752+3*V2752+2*AB2752+2*AE2752+2*AH2752+3*AJ2752)&gt;=7,1,0)</f>
        <v>1</v>
      </c>
    </row>
    <row r="2753" spans="1:40" x14ac:dyDescent="0.25">
      <c r="A2753" t="s">
        <v>27</v>
      </c>
      <c r="B2753" s="1">
        <v>45475</v>
      </c>
      <c r="C2753" s="6">
        <f t="shared" si="420"/>
        <v>2024</v>
      </c>
      <c r="D2753">
        <v>87.8</v>
      </c>
      <c r="E2753">
        <v>73.400000000000006</v>
      </c>
      <c r="F2753">
        <v>81.8</v>
      </c>
      <c r="G2753" s="2">
        <f t="shared" si="421"/>
        <v>1</v>
      </c>
      <c r="H2753">
        <v>91.5</v>
      </c>
      <c r="I2753">
        <v>73.400000000000006</v>
      </c>
      <c r="J2753">
        <v>84.4</v>
      </c>
      <c r="K2753">
        <v>65.7</v>
      </c>
      <c r="L2753">
        <v>58.5</v>
      </c>
      <c r="M2753" s="2">
        <f t="shared" si="422"/>
        <v>1</v>
      </c>
      <c r="N2753">
        <v>0</v>
      </c>
      <c r="O2753" s="2">
        <f t="shared" si="423"/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26.4</v>
      </c>
      <c r="V2753" s="2">
        <f t="shared" si="424"/>
        <v>1</v>
      </c>
      <c r="W2753">
        <v>11.4</v>
      </c>
      <c r="X2753" s="2">
        <f t="shared" si="425"/>
        <v>0</v>
      </c>
      <c r="Y2753">
        <v>311.89999999999998</v>
      </c>
      <c r="Z2753" s="2" t="str">
        <f>CHOOSE(MATCH(Y2753,{0;11;80;111;161;191;241;281;341},1),"North","NorthEast","East","SouthEast","South","SouthWest","West","NorthWest","North")</f>
        <v>NorthWest</v>
      </c>
      <c r="AA2753" s="4">
        <f>CHOOSE(MATCH(Z2753,{"South";"SouthEast";"SouthWest";"North";"NorthEast";"East";"West";"NorthWest"},0),1,2,3,4,5,6,7,8)</f>
        <v>8</v>
      </c>
      <c r="AB2753" s="2">
        <f t="shared" si="426"/>
        <v>1</v>
      </c>
      <c r="AC2753">
        <v>1006.7</v>
      </c>
      <c r="AD2753" t="s">
        <v>3727</v>
      </c>
      <c r="AE2753" s="2">
        <f t="shared" si="427"/>
        <v>0</v>
      </c>
      <c r="AF2753" t="s">
        <v>3728</v>
      </c>
      <c r="AG2753" s="2">
        <f t="shared" si="428"/>
        <v>7</v>
      </c>
      <c r="AH2753" s="2">
        <f t="shared" si="429"/>
        <v>1</v>
      </c>
      <c r="AI2753" s="3">
        <v>5488.0000000039581</v>
      </c>
      <c r="AJ2753" s="2">
        <v>1</v>
      </c>
      <c r="AK2753">
        <v>0</v>
      </c>
      <c r="AL2753">
        <v>200</v>
      </c>
      <c r="AM2753">
        <v>0</v>
      </c>
      <c r="AN2753" s="2">
        <f>IF((2*G2753+M2753-O2753+3*V2753+2*AB2753+2*AE2753+2*AH2753+3*AJ2753)&gt;=7,1,0)</f>
        <v>1</v>
      </c>
    </row>
    <row r="2754" spans="1:40" x14ac:dyDescent="0.25">
      <c r="A2754" t="s">
        <v>27</v>
      </c>
      <c r="B2754" s="1">
        <v>45488</v>
      </c>
      <c r="C2754" s="6">
        <f t="shared" si="420"/>
        <v>2024</v>
      </c>
      <c r="D2754">
        <v>87.8</v>
      </c>
      <c r="E2754">
        <v>80.599999999999994</v>
      </c>
      <c r="F2754">
        <v>84.1</v>
      </c>
      <c r="G2754" s="2">
        <f t="shared" si="421"/>
        <v>1</v>
      </c>
      <c r="H2754">
        <v>88.5</v>
      </c>
      <c r="I2754">
        <v>81.099999999999994</v>
      </c>
      <c r="J2754">
        <v>85.1</v>
      </c>
      <c r="K2754">
        <v>62.3</v>
      </c>
      <c r="L2754">
        <v>48.2</v>
      </c>
      <c r="M2754" s="2">
        <f t="shared" si="422"/>
        <v>1</v>
      </c>
      <c r="N2754">
        <v>0</v>
      </c>
      <c r="O2754" s="2">
        <f t="shared" si="423"/>
        <v>1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39.1</v>
      </c>
      <c r="V2754" s="2">
        <f t="shared" si="424"/>
        <v>1</v>
      </c>
      <c r="W2754">
        <v>24.1</v>
      </c>
      <c r="X2754" s="2">
        <f t="shared" si="425"/>
        <v>1</v>
      </c>
      <c r="Y2754">
        <v>296</v>
      </c>
      <c r="Z2754" s="2" t="str">
        <f>CHOOSE(MATCH(Y2754,{0;11;80;111;161;191;241;281;341},1),"North","NorthEast","East","SouthEast","South","SouthWest","West","NorthWest","North")</f>
        <v>NorthWest</v>
      </c>
      <c r="AA2754" s="4">
        <f>CHOOSE(MATCH(Z2754,{"South";"SouthEast";"SouthWest";"North";"NorthEast";"East";"West";"NorthWest"},0),1,2,3,4,5,6,7,8)</f>
        <v>8</v>
      </c>
      <c r="AB2754" s="2">
        <f t="shared" si="426"/>
        <v>1</v>
      </c>
      <c r="AC2754">
        <v>1007.8</v>
      </c>
      <c r="AD2754" t="s">
        <v>3729</v>
      </c>
      <c r="AE2754" s="2">
        <f t="shared" si="427"/>
        <v>1</v>
      </c>
      <c r="AF2754" t="s">
        <v>3730</v>
      </c>
      <c r="AG2754" s="2">
        <f t="shared" si="428"/>
        <v>7</v>
      </c>
      <c r="AH2754" s="2">
        <f t="shared" si="429"/>
        <v>1</v>
      </c>
      <c r="AI2754" s="3">
        <v>4568.0000000016298</v>
      </c>
      <c r="AJ2754" s="2">
        <v>1</v>
      </c>
      <c r="AK2754">
        <v>0</v>
      </c>
      <c r="AL2754">
        <v>7</v>
      </c>
      <c r="AM2754">
        <v>0</v>
      </c>
      <c r="AN2754" s="2">
        <f>IF((2*G2754+M2754-O2754+3*V2754+2*AB2754+2*AE2754+2*AH2754+3*AJ2754)&gt;=7,1,0)</f>
        <v>1</v>
      </c>
    </row>
    <row r="2755" spans="1:40" x14ac:dyDescent="0.25">
      <c r="A2755" t="s">
        <v>27</v>
      </c>
      <c r="B2755" s="1">
        <v>45488</v>
      </c>
      <c r="C2755" s="6">
        <f t="shared" ref="C2755:C2790" si="430">YEAR(B2755)</f>
        <v>2024</v>
      </c>
      <c r="D2755">
        <v>87.8</v>
      </c>
      <c r="E2755">
        <v>80.599999999999994</v>
      </c>
      <c r="F2755">
        <v>84.1</v>
      </c>
      <c r="G2755" s="2">
        <f t="shared" ref="G2755:G2790" si="431">IF(F2755&lt;=70,0,1)</f>
        <v>1</v>
      </c>
      <c r="H2755">
        <v>88.5</v>
      </c>
      <c r="I2755">
        <v>81.099999999999994</v>
      </c>
      <c r="J2755">
        <v>85.1</v>
      </c>
      <c r="K2755">
        <v>62.3</v>
      </c>
      <c r="L2755">
        <v>48.2</v>
      </c>
      <c r="M2755" s="2">
        <f t="shared" ref="M2755:M2790" si="432">IF(L2755&lt;=66,1,0)</f>
        <v>1</v>
      </c>
      <c r="N2755">
        <v>0</v>
      </c>
      <c r="O2755" s="2">
        <f t="shared" ref="O2755:O2790" si="433">IF(N2755&lt;=0.01,1,0)</f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39.1</v>
      </c>
      <c r="V2755" s="2">
        <f t="shared" ref="V2755:V2790" si="434">IF(U2755&lt;=9,0,1)</f>
        <v>1</v>
      </c>
      <c r="W2755">
        <v>24.1</v>
      </c>
      <c r="X2755" s="2">
        <f t="shared" ref="X2755:X2790" si="435">IF(W2755&gt;=16,1,0)</f>
        <v>1</v>
      </c>
      <c r="Y2755">
        <v>296</v>
      </c>
      <c r="Z2755" s="2" t="str">
        <f>CHOOSE(MATCH(Y2755,{0;11;80;111;161;191;241;281;341},1),"North","NorthEast","East","SouthEast","South","SouthWest","West","NorthWest","North")</f>
        <v>NorthWest</v>
      </c>
      <c r="AA2755" s="4">
        <f>CHOOSE(MATCH(Z2755,{"South";"SouthEast";"SouthWest";"North";"NorthEast";"East";"West";"NorthWest"},0),1,2,3,4,5,6,7,8)</f>
        <v>8</v>
      </c>
      <c r="AB2755" s="2">
        <f t="shared" ref="AB2755:AB2790" si="436">IF(OR(AA2755=4,AA2755=5,AA2755=8),1,0)</f>
        <v>1</v>
      </c>
      <c r="AC2755">
        <v>1007.8</v>
      </c>
      <c r="AD2755" t="s">
        <v>3731</v>
      </c>
      <c r="AE2755" s="2">
        <f t="shared" ref="AE2755:AE2790" si="437">IF(TIMEVALUE(AD2755)&lt;=TIME(12,30,0),0,1)</f>
        <v>0</v>
      </c>
      <c r="AF2755" t="s">
        <v>3732</v>
      </c>
      <c r="AG2755" s="2">
        <f t="shared" ref="AG2755:AG2790" si="438">MONTH(AF2755)</f>
        <v>7</v>
      </c>
      <c r="AH2755" s="2">
        <f t="shared" ref="AH2755:AH2790" si="439">IF(OR(AG2755=6,AG2755=7,AG2755=8),1,0)</f>
        <v>1</v>
      </c>
      <c r="AI2755" s="3">
        <v>3438.9999999990691</v>
      </c>
      <c r="AJ2755" s="2">
        <v>1</v>
      </c>
      <c r="AK2755">
        <v>0</v>
      </c>
      <c r="AL2755">
        <v>170</v>
      </c>
      <c r="AM2755">
        <v>0</v>
      </c>
      <c r="AN2755" s="2">
        <f>IF((2*G2755+M2755-O2755+3*V2755+2*AB2755+2*AE2755+2*AH2755+3*AJ2755)&gt;=7,1,0)</f>
        <v>1</v>
      </c>
    </row>
    <row r="2756" spans="1:40" x14ac:dyDescent="0.25">
      <c r="A2756" t="s">
        <v>27</v>
      </c>
      <c r="B2756" s="1">
        <v>45490</v>
      </c>
      <c r="C2756" s="6">
        <f t="shared" si="430"/>
        <v>2024</v>
      </c>
      <c r="D2756">
        <v>87.8</v>
      </c>
      <c r="E2756">
        <v>77</v>
      </c>
      <c r="F2756">
        <v>83.4</v>
      </c>
      <c r="G2756" s="2">
        <f t="shared" si="431"/>
        <v>1</v>
      </c>
      <c r="H2756">
        <v>95.2</v>
      </c>
      <c r="I2756">
        <v>77</v>
      </c>
      <c r="J2756">
        <v>87</v>
      </c>
      <c r="K2756">
        <v>67.2</v>
      </c>
      <c r="L2756">
        <v>59</v>
      </c>
      <c r="M2756" s="2">
        <f t="shared" si="432"/>
        <v>1</v>
      </c>
      <c r="N2756">
        <v>0</v>
      </c>
      <c r="O2756" s="2">
        <f t="shared" si="433"/>
        <v>1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24.6</v>
      </c>
      <c r="V2756" s="2">
        <f t="shared" si="434"/>
        <v>1</v>
      </c>
      <c r="W2756">
        <v>14.9</v>
      </c>
      <c r="X2756" s="2">
        <f t="shared" si="435"/>
        <v>0</v>
      </c>
      <c r="Y2756">
        <v>304.7</v>
      </c>
      <c r="Z2756" s="2" t="str">
        <f>CHOOSE(MATCH(Y2756,{0;11;80;111;161;191;241;281;341},1),"North","NorthEast","East","SouthEast","South","SouthWest","West","NorthWest","North")</f>
        <v>NorthWest</v>
      </c>
      <c r="AA2756" s="4">
        <f>CHOOSE(MATCH(Z2756,{"South";"SouthEast";"SouthWest";"North";"NorthEast";"East";"West";"NorthWest"},0),1,2,3,4,5,6,7,8)</f>
        <v>8</v>
      </c>
      <c r="AB2756" s="2">
        <f t="shared" si="436"/>
        <v>1</v>
      </c>
      <c r="AC2756">
        <v>1008.6</v>
      </c>
      <c r="AD2756" t="s">
        <v>1834</v>
      </c>
      <c r="AE2756" s="2">
        <f t="shared" si="437"/>
        <v>1</v>
      </c>
      <c r="AF2756" t="s">
        <v>3733</v>
      </c>
      <c r="AG2756" s="2">
        <f t="shared" si="438"/>
        <v>7</v>
      </c>
      <c r="AH2756" s="2">
        <f t="shared" si="439"/>
        <v>1</v>
      </c>
      <c r="AI2756" s="3">
        <v>362.99999999930151</v>
      </c>
      <c r="AJ2756" s="2">
        <v>1</v>
      </c>
      <c r="AK2756">
        <v>0</v>
      </c>
      <c r="AL2756">
        <v>2</v>
      </c>
      <c r="AM2756">
        <v>0</v>
      </c>
      <c r="AN2756" s="2">
        <f>IF((2*G2756+M2756-O2756+3*V2756+2*AB2756+2*AE2756+2*AH2756+3*AJ2756)&gt;=7,1,0)</f>
        <v>1</v>
      </c>
    </row>
    <row r="2757" spans="1:40" x14ac:dyDescent="0.25">
      <c r="A2757" t="s">
        <v>27</v>
      </c>
      <c r="B2757" s="1">
        <v>45491</v>
      </c>
      <c r="C2757" s="6">
        <f t="shared" si="430"/>
        <v>2024</v>
      </c>
      <c r="D2757">
        <v>87.8</v>
      </c>
      <c r="E2757">
        <v>77</v>
      </c>
      <c r="F2757">
        <v>83.9</v>
      </c>
      <c r="G2757" s="2">
        <f t="shared" si="431"/>
        <v>1</v>
      </c>
      <c r="H2757">
        <v>94.2</v>
      </c>
      <c r="I2757">
        <v>77</v>
      </c>
      <c r="J2757">
        <v>87.4</v>
      </c>
      <c r="K2757">
        <v>68.3</v>
      </c>
      <c r="L2757">
        <v>59.8</v>
      </c>
      <c r="M2757" s="2">
        <f t="shared" si="432"/>
        <v>1</v>
      </c>
      <c r="N2757">
        <v>0</v>
      </c>
      <c r="O2757" s="2">
        <f t="shared" si="433"/>
        <v>1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30</v>
      </c>
      <c r="V2757" s="2">
        <f t="shared" si="434"/>
        <v>1</v>
      </c>
      <c r="W2757">
        <v>20.8</v>
      </c>
      <c r="X2757" s="2">
        <f t="shared" si="435"/>
        <v>1</v>
      </c>
      <c r="Y2757">
        <v>296.5</v>
      </c>
      <c r="Z2757" s="2" t="str">
        <f>CHOOSE(MATCH(Y2757,{0;11;80;111;161;191;241;281;341},1),"North","NorthEast","East","SouthEast","South","SouthWest","West","NorthWest","North")</f>
        <v>NorthWest</v>
      </c>
      <c r="AA2757" s="4">
        <f>CHOOSE(MATCH(Z2757,{"South";"SouthEast";"SouthWest";"North";"NorthEast";"East";"West";"NorthWest"},0),1,2,3,4,5,6,7,8)</f>
        <v>8</v>
      </c>
      <c r="AB2757" s="2">
        <f t="shared" si="436"/>
        <v>1</v>
      </c>
      <c r="AC2757">
        <v>1009</v>
      </c>
      <c r="AD2757" t="s">
        <v>2823</v>
      </c>
      <c r="AE2757" s="2">
        <f t="shared" si="437"/>
        <v>1</v>
      </c>
      <c r="AF2757" t="s">
        <v>3734</v>
      </c>
      <c r="AG2757" s="2">
        <f t="shared" si="438"/>
        <v>7</v>
      </c>
      <c r="AH2757" s="2">
        <f t="shared" si="439"/>
        <v>1</v>
      </c>
      <c r="AI2757" s="3">
        <v>3038.0000000016298</v>
      </c>
      <c r="AJ2757" s="2">
        <v>1</v>
      </c>
      <c r="AK2757">
        <v>0</v>
      </c>
      <c r="AL2757">
        <v>300</v>
      </c>
      <c r="AM2757">
        <v>0</v>
      </c>
      <c r="AN2757" s="2">
        <f>IF((2*G2757+M2757-O2757+3*V2757+2*AB2757+2*AE2757+2*AH2757+3*AJ2757)&gt;=7,1,0)</f>
        <v>1</v>
      </c>
    </row>
    <row r="2758" spans="1:40" x14ac:dyDescent="0.25">
      <c r="A2758" t="s">
        <v>27</v>
      </c>
      <c r="B2758" s="1">
        <v>45491</v>
      </c>
      <c r="C2758" s="6">
        <f t="shared" si="430"/>
        <v>2024</v>
      </c>
      <c r="D2758">
        <v>87.8</v>
      </c>
      <c r="E2758">
        <v>77</v>
      </c>
      <c r="F2758">
        <v>83.9</v>
      </c>
      <c r="G2758" s="2">
        <f t="shared" si="431"/>
        <v>1</v>
      </c>
      <c r="H2758">
        <v>94.2</v>
      </c>
      <c r="I2758">
        <v>77</v>
      </c>
      <c r="J2758">
        <v>87.4</v>
      </c>
      <c r="K2758">
        <v>68.3</v>
      </c>
      <c r="L2758">
        <v>59.8</v>
      </c>
      <c r="M2758" s="2">
        <f t="shared" si="432"/>
        <v>1</v>
      </c>
      <c r="N2758">
        <v>0</v>
      </c>
      <c r="O2758" s="2">
        <f t="shared" si="433"/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30</v>
      </c>
      <c r="V2758" s="2">
        <f t="shared" si="434"/>
        <v>1</v>
      </c>
      <c r="W2758">
        <v>20.8</v>
      </c>
      <c r="X2758" s="2">
        <f t="shared" si="435"/>
        <v>1</v>
      </c>
      <c r="Y2758">
        <v>296.5</v>
      </c>
      <c r="Z2758" s="2" t="str">
        <f>CHOOSE(MATCH(Y2758,{0;11;80;111;161;191;241;281;341},1),"North","NorthEast","East","SouthEast","South","SouthWest","West","NorthWest","North")</f>
        <v>NorthWest</v>
      </c>
      <c r="AA2758" s="4">
        <f>CHOOSE(MATCH(Z2758,{"South";"SouthEast";"SouthWest";"North";"NorthEast";"East";"West";"NorthWest"},0),1,2,3,4,5,6,7,8)</f>
        <v>8</v>
      </c>
      <c r="AB2758" s="2">
        <f t="shared" si="436"/>
        <v>1</v>
      </c>
      <c r="AC2758">
        <v>1009</v>
      </c>
      <c r="AD2758" t="s">
        <v>3735</v>
      </c>
      <c r="AE2758" s="2">
        <f t="shared" si="437"/>
        <v>1</v>
      </c>
      <c r="AF2758" t="s">
        <v>3736</v>
      </c>
      <c r="AG2758" s="2">
        <f t="shared" si="438"/>
        <v>7</v>
      </c>
      <c r="AH2758" s="2">
        <f t="shared" si="439"/>
        <v>1</v>
      </c>
      <c r="AI2758" s="3">
        <v>2755.9999999939459</v>
      </c>
      <c r="AJ2758" s="2">
        <v>1</v>
      </c>
      <c r="AK2758">
        <v>0</v>
      </c>
      <c r="AL2758">
        <v>5</v>
      </c>
      <c r="AM2758">
        <v>0</v>
      </c>
      <c r="AN2758" s="2">
        <f>IF((2*G2758+M2758-O2758+3*V2758+2*AB2758+2*AE2758+2*AH2758+3*AJ2758)&gt;=7,1,0)</f>
        <v>1</v>
      </c>
    </row>
    <row r="2759" spans="1:40" x14ac:dyDescent="0.25">
      <c r="A2759" t="s">
        <v>27</v>
      </c>
      <c r="B2759" s="1">
        <v>45491</v>
      </c>
      <c r="C2759" s="6">
        <f t="shared" si="430"/>
        <v>2024</v>
      </c>
      <c r="D2759">
        <v>87.8</v>
      </c>
      <c r="E2759">
        <v>77</v>
      </c>
      <c r="F2759">
        <v>83.9</v>
      </c>
      <c r="G2759" s="2">
        <f t="shared" si="431"/>
        <v>1</v>
      </c>
      <c r="H2759">
        <v>94.2</v>
      </c>
      <c r="I2759">
        <v>77</v>
      </c>
      <c r="J2759">
        <v>87.4</v>
      </c>
      <c r="K2759">
        <v>68.3</v>
      </c>
      <c r="L2759">
        <v>59.8</v>
      </c>
      <c r="M2759" s="2">
        <f t="shared" si="432"/>
        <v>1</v>
      </c>
      <c r="N2759">
        <v>0</v>
      </c>
      <c r="O2759" s="2">
        <f t="shared" si="433"/>
        <v>1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30</v>
      </c>
      <c r="V2759" s="2">
        <f t="shared" si="434"/>
        <v>1</v>
      </c>
      <c r="W2759">
        <v>20.8</v>
      </c>
      <c r="X2759" s="2">
        <f t="shared" si="435"/>
        <v>1</v>
      </c>
      <c r="Y2759">
        <v>296.5</v>
      </c>
      <c r="Z2759" s="2" t="str">
        <f>CHOOSE(MATCH(Y2759,{0;11;80;111;161;191;241;281;341},1),"North","NorthEast","East","SouthEast","South","SouthWest","West","NorthWest","North")</f>
        <v>NorthWest</v>
      </c>
      <c r="AA2759" s="4">
        <f>CHOOSE(MATCH(Z2759,{"South";"SouthEast";"SouthWest";"North";"NorthEast";"East";"West";"NorthWest"},0),1,2,3,4,5,6,7,8)</f>
        <v>8</v>
      </c>
      <c r="AB2759" s="2">
        <f t="shared" si="436"/>
        <v>1</v>
      </c>
      <c r="AC2759">
        <v>1009</v>
      </c>
      <c r="AD2759" t="s">
        <v>2008</v>
      </c>
      <c r="AE2759" s="2">
        <f t="shared" si="437"/>
        <v>1</v>
      </c>
      <c r="AF2759" t="s">
        <v>3737</v>
      </c>
      <c r="AG2759" s="2">
        <f t="shared" si="438"/>
        <v>7</v>
      </c>
      <c r="AH2759" s="2">
        <f t="shared" si="439"/>
        <v>1</v>
      </c>
      <c r="AI2759" s="3">
        <v>46026.999999994878</v>
      </c>
      <c r="AJ2759" s="2">
        <v>1</v>
      </c>
      <c r="AK2759">
        <v>0</v>
      </c>
      <c r="AL2759">
        <v>2</v>
      </c>
      <c r="AM2759">
        <v>0</v>
      </c>
      <c r="AN2759" s="2">
        <f>IF((2*G2759+M2759-O2759+3*V2759+2*AB2759+2*AE2759+2*AH2759+3*AJ2759)&gt;=7,1,0)</f>
        <v>1</v>
      </c>
    </row>
    <row r="2760" spans="1:40" x14ac:dyDescent="0.25">
      <c r="A2760" t="s">
        <v>27</v>
      </c>
      <c r="B2760" s="1">
        <v>45491</v>
      </c>
      <c r="C2760" s="6">
        <f t="shared" si="430"/>
        <v>2024</v>
      </c>
      <c r="D2760">
        <v>87.8</v>
      </c>
      <c r="E2760">
        <v>77</v>
      </c>
      <c r="F2760">
        <v>83.9</v>
      </c>
      <c r="G2760" s="2">
        <f t="shared" si="431"/>
        <v>1</v>
      </c>
      <c r="H2760">
        <v>94.2</v>
      </c>
      <c r="I2760">
        <v>77</v>
      </c>
      <c r="J2760">
        <v>87.4</v>
      </c>
      <c r="K2760">
        <v>68.3</v>
      </c>
      <c r="L2760">
        <v>59.8</v>
      </c>
      <c r="M2760" s="2">
        <f t="shared" si="432"/>
        <v>1</v>
      </c>
      <c r="N2760">
        <v>0</v>
      </c>
      <c r="O2760" s="2">
        <f t="shared" si="433"/>
        <v>1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30</v>
      </c>
      <c r="V2760" s="2">
        <f t="shared" si="434"/>
        <v>1</v>
      </c>
      <c r="W2760">
        <v>20.8</v>
      </c>
      <c r="X2760" s="2">
        <f t="shared" si="435"/>
        <v>1</v>
      </c>
      <c r="Y2760">
        <v>296.5</v>
      </c>
      <c r="Z2760" s="2" t="str">
        <f>CHOOSE(MATCH(Y2760,{0;11;80;111;161;191;241;281;341},1),"North","NorthEast","East","SouthEast","South","SouthWest","West","NorthWest","North")</f>
        <v>NorthWest</v>
      </c>
      <c r="AA2760" s="4">
        <f>CHOOSE(MATCH(Z2760,{"South";"SouthEast";"SouthWest";"North";"NorthEast";"East";"West";"NorthWest"},0),1,2,3,4,5,6,7,8)</f>
        <v>8</v>
      </c>
      <c r="AB2760" s="2">
        <f t="shared" si="436"/>
        <v>1</v>
      </c>
      <c r="AC2760">
        <v>1009</v>
      </c>
      <c r="AD2760" t="s">
        <v>2002</v>
      </c>
      <c r="AE2760" s="2">
        <f t="shared" si="437"/>
        <v>1</v>
      </c>
      <c r="AF2760" t="s">
        <v>3738</v>
      </c>
      <c r="AG2760" s="2">
        <f t="shared" si="438"/>
        <v>7</v>
      </c>
      <c r="AH2760" s="2">
        <f t="shared" si="439"/>
        <v>1</v>
      </c>
      <c r="AI2760" s="3">
        <v>2551.9999999995339</v>
      </c>
      <c r="AJ2760" s="2">
        <v>1</v>
      </c>
      <c r="AK2760">
        <v>0</v>
      </c>
      <c r="AL2760">
        <v>10</v>
      </c>
      <c r="AM2760">
        <v>0</v>
      </c>
      <c r="AN2760" s="2">
        <f>IF((2*G2760+M2760-O2760+3*V2760+2*AB2760+2*AE2760+2*AH2760+3*AJ2760)&gt;=7,1,0)</f>
        <v>1</v>
      </c>
    </row>
    <row r="2761" spans="1:40" x14ac:dyDescent="0.25">
      <c r="A2761" t="s">
        <v>27</v>
      </c>
      <c r="B2761" s="1">
        <v>45498</v>
      </c>
      <c r="C2761" s="6">
        <f t="shared" si="430"/>
        <v>2024</v>
      </c>
      <c r="D2761">
        <v>87.8</v>
      </c>
      <c r="E2761">
        <v>77</v>
      </c>
      <c r="F2761">
        <v>83.8</v>
      </c>
      <c r="G2761" s="2">
        <f t="shared" si="431"/>
        <v>1</v>
      </c>
      <c r="H2761">
        <v>94.2</v>
      </c>
      <c r="I2761">
        <v>77</v>
      </c>
      <c r="J2761">
        <v>87</v>
      </c>
      <c r="K2761">
        <v>68.099999999999994</v>
      </c>
      <c r="L2761">
        <v>59.8</v>
      </c>
      <c r="M2761" s="2">
        <f t="shared" si="432"/>
        <v>1</v>
      </c>
      <c r="N2761">
        <v>0</v>
      </c>
      <c r="O2761" s="2">
        <f t="shared" si="433"/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36</v>
      </c>
      <c r="V2761" s="2">
        <f t="shared" si="434"/>
        <v>1</v>
      </c>
      <c r="W2761">
        <v>20.8</v>
      </c>
      <c r="X2761" s="2">
        <f t="shared" si="435"/>
        <v>1</v>
      </c>
      <c r="Y2761">
        <v>295.89999999999998</v>
      </c>
      <c r="Z2761" s="2" t="str">
        <f>CHOOSE(MATCH(Y2761,{0;11;80;111;161;191;241;281;341},1),"North","NorthEast","East","SouthEast","South","SouthWest","West","NorthWest","North")</f>
        <v>NorthWest</v>
      </c>
      <c r="AA2761" s="4">
        <f>CHOOSE(MATCH(Z2761,{"South";"SouthEast";"SouthWest";"North";"NorthEast";"East";"West";"NorthWest"},0),1,2,3,4,5,6,7,8)</f>
        <v>8</v>
      </c>
      <c r="AB2761" s="2">
        <f t="shared" si="436"/>
        <v>1</v>
      </c>
      <c r="AC2761">
        <v>1004.9</v>
      </c>
      <c r="AD2761" t="s">
        <v>1906</v>
      </c>
      <c r="AE2761" s="2">
        <f t="shared" si="437"/>
        <v>0</v>
      </c>
      <c r="AF2761" t="s">
        <v>3739</v>
      </c>
      <c r="AG2761" s="2">
        <f t="shared" si="438"/>
        <v>7</v>
      </c>
      <c r="AH2761" s="2">
        <f t="shared" si="439"/>
        <v>1</v>
      </c>
      <c r="AI2761" s="3">
        <v>5734.9999999918509</v>
      </c>
      <c r="AJ2761" s="2">
        <v>1</v>
      </c>
      <c r="AK2761">
        <v>0</v>
      </c>
      <c r="AL2761">
        <v>15</v>
      </c>
      <c r="AM2761">
        <v>0</v>
      </c>
      <c r="AN2761" s="2">
        <f>IF((2*G2761+M2761-O2761+3*V2761+2*AB2761+2*AE2761+2*AH2761+3*AJ2761)&gt;=7,1,0)</f>
        <v>1</v>
      </c>
    </row>
    <row r="2762" spans="1:40" x14ac:dyDescent="0.25">
      <c r="A2762" t="s">
        <v>27</v>
      </c>
      <c r="B2762" s="1">
        <v>45516</v>
      </c>
      <c r="C2762" s="6">
        <f t="shared" si="430"/>
        <v>2024</v>
      </c>
      <c r="D2762">
        <v>85.9</v>
      </c>
      <c r="E2762">
        <v>80.5</v>
      </c>
      <c r="F2762">
        <v>82.6</v>
      </c>
      <c r="G2762" s="2">
        <f t="shared" si="431"/>
        <v>1</v>
      </c>
      <c r="H2762">
        <v>95</v>
      </c>
      <c r="I2762">
        <v>82.2</v>
      </c>
      <c r="J2762">
        <v>87.4</v>
      </c>
      <c r="K2762">
        <v>71</v>
      </c>
      <c r="L2762">
        <v>68.099999999999994</v>
      </c>
      <c r="M2762" s="2">
        <f t="shared" si="432"/>
        <v>0</v>
      </c>
      <c r="N2762">
        <v>0</v>
      </c>
      <c r="O2762" s="2">
        <f t="shared" si="433"/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31.1</v>
      </c>
      <c r="V2762" s="2">
        <f t="shared" si="434"/>
        <v>1</v>
      </c>
      <c r="W2762">
        <v>21.9</v>
      </c>
      <c r="X2762" s="2">
        <f t="shared" si="435"/>
        <v>1</v>
      </c>
      <c r="Y2762">
        <v>302.39999999999998</v>
      </c>
      <c r="Z2762" s="2" t="str">
        <f>CHOOSE(MATCH(Y2762,{0;11;80;111;161;191;241;281;341},1),"North","NorthEast","East","SouthEast","South","SouthWest","West","NorthWest","North")</f>
        <v>NorthWest</v>
      </c>
      <c r="AA2762" s="4">
        <f>CHOOSE(MATCH(Z2762,{"South";"SouthEast";"SouthWest";"North";"NorthEast";"East";"West";"NorthWest"},0),1,2,3,4,5,6,7,8)</f>
        <v>8</v>
      </c>
      <c r="AB2762" s="2">
        <f t="shared" si="436"/>
        <v>1</v>
      </c>
      <c r="AC2762">
        <v>1009.3</v>
      </c>
      <c r="AD2762" t="s">
        <v>3740</v>
      </c>
      <c r="AE2762" s="2">
        <f t="shared" si="437"/>
        <v>1</v>
      </c>
      <c r="AF2762" t="s">
        <v>3741</v>
      </c>
      <c r="AG2762" s="2">
        <f t="shared" si="438"/>
        <v>8</v>
      </c>
      <c r="AH2762" s="2">
        <f t="shared" si="439"/>
        <v>1</v>
      </c>
      <c r="AI2762" s="3">
        <v>4384.0000000095461</v>
      </c>
      <c r="AJ2762" s="2">
        <v>1</v>
      </c>
      <c r="AK2762">
        <v>0</v>
      </c>
      <c r="AL2762">
        <v>1</v>
      </c>
      <c r="AM2762">
        <v>0</v>
      </c>
      <c r="AN2762" s="2">
        <f>IF((2*G2762+M2762-O2762+3*V2762+2*AB2762+2*AE2762+2*AH2762+3*AJ2762)&gt;=7,1,0)</f>
        <v>1</v>
      </c>
    </row>
    <row r="2763" spans="1:40" x14ac:dyDescent="0.25">
      <c r="A2763" t="s">
        <v>27</v>
      </c>
      <c r="B2763" s="1">
        <v>45521</v>
      </c>
      <c r="C2763" s="6">
        <f t="shared" si="430"/>
        <v>2024</v>
      </c>
      <c r="D2763">
        <v>87.8</v>
      </c>
      <c r="E2763">
        <v>82.4</v>
      </c>
      <c r="F2763">
        <v>84.6</v>
      </c>
      <c r="G2763" s="2">
        <f t="shared" si="431"/>
        <v>1</v>
      </c>
      <c r="H2763">
        <v>89.4</v>
      </c>
      <c r="I2763">
        <v>83.4</v>
      </c>
      <c r="J2763">
        <v>86.7</v>
      </c>
      <c r="K2763">
        <v>65.400000000000006</v>
      </c>
      <c r="L2763">
        <v>53.4</v>
      </c>
      <c r="M2763" s="2">
        <f t="shared" si="432"/>
        <v>1</v>
      </c>
      <c r="N2763">
        <v>0</v>
      </c>
      <c r="O2763" s="2">
        <f t="shared" si="433"/>
        <v>1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36.9</v>
      </c>
      <c r="V2763" s="2">
        <f t="shared" si="434"/>
        <v>1</v>
      </c>
      <c r="W2763">
        <v>25.3</v>
      </c>
      <c r="X2763" s="2">
        <f t="shared" si="435"/>
        <v>1</v>
      </c>
      <c r="Y2763">
        <v>302.3</v>
      </c>
      <c r="Z2763" s="2" t="str">
        <f>CHOOSE(MATCH(Y2763,{0;11;80;111;161;191;241;281;341},1),"North","NorthEast","East","SouthEast","South","SouthWest","West","NorthWest","North")</f>
        <v>NorthWest</v>
      </c>
      <c r="AA2763" s="4">
        <f>CHOOSE(MATCH(Z2763,{"South";"SouthEast";"SouthWest";"North";"NorthEast";"East";"West";"NorthWest"},0),1,2,3,4,5,6,7,8)</f>
        <v>8</v>
      </c>
      <c r="AB2763" s="2">
        <f t="shared" si="436"/>
        <v>1</v>
      </c>
      <c r="AC2763">
        <v>1009</v>
      </c>
      <c r="AD2763" t="s">
        <v>3742</v>
      </c>
      <c r="AE2763" s="2">
        <f t="shared" si="437"/>
        <v>1</v>
      </c>
      <c r="AF2763" t="s">
        <v>3743</v>
      </c>
      <c r="AG2763" s="2">
        <f t="shared" si="438"/>
        <v>8</v>
      </c>
      <c r="AH2763" s="2">
        <f t="shared" si="439"/>
        <v>1</v>
      </c>
      <c r="AI2763" s="3">
        <v>6879.9999999941792</v>
      </c>
      <c r="AJ2763" s="2">
        <v>1</v>
      </c>
      <c r="AK2763">
        <v>0</v>
      </c>
      <c r="AL2763">
        <v>2406.0500000000002</v>
      </c>
      <c r="AM2763">
        <v>0</v>
      </c>
      <c r="AN2763" s="2">
        <f>IF((2*G2763+M2763-O2763+3*V2763+2*AB2763+2*AE2763+2*AH2763+3*AJ2763)&gt;=7,1,0)</f>
        <v>1</v>
      </c>
    </row>
    <row r="2764" spans="1:40" x14ac:dyDescent="0.25">
      <c r="A2764" t="s">
        <v>27</v>
      </c>
      <c r="B2764" s="1">
        <v>45521</v>
      </c>
      <c r="C2764" s="6">
        <f t="shared" si="430"/>
        <v>2024</v>
      </c>
      <c r="D2764">
        <v>87.8</v>
      </c>
      <c r="E2764">
        <v>82.4</v>
      </c>
      <c r="F2764">
        <v>84.6</v>
      </c>
      <c r="G2764" s="2">
        <f t="shared" si="431"/>
        <v>1</v>
      </c>
      <c r="H2764">
        <v>89.4</v>
      </c>
      <c r="I2764">
        <v>83.4</v>
      </c>
      <c r="J2764">
        <v>86.7</v>
      </c>
      <c r="K2764">
        <v>65.400000000000006</v>
      </c>
      <c r="L2764">
        <v>53.4</v>
      </c>
      <c r="M2764" s="2">
        <f t="shared" si="432"/>
        <v>1</v>
      </c>
      <c r="N2764">
        <v>0</v>
      </c>
      <c r="O2764" s="2">
        <f t="shared" si="433"/>
        <v>1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36.9</v>
      </c>
      <c r="V2764" s="2">
        <f t="shared" si="434"/>
        <v>1</v>
      </c>
      <c r="W2764">
        <v>25.3</v>
      </c>
      <c r="X2764" s="2">
        <f t="shared" si="435"/>
        <v>1</v>
      </c>
      <c r="Y2764">
        <v>302.3</v>
      </c>
      <c r="Z2764" s="2" t="str">
        <f>CHOOSE(MATCH(Y2764,{0;11;80;111;161;191;241;281;341},1),"North","NorthEast","East","SouthEast","South","SouthWest","West","NorthWest","North")</f>
        <v>NorthWest</v>
      </c>
      <c r="AA2764" s="4">
        <f>CHOOSE(MATCH(Z2764,{"South";"SouthEast";"SouthWest";"North";"NorthEast";"East";"West";"NorthWest"},0),1,2,3,4,5,6,7,8)</f>
        <v>8</v>
      </c>
      <c r="AB2764" s="2">
        <f t="shared" si="436"/>
        <v>1</v>
      </c>
      <c r="AC2764">
        <v>1009</v>
      </c>
      <c r="AD2764" t="s">
        <v>2799</v>
      </c>
      <c r="AE2764" s="2">
        <f t="shared" si="437"/>
        <v>1</v>
      </c>
      <c r="AF2764" t="s">
        <v>3744</v>
      </c>
      <c r="AG2764" s="2">
        <f t="shared" si="438"/>
        <v>8</v>
      </c>
      <c r="AH2764" s="2">
        <f t="shared" si="439"/>
        <v>1</v>
      </c>
      <c r="AI2764" s="3">
        <v>342.9999999969732</v>
      </c>
      <c r="AJ2764" s="2">
        <v>0</v>
      </c>
      <c r="AK2764">
        <v>0</v>
      </c>
      <c r="AL2764">
        <v>2</v>
      </c>
      <c r="AM2764">
        <v>0</v>
      </c>
      <c r="AN2764" s="2">
        <f>IF((2*G2764+M2764-O2764+3*V2764+2*AB2764+2*AE2764+2*AH2764+3*AJ2764)&gt;=7,1,0)</f>
        <v>1</v>
      </c>
    </row>
    <row r="2765" spans="1:40" x14ac:dyDescent="0.25">
      <c r="A2765" t="s">
        <v>27</v>
      </c>
      <c r="B2765" s="1">
        <v>45524</v>
      </c>
      <c r="C2765" s="6">
        <f t="shared" si="430"/>
        <v>2024</v>
      </c>
      <c r="D2765">
        <v>87.9</v>
      </c>
      <c r="E2765">
        <v>75.099999999999994</v>
      </c>
      <c r="F2765">
        <v>82.2</v>
      </c>
      <c r="G2765" s="2">
        <f t="shared" si="431"/>
        <v>1</v>
      </c>
      <c r="H2765">
        <v>102.2</v>
      </c>
      <c r="I2765">
        <v>75.099999999999994</v>
      </c>
      <c r="J2765">
        <v>86.3</v>
      </c>
      <c r="K2765">
        <v>68.099999999999994</v>
      </c>
      <c r="L2765">
        <v>63.1</v>
      </c>
      <c r="M2765" s="2">
        <f t="shared" si="432"/>
        <v>1</v>
      </c>
      <c r="N2765">
        <v>0</v>
      </c>
      <c r="O2765" s="2">
        <f t="shared" si="433"/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25.3</v>
      </c>
      <c r="V2765" s="2">
        <f t="shared" si="434"/>
        <v>1</v>
      </c>
      <c r="W2765">
        <v>11.4</v>
      </c>
      <c r="X2765" s="2">
        <f t="shared" si="435"/>
        <v>0</v>
      </c>
      <c r="Y2765">
        <v>1.1000000000000001</v>
      </c>
      <c r="Z2765" s="2" t="str">
        <f>CHOOSE(MATCH(Y2765,{0;11;80;111;161;191;241;281;341},1),"North","NorthEast","East","SouthEast","South","SouthWest","West","NorthWest","North")</f>
        <v>North</v>
      </c>
      <c r="AA2765" s="4">
        <f>CHOOSE(MATCH(Z2765,{"South";"SouthEast";"SouthWest";"North";"NorthEast";"East";"West";"NorthWest"},0),1,2,3,4,5,6,7,8)</f>
        <v>4</v>
      </c>
      <c r="AB2765" s="2">
        <f t="shared" si="436"/>
        <v>1</v>
      </c>
      <c r="AC2765">
        <v>1009</v>
      </c>
      <c r="AD2765" t="s">
        <v>1844</v>
      </c>
      <c r="AE2765" s="2">
        <f t="shared" si="437"/>
        <v>1</v>
      </c>
      <c r="AF2765" t="s">
        <v>3745</v>
      </c>
      <c r="AG2765" s="2">
        <f t="shared" si="438"/>
        <v>8</v>
      </c>
      <c r="AH2765" s="2">
        <f t="shared" si="439"/>
        <v>1</v>
      </c>
      <c r="AI2765" s="3">
        <v>1196.999999993714</v>
      </c>
      <c r="AJ2765" s="2">
        <v>1</v>
      </c>
      <c r="AK2765">
        <v>0</v>
      </c>
      <c r="AL2765">
        <v>3</v>
      </c>
      <c r="AM2765">
        <v>0</v>
      </c>
      <c r="AN2765" s="2">
        <f>IF((2*G2765+M2765-O2765+3*V2765+2*AB2765+2*AE2765+2*AH2765+3*AJ2765)&gt;=7,1,0)</f>
        <v>1</v>
      </c>
    </row>
    <row r="2766" spans="1:40" x14ac:dyDescent="0.25">
      <c r="A2766" t="s">
        <v>27</v>
      </c>
      <c r="B2766" s="1">
        <v>45525</v>
      </c>
      <c r="C2766" s="6">
        <f t="shared" si="430"/>
        <v>2024</v>
      </c>
      <c r="D2766">
        <v>87.8</v>
      </c>
      <c r="E2766">
        <v>75.2</v>
      </c>
      <c r="F2766">
        <v>82.1</v>
      </c>
      <c r="G2766" s="2">
        <f t="shared" si="431"/>
        <v>1</v>
      </c>
      <c r="H2766">
        <v>95.8</v>
      </c>
      <c r="I2766">
        <v>75.2</v>
      </c>
      <c r="J2766">
        <v>86.5</v>
      </c>
      <c r="K2766">
        <v>70.599999999999994</v>
      </c>
      <c r="L2766">
        <v>69</v>
      </c>
      <c r="M2766" s="2">
        <f t="shared" si="432"/>
        <v>0</v>
      </c>
      <c r="N2766">
        <v>1E-3</v>
      </c>
      <c r="O2766" s="2">
        <f t="shared" si="433"/>
        <v>1</v>
      </c>
      <c r="P2766">
        <v>100</v>
      </c>
      <c r="Q2766">
        <v>4.17</v>
      </c>
      <c r="R2766" t="s">
        <v>182</v>
      </c>
      <c r="S2766">
        <v>0</v>
      </c>
      <c r="T2766">
        <v>0</v>
      </c>
      <c r="U2766">
        <v>25.9</v>
      </c>
      <c r="V2766" s="2">
        <f t="shared" si="434"/>
        <v>1</v>
      </c>
      <c r="W2766">
        <v>19.7</v>
      </c>
      <c r="X2766" s="2">
        <f t="shared" si="435"/>
        <v>1</v>
      </c>
      <c r="Y2766">
        <v>294.7</v>
      </c>
      <c r="Z2766" s="2" t="str">
        <f>CHOOSE(MATCH(Y2766,{0;11;80;111;161;191;241;281;341},1),"North","NorthEast","East","SouthEast","South","SouthWest","West","NorthWest","North")</f>
        <v>NorthWest</v>
      </c>
      <c r="AA2766" s="4">
        <f>CHOOSE(MATCH(Z2766,{"South";"SouthEast";"SouthWest";"North";"NorthEast";"East";"West";"NorthWest"},0),1,2,3,4,5,6,7,8)</f>
        <v>8</v>
      </c>
      <c r="AB2766" s="2">
        <f t="shared" si="436"/>
        <v>1</v>
      </c>
      <c r="AC2766">
        <v>1007.6</v>
      </c>
      <c r="AD2766" t="s">
        <v>1973</v>
      </c>
      <c r="AE2766" s="2">
        <f t="shared" si="437"/>
        <v>0</v>
      </c>
      <c r="AF2766" t="s">
        <v>3746</v>
      </c>
      <c r="AG2766" s="2">
        <f t="shared" si="438"/>
        <v>8</v>
      </c>
      <c r="AH2766" s="2">
        <f t="shared" si="439"/>
        <v>1</v>
      </c>
      <c r="AI2766" s="3">
        <v>130.00000000465661</v>
      </c>
      <c r="AJ2766" s="2">
        <v>0</v>
      </c>
      <c r="AK2766">
        <v>0</v>
      </c>
      <c r="AL2766">
        <v>0.01</v>
      </c>
      <c r="AM2766">
        <v>0</v>
      </c>
      <c r="AN2766" s="2">
        <f>IF((2*G2766+M2766-O2766+3*V2766+2*AB2766+2*AE2766+2*AH2766+3*AJ2766)&gt;=7,1,0)</f>
        <v>1</v>
      </c>
    </row>
    <row r="2767" spans="1:40" x14ac:dyDescent="0.25">
      <c r="A2767" t="s">
        <v>27</v>
      </c>
      <c r="B2767" s="1">
        <v>45530</v>
      </c>
      <c r="C2767" s="6">
        <f t="shared" si="430"/>
        <v>2024</v>
      </c>
      <c r="D2767">
        <v>86</v>
      </c>
      <c r="E2767">
        <v>73.400000000000006</v>
      </c>
      <c r="F2767">
        <v>81.2</v>
      </c>
      <c r="G2767" s="2">
        <f t="shared" si="431"/>
        <v>1</v>
      </c>
      <c r="H2767">
        <v>90.6</v>
      </c>
      <c r="I2767">
        <v>73.400000000000006</v>
      </c>
      <c r="J2767">
        <v>83.9</v>
      </c>
      <c r="K2767">
        <v>68</v>
      </c>
      <c r="L2767">
        <v>64.599999999999994</v>
      </c>
      <c r="M2767" s="2">
        <f t="shared" si="432"/>
        <v>1</v>
      </c>
      <c r="N2767">
        <v>0</v>
      </c>
      <c r="O2767" s="2">
        <f t="shared" si="433"/>
        <v>1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26.8</v>
      </c>
      <c r="V2767" s="2">
        <f t="shared" si="434"/>
        <v>1</v>
      </c>
      <c r="W2767">
        <v>18.3</v>
      </c>
      <c r="X2767" s="2">
        <f t="shared" si="435"/>
        <v>1</v>
      </c>
      <c r="Y2767">
        <v>306.10000000000002</v>
      </c>
      <c r="Z2767" s="2" t="str">
        <f>CHOOSE(MATCH(Y2767,{0;11;80;111;161;191;241;281;341},1),"North","NorthEast","East","SouthEast","South","SouthWest","West","NorthWest","North")</f>
        <v>NorthWest</v>
      </c>
      <c r="AA2767" s="4">
        <f>CHOOSE(MATCH(Z2767,{"South";"SouthEast";"SouthWest";"North";"NorthEast";"East";"West";"NorthWest"},0),1,2,3,4,5,6,7,8)</f>
        <v>8</v>
      </c>
      <c r="AB2767" s="2">
        <f t="shared" si="436"/>
        <v>1</v>
      </c>
      <c r="AC2767">
        <v>1008.2</v>
      </c>
      <c r="AD2767" t="s">
        <v>3747</v>
      </c>
      <c r="AE2767" s="2">
        <f t="shared" si="437"/>
        <v>0</v>
      </c>
      <c r="AF2767" t="s">
        <v>3748</v>
      </c>
      <c r="AG2767" s="2">
        <f t="shared" si="438"/>
        <v>8</v>
      </c>
      <c r="AH2767" s="2">
        <f t="shared" si="439"/>
        <v>1</v>
      </c>
      <c r="AI2767" s="3">
        <v>100.0000000011642</v>
      </c>
      <c r="AJ2767" s="2">
        <v>0</v>
      </c>
      <c r="AK2767">
        <v>0.01</v>
      </c>
      <c r="AL2767">
        <v>0</v>
      </c>
      <c r="AM2767">
        <v>0</v>
      </c>
      <c r="AN2767" s="2">
        <f>IF((2*G2767+M2767-O2767+3*V2767+2*AB2767+2*AE2767+2*AH2767+3*AJ2767)&gt;=7,1,0)</f>
        <v>1</v>
      </c>
    </row>
    <row r="2768" spans="1:40" x14ac:dyDescent="0.25">
      <c r="A2768" t="s">
        <v>27</v>
      </c>
      <c r="B2768" s="1">
        <v>45534</v>
      </c>
      <c r="C2768" s="6">
        <f t="shared" si="430"/>
        <v>2024</v>
      </c>
      <c r="D2768">
        <v>84.2</v>
      </c>
      <c r="E2768">
        <v>73.400000000000006</v>
      </c>
      <c r="F2768">
        <v>79.400000000000006</v>
      </c>
      <c r="G2768" s="2">
        <f t="shared" si="431"/>
        <v>1</v>
      </c>
      <c r="H2768">
        <v>94.2</v>
      </c>
      <c r="I2768">
        <v>73.400000000000006</v>
      </c>
      <c r="J2768">
        <v>82.6</v>
      </c>
      <c r="K2768">
        <v>68.8</v>
      </c>
      <c r="L2768">
        <v>70.400000000000006</v>
      </c>
      <c r="M2768" s="2">
        <f t="shared" si="432"/>
        <v>0</v>
      </c>
      <c r="N2768">
        <v>0</v>
      </c>
      <c r="O2768" s="2">
        <f t="shared" si="433"/>
        <v>1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21.3</v>
      </c>
      <c r="V2768" s="2">
        <f t="shared" si="434"/>
        <v>1</v>
      </c>
      <c r="W2768">
        <v>13.8</v>
      </c>
      <c r="X2768" s="2">
        <f t="shared" si="435"/>
        <v>0</v>
      </c>
      <c r="Y2768">
        <v>281.10000000000002</v>
      </c>
      <c r="Z2768" s="2" t="str">
        <f>CHOOSE(MATCH(Y2768,{0;11;80;111;161;191;241;281;341},1),"North","NorthEast","East","SouthEast","South","SouthWest","West","NorthWest","North")</f>
        <v>NorthWest</v>
      </c>
      <c r="AA2768" s="4">
        <f>CHOOSE(MATCH(Z2768,{"South";"SouthEast";"SouthWest";"North";"NorthEast";"East";"West";"NorthWest"},0),1,2,3,4,5,6,7,8)</f>
        <v>8</v>
      </c>
      <c r="AB2768" s="2">
        <f t="shared" si="436"/>
        <v>1</v>
      </c>
      <c r="AC2768">
        <v>1012.1</v>
      </c>
      <c r="AD2768" t="s">
        <v>2341</v>
      </c>
      <c r="AE2768" s="2">
        <f t="shared" si="437"/>
        <v>1</v>
      </c>
      <c r="AF2768" t="s">
        <v>3749</v>
      </c>
      <c r="AG2768" s="2">
        <f t="shared" si="438"/>
        <v>8</v>
      </c>
      <c r="AH2768" s="2">
        <f t="shared" si="439"/>
        <v>1</v>
      </c>
      <c r="AI2768" s="3">
        <v>119.0000000002328</v>
      </c>
      <c r="AJ2768" s="2">
        <v>0</v>
      </c>
      <c r="AK2768">
        <v>0.2</v>
      </c>
      <c r="AL2768">
        <v>0</v>
      </c>
      <c r="AM2768">
        <v>0</v>
      </c>
      <c r="AN2768" s="2">
        <f>IF((2*G2768+M2768-O2768+3*V2768+2*AB2768+2*AE2768+2*AH2768+3*AJ2768)&gt;=7,1,0)</f>
        <v>1</v>
      </c>
    </row>
    <row r="2769" spans="1:40" x14ac:dyDescent="0.25">
      <c r="A2769" t="s">
        <v>27</v>
      </c>
      <c r="B2769" s="1">
        <v>45539</v>
      </c>
      <c r="C2769" s="6">
        <f t="shared" si="430"/>
        <v>2024</v>
      </c>
      <c r="D2769">
        <v>86</v>
      </c>
      <c r="E2769">
        <v>71.599999999999994</v>
      </c>
      <c r="F2769">
        <v>80.5</v>
      </c>
      <c r="G2769" s="2">
        <f t="shared" si="431"/>
        <v>1</v>
      </c>
      <c r="H2769">
        <v>92</v>
      </c>
      <c r="I2769">
        <v>71.599999999999994</v>
      </c>
      <c r="J2769">
        <v>83.2</v>
      </c>
      <c r="K2769">
        <v>69.7</v>
      </c>
      <c r="L2769">
        <v>70.8</v>
      </c>
      <c r="M2769" s="2">
        <f t="shared" si="432"/>
        <v>0</v>
      </c>
      <c r="N2769">
        <v>0</v>
      </c>
      <c r="O2769" s="2">
        <f t="shared" si="433"/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28</v>
      </c>
      <c r="V2769" s="2">
        <f t="shared" si="434"/>
        <v>1</v>
      </c>
      <c r="W2769">
        <v>13.9</v>
      </c>
      <c r="X2769" s="2">
        <f t="shared" si="435"/>
        <v>0</v>
      </c>
      <c r="Y2769">
        <v>298.10000000000002</v>
      </c>
      <c r="Z2769" s="2" t="str">
        <f>CHOOSE(MATCH(Y2769,{0;11;80;111;161;191;241;281;341},1),"North","NorthEast","East","SouthEast","South","SouthWest","West","NorthWest","North")</f>
        <v>NorthWest</v>
      </c>
      <c r="AA2769" s="4">
        <f>CHOOSE(MATCH(Z2769,{"South";"SouthEast";"SouthWest";"North";"NorthEast";"East";"West";"NorthWest"},0),1,2,3,4,5,6,7,8)</f>
        <v>8</v>
      </c>
      <c r="AB2769" s="2">
        <f t="shared" si="436"/>
        <v>1</v>
      </c>
      <c r="AC2769">
        <v>1012.8</v>
      </c>
      <c r="AD2769" t="s">
        <v>2998</v>
      </c>
      <c r="AE2769" s="2">
        <f t="shared" si="437"/>
        <v>1</v>
      </c>
      <c r="AF2769" t="s">
        <v>3750</v>
      </c>
      <c r="AG2769" s="2">
        <f t="shared" si="438"/>
        <v>9</v>
      </c>
      <c r="AH2769" s="2">
        <f t="shared" si="439"/>
        <v>0</v>
      </c>
      <c r="AI2769" s="3">
        <v>71.999999993713573</v>
      </c>
      <c r="AJ2769" s="2">
        <v>0</v>
      </c>
      <c r="AK2769">
        <v>0</v>
      </c>
      <c r="AL2769">
        <v>0.1</v>
      </c>
      <c r="AM2769">
        <v>0</v>
      </c>
      <c r="AN2769" s="2">
        <f>IF((2*G2769+M2769-O2769+3*V2769+2*AB2769+2*AE2769+2*AH2769+3*AJ2769)&gt;=7,1,0)</f>
        <v>1</v>
      </c>
    </row>
    <row r="2770" spans="1:40" x14ac:dyDescent="0.25">
      <c r="A2770" t="s">
        <v>27</v>
      </c>
      <c r="B2770" s="1">
        <v>45551</v>
      </c>
      <c r="C2770" s="6">
        <f t="shared" si="430"/>
        <v>2024</v>
      </c>
      <c r="D2770">
        <v>80.599999999999994</v>
      </c>
      <c r="E2770">
        <v>69.8</v>
      </c>
      <c r="F2770">
        <v>75.5</v>
      </c>
      <c r="G2770" s="2">
        <f t="shared" si="431"/>
        <v>1</v>
      </c>
      <c r="H2770">
        <v>82.8</v>
      </c>
      <c r="I2770">
        <v>69.8</v>
      </c>
      <c r="J2770">
        <v>75.900000000000006</v>
      </c>
      <c r="K2770">
        <v>61.7</v>
      </c>
      <c r="L2770">
        <v>62.5</v>
      </c>
      <c r="M2770" s="2">
        <f t="shared" si="432"/>
        <v>1</v>
      </c>
      <c r="N2770">
        <v>0</v>
      </c>
      <c r="O2770" s="2">
        <f t="shared" si="433"/>
        <v>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23.7</v>
      </c>
      <c r="V2770" s="2">
        <f t="shared" si="434"/>
        <v>1</v>
      </c>
      <c r="W2770">
        <v>18.3</v>
      </c>
      <c r="X2770" s="2">
        <f t="shared" si="435"/>
        <v>1</v>
      </c>
      <c r="Y2770">
        <v>280.7</v>
      </c>
      <c r="Z2770" s="2" t="str">
        <f>CHOOSE(MATCH(Y2770,{0;11;80;111;161;191;241;281;341},1),"North","NorthEast","East","SouthEast","South","SouthWest","West","NorthWest","North")</f>
        <v>West</v>
      </c>
      <c r="AA2770" s="4">
        <f>CHOOSE(MATCH(Z2770,{"South";"SouthEast";"SouthWest";"North";"NorthEast";"East";"West";"NorthWest"},0),1,2,3,4,5,6,7,8)</f>
        <v>7</v>
      </c>
      <c r="AB2770" s="2">
        <f t="shared" si="436"/>
        <v>0</v>
      </c>
      <c r="AC2770">
        <v>1010.1</v>
      </c>
      <c r="AD2770" t="s">
        <v>3751</v>
      </c>
      <c r="AE2770" s="2">
        <f t="shared" si="437"/>
        <v>0</v>
      </c>
      <c r="AF2770" t="s">
        <v>3752</v>
      </c>
      <c r="AG2770" s="2">
        <f t="shared" si="438"/>
        <v>9</v>
      </c>
      <c r="AH2770" s="2">
        <f t="shared" si="439"/>
        <v>0</v>
      </c>
      <c r="AI2770" s="3">
        <v>5402.0000000065193</v>
      </c>
      <c r="AJ2770" s="2">
        <v>1</v>
      </c>
      <c r="AK2770">
        <v>0</v>
      </c>
      <c r="AL2770">
        <v>30</v>
      </c>
      <c r="AM2770">
        <v>0</v>
      </c>
      <c r="AN2770" s="2">
        <f>IF((2*G2770+M2770-O2770+3*V2770+2*AB2770+2*AE2770+2*AH2770+3*AJ2770)&gt;=7,1,0)</f>
        <v>1</v>
      </c>
    </row>
    <row r="2771" spans="1:40" x14ac:dyDescent="0.25">
      <c r="A2771" t="s">
        <v>27</v>
      </c>
      <c r="B2771" s="1">
        <v>45560</v>
      </c>
      <c r="C2771" s="6">
        <f t="shared" si="430"/>
        <v>2024</v>
      </c>
      <c r="D2771">
        <v>80.599999999999994</v>
      </c>
      <c r="E2771">
        <v>64.400000000000006</v>
      </c>
      <c r="F2771">
        <v>72</v>
      </c>
      <c r="G2771" s="2">
        <f t="shared" si="431"/>
        <v>1</v>
      </c>
      <c r="H2771">
        <v>84.6</v>
      </c>
      <c r="I2771">
        <v>64.400000000000006</v>
      </c>
      <c r="J2771">
        <v>72.400000000000006</v>
      </c>
      <c r="K2771">
        <v>63.6</v>
      </c>
      <c r="L2771">
        <v>75.8</v>
      </c>
      <c r="M2771" s="2">
        <f t="shared" si="432"/>
        <v>0</v>
      </c>
      <c r="N2771">
        <v>0</v>
      </c>
      <c r="O2771" s="2">
        <f t="shared" si="433"/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20.8</v>
      </c>
      <c r="V2771" s="2">
        <f t="shared" si="434"/>
        <v>1</v>
      </c>
      <c r="W2771">
        <v>9.1999999999999993</v>
      </c>
      <c r="X2771" s="2">
        <f t="shared" si="435"/>
        <v>0</v>
      </c>
      <c r="Y2771">
        <v>248.2</v>
      </c>
      <c r="Z2771" s="2" t="str">
        <f>CHOOSE(MATCH(Y2771,{0;11;80;111;161;191;241;281;341},1),"North","NorthEast","East","SouthEast","South","SouthWest","West","NorthWest","North")</f>
        <v>West</v>
      </c>
      <c r="AA2771" s="4">
        <f>CHOOSE(MATCH(Z2771,{"South";"SouthEast";"SouthWest";"North";"NorthEast";"East";"West";"NorthWest"},0),1,2,3,4,5,6,7,8)</f>
        <v>7</v>
      </c>
      <c r="AB2771" s="2">
        <f t="shared" si="436"/>
        <v>0</v>
      </c>
      <c r="AC2771">
        <v>1017.2</v>
      </c>
      <c r="AD2771" t="s">
        <v>3753</v>
      </c>
      <c r="AE2771" s="2">
        <f t="shared" si="437"/>
        <v>1</v>
      </c>
      <c r="AF2771" t="s">
        <v>3754</v>
      </c>
      <c r="AG2771" s="2">
        <f t="shared" si="438"/>
        <v>9</v>
      </c>
      <c r="AH2771" s="2">
        <f t="shared" si="439"/>
        <v>0</v>
      </c>
      <c r="AI2771" s="3">
        <v>587.99999999930151</v>
      </c>
      <c r="AJ2771" s="2">
        <v>1</v>
      </c>
      <c r="AK2771">
        <v>0</v>
      </c>
      <c r="AL2771">
        <v>1</v>
      </c>
      <c r="AM2771">
        <v>0</v>
      </c>
      <c r="AN2771" s="2">
        <f>IF((2*G2771+M2771-O2771+3*V2771+2*AB2771+2*AE2771+2*AH2771+3*AJ2771)&gt;=7,1,0)</f>
        <v>1</v>
      </c>
    </row>
    <row r="2772" spans="1:40" x14ac:dyDescent="0.25">
      <c r="A2772" t="s">
        <v>27</v>
      </c>
      <c r="B2772" s="1">
        <v>45569</v>
      </c>
      <c r="C2772" s="6">
        <f t="shared" si="430"/>
        <v>2024</v>
      </c>
      <c r="D2772">
        <v>80.599999999999994</v>
      </c>
      <c r="E2772">
        <v>64.400000000000006</v>
      </c>
      <c r="F2772">
        <v>72.099999999999994</v>
      </c>
      <c r="G2772" s="2">
        <f t="shared" si="431"/>
        <v>1</v>
      </c>
      <c r="H2772">
        <v>83.3</v>
      </c>
      <c r="I2772">
        <v>64.400000000000006</v>
      </c>
      <c r="J2772">
        <v>72.400000000000006</v>
      </c>
      <c r="K2772">
        <v>62.7</v>
      </c>
      <c r="L2772">
        <v>72.8</v>
      </c>
      <c r="M2772" s="2">
        <f t="shared" si="432"/>
        <v>0</v>
      </c>
      <c r="N2772">
        <v>0</v>
      </c>
      <c r="O2772" s="2">
        <f t="shared" si="433"/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16.100000000000001</v>
      </c>
      <c r="V2772" s="2">
        <f t="shared" si="434"/>
        <v>1</v>
      </c>
      <c r="W2772">
        <v>11.4</v>
      </c>
      <c r="X2772" s="2">
        <f t="shared" si="435"/>
        <v>0</v>
      </c>
      <c r="Y2772">
        <v>135.5</v>
      </c>
      <c r="Z2772" s="2" t="str">
        <f>CHOOSE(MATCH(Y2772,{0;11;80;111;161;191;241;281;341},1),"North","NorthEast","East","SouthEast","South","SouthWest","West","NorthWest","North")</f>
        <v>SouthEast</v>
      </c>
      <c r="AA2772" s="4">
        <f>CHOOSE(MATCH(Z2772,{"South";"SouthEast";"SouthWest";"North";"NorthEast";"East";"West";"NorthWest"},0),1,2,3,4,5,6,7,8)</f>
        <v>2</v>
      </c>
      <c r="AB2772" s="2">
        <f t="shared" si="436"/>
        <v>0</v>
      </c>
      <c r="AC2772">
        <v>1016</v>
      </c>
      <c r="AD2772" t="s">
        <v>3755</v>
      </c>
      <c r="AE2772" s="2">
        <f t="shared" si="437"/>
        <v>1</v>
      </c>
      <c r="AF2772" t="s">
        <v>3756</v>
      </c>
      <c r="AG2772" s="2">
        <f t="shared" si="438"/>
        <v>10</v>
      </c>
      <c r="AH2772" s="2">
        <f t="shared" si="439"/>
        <v>0</v>
      </c>
      <c r="AI2772" s="3">
        <v>175.99999999743889</v>
      </c>
      <c r="AJ2772" s="2">
        <v>0</v>
      </c>
      <c r="AK2772">
        <v>0</v>
      </c>
      <c r="AL2772">
        <v>0.01</v>
      </c>
      <c r="AM2772">
        <v>0</v>
      </c>
      <c r="AN2772" s="2">
        <f>IF((2*G2772+M2772-O2772+3*V2772+2*AB2772+2*AE2772+2*AH2772+3*AJ2772)&gt;=7,1,0)</f>
        <v>0</v>
      </c>
    </row>
    <row r="2773" spans="1:40" x14ac:dyDescent="0.25">
      <c r="A2773" t="s">
        <v>27</v>
      </c>
      <c r="B2773" s="1">
        <v>45579</v>
      </c>
      <c r="C2773" s="6">
        <f t="shared" si="430"/>
        <v>2024</v>
      </c>
      <c r="D2773">
        <v>78.8</v>
      </c>
      <c r="E2773">
        <v>66.2</v>
      </c>
      <c r="F2773">
        <v>73.2</v>
      </c>
      <c r="G2773" s="2">
        <f t="shared" si="431"/>
        <v>1</v>
      </c>
      <c r="H2773">
        <v>78.8</v>
      </c>
      <c r="I2773">
        <v>66.2</v>
      </c>
      <c r="J2773">
        <v>73.2</v>
      </c>
      <c r="K2773">
        <v>65.7</v>
      </c>
      <c r="L2773">
        <v>78</v>
      </c>
      <c r="M2773" s="2">
        <f t="shared" si="432"/>
        <v>0</v>
      </c>
      <c r="N2773">
        <v>0</v>
      </c>
      <c r="O2773" s="2">
        <f t="shared" si="433"/>
        <v>1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28.4</v>
      </c>
      <c r="V2773" s="2">
        <f t="shared" si="434"/>
        <v>1</v>
      </c>
      <c r="W2773">
        <v>15</v>
      </c>
      <c r="X2773" s="2">
        <f t="shared" si="435"/>
        <v>0</v>
      </c>
      <c r="Y2773">
        <v>326.5</v>
      </c>
      <c r="Z2773" s="2" t="str">
        <f>CHOOSE(MATCH(Y2773,{0;11;80;111;161;191;241;281;341},1),"North","NorthEast","East","SouthEast","South","SouthWest","West","NorthWest","North")</f>
        <v>NorthWest</v>
      </c>
      <c r="AA2773" s="4">
        <f>CHOOSE(MATCH(Z2773,{"South";"SouthEast";"SouthWest";"North";"NorthEast";"East";"West";"NorthWest"},0),1,2,3,4,5,6,7,8)</f>
        <v>8</v>
      </c>
      <c r="AB2773" s="2">
        <f t="shared" si="436"/>
        <v>1</v>
      </c>
      <c r="AC2773">
        <v>1015.9</v>
      </c>
      <c r="AD2773" t="s">
        <v>1111</v>
      </c>
      <c r="AE2773" s="2">
        <f t="shared" si="437"/>
        <v>1</v>
      </c>
      <c r="AF2773" t="s">
        <v>3757</v>
      </c>
      <c r="AG2773" s="2">
        <f t="shared" si="438"/>
        <v>10</v>
      </c>
      <c r="AH2773" s="2">
        <f t="shared" si="439"/>
        <v>0</v>
      </c>
      <c r="AI2773" s="3">
        <v>152.0000000030268</v>
      </c>
      <c r="AJ2773" s="2">
        <v>0</v>
      </c>
      <c r="AK2773">
        <v>0</v>
      </c>
      <c r="AL2773">
        <v>1</v>
      </c>
      <c r="AM2773">
        <v>0</v>
      </c>
      <c r="AN2773" s="2">
        <f>IF((2*G2773+M2773-O2773+3*V2773+2*AB2773+2*AE2773+2*AH2773+3*AJ2773)&gt;=7,1,0)</f>
        <v>1</v>
      </c>
    </row>
    <row r="2774" spans="1:40" x14ac:dyDescent="0.25">
      <c r="A2774" t="s">
        <v>27</v>
      </c>
      <c r="B2774" s="1">
        <v>45589</v>
      </c>
      <c r="C2774" s="6">
        <f t="shared" si="430"/>
        <v>2024</v>
      </c>
      <c r="D2774">
        <v>73.400000000000006</v>
      </c>
      <c r="E2774">
        <v>60.2</v>
      </c>
      <c r="F2774">
        <v>69</v>
      </c>
      <c r="G2774" s="2">
        <f t="shared" si="431"/>
        <v>0</v>
      </c>
      <c r="H2774">
        <v>73.400000000000006</v>
      </c>
      <c r="I2774">
        <v>60.2</v>
      </c>
      <c r="J2774">
        <v>69</v>
      </c>
      <c r="K2774">
        <v>59.5</v>
      </c>
      <c r="L2774">
        <v>71.8</v>
      </c>
      <c r="M2774" s="2">
        <f t="shared" si="432"/>
        <v>0</v>
      </c>
      <c r="N2774">
        <v>0</v>
      </c>
      <c r="O2774" s="2">
        <f t="shared" si="433"/>
        <v>1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24.4</v>
      </c>
      <c r="V2774" s="2">
        <f t="shared" si="434"/>
        <v>1</v>
      </c>
      <c r="W2774">
        <v>15</v>
      </c>
      <c r="X2774" s="2">
        <f t="shared" si="435"/>
        <v>0</v>
      </c>
      <c r="Y2774">
        <v>321.60000000000002</v>
      </c>
      <c r="Z2774" s="2" t="str">
        <f>CHOOSE(MATCH(Y2774,{0;11;80;111;161;191;241;281;341},1),"North","NorthEast","East","SouthEast","South","SouthWest","West","NorthWest","North")</f>
        <v>NorthWest</v>
      </c>
      <c r="AA2774" s="4">
        <f>CHOOSE(MATCH(Z2774,{"South";"SouthEast";"SouthWest";"North";"NorthEast";"East";"West";"NorthWest"},0),1,2,3,4,5,6,7,8)</f>
        <v>8</v>
      </c>
      <c r="AB2774" s="2">
        <f t="shared" si="436"/>
        <v>1</v>
      </c>
      <c r="AC2774">
        <v>1025.3</v>
      </c>
      <c r="AD2774" t="s">
        <v>2118</v>
      </c>
      <c r="AE2774" s="2">
        <f t="shared" si="437"/>
        <v>1</v>
      </c>
      <c r="AF2774" t="s">
        <v>3758</v>
      </c>
      <c r="AG2774" s="2">
        <f t="shared" si="438"/>
        <v>10</v>
      </c>
      <c r="AH2774" s="2">
        <f t="shared" si="439"/>
        <v>0</v>
      </c>
      <c r="AI2774" s="3">
        <v>326.00000000442378</v>
      </c>
      <c r="AJ2774" s="2">
        <v>0</v>
      </c>
      <c r="AK2774">
        <v>0</v>
      </c>
      <c r="AL2774">
        <v>0.03</v>
      </c>
      <c r="AM2774">
        <v>0</v>
      </c>
      <c r="AN2774" s="2">
        <f>IF((2*G2774+M2774-O2774+3*V2774+2*AB2774+2*AE2774+2*AH2774+3*AJ2774)&gt;=7,1,0)</f>
        <v>0</v>
      </c>
    </row>
    <row r="2775" spans="1:40" x14ac:dyDescent="0.25">
      <c r="A2775" t="s">
        <v>27</v>
      </c>
      <c r="B2775" s="1">
        <v>45595</v>
      </c>
      <c r="C2775" s="6">
        <f t="shared" si="430"/>
        <v>2024</v>
      </c>
      <c r="D2775">
        <v>73.400000000000006</v>
      </c>
      <c r="E2775">
        <v>61.6</v>
      </c>
      <c r="F2775">
        <v>69.599999999999994</v>
      </c>
      <c r="G2775" s="2">
        <f t="shared" si="431"/>
        <v>0</v>
      </c>
      <c r="H2775">
        <v>73.400000000000006</v>
      </c>
      <c r="I2775">
        <v>61.6</v>
      </c>
      <c r="J2775">
        <v>69.599999999999994</v>
      </c>
      <c r="K2775">
        <v>61.6</v>
      </c>
      <c r="L2775">
        <v>76</v>
      </c>
      <c r="M2775" s="2">
        <f t="shared" si="432"/>
        <v>0</v>
      </c>
      <c r="N2775">
        <v>0</v>
      </c>
      <c r="O2775" s="2">
        <f t="shared" si="433"/>
        <v>1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29.8</v>
      </c>
      <c r="V2775" s="2">
        <f t="shared" si="434"/>
        <v>1</v>
      </c>
      <c r="W2775">
        <v>18.3</v>
      </c>
      <c r="X2775" s="2">
        <f t="shared" si="435"/>
        <v>1</v>
      </c>
      <c r="Y2775">
        <v>309.39999999999998</v>
      </c>
      <c r="Z2775" s="2" t="str">
        <f>CHOOSE(MATCH(Y2775,{0;11;80;111;161;191;241;281;341},1),"North","NorthEast","East","SouthEast","South","SouthWest","West","NorthWest","North")</f>
        <v>NorthWest</v>
      </c>
      <c r="AA2775" s="4">
        <f>CHOOSE(MATCH(Z2775,{"South";"SouthEast";"SouthWest";"North";"NorthEast";"East";"West";"NorthWest"},0),1,2,3,4,5,6,7,8)</f>
        <v>8</v>
      </c>
      <c r="AB2775" s="2">
        <f t="shared" si="436"/>
        <v>1</v>
      </c>
      <c r="AC2775">
        <v>1017.9</v>
      </c>
      <c r="AD2775" t="s">
        <v>3485</v>
      </c>
      <c r="AE2775" s="2">
        <f t="shared" si="437"/>
        <v>1</v>
      </c>
      <c r="AF2775" t="s">
        <v>3759</v>
      </c>
      <c r="AG2775" s="2">
        <f t="shared" si="438"/>
        <v>10</v>
      </c>
      <c r="AH2775" s="2">
        <f t="shared" si="439"/>
        <v>0</v>
      </c>
      <c r="AI2775" s="3">
        <v>2346.0000000090799</v>
      </c>
      <c r="AJ2775" s="2">
        <v>1</v>
      </c>
      <c r="AK2775">
        <v>2</v>
      </c>
      <c r="AL2775">
        <v>0</v>
      </c>
      <c r="AM2775">
        <v>0</v>
      </c>
      <c r="AN2775" s="2">
        <f>IF((2*G2775+M2775-O2775+3*V2775+2*AB2775+2*AE2775+2*AH2775+3*AJ2775)&gt;=7,1,0)</f>
        <v>1</v>
      </c>
    </row>
    <row r="2776" spans="1:40" x14ac:dyDescent="0.25">
      <c r="A2776" t="s">
        <v>27</v>
      </c>
      <c r="B2776" s="1">
        <v>45602</v>
      </c>
      <c r="C2776" s="6">
        <f t="shared" si="430"/>
        <v>2024</v>
      </c>
      <c r="D2776">
        <v>66.2</v>
      </c>
      <c r="E2776">
        <v>60.8</v>
      </c>
      <c r="F2776">
        <v>63.7</v>
      </c>
      <c r="G2776" s="2">
        <f t="shared" si="431"/>
        <v>0</v>
      </c>
      <c r="H2776">
        <v>66.2</v>
      </c>
      <c r="I2776">
        <v>60.8</v>
      </c>
      <c r="J2776">
        <v>63.7</v>
      </c>
      <c r="K2776">
        <v>53.8</v>
      </c>
      <c r="L2776">
        <v>70.5</v>
      </c>
      <c r="M2776" s="2">
        <f t="shared" si="432"/>
        <v>0</v>
      </c>
      <c r="N2776">
        <v>0</v>
      </c>
      <c r="O2776" s="2">
        <f t="shared" si="433"/>
        <v>1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25.5</v>
      </c>
      <c r="V2776" s="2">
        <f t="shared" si="434"/>
        <v>1</v>
      </c>
      <c r="W2776">
        <v>16.100000000000001</v>
      </c>
      <c r="X2776" s="2">
        <f t="shared" si="435"/>
        <v>1</v>
      </c>
      <c r="Y2776">
        <v>326.2</v>
      </c>
      <c r="Z2776" s="2" t="str">
        <f>CHOOSE(MATCH(Y2776,{0;11;80;111;161;191;241;281;341},1),"North","NorthEast","East","SouthEast","South","SouthWest","West","NorthWest","North")</f>
        <v>NorthWest</v>
      </c>
      <c r="AA2776" s="4">
        <f>CHOOSE(MATCH(Z2776,{"South";"SouthEast";"SouthWest";"North";"NorthEast";"East";"West";"NorthWest"},0),1,2,3,4,5,6,7,8)</f>
        <v>8</v>
      </c>
      <c r="AB2776" s="2">
        <f t="shared" si="436"/>
        <v>1</v>
      </c>
      <c r="AC2776">
        <v>1025.2</v>
      </c>
      <c r="AD2776" t="s">
        <v>3747</v>
      </c>
      <c r="AE2776" s="2">
        <f t="shared" si="437"/>
        <v>0</v>
      </c>
      <c r="AF2776" t="s">
        <v>3760</v>
      </c>
      <c r="AG2776" s="2">
        <f t="shared" si="438"/>
        <v>11</v>
      </c>
      <c r="AH2776" s="2">
        <f t="shared" si="439"/>
        <v>0</v>
      </c>
      <c r="AI2776" s="3">
        <v>549.0000000083819</v>
      </c>
      <c r="AJ2776" s="2">
        <v>1</v>
      </c>
      <c r="AK2776">
        <v>0</v>
      </c>
      <c r="AL2776">
        <v>0.5</v>
      </c>
      <c r="AM2776">
        <v>0</v>
      </c>
      <c r="AN2776" s="2">
        <f>IF((2*G2776+M2776-O2776+3*V2776+2*AB2776+2*AE2776+2*AH2776+3*AJ2776)&gt;=7,1,0)</f>
        <v>1</v>
      </c>
    </row>
    <row r="2777" spans="1:40" x14ac:dyDescent="0.25">
      <c r="A2777" t="s">
        <v>27</v>
      </c>
      <c r="B2777" s="1">
        <v>45604</v>
      </c>
      <c r="C2777" s="6">
        <f t="shared" si="430"/>
        <v>2024</v>
      </c>
      <c r="D2777">
        <v>68</v>
      </c>
      <c r="E2777">
        <v>62.6</v>
      </c>
      <c r="F2777">
        <v>64.400000000000006</v>
      </c>
      <c r="G2777" s="2">
        <f t="shared" si="431"/>
        <v>0</v>
      </c>
      <c r="H2777">
        <v>68</v>
      </c>
      <c r="I2777">
        <v>62.6</v>
      </c>
      <c r="J2777">
        <v>64.400000000000006</v>
      </c>
      <c r="K2777">
        <v>54.8</v>
      </c>
      <c r="L2777">
        <v>71.099999999999994</v>
      </c>
      <c r="M2777" s="2">
        <f t="shared" si="432"/>
        <v>0</v>
      </c>
      <c r="N2777">
        <v>0</v>
      </c>
      <c r="O2777" s="2">
        <f t="shared" si="433"/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25.1</v>
      </c>
      <c r="V2777" s="2">
        <f t="shared" si="434"/>
        <v>1</v>
      </c>
      <c r="W2777">
        <v>13.9</v>
      </c>
      <c r="X2777" s="2">
        <f t="shared" si="435"/>
        <v>0</v>
      </c>
      <c r="Y2777">
        <v>325.2</v>
      </c>
      <c r="Z2777" s="2" t="str">
        <f>CHOOSE(MATCH(Y2777,{0;11;80;111;161;191;241;281;341},1),"North","NorthEast","East","SouthEast","South","SouthWest","West","NorthWest","North")</f>
        <v>NorthWest</v>
      </c>
      <c r="AA2777" s="4">
        <f>CHOOSE(MATCH(Z2777,{"South";"SouthEast";"SouthWest";"North";"NorthEast";"East";"West";"NorthWest"},0),1,2,3,4,5,6,7,8)</f>
        <v>8</v>
      </c>
      <c r="AB2777" s="2">
        <f t="shared" si="436"/>
        <v>1</v>
      </c>
      <c r="AC2777">
        <v>1024.5999999999999</v>
      </c>
      <c r="AD2777" t="s">
        <v>3335</v>
      </c>
      <c r="AE2777" s="2">
        <f t="shared" si="437"/>
        <v>1</v>
      </c>
      <c r="AF2777" t="s">
        <v>3761</v>
      </c>
      <c r="AG2777" s="2">
        <f t="shared" si="438"/>
        <v>11</v>
      </c>
      <c r="AH2777" s="2">
        <f t="shared" si="439"/>
        <v>0</v>
      </c>
      <c r="AI2777" s="3">
        <v>0</v>
      </c>
      <c r="AJ2777" s="2">
        <v>0</v>
      </c>
      <c r="AK2777">
        <v>0</v>
      </c>
      <c r="AL2777">
        <v>0.03</v>
      </c>
      <c r="AM2777">
        <v>0</v>
      </c>
      <c r="AN2777" s="2">
        <f>IF((2*G2777+M2777-O2777+3*V2777+2*AB2777+2*AE2777+2*AH2777+3*AJ2777)&gt;=7,1,0)</f>
        <v>0</v>
      </c>
    </row>
    <row r="2778" spans="1:40" x14ac:dyDescent="0.25">
      <c r="A2778" t="s">
        <v>27</v>
      </c>
      <c r="B2778" s="1">
        <v>45607</v>
      </c>
      <c r="C2778" s="6">
        <f t="shared" si="430"/>
        <v>2024</v>
      </c>
      <c r="D2778">
        <v>66.2</v>
      </c>
      <c r="E2778">
        <v>51.8</v>
      </c>
      <c r="F2778">
        <v>59.6</v>
      </c>
      <c r="G2778" s="2">
        <f t="shared" si="431"/>
        <v>0</v>
      </c>
      <c r="H2778">
        <v>66.2</v>
      </c>
      <c r="I2778">
        <v>51.8</v>
      </c>
      <c r="J2778">
        <v>59.6</v>
      </c>
      <c r="K2778">
        <v>51.1</v>
      </c>
      <c r="L2778">
        <v>73.8</v>
      </c>
      <c r="M2778" s="2">
        <f t="shared" si="432"/>
        <v>0</v>
      </c>
      <c r="N2778">
        <v>0</v>
      </c>
      <c r="O2778" s="2">
        <f t="shared" si="433"/>
        <v>1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15</v>
      </c>
      <c r="V2778" s="2">
        <f t="shared" si="434"/>
        <v>1</v>
      </c>
      <c r="W2778">
        <v>9.1999999999999993</v>
      </c>
      <c r="X2778" s="2">
        <f t="shared" si="435"/>
        <v>0</v>
      </c>
      <c r="Y2778">
        <v>294.5</v>
      </c>
      <c r="Z2778" s="2" t="str">
        <f>CHOOSE(MATCH(Y2778,{0;11;80;111;161;191;241;281;341},1),"North","NorthEast","East","SouthEast","South","SouthWest","West","NorthWest","North")</f>
        <v>NorthWest</v>
      </c>
      <c r="AA2778" s="4">
        <f>CHOOSE(MATCH(Z2778,{"South";"SouthEast";"SouthWest";"North";"NorthEast";"East";"West";"NorthWest"},0),1,2,3,4,5,6,7,8)</f>
        <v>8</v>
      </c>
      <c r="AB2778" s="2">
        <f t="shared" si="436"/>
        <v>1</v>
      </c>
      <c r="AC2778">
        <v>1021</v>
      </c>
      <c r="AD2778" t="s">
        <v>1101</v>
      </c>
      <c r="AE2778" s="2">
        <f t="shared" si="437"/>
        <v>1</v>
      </c>
      <c r="AF2778" t="s">
        <v>3762</v>
      </c>
      <c r="AG2778" s="2">
        <f t="shared" si="438"/>
        <v>11</v>
      </c>
      <c r="AH2778" s="2">
        <f t="shared" si="439"/>
        <v>0</v>
      </c>
      <c r="AI2778" s="3">
        <v>255.00000000349249</v>
      </c>
      <c r="AJ2778" s="2">
        <v>0</v>
      </c>
      <c r="AK2778">
        <v>0</v>
      </c>
      <c r="AL2778">
        <v>0.5</v>
      </c>
      <c r="AM2778">
        <v>0</v>
      </c>
      <c r="AN2778" s="2">
        <f>IF((2*G2778+M2778-O2778+3*V2778+2*AB2778+2*AE2778+2*AH2778+3*AJ2778)&gt;=7,1,0)</f>
        <v>0</v>
      </c>
    </row>
    <row r="2779" spans="1:40" x14ac:dyDescent="0.25">
      <c r="A2779" t="s">
        <v>27</v>
      </c>
      <c r="B2779" s="1">
        <v>45615</v>
      </c>
      <c r="C2779" s="6">
        <f t="shared" si="430"/>
        <v>2024</v>
      </c>
      <c r="D2779">
        <v>69.7</v>
      </c>
      <c r="E2779">
        <v>54.2</v>
      </c>
      <c r="F2779">
        <v>62.2</v>
      </c>
      <c r="G2779" s="2">
        <f t="shared" si="431"/>
        <v>0</v>
      </c>
      <c r="H2779">
        <v>69.7</v>
      </c>
      <c r="I2779">
        <v>54.2</v>
      </c>
      <c r="J2779">
        <v>62.2</v>
      </c>
      <c r="K2779">
        <v>55.3</v>
      </c>
      <c r="L2779">
        <v>78.400000000000006</v>
      </c>
      <c r="M2779" s="2">
        <f t="shared" si="432"/>
        <v>0</v>
      </c>
      <c r="N2779">
        <v>1.2E-2</v>
      </c>
      <c r="O2779" s="2">
        <f t="shared" si="433"/>
        <v>0</v>
      </c>
      <c r="P2779">
        <v>100</v>
      </c>
      <c r="Q2779">
        <v>12.5</v>
      </c>
      <c r="R2779" t="s">
        <v>182</v>
      </c>
      <c r="S2779">
        <v>0</v>
      </c>
      <c r="T2779">
        <v>0</v>
      </c>
      <c r="U2779">
        <v>17</v>
      </c>
      <c r="V2779" s="2">
        <f t="shared" si="434"/>
        <v>1</v>
      </c>
      <c r="W2779">
        <v>5.8</v>
      </c>
      <c r="X2779" s="2">
        <f t="shared" si="435"/>
        <v>0</v>
      </c>
      <c r="Y2779">
        <v>304.3</v>
      </c>
      <c r="Z2779" s="2" t="str">
        <f>CHOOSE(MATCH(Y2779,{0;11;80;111;161;191;241;281;341},1),"North","NorthEast","East","SouthEast","South","SouthWest","West","NorthWest","North")</f>
        <v>NorthWest</v>
      </c>
      <c r="AA2779" s="4">
        <f>CHOOSE(MATCH(Z2779,{"South";"SouthEast";"SouthWest";"North";"NorthEast";"East";"West";"NorthWest"},0),1,2,3,4,5,6,7,8)</f>
        <v>8</v>
      </c>
      <c r="AB2779" s="2">
        <f t="shared" si="436"/>
        <v>1</v>
      </c>
      <c r="AC2779">
        <v>1016.2</v>
      </c>
      <c r="AD2779" t="s">
        <v>3763</v>
      </c>
      <c r="AE2779" s="2">
        <f t="shared" si="437"/>
        <v>1</v>
      </c>
      <c r="AF2779" t="s">
        <v>3764</v>
      </c>
      <c r="AG2779" s="2">
        <f t="shared" si="438"/>
        <v>11</v>
      </c>
      <c r="AH2779" s="2">
        <f t="shared" si="439"/>
        <v>0</v>
      </c>
      <c r="AI2779" s="3">
        <v>388.00000000745058</v>
      </c>
      <c r="AJ2779" s="2">
        <v>1</v>
      </c>
      <c r="AK2779">
        <v>5</v>
      </c>
      <c r="AL2779">
        <v>0</v>
      </c>
      <c r="AM2779">
        <v>0</v>
      </c>
      <c r="AN2779" s="2">
        <f>IF((2*G2779+M2779-O2779+3*V2779+2*AB2779+2*AE2779+2*AH2779+3*AJ2779)&gt;=7,1,0)</f>
        <v>1</v>
      </c>
    </row>
    <row r="2780" spans="1:40" x14ac:dyDescent="0.25">
      <c r="A2780" t="s">
        <v>27</v>
      </c>
      <c r="B2780" s="1">
        <v>45618</v>
      </c>
      <c r="C2780" s="6">
        <f t="shared" si="430"/>
        <v>2024</v>
      </c>
      <c r="D2780">
        <v>78.8</v>
      </c>
      <c r="E2780">
        <v>59</v>
      </c>
      <c r="F2780">
        <v>68.400000000000006</v>
      </c>
      <c r="G2780" s="2">
        <f t="shared" si="431"/>
        <v>0</v>
      </c>
      <c r="H2780">
        <v>78.8</v>
      </c>
      <c r="I2780">
        <v>59</v>
      </c>
      <c r="J2780">
        <v>68.400000000000006</v>
      </c>
      <c r="K2780">
        <v>59.7</v>
      </c>
      <c r="L2780">
        <v>75</v>
      </c>
      <c r="M2780" s="2">
        <f t="shared" si="432"/>
        <v>0</v>
      </c>
      <c r="N2780">
        <v>0</v>
      </c>
      <c r="O2780" s="2">
        <f t="shared" si="433"/>
        <v>1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34.200000000000003</v>
      </c>
      <c r="V2780" s="2">
        <f t="shared" si="434"/>
        <v>1</v>
      </c>
      <c r="W2780">
        <v>17.7</v>
      </c>
      <c r="X2780" s="2">
        <f t="shared" si="435"/>
        <v>1</v>
      </c>
      <c r="Y2780">
        <v>184.1</v>
      </c>
      <c r="Z2780" s="2" t="str">
        <f>CHOOSE(MATCH(Y2780,{0;11;80;111;161;191;241;281;341},1),"North","NorthEast","East","SouthEast","South","SouthWest","West","NorthWest","North")</f>
        <v>South</v>
      </c>
      <c r="AA2780" s="4">
        <f>CHOOSE(MATCH(Z2780,{"South";"SouthEast";"SouthWest";"North";"NorthEast";"East";"West";"NorthWest"},0),1,2,3,4,5,6,7,8)</f>
        <v>1</v>
      </c>
      <c r="AB2780" s="2">
        <f t="shared" si="436"/>
        <v>0</v>
      </c>
      <c r="AC2780">
        <v>1015</v>
      </c>
      <c r="AD2780" t="s">
        <v>2499</v>
      </c>
      <c r="AE2780" s="2">
        <f t="shared" si="437"/>
        <v>0</v>
      </c>
      <c r="AF2780" t="s">
        <v>3765</v>
      </c>
      <c r="AG2780" s="2">
        <f t="shared" si="438"/>
        <v>11</v>
      </c>
      <c r="AH2780" s="2">
        <f t="shared" si="439"/>
        <v>0</v>
      </c>
      <c r="AI2780" s="3">
        <v>581.00000000791624</v>
      </c>
      <c r="AJ2780" s="2">
        <v>1</v>
      </c>
      <c r="AK2780">
        <v>0</v>
      </c>
      <c r="AL2780">
        <v>10</v>
      </c>
      <c r="AM2780">
        <v>0</v>
      </c>
      <c r="AN2780" s="2">
        <f>IF((2*G2780+M2780-O2780+3*V2780+2*AB2780+2*AE2780+2*AH2780+3*AJ2780)&gt;=7,1,0)</f>
        <v>0</v>
      </c>
    </row>
    <row r="2781" spans="1:40" x14ac:dyDescent="0.25">
      <c r="A2781" t="s">
        <v>27</v>
      </c>
      <c r="B2781" s="1">
        <v>45619</v>
      </c>
      <c r="C2781" s="6">
        <f t="shared" si="430"/>
        <v>2024</v>
      </c>
      <c r="D2781">
        <v>75.2</v>
      </c>
      <c r="E2781">
        <v>56.2</v>
      </c>
      <c r="F2781">
        <v>67.2</v>
      </c>
      <c r="G2781" s="2">
        <f t="shared" si="431"/>
        <v>0</v>
      </c>
      <c r="H2781">
        <v>75.2</v>
      </c>
      <c r="I2781">
        <v>56.2</v>
      </c>
      <c r="J2781">
        <v>67.2</v>
      </c>
      <c r="K2781">
        <v>57.9</v>
      </c>
      <c r="L2781">
        <v>72.400000000000006</v>
      </c>
      <c r="M2781" s="2">
        <f t="shared" si="432"/>
        <v>0</v>
      </c>
      <c r="N2781">
        <v>1.2E-2</v>
      </c>
      <c r="O2781" s="2">
        <f t="shared" si="433"/>
        <v>0</v>
      </c>
      <c r="P2781">
        <v>100</v>
      </c>
      <c r="Q2781">
        <v>4.17</v>
      </c>
      <c r="R2781" t="s">
        <v>182</v>
      </c>
      <c r="S2781">
        <v>0</v>
      </c>
      <c r="T2781">
        <v>0</v>
      </c>
      <c r="U2781">
        <v>34.4</v>
      </c>
      <c r="V2781" s="2">
        <f t="shared" si="434"/>
        <v>1</v>
      </c>
      <c r="W2781">
        <v>21.9</v>
      </c>
      <c r="X2781" s="2">
        <f t="shared" si="435"/>
        <v>1</v>
      </c>
      <c r="Y2781">
        <v>297.3</v>
      </c>
      <c r="Z2781" s="2" t="str">
        <f>CHOOSE(MATCH(Y2781,{0;11;80;111;161;191;241;281;341},1),"North","NorthEast","East","SouthEast","South","SouthWest","West","NorthWest","North")</f>
        <v>NorthWest</v>
      </c>
      <c r="AA2781" s="4">
        <f>CHOOSE(MATCH(Z2781,{"South";"SouthEast";"SouthWest";"North";"NorthEast";"East";"West";"NorthWest"},0),1,2,3,4,5,6,7,8)</f>
        <v>8</v>
      </c>
      <c r="AB2781" s="2">
        <f t="shared" si="436"/>
        <v>1</v>
      </c>
      <c r="AC2781">
        <v>1017</v>
      </c>
      <c r="AD2781" t="s">
        <v>1161</v>
      </c>
      <c r="AE2781" s="2">
        <f t="shared" si="437"/>
        <v>0</v>
      </c>
      <c r="AF2781" t="s">
        <v>3766</v>
      </c>
      <c r="AG2781" s="2">
        <f t="shared" si="438"/>
        <v>11</v>
      </c>
      <c r="AH2781" s="2">
        <f t="shared" si="439"/>
        <v>0</v>
      </c>
      <c r="AI2781" s="3">
        <v>254.99999999301511</v>
      </c>
      <c r="AJ2781" s="2">
        <v>0</v>
      </c>
      <c r="AK2781">
        <v>5</v>
      </c>
      <c r="AL2781">
        <v>0</v>
      </c>
      <c r="AM2781">
        <v>0</v>
      </c>
      <c r="AN2781" s="2">
        <f>IF((2*G2781+M2781-O2781+3*V2781+2*AB2781+2*AE2781+2*AH2781+3*AJ2781)&gt;=7,1,0)</f>
        <v>0</v>
      </c>
    </row>
    <row r="2782" spans="1:40" x14ac:dyDescent="0.25">
      <c r="A2782" t="s">
        <v>27</v>
      </c>
      <c r="B2782" s="1">
        <v>45620</v>
      </c>
      <c r="C2782" s="6">
        <f t="shared" si="430"/>
        <v>2024</v>
      </c>
      <c r="D2782">
        <v>59</v>
      </c>
      <c r="E2782">
        <v>49</v>
      </c>
      <c r="F2782">
        <v>54.8</v>
      </c>
      <c r="G2782" s="2">
        <f t="shared" si="431"/>
        <v>0</v>
      </c>
      <c r="H2782">
        <v>59</v>
      </c>
      <c r="I2782">
        <v>43.3</v>
      </c>
      <c r="J2782">
        <v>54.6</v>
      </c>
      <c r="K2782">
        <v>42.2</v>
      </c>
      <c r="L2782">
        <v>62.5</v>
      </c>
      <c r="M2782" s="2">
        <f t="shared" si="432"/>
        <v>1</v>
      </c>
      <c r="N2782">
        <v>1E-3</v>
      </c>
      <c r="O2782" s="2">
        <f t="shared" si="433"/>
        <v>1</v>
      </c>
      <c r="P2782">
        <v>100</v>
      </c>
      <c r="Q2782">
        <v>4.17</v>
      </c>
      <c r="R2782" t="s">
        <v>182</v>
      </c>
      <c r="S2782">
        <v>0</v>
      </c>
      <c r="T2782">
        <v>0</v>
      </c>
      <c r="U2782">
        <v>47.6</v>
      </c>
      <c r="V2782" s="2">
        <f t="shared" si="434"/>
        <v>1</v>
      </c>
      <c r="W2782">
        <v>27.7</v>
      </c>
      <c r="X2782" s="2">
        <f t="shared" si="435"/>
        <v>1</v>
      </c>
      <c r="Y2782">
        <v>2.4</v>
      </c>
      <c r="Z2782" s="2" t="str">
        <f>CHOOSE(MATCH(Y2782,{0;11;80;111;161;191;241;281;341},1),"North","NorthEast","East","SouthEast","South","SouthWest","West","NorthWest","North")</f>
        <v>North</v>
      </c>
      <c r="AA2782" s="4">
        <f>CHOOSE(MATCH(Z2782,{"South";"SouthEast";"SouthWest";"North";"NorthEast";"East";"West";"NorthWest"},0),1,2,3,4,5,6,7,8)</f>
        <v>4</v>
      </c>
      <c r="AB2782" s="2">
        <f t="shared" si="436"/>
        <v>1</v>
      </c>
      <c r="AC2782">
        <v>1029.8</v>
      </c>
      <c r="AD2782" t="s">
        <v>3767</v>
      </c>
      <c r="AE2782" s="2">
        <f t="shared" si="437"/>
        <v>0</v>
      </c>
      <c r="AF2782" t="s">
        <v>3768</v>
      </c>
      <c r="AG2782" s="2">
        <f t="shared" si="438"/>
        <v>11</v>
      </c>
      <c r="AH2782" s="2">
        <f t="shared" si="439"/>
        <v>0</v>
      </c>
      <c r="AI2782" s="3">
        <v>535.99999999743886</v>
      </c>
      <c r="AJ2782" s="2">
        <v>1</v>
      </c>
      <c r="AK2782">
        <v>0</v>
      </c>
      <c r="AL2782">
        <v>1</v>
      </c>
      <c r="AM2782">
        <v>0</v>
      </c>
      <c r="AN2782" s="2">
        <f>IF((2*G2782+M2782-O2782+3*V2782+2*AB2782+2*AE2782+2*AH2782+3*AJ2782)&gt;=7,1,0)</f>
        <v>1</v>
      </c>
    </row>
    <row r="2783" spans="1:40" x14ac:dyDescent="0.25">
      <c r="A2783" t="s">
        <v>27</v>
      </c>
      <c r="B2783" s="1">
        <v>45621</v>
      </c>
      <c r="C2783" s="6">
        <f t="shared" si="430"/>
        <v>2024</v>
      </c>
      <c r="D2783">
        <v>60.8</v>
      </c>
      <c r="E2783">
        <v>53.6</v>
      </c>
      <c r="F2783">
        <v>56.3</v>
      </c>
      <c r="G2783" s="2">
        <f t="shared" si="431"/>
        <v>0</v>
      </c>
      <c r="H2783">
        <v>60.8</v>
      </c>
      <c r="I2783">
        <v>53.6</v>
      </c>
      <c r="J2783">
        <v>56.3</v>
      </c>
      <c r="K2783">
        <v>42.5</v>
      </c>
      <c r="L2783">
        <v>59.9</v>
      </c>
      <c r="M2783" s="2">
        <f t="shared" si="432"/>
        <v>1</v>
      </c>
      <c r="N2783">
        <v>0</v>
      </c>
      <c r="O2783" s="2">
        <f t="shared" si="433"/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34.9</v>
      </c>
      <c r="V2783" s="2">
        <f t="shared" si="434"/>
        <v>1</v>
      </c>
      <c r="W2783">
        <v>17.2</v>
      </c>
      <c r="X2783" s="2">
        <f t="shared" si="435"/>
        <v>1</v>
      </c>
      <c r="Y2783">
        <v>350.4</v>
      </c>
      <c r="Z2783" s="2" t="str">
        <f>CHOOSE(MATCH(Y2783,{0;11;80;111;161;191;241;281;341},1),"North","NorthEast","East","SouthEast","South","SouthWest","West","NorthWest","North")</f>
        <v>North</v>
      </c>
      <c r="AA2783" s="4">
        <f>CHOOSE(MATCH(Z2783,{"South";"SouthEast";"SouthWest";"North";"NorthEast";"East";"West";"NorthWest"},0),1,2,3,4,5,6,7,8)</f>
        <v>4</v>
      </c>
      <c r="AB2783" s="2">
        <f t="shared" si="436"/>
        <v>1</v>
      </c>
      <c r="AC2783">
        <v>1026.9000000000001</v>
      </c>
      <c r="AD2783" t="s">
        <v>2214</v>
      </c>
      <c r="AE2783" s="2">
        <f t="shared" si="437"/>
        <v>1</v>
      </c>
      <c r="AF2783" t="s">
        <v>3769</v>
      </c>
      <c r="AG2783" s="2">
        <f t="shared" si="438"/>
        <v>11</v>
      </c>
      <c r="AH2783" s="2">
        <f t="shared" si="439"/>
        <v>0</v>
      </c>
      <c r="AI2783" s="3">
        <v>251.00000000093129</v>
      </c>
      <c r="AJ2783" s="2">
        <v>0</v>
      </c>
      <c r="AK2783">
        <v>0.2</v>
      </c>
      <c r="AL2783">
        <v>0</v>
      </c>
      <c r="AM2783">
        <v>0</v>
      </c>
      <c r="AN2783" s="2">
        <f>IF((2*G2783+M2783-O2783+3*V2783+2*AB2783+2*AE2783+2*AH2783+3*AJ2783)&gt;=7,1,0)</f>
        <v>1</v>
      </c>
    </row>
    <row r="2784" spans="1:40" x14ac:dyDescent="0.25">
      <c r="A2784" t="s">
        <v>27</v>
      </c>
      <c r="B2784" s="1">
        <v>45621</v>
      </c>
      <c r="C2784" s="6">
        <f t="shared" si="430"/>
        <v>2024</v>
      </c>
      <c r="D2784">
        <v>60.8</v>
      </c>
      <c r="E2784">
        <v>53.6</v>
      </c>
      <c r="F2784">
        <v>56.3</v>
      </c>
      <c r="G2784" s="2">
        <f t="shared" si="431"/>
        <v>0</v>
      </c>
      <c r="H2784">
        <v>60.8</v>
      </c>
      <c r="I2784">
        <v>53.6</v>
      </c>
      <c r="J2784">
        <v>56.3</v>
      </c>
      <c r="K2784">
        <v>42.5</v>
      </c>
      <c r="L2784">
        <v>59.9</v>
      </c>
      <c r="M2784" s="2">
        <f t="shared" si="432"/>
        <v>1</v>
      </c>
      <c r="N2784">
        <v>0</v>
      </c>
      <c r="O2784" s="2">
        <f t="shared" si="433"/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34.9</v>
      </c>
      <c r="V2784" s="2">
        <f t="shared" si="434"/>
        <v>1</v>
      </c>
      <c r="W2784">
        <v>17.2</v>
      </c>
      <c r="X2784" s="2">
        <f t="shared" si="435"/>
        <v>1</v>
      </c>
      <c r="Y2784">
        <v>350.4</v>
      </c>
      <c r="Z2784" s="2" t="str">
        <f>CHOOSE(MATCH(Y2784,{0;11;80;111;161;191;241;281;341},1),"North","NorthEast","East","SouthEast","South","SouthWest","West","NorthWest","North")</f>
        <v>North</v>
      </c>
      <c r="AA2784" s="4">
        <f>CHOOSE(MATCH(Z2784,{"South";"SouthEast";"SouthWest";"North";"NorthEast";"East";"West";"NorthWest"},0),1,2,3,4,5,6,7,8)</f>
        <v>4</v>
      </c>
      <c r="AB2784" s="2">
        <f t="shared" si="436"/>
        <v>1</v>
      </c>
      <c r="AC2784">
        <v>1026.9000000000001</v>
      </c>
      <c r="AD2784" t="s">
        <v>3770</v>
      </c>
      <c r="AE2784" s="2">
        <f t="shared" si="437"/>
        <v>0</v>
      </c>
      <c r="AF2784" t="s">
        <v>3771</v>
      </c>
      <c r="AG2784" s="2">
        <f t="shared" si="438"/>
        <v>11</v>
      </c>
      <c r="AH2784" s="2">
        <f t="shared" si="439"/>
        <v>0</v>
      </c>
      <c r="AI2784" s="3">
        <v>304.99999999883579</v>
      </c>
      <c r="AJ2784" s="2">
        <v>0</v>
      </c>
      <c r="AK2784">
        <v>0</v>
      </c>
      <c r="AL2784">
        <v>0.3</v>
      </c>
      <c r="AM2784">
        <v>0</v>
      </c>
      <c r="AN2784" s="2">
        <f>IF((2*G2784+M2784-O2784+3*V2784+2*AB2784+2*AE2784+2*AH2784+3*AJ2784)&gt;=7,1,0)</f>
        <v>0</v>
      </c>
    </row>
    <row r="2785" spans="1:40" x14ac:dyDescent="0.25">
      <c r="A2785" t="s">
        <v>27</v>
      </c>
      <c r="B2785" s="1">
        <v>45622</v>
      </c>
      <c r="C2785" s="6">
        <f t="shared" si="430"/>
        <v>2024</v>
      </c>
      <c r="D2785">
        <v>59</v>
      </c>
      <c r="E2785">
        <v>48.5</v>
      </c>
      <c r="F2785">
        <v>55.9</v>
      </c>
      <c r="G2785" s="2">
        <f t="shared" si="431"/>
        <v>0</v>
      </c>
      <c r="H2785">
        <v>59</v>
      </c>
      <c r="I2785">
        <v>43.7</v>
      </c>
      <c r="J2785">
        <v>55.7</v>
      </c>
      <c r="K2785">
        <v>45.3</v>
      </c>
      <c r="L2785">
        <v>67.7</v>
      </c>
      <c r="M2785" s="2">
        <f t="shared" si="432"/>
        <v>0</v>
      </c>
      <c r="N2785">
        <v>0</v>
      </c>
      <c r="O2785" s="2">
        <f t="shared" si="433"/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25.9</v>
      </c>
      <c r="V2785" s="2">
        <f t="shared" si="434"/>
        <v>1</v>
      </c>
      <c r="W2785">
        <v>16.100000000000001</v>
      </c>
      <c r="X2785" s="2">
        <f t="shared" si="435"/>
        <v>1</v>
      </c>
      <c r="Y2785">
        <v>345</v>
      </c>
      <c r="Z2785" s="2" t="str">
        <f>CHOOSE(MATCH(Y2785,{0;11;80;111;161;191;241;281;341},1),"North","NorthEast","East","SouthEast","South","SouthWest","West","NorthWest","North")</f>
        <v>North</v>
      </c>
      <c r="AA2785" s="4">
        <f>CHOOSE(MATCH(Z2785,{"South";"SouthEast";"SouthWest";"North";"NorthEast";"East";"West";"NorthWest"},0),1,2,3,4,5,6,7,8)</f>
        <v>4</v>
      </c>
      <c r="AB2785" s="2">
        <f t="shared" si="436"/>
        <v>1</v>
      </c>
      <c r="AC2785">
        <v>1023.8</v>
      </c>
      <c r="AD2785" t="s">
        <v>2043</v>
      </c>
      <c r="AE2785" s="2">
        <f t="shared" si="437"/>
        <v>1</v>
      </c>
      <c r="AF2785" t="s">
        <v>3772</v>
      </c>
      <c r="AG2785" s="2">
        <f t="shared" si="438"/>
        <v>11</v>
      </c>
      <c r="AH2785" s="2">
        <f t="shared" si="439"/>
        <v>0</v>
      </c>
      <c r="AI2785" s="3">
        <v>155.99999999511061</v>
      </c>
      <c r="AJ2785" s="2">
        <v>0</v>
      </c>
      <c r="AK2785">
        <v>0</v>
      </c>
      <c r="AL2785">
        <v>0.1</v>
      </c>
      <c r="AM2785">
        <v>0</v>
      </c>
      <c r="AN2785" s="2">
        <f>IF((2*G2785+M2785-O2785+3*V2785+2*AB2785+2*AE2785+2*AH2785+3*AJ2785)&gt;=7,1,0)</f>
        <v>0</v>
      </c>
    </row>
    <row r="2786" spans="1:40" x14ac:dyDescent="0.25">
      <c r="A2786" t="s">
        <v>27</v>
      </c>
      <c r="B2786" s="1">
        <v>45622</v>
      </c>
      <c r="C2786" s="6">
        <f t="shared" si="430"/>
        <v>2024</v>
      </c>
      <c r="D2786">
        <v>59</v>
      </c>
      <c r="E2786">
        <v>48.5</v>
      </c>
      <c r="F2786">
        <v>55.9</v>
      </c>
      <c r="G2786" s="2">
        <f t="shared" si="431"/>
        <v>0</v>
      </c>
      <c r="H2786">
        <v>59</v>
      </c>
      <c r="I2786">
        <v>43.7</v>
      </c>
      <c r="J2786">
        <v>55.7</v>
      </c>
      <c r="K2786">
        <v>45.3</v>
      </c>
      <c r="L2786">
        <v>67.7</v>
      </c>
      <c r="M2786" s="2">
        <f t="shared" si="432"/>
        <v>0</v>
      </c>
      <c r="N2786">
        <v>0</v>
      </c>
      <c r="O2786" s="2">
        <f t="shared" si="433"/>
        <v>1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25.9</v>
      </c>
      <c r="V2786" s="2">
        <f t="shared" si="434"/>
        <v>1</v>
      </c>
      <c r="W2786">
        <v>16.100000000000001</v>
      </c>
      <c r="X2786" s="2">
        <f t="shared" si="435"/>
        <v>1</v>
      </c>
      <c r="Y2786">
        <v>345</v>
      </c>
      <c r="Z2786" s="2" t="str">
        <f>CHOOSE(MATCH(Y2786,{0;11;80;111;161;191;241;281;341},1),"North","NorthEast","East","SouthEast","South","SouthWest","West","NorthWest","North")</f>
        <v>North</v>
      </c>
      <c r="AA2786" s="4">
        <f>CHOOSE(MATCH(Z2786,{"South";"SouthEast";"SouthWest";"North";"NorthEast";"East";"West";"NorthWest"},0),1,2,3,4,5,6,7,8)</f>
        <v>4</v>
      </c>
      <c r="AB2786" s="2">
        <f t="shared" si="436"/>
        <v>1</v>
      </c>
      <c r="AC2786">
        <v>1023.8</v>
      </c>
      <c r="AD2786" t="s">
        <v>2089</v>
      </c>
      <c r="AE2786" s="2">
        <f t="shared" si="437"/>
        <v>0</v>
      </c>
      <c r="AF2786" t="s">
        <v>3773</v>
      </c>
      <c r="AG2786" s="2">
        <f t="shared" si="438"/>
        <v>11</v>
      </c>
      <c r="AH2786" s="2">
        <f t="shared" si="439"/>
        <v>0</v>
      </c>
      <c r="AI2786" s="3">
        <v>177.00000000069849</v>
      </c>
      <c r="AJ2786" s="2">
        <v>0</v>
      </c>
      <c r="AK2786">
        <v>0</v>
      </c>
      <c r="AL2786">
        <v>2</v>
      </c>
      <c r="AM2786">
        <v>0</v>
      </c>
      <c r="AN2786" s="2">
        <f>IF((2*G2786+M2786-O2786+3*V2786+2*AB2786+2*AE2786+2*AH2786+3*AJ2786)&gt;=7,1,0)</f>
        <v>0</v>
      </c>
    </row>
    <row r="2787" spans="1:40" x14ac:dyDescent="0.25">
      <c r="A2787" t="s">
        <v>27</v>
      </c>
      <c r="B2787" s="1">
        <v>45624</v>
      </c>
      <c r="C2787" s="6">
        <f t="shared" si="430"/>
        <v>2024</v>
      </c>
      <c r="D2787">
        <v>64.400000000000006</v>
      </c>
      <c r="E2787">
        <v>50</v>
      </c>
      <c r="F2787">
        <v>56.6</v>
      </c>
      <c r="G2787" s="2">
        <f t="shared" si="431"/>
        <v>0</v>
      </c>
      <c r="H2787">
        <v>64.400000000000006</v>
      </c>
      <c r="I2787">
        <v>50</v>
      </c>
      <c r="J2787">
        <v>56.6</v>
      </c>
      <c r="K2787">
        <v>51.4</v>
      </c>
      <c r="L2787">
        <v>83</v>
      </c>
      <c r="M2787" s="2">
        <f t="shared" si="432"/>
        <v>0</v>
      </c>
      <c r="N2787">
        <v>0</v>
      </c>
      <c r="O2787" s="2">
        <f t="shared" si="433"/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16.100000000000001</v>
      </c>
      <c r="V2787" s="2">
        <f t="shared" si="434"/>
        <v>1</v>
      </c>
      <c r="W2787">
        <v>6.9</v>
      </c>
      <c r="X2787" s="2">
        <f t="shared" si="435"/>
        <v>0</v>
      </c>
      <c r="Y2787">
        <v>1.9</v>
      </c>
      <c r="Z2787" s="2" t="str">
        <f>CHOOSE(MATCH(Y2787,{0;11;80;111;161;191;241;281;341},1),"North","NorthEast","East","SouthEast","South","SouthWest","West","NorthWest","North")</f>
        <v>North</v>
      </c>
      <c r="AA2787" s="4">
        <f>CHOOSE(MATCH(Z2787,{"South";"SouthEast";"SouthWest";"North";"NorthEast";"East";"West";"NorthWest"},0),1,2,3,4,5,6,7,8)</f>
        <v>4</v>
      </c>
      <c r="AB2787" s="2">
        <f t="shared" si="436"/>
        <v>1</v>
      </c>
      <c r="AC2787">
        <v>1025.0999999999999</v>
      </c>
      <c r="AD2787" t="s">
        <v>1191</v>
      </c>
      <c r="AE2787" s="2">
        <f t="shared" si="437"/>
        <v>0</v>
      </c>
      <c r="AF2787" t="s">
        <v>3774</v>
      </c>
      <c r="AG2787" s="2">
        <f t="shared" si="438"/>
        <v>11</v>
      </c>
      <c r="AH2787" s="2">
        <f t="shared" si="439"/>
        <v>0</v>
      </c>
      <c r="AI2787" s="3">
        <v>62.999999995809048</v>
      </c>
      <c r="AJ2787" s="2">
        <v>0</v>
      </c>
      <c r="AK2787">
        <v>0</v>
      </c>
      <c r="AL2787">
        <v>0.1</v>
      </c>
      <c r="AM2787">
        <v>0</v>
      </c>
      <c r="AN2787" s="2">
        <f>IF((2*G2787+M2787-O2787+3*V2787+2*AB2787+2*AE2787+2*AH2787+3*AJ2787)&gt;=7,1,0)</f>
        <v>0</v>
      </c>
    </row>
    <row r="2788" spans="1:40" x14ac:dyDescent="0.25">
      <c r="A2788" t="s">
        <v>27</v>
      </c>
      <c r="B2788" s="1">
        <v>45624</v>
      </c>
      <c r="C2788" s="6">
        <f t="shared" si="430"/>
        <v>2024</v>
      </c>
      <c r="D2788">
        <v>64.400000000000006</v>
      </c>
      <c r="E2788">
        <v>50</v>
      </c>
      <c r="F2788">
        <v>56.6</v>
      </c>
      <c r="G2788" s="2">
        <f t="shared" si="431"/>
        <v>0</v>
      </c>
      <c r="H2788">
        <v>64.400000000000006</v>
      </c>
      <c r="I2788">
        <v>50</v>
      </c>
      <c r="J2788">
        <v>56.6</v>
      </c>
      <c r="K2788">
        <v>51.4</v>
      </c>
      <c r="L2788">
        <v>83</v>
      </c>
      <c r="M2788" s="2">
        <f t="shared" si="432"/>
        <v>0</v>
      </c>
      <c r="N2788">
        <v>0</v>
      </c>
      <c r="O2788" s="2">
        <f t="shared" si="433"/>
        <v>1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16.100000000000001</v>
      </c>
      <c r="V2788" s="2">
        <f t="shared" si="434"/>
        <v>1</v>
      </c>
      <c r="W2788">
        <v>6.9</v>
      </c>
      <c r="X2788" s="2">
        <f t="shared" si="435"/>
        <v>0</v>
      </c>
      <c r="Y2788">
        <v>1.9</v>
      </c>
      <c r="Z2788" s="2" t="str">
        <f>CHOOSE(MATCH(Y2788,{0;11;80;111;161;191;241;281;341},1),"North","NorthEast","East","SouthEast","South","SouthWest","West","NorthWest","North")</f>
        <v>North</v>
      </c>
      <c r="AA2788" s="4">
        <f>CHOOSE(MATCH(Z2788,{"South";"SouthEast";"SouthWest";"North";"NorthEast";"East";"West";"NorthWest"},0),1,2,3,4,5,6,7,8)</f>
        <v>4</v>
      </c>
      <c r="AB2788" s="2">
        <f t="shared" si="436"/>
        <v>1</v>
      </c>
      <c r="AC2788">
        <v>1025.0999999999999</v>
      </c>
      <c r="AD2788" t="s">
        <v>1264</v>
      </c>
      <c r="AE2788" s="2">
        <f t="shared" si="437"/>
        <v>1</v>
      </c>
      <c r="AF2788" t="s">
        <v>3775</v>
      </c>
      <c r="AG2788" s="2">
        <f t="shared" si="438"/>
        <v>11</v>
      </c>
      <c r="AH2788" s="2">
        <f t="shared" si="439"/>
        <v>0</v>
      </c>
      <c r="AI2788" s="3">
        <v>400.99999999743892</v>
      </c>
      <c r="AJ2788" s="2">
        <v>1</v>
      </c>
      <c r="AK2788">
        <v>0</v>
      </c>
      <c r="AL2788">
        <v>1</v>
      </c>
      <c r="AM2788">
        <v>0</v>
      </c>
      <c r="AN2788" s="2">
        <f>IF((2*G2788+M2788-O2788+3*V2788+2*AB2788+2*AE2788+2*AH2788+3*AJ2788)&gt;=7,1,0)</f>
        <v>1</v>
      </c>
    </row>
    <row r="2789" spans="1:40" x14ac:dyDescent="0.25">
      <c r="A2789" t="s">
        <v>27</v>
      </c>
      <c r="B2789" s="1">
        <v>45637</v>
      </c>
      <c r="C2789" s="6">
        <f t="shared" si="430"/>
        <v>2024</v>
      </c>
      <c r="D2789">
        <v>68</v>
      </c>
      <c r="E2789">
        <v>60.8</v>
      </c>
      <c r="F2789">
        <v>64</v>
      </c>
      <c r="G2789" s="2">
        <f t="shared" si="431"/>
        <v>0</v>
      </c>
      <c r="H2789">
        <v>68</v>
      </c>
      <c r="I2789">
        <v>60.8</v>
      </c>
      <c r="J2789">
        <v>64</v>
      </c>
      <c r="K2789">
        <v>56.1</v>
      </c>
      <c r="L2789">
        <v>75.8</v>
      </c>
      <c r="M2789" s="2">
        <f t="shared" si="432"/>
        <v>0</v>
      </c>
      <c r="N2789">
        <v>0</v>
      </c>
      <c r="O2789" s="2">
        <f t="shared" si="433"/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18.3</v>
      </c>
      <c r="V2789" s="2">
        <f t="shared" si="434"/>
        <v>1</v>
      </c>
      <c r="W2789">
        <v>13.9</v>
      </c>
      <c r="X2789" s="2">
        <f t="shared" si="435"/>
        <v>0</v>
      </c>
      <c r="Y2789">
        <v>251.4</v>
      </c>
      <c r="Z2789" s="2" t="str">
        <f>CHOOSE(MATCH(Y2789,{0;11;80;111;161;191;241;281;341},1),"North","NorthEast","East","SouthEast","South","SouthWest","West","NorthWest","North")</f>
        <v>West</v>
      </c>
      <c r="AA2789" s="4">
        <f>CHOOSE(MATCH(Z2789,{"South";"SouthEast";"SouthWest";"North";"NorthEast";"East";"West";"NorthWest"},0),1,2,3,4,5,6,7,8)</f>
        <v>7</v>
      </c>
      <c r="AB2789" s="2">
        <f t="shared" si="436"/>
        <v>0</v>
      </c>
      <c r="AC2789">
        <v>1021.5</v>
      </c>
      <c r="AD2789" t="s">
        <v>2332</v>
      </c>
      <c r="AE2789" s="2">
        <f t="shared" si="437"/>
        <v>1</v>
      </c>
      <c r="AF2789" t="s">
        <v>3776</v>
      </c>
      <c r="AG2789" s="2">
        <f t="shared" si="438"/>
        <v>12</v>
      </c>
      <c r="AH2789" s="2">
        <f t="shared" si="439"/>
        <v>0</v>
      </c>
      <c r="AI2789" s="3">
        <v>281.00000000442378</v>
      </c>
      <c r="AJ2789" s="2">
        <v>0</v>
      </c>
      <c r="AK2789">
        <v>0</v>
      </c>
      <c r="AL2789">
        <v>25</v>
      </c>
      <c r="AM2789">
        <v>0</v>
      </c>
      <c r="AN2789" s="2">
        <f>IF((2*G2789+M2789-O2789+3*V2789+2*AB2789+2*AE2789+2*AH2789+3*AJ2789)&gt;=7,1,0)</f>
        <v>0</v>
      </c>
    </row>
    <row r="2790" spans="1:40" x14ac:dyDescent="0.25">
      <c r="A2790" t="s">
        <v>27</v>
      </c>
      <c r="B2790" s="1">
        <v>45638</v>
      </c>
      <c r="C2790" s="6">
        <f t="shared" si="430"/>
        <v>2024</v>
      </c>
      <c r="D2790">
        <v>64.400000000000006</v>
      </c>
      <c r="E2790">
        <v>53.6</v>
      </c>
      <c r="F2790">
        <v>60.7</v>
      </c>
      <c r="G2790" s="2">
        <f t="shared" si="431"/>
        <v>0</v>
      </c>
      <c r="H2790">
        <v>64.400000000000006</v>
      </c>
      <c r="I2790">
        <v>53.6</v>
      </c>
      <c r="J2790">
        <v>60.7</v>
      </c>
      <c r="K2790">
        <v>54.1</v>
      </c>
      <c r="L2790">
        <v>79.099999999999994</v>
      </c>
      <c r="M2790" s="2">
        <f t="shared" si="432"/>
        <v>0</v>
      </c>
      <c r="N2790">
        <v>0</v>
      </c>
      <c r="O2790" s="2">
        <f t="shared" si="433"/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17</v>
      </c>
      <c r="V2790" s="2">
        <f t="shared" si="434"/>
        <v>1</v>
      </c>
      <c r="W2790">
        <v>11.4</v>
      </c>
      <c r="X2790" s="2">
        <f t="shared" si="435"/>
        <v>0</v>
      </c>
      <c r="Y2790">
        <v>262.2</v>
      </c>
      <c r="Z2790" s="2" t="str">
        <f>CHOOSE(MATCH(Y2790,{0;11;80;111;161;191;241;281;341},1),"North","NorthEast","East","SouthEast","South","SouthWest","West","NorthWest","North")</f>
        <v>West</v>
      </c>
      <c r="AA2790" s="4">
        <f>CHOOSE(MATCH(Z2790,{"South";"SouthEast";"SouthWest";"North";"NorthEast";"East";"West";"NorthWest"},0),1,2,3,4,5,6,7,8)</f>
        <v>7</v>
      </c>
      <c r="AB2790" s="2">
        <f t="shared" si="436"/>
        <v>0</v>
      </c>
      <c r="AC2790">
        <v>1023.1</v>
      </c>
      <c r="AD2790" t="s">
        <v>3591</v>
      </c>
      <c r="AE2790" s="2">
        <f t="shared" si="437"/>
        <v>0</v>
      </c>
      <c r="AF2790" t="s">
        <v>3777</v>
      </c>
      <c r="AG2790" s="2">
        <f t="shared" si="438"/>
        <v>12</v>
      </c>
      <c r="AH2790" s="2">
        <f t="shared" si="439"/>
        <v>0</v>
      </c>
      <c r="AI2790" s="3">
        <v>342.00000000419101</v>
      </c>
      <c r="AJ2790" s="2">
        <v>0</v>
      </c>
      <c r="AK2790">
        <v>0</v>
      </c>
      <c r="AL2790">
        <v>30</v>
      </c>
      <c r="AM2790">
        <v>0</v>
      </c>
      <c r="AN2790" s="2">
        <f>IF((2*G2790+M2790-O2790+3*V2790+2*AB2790+2*AE2790+2*AH2790+3*AJ2790)&gt;=7,1,0)</f>
        <v>0</v>
      </c>
    </row>
    <row r="2791" spans="1:40" x14ac:dyDescent="0.25">
      <c r="X2791"/>
      <c r="Z2791"/>
      <c r="AA2791"/>
      <c r="AB2791" s="5"/>
      <c r="AJ2791"/>
    </row>
    <row r="2792" spans="1:40" x14ac:dyDescent="0.25">
      <c r="X2792"/>
      <c r="Z2792"/>
      <c r="AA2792"/>
      <c r="AB2792" s="5"/>
      <c r="AJ2792"/>
    </row>
    <row r="2793" spans="1:40" x14ac:dyDescent="0.25">
      <c r="X2793"/>
      <c r="Z2793"/>
      <c r="AA2793"/>
      <c r="AB2793" s="5"/>
      <c r="AJ2793"/>
    </row>
    <row r="2794" spans="1:40" x14ac:dyDescent="0.25">
      <c r="X2794"/>
      <c r="Z2794"/>
      <c r="AA2794"/>
      <c r="AB2794" s="5"/>
      <c r="AJ2794"/>
    </row>
    <row r="2795" spans="1:40" x14ac:dyDescent="0.25">
      <c r="X2795"/>
      <c r="Z2795"/>
      <c r="AA2795"/>
      <c r="AB2795" s="5"/>
      <c r="AJ2795"/>
    </row>
    <row r="2796" spans="1:40" x14ac:dyDescent="0.25">
      <c r="X2796"/>
      <c r="Z2796"/>
      <c r="AA2796"/>
      <c r="AB2796" s="5"/>
      <c r="AJ2796"/>
    </row>
    <row r="2797" spans="1:40" x14ac:dyDescent="0.25">
      <c r="X2797"/>
      <c r="Z2797"/>
      <c r="AA2797"/>
      <c r="AB2797" s="5"/>
      <c r="AJ2797"/>
    </row>
    <row r="2798" spans="1:40" x14ac:dyDescent="0.25">
      <c r="X2798"/>
      <c r="Z2798"/>
      <c r="AA2798"/>
      <c r="AB2798" s="5"/>
      <c r="AJ2798"/>
    </row>
    <row r="2799" spans="1:40" x14ac:dyDescent="0.25">
      <c r="X2799"/>
      <c r="Z2799"/>
      <c r="AA2799"/>
      <c r="AB2799" s="5"/>
      <c r="AJ2799"/>
    </row>
    <row r="2800" spans="1:40" x14ac:dyDescent="0.25">
      <c r="X2800"/>
      <c r="Z2800"/>
      <c r="AA2800"/>
      <c r="AB2800" s="5"/>
      <c r="AJ2800"/>
    </row>
    <row r="2801" spans="24:36" x14ac:dyDescent="0.25">
      <c r="X2801"/>
      <c r="Z2801"/>
      <c r="AA2801"/>
      <c r="AB2801" s="5"/>
      <c r="AJ2801"/>
    </row>
    <row r="2802" spans="24:36" x14ac:dyDescent="0.25">
      <c r="X2802"/>
      <c r="Z2802"/>
      <c r="AA2802"/>
      <c r="AB2802" s="5"/>
      <c r="AJ2802"/>
    </row>
    <row r="2803" spans="24:36" x14ac:dyDescent="0.25">
      <c r="X2803"/>
      <c r="Z2803"/>
      <c r="AA2803"/>
      <c r="AB2803" s="5"/>
      <c r="AJ2803"/>
    </row>
    <row r="2804" spans="24:36" x14ac:dyDescent="0.25">
      <c r="X2804"/>
      <c r="Z2804"/>
      <c r="AA2804"/>
      <c r="AB2804" s="5"/>
      <c r="AJ2804"/>
    </row>
    <row r="2805" spans="24:36" x14ac:dyDescent="0.25">
      <c r="X2805"/>
      <c r="Z2805"/>
      <c r="AA2805"/>
      <c r="AB2805" s="5"/>
      <c r="AJ2805"/>
    </row>
    <row r="2806" spans="24:36" x14ac:dyDescent="0.25">
      <c r="X2806"/>
      <c r="Z2806"/>
      <c r="AA2806"/>
      <c r="AB2806" s="5"/>
      <c r="AJ2806"/>
    </row>
    <row r="2807" spans="24:36" x14ac:dyDescent="0.25">
      <c r="X2807"/>
      <c r="Z2807"/>
      <c r="AA2807"/>
      <c r="AB2807" s="5"/>
      <c r="AJ2807"/>
    </row>
    <row r="2808" spans="24:36" x14ac:dyDescent="0.25">
      <c r="X2808"/>
      <c r="Z2808"/>
      <c r="AA2808"/>
      <c r="AB2808" s="5"/>
      <c r="AJ2808"/>
    </row>
    <row r="2809" spans="24:36" x14ac:dyDescent="0.25">
      <c r="X2809"/>
      <c r="Z2809"/>
      <c r="AA2809"/>
      <c r="AB2809" s="5"/>
      <c r="AJ2809"/>
    </row>
    <row r="2810" spans="24:36" x14ac:dyDescent="0.25">
      <c r="X2810"/>
      <c r="Z2810"/>
      <c r="AA2810"/>
      <c r="AB2810" s="5"/>
      <c r="AJ2810"/>
    </row>
    <row r="2811" spans="24:36" x14ac:dyDescent="0.25">
      <c r="X2811"/>
      <c r="Z2811"/>
      <c r="AA2811"/>
      <c r="AB2811" s="5"/>
      <c r="AJ2811"/>
    </row>
    <row r="2812" spans="24:36" x14ac:dyDescent="0.25">
      <c r="X2812"/>
      <c r="Z2812"/>
      <c r="AA2812"/>
      <c r="AB2812" s="5"/>
      <c r="AJ2812"/>
    </row>
    <row r="2813" spans="24:36" x14ac:dyDescent="0.25">
      <c r="X2813"/>
      <c r="Z2813"/>
      <c r="AA2813"/>
      <c r="AB2813" s="5"/>
      <c r="AJ2813"/>
    </row>
    <row r="2814" spans="24:36" x14ac:dyDescent="0.25">
      <c r="X2814"/>
      <c r="Z2814"/>
      <c r="AA2814"/>
      <c r="AB2814" s="5"/>
      <c r="AJ2814"/>
    </row>
    <row r="2815" spans="24:36" x14ac:dyDescent="0.25">
      <c r="X2815"/>
      <c r="Z2815"/>
      <c r="AA2815"/>
      <c r="AB2815" s="5"/>
      <c r="AJ2815"/>
    </row>
    <row r="2816" spans="24:36" x14ac:dyDescent="0.25">
      <c r="X2816"/>
      <c r="Z2816"/>
      <c r="AA2816"/>
      <c r="AB2816" s="5"/>
      <c r="AJ2816"/>
    </row>
    <row r="2817" spans="24:36" x14ac:dyDescent="0.25">
      <c r="X2817"/>
      <c r="Z2817"/>
      <c r="AA2817"/>
      <c r="AB2817" s="5"/>
      <c r="AJ2817"/>
    </row>
    <row r="2818" spans="24:36" x14ac:dyDescent="0.25">
      <c r="X2818"/>
      <c r="Z2818"/>
      <c r="AA2818"/>
      <c r="AB2818" s="5"/>
      <c r="AJ2818"/>
    </row>
    <row r="2819" spans="24:36" x14ac:dyDescent="0.25">
      <c r="X2819"/>
      <c r="Z2819"/>
      <c r="AA2819"/>
      <c r="AB2819" s="5"/>
      <c r="AJ2819"/>
    </row>
    <row r="2820" spans="24:36" x14ac:dyDescent="0.25">
      <c r="X2820"/>
      <c r="Z2820"/>
      <c r="AA2820"/>
      <c r="AB2820" s="5"/>
      <c r="AJ2820"/>
    </row>
    <row r="2821" spans="24:36" x14ac:dyDescent="0.25">
      <c r="X2821"/>
      <c r="Z2821"/>
      <c r="AA2821"/>
      <c r="AB2821" s="5"/>
      <c r="AJ2821"/>
    </row>
    <row r="2822" spans="24:36" x14ac:dyDescent="0.25">
      <c r="X2822"/>
      <c r="Z2822"/>
      <c r="AA2822"/>
      <c r="AB2822" s="5"/>
      <c r="AJ2822"/>
    </row>
    <row r="2823" spans="24:36" x14ac:dyDescent="0.25">
      <c r="X2823"/>
      <c r="Z2823"/>
      <c r="AA2823"/>
      <c r="AB2823" s="5"/>
      <c r="AJ2823"/>
    </row>
    <row r="2824" spans="24:36" x14ac:dyDescent="0.25">
      <c r="X2824"/>
      <c r="Z2824"/>
      <c r="AA2824"/>
      <c r="AB2824" s="5"/>
      <c r="AJ2824"/>
    </row>
    <row r="2825" spans="24:36" x14ac:dyDescent="0.25">
      <c r="X2825"/>
      <c r="Z2825"/>
      <c r="AA2825"/>
      <c r="AB2825" s="5"/>
      <c r="AJ2825"/>
    </row>
    <row r="2826" spans="24:36" x14ac:dyDescent="0.25">
      <c r="X2826"/>
      <c r="Z2826"/>
      <c r="AA2826"/>
      <c r="AB2826" s="5"/>
      <c r="AJ2826"/>
    </row>
    <row r="2827" spans="24:36" x14ac:dyDescent="0.25">
      <c r="X2827"/>
      <c r="Z2827"/>
      <c r="AA2827"/>
      <c r="AB2827" s="5"/>
      <c r="AJ2827"/>
    </row>
    <row r="2828" spans="24:36" x14ac:dyDescent="0.25">
      <c r="X2828"/>
      <c r="Z2828"/>
      <c r="AA2828"/>
      <c r="AB2828" s="5"/>
      <c r="AJ2828"/>
    </row>
    <row r="2829" spans="24:36" x14ac:dyDescent="0.25">
      <c r="X2829"/>
      <c r="Z2829"/>
      <c r="AA2829"/>
      <c r="AB2829" s="5"/>
      <c r="AJ2829"/>
    </row>
    <row r="2830" spans="24:36" x14ac:dyDescent="0.25">
      <c r="X2830"/>
      <c r="Z2830"/>
      <c r="AA2830"/>
      <c r="AB2830" s="5"/>
      <c r="AJ2830"/>
    </row>
    <row r="2831" spans="24:36" x14ac:dyDescent="0.25">
      <c r="X2831"/>
      <c r="Z2831"/>
      <c r="AA2831"/>
      <c r="AB2831" s="5"/>
      <c r="AJ2831"/>
    </row>
    <row r="2832" spans="24:36" x14ac:dyDescent="0.25">
      <c r="X2832"/>
      <c r="Z2832"/>
      <c r="AA2832"/>
      <c r="AB2832" s="5"/>
      <c r="AJ2832"/>
    </row>
    <row r="2833" spans="24:36" x14ac:dyDescent="0.25">
      <c r="X2833"/>
      <c r="Z2833"/>
      <c r="AA2833"/>
      <c r="AB2833" s="5"/>
      <c r="AJ2833"/>
    </row>
    <row r="2834" spans="24:36" x14ac:dyDescent="0.25">
      <c r="X2834"/>
      <c r="Z2834"/>
      <c r="AA2834"/>
      <c r="AB2834" s="5"/>
      <c r="AJ2834"/>
    </row>
    <row r="2835" spans="24:36" x14ac:dyDescent="0.25">
      <c r="X2835"/>
      <c r="Z2835"/>
      <c r="AA2835"/>
      <c r="AB2835" s="5"/>
      <c r="AJ2835"/>
    </row>
    <row r="2836" spans="24:36" x14ac:dyDescent="0.25">
      <c r="X2836"/>
      <c r="Z2836"/>
      <c r="AA2836"/>
      <c r="AB2836" s="5"/>
      <c r="AJ2836"/>
    </row>
    <row r="2837" spans="24:36" x14ac:dyDescent="0.25">
      <c r="X2837"/>
      <c r="Z2837"/>
      <c r="AA2837"/>
      <c r="AB2837" s="5"/>
      <c r="AJ2837"/>
    </row>
    <row r="2838" spans="24:36" x14ac:dyDescent="0.25">
      <c r="X2838"/>
      <c r="Z2838"/>
      <c r="AA2838"/>
      <c r="AB2838" s="5"/>
      <c r="AJ2838"/>
    </row>
    <row r="2839" spans="24:36" x14ac:dyDescent="0.25">
      <c r="X2839"/>
      <c r="Z2839"/>
      <c r="AA2839"/>
      <c r="AB2839" s="5"/>
      <c r="AJ2839"/>
    </row>
    <row r="2840" spans="24:36" x14ac:dyDescent="0.25">
      <c r="X2840"/>
      <c r="Z2840"/>
      <c r="AA2840"/>
      <c r="AB2840" s="5"/>
      <c r="AJ2840"/>
    </row>
    <row r="2841" spans="24:36" x14ac:dyDescent="0.25">
      <c r="X2841"/>
      <c r="Z2841"/>
      <c r="AA2841"/>
      <c r="AB2841" s="5"/>
      <c r="AJ2841"/>
    </row>
    <row r="2842" spans="24:36" x14ac:dyDescent="0.25">
      <c r="X2842"/>
      <c r="Z2842"/>
      <c r="AA2842"/>
      <c r="AB2842" s="5"/>
      <c r="AJ2842"/>
    </row>
    <row r="2843" spans="24:36" x14ac:dyDescent="0.25">
      <c r="X2843"/>
      <c r="Z2843"/>
      <c r="AA2843"/>
      <c r="AB2843" s="5"/>
      <c r="AJ2843"/>
    </row>
    <row r="2844" spans="24:36" x14ac:dyDescent="0.25">
      <c r="X2844"/>
      <c r="Z2844"/>
      <c r="AA2844"/>
      <c r="AB2844" s="5"/>
      <c r="AJ2844"/>
    </row>
    <row r="2845" spans="24:36" x14ac:dyDescent="0.25">
      <c r="X2845"/>
      <c r="Z2845"/>
      <c r="AA2845"/>
      <c r="AB2845" s="5"/>
      <c r="AJ2845"/>
    </row>
    <row r="2846" spans="24:36" x14ac:dyDescent="0.25">
      <c r="X2846"/>
      <c r="Z2846"/>
      <c r="AA2846"/>
      <c r="AB2846" s="5"/>
      <c r="AJ2846"/>
    </row>
    <row r="2847" spans="24:36" x14ac:dyDescent="0.25">
      <c r="X2847"/>
      <c r="Z2847"/>
      <c r="AA2847"/>
      <c r="AB2847" s="5"/>
      <c r="AJ2847"/>
    </row>
    <row r="2848" spans="24:36" x14ac:dyDescent="0.25">
      <c r="X2848"/>
      <c r="Z2848"/>
      <c r="AA2848"/>
      <c r="AB2848" s="5"/>
      <c r="AJ2848"/>
    </row>
    <row r="2849" spans="24:36" x14ac:dyDescent="0.25">
      <c r="X2849"/>
      <c r="Z2849"/>
      <c r="AA2849"/>
      <c r="AB2849" s="5"/>
      <c r="AJ2849"/>
    </row>
    <row r="2850" spans="24:36" x14ac:dyDescent="0.25">
      <c r="X2850"/>
      <c r="Z2850"/>
      <c r="AA2850"/>
      <c r="AB2850" s="5"/>
      <c r="AJ2850"/>
    </row>
    <row r="2851" spans="24:36" x14ac:dyDescent="0.25">
      <c r="X2851"/>
      <c r="Z2851"/>
      <c r="AA2851"/>
      <c r="AB2851" s="5"/>
      <c r="AJ2851"/>
    </row>
    <row r="2852" spans="24:36" x14ac:dyDescent="0.25">
      <c r="X2852"/>
      <c r="Z2852"/>
      <c r="AA2852"/>
      <c r="AB2852" s="5"/>
      <c r="AJ2852"/>
    </row>
    <row r="2853" spans="24:36" x14ac:dyDescent="0.25">
      <c r="X2853"/>
      <c r="Z2853"/>
      <c r="AA2853"/>
      <c r="AB2853" s="5"/>
      <c r="AJ2853"/>
    </row>
    <row r="2854" spans="24:36" x14ac:dyDescent="0.25">
      <c r="X2854"/>
      <c r="Z2854"/>
      <c r="AA2854"/>
      <c r="AB2854" s="5"/>
      <c r="AJ2854"/>
    </row>
    <row r="2855" spans="24:36" x14ac:dyDescent="0.25">
      <c r="X2855"/>
      <c r="Z2855"/>
      <c r="AA2855"/>
      <c r="AB2855" s="5"/>
      <c r="AJ2855"/>
    </row>
    <row r="2856" spans="24:36" x14ac:dyDescent="0.25">
      <c r="X2856"/>
      <c r="Z2856"/>
      <c r="AA2856"/>
      <c r="AB2856" s="5"/>
      <c r="AJ2856"/>
    </row>
    <row r="2857" spans="24:36" x14ac:dyDescent="0.25">
      <c r="X2857"/>
      <c r="Z2857"/>
      <c r="AA2857"/>
      <c r="AB2857" s="5"/>
      <c r="AJ2857"/>
    </row>
    <row r="2858" spans="24:36" x14ac:dyDescent="0.25">
      <c r="X2858"/>
      <c r="Z2858"/>
      <c r="AA2858"/>
      <c r="AB2858" s="5"/>
      <c r="AJ2858"/>
    </row>
    <row r="2859" spans="24:36" x14ac:dyDescent="0.25">
      <c r="X2859"/>
      <c r="Z2859"/>
      <c r="AA2859"/>
      <c r="AB2859" s="5"/>
      <c r="AJ2859"/>
    </row>
    <row r="2860" spans="24:36" x14ac:dyDescent="0.25">
      <c r="X2860"/>
      <c r="Z2860"/>
      <c r="AA2860"/>
      <c r="AB2860" s="5"/>
      <c r="AJ2860"/>
    </row>
    <row r="2861" spans="24:36" x14ac:dyDescent="0.25">
      <c r="X2861"/>
      <c r="Z2861"/>
      <c r="AA2861"/>
      <c r="AB2861" s="5"/>
      <c r="AJ2861"/>
    </row>
    <row r="2862" spans="24:36" x14ac:dyDescent="0.25">
      <c r="X2862"/>
      <c r="Z2862"/>
      <c r="AA2862"/>
      <c r="AB2862" s="5"/>
      <c r="AJ2862"/>
    </row>
    <row r="2863" spans="24:36" x14ac:dyDescent="0.25">
      <c r="X2863"/>
      <c r="Z2863"/>
      <c r="AA2863"/>
      <c r="AB2863" s="5"/>
      <c r="AJ2863"/>
    </row>
    <row r="2864" spans="24:36" x14ac:dyDescent="0.25">
      <c r="X2864"/>
      <c r="Z2864"/>
      <c r="AA2864"/>
      <c r="AB2864" s="5"/>
      <c r="AJ2864"/>
    </row>
    <row r="2865" spans="24:36" x14ac:dyDescent="0.25">
      <c r="X2865"/>
      <c r="Z2865"/>
      <c r="AA2865"/>
      <c r="AB2865" s="5"/>
      <c r="AJ2865"/>
    </row>
    <row r="2866" spans="24:36" x14ac:dyDescent="0.25">
      <c r="X2866"/>
      <c r="Z2866"/>
      <c r="AA2866"/>
      <c r="AB2866" s="5"/>
      <c r="AJ2866"/>
    </row>
    <row r="2867" spans="24:36" x14ac:dyDescent="0.25">
      <c r="X2867"/>
      <c r="Z2867"/>
      <c r="AA2867"/>
      <c r="AB2867" s="5"/>
      <c r="AJ2867"/>
    </row>
    <row r="2868" spans="24:36" x14ac:dyDescent="0.25">
      <c r="X2868"/>
      <c r="Z2868"/>
      <c r="AA2868"/>
      <c r="AB2868" s="5"/>
      <c r="AJ2868"/>
    </row>
    <row r="2869" spans="24:36" x14ac:dyDescent="0.25">
      <c r="X2869"/>
      <c r="Z2869"/>
      <c r="AA2869"/>
      <c r="AB2869" s="5"/>
      <c r="AJ2869"/>
    </row>
    <row r="2870" spans="24:36" x14ac:dyDescent="0.25">
      <c r="X2870"/>
      <c r="Z2870"/>
      <c r="AA2870"/>
      <c r="AB2870" s="5"/>
      <c r="AJ2870"/>
    </row>
    <row r="2871" spans="24:36" x14ac:dyDescent="0.25">
      <c r="X2871"/>
      <c r="Z2871"/>
      <c r="AA2871"/>
      <c r="AB2871" s="5"/>
      <c r="AJ2871"/>
    </row>
    <row r="2872" spans="24:36" x14ac:dyDescent="0.25">
      <c r="X2872"/>
      <c r="Z2872"/>
      <c r="AA2872"/>
      <c r="AB2872" s="5"/>
      <c r="AJ2872"/>
    </row>
    <row r="2873" spans="24:36" x14ac:dyDescent="0.25">
      <c r="X2873"/>
      <c r="Z2873"/>
      <c r="AA2873"/>
      <c r="AB2873" s="5"/>
      <c r="AJ2873"/>
    </row>
    <row r="2874" spans="24:36" x14ac:dyDescent="0.25">
      <c r="X2874"/>
      <c r="Z2874"/>
      <c r="AA2874"/>
      <c r="AB2874" s="5"/>
      <c r="AJ2874"/>
    </row>
    <row r="2875" spans="24:36" x14ac:dyDescent="0.25">
      <c r="X2875"/>
      <c r="Z2875"/>
      <c r="AA2875"/>
      <c r="AB2875" s="5"/>
      <c r="AJ2875"/>
    </row>
    <row r="2876" spans="24:36" x14ac:dyDescent="0.25">
      <c r="X2876"/>
      <c r="Z2876"/>
      <c r="AA2876"/>
      <c r="AB2876" s="5"/>
      <c r="AJ2876"/>
    </row>
    <row r="2877" spans="24:36" x14ac:dyDescent="0.25">
      <c r="X2877"/>
      <c r="Z2877"/>
      <c r="AA2877"/>
      <c r="AB2877" s="5"/>
      <c r="AJ2877"/>
    </row>
    <row r="2878" spans="24:36" x14ac:dyDescent="0.25">
      <c r="X2878"/>
      <c r="Z2878"/>
      <c r="AA2878"/>
      <c r="AB2878" s="5"/>
      <c r="AJ2878"/>
    </row>
    <row r="2879" spans="24:36" x14ac:dyDescent="0.25">
      <c r="X2879"/>
      <c r="Z2879"/>
      <c r="AA2879"/>
      <c r="AB2879" s="5"/>
      <c r="AJ2879"/>
    </row>
    <row r="2880" spans="24:36" x14ac:dyDescent="0.25">
      <c r="X2880"/>
      <c r="Z2880"/>
      <c r="AA2880"/>
      <c r="AB2880" s="5"/>
      <c r="AJ2880"/>
    </row>
    <row r="2881" spans="24:36" x14ac:dyDescent="0.25">
      <c r="X2881"/>
      <c r="Z2881"/>
      <c r="AA2881"/>
      <c r="AB2881" s="5"/>
      <c r="AJ2881"/>
    </row>
    <row r="2882" spans="24:36" x14ac:dyDescent="0.25">
      <c r="X2882"/>
      <c r="Z2882"/>
      <c r="AA2882"/>
      <c r="AB2882" s="5"/>
      <c r="AJ2882"/>
    </row>
    <row r="2883" spans="24:36" x14ac:dyDescent="0.25">
      <c r="X2883"/>
      <c r="Z2883"/>
      <c r="AA2883"/>
      <c r="AB2883" s="5"/>
      <c r="AJ2883"/>
    </row>
    <row r="2884" spans="24:36" x14ac:dyDescent="0.25">
      <c r="X2884"/>
      <c r="Z2884"/>
      <c r="AA2884"/>
      <c r="AB2884" s="5"/>
      <c r="AJ2884"/>
    </row>
    <row r="2885" spans="24:36" x14ac:dyDescent="0.25">
      <c r="X2885"/>
      <c r="Z2885"/>
      <c r="AA2885"/>
      <c r="AB2885" s="5"/>
      <c r="AJ2885"/>
    </row>
    <row r="2886" spans="24:36" x14ac:dyDescent="0.25">
      <c r="X2886"/>
      <c r="Z2886"/>
      <c r="AA2886"/>
      <c r="AB2886" s="5"/>
      <c r="AJ2886"/>
    </row>
    <row r="2887" spans="24:36" x14ac:dyDescent="0.25">
      <c r="X2887"/>
      <c r="Z2887"/>
      <c r="AA2887"/>
      <c r="AB2887" s="5"/>
      <c r="AJ2887"/>
    </row>
    <row r="2888" spans="24:36" x14ac:dyDescent="0.25">
      <c r="X2888"/>
      <c r="Z2888"/>
      <c r="AA2888"/>
      <c r="AB2888" s="5"/>
      <c r="AJ2888"/>
    </row>
    <row r="2889" spans="24:36" x14ac:dyDescent="0.25">
      <c r="X2889"/>
      <c r="Z2889"/>
      <c r="AA2889"/>
      <c r="AB2889" s="5"/>
      <c r="AJ2889"/>
    </row>
    <row r="2890" spans="24:36" x14ac:dyDescent="0.25">
      <c r="X2890"/>
      <c r="Z2890"/>
      <c r="AA2890"/>
      <c r="AB2890" s="5"/>
      <c r="AJ2890"/>
    </row>
    <row r="2891" spans="24:36" x14ac:dyDescent="0.25">
      <c r="X2891"/>
      <c r="Z2891"/>
      <c r="AA2891"/>
      <c r="AB2891" s="5"/>
      <c r="AJ2891"/>
    </row>
    <row r="2892" spans="24:36" x14ac:dyDescent="0.25">
      <c r="X2892"/>
      <c r="Z2892"/>
      <c r="AA2892"/>
      <c r="AB2892" s="5"/>
      <c r="AJ2892"/>
    </row>
    <row r="2893" spans="24:36" x14ac:dyDescent="0.25">
      <c r="X2893"/>
      <c r="Z2893"/>
      <c r="AA2893"/>
      <c r="AB2893" s="5"/>
      <c r="AJ2893"/>
    </row>
    <row r="2894" spans="24:36" x14ac:dyDescent="0.25">
      <c r="X2894"/>
      <c r="Z2894"/>
      <c r="AA2894"/>
      <c r="AB2894" s="5"/>
      <c r="AJ2894"/>
    </row>
    <row r="2895" spans="24:36" x14ac:dyDescent="0.25">
      <c r="X2895"/>
      <c r="Z2895"/>
      <c r="AA2895"/>
      <c r="AB2895" s="5"/>
      <c r="AJ2895"/>
    </row>
    <row r="2896" spans="24:36" x14ac:dyDescent="0.25">
      <c r="X2896"/>
      <c r="Z2896"/>
      <c r="AA2896"/>
      <c r="AB2896" s="5"/>
      <c r="AJ2896"/>
    </row>
    <row r="2897" spans="24:36" x14ac:dyDescent="0.25">
      <c r="X2897"/>
      <c r="Z2897"/>
      <c r="AA2897"/>
      <c r="AB2897" s="5"/>
      <c r="AJ2897"/>
    </row>
    <row r="2898" spans="24:36" x14ac:dyDescent="0.25">
      <c r="X2898"/>
      <c r="Z2898"/>
      <c r="AA2898"/>
      <c r="AB2898" s="5"/>
      <c r="AJ2898"/>
    </row>
    <row r="2899" spans="24:36" x14ac:dyDescent="0.25">
      <c r="X2899"/>
      <c r="Z2899"/>
      <c r="AA2899"/>
      <c r="AB2899" s="5"/>
      <c r="AJ2899"/>
    </row>
    <row r="2900" spans="24:36" x14ac:dyDescent="0.25">
      <c r="X2900"/>
      <c r="Z2900"/>
      <c r="AA2900"/>
      <c r="AB2900" s="5"/>
      <c r="AJ2900"/>
    </row>
    <row r="2901" spans="24:36" x14ac:dyDescent="0.25">
      <c r="X2901"/>
      <c r="Z2901"/>
      <c r="AA2901"/>
      <c r="AB2901" s="5"/>
      <c r="AJ2901"/>
    </row>
    <row r="2902" spans="24:36" x14ac:dyDescent="0.25">
      <c r="X2902"/>
      <c r="Z2902"/>
      <c r="AA2902"/>
      <c r="AB2902" s="5"/>
      <c r="AJ2902"/>
    </row>
    <row r="2903" spans="24:36" x14ac:dyDescent="0.25">
      <c r="X2903"/>
      <c r="Z2903"/>
      <c r="AA2903"/>
      <c r="AB2903" s="5"/>
      <c r="AJ2903"/>
    </row>
    <row r="2904" spans="24:36" x14ac:dyDescent="0.25">
      <c r="X2904"/>
      <c r="Z2904"/>
      <c r="AA2904"/>
      <c r="AB2904" s="5"/>
      <c r="AJ2904"/>
    </row>
    <row r="2905" spans="24:36" x14ac:dyDescent="0.25">
      <c r="X2905"/>
      <c r="Z2905"/>
      <c r="AA2905"/>
      <c r="AB2905" s="5"/>
      <c r="AJ2905"/>
    </row>
    <row r="2906" spans="24:36" x14ac:dyDescent="0.25">
      <c r="X2906"/>
      <c r="Z2906"/>
      <c r="AA2906"/>
      <c r="AB2906" s="5"/>
      <c r="AJ2906"/>
    </row>
    <row r="2907" spans="24:36" x14ac:dyDescent="0.25">
      <c r="X2907"/>
      <c r="Z2907"/>
      <c r="AA2907"/>
      <c r="AB2907" s="5"/>
      <c r="AJ2907"/>
    </row>
    <row r="2908" spans="24:36" x14ac:dyDescent="0.25">
      <c r="X2908"/>
      <c r="Z2908"/>
      <c r="AA2908"/>
      <c r="AB2908" s="5"/>
      <c r="AJ2908"/>
    </row>
    <row r="2909" spans="24:36" x14ac:dyDescent="0.25">
      <c r="X2909"/>
      <c r="Z2909"/>
      <c r="AA2909"/>
      <c r="AB2909" s="5"/>
      <c r="AJ2909"/>
    </row>
    <row r="2910" spans="24:36" x14ac:dyDescent="0.25">
      <c r="X2910"/>
      <c r="Z2910"/>
      <c r="AA2910"/>
      <c r="AB2910" s="5"/>
      <c r="AJ2910"/>
    </row>
    <row r="2911" spans="24:36" x14ac:dyDescent="0.25">
      <c r="X2911"/>
      <c r="Z2911"/>
      <c r="AA2911"/>
      <c r="AB2911" s="5"/>
      <c r="AJ2911"/>
    </row>
    <row r="2912" spans="24:36" x14ac:dyDescent="0.25">
      <c r="X2912"/>
      <c r="Z2912"/>
      <c r="AA2912"/>
      <c r="AB2912" s="5"/>
      <c r="AJ2912"/>
    </row>
    <row r="2913" spans="24:36" x14ac:dyDescent="0.25">
      <c r="X2913"/>
      <c r="Z2913"/>
      <c r="AA2913"/>
      <c r="AB2913" s="5"/>
      <c r="AJ2913"/>
    </row>
    <row r="2914" spans="24:36" x14ac:dyDescent="0.25">
      <c r="X2914"/>
      <c r="Z2914"/>
      <c r="AA2914"/>
      <c r="AB2914" s="5"/>
      <c r="AJ2914"/>
    </row>
    <row r="2915" spans="24:36" x14ac:dyDescent="0.25">
      <c r="X2915"/>
      <c r="Z2915"/>
      <c r="AA2915"/>
      <c r="AB2915" s="5"/>
      <c r="AJ2915"/>
    </row>
    <row r="2916" spans="24:36" x14ac:dyDescent="0.25">
      <c r="X2916"/>
      <c r="Z2916"/>
      <c r="AA2916"/>
      <c r="AB2916" s="5"/>
      <c r="AJ2916"/>
    </row>
    <row r="2917" spans="24:36" x14ac:dyDescent="0.25">
      <c r="X2917"/>
      <c r="Z2917"/>
      <c r="AA2917"/>
      <c r="AB2917" s="5"/>
      <c r="AJ2917"/>
    </row>
    <row r="2918" spans="24:36" x14ac:dyDescent="0.25">
      <c r="X2918"/>
      <c r="Z2918"/>
      <c r="AA2918"/>
      <c r="AB2918" s="5"/>
      <c r="AJ2918"/>
    </row>
    <row r="2919" spans="24:36" x14ac:dyDescent="0.25">
      <c r="X2919"/>
      <c r="Z2919"/>
      <c r="AA2919"/>
      <c r="AB2919" s="5"/>
      <c r="AJ2919"/>
    </row>
    <row r="2920" spans="24:36" x14ac:dyDescent="0.25">
      <c r="X2920"/>
      <c r="Z2920"/>
      <c r="AA2920"/>
      <c r="AB2920" s="5"/>
      <c r="AJ2920"/>
    </row>
    <row r="2921" spans="24:36" x14ac:dyDescent="0.25">
      <c r="X2921"/>
      <c r="Z2921"/>
      <c r="AA2921"/>
      <c r="AB2921" s="5"/>
      <c r="AJ2921"/>
    </row>
    <row r="2922" spans="24:36" x14ac:dyDescent="0.25">
      <c r="X2922"/>
      <c r="Z2922"/>
      <c r="AA2922"/>
      <c r="AB2922" s="5"/>
      <c r="AJ2922"/>
    </row>
    <row r="2923" spans="24:36" x14ac:dyDescent="0.25">
      <c r="X2923"/>
      <c r="Z2923"/>
      <c r="AA2923"/>
      <c r="AB2923" s="5"/>
      <c r="AJ2923"/>
    </row>
    <row r="2924" spans="24:36" x14ac:dyDescent="0.25">
      <c r="X2924"/>
      <c r="Z2924"/>
      <c r="AA2924"/>
      <c r="AB2924" s="5"/>
      <c r="AJ2924"/>
    </row>
    <row r="2925" spans="24:36" x14ac:dyDescent="0.25">
      <c r="X2925"/>
      <c r="Z2925"/>
      <c r="AA2925"/>
      <c r="AB2925" s="5"/>
      <c r="AJ2925"/>
    </row>
    <row r="2926" spans="24:36" x14ac:dyDescent="0.25">
      <c r="X2926"/>
      <c r="Z2926"/>
      <c r="AA2926"/>
      <c r="AB2926" s="5"/>
      <c r="AJ2926"/>
    </row>
    <row r="2927" spans="24:36" x14ac:dyDescent="0.25">
      <c r="X2927"/>
      <c r="Z2927"/>
      <c r="AA2927"/>
      <c r="AB2927" s="5"/>
      <c r="AJ2927"/>
    </row>
    <row r="2928" spans="24:36" x14ac:dyDescent="0.25">
      <c r="X2928"/>
      <c r="Z2928"/>
      <c r="AA2928"/>
      <c r="AB2928" s="5"/>
      <c r="AJ2928"/>
    </row>
    <row r="2929" spans="24:36" x14ac:dyDescent="0.25">
      <c r="X2929"/>
      <c r="Z2929"/>
      <c r="AA2929"/>
      <c r="AB2929" s="5"/>
      <c r="AJ2929"/>
    </row>
    <row r="2930" spans="24:36" x14ac:dyDescent="0.25">
      <c r="X2930"/>
      <c r="Z2930"/>
      <c r="AA2930"/>
      <c r="AB2930" s="5"/>
      <c r="AJ2930"/>
    </row>
    <row r="2931" spans="24:36" x14ac:dyDescent="0.25">
      <c r="X2931"/>
      <c r="Z2931"/>
      <c r="AA2931"/>
      <c r="AB2931" s="5"/>
      <c r="AJ2931"/>
    </row>
    <row r="2932" spans="24:36" x14ac:dyDescent="0.25">
      <c r="X2932"/>
      <c r="Z2932"/>
      <c r="AA2932"/>
      <c r="AB2932" s="5"/>
      <c r="AJ2932"/>
    </row>
    <row r="2933" spans="24:36" x14ac:dyDescent="0.25">
      <c r="X2933"/>
      <c r="Z2933"/>
      <c r="AA2933"/>
      <c r="AB2933" s="5"/>
      <c r="AJ2933"/>
    </row>
    <row r="2934" spans="24:36" x14ac:dyDescent="0.25">
      <c r="X2934"/>
      <c r="Z2934"/>
      <c r="AA2934"/>
      <c r="AB2934" s="5"/>
      <c r="AJ2934"/>
    </row>
    <row r="2935" spans="24:36" x14ac:dyDescent="0.25">
      <c r="X2935"/>
      <c r="Z2935"/>
      <c r="AA2935"/>
      <c r="AB2935" s="5"/>
      <c r="AJ2935"/>
    </row>
    <row r="2936" spans="24:36" x14ac:dyDescent="0.25">
      <c r="X2936"/>
      <c r="Z2936"/>
      <c r="AA2936"/>
      <c r="AB2936" s="5"/>
      <c r="AJ2936"/>
    </row>
    <row r="2937" spans="24:36" x14ac:dyDescent="0.25">
      <c r="X2937"/>
      <c r="Z2937"/>
      <c r="AA2937"/>
      <c r="AB2937" s="5"/>
      <c r="AJ2937"/>
    </row>
    <row r="2938" spans="24:36" x14ac:dyDescent="0.25">
      <c r="X2938"/>
      <c r="Z2938"/>
      <c r="AA2938"/>
      <c r="AB2938" s="5"/>
      <c r="AJ2938"/>
    </row>
    <row r="2939" spans="24:36" x14ac:dyDescent="0.25">
      <c r="X2939"/>
      <c r="Z2939"/>
      <c r="AA2939"/>
      <c r="AB2939" s="5"/>
      <c r="AJ2939"/>
    </row>
    <row r="2940" spans="24:36" x14ac:dyDescent="0.25">
      <c r="X2940"/>
      <c r="Z2940"/>
      <c r="AA2940"/>
      <c r="AB2940" s="5"/>
      <c r="AJ2940"/>
    </row>
    <row r="2941" spans="24:36" x14ac:dyDescent="0.25">
      <c r="X2941"/>
      <c r="Z2941"/>
      <c r="AA2941"/>
      <c r="AB2941" s="5"/>
      <c r="AJ2941"/>
    </row>
    <row r="2942" spans="24:36" x14ac:dyDescent="0.25">
      <c r="X2942"/>
      <c r="Z2942"/>
      <c r="AA2942"/>
      <c r="AB2942" s="5"/>
      <c r="AJ2942"/>
    </row>
    <row r="2943" spans="24:36" x14ac:dyDescent="0.25">
      <c r="X2943"/>
      <c r="Z2943"/>
      <c r="AA2943"/>
      <c r="AB2943" s="5"/>
      <c r="AJ2943"/>
    </row>
    <row r="2944" spans="24:36" x14ac:dyDescent="0.25">
      <c r="X2944"/>
      <c r="Z2944"/>
      <c r="AA2944"/>
      <c r="AB2944" s="5"/>
      <c r="AJ2944"/>
    </row>
    <row r="2945" spans="24:36" x14ac:dyDescent="0.25">
      <c r="X2945"/>
      <c r="Z2945"/>
      <c r="AA2945"/>
      <c r="AB2945" s="5"/>
      <c r="AJ2945"/>
    </row>
    <row r="2946" spans="24:36" x14ac:dyDescent="0.25">
      <c r="X2946"/>
      <c r="Z2946"/>
      <c r="AA2946"/>
      <c r="AB2946" s="5"/>
      <c r="AJ2946"/>
    </row>
    <row r="2947" spans="24:36" x14ac:dyDescent="0.25">
      <c r="X2947"/>
      <c r="Z2947"/>
      <c r="AA2947"/>
      <c r="AB2947" s="5"/>
      <c r="AJ2947"/>
    </row>
    <row r="2948" spans="24:36" x14ac:dyDescent="0.25">
      <c r="X2948"/>
      <c r="Z2948"/>
      <c r="AA2948"/>
      <c r="AB2948" s="5"/>
      <c r="AJ2948"/>
    </row>
    <row r="2949" spans="24:36" x14ac:dyDescent="0.25">
      <c r="X2949"/>
      <c r="Z2949"/>
      <c r="AA2949"/>
      <c r="AB2949" s="5"/>
      <c r="AJ2949"/>
    </row>
    <row r="2950" spans="24:36" x14ac:dyDescent="0.25">
      <c r="X2950"/>
      <c r="Z2950"/>
      <c r="AA2950"/>
      <c r="AB2950" s="5"/>
      <c r="AJ2950"/>
    </row>
    <row r="2951" spans="24:36" x14ac:dyDescent="0.25">
      <c r="X2951"/>
      <c r="Z2951"/>
      <c r="AA2951"/>
      <c r="AB2951" s="5"/>
      <c r="AJ2951"/>
    </row>
    <row r="2952" spans="24:36" x14ac:dyDescent="0.25">
      <c r="X2952"/>
      <c r="Z2952"/>
      <c r="AA2952"/>
      <c r="AB2952" s="5"/>
      <c r="AJ2952"/>
    </row>
    <row r="2953" spans="24:36" x14ac:dyDescent="0.25">
      <c r="X2953"/>
      <c r="Z2953"/>
      <c r="AA2953"/>
      <c r="AB2953" s="5"/>
      <c r="AJ2953"/>
    </row>
    <row r="2954" spans="24:36" x14ac:dyDescent="0.25">
      <c r="X2954"/>
      <c r="Z2954"/>
      <c r="AA2954"/>
      <c r="AB2954" s="5"/>
      <c r="AJ2954"/>
    </row>
    <row r="2955" spans="24:36" x14ac:dyDescent="0.25">
      <c r="X2955"/>
      <c r="Z2955"/>
      <c r="AA2955"/>
      <c r="AB2955" s="5"/>
      <c r="AJ2955"/>
    </row>
    <row r="2956" spans="24:36" x14ac:dyDescent="0.25">
      <c r="X2956"/>
      <c r="Z2956"/>
      <c r="AA2956"/>
      <c r="AB2956" s="5"/>
      <c r="AJ2956"/>
    </row>
    <row r="2957" spans="24:36" x14ac:dyDescent="0.25">
      <c r="X2957"/>
      <c r="Z2957"/>
      <c r="AA2957"/>
      <c r="AB2957" s="5"/>
      <c r="AJ2957"/>
    </row>
    <row r="2958" spans="24:36" x14ac:dyDescent="0.25">
      <c r="X2958"/>
      <c r="Z2958"/>
      <c r="AA2958"/>
      <c r="AB2958" s="5"/>
      <c r="AJ2958"/>
    </row>
    <row r="2959" spans="24:36" x14ac:dyDescent="0.25">
      <c r="X2959"/>
      <c r="Z2959"/>
      <c r="AA2959"/>
      <c r="AB2959" s="5"/>
      <c r="AJ2959"/>
    </row>
    <row r="2960" spans="24:36" x14ac:dyDescent="0.25">
      <c r="X2960"/>
      <c r="Z2960"/>
      <c r="AA2960"/>
      <c r="AB2960" s="5"/>
      <c r="AJ2960"/>
    </row>
    <row r="2961" spans="24:36" x14ac:dyDescent="0.25">
      <c r="X2961"/>
      <c r="Z2961"/>
      <c r="AA2961"/>
      <c r="AB2961" s="5"/>
      <c r="AJ2961"/>
    </row>
    <row r="2962" spans="24:36" x14ac:dyDescent="0.25">
      <c r="X2962"/>
      <c r="Z2962"/>
      <c r="AA2962"/>
      <c r="AB2962" s="5"/>
      <c r="AJ2962"/>
    </row>
    <row r="2963" spans="24:36" x14ac:dyDescent="0.25">
      <c r="X2963"/>
      <c r="Z2963"/>
      <c r="AA2963"/>
      <c r="AB2963" s="5"/>
      <c r="AJ2963"/>
    </row>
    <row r="2964" spans="24:36" x14ac:dyDescent="0.25">
      <c r="X2964"/>
      <c r="Z2964"/>
      <c r="AA2964"/>
      <c r="AB2964" s="5"/>
      <c r="AJ2964"/>
    </row>
    <row r="2965" spans="24:36" x14ac:dyDescent="0.25">
      <c r="X2965"/>
      <c r="Z2965"/>
      <c r="AA2965"/>
      <c r="AB2965" s="5"/>
      <c r="AJ2965"/>
    </row>
    <row r="2966" spans="24:36" x14ac:dyDescent="0.25">
      <c r="X2966"/>
      <c r="Z2966"/>
      <c r="AA2966"/>
      <c r="AB2966" s="5"/>
      <c r="AJ2966"/>
    </row>
    <row r="2967" spans="24:36" x14ac:dyDescent="0.25">
      <c r="X2967"/>
      <c r="Z2967"/>
      <c r="AA2967"/>
      <c r="AB2967" s="5"/>
      <c r="AJ2967"/>
    </row>
    <row r="2968" spans="24:36" x14ac:dyDescent="0.25">
      <c r="X2968"/>
      <c r="Z2968"/>
      <c r="AA2968"/>
      <c r="AB2968" s="5"/>
      <c r="AJ2968"/>
    </row>
    <row r="2969" spans="24:36" x14ac:dyDescent="0.25">
      <c r="X2969"/>
      <c r="Z2969"/>
      <c r="AA2969"/>
      <c r="AB2969" s="5"/>
      <c r="AJ2969"/>
    </row>
    <row r="2970" spans="24:36" x14ac:dyDescent="0.25">
      <c r="X2970"/>
      <c r="Z2970"/>
      <c r="AA2970"/>
      <c r="AB2970" s="5"/>
      <c r="AJ2970"/>
    </row>
    <row r="2971" spans="24:36" x14ac:dyDescent="0.25">
      <c r="X2971"/>
      <c r="Z2971"/>
      <c r="AA2971"/>
      <c r="AB2971" s="5"/>
      <c r="AJ2971"/>
    </row>
    <row r="2972" spans="24:36" x14ac:dyDescent="0.25">
      <c r="X2972"/>
      <c r="Z2972"/>
      <c r="AA2972"/>
      <c r="AB2972" s="5"/>
      <c r="AJ2972"/>
    </row>
    <row r="2973" spans="24:36" x14ac:dyDescent="0.25">
      <c r="X2973"/>
      <c r="Z2973"/>
      <c r="AA2973"/>
      <c r="AB2973" s="5"/>
      <c r="AJ2973"/>
    </row>
    <row r="2974" spans="24:36" x14ac:dyDescent="0.25">
      <c r="X2974"/>
      <c r="Z2974"/>
      <c r="AA2974"/>
      <c r="AB2974" s="5"/>
      <c r="AJ2974"/>
    </row>
    <row r="2975" spans="24:36" x14ac:dyDescent="0.25">
      <c r="X2975"/>
      <c r="Z2975"/>
      <c r="AA2975"/>
      <c r="AB2975" s="5"/>
      <c r="AJ2975"/>
    </row>
    <row r="2976" spans="24:36" x14ac:dyDescent="0.25">
      <c r="X2976"/>
      <c r="Z2976"/>
      <c r="AA2976"/>
      <c r="AB2976" s="5"/>
      <c r="AJ2976"/>
    </row>
    <row r="2977" spans="24:36" x14ac:dyDescent="0.25">
      <c r="X2977"/>
      <c r="Z2977"/>
      <c r="AA2977"/>
      <c r="AB2977" s="5"/>
      <c r="AJ2977"/>
    </row>
    <row r="2978" spans="24:36" x14ac:dyDescent="0.25">
      <c r="X2978"/>
      <c r="Z2978"/>
      <c r="AA2978"/>
      <c r="AB2978" s="5"/>
      <c r="AJ2978"/>
    </row>
    <row r="2979" spans="24:36" x14ac:dyDescent="0.25">
      <c r="X2979"/>
      <c r="Z2979"/>
      <c r="AA2979"/>
      <c r="AB2979" s="5"/>
      <c r="AJ2979"/>
    </row>
    <row r="2980" spans="24:36" x14ac:dyDescent="0.25">
      <c r="X2980"/>
      <c r="Z2980"/>
      <c r="AA2980"/>
      <c r="AB2980" s="5"/>
      <c r="AJ2980"/>
    </row>
    <row r="2981" spans="24:36" x14ac:dyDescent="0.25">
      <c r="X2981"/>
      <c r="Z2981"/>
      <c r="AA2981"/>
      <c r="AB2981" s="5"/>
      <c r="AJ2981"/>
    </row>
    <row r="2982" spans="24:36" x14ac:dyDescent="0.25">
      <c r="X2982"/>
      <c r="Z2982"/>
      <c r="AA2982"/>
      <c r="AB2982" s="5"/>
      <c r="AJ2982"/>
    </row>
    <row r="2983" spans="24:36" x14ac:dyDescent="0.25">
      <c r="X2983"/>
      <c r="Z2983"/>
      <c r="AA2983"/>
      <c r="AB2983" s="5"/>
      <c r="AJ2983"/>
    </row>
    <row r="2984" spans="24:36" x14ac:dyDescent="0.25">
      <c r="X2984"/>
      <c r="Z2984"/>
      <c r="AA2984"/>
      <c r="AB2984" s="5"/>
      <c r="AJ2984"/>
    </row>
    <row r="2985" spans="24:36" x14ac:dyDescent="0.25">
      <c r="X2985"/>
      <c r="Z2985"/>
      <c r="AA2985"/>
      <c r="AB2985" s="5"/>
      <c r="AJ2985"/>
    </row>
    <row r="2986" spans="24:36" x14ac:dyDescent="0.25">
      <c r="X2986"/>
      <c r="Z2986"/>
      <c r="AA2986"/>
      <c r="AB2986" s="5"/>
      <c r="AJ2986"/>
    </row>
    <row r="2987" spans="24:36" x14ac:dyDescent="0.25">
      <c r="X2987"/>
      <c r="Z2987"/>
      <c r="AA2987"/>
      <c r="AB2987" s="5"/>
      <c r="AJ2987"/>
    </row>
    <row r="2988" spans="24:36" x14ac:dyDescent="0.25">
      <c r="X2988"/>
      <c r="Z2988"/>
      <c r="AA2988"/>
      <c r="AB2988" s="5"/>
      <c r="AJ2988"/>
    </row>
    <row r="2989" spans="24:36" x14ac:dyDescent="0.25">
      <c r="X2989"/>
      <c r="Z2989"/>
      <c r="AA2989"/>
      <c r="AB2989" s="5"/>
      <c r="AJ2989"/>
    </row>
    <row r="2990" spans="24:36" x14ac:dyDescent="0.25">
      <c r="X2990"/>
      <c r="Z2990"/>
      <c r="AA2990"/>
      <c r="AB2990" s="5"/>
      <c r="AJ2990"/>
    </row>
    <row r="2991" spans="24:36" x14ac:dyDescent="0.25">
      <c r="X2991"/>
      <c r="Z2991"/>
      <c r="AA2991"/>
      <c r="AB2991" s="5"/>
      <c r="AJ2991"/>
    </row>
    <row r="2992" spans="24:36" x14ac:dyDescent="0.25">
      <c r="X2992"/>
      <c r="Z2992"/>
      <c r="AA2992"/>
      <c r="AB2992" s="5"/>
      <c r="AJ2992"/>
    </row>
    <row r="2993" spans="24:36" x14ac:dyDescent="0.25">
      <c r="X2993"/>
      <c r="Z2993"/>
      <c r="AA2993"/>
      <c r="AB2993" s="5"/>
      <c r="AJ2993"/>
    </row>
    <row r="2994" spans="24:36" x14ac:dyDescent="0.25">
      <c r="X2994"/>
      <c r="Z2994"/>
      <c r="AA2994"/>
      <c r="AB2994" s="5"/>
      <c r="AJ2994"/>
    </row>
    <row r="2995" spans="24:36" x14ac:dyDescent="0.25">
      <c r="X2995"/>
      <c r="Z2995"/>
      <c r="AA2995"/>
      <c r="AB2995" s="5"/>
      <c r="AJ2995"/>
    </row>
    <row r="2996" spans="24:36" x14ac:dyDescent="0.25">
      <c r="X2996"/>
      <c r="Z2996"/>
      <c r="AA2996"/>
      <c r="AB2996" s="5"/>
      <c r="AJ2996"/>
    </row>
    <row r="2997" spans="24:36" x14ac:dyDescent="0.25">
      <c r="X2997"/>
      <c r="Z2997"/>
      <c r="AA2997"/>
      <c r="AB2997" s="5"/>
      <c r="AJ2997"/>
    </row>
    <row r="2998" spans="24:36" x14ac:dyDescent="0.25">
      <c r="X2998"/>
      <c r="Z2998"/>
      <c r="AA2998"/>
      <c r="AB2998" s="5"/>
      <c r="AJ2998"/>
    </row>
    <row r="2999" spans="24:36" x14ac:dyDescent="0.25">
      <c r="X2999"/>
      <c r="Z2999"/>
      <c r="AA2999"/>
      <c r="AB2999" s="5"/>
      <c r="AJ2999"/>
    </row>
    <row r="3000" spans="24:36" x14ac:dyDescent="0.25">
      <c r="X3000"/>
      <c r="Z3000"/>
      <c r="AA3000"/>
      <c r="AB3000" s="5"/>
      <c r="AJ3000"/>
    </row>
    <row r="3001" spans="24:36" x14ac:dyDescent="0.25">
      <c r="X3001"/>
      <c r="Z3001"/>
      <c r="AA3001"/>
      <c r="AB3001" s="5"/>
      <c r="AJ3001"/>
    </row>
    <row r="3002" spans="24:36" x14ac:dyDescent="0.25">
      <c r="X3002"/>
      <c r="Z3002"/>
      <c r="AA3002"/>
      <c r="AB3002" s="5"/>
      <c r="AJ3002"/>
    </row>
    <row r="3003" spans="24:36" x14ac:dyDescent="0.25">
      <c r="X3003"/>
      <c r="Z3003"/>
      <c r="AA3003"/>
      <c r="AB3003" s="5"/>
      <c r="AJ3003"/>
    </row>
    <row r="3004" spans="24:36" x14ac:dyDescent="0.25">
      <c r="X3004"/>
      <c r="Z3004"/>
      <c r="AA3004"/>
      <c r="AB3004" s="5"/>
      <c r="AJ3004"/>
    </row>
    <row r="3005" spans="24:36" x14ac:dyDescent="0.25">
      <c r="X3005"/>
      <c r="Z3005"/>
      <c r="AA3005"/>
      <c r="AB3005" s="5"/>
      <c r="AJ3005"/>
    </row>
    <row r="3006" spans="24:36" x14ac:dyDescent="0.25">
      <c r="X3006"/>
      <c r="Z3006"/>
      <c r="AA3006"/>
      <c r="AB3006" s="5"/>
      <c r="AJ3006"/>
    </row>
    <row r="3007" spans="24:36" x14ac:dyDescent="0.25">
      <c r="X3007"/>
      <c r="Z3007"/>
      <c r="AA3007"/>
      <c r="AB3007" s="5"/>
      <c r="AJ3007"/>
    </row>
    <row r="3008" spans="24:36" x14ac:dyDescent="0.25">
      <c r="X3008"/>
      <c r="Z3008"/>
      <c r="AA3008"/>
      <c r="AB3008" s="5"/>
      <c r="AJ3008"/>
    </row>
    <row r="3009" spans="24:36" x14ac:dyDescent="0.25">
      <c r="X3009"/>
      <c r="Z3009"/>
      <c r="AA3009"/>
      <c r="AB3009" s="5"/>
      <c r="AJ3009"/>
    </row>
    <row r="3010" spans="24:36" x14ac:dyDescent="0.25">
      <c r="X3010"/>
      <c r="Z3010"/>
      <c r="AA3010"/>
      <c r="AB3010" s="5"/>
      <c r="AJ3010"/>
    </row>
    <row r="3011" spans="24:36" x14ac:dyDescent="0.25">
      <c r="X3011"/>
      <c r="Z3011"/>
      <c r="AA3011"/>
      <c r="AB3011" s="5"/>
      <c r="AJ3011"/>
    </row>
    <row r="3012" spans="24:36" x14ac:dyDescent="0.25">
      <c r="X3012"/>
      <c r="Z3012"/>
      <c r="AA3012"/>
      <c r="AB3012" s="5"/>
      <c r="AJ3012"/>
    </row>
    <row r="3013" spans="24:36" x14ac:dyDescent="0.25">
      <c r="X3013"/>
      <c r="Z3013"/>
      <c r="AA3013"/>
      <c r="AB3013" s="5"/>
      <c r="AJ3013"/>
    </row>
    <row r="3014" spans="24:36" x14ac:dyDescent="0.25">
      <c r="X3014"/>
      <c r="Z3014"/>
      <c r="AA3014"/>
      <c r="AB3014" s="5"/>
      <c r="AJ3014"/>
    </row>
    <row r="3015" spans="24:36" x14ac:dyDescent="0.25">
      <c r="X3015"/>
      <c r="Z3015"/>
      <c r="AA3015"/>
      <c r="AB3015" s="5"/>
      <c r="AJ3015"/>
    </row>
    <row r="3016" spans="24:36" x14ac:dyDescent="0.25">
      <c r="X3016"/>
      <c r="Z3016"/>
      <c r="AA3016"/>
      <c r="AB3016" s="5"/>
      <c r="AJ3016"/>
    </row>
    <row r="3017" spans="24:36" x14ac:dyDescent="0.25">
      <c r="X3017"/>
      <c r="Z3017"/>
      <c r="AA3017"/>
      <c r="AB3017" s="5"/>
      <c r="AJ3017"/>
    </row>
    <row r="3018" spans="24:36" x14ac:dyDescent="0.25">
      <c r="X3018"/>
      <c r="Z3018"/>
      <c r="AA3018"/>
      <c r="AB3018" s="5"/>
      <c r="AJ3018"/>
    </row>
    <row r="3019" spans="24:36" x14ac:dyDescent="0.25">
      <c r="X3019"/>
      <c r="Z3019"/>
      <c r="AA3019"/>
      <c r="AB3019" s="5"/>
      <c r="AJ3019"/>
    </row>
    <row r="3020" spans="24:36" x14ac:dyDescent="0.25">
      <c r="X3020"/>
      <c r="Z3020"/>
      <c r="AA3020"/>
      <c r="AB3020" s="5"/>
      <c r="AJ3020"/>
    </row>
    <row r="3021" spans="24:36" x14ac:dyDescent="0.25">
      <c r="X3021"/>
      <c r="Z3021"/>
      <c r="AA3021"/>
      <c r="AB3021" s="5"/>
      <c r="AJ3021"/>
    </row>
    <row r="3022" spans="24:36" x14ac:dyDescent="0.25">
      <c r="X3022"/>
      <c r="Z3022"/>
      <c r="AA3022"/>
      <c r="AB3022" s="5"/>
      <c r="AJ3022"/>
    </row>
    <row r="3023" spans="24:36" x14ac:dyDescent="0.25">
      <c r="X3023"/>
      <c r="Z3023"/>
      <c r="AA3023"/>
      <c r="AB3023" s="5"/>
      <c r="AJ3023"/>
    </row>
    <row r="3024" spans="24:36" x14ac:dyDescent="0.25">
      <c r="X3024"/>
      <c r="Z3024"/>
      <c r="AA3024"/>
      <c r="AB3024" s="5"/>
      <c r="AJ3024"/>
    </row>
    <row r="3025" spans="24:36" x14ac:dyDescent="0.25">
      <c r="X3025"/>
      <c r="Z3025"/>
      <c r="AA3025"/>
      <c r="AB3025" s="5"/>
      <c r="AJ3025"/>
    </row>
    <row r="3026" spans="24:36" x14ac:dyDescent="0.25">
      <c r="X3026"/>
      <c r="Z3026"/>
      <c r="AA3026"/>
      <c r="AB3026" s="5"/>
      <c r="AJ3026"/>
    </row>
    <row r="3027" spans="24:36" x14ac:dyDescent="0.25">
      <c r="X3027"/>
      <c r="Z3027"/>
      <c r="AA3027"/>
      <c r="AB3027" s="5"/>
      <c r="AJ3027"/>
    </row>
    <row r="3028" spans="24:36" x14ac:dyDescent="0.25">
      <c r="X3028"/>
      <c r="Z3028"/>
      <c r="AA3028"/>
      <c r="AB3028" s="5"/>
      <c r="AJ3028"/>
    </row>
    <row r="3029" spans="24:36" x14ac:dyDescent="0.25">
      <c r="X3029"/>
      <c r="Z3029"/>
      <c r="AA3029"/>
      <c r="AB3029" s="5"/>
      <c r="AJ3029"/>
    </row>
    <row r="3030" spans="24:36" x14ac:dyDescent="0.25">
      <c r="X3030"/>
      <c r="Z3030"/>
      <c r="AA3030"/>
      <c r="AB3030" s="5"/>
      <c r="AJ3030"/>
    </row>
    <row r="3031" spans="24:36" x14ac:dyDescent="0.25">
      <c r="X3031"/>
      <c r="Z3031"/>
      <c r="AA3031"/>
      <c r="AB3031" s="5"/>
      <c r="AJ3031"/>
    </row>
    <row r="3032" spans="24:36" x14ac:dyDescent="0.25">
      <c r="X3032"/>
      <c r="Z3032"/>
      <c r="AA3032"/>
      <c r="AB3032" s="5"/>
      <c r="AJ3032"/>
    </row>
    <row r="3033" spans="24:36" x14ac:dyDescent="0.25">
      <c r="X3033"/>
      <c r="Z3033"/>
      <c r="AA3033"/>
      <c r="AB3033" s="5"/>
      <c r="AJ3033"/>
    </row>
    <row r="3034" spans="24:36" x14ac:dyDescent="0.25">
      <c r="X3034"/>
      <c r="Z3034"/>
      <c r="AA3034"/>
      <c r="AB3034" s="5"/>
      <c r="AJ3034"/>
    </row>
    <row r="3035" spans="24:36" x14ac:dyDescent="0.25">
      <c r="X3035"/>
      <c r="Z3035"/>
      <c r="AA3035"/>
      <c r="AB3035" s="5"/>
      <c r="AJ3035"/>
    </row>
    <row r="3036" spans="24:36" x14ac:dyDescent="0.25">
      <c r="X3036"/>
      <c r="Z3036"/>
      <c r="AA3036"/>
      <c r="AB3036" s="5"/>
      <c r="AJ3036"/>
    </row>
    <row r="3037" spans="24:36" x14ac:dyDescent="0.25">
      <c r="X3037"/>
      <c r="Z3037"/>
      <c r="AA3037"/>
      <c r="AB3037" s="5"/>
      <c r="AJ3037"/>
    </row>
    <row r="3038" spans="24:36" x14ac:dyDescent="0.25">
      <c r="X3038"/>
      <c r="Z3038"/>
      <c r="AA3038"/>
      <c r="AB3038" s="5"/>
      <c r="AJ3038"/>
    </row>
    <row r="3039" spans="24:36" x14ac:dyDescent="0.25">
      <c r="X3039"/>
      <c r="Z3039"/>
      <c r="AA3039"/>
      <c r="AB3039" s="5"/>
      <c r="AJ3039"/>
    </row>
    <row r="3040" spans="24:36" x14ac:dyDescent="0.25">
      <c r="X3040"/>
      <c r="Z3040"/>
      <c r="AA3040"/>
      <c r="AB3040" s="5"/>
      <c r="AJ3040"/>
    </row>
    <row r="3041" spans="24:36" x14ac:dyDescent="0.25">
      <c r="X3041"/>
      <c r="Z3041"/>
      <c r="AA3041"/>
      <c r="AB3041" s="5"/>
      <c r="AJ3041"/>
    </row>
    <row r="3042" spans="24:36" x14ac:dyDescent="0.25">
      <c r="X3042"/>
      <c r="Z3042"/>
      <c r="AA3042"/>
      <c r="AB3042" s="5"/>
      <c r="AJ3042"/>
    </row>
    <row r="3043" spans="24:36" x14ac:dyDescent="0.25">
      <c r="X3043"/>
      <c r="Z3043"/>
      <c r="AA3043"/>
      <c r="AB3043" s="5"/>
      <c r="AJ3043"/>
    </row>
    <row r="3044" spans="24:36" x14ac:dyDescent="0.25">
      <c r="X3044"/>
      <c r="Z3044"/>
      <c r="AA3044"/>
      <c r="AB3044" s="5"/>
      <c r="AJ3044"/>
    </row>
    <row r="3045" spans="24:36" x14ac:dyDescent="0.25">
      <c r="X3045"/>
      <c r="Z3045"/>
      <c r="AA3045"/>
      <c r="AB3045" s="5"/>
      <c r="AJ3045"/>
    </row>
    <row r="3046" spans="24:36" x14ac:dyDescent="0.25">
      <c r="X3046"/>
      <c r="Z3046"/>
      <c r="AA3046"/>
      <c r="AB3046" s="5"/>
      <c r="AJ3046"/>
    </row>
    <row r="3047" spans="24:36" x14ac:dyDescent="0.25">
      <c r="X3047"/>
      <c r="Z3047"/>
      <c r="AA3047"/>
      <c r="AB3047" s="5"/>
      <c r="AJ3047"/>
    </row>
    <row r="3048" spans="24:36" x14ac:dyDescent="0.25">
      <c r="X3048"/>
      <c r="Z3048"/>
      <c r="AA3048"/>
      <c r="AB3048" s="5"/>
      <c r="AJ3048"/>
    </row>
    <row r="3049" spans="24:36" x14ac:dyDescent="0.25">
      <c r="X3049"/>
      <c r="Z3049"/>
      <c r="AA3049"/>
      <c r="AB3049" s="5"/>
      <c r="AJ3049"/>
    </row>
    <row r="3050" spans="24:36" x14ac:dyDescent="0.25">
      <c r="X3050"/>
      <c r="Z3050"/>
      <c r="AA3050"/>
      <c r="AB3050" s="5"/>
      <c r="AJ3050"/>
    </row>
    <row r="3051" spans="24:36" x14ac:dyDescent="0.25">
      <c r="X3051"/>
      <c r="Z3051"/>
      <c r="AA3051"/>
      <c r="AB3051" s="5"/>
      <c r="AJ3051"/>
    </row>
    <row r="3052" spans="24:36" x14ac:dyDescent="0.25">
      <c r="X3052"/>
      <c r="Z3052"/>
      <c r="AA3052"/>
      <c r="AB3052" s="5"/>
      <c r="AJ3052"/>
    </row>
    <row r="3053" spans="24:36" x14ac:dyDescent="0.25">
      <c r="X3053"/>
      <c r="Z3053"/>
      <c r="AA3053"/>
      <c r="AB3053" s="5"/>
      <c r="AJ3053"/>
    </row>
    <row r="3054" spans="24:36" x14ac:dyDescent="0.25">
      <c r="X3054"/>
      <c r="Z3054"/>
      <c r="AA3054"/>
      <c r="AB3054" s="5"/>
      <c r="AJ3054"/>
    </row>
    <row r="3055" spans="24:36" x14ac:dyDescent="0.25">
      <c r="X3055"/>
      <c r="Z3055"/>
      <c r="AA3055"/>
      <c r="AB3055" s="5"/>
      <c r="AJ3055"/>
    </row>
    <row r="3056" spans="24:36" x14ac:dyDescent="0.25">
      <c r="X3056"/>
      <c r="Z3056"/>
      <c r="AA3056"/>
      <c r="AB3056" s="5"/>
      <c r="AJ3056"/>
    </row>
    <row r="3057" spans="24:36" x14ac:dyDescent="0.25">
      <c r="X3057"/>
      <c r="Z3057"/>
      <c r="AA3057"/>
      <c r="AB3057" s="5"/>
      <c r="AJ3057"/>
    </row>
    <row r="3058" spans="24:36" x14ac:dyDescent="0.25">
      <c r="X3058"/>
      <c r="Z3058"/>
      <c r="AA3058"/>
      <c r="AB3058" s="5"/>
      <c r="AJ3058"/>
    </row>
    <row r="3059" spans="24:36" x14ac:dyDescent="0.25">
      <c r="X3059"/>
      <c r="Z3059"/>
      <c r="AA3059"/>
      <c r="AB3059" s="5"/>
      <c r="AJ3059"/>
    </row>
    <row r="3060" spans="24:36" x14ac:dyDescent="0.25">
      <c r="X3060"/>
      <c r="Z3060"/>
      <c r="AA3060"/>
      <c r="AB3060" s="5"/>
      <c r="AJ3060"/>
    </row>
    <row r="3061" spans="24:36" x14ac:dyDescent="0.25">
      <c r="X3061"/>
      <c r="Z3061"/>
      <c r="AA3061"/>
      <c r="AB3061" s="5"/>
      <c r="AJ3061"/>
    </row>
    <row r="3062" spans="24:36" x14ac:dyDescent="0.25">
      <c r="X3062"/>
      <c r="Z3062"/>
      <c r="AA3062"/>
      <c r="AB3062" s="5"/>
      <c r="AJ3062"/>
    </row>
    <row r="3063" spans="24:36" x14ac:dyDescent="0.25">
      <c r="X3063"/>
      <c r="Z3063"/>
      <c r="AA3063"/>
      <c r="AB3063" s="5"/>
      <c r="AJ3063"/>
    </row>
    <row r="3064" spans="24:36" x14ac:dyDescent="0.25">
      <c r="X3064"/>
      <c r="Z3064"/>
      <c r="AA3064"/>
      <c r="AB3064" s="5"/>
      <c r="AJ3064"/>
    </row>
    <row r="3065" spans="24:36" x14ac:dyDescent="0.25">
      <c r="X3065"/>
      <c r="Z3065"/>
      <c r="AA3065"/>
      <c r="AB3065" s="5"/>
      <c r="AJ3065"/>
    </row>
    <row r="3066" spans="24:36" x14ac:dyDescent="0.25">
      <c r="X3066"/>
      <c r="Z3066"/>
      <c r="AA3066"/>
      <c r="AB3066" s="5"/>
      <c r="AJ3066"/>
    </row>
    <row r="3067" spans="24:36" x14ac:dyDescent="0.25">
      <c r="X3067"/>
      <c r="Z3067"/>
      <c r="AA3067"/>
      <c r="AB3067" s="5"/>
      <c r="AJ3067"/>
    </row>
    <row r="3068" spans="24:36" x14ac:dyDescent="0.25">
      <c r="X3068"/>
      <c r="Z3068"/>
      <c r="AA3068"/>
      <c r="AB3068" s="5"/>
      <c r="AJ3068"/>
    </row>
    <row r="3069" spans="24:36" x14ac:dyDescent="0.25">
      <c r="X3069"/>
      <c r="Z3069"/>
      <c r="AA3069"/>
      <c r="AB3069" s="5"/>
      <c r="AJ3069"/>
    </row>
    <row r="3070" spans="24:36" x14ac:dyDescent="0.25">
      <c r="X3070"/>
      <c r="Z3070"/>
      <c r="AA3070"/>
      <c r="AB3070" s="5"/>
      <c r="AJ3070"/>
    </row>
    <row r="3071" spans="24:36" x14ac:dyDescent="0.25">
      <c r="X3071"/>
      <c r="Z3071"/>
      <c r="AA3071"/>
      <c r="AB3071" s="5"/>
      <c r="AJ3071"/>
    </row>
    <row r="3072" spans="24:36" x14ac:dyDescent="0.25">
      <c r="X3072"/>
      <c r="Z3072"/>
      <c r="AA3072"/>
      <c r="AB3072" s="5"/>
      <c r="AJ3072"/>
    </row>
    <row r="3073" spans="24:36" x14ac:dyDescent="0.25">
      <c r="X3073"/>
      <c r="Z3073"/>
      <c r="AA3073"/>
      <c r="AB3073" s="5"/>
      <c r="AJ3073"/>
    </row>
    <row r="3074" spans="24:36" x14ac:dyDescent="0.25">
      <c r="X3074"/>
      <c r="Z3074"/>
      <c r="AA3074"/>
      <c r="AB3074" s="5"/>
      <c r="AJ3074"/>
    </row>
    <row r="3075" spans="24:36" x14ac:dyDescent="0.25">
      <c r="X3075"/>
      <c r="Z3075"/>
      <c r="AA3075"/>
      <c r="AB3075" s="5"/>
      <c r="AJ3075"/>
    </row>
    <row r="3076" spans="24:36" x14ac:dyDescent="0.25">
      <c r="X3076"/>
      <c r="Z3076"/>
      <c r="AA3076"/>
      <c r="AB3076" s="5"/>
      <c r="AJ3076"/>
    </row>
    <row r="3077" spans="24:36" x14ac:dyDescent="0.25">
      <c r="X3077"/>
      <c r="Z3077"/>
      <c r="AA3077"/>
      <c r="AB3077" s="5"/>
      <c r="AJ3077"/>
    </row>
    <row r="3078" spans="24:36" x14ac:dyDescent="0.25">
      <c r="X3078"/>
      <c r="Z3078"/>
      <c r="AA3078"/>
      <c r="AB3078" s="5"/>
      <c r="AJ3078"/>
    </row>
    <row r="3079" spans="24:36" x14ac:dyDescent="0.25">
      <c r="X3079"/>
      <c r="Z3079"/>
      <c r="AA3079"/>
      <c r="AB3079" s="5"/>
      <c r="AJ3079"/>
    </row>
    <row r="3080" spans="24:36" x14ac:dyDescent="0.25">
      <c r="X3080"/>
      <c r="Z3080"/>
      <c r="AA3080"/>
      <c r="AB3080" s="5"/>
      <c r="AJ3080"/>
    </row>
    <row r="3081" spans="24:36" x14ac:dyDescent="0.25">
      <c r="X3081"/>
      <c r="Z3081"/>
      <c r="AA3081"/>
      <c r="AB3081" s="5"/>
      <c r="AJ3081"/>
    </row>
    <row r="3082" spans="24:36" x14ac:dyDescent="0.25">
      <c r="X3082"/>
      <c r="Z3082"/>
      <c r="AA3082"/>
      <c r="AB3082" s="5"/>
      <c r="AJ3082"/>
    </row>
    <row r="3083" spans="24:36" x14ac:dyDescent="0.25">
      <c r="X3083"/>
      <c r="Z3083"/>
      <c r="AA3083"/>
      <c r="AB3083" s="5"/>
      <c r="AJ3083"/>
    </row>
    <row r="3084" spans="24:36" x14ac:dyDescent="0.25">
      <c r="X3084"/>
      <c r="Z3084"/>
      <c r="AA3084"/>
      <c r="AB3084" s="5"/>
      <c r="AJ3084"/>
    </row>
    <row r="3085" spans="24:36" x14ac:dyDescent="0.25">
      <c r="X3085"/>
      <c r="Z3085"/>
      <c r="AA3085"/>
      <c r="AB3085" s="5"/>
      <c r="AJ3085"/>
    </row>
    <row r="3086" spans="24:36" x14ac:dyDescent="0.25">
      <c r="X3086"/>
      <c r="Z3086"/>
      <c r="AA3086"/>
      <c r="AB3086" s="5"/>
      <c r="AJ3086"/>
    </row>
    <row r="3087" spans="24:36" x14ac:dyDescent="0.25">
      <c r="X3087"/>
      <c r="Z3087"/>
      <c r="AA3087"/>
      <c r="AB3087" s="5"/>
      <c r="AJ3087"/>
    </row>
    <row r="3088" spans="24:36" x14ac:dyDescent="0.25">
      <c r="X3088"/>
      <c r="Z3088"/>
      <c r="AA3088"/>
      <c r="AB3088" s="5"/>
      <c r="AJ3088"/>
    </row>
    <row r="3089" spans="24:36" x14ac:dyDescent="0.25">
      <c r="X3089"/>
      <c r="Z3089"/>
      <c r="AA3089"/>
      <c r="AB3089" s="5"/>
      <c r="AJ3089"/>
    </row>
    <row r="3090" spans="24:36" x14ac:dyDescent="0.25">
      <c r="X3090"/>
      <c r="Z3090"/>
      <c r="AA3090"/>
      <c r="AB3090" s="5"/>
      <c r="AJ3090"/>
    </row>
    <row r="3091" spans="24:36" x14ac:dyDescent="0.25">
      <c r="X3091"/>
      <c r="Z3091"/>
      <c r="AA3091"/>
      <c r="AB3091" s="5"/>
      <c r="AJ3091"/>
    </row>
    <row r="3092" spans="24:36" x14ac:dyDescent="0.25">
      <c r="X3092"/>
      <c r="Z3092"/>
      <c r="AA3092"/>
      <c r="AB3092" s="5"/>
      <c r="AJ3092"/>
    </row>
    <row r="3093" spans="24:36" x14ac:dyDescent="0.25">
      <c r="X3093"/>
      <c r="Z3093"/>
      <c r="AA3093"/>
      <c r="AB3093" s="5"/>
      <c r="AJ3093"/>
    </row>
    <row r="3094" spans="24:36" x14ac:dyDescent="0.25">
      <c r="X3094"/>
      <c r="Z3094"/>
      <c r="AA3094"/>
      <c r="AB3094" s="5"/>
      <c r="AJ3094"/>
    </row>
    <row r="3095" spans="24:36" x14ac:dyDescent="0.25">
      <c r="X3095"/>
      <c r="Z3095"/>
      <c r="AA3095"/>
      <c r="AB3095" s="5"/>
      <c r="AJ3095"/>
    </row>
    <row r="3096" spans="24:36" x14ac:dyDescent="0.25">
      <c r="X3096"/>
      <c r="Z3096"/>
      <c r="AA3096"/>
      <c r="AB3096" s="5"/>
      <c r="AJ3096"/>
    </row>
    <row r="3097" spans="24:36" x14ac:dyDescent="0.25">
      <c r="X3097"/>
      <c r="Z3097"/>
      <c r="AA3097"/>
      <c r="AB3097" s="5"/>
      <c r="AJ3097"/>
    </row>
    <row r="3098" spans="24:36" x14ac:dyDescent="0.25">
      <c r="X3098"/>
      <c r="Z3098"/>
      <c r="AA3098"/>
      <c r="AB3098" s="5"/>
      <c r="AJ3098"/>
    </row>
    <row r="3099" spans="24:36" x14ac:dyDescent="0.25">
      <c r="X3099"/>
      <c r="Z3099"/>
      <c r="AA3099"/>
      <c r="AB3099" s="5"/>
      <c r="AJ3099"/>
    </row>
    <row r="3100" spans="24:36" x14ac:dyDescent="0.25">
      <c r="X3100"/>
      <c r="Z3100"/>
      <c r="AA3100"/>
      <c r="AB3100" s="5"/>
      <c r="AJ3100"/>
    </row>
    <row r="3101" spans="24:36" x14ac:dyDescent="0.25">
      <c r="X3101"/>
      <c r="Z3101"/>
      <c r="AA3101"/>
      <c r="AB3101" s="5"/>
      <c r="AJ3101"/>
    </row>
    <row r="3102" spans="24:36" x14ac:dyDescent="0.25">
      <c r="X3102"/>
      <c r="Z3102"/>
      <c r="AA3102"/>
      <c r="AB3102" s="5"/>
      <c r="AJ3102"/>
    </row>
    <row r="3103" spans="24:36" x14ac:dyDescent="0.25">
      <c r="X3103"/>
      <c r="Z3103"/>
      <c r="AA3103"/>
      <c r="AB3103" s="5"/>
      <c r="AJ3103"/>
    </row>
    <row r="3104" spans="24:36" x14ac:dyDescent="0.25">
      <c r="X3104"/>
      <c r="Z3104"/>
      <c r="AA3104"/>
      <c r="AB3104" s="5"/>
      <c r="AJ3104"/>
    </row>
    <row r="3105" spans="24:36" x14ac:dyDescent="0.25">
      <c r="X3105"/>
      <c r="Z3105"/>
      <c r="AA3105"/>
      <c r="AB3105" s="5"/>
      <c r="AJ3105"/>
    </row>
    <row r="3106" spans="24:36" x14ac:dyDescent="0.25">
      <c r="X3106"/>
      <c r="Z3106"/>
      <c r="AA3106"/>
      <c r="AB3106" s="5"/>
      <c r="AJ3106"/>
    </row>
    <row r="3107" spans="24:36" x14ac:dyDescent="0.25">
      <c r="X3107"/>
      <c r="Z3107"/>
      <c r="AA3107"/>
      <c r="AB3107" s="5"/>
      <c r="AJ3107"/>
    </row>
    <row r="3108" spans="24:36" x14ac:dyDescent="0.25">
      <c r="X3108"/>
      <c r="Z3108"/>
      <c r="AA3108"/>
      <c r="AB3108" s="5"/>
      <c r="AJ3108"/>
    </row>
    <row r="3109" spans="24:36" x14ac:dyDescent="0.25">
      <c r="X3109"/>
      <c r="Z3109"/>
      <c r="AA3109"/>
      <c r="AB3109" s="5"/>
      <c r="AJ3109"/>
    </row>
    <row r="3110" spans="24:36" x14ac:dyDescent="0.25">
      <c r="X3110"/>
      <c r="Z3110"/>
      <c r="AA3110"/>
      <c r="AB3110" s="5"/>
      <c r="AJ3110"/>
    </row>
    <row r="3111" spans="24:36" x14ac:dyDescent="0.25">
      <c r="X3111"/>
      <c r="Z3111"/>
      <c r="AA3111"/>
      <c r="AB3111" s="5"/>
      <c r="AJ3111"/>
    </row>
    <row r="3112" spans="24:36" x14ac:dyDescent="0.25">
      <c r="X3112"/>
      <c r="Z3112"/>
      <c r="AA3112"/>
      <c r="AB3112" s="5"/>
      <c r="AJ3112"/>
    </row>
    <row r="3113" spans="24:36" x14ac:dyDescent="0.25">
      <c r="X3113"/>
      <c r="Z3113"/>
      <c r="AA3113"/>
      <c r="AB3113" s="5"/>
      <c r="AJ3113"/>
    </row>
    <row r="3114" spans="24:36" x14ac:dyDescent="0.25">
      <c r="X3114"/>
      <c r="Z3114"/>
      <c r="AA3114"/>
      <c r="AB3114" s="5"/>
      <c r="AJ3114"/>
    </row>
    <row r="3115" spans="24:36" x14ac:dyDescent="0.25">
      <c r="X3115"/>
      <c r="Z3115"/>
      <c r="AA3115"/>
      <c r="AB3115" s="5"/>
      <c r="AJ3115"/>
    </row>
    <row r="3116" spans="24:36" x14ac:dyDescent="0.25">
      <c r="X3116"/>
      <c r="Z3116"/>
      <c r="AA3116"/>
      <c r="AB3116" s="5"/>
      <c r="AJ3116"/>
    </row>
    <row r="3117" spans="24:36" x14ac:dyDescent="0.25">
      <c r="X3117"/>
      <c r="Z3117"/>
      <c r="AA3117"/>
      <c r="AB3117" s="5"/>
      <c r="AJ3117"/>
    </row>
    <row r="3118" spans="24:36" x14ac:dyDescent="0.25">
      <c r="X3118"/>
      <c r="Z3118"/>
      <c r="AA3118"/>
      <c r="AB3118" s="5"/>
      <c r="AJ3118"/>
    </row>
    <row r="3119" spans="24:36" x14ac:dyDescent="0.25">
      <c r="X3119"/>
      <c r="Z3119"/>
      <c r="AA3119"/>
      <c r="AB3119" s="5"/>
      <c r="AJ3119"/>
    </row>
    <row r="3120" spans="24:36" x14ac:dyDescent="0.25">
      <c r="X3120"/>
      <c r="Z3120"/>
      <c r="AA3120"/>
      <c r="AB3120" s="5"/>
      <c r="AJ3120"/>
    </row>
    <row r="3121" spans="24:36" x14ac:dyDescent="0.25">
      <c r="X3121"/>
      <c r="Z3121"/>
      <c r="AA3121"/>
      <c r="AB3121" s="5"/>
      <c r="AJ3121"/>
    </row>
    <row r="3122" spans="24:36" x14ac:dyDescent="0.25">
      <c r="X3122"/>
      <c r="Z3122"/>
      <c r="AA3122"/>
      <c r="AB3122" s="5"/>
      <c r="AJ3122"/>
    </row>
    <row r="3123" spans="24:36" x14ac:dyDescent="0.25">
      <c r="X3123"/>
      <c r="Z3123"/>
      <c r="AA3123"/>
      <c r="AB3123" s="5"/>
      <c r="AJ3123"/>
    </row>
    <row r="3124" spans="24:36" x14ac:dyDescent="0.25">
      <c r="X3124"/>
      <c r="Z3124"/>
      <c r="AA3124"/>
      <c r="AB3124" s="5"/>
      <c r="AJ3124"/>
    </row>
    <row r="3125" spans="24:36" x14ac:dyDescent="0.25">
      <c r="X3125"/>
      <c r="Z3125"/>
      <c r="AA3125"/>
      <c r="AB3125" s="5"/>
      <c r="AJ3125"/>
    </row>
    <row r="3126" spans="24:36" x14ac:dyDescent="0.25">
      <c r="X3126"/>
      <c r="Z3126"/>
      <c r="AA3126"/>
      <c r="AB3126" s="5"/>
      <c r="AJ3126"/>
    </row>
    <row r="3127" spans="24:36" x14ac:dyDescent="0.25">
      <c r="X3127"/>
      <c r="Z3127"/>
      <c r="AA3127"/>
      <c r="AB3127" s="5"/>
      <c r="AJ3127"/>
    </row>
    <row r="3128" spans="24:36" x14ac:dyDescent="0.25">
      <c r="X3128"/>
      <c r="Z3128"/>
      <c r="AA3128"/>
      <c r="AB3128" s="5"/>
      <c r="AJ3128"/>
    </row>
    <row r="3129" spans="24:36" x14ac:dyDescent="0.25">
      <c r="X3129"/>
      <c r="Z3129"/>
      <c r="AA3129"/>
      <c r="AB3129" s="5"/>
      <c r="AJ3129"/>
    </row>
    <row r="3130" spans="24:36" x14ac:dyDescent="0.25">
      <c r="X3130"/>
      <c r="Z3130"/>
      <c r="AA3130"/>
      <c r="AB3130" s="5"/>
      <c r="AJ3130"/>
    </row>
    <row r="3131" spans="24:36" x14ac:dyDescent="0.25">
      <c r="X3131"/>
      <c r="Z3131"/>
      <c r="AA3131"/>
      <c r="AB3131" s="5"/>
      <c r="AJ3131"/>
    </row>
    <row r="3132" spans="24:36" x14ac:dyDescent="0.25">
      <c r="X3132"/>
      <c r="Z3132"/>
      <c r="AA3132"/>
      <c r="AB3132" s="5"/>
      <c r="AJ3132"/>
    </row>
    <row r="3133" spans="24:36" x14ac:dyDescent="0.25">
      <c r="X3133"/>
      <c r="Z3133"/>
      <c r="AA3133"/>
      <c r="AB3133" s="5"/>
      <c r="AJ3133"/>
    </row>
    <row r="3134" spans="24:36" x14ac:dyDescent="0.25">
      <c r="X3134"/>
      <c r="Z3134"/>
      <c r="AA3134"/>
      <c r="AB3134" s="5"/>
      <c r="AJ3134"/>
    </row>
    <row r="3135" spans="24:36" x14ac:dyDescent="0.25">
      <c r="X3135"/>
      <c r="Z3135"/>
      <c r="AA3135"/>
      <c r="AB3135" s="5"/>
      <c r="AJ3135"/>
    </row>
    <row r="3136" spans="24:36" x14ac:dyDescent="0.25">
      <c r="X3136"/>
      <c r="Z3136"/>
      <c r="AA3136"/>
      <c r="AB3136" s="5"/>
      <c r="AJ3136"/>
    </row>
    <row r="3137" spans="24:36" x14ac:dyDescent="0.25">
      <c r="X3137"/>
      <c r="Z3137"/>
      <c r="AA3137"/>
      <c r="AB3137" s="5"/>
      <c r="AJ3137"/>
    </row>
    <row r="3138" spans="24:36" x14ac:dyDescent="0.25">
      <c r="X3138"/>
      <c r="Z3138"/>
      <c r="AA3138"/>
      <c r="AB3138" s="5"/>
      <c r="AJ3138"/>
    </row>
    <row r="3139" spans="24:36" x14ac:dyDescent="0.25">
      <c r="X3139"/>
      <c r="Z3139"/>
      <c r="AA3139"/>
      <c r="AB3139" s="5"/>
      <c r="AJ3139"/>
    </row>
    <row r="3140" spans="24:36" x14ac:dyDescent="0.25">
      <c r="X3140"/>
      <c r="Z3140"/>
      <c r="AA3140"/>
      <c r="AB3140" s="5"/>
      <c r="AJ3140"/>
    </row>
    <row r="3141" spans="24:36" x14ac:dyDescent="0.25">
      <c r="X3141"/>
      <c r="Z3141"/>
      <c r="AA3141"/>
      <c r="AB3141" s="5"/>
      <c r="AJ3141"/>
    </row>
    <row r="3142" spans="24:36" x14ac:dyDescent="0.25">
      <c r="X3142"/>
      <c r="Z3142"/>
      <c r="AA3142"/>
      <c r="AB3142" s="5"/>
      <c r="AJ3142"/>
    </row>
    <row r="3143" spans="24:36" x14ac:dyDescent="0.25">
      <c r="X3143"/>
      <c r="Z3143"/>
      <c r="AA3143"/>
      <c r="AB3143" s="5"/>
      <c r="AJ3143"/>
    </row>
    <row r="3144" spans="24:36" x14ac:dyDescent="0.25">
      <c r="X3144"/>
      <c r="Z3144"/>
      <c r="AA3144"/>
      <c r="AB3144" s="5"/>
      <c r="AJ3144"/>
    </row>
    <row r="3145" spans="24:36" x14ac:dyDescent="0.25">
      <c r="X3145"/>
      <c r="Z3145"/>
      <c r="AA3145"/>
      <c r="AB3145" s="5"/>
      <c r="AJ3145"/>
    </row>
    <row r="3146" spans="24:36" x14ac:dyDescent="0.25">
      <c r="X3146"/>
      <c r="Z3146"/>
      <c r="AA3146"/>
      <c r="AB3146" s="5"/>
      <c r="AJ3146"/>
    </row>
    <row r="3147" spans="24:36" x14ac:dyDescent="0.25">
      <c r="X3147"/>
      <c r="Z3147"/>
      <c r="AA3147"/>
      <c r="AB3147" s="5"/>
      <c r="AJ3147"/>
    </row>
    <row r="3148" spans="24:36" x14ac:dyDescent="0.25">
      <c r="X3148"/>
      <c r="Z3148"/>
      <c r="AA3148"/>
      <c r="AB3148" s="5"/>
      <c r="AJ3148"/>
    </row>
    <row r="3149" spans="24:36" x14ac:dyDescent="0.25">
      <c r="X3149"/>
      <c r="Z3149"/>
      <c r="AA3149"/>
      <c r="AB3149" s="5"/>
      <c r="AJ3149"/>
    </row>
    <row r="3150" spans="24:36" x14ac:dyDescent="0.25">
      <c r="X3150"/>
      <c r="Z3150"/>
      <c r="AA3150"/>
      <c r="AB3150" s="5"/>
      <c r="AJ3150"/>
    </row>
    <row r="3151" spans="24:36" x14ac:dyDescent="0.25">
      <c r="X3151"/>
      <c r="Z3151"/>
      <c r="AA3151"/>
      <c r="AB3151" s="5"/>
      <c r="AJ3151"/>
    </row>
    <row r="3152" spans="24:36" x14ac:dyDescent="0.25">
      <c r="X3152"/>
      <c r="Z3152"/>
      <c r="AA3152"/>
      <c r="AB3152" s="5"/>
      <c r="AJ3152"/>
    </row>
    <row r="3153" spans="24:36" x14ac:dyDescent="0.25">
      <c r="X3153"/>
      <c r="Z3153"/>
      <c r="AA3153"/>
      <c r="AB3153" s="5"/>
      <c r="AJ3153"/>
    </row>
    <row r="3154" spans="24:36" x14ac:dyDescent="0.25">
      <c r="X3154"/>
      <c r="Z3154"/>
      <c r="AA3154"/>
      <c r="AB3154" s="5"/>
      <c r="AJ3154"/>
    </row>
    <row r="3155" spans="24:36" x14ac:dyDescent="0.25">
      <c r="X3155"/>
      <c r="Z3155"/>
      <c r="AA3155"/>
      <c r="AB3155" s="5"/>
      <c r="AJ3155"/>
    </row>
    <row r="3156" spans="24:36" x14ac:dyDescent="0.25">
      <c r="X3156"/>
      <c r="Z3156"/>
      <c r="AA3156"/>
      <c r="AB3156" s="5"/>
      <c r="AJ3156"/>
    </row>
    <row r="3157" spans="24:36" x14ac:dyDescent="0.25">
      <c r="X3157"/>
      <c r="Z3157"/>
      <c r="AA3157"/>
      <c r="AB3157" s="5"/>
      <c r="AJ3157"/>
    </row>
    <row r="3158" spans="24:36" x14ac:dyDescent="0.25">
      <c r="X3158"/>
      <c r="Z3158"/>
      <c r="AA3158"/>
      <c r="AB3158" s="5"/>
      <c r="AJ3158"/>
    </row>
    <row r="3159" spans="24:36" x14ac:dyDescent="0.25">
      <c r="X3159"/>
      <c r="Z3159"/>
      <c r="AA3159"/>
      <c r="AB3159" s="5"/>
      <c r="AJ3159"/>
    </row>
    <row r="3160" spans="24:36" x14ac:dyDescent="0.25">
      <c r="X3160"/>
      <c r="Z3160"/>
      <c r="AA3160"/>
      <c r="AB3160" s="5"/>
      <c r="AJ3160"/>
    </row>
    <row r="3161" spans="24:36" x14ac:dyDescent="0.25">
      <c r="X3161"/>
      <c r="Z3161"/>
      <c r="AA3161"/>
      <c r="AB3161" s="5"/>
      <c r="AJ3161"/>
    </row>
    <row r="3162" spans="24:36" x14ac:dyDescent="0.25">
      <c r="X3162"/>
      <c r="Z3162"/>
      <c r="AA3162"/>
      <c r="AB3162" s="5"/>
      <c r="AJ3162"/>
    </row>
    <row r="3163" spans="24:36" x14ac:dyDescent="0.25">
      <c r="X3163"/>
      <c r="Z3163"/>
      <c r="AA3163"/>
      <c r="AB3163" s="5"/>
      <c r="AJ3163"/>
    </row>
    <row r="3164" spans="24:36" x14ac:dyDescent="0.25">
      <c r="X3164"/>
      <c r="Z3164"/>
      <c r="AA3164"/>
      <c r="AB3164" s="5"/>
      <c r="AJ3164"/>
    </row>
    <row r="3165" spans="24:36" x14ac:dyDescent="0.25">
      <c r="X3165"/>
      <c r="Z3165"/>
      <c r="AA3165"/>
      <c r="AB3165" s="5"/>
      <c r="AJ3165"/>
    </row>
    <row r="3166" spans="24:36" x14ac:dyDescent="0.25">
      <c r="X3166"/>
      <c r="Z3166"/>
      <c r="AA3166"/>
      <c r="AB3166" s="5"/>
      <c r="AJ3166"/>
    </row>
    <row r="3167" spans="24:36" x14ac:dyDescent="0.25">
      <c r="X3167"/>
      <c r="Z3167"/>
      <c r="AA3167"/>
      <c r="AB3167" s="5"/>
      <c r="AJ3167"/>
    </row>
    <row r="3168" spans="24:36" x14ac:dyDescent="0.25">
      <c r="X3168"/>
      <c r="Z3168"/>
      <c r="AA3168"/>
      <c r="AB3168" s="5"/>
      <c r="AJ3168"/>
    </row>
    <row r="3169" spans="24:36" x14ac:dyDescent="0.25">
      <c r="X3169"/>
      <c r="Z3169"/>
      <c r="AA3169"/>
      <c r="AB3169" s="5"/>
      <c r="AJ3169"/>
    </row>
    <row r="3170" spans="24:36" x14ac:dyDescent="0.25">
      <c r="X3170"/>
      <c r="Z3170"/>
      <c r="AA3170"/>
      <c r="AB3170" s="5"/>
      <c r="AJ3170"/>
    </row>
    <row r="3171" spans="24:36" x14ac:dyDescent="0.25">
      <c r="X3171"/>
      <c r="Z3171"/>
      <c r="AA3171"/>
      <c r="AB3171" s="5"/>
      <c r="AJ3171"/>
    </row>
    <row r="3172" spans="24:36" x14ac:dyDescent="0.25">
      <c r="X3172"/>
      <c r="Z3172"/>
      <c r="AA3172"/>
      <c r="AB3172" s="5"/>
      <c r="AJ3172"/>
    </row>
    <row r="3173" spans="24:36" x14ac:dyDescent="0.25">
      <c r="X3173"/>
      <c r="Z3173"/>
      <c r="AA3173"/>
      <c r="AB3173" s="5"/>
      <c r="AJ3173"/>
    </row>
    <row r="3174" spans="24:36" x14ac:dyDescent="0.25">
      <c r="X3174"/>
      <c r="Z3174"/>
      <c r="AA3174"/>
      <c r="AB3174" s="5"/>
      <c r="AJ3174"/>
    </row>
    <row r="3175" spans="24:36" x14ac:dyDescent="0.25">
      <c r="X3175"/>
      <c r="Z3175"/>
      <c r="AA3175"/>
      <c r="AB3175" s="5"/>
      <c r="AJ3175"/>
    </row>
    <row r="3176" spans="24:36" x14ac:dyDescent="0.25">
      <c r="X3176"/>
      <c r="Z3176"/>
      <c r="AA3176"/>
      <c r="AB3176" s="5"/>
      <c r="AJ3176"/>
    </row>
    <row r="3177" spans="24:36" x14ac:dyDescent="0.25">
      <c r="X3177"/>
      <c r="Z3177"/>
      <c r="AA3177"/>
      <c r="AB3177" s="5"/>
      <c r="AJ3177"/>
    </row>
    <row r="3178" spans="24:36" x14ac:dyDescent="0.25">
      <c r="X3178"/>
      <c r="Z3178"/>
      <c r="AA3178"/>
      <c r="AB3178" s="5"/>
      <c r="AJ3178"/>
    </row>
    <row r="3179" spans="24:36" x14ac:dyDescent="0.25">
      <c r="X3179"/>
      <c r="Z3179"/>
      <c r="AA3179"/>
      <c r="AB3179" s="5"/>
      <c r="AJ3179"/>
    </row>
    <row r="3180" spans="24:36" x14ac:dyDescent="0.25">
      <c r="X3180"/>
      <c r="Z3180"/>
      <c r="AA3180"/>
      <c r="AB3180" s="5"/>
      <c r="AJ3180"/>
    </row>
    <row r="3181" spans="24:36" x14ac:dyDescent="0.25">
      <c r="X3181"/>
      <c r="Z3181"/>
      <c r="AA3181"/>
      <c r="AB3181" s="5"/>
      <c r="AJ3181"/>
    </row>
    <row r="3182" spans="24:36" x14ac:dyDescent="0.25">
      <c r="X3182"/>
      <c r="Z3182"/>
      <c r="AA3182"/>
      <c r="AB3182" s="5"/>
      <c r="AJ3182"/>
    </row>
    <row r="3183" spans="24:36" x14ac:dyDescent="0.25">
      <c r="X3183"/>
      <c r="Z3183"/>
      <c r="AA3183"/>
      <c r="AB3183" s="5"/>
      <c r="AJ3183"/>
    </row>
    <row r="3184" spans="24:36" x14ac:dyDescent="0.25">
      <c r="X3184"/>
      <c r="Z3184"/>
      <c r="AA3184"/>
      <c r="AB3184" s="5"/>
      <c r="AJ3184"/>
    </row>
    <row r="3185" spans="24:36" x14ac:dyDescent="0.25">
      <c r="X3185"/>
      <c r="Z3185"/>
      <c r="AA3185"/>
      <c r="AB3185" s="5"/>
      <c r="AJ3185"/>
    </row>
    <row r="3186" spans="24:36" x14ac:dyDescent="0.25">
      <c r="X3186"/>
      <c r="Z3186"/>
      <c r="AA3186"/>
      <c r="AB3186" s="5"/>
      <c r="AJ3186"/>
    </row>
    <row r="3187" spans="24:36" x14ac:dyDescent="0.25">
      <c r="X3187"/>
      <c r="Z3187"/>
      <c r="AA3187"/>
      <c r="AB3187" s="5"/>
      <c r="AJ3187"/>
    </row>
    <row r="3188" spans="24:36" x14ac:dyDescent="0.25">
      <c r="X3188"/>
      <c r="Z3188"/>
      <c r="AA3188"/>
      <c r="AB3188" s="5"/>
      <c r="AJ3188"/>
    </row>
    <row r="3189" spans="24:36" x14ac:dyDescent="0.25">
      <c r="X3189"/>
      <c r="Z3189"/>
      <c r="AA3189"/>
      <c r="AB3189" s="5"/>
      <c r="AJ3189"/>
    </row>
    <row r="3190" spans="24:36" x14ac:dyDescent="0.25">
      <c r="X3190"/>
      <c r="Z3190"/>
      <c r="AA3190"/>
      <c r="AB3190" s="5"/>
      <c r="AJ3190"/>
    </row>
    <row r="3191" spans="24:36" x14ac:dyDescent="0.25">
      <c r="X3191"/>
      <c r="Z3191"/>
      <c r="AA3191"/>
      <c r="AB3191" s="5"/>
      <c r="AJ3191"/>
    </row>
    <row r="3192" spans="24:36" x14ac:dyDescent="0.25">
      <c r="X3192"/>
      <c r="Z3192"/>
      <c r="AA3192"/>
      <c r="AB3192" s="5"/>
      <c r="AJ3192"/>
    </row>
    <row r="3193" spans="24:36" x14ac:dyDescent="0.25">
      <c r="X3193"/>
      <c r="Z3193"/>
      <c r="AA3193"/>
      <c r="AB3193" s="5"/>
      <c r="AJ3193"/>
    </row>
    <row r="3194" spans="24:36" x14ac:dyDescent="0.25">
      <c r="X3194"/>
      <c r="Z3194"/>
      <c r="AA3194"/>
      <c r="AB3194" s="5"/>
      <c r="AJ3194"/>
    </row>
    <row r="3195" spans="24:36" x14ac:dyDescent="0.25">
      <c r="X3195"/>
      <c r="Z3195"/>
      <c r="AA3195"/>
      <c r="AB3195" s="5"/>
      <c r="AJ3195"/>
    </row>
    <row r="3196" spans="24:36" x14ac:dyDescent="0.25">
      <c r="X3196"/>
      <c r="Z3196"/>
      <c r="AA3196"/>
      <c r="AB3196" s="5"/>
      <c r="AJ3196"/>
    </row>
    <row r="3197" spans="24:36" x14ac:dyDescent="0.25">
      <c r="X3197"/>
      <c r="Z3197"/>
      <c r="AA3197"/>
      <c r="AB3197" s="5"/>
      <c r="AJ3197"/>
    </row>
    <row r="3198" spans="24:36" x14ac:dyDescent="0.25">
      <c r="X3198"/>
      <c r="Z3198"/>
      <c r="AA3198"/>
      <c r="AB3198" s="5"/>
      <c r="AJ3198"/>
    </row>
    <row r="3199" spans="24:36" x14ac:dyDescent="0.25">
      <c r="X3199"/>
      <c r="Z3199"/>
      <c r="AA3199"/>
      <c r="AB3199" s="5"/>
      <c r="AJ3199"/>
    </row>
    <row r="3200" spans="24:36" x14ac:dyDescent="0.25">
      <c r="X3200"/>
      <c r="Z3200"/>
      <c r="AA3200"/>
      <c r="AB3200" s="5"/>
      <c r="AJ3200"/>
    </row>
    <row r="3201" spans="24:36" x14ac:dyDescent="0.25">
      <c r="X3201"/>
      <c r="Z3201"/>
      <c r="AA3201"/>
      <c r="AB3201" s="5"/>
      <c r="AJ3201"/>
    </row>
    <row r="3202" spans="24:36" x14ac:dyDescent="0.25">
      <c r="X3202"/>
      <c r="Z3202"/>
      <c r="AA3202"/>
      <c r="AB3202" s="5"/>
      <c r="AJ3202"/>
    </row>
    <row r="3203" spans="24:36" x14ac:dyDescent="0.25">
      <c r="X3203"/>
      <c r="Z3203"/>
      <c r="AA3203"/>
      <c r="AB3203" s="5"/>
      <c r="AJ3203"/>
    </row>
    <row r="3204" spans="24:36" x14ac:dyDescent="0.25">
      <c r="X3204"/>
      <c r="Z3204"/>
      <c r="AA3204"/>
      <c r="AB3204" s="5"/>
      <c r="AJ3204"/>
    </row>
    <row r="3205" spans="24:36" x14ac:dyDescent="0.25">
      <c r="X3205"/>
      <c r="Z3205"/>
      <c r="AA3205"/>
      <c r="AB3205" s="5"/>
      <c r="AJ3205"/>
    </row>
    <row r="3206" spans="24:36" x14ac:dyDescent="0.25">
      <c r="X3206"/>
      <c r="Z3206"/>
      <c r="AA3206"/>
      <c r="AB3206" s="5"/>
      <c r="AJ3206"/>
    </row>
    <row r="3207" spans="24:36" x14ac:dyDescent="0.25">
      <c r="X3207"/>
      <c r="Z3207"/>
      <c r="AA3207"/>
      <c r="AB3207" s="5"/>
      <c r="AJ3207"/>
    </row>
    <row r="3208" spans="24:36" x14ac:dyDescent="0.25">
      <c r="X3208"/>
      <c r="Z3208"/>
      <c r="AA3208"/>
      <c r="AB3208" s="5"/>
      <c r="AJ3208"/>
    </row>
    <row r="3209" spans="24:36" x14ac:dyDescent="0.25">
      <c r="X3209"/>
      <c r="Z3209"/>
      <c r="AA3209"/>
      <c r="AB3209" s="5"/>
      <c r="AJ3209"/>
    </row>
    <row r="3210" spans="24:36" x14ac:dyDescent="0.25">
      <c r="X3210"/>
      <c r="Z3210"/>
      <c r="AA3210"/>
      <c r="AB3210" s="5"/>
      <c r="AJ3210"/>
    </row>
    <row r="3211" spans="24:36" x14ac:dyDescent="0.25">
      <c r="X3211"/>
      <c r="Z3211"/>
      <c r="AA3211"/>
      <c r="AB3211" s="5"/>
      <c r="AJ3211"/>
    </row>
    <row r="3212" spans="24:36" x14ac:dyDescent="0.25">
      <c r="X3212"/>
      <c r="Z3212"/>
      <c r="AA3212"/>
      <c r="AB3212" s="5"/>
      <c r="AJ3212"/>
    </row>
    <row r="3213" spans="24:36" x14ac:dyDescent="0.25">
      <c r="X3213"/>
      <c r="Z3213"/>
      <c r="AA3213"/>
      <c r="AB3213" s="5"/>
      <c r="AJ3213"/>
    </row>
    <row r="3214" spans="24:36" x14ac:dyDescent="0.25">
      <c r="X3214"/>
      <c r="Z3214"/>
      <c r="AA3214"/>
      <c r="AB3214" s="5"/>
      <c r="AJ3214"/>
    </row>
    <row r="3215" spans="24:36" x14ac:dyDescent="0.25">
      <c r="X3215"/>
      <c r="Z3215"/>
      <c r="AA3215"/>
      <c r="AB3215" s="5"/>
      <c r="AJ3215"/>
    </row>
    <row r="3216" spans="24:36" x14ac:dyDescent="0.25">
      <c r="X3216"/>
      <c r="Z3216"/>
      <c r="AA3216"/>
      <c r="AB3216" s="5"/>
      <c r="AJ3216"/>
    </row>
    <row r="3217" spans="24:36" x14ac:dyDescent="0.25">
      <c r="X3217"/>
      <c r="Z3217"/>
      <c r="AA3217"/>
      <c r="AB3217" s="5"/>
      <c r="AJ3217"/>
    </row>
    <row r="3218" spans="24:36" x14ac:dyDescent="0.25">
      <c r="X3218"/>
      <c r="Z3218"/>
      <c r="AA3218"/>
      <c r="AB3218" s="5"/>
      <c r="AJ3218"/>
    </row>
    <row r="3219" spans="24:36" x14ac:dyDescent="0.25">
      <c r="X3219"/>
      <c r="Z3219"/>
      <c r="AA3219"/>
      <c r="AB3219" s="5"/>
      <c r="AJ3219"/>
    </row>
    <row r="3220" spans="24:36" x14ac:dyDescent="0.25">
      <c r="X3220"/>
      <c r="Z3220"/>
      <c r="AA3220"/>
      <c r="AB3220" s="5"/>
      <c r="AJ3220"/>
    </row>
    <row r="3221" spans="24:36" x14ac:dyDescent="0.25">
      <c r="X3221"/>
      <c r="Z3221"/>
      <c r="AA3221"/>
      <c r="AB3221" s="5"/>
      <c r="AJ3221"/>
    </row>
    <row r="3222" spans="24:36" x14ac:dyDescent="0.25">
      <c r="X3222"/>
      <c r="Z3222"/>
      <c r="AA3222"/>
      <c r="AB3222" s="5"/>
      <c r="AJ3222"/>
    </row>
    <row r="3223" spans="24:36" x14ac:dyDescent="0.25">
      <c r="X3223"/>
      <c r="Z3223"/>
      <c r="AA3223"/>
      <c r="AB3223" s="5"/>
      <c r="AJ3223"/>
    </row>
    <row r="3224" spans="24:36" x14ac:dyDescent="0.25">
      <c r="X3224"/>
      <c r="Z3224"/>
      <c r="AA3224"/>
      <c r="AB3224" s="5"/>
      <c r="AJ3224"/>
    </row>
    <row r="3225" spans="24:36" x14ac:dyDescent="0.25">
      <c r="X3225"/>
      <c r="Z3225"/>
      <c r="AA3225"/>
      <c r="AB3225" s="5"/>
      <c r="AJ3225"/>
    </row>
    <row r="3226" spans="24:36" x14ac:dyDescent="0.25">
      <c r="X3226"/>
      <c r="Z3226"/>
      <c r="AA3226"/>
      <c r="AB3226" s="5"/>
      <c r="AJ3226"/>
    </row>
    <row r="3227" spans="24:36" x14ac:dyDescent="0.25">
      <c r="X3227"/>
      <c r="Z3227"/>
      <c r="AA3227"/>
      <c r="AB3227" s="5"/>
      <c r="AJ3227"/>
    </row>
    <row r="3228" spans="24:36" x14ac:dyDescent="0.25">
      <c r="X3228"/>
      <c r="Z3228"/>
      <c r="AA3228"/>
      <c r="AB3228" s="5"/>
      <c r="AJ3228"/>
    </row>
    <row r="3229" spans="24:36" x14ac:dyDescent="0.25">
      <c r="X3229"/>
      <c r="Z3229"/>
      <c r="AA3229"/>
      <c r="AB3229" s="5"/>
      <c r="AJ3229"/>
    </row>
    <row r="3230" spans="24:36" x14ac:dyDescent="0.25">
      <c r="X3230"/>
      <c r="Z3230"/>
      <c r="AA3230"/>
      <c r="AB3230" s="5"/>
      <c r="AJ3230"/>
    </row>
    <row r="3231" spans="24:36" x14ac:dyDescent="0.25">
      <c r="X3231"/>
      <c r="Z3231"/>
      <c r="AA3231"/>
      <c r="AB3231" s="5"/>
      <c r="AJ3231"/>
    </row>
    <row r="3232" spans="24:36" x14ac:dyDescent="0.25">
      <c r="X3232"/>
      <c r="Z3232"/>
      <c r="AA3232"/>
      <c r="AB3232" s="5"/>
      <c r="AJ3232"/>
    </row>
    <row r="3233" spans="24:36" x14ac:dyDescent="0.25">
      <c r="X3233"/>
      <c r="Z3233"/>
      <c r="AA3233"/>
      <c r="AB3233" s="5"/>
      <c r="AJ3233"/>
    </row>
    <row r="3234" spans="24:36" x14ac:dyDescent="0.25">
      <c r="X3234"/>
      <c r="Z3234"/>
      <c r="AA3234"/>
      <c r="AB3234" s="5"/>
      <c r="AJ3234"/>
    </row>
    <row r="3235" spans="24:36" x14ac:dyDescent="0.25">
      <c r="X3235"/>
      <c r="Z3235"/>
      <c r="AA3235"/>
      <c r="AB3235" s="5"/>
      <c r="AJ3235"/>
    </row>
    <row r="3236" spans="24:36" x14ac:dyDescent="0.25">
      <c r="X3236"/>
      <c r="Z3236"/>
      <c r="AA3236"/>
      <c r="AB3236" s="5"/>
      <c r="AJ3236"/>
    </row>
    <row r="3237" spans="24:36" x14ac:dyDescent="0.25">
      <c r="X3237"/>
      <c r="Z3237"/>
      <c r="AA3237"/>
      <c r="AB3237" s="5"/>
      <c r="AJ3237"/>
    </row>
    <row r="3238" spans="24:36" x14ac:dyDescent="0.25">
      <c r="X3238"/>
      <c r="Z3238"/>
      <c r="AA3238"/>
      <c r="AB3238" s="5"/>
      <c r="AJ3238"/>
    </row>
    <row r="3239" spans="24:36" x14ac:dyDescent="0.25">
      <c r="X3239"/>
      <c r="Z3239"/>
      <c r="AA3239"/>
      <c r="AB3239" s="5"/>
      <c r="AJ3239"/>
    </row>
    <row r="3240" spans="24:36" x14ac:dyDescent="0.25">
      <c r="X3240"/>
      <c r="Z3240"/>
      <c r="AA3240"/>
      <c r="AB3240" s="5"/>
      <c r="AJ3240"/>
    </row>
    <row r="3241" spans="24:36" x14ac:dyDescent="0.25">
      <c r="X3241"/>
      <c r="Z3241"/>
      <c r="AA3241"/>
      <c r="AB3241" s="5"/>
      <c r="AJ3241"/>
    </row>
    <row r="3242" spans="24:36" x14ac:dyDescent="0.25">
      <c r="X3242"/>
      <c r="Z3242"/>
      <c r="AA3242"/>
      <c r="AB3242" s="5"/>
      <c r="AJ3242"/>
    </row>
    <row r="3243" spans="24:36" x14ac:dyDescent="0.25">
      <c r="X3243"/>
      <c r="Z3243"/>
      <c r="AA3243"/>
      <c r="AB3243" s="5"/>
      <c r="AJ3243"/>
    </row>
    <row r="3244" spans="24:36" x14ac:dyDescent="0.25">
      <c r="X3244"/>
      <c r="Z3244"/>
      <c r="AA3244"/>
      <c r="AB3244" s="5"/>
      <c r="AJ3244"/>
    </row>
    <row r="3245" spans="24:36" x14ac:dyDescent="0.25">
      <c r="X3245"/>
      <c r="Z3245"/>
      <c r="AA3245"/>
      <c r="AB3245" s="5"/>
      <c r="AJ3245"/>
    </row>
    <row r="3246" spans="24:36" x14ac:dyDescent="0.25">
      <c r="X3246"/>
      <c r="Z3246"/>
      <c r="AA3246"/>
      <c r="AB3246" s="5"/>
      <c r="AJ3246"/>
    </row>
    <row r="3247" spans="24:36" x14ac:dyDescent="0.25">
      <c r="X3247"/>
      <c r="Z3247"/>
      <c r="AA3247"/>
      <c r="AB3247" s="5"/>
      <c r="AJ3247"/>
    </row>
    <row r="3248" spans="24:36" x14ac:dyDescent="0.25">
      <c r="X3248"/>
      <c r="Z3248"/>
      <c r="AA3248"/>
      <c r="AB3248" s="5"/>
      <c r="AJ3248"/>
    </row>
    <row r="3249" spans="24:36" x14ac:dyDescent="0.25">
      <c r="X3249"/>
      <c r="Z3249"/>
      <c r="AA3249"/>
      <c r="AB3249" s="5"/>
      <c r="AJ3249"/>
    </row>
    <row r="3250" spans="24:36" x14ac:dyDescent="0.25">
      <c r="X3250"/>
      <c r="Z3250"/>
      <c r="AA3250"/>
      <c r="AB3250" s="5"/>
      <c r="AJ3250"/>
    </row>
    <row r="3251" spans="24:36" x14ac:dyDescent="0.25">
      <c r="X3251"/>
      <c r="Z3251"/>
      <c r="AA3251"/>
      <c r="AB3251" s="5"/>
      <c r="AJ3251"/>
    </row>
    <row r="3252" spans="24:36" x14ac:dyDescent="0.25">
      <c r="X3252"/>
      <c r="Z3252"/>
      <c r="AA3252"/>
      <c r="AB3252" s="5"/>
      <c r="AJ3252"/>
    </row>
    <row r="3253" spans="24:36" x14ac:dyDescent="0.25">
      <c r="X3253"/>
      <c r="Z3253"/>
      <c r="AA3253"/>
      <c r="AB3253" s="5"/>
      <c r="AJ3253"/>
    </row>
    <row r="3254" spans="24:36" x14ac:dyDescent="0.25">
      <c r="X3254"/>
      <c r="Z3254"/>
      <c r="AA3254"/>
      <c r="AB3254" s="5"/>
      <c r="AJ3254"/>
    </row>
    <row r="3255" spans="24:36" x14ac:dyDescent="0.25">
      <c r="X3255"/>
      <c r="Z3255"/>
      <c r="AA3255"/>
      <c r="AB3255" s="5"/>
      <c r="AJ3255"/>
    </row>
    <row r="3256" spans="24:36" x14ac:dyDescent="0.25">
      <c r="X3256"/>
      <c r="Z3256"/>
      <c r="AA3256"/>
      <c r="AB3256" s="5"/>
      <c r="AJ3256"/>
    </row>
    <row r="3257" spans="24:36" x14ac:dyDescent="0.25">
      <c r="X3257"/>
      <c r="Z3257"/>
      <c r="AA3257"/>
      <c r="AB3257" s="5"/>
      <c r="AJ3257"/>
    </row>
    <row r="3258" spans="24:36" x14ac:dyDescent="0.25">
      <c r="X3258"/>
      <c r="Z3258"/>
      <c r="AA3258"/>
      <c r="AB3258" s="5"/>
      <c r="AJ3258"/>
    </row>
    <row r="3259" spans="24:36" x14ac:dyDescent="0.25">
      <c r="X3259"/>
      <c r="Z3259"/>
      <c r="AA3259"/>
      <c r="AB3259" s="5"/>
      <c r="AJ3259"/>
    </row>
    <row r="3260" spans="24:36" x14ac:dyDescent="0.25">
      <c r="X3260"/>
      <c r="Z3260"/>
      <c r="AA3260"/>
      <c r="AB3260" s="5"/>
      <c r="AJ3260"/>
    </row>
    <row r="3261" spans="24:36" x14ac:dyDescent="0.25">
      <c r="X3261"/>
      <c r="Z3261"/>
      <c r="AA3261"/>
      <c r="AB3261" s="5"/>
      <c r="AJ3261"/>
    </row>
    <row r="3262" spans="24:36" x14ac:dyDescent="0.25">
      <c r="X3262"/>
      <c r="Z3262"/>
      <c r="AA3262"/>
      <c r="AB3262" s="5"/>
      <c r="AJ3262"/>
    </row>
    <row r="3263" spans="24:36" x14ac:dyDescent="0.25">
      <c r="X3263"/>
      <c r="Z3263"/>
      <c r="AA3263"/>
      <c r="AB3263" s="5"/>
      <c r="AJ3263"/>
    </row>
    <row r="3264" spans="24:36" x14ac:dyDescent="0.25">
      <c r="X3264"/>
      <c r="Z3264"/>
      <c r="AA3264"/>
      <c r="AB3264" s="5"/>
      <c r="AJ3264"/>
    </row>
    <row r="3265" spans="24:36" x14ac:dyDescent="0.25">
      <c r="X3265"/>
      <c r="Z3265"/>
      <c r="AA3265"/>
      <c r="AB3265" s="5"/>
      <c r="AJ3265"/>
    </row>
    <row r="3266" spans="24:36" x14ac:dyDescent="0.25">
      <c r="X3266"/>
      <c r="Z3266"/>
      <c r="AA3266"/>
      <c r="AB3266" s="5"/>
      <c r="AJ3266"/>
    </row>
    <row r="3267" spans="24:36" x14ac:dyDescent="0.25">
      <c r="X3267"/>
      <c r="Z3267"/>
      <c r="AA3267"/>
      <c r="AB3267" s="5"/>
      <c r="AJ3267"/>
    </row>
    <row r="3268" spans="24:36" x14ac:dyDescent="0.25">
      <c r="X3268"/>
      <c r="Z3268"/>
      <c r="AA3268"/>
      <c r="AB3268" s="5"/>
      <c r="AJ3268"/>
    </row>
    <row r="3269" spans="24:36" x14ac:dyDescent="0.25">
      <c r="X3269"/>
      <c r="Z3269"/>
      <c r="AA3269"/>
      <c r="AB3269" s="5"/>
      <c r="AJ3269"/>
    </row>
    <row r="3270" spans="24:36" x14ac:dyDescent="0.25">
      <c r="X3270"/>
      <c r="Z3270"/>
      <c r="AA3270"/>
      <c r="AB3270" s="5"/>
      <c r="AJ3270"/>
    </row>
    <row r="3271" spans="24:36" x14ac:dyDescent="0.25">
      <c r="X3271"/>
      <c r="Z3271"/>
      <c r="AA3271"/>
      <c r="AB3271" s="5"/>
      <c r="AJ3271"/>
    </row>
    <row r="3272" spans="24:36" x14ac:dyDescent="0.25">
      <c r="X3272"/>
      <c r="Z3272"/>
      <c r="AA3272"/>
      <c r="AB3272" s="5"/>
      <c r="AJ3272"/>
    </row>
    <row r="3273" spans="24:36" x14ac:dyDescent="0.25">
      <c r="X3273"/>
      <c r="Z3273"/>
      <c r="AA3273"/>
      <c r="AB3273" s="5"/>
      <c r="AJ3273"/>
    </row>
    <row r="3274" spans="24:36" x14ac:dyDescent="0.25">
      <c r="X3274"/>
      <c r="Z3274"/>
      <c r="AA3274"/>
      <c r="AB3274" s="5"/>
      <c r="AJ3274"/>
    </row>
    <row r="3275" spans="24:36" x14ac:dyDescent="0.25">
      <c r="X3275"/>
      <c r="Z3275"/>
      <c r="AA3275"/>
      <c r="AB3275" s="5"/>
      <c r="AJ3275"/>
    </row>
    <row r="3276" spans="24:36" x14ac:dyDescent="0.25">
      <c r="X3276"/>
      <c r="Z3276"/>
      <c r="AA3276"/>
      <c r="AB3276" s="5"/>
      <c r="AJ3276"/>
    </row>
    <row r="3277" spans="24:36" x14ac:dyDescent="0.25">
      <c r="X3277"/>
      <c r="Z3277"/>
      <c r="AA3277"/>
      <c r="AB3277" s="5"/>
      <c r="AJ3277"/>
    </row>
    <row r="3278" spans="24:36" x14ac:dyDescent="0.25">
      <c r="X3278"/>
      <c r="Z3278"/>
      <c r="AA3278"/>
      <c r="AB3278" s="5"/>
      <c r="AJ3278"/>
    </row>
    <row r="3279" spans="24:36" x14ac:dyDescent="0.25">
      <c r="X3279"/>
      <c r="Z3279"/>
      <c r="AA3279"/>
      <c r="AB3279" s="5"/>
      <c r="AJ3279"/>
    </row>
    <row r="3280" spans="24:36" x14ac:dyDescent="0.25">
      <c r="X3280"/>
      <c r="Z3280"/>
      <c r="AA3280"/>
      <c r="AB3280" s="5"/>
      <c r="AJ3280"/>
    </row>
    <row r="3281" spans="24:36" x14ac:dyDescent="0.25">
      <c r="X3281"/>
      <c r="Z3281"/>
      <c r="AA3281"/>
      <c r="AB3281" s="5"/>
      <c r="AJ3281"/>
    </row>
    <row r="3282" spans="24:36" x14ac:dyDescent="0.25">
      <c r="X3282"/>
      <c r="Z3282"/>
      <c r="AA3282"/>
      <c r="AB3282" s="5"/>
      <c r="AJ3282"/>
    </row>
    <row r="3283" spans="24:36" x14ac:dyDescent="0.25">
      <c r="X3283"/>
      <c r="Z3283"/>
      <c r="AA3283"/>
      <c r="AB3283" s="5"/>
      <c r="AJ3283"/>
    </row>
    <row r="3284" spans="24:36" x14ac:dyDescent="0.25">
      <c r="X3284"/>
      <c r="Z3284"/>
      <c r="AA3284"/>
      <c r="AB3284" s="5"/>
      <c r="AJ3284"/>
    </row>
    <row r="3285" spans="24:36" x14ac:dyDescent="0.25">
      <c r="X3285"/>
      <c r="Z3285"/>
      <c r="AA3285"/>
      <c r="AB3285" s="5"/>
      <c r="AJ3285"/>
    </row>
    <row r="3286" spans="24:36" x14ac:dyDescent="0.25">
      <c r="X3286"/>
      <c r="Z3286"/>
      <c r="AA3286"/>
      <c r="AB3286" s="5"/>
      <c r="AJ3286"/>
    </row>
    <row r="3287" spans="24:36" x14ac:dyDescent="0.25">
      <c r="X3287"/>
      <c r="Z3287"/>
      <c r="AA3287"/>
      <c r="AB3287" s="5"/>
      <c r="AJ3287"/>
    </row>
    <row r="3288" spans="24:36" x14ac:dyDescent="0.25">
      <c r="X3288"/>
      <c r="Z3288"/>
      <c r="AA3288"/>
      <c r="AB3288" s="5"/>
      <c r="AJ3288"/>
    </row>
    <row r="3289" spans="24:36" x14ac:dyDescent="0.25">
      <c r="X3289"/>
      <c r="Z3289"/>
      <c r="AA3289"/>
      <c r="AB3289" s="5"/>
      <c r="AJ3289"/>
    </row>
    <row r="3290" spans="24:36" x14ac:dyDescent="0.25">
      <c r="X3290"/>
      <c r="Z3290"/>
      <c r="AA3290"/>
      <c r="AB3290" s="5"/>
      <c r="AJ3290"/>
    </row>
    <row r="3291" spans="24:36" x14ac:dyDescent="0.25">
      <c r="X3291"/>
      <c r="Z3291"/>
      <c r="AA3291"/>
      <c r="AB3291" s="5"/>
      <c r="AJ3291"/>
    </row>
    <row r="3292" spans="24:36" x14ac:dyDescent="0.25">
      <c r="X3292"/>
      <c r="Z3292"/>
      <c r="AA3292"/>
      <c r="AB3292" s="5"/>
      <c r="AJ3292"/>
    </row>
    <row r="3293" spans="24:36" x14ac:dyDescent="0.25">
      <c r="X3293"/>
      <c r="Z3293"/>
      <c r="AA3293"/>
      <c r="AB3293" s="5"/>
      <c r="AJ3293"/>
    </row>
    <row r="3294" spans="24:36" x14ac:dyDescent="0.25">
      <c r="X3294"/>
      <c r="Z3294"/>
      <c r="AA3294"/>
      <c r="AB3294" s="5"/>
      <c r="AJ3294"/>
    </row>
    <row r="3295" spans="24:36" x14ac:dyDescent="0.25">
      <c r="X3295"/>
      <c r="Z3295"/>
      <c r="AA3295"/>
      <c r="AB3295" s="5"/>
      <c r="AJ3295"/>
    </row>
    <row r="3296" spans="24:36" x14ac:dyDescent="0.25">
      <c r="X3296"/>
      <c r="Z3296"/>
      <c r="AA3296"/>
      <c r="AB3296" s="5"/>
      <c r="AJ3296"/>
    </row>
    <row r="3297" spans="24:36" x14ac:dyDescent="0.25">
      <c r="X3297"/>
      <c r="Z3297"/>
      <c r="AA3297"/>
      <c r="AB3297" s="5"/>
      <c r="AJ3297"/>
    </row>
    <row r="3298" spans="24:36" x14ac:dyDescent="0.25">
      <c r="X3298"/>
      <c r="Z3298"/>
      <c r="AA3298"/>
      <c r="AB3298" s="5"/>
      <c r="AJ3298"/>
    </row>
    <row r="3299" spans="24:36" x14ac:dyDescent="0.25">
      <c r="X3299"/>
      <c r="Z3299"/>
      <c r="AA3299"/>
      <c r="AB3299" s="5"/>
      <c r="AJ3299"/>
    </row>
    <row r="3300" spans="24:36" x14ac:dyDescent="0.25">
      <c r="X3300"/>
      <c r="Z3300"/>
      <c r="AA3300"/>
      <c r="AB3300" s="5"/>
      <c r="AJ3300"/>
    </row>
    <row r="3301" spans="24:36" x14ac:dyDescent="0.25">
      <c r="X3301"/>
      <c r="Z3301"/>
      <c r="AA3301"/>
      <c r="AB3301" s="5"/>
      <c r="AJ3301"/>
    </row>
    <row r="3302" spans="24:36" x14ac:dyDescent="0.25">
      <c r="X3302"/>
      <c r="Z3302"/>
      <c r="AA3302"/>
      <c r="AB3302" s="5"/>
      <c r="AJ3302"/>
    </row>
    <row r="3303" spans="24:36" x14ac:dyDescent="0.25">
      <c r="X3303"/>
      <c r="Z3303"/>
      <c r="AA3303"/>
      <c r="AB3303" s="5"/>
      <c r="AJ3303"/>
    </row>
    <row r="3304" spans="24:36" x14ac:dyDescent="0.25">
      <c r="X3304"/>
      <c r="Z3304"/>
      <c r="AA3304"/>
      <c r="AB3304" s="5"/>
      <c r="AJ3304"/>
    </row>
    <row r="3305" spans="24:36" x14ac:dyDescent="0.25">
      <c r="X3305"/>
      <c r="Z3305"/>
      <c r="AA3305"/>
      <c r="AB3305" s="5"/>
      <c r="AJ3305"/>
    </row>
    <row r="3306" spans="24:36" x14ac:dyDescent="0.25">
      <c r="X3306"/>
      <c r="Z3306"/>
      <c r="AA3306"/>
      <c r="AB3306" s="5"/>
      <c r="AJ3306"/>
    </row>
    <row r="3307" spans="24:36" x14ac:dyDescent="0.25">
      <c r="X3307"/>
      <c r="Z3307"/>
      <c r="AA3307"/>
      <c r="AB3307" s="5"/>
      <c r="AJ3307"/>
    </row>
    <row r="3308" spans="24:36" x14ac:dyDescent="0.25">
      <c r="X3308"/>
      <c r="Z3308"/>
      <c r="AA3308"/>
      <c r="AB3308" s="5"/>
      <c r="AJ3308"/>
    </row>
    <row r="3309" spans="24:36" x14ac:dyDescent="0.25">
      <c r="X3309"/>
      <c r="Z3309"/>
      <c r="AA3309"/>
      <c r="AB3309" s="5"/>
      <c r="AJ3309"/>
    </row>
    <row r="3310" spans="24:36" x14ac:dyDescent="0.25">
      <c r="X3310"/>
      <c r="Z3310"/>
      <c r="AA3310"/>
      <c r="AB3310" s="5"/>
      <c r="AJ3310"/>
    </row>
    <row r="3311" spans="24:36" x14ac:dyDescent="0.25">
      <c r="X3311"/>
      <c r="Z3311"/>
      <c r="AA3311"/>
      <c r="AB3311" s="5"/>
      <c r="AJ3311"/>
    </row>
    <row r="3312" spans="24:36" x14ac:dyDescent="0.25">
      <c r="X3312"/>
      <c r="Z3312"/>
      <c r="AA3312"/>
      <c r="AB3312" s="5"/>
      <c r="AJ3312"/>
    </row>
    <row r="3313" spans="24:36" x14ac:dyDescent="0.25">
      <c r="X3313"/>
      <c r="Z3313"/>
      <c r="AA3313"/>
      <c r="AB3313" s="5"/>
      <c r="AJ3313"/>
    </row>
    <row r="3314" spans="24:36" x14ac:dyDescent="0.25">
      <c r="X3314"/>
      <c r="Z3314"/>
      <c r="AA3314"/>
      <c r="AB3314" s="5"/>
      <c r="AJ3314"/>
    </row>
    <row r="3315" spans="24:36" x14ac:dyDescent="0.25">
      <c r="X3315"/>
      <c r="Z3315"/>
      <c r="AA3315"/>
      <c r="AB3315" s="5"/>
      <c r="AJ3315"/>
    </row>
    <row r="3316" spans="24:36" x14ac:dyDescent="0.25">
      <c r="X3316"/>
      <c r="Z3316"/>
      <c r="AA3316"/>
      <c r="AB3316" s="5"/>
      <c r="AJ3316"/>
    </row>
    <row r="3317" spans="24:36" x14ac:dyDescent="0.25">
      <c r="X3317"/>
      <c r="Z3317"/>
      <c r="AA3317"/>
      <c r="AB3317" s="5"/>
      <c r="AJ3317"/>
    </row>
    <row r="3318" spans="24:36" x14ac:dyDescent="0.25">
      <c r="X3318"/>
      <c r="Z3318"/>
      <c r="AA3318"/>
      <c r="AB3318" s="5"/>
      <c r="AJ3318"/>
    </row>
    <row r="3319" spans="24:36" x14ac:dyDescent="0.25">
      <c r="X3319"/>
      <c r="Z3319"/>
      <c r="AA3319"/>
      <c r="AB3319" s="5"/>
      <c r="AJ3319"/>
    </row>
    <row r="3320" spans="24:36" x14ac:dyDescent="0.25">
      <c r="X3320"/>
      <c r="Z3320"/>
      <c r="AA3320"/>
      <c r="AB3320" s="5"/>
      <c r="AJ3320"/>
    </row>
    <row r="3321" spans="24:36" x14ac:dyDescent="0.25">
      <c r="X3321"/>
      <c r="Z3321"/>
      <c r="AA3321"/>
      <c r="AB3321" s="5"/>
      <c r="AJ3321"/>
    </row>
    <row r="3322" spans="24:36" x14ac:dyDescent="0.25">
      <c r="X3322"/>
      <c r="Z3322"/>
      <c r="AA3322"/>
      <c r="AB3322" s="5"/>
      <c r="AJ3322"/>
    </row>
    <row r="3323" spans="24:36" x14ac:dyDescent="0.25">
      <c r="X3323"/>
      <c r="Z3323"/>
      <c r="AA3323"/>
      <c r="AB3323" s="5"/>
      <c r="AJ3323"/>
    </row>
    <row r="3324" spans="24:36" x14ac:dyDescent="0.25">
      <c r="X3324"/>
      <c r="Z3324"/>
      <c r="AA3324"/>
      <c r="AB3324" s="5"/>
      <c r="AJ3324"/>
    </row>
    <row r="3325" spans="24:36" x14ac:dyDescent="0.25">
      <c r="X3325"/>
      <c r="Z3325"/>
      <c r="AA3325"/>
      <c r="AB3325" s="5"/>
      <c r="AJ3325"/>
    </row>
    <row r="3326" spans="24:36" x14ac:dyDescent="0.25">
      <c r="X3326"/>
      <c r="Z3326"/>
      <c r="AA3326"/>
      <c r="AB3326" s="5"/>
      <c r="AJ3326"/>
    </row>
    <row r="3327" spans="24:36" x14ac:dyDescent="0.25">
      <c r="X3327"/>
      <c r="Z3327"/>
      <c r="AA3327"/>
      <c r="AB3327" s="5"/>
      <c r="AJ3327"/>
    </row>
    <row r="3328" spans="24:36" x14ac:dyDescent="0.25">
      <c r="X3328"/>
      <c r="Z3328"/>
      <c r="AA3328"/>
      <c r="AB3328" s="5"/>
      <c r="AJ3328"/>
    </row>
    <row r="3329" spans="24:36" x14ac:dyDescent="0.25">
      <c r="X3329"/>
      <c r="Z3329"/>
      <c r="AA3329"/>
      <c r="AB3329" s="5"/>
      <c r="AJ3329"/>
    </row>
    <row r="3330" spans="24:36" x14ac:dyDescent="0.25">
      <c r="X3330"/>
      <c r="Z3330"/>
      <c r="AA3330"/>
      <c r="AB3330" s="5"/>
      <c r="AJ3330"/>
    </row>
    <row r="3331" spans="24:36" x14ac:dyDescent="0.25">
      <c r="X3331"/>
      <c r="Z3331"/>
      <c r="AA3331"/>
      <c r="AB3331" s="5"/>
      <c r="AJ3331"/>
    </row>
    <row r="3332" spans="24:36" x14ac:dyDescent="0.25">
      <c r="X3332"/>
      <c r="Z3332"/>
      <c r="AA3332"/>
      <c r="AB3332" s="5"/>
      <c r="AJ3332"/>
    </row>
    <row r="3333" spans="24:36" x14ac:dyDescent="0.25">
      <c r="X3333"/>
      <c r="Z3333"/>
      <c r="AA3333"/>
      <c r="AB3333" s="5"/>
      <c r="AJ3333"/>
    </row>
    <row r="3334" spans="24:36" x14ac:dyDescent="0.25">
      <c r="X3334"/>
      <c r="Z3334"/>
      <c r="AA3334"/>
      <c r="AB3334" s="5"/>
      <c r="AJ3334"/>
    </row>
    <row r="3335" spans="24:36" x14ac:dyDescent="0.25">
      <c r="X3335"/>
      <c r="Z3335"/>
      <c r="AA3335"/>
      <c r="AB3335" s="5"/>
      <c r="AJ3335"/>
    </row>
    <row r="3336" spans="24:36" x14ac:dyDescent="0.25">
      <c r="X3336"/>
      <c r="Z3336"/>
      <c r="AA3336"/>
      <c r="AB3336" s="5"/>
      <c r="AJ3336"/>
    </row>
    <row r="3337" spans="24:36" x14ac:dyDescent="0.25">
      <c r="X3337"/>
      <c r="Z3337"/>
      <c r="AA3337"/>
      <c r="AB3337" s="5"/>
      <c r="AJ3337"/>
    </row>
    <row r="3338" spans="24:36" x14ac:dyDescent="0.25">
      <c r="X3338"/>
      <c r="Z3338"/>
      <c r="AA3338"/>
      <c r="AB3338" s="5"/>
      <c r="AJ3338"/>
    </row>
    <row r="3339" spans="24:36" x14ac:dyDescent="0.25">
      <c r="X3339"/>
      <c r="Z3339"/>
      <c r="AA3339"/>
      <c r="AB3339" s="5"/>
      <c r="AJ3339"/>
    </row>
    <row r="3340" spans="24:36" x14ac:dyDescent="0.25">
      <c r="X3340"/>
      <c r="Z3340"/>
      <c r="AA3340"/>
      <c r="AB3340" s="5"/>
      <c r="AJ3340"/>
    </row>
    <row r="3341" spans="24:36" x14ac:dyDescent="0.25">
      <c r="X3341"/>
      <c r="Z3341"/>
      <c r="AA3341"/>
      <c r="AB3341" s="5"/>
      <c r="AJ3341"/>
    </row>
    <row r="3342" spans="24:36" x14ac:dyDescent="0.25">
      <c r="X3342"/>
      <c r="Z3342"/>
      <c r="AA3342"/>
      <c r="AB3342" s="5"/>
      <c r="AJ3342"/>
    </row>
    <row r="3343" spans="24:36" x14ac:dyDescent="0.25">
      <c r="X3343"/>
      <c r="Z3343"/>
      <c r="AA3343"/>
      <c r="AB3343" s="5"/>
      <c r="AJ3343"/>
    </row>
    <row r="3344" spans="24:36" x14ac:dyDescent="0.25">
      <c r="X3344"/>
      <c r="Z3344"/>
      <c r="AA3344"/>
      <c r="AB3344" s="5"/>
      <c r="AJ3344"/>
    </row>
    <row r="3345" spans="24:36" x14ac:dyDescent="0.25">
      <c r="X3345"/>
      <c r="Z3345"/>
      <c r="AA3345"/>
      <c r="AB3345" s="5"/>
      <c r="AJ3345"/>
    </row>
    <row r="3346" spans="24:36" x14ac:dyDescent="0.25">
      <c r="X3346"/>
      <c r="Z3346"/>
      <c r="AA3346"/>
      <c r="AB3346" s="5"/>
      <c r="AJ3346"/>
    </row>
    <row r="3347" spans="24:36" x14ac:dyDescent="0.25">
      <c r="X3347"/>
      <c r="Z3347"/>
      <c r="AA3347"/>
      <c r="AB3347" s="5"/>
      <c r="AJ3347"/>
    </row>
    <row r="3348" spans="24:36" x14ac:dyDescent="0.25">
      <c r="X3348"/>
      <c r="Z3348"/>
      <c r="AA3348"/>
      <c r="AB3348" s="5"/>
      <c r="AJ3348"/>
    </row>
    <row r="3349" spans="24:36" x14ac:dyDescent="0.25">
      <c r="X3349"/>
      <c r="Z3349"/>
      <c r="AA3349"/>
      <c r="AB3349" s="5"/>
      <c r="AJ3349"/>
    </row>
    <row r="3350" spans="24:36" x14ac:dyDescent="0.25">
      <c r="X3350"/>
      <c r="Z3350"/>
      <c r="AA3350"/>
      <c r="AB3350" s="5"/>
      <c r="AJ3350"/>
    </row>
    <row r="3351" spans="24:36" x14ac:dyDescent="0.25">
      <c r="X3351"/>
      <c r="Z3351"/>
      <c r="AA3351"/>
      <c r="AB3351" s="5"/>
      <c r="AJ3351"/>
    </row>
    <row r="3352" spans="24:36" x14ac:dyDescent="0.25">
      <c r="X3352"/>
      <c r="Z3352"/>
      <c r="AA3352"/>
      <c r="AB3352" s="5"/>
      <c r="AJ3352"/>
    </row>
    <row r="3353" spans="24:36" x14ac:dyDescent="0.25">
      <c r="X3353"/>
      <c r="Z3353"/>
      <c r="AA3353"/>
      <c r="AB3353" s="5"/>
      <c r="AJ3353"/>
    </row>
    <row r="3354" spans="24:36" x14ac:dyDescent="0.25">
      <c r="X3354"/>
      <c r="Z3354"/>
      <c r="AA3354"/>
      <c r="AB3354" s="5"/>
      <c r="AJ3354"/>
    </row>
    <row r="3355" spans="24:36" x14ac:dyDescent="0.25">
      <c r="X3355"/>
      <c r="Z3355"/>
      <c r="AA3355"/>
      <c r="AB3355" s="5"/>
      <c r="AJ3355"/>
    </row>
    <row r="3356" spans="24:36" x14ac:dyDescent="0.25">
      <c r="X3356"/>
      <c r="Z3356"/>
      <c r="AA3356"/>
      <c r="AB3356" s="5"/>
      <c r="AJ3356"/>
    </row>
    <row r="3357" spans="24:36" x14ac:dyDescent="0.25">
      <c r="X3357"/>
      <c r="Z3357"/>
      <c r="AA3357"/>
      <c r="AB3357" s="5"/>
      <c r="AJ3357"/>
    </row>
    <row r="3358" spans="24:36" x14ac:dyDescent="0.25">
      <c r="X3358"/>
      <c r="Z3358"/>
      <c r="AA3358"/>
      <c r="AB3358" s="5"/>
      <c r="AJ3358"/>
    </row>
    <row r="3359" spans="24:36" x14ac:dyDescent="0.25">
      <c r="X3359"/>
      <c r="Z3359"/>
      <c r="AA3359"/>
      <c r="AB3359" s="5"/>
      <c r="AJ3359"/>
    </row>
    <row r="3360" spans="24:36" x14ac:dyDescent="0.25">
      <c r="X3360"/>
      <c r="Z3360"/>
      <c r="AA3360"/>
      <c r="AB3360" s="5"/>
      <c r="AJ3360"/>
    </row>
    <row r="3361" spans="24:36" x14ac:dyDescent="0.25">
      <c r="X3361"/>
      <c r="Z3361"/>
      <c r="AA3361"/>
      <c r="AB3361" s="5"/>
      <c r="AJ3361"/>
    </row>
    <row r="3362" spans="24:36" x14ac:dyDescent="0.25">
      <c r="X3362"/>
      <c r="Z3362"/>
      <c r="AA3362"/>
      <c r="AB3362" s="5"/>
      <c r="AJ3362"/>
    </row>
    <row r="3363" spans="24:36" x14ac:dyDescent="0.25">
      <c r="X3363"/>
      <c r="Z3363"/>
      <c r="AA3363"/>
      <c r="AB3363" s="5"/>
      <c r="AJ3363"/>
    </row>
    <row r="3364" spans="24:36" x14ac:dyDescent="0.25">
      <c r="X3364"/>
      <c r="Z3364"/>
      <c r="AA3364"/>
      <c r="AB3364" s="5"/>
      <c r="AJ3364"/>
    </row>
    <row r="3365" spans="24:36" x14ac:dyDescent="0.25">
      <c r="X3365"/>
      <c r="Z3365"/>
      <c r="AA3365"/>
      <c r="AB3365" s="5"/>
      <c r="AJ3365"/>
    </row>
    <row r="3366" spans="24:36" x14ac:dyDescent="0.25">
      <c r="X3366"/>
      <c r="Z3366"/>
      <c r="AA3366"/>
      <c r="AB3366" s="5"/>
      <c r="AJ3366"/>
    </row>
    <row r="3367" spans="24:36" x14ac:dyDescent="0.25">
      <c r="X3367"/>
      <c r="Z3367"/>
      <c r="AA3367"/>
      <c r="AB3367" s="5"/>
      <c r="AJ3367"/>
    </row>
    <row r="3368" spans="24:36" x14ac:dyDescent="0.25">
      <c r="X3368"/>
      <c r="Z3368"/>
      <c r="AA3368"/>
      <c r="AB3368" s="5"/>
      <c r="AJ3368"/>
    </row>
    <row r="3369" spans="24:36" x14ac:dyDescent="0.25">
      <c r="X3369"/>
      <c r="Z3369"/>
      <c r="AA3369"/>
      <c r="AB3369" s="5"/>
      <c r="AJ3369"/>
    </row>
    <row r="3370" spans="24:36" x14ac:dyDescent="0.25">
      <c r="X3370"/>
      <c r="Z3370"/>
      <c r="AA3370"/>
      <c r="AB3370" s="5"/>
      <c r="AJ3370"/>
    </row>
    <row r="3371" spans="24:36" x14ac:dyDescent="0.25">
      <c r="X3371"/>
      <c r="Z3371"/>
      <c r="AA3371"/>
      <c r="AB3371" s="5"/>
      <c r="AJ3371"/>
    </row>
    <row r="3372" spans="24:36" x14ac:dyDescent="0.25">
      <c r="X3372"/>
      <c r="Z3372"/>
      <c r="AA3372"/>
      <c r="AB3372" s="5"/>
      <c r="AJ3372"/>
    </row>
    <row r="3373" spans="24:36" x14ac:dyDescent="0.25">
      <c r="X3373"/>
      <c r="Z3373"/>
      <c r="AA3373"/>
      <c r="AB3373" s="5"/>
      <c r="AJ3373"/>
    </row>
    <row r="3374" spans="24:36" x14ac:dyDescent="0.25">
      <c r="X3374"/>
      <c r="Z3374"/>
      <c r="AA3374"/>
      <c r="AB3374" s="5"/>
      <c r="AJ3374"/>
    </row>
    <row r="3375" spans="24:36" x14ac:dyDescent="0.25">
      <c r="X3375"/>
      <c r="Z3375"/>
      <c r="AA3375"/>
      <c r="AB3375" s="5"/>
      <c r="AJ3375"/>
    </row>
    <row r="3376" spans="24:36" x14ac:dyDescent="0.25">
      <c r="X3376"/>
      <c r="Z3376"/>
      <c r="AA3376"/>
      <c r="AB3376" s="5"/>
      <c r="AJ3376"/>
    </row>
    <row r="3377" spans="24:36" x14ac:dyDescent="0.25">
      <c r="X3377"/>
      <c r="Z3377"/>
      <c r="AA3377"/>
      <c r="AB3377" s="5"/>
      <c r="AJ3377"/>
    </row>
    <row r="3378" spans="24:36" x14ac:dyDescent="0.25">
      <c r="X3378"/>
      <c r="Z3378"/>
      <c r="AA3378"/>
      <c r="AB3378" s="5"/>
      <c r="AJ3378"/>
    </row>
    <row r="3379" spans="24:36" x14ac:dyDescent="0.25">
      <c r="X3379"/>
      <c r="Z3379"/>
      <c r="AA3379"/>
      <c r="AB3379" s="5"/>
      <c r="AJ3379"/>
    </row>
    <row r="3380" spans="24:36" x14ac:dyDescent="0.25">
      <c r="X3380"/>
      <c r="Z3380"/>
      <c r="AA3380"/>
      <c r="AB3380" s="5"/>
      <c r="AJ3380"/>
    </row>
    <row r="3381" spans="24:36" x14ac:dyDescent="0.25">
      <c r="X3381"/>
      <c r="Z3381"/>
      <c r="AA3381"/>
      <c r="AB3381" s="5"/>
      <c r="AJ3381"/>
    </row>
    <row r="3382" spans="24:36" x14ac:dyDescent="0.25">
      <c r="X3382"/>
      <c r="Z3382"/>
      <c r="AA3382"/>
      <c r="AB3382" s="5"/>
      <c r="AJ3382"/>
    </row>
    <row r="3383" spans="24:36" x14ac:dyDescent="0.25">
      <c r="X3383"/>
      <c r="Z3383"/>
      <c r="AA3383"/>
      <c r="AB3383" s="5"/>
      <c r="AJ3383"/>
    </row>
    <row r="3384" spans="24:36" x14ac:dyDescent="0.25">
      <c r="X3384"/>
      <c r="Z3384"/>
      <c r="AA3384"/>
      <c r="AB3384" s="5"/>
      <c r="AJ3384"/>
    </row>
    <row r="3385" spans="24:36" x14ac:dyDescent="0.25">
      <c r="X3385"/>
      <c r="Z3385"/>
      <c r="AA3385"/>
      <c r="AB3385" s="5"/>
      <c r="AJ3385"/>
    </row>
    <row r="3386" spans="24:36" x14ac:dyDescent="0.25">
      <c r="X3386"/>
      <c r="Z3386"/>
      <c r="AA3386"/>
      <c r="AB3386" s="5"/>
      <c r="AJ3386"/>
    </row>
    <row r="3387" spans="24:36" x14ac:dyDescent="0.25">
      <c r="X3387"/>
      <c r="Z3387"/>
      <c r="AA3387"/>
      <c r="AB3387" s="5"/>
      <c r="AJ3387"/>
    </row>
    <row r="3388" spans="24:36" x14ac:dyDescent="0.25">
      <c r="X3388"/>
      <c r="Z3388"/>
      <c r="AA3388"/>
      <c r="AB3388" s="5"/>
      <c r="AJ3388"/>
    </row>
    <row r="3389" spans="24:36" x14ac:dyDescent="0.25">
      <c r="X3389"/>
      <c r="Z3389"/>
      <c r="AA3389"/>
      <c r="AB3389" s="5"/>
      <c r="AJ3389"/>
    </row>
    <row r="3390" spans="24:36" x14ac:dyDescent="0.25">
      <c r="X3390"/>
      <c r="Z3390"/>
      <c r="AA3390"/>
      <c r="AB3390" s="5"/>
      <c r="AJ3390"/>
    </row>
    <row r="3391" spans="24:36" x14ac:dyDescent="0.25">
      <c r="X3391"/>
      <c r="Z3391"/>
      <c r="AA3391"/>
      <c r="AB3391" s="5"/>
      <c r="AJ3391"/>
    </row>
    <row r="3392" spans="24:36" x14ac:dyDescent="0.25">
      <c r="X3392"/>
      <c r="Z3392"/>
      <c r="AA3392"/>
      <c r="AB3392" s="5"/>
      <c r="AJ3392"/>
    </row>
    <row r="3393" spans="24:36" x14ac:dyDescent="0.25">
      <c r="X3393"/>
      <c r="Z3393"/>
      <c r="AA3393"/>
      <c r="AB3393" s="5"/>
      <c r="AJ3393"/>
    </row>
    <row r="3394" spans="24:36" x14ac:dyDescent="0.25">
      <c r="X3394"/>
      <c r="Z3394"/>
      <c r="AA3394"/>
      <c r="AB3394" s="5"/>
      <c r="AJ3394"/>
    </row>
    <row r="3395" spans="24:36" x14ac:dyDescent="0.25">
      <c r="X3395"/>
      <c r="Z3395"/>
      <c r="AA3395"/>
      <c r="AB3395" s="5"/>
      <c r="AJ3395"/>
    </row>
    <row r="3396" spans="24:36" x14ac:dyDescent="0.25">
      <c r="X3396"/>
      <c r="Z3396"/>
      <c r="AA3396"/>
      <c r="AB3396" s="5"/>
      <c r="AJ3396"/>
    </row>
    <row r="3397" spans="24:36" x14ac:dyDescent="0.25">
      <c r="X3397"/>
      <c r="Z3397"/>
      <c r="AA3397"/>
      <c r="AB3397" s="5"/>
      <c r="AJ3397"/>
    </row>
    <row r="3398" spans="24:36" x14ac:dyDescent="0.25">
      <c r="X3398"/>
      <c r="Z3398"/>
      <c r="AA3398"/>
      <c r="AB3398" s="5"/>
      <c r="AJ3398"/>
    </row>
    <row r="3399" spans="24:36" x14ac:dyDescent="0.25">
      <c r="X3399"/>
      <c r="Z3399"/>
      <c r="AA3399"/>
      <c r="AB3399" s="5"/>
      <c r="AJ3399"/>
    </row>
    <row r="3400" spans="24:36" x14ac:dyDescent="0.25">
      <c r="X3400"/>
      <c r="Z3400"/>
      <c r="AA3400"/>
      <c r="AB3400" s="5"/>
      <c r="AJ3400"/>
    </row>
    <row r="3401" spans="24:36" x14ac:dyDescent="0.25">
      <c r="X3401"/>
      <c r="Z3401"/>
      <c r="AA3401"/>
      <c r="AB3401" s="5"/>
      <c r="AJ3401"/>
    </row>
    <row r="3402" spans="24:36" x14ac:dyDescent="0.25">
      <c r="X3402"/>
      <c r="Z3402"/>
      <c r="AA3402"/>
      <c r="AB3402" s="5"/>
      <c r="AJ3402"/>
    </row>
    <row r="3403" spans="24:36" x14ac:dyDescent="0.25">
      <c r="X3403"/>
      <c r="Z3403"/>
      <c r="AA3403"/>
      <c r="AB3403" s="5"/>
      <c r="AJ3403"/>
    </row>
    <row r="3404" spans="24:36" x14ac:dyDescent="0.25">
      <c r="X3404"/>
      <c r="Z3404"/>
      <c r="AA3404"/>
      <c r="AB3404" s="5"/>
      <c r="AJ3404"/>
    </row>
    <row r="3405" spans="24:36" x14ac:dyDescent="0.25">
      <c r="X3405"/>
      <c r="Z3405"/>
      <c r="AA3405"/>
      <c r="AB3405" s="5"/>
      <c r="AJ3405"/>
    </row>
    <row r="3406" spans="24:36" x14ac:dyDescent="0.25">
      <c r="X3406"/>
      <c r="Z3406"/>
      <c r="AA3406"/>
      <c r="AB3406" s="5"/>
      <c r="AJ3406"/>
    </row>
    <row r="3407" spans="24:36" x14ac:dyDescent="0.25">
      <c r="X3407"/>
      <c r="Z3407"/>
      <c r="AA3407"/>
      <c r="AB3407" s="5"/>
      <c r="AJ3407"/>
    </row>
    <row r="3408" spans="24:36" x14ac:dyDescent="0.25">
      <c r="X3408"/>
      <c r="Z3408"/>
      <c r="AA3408"/>
      <c r="AB3408" s="5"/>
      <c r="AJ3408"/>
    </row>
    <row r="3409" spans="24:36" x14ac:dyDescent="0.25">
      <c r="X3409"/>
      <c r="Z3409"/>
      <c r="AA3409"/>
      <c r="AB3409" s="5"/>
      <c r="AJ3409"/>
    </row>
    <row r="3410" spans="24:36" x14ac:dyDescent="0.25">
      <c r="X3410"/>
      <c r="Z3410"/>
      <c r="AA3410"/>
      <c r="AB3410" s="5"/>
      <c r="AJ3410"/>
    </row>
    <row r="3411" spans="24:36" x14ac:dyDescent="0.25">
      <c r="X3411"/>
      <c r="Z3411"/>
      <c r="AA3411"/>
      <c r="AB3411" s="5"/>
      <c r="AJ3411"/>
    </row>
    <row r="3412" spans="24:36" x14ac:dyDescent="0.25">
      <c r="X3412"/>
      <c r="Z3412"/>
      <c r="AA3412"/>
      <c r="AB3412" s="5"/>
      <c r="AJ3412"/>
    </row>
    <row r="3413" spans="24:36" x14ac:dyDescent="0.25">
      <c r="X3413"/>
      <c r="Z3413"/>
      <c r="AA3413"/>
      <c r="AB3413" s="5"/>
      <c r="AJ3413"/>
    </row>
    <row r="3414" spans="24:36" x14ac:dyDescent="0.25">
      <c r="X3414"/>
      <c r="Z3414"/>
      <c r="AA3414"/>
      <c r="AB3414" s="5"/>
      <c r="AJ3414"/>
    </row>
    <row r="3415" spans="24:36" x14ac:dyDescent="0.25">
      <c r="X3415"/>
      <c r="Z3415"/>
      <c r="AA3415"/>
      <c r="AB3415" s="5"/>
      <c r="AJ3415"/>
    </row>
    <row r="3416" spans="24:36" x14ac:dyDescent="0.25">
      <c r="X3416"/>
      <c r="Z3416"/>
      <c r="AA3416"/>
      <c r="AB3416" s="5"/>
      <c r="AJ3416"/>
    </row>
    <row r="3417" spans="24:36" x14ac:dyDescent="0.25">
      <c r="X3417"/>
      <c r="Z3417"/>
      <c r="AA3417"/>
      <c r="AB3417" s="5"/>
      <c r="AJ3417"/>
    </row>
    <row r="3418" spans="24:36" x14ac:dyDescent="0.25">
      <c r="X3418"/>
      <c r="Z3418"/>
      <c r="AA3418"/>
      <c r="AB3418" s="5"/>
      <c r="AJ3418"/>
    </row>
    <row r="3419" spans="24:36" x14ac:dyDescent="0.25">
      <c r="X3419"/>
      <c r="Z3419"/>
      <c r="AA3419"/>
      <c r="AB3419" s="5"/>
      <c r="AJ3419"/>
    </row>
    <row r="3420" spans="24:36" x14ac:dyDescent="0.25">
      <c r="X3420"/>
      <c r="Z3420"/>
      <c r="AA3420"/>
      <c r="AB3420" s="5"/>
      <c r="AJ3420"/>
    </row>
    <row r="3421" spans="24:36" x14ac:dyDescent="0.25">
      <c r="X3421"/>
      <c r="Z3421"/>
      <c r="AA3421"/>
      <c r="AB3421" s="5"/>
      <c r="AJ3421"/>
    </row>
    <row r="3422" spans="24:36" x14ac:dyDescent="0.25">
      <c r="X3422"/>
      <c r="Z3422"/>
      <c r="AA3422"/>
      <c r="AB3422" s="5"/>
      <c r="AJ3422"/>
    </row>
    <row r="3423" spans="24:36" x14ac:dyDescent="0.25">
      <c r="X3423"/>
      <c r="Z3423"/>
      <c r="AA3423"/>
      <c r="AB3423" s="5"/>
      <c r="AJ3423"/>
    </row>
    <row r="3424" spans="24:36" x14ac:dyDescent="0.25">
      <c r="X3424"/>
      <c r="Z3424"/>
      <c r="AA3424"/>
      <c r="AB3424" s="5"/>
      <c r="AJ3424"/>
    </row>
    <row r="3425" spans="24:36" x14ac:dyDescent="0.25">
      <c r="X3425"/>
      <c r="Z3425"/>
      <c r="AA3425"/>
      <c r="AB3425" s="5"/>
      <c r="AJ3425"/>
    </row>
    <row r="3426" spans="24:36" x14ac:dyDescent="0.25">
      <c r="X3426"/>
      <c r="Z3426"/>
      <c r="AA3426"/>
      <c r="AB3426" s="5"/>
      <c r="AJ3426"/>
    </row>
    <row r="3427" spans="24:36" x14ac:dyDescent="0.25">
      <c r="X3427"/>
      <c r="Z3427"/>
      <c r="AA3427"/>
      <c r="AB3427" s="5"/>
      <c r="AJ3427"/>
    </row>
    <row r="3428" spans="24:36" x14ac:dyDescent="0.25">
      <c r="X3428"/>
      <c r="Z3428"/>
      <c r="AA3428"/>
      <c r="AB3428" s="5"/>
      <c r="AJ3428"/>
    </row>
    <row r="3429" spans="24:36" x14ac:dyDescent="0.25">
      <c r="X3429"/>
      <c r="Z3429"/>
      <c r="AA3429"/>
      <c r="AB3429" s="5"/>
      <c r="AJ3429"/>
    </row>
    <row r="3430" spans="24:36" x14ac:dyDescent="0.25">
      <c r="X3430"/>
      <c r="Z3430"/>
      <c r="AA3430"/>
      <c r="AB3430" s="5"/>
      <c r="AJ3430"/>
    </row>
    <row r="3431" spans="24:36" x14ac:dyDescent="0.25">
      <c r="X3431"/>
      <c r="Z3431"/>
      <c r="AA3431"/>
      <c r="AB3431" s="5"/>
      <c r="AJ3431"/>
    </row>
    <row r="3432" spans="24:36" x14ac:dyDescent="0.25">
      <c r="X3432"/>
      <c r="Z3432"/>
      <c r="AA3432"/>
      <c r="AB3432" s="5"/>
      <c r="AJ3432"/>
    </row>
    <row r="3433" spans="24:36" x14ac:dyDescent="0.25">
      <c r="X3433"/>
      <c r="Z3433"/>
      <c r="AA3433"/>
      <c r="AB3433" s="5"/>
      <c r="AJ3433"/>
    </row>
    <row r="3434" spans="24:36" x14ac:dyDescent="0.25">
      <c r="X3434"/>
      <c r="Z3434"/>
      <c r="AA3434"/>
      <c r="AB3434" s="5"/>
      <c r="AJ3434"/>
    </row>
    <row r="3435" spans="24:36" x14ac:dyDescent="0.25">
      <c r="X3435"/>
      <c r="Z3435"/>
      <c r="AA3435"/>
      <c r="AB3435" s="5"/>
      <c r="AJ3435"/>
    </row>
    <row r="3436" spans="24:36" x14ac:dyDescent="0.25">
      <c r="X3436"/>
      <c r="Z3436"/>
      <c r="AA3436"/>
      <c r="AB3436" s="5"/>
      <c r="AJ3436"/>
    </row>
    <row r="3437" spans="24:36" x14ac:dyDescent="0.25">
      <c r="X3437"/>
      <c r="Z3437"/>
      <c r="AA3437"/>
      <c r="AB3437" s="5"/>
      <c r="AJ3437"/>
    </row>
    <row r="3438" spans="24:36" x14ac:dyDescent="0.25">
      <c r="X3438"/>
      <c r="Z3438"/>
      <c r="AA3438"/>
      <c r="AB3438" s="5"/>
      <c r="AJ3438"/>
    </row>
    <row r="3439" spans="24:36" x14ac:dyDescent="0.25">
      <c r="X3439"/>
      <c r="Z3439"/>
      <c r="AA3439"/>
      <c r="AB3439" s="5"/>
      <c r="AJ3439"/>
    </row>
    <row r="3440" spans="24:36" x14ac:dyDescent="0.25">
      <c r="X3440"/>
      <c r="Z3440"/>
      <c r="AA3440"/>
      <c r="AB3440" s="5"/>
      <c r="AJ3440"/>
    </row>
    <row r="3441" spans="24:36" x14ac:dyDescent="0.25">
      <c r="X3441"/>
      <c r="Z3441"/>
      <c r="AA3441"/>
      <c r="AB3441" s="5"/>
      <c r="AJ3441"/>
    </row>
    <row r="3442" spans="24:36" x14ac:dyDescent="0.25">
      <c r="X3442"/>
      <c r="Z3442"/>
      <c r="AA3442"/>
      <c r="AB3442" s="5"/>
      <c r="AJ3442"/>
    </row>
    <row r="3443" spans="24:36" x14ac:dyDescent="0.25">
      <c r="X3443"/>
      <c r="Z3443"/>
      <c r="AA3443"/>
      <c r="AB3443" s="5"/>
      <c r="AJ3443"/>
    </row>
    <row r="3444" spans="24:36" x14ac:dyDescent="0.25">
      <c r="X3444"/>
      <c r="Z3444"/>
      <c r="AA3444"/>
      <c r="AB3444" s="5"/>
      <c r="AJ3444"/>
    </row>
    <row r="3445" spans="24:36" x14ac:dyDescent="0.25">
      <c r="X3445"/>
      <c r="Z3445"/>
      <c r="AA3445"/>
      <c r="AB3445" s="5"/>
      <c r="AJ3445"/>
    </row>
    <row r="3446" spans="24:36" x14ac:dyDescent="0.25">
      <c r="X3446"/>
      <c r="Z3446"/>
      <c r="AA3446"/>
      <c r="AB3446" s="5"/>
      <c r="AJ3446"/>
    </row>
    <row r="3447" spans="24:36" x14ac:dyDescent="0.25">
      <c r="X3447"/>
      <c r="Z3447"/>
      <c r="AA3447"/>
      <c r="AB3447" s="5"/>
      <c r="AJ3447"/>
    </row>
    <row r="3448" spans="24:36" x14ac:dyDescent="0.25">
      <c r="X3448"/>
      <c r="Z3448"/>
      <c r="AA3448"/>
      <c r="AB3448" s="5"/>
      <c r="AJ3448"/>
    </row>
    <row r="3449" spans="24:36" x14ac:dyDescent="0.25">
      <c r="X3449"/>
      <c r="Z3449"/>
      <c r="AA3449"/>
      <c r="AB3449" s="5"/>
      <c r="AJ3449"/>
    </row>
    <row r="3450" spans="24:36" x14ac:dyDescent="0.25">
      <c r="X3450"/>
      <c r="Z3450"/>
      <c r="AA3450"/>
      <c r="AB3450" s="5"/>
      <c r="AJ3450"/>
    </row>
    <row r="3451" spans="24:36" x14ac:dyDescent="0.25">
      <c r="X3451"/>
      <c r="Z3451"/>
      <c r="AA3451"/>
      <c r="AB3451" s="5"/>
      <c r="AJ3451"/>
    </row>
    <row r="3452" spans="24:36" x14ac:dyDescent="0.25">
      <c r="X3452"/>
      <c r="Z3452"/>
      <c r="AA3452"/>
      <c r="AB3452" s="5"/>
      <c r="AJ3452"/>
    </row>
    <row r="3453" spans="24:36" x14ac:dyDescent="0.25">
      <c r="X3453"/>
      <c r="Z3453"/>
      <c r="AA3453"/>
      <c r="AB3453" s="5"/>
      <c r="AJ3453"/>
    </row>
    <row r="3454" spans="24:36" x14ac:dyDescent="0.25">
      <c r="X3454"/>
      <c r="Z3454"/>
      <c r="AA3454"/>
      <c r="AB3454" s="5"/>
      <c r="AJ3454"/>
    </row>
    <row r="3455" spans="24:36" x14ac:dyDescent="0.25">
      <c r="X3455"/>
      <c r="Z3455"/>
      <c r="AA3455"/>
      <c r="AB3455" s="5"/>
      <c r="AJ3455"/>
    </row>
    <row r="3456" spans="24:36" x14ac:dyDescent="0.25">
      <c r="X3456"/>
      <c r="Z3456"/>
      <c r="AA3456"/>
      <c r="AB3456" s="5"/>
      <c r="AJ3456"/>
    </row>
    <row r="3457" spans="24:36" x14ac:dyDescent="0.25">
      <c r="X3457"/>
      <c r="Z3457"/>
      <c r="AA3457"/>
      <c r="AB3457" s="5"/>
      <c r="AJ3457"/>
    </row>
    <row r="3458" spans="24:36" x14ac:dyDescent="0.25">
      <c r="X3458"/>
      <c r="Z3458"/>
      <c r="AA3458"/>
      <c r="AB3458" s="5"/>
      <c r="AJ3458"/>
    </row>
    <row r="3459" spans="24:36" x14ac:dyDescent="0.25">
      <c r="X3459"/>
      <c r="Z3459"/>
      <c r="AA3459"/>
      <c r="AB3459" s="5"/>
      <c r="AJ3459"/>
    </row>
    <row r="3460" spans="24:36" x14ac:dyDescent="0.25">
      <c r="X3460"/>
      <c r="Z3460"/>
      <c r="AA3460"/>
      <c r="AB3460" s="5"/>
      <c r="AJ3460"/>
    </row>
    <row r="3461" spans="24:36" x14ac:dyDescent="0.25">
      <c r="X3461"/>
      <c r="Z3461"/>
      <c r="AA3461"/>
      <c r="AB3461" s="5"/>
      <c r="AJ3461"/>
    </row>
    <row r="3462" spans="24:36" x14ac:dyDescent="0.25">
      <c r="X3462"/>
      <c r="Z3462"/>
      <c r="AA3462"/>
      <c r="AB3462" s="5"/>
      <c r="AJ3462"/>
    </row>
    <row r="3463" spans="24:36" x14ac:dyDescent="0.25">
      <c r="X3463"/>
      <c r="Z3463"/>
      <c r="AA3463"/>
      <c r="AB3463" s="5"/>
      <c r="AJ3463"/>
    </row>
    <row r="3464" spans="24:36" x14ac:dyDescent="0.25">
      <c r="X3464"/>
      <c r="Z3464"/>
      <c r="AA3464"/>
      <c r="AB3464" s="5"/>
      <c r="AJ3464"/>
    </row>
    <row r="3465" spans="24:36" x14ac:dyDescent="0.25">
      <c r="X3465"/>
      <c r="Z3465"/>
      <c r="AA3465"/>
      <c r="AB3465" s="5"/>
      <c r="AJ3465"/>
    </row>
    <row r="3466" spans="24:36" x14ac:dyDescent="0.25">
      <c r="X3466"/>
      <c r="Z3466"/>
      <c r="AA3466"/>
      <c r="AB3466" s="5"/>
      <c r="AJ3466"/>
    </row>
    <row r="3467" spans="24:36" x14ac:dyDescent="0.25">
      <c r="X3467"/>
      <c r="Z3467"/>
      <c r="AA3467"/>
      <c r="AB3467" s="5"/>
      <c r="AJ3467"/>
    </row>
    <row r="3468" spans="24:36" x14ac:dyDescent="0.25">
      <c r="X3468"/>
      <c r="Z3468"/>
      <c r="AA3468"/>
      <c r="AB3468" s="5"/>
      <c r="AJ3468"/>
    </row>
    <row r="3469" spans="24:36" x14ac:dyDescent="0.25">
      <c r="X3469"/>
      <c r="Z3469"/>
      <c r="AA3469"/>
      <c r="AB3469" s="5"/>
      <c r="AJ3469"/>
    </row>
    <row r="3470" spans="24:36" x14ac:dyDescent="0.25">
      <c r="X3470"/>
      <c r="Z3470"/>
      <c r="AA3470"/>
      <c r="AB3470" s="5"/>
      <c r="AJ3470"/>
    </row>
    <row r="3471" spans="24:36" x14ac:dyDescent="0.25">
      <c r="X3471"/>
      <c r="Z3471"/>
      <c r="AA3471"/>
      <c r="AB3471" s="5"/>
      <c r="AJ3471"/>
    </row>
    <row r="3472" spans="24:36" x14ac:dyDescent="0.25">
      <c r="X3472"/>
      <c r="Z3472"/>
      <c r="AA3472"/>
      <c r="AB3472" s="5"/>
      <c r="AJ3472"/>
    </row>
    <row r="3473" spans="24:36" x14ac:dyDescent="0.25">
      <c r="X3473"/>
      <c r="Z3473"/>
      <c r="AA3473"/>
      <c r="AB3473" s="5"/>
      <c r="AJ3473"/>
    </row>
    <row r="3474" spans="24:36" x14ac:dyDescent="0.25">
      <c r="X3474"/>
      <c r="Z3474"/>
      <c r="AA3474"/>
      <c r="AB3474" s="5"/>
      <c r="AJ3474"/>
    </row>
    <row r="3475" spans="24:36" x14ac:dyDescent="0.25">
      <c r="X3475"/>
      <c r="Z3475"/>
      <c r="AA3475"/>
      <c r="AB3475" s="5"/>
      <c r="AJ3475"/>
    </row>
    <row r="3476" spans="24:36" x14ac:dyDescent="0.25">
      <c r="X3476"/>
      <c r="Z3476"/>
      <c r="AA3476"/>
      <c r="AB3476" s="5"/>
      <c r="AJ3476"/>
    </row>
    <row r="3477" spans="24:36" x14ac:dyDescent="0.25">
      <c r="X3477"/>
      <c r="Z3477"/>
      <c r="AA3477"/>
      <c r="AB3477" s="5"/>
      <c r="AJ3477"/>
    </row>
    <row r="3478" spans="24:36" x14ac:dyDescent="0.25">
      <c r="X3478"/>
      <c r="Z3478"/>
      <c r="AA3478"/>
      <c r="AB3478" s="5"/>
      <c r="AJ3478"/>
    </row>
    <row r="3479" spans="24:36" x14ac:dyDescent="0.25">
      <c r="X3479"/>
      <c r="Z3479"/>
      <c r="AA3479"/>
      <c r="AB3479" s="5"/>
      <c r="AJ3479"/>
    </row>
    <row r="3480" spans="24:36" x14ac:dyDescent="0.25">
      <c r="X3480"/>
      <c r="Z3480"/>
      <c r="AA3480"/>
      <c r="AB3480" s="5"/>
      <c r="AJ3480"/>
    </row>
    <row r="3481" spans="24:36" x14ac:dyDescent="0.25">
      <c r="X3481"/>
      <c r="Z3481"/>
      <c r="AA3481"/>
      <c r="AB3481" s="5"/>
      <c r="AJ3481"/>
    </row>
    <row r="3482" spans="24:36" x14ac:dyDescent="0.25">
      <c r="X3482"/>
      <c r="Z3482"/>
      <c r="AA3482"/>
      <c r="AB3482" s="5"/>
      <c r="AJ3482"/>
    </row>
    <row r="3483" spans="24:36" x14ac:dyDescent="0.25">
      <c r="X3483"/>
      <c r="Z3483"/>
      <c r="AA3483"/>
      <c r="AB3483" s="5"/>
      <c r="AJ3483"/>
    </row>
    <row r="3484" spans="24:36" x14ac:dyDescent="0.25">
      <c r="X3484"/>
      <c r="Z3484"/>
      <c r="AA3484"/>
      <c r="AB3484" s="5"/>
      <c r="AJ3484"/>
    </row>
    <row r="3485" spans="24:36" x14ac:dyDescent="0.25">
      <c r="X3485"/>
      <c r="Z3485"/>
      <c r="AA3485"/>
      <c r="AB3485" s="5"/>
      <c r="AJ3485"/>
    </row>
    <row r="3486" spans="24:36" x14ac:dyDescent="0.25">
      <c r="X3486"/>
      <c r="Z3486"/>
      <c r="AA3486"/>
      <c r="AB3486" s="5"/>
      <c r="AJ3486"/>
    </row>
    <row r="3487" spans="24:36" x14ac:dyDescent="0.25">
      <c r="X3487"/>
      <c r="Z3487"/>
      <c r="AA3487"/>
      <c r="AB3487" s="5"/>
      <c r="AJ3487"/>
    </row>
    <row r="3488" spans="24:36" x14ac:dyDescent="0.25">
      <c r="X3488"/>
      <c r="Z3488"/>
      <c r="AA3488"/>
      <c r="AB3488" s="5"/>
      <c r="AJ3488"/>
    </row>
    <row r="3489" spans="24:36" x14ac:dyDescent="0.25">
      <c r="X3489"/>
      <c r="Z3489"/>
      <c r="AA3489"/>
      <c r="AB3489" s="5"/>
      <c r="AJ3489"/>
    </row>
    <row r="3490" spans="24:36" x14ac:dyDescent="0.25">
      <c r="X3490"/>
      <c r="Z3490"/>
      <c r="AA3490"/>
      <c r="AB3490" s="5"/>
      <c r="AJ3490"/>
    </row>
    <row r="3491" spans="24:36" x14ac:dyDescent="0.25">
      <c r="X3491"/>
      <c r="Z3491"/>
      <c r="AA3491"/>
      <c r="AB3491" s="5"/>
      <c r="AJ3491"/>
    </row>
    <row r="3492" spans="24:36" x14ac:dyDescent="0.25">
      <c r="X3492"/>
      <c r="Z3492"/>
      <c r="AA3492"/>
      <c r="AB3492" s="5"/>
      <c r="AJ3492"/>
    </row>
    <row r="3493" spans="24:36" x14ac:dyDescent="0.25">
      <c r="X3493"/>
      <c r="Z3493"/>
      <c r="AA3493"/>
      <c r="AB3493" s="5"/>
      <c r="AJ3493"/>
    </row>
    <row r="3494" spans="24:36" x14ac:dyDescent="0.25">
      <c r="X3494"/>
      <c r="Z3494"/>
      <c r="AA3494"/>
      <c r="AB3494" s="5"/>
      <c r="AJ3494"/>
    </row>
    <row r="3495" spans="24:36" x14ac:dyDescent="0.25">
      <c r="X3495"/>
      <c r="Z3495"/>
      <c r="AA3495"/>
      <c r="AB3495" s="5"/>
      <c r="AJ3495"/>
    </row>
    <row r="3496" spans="24:36" x14ac:dyDescent="0.25">
      <c r="X3496"/>
      <c r="Z3496"/>
      <c r="AA3496"/>
      <c r="AB3496" s="5"/>
      <c r="AJ3496"/>
    </row>
    <row r="3497" spans="24:36" x14ac:dyDescent="0.25">
      <c r="X3497"/>
      <c r="Z3497"/>
      <c r="AA3497"/>
      <c r="AB3497" s="5"/>
      <c r="AJ3497"/>
    </row>
    <row r="3498" spans="24:36" x14ac:dyDescent="0.25">
      <c r="X3498"/>
      <c r="Z3498"/>
      <c r="AA3498"/>
      <c r="AB3498" s="5"/>
      <c r="AJ3498"/>
    </row>
    <row r="3499" spans="24:36" x14ac:dyDescent="0.25">
      <c r="X3499"/>
      <c r="Z3499"/>
      <c r="AA3499"/>
      <c r="AB3499" s="5"/>
      <c r="AJ3499"/>
    </row>
    <row r="3500" spans="24:36" x14ac:dyDescent="0.25">
      <c r="X3500"/>
      <c r="Z3500"/>
      <c r="AA3500"/>
      <c r="AB3500" s="5"/>
      <c r="AJ3500"/>
    </row>
    <row r="3501" spans="24:36" x14ac:dyDescent="0.25">
      <c r="X3501"/>
      <c r="Z3501"/>
      <c r="AA3501"/>
      <c r="AB3501" s="5"/>
      <c r="AJ3501"/>
    </row>
    <row r="3502" spans="24:36" x14ac:dyDescent="0.25">
      <c r="X3502"/>
      <c r="Z3502"/>
      <c r="AA3502"/>
      <c r="AB3502" s="5"/>
      <c r="AJ3502"/>
    </row>
    <row r="3503" spans="24:36" x14ac:dyDescent="0.25">
      <c r="X3503"/>
      <c r="Z3503"/>
      <c r="AA3503"/>
      <c r="AB3503" s="5"/>
      <c r="AJ3503"/>
    </row>
    <row r="3504" spans="24:36" x14ac:dyDescent="0.25">
      <c r="X3504"/>
      <c r="Z3504"/>
      <c r="AA3504"/>
      <c r="AB3504" s="5"/>
      <c r="AJ3504"/>
    </row>
    <row r="3505" spans="24:36" x14ac:dyDescent="0.25">
      <c r="X3505"/>
      <c r="Z3505"/>
      <c r="AA3505"/>
      <c r="AB3505" s="5"/>
      <c r="AJ3505"/>
    </row>
    <row r="3506" spans="24:36" x14ac:dyDescent="0.25">
      <c r="X3506"/>
      <c r="Z3506"/>
      <c r="AA3506"/>
      <c r="AB3506" s="5"/>
      <c r="AJ3506"/>
    </row>
    <row r="3507" spans="24:36" x14ac:dyDescent="0.25">
      <c r="X3507"/>
      <c r="Z3507"/>
      <c r="AA3507"/>
      <c r="AB3507" s="5"/>
      <c r="AJ3507"/>
    </row>
    <row r="3508" spans="24:36" x14ac:dyDescent="0.25">
      <c r="X3508"/>
      <c r="Z3508"/>
      <c r="AA3508"/>
      <c r="AB3508" s="5"/>
      <c r="AJ3508"/>
    </row>
    <row r="3509" spans="24:36" x14ac:dyDescent="0.25">
      <c r="X3509"/>
      <c r="Z3509"/>
      <c r="AA3509"/>
      <c r="AB3509" s="5"/>
      <c r="AJ3509"/>
    </row>
    <row r="3510" spans="24:36" x14ac:dyDescent="0.25">
      <c r="X3510"/>
      <c r="Z3510"/>
      <c r="AA3510"/>
      <c r="AB3510" s="5"/>
      <c r="AJ3510"/>
    </row>
    <row r="3511" spans="24:36" x14ac:dyDescent="0.25">
      <c r="X3511"/>
      <c r="Z3511"/>
      <c r="AA3511"/>
      <c r="AB3511" s="5"/>
      <c r="AJ3511"/>
    </row>
    <row r="3512" spans="24:36" x14ac:dyDescent="0.25">
      <c r="X3512"/>
      <c r="Z3512"/>
      <c r="AA3512"/>
      <c r="AB3512" s="5"/>
      <c r="AJ3512"/>
    </row>
    <row r="3513" spans="24:36" x14ac:dyDescent="0.25">
      <c r="X3513"/>
      <c r="Z3513"/>
      <c r="AA3513"/>
      <c r="AB3513" s="5"/>
      <c r="AJ3513"/>
    </row>
    <row r="3514" spans="24:36" x14ac:dyDescent="0.25">
      <c r="X3514"/>
      <c r="Z3514"/>
      <c r="AA3514"/>
      <c r="AB3514" s="5"/>
      <c r="AJ3514"/>
    </row>
    <row r="3515" spans="24:36" x14ac:dyDescent="0.25">
      <c r="X3515"/>
      <c r="Z3515"/>
      <c r="AA3515"/>
      <c r="AB3515" s="5"/>
      <c r="AJ3515"/>
    </row>
    <row r="3516" spans="24:36" x14ac:dyDescent="0.25">
      <c r="X3516"/>
      <c r="Z3516"/>
      <c r="AA3516"/>
      <c r="AB3516" s="5"/>
      <c r="AJ3516"/>
    </row>
    <row r="3517" spans="24:36" x14ac:dyDescent="0.25">
      <c r="X3517"/>
      <c r="Z3517"/>
      <c r="AA3517"/>
      <c r="AB3517" s="5"/>
      <c r="AJ3517"/>
    </row>
    <row r="3518" spans="24:36" x14ac:dyDescent="0.25">
      <c r="X3518"/>
      <c r="Z3518"/>
      <c r="AA3518"/>
      <c r="AB3518" s="5"/>
      <c r="AJ3518"/>
    </row>
    <row r="3519" spans="24:36" x14ac:dyDescent="0.25">
      <c r="X3519"/>
      <c r="Z3519"/>
      <c r="AA3519"/>
      <c r="AB3519" s="5"/>
      <c r="AJ3519"/>
    </row>
    <row r="3520" spans="24:36" x14ac:dyDescent="0.25">
      <c r="X3520"/>
      <c r="Z3520"/>
      <c r="AA3520"/>
      <c r="AB3520" s="5"/>
      <c r="AJ3520"/>
    </row>
    <row r="3521" spans="24:36" x14ac:dyDescent="0.25">
      <c r="X3521"/>
      <c r="Z3521"/>
      <c r="AA3521"/>
      <c r="AB3521" s="5"/>
      <c r="AJ3521"/>
    </row>
    <row r="3522" spans="24:36" x14ac:dyDescent="0.25">
      <c r="X3522"/>
      <c r="Z3522"/>
      <c r="AA3522"/>
      <c r="AB3522" s="5"/>
      <c r="AJ3522"/>
    </row>
    <row r="3523" spans="24:36" x14ac:dyDescent="0.25">
      <c r="X3523"/>
      <c r="Z3523"/>
      <c r="AA3523"/>
      <c r="AB3523" s="5"/>
      <c r="AJ3523"/>
    </row>
    <row r="3524" spans="24:36" x14ac:dyDescent="0.25">
      <c r="X3524"/>
      <c r="Z3524"/>
      <c r="AA3524"/>
      <c r="AB3524" s="5"/>
      <c r="AJ3524"/>
    </row>
    <row r="3525" spans="24:36" x14ac:dyDescent="0.25">
      <c r="X3525"/>
      <c r="Z3525"/>
      <c r="AA3525"/>
      <c r="AB3525" s="5"/>
      <c r="AJ3525"/>
    </row>
    <row r="3526" spans="24:36" x14ac:dyDescent="0.25">
      <c r="X3526"/>
      <c r="Z3526"/>
      <c r="AA3526"/>
      <c r="AB3526" s="5"/>
      <c r="AJ3526"/>
    </row>
    <row r="3527" spans="24:36" x14ac:dyDescent="0.25">
      <c r="X3527"/>
      <c r="Z3527"/>
      <c r="AA3527"/>
      <c r="AB3527" s="5"/>
      <c r="AJ3527"/>
    </row>
    <row r="3528" spans="24:36" x14ac:dyDescent="0.25">
      <c r="X3528"/>
      <c r="Z3528"/>
      <c r="AA3528"/>
      <c r="AB3528" s="5"/>
      <c r="AJ3528"/>
    </row>
    <row r="3529" spans="24:36" x14ac:dyDescent="0.25">
      <c r="X3529"/>
      <c r="Z3529"/>
      <c r="AA3529"/>
      <c r="AB3529" s="5"/>
      <c r="AJ3529"/>
    </row>
    <row r="3530" spans="24:36" x14ac:dyDescent="0.25">
      <c r="X3530"/>
      <c r="Z3530"/>
      <c r="AA3530"/>
      <c r="AB3530" s="5"/>
      <c r="AJ3530"/>
    </row>
    <row r="3531" spans="24:36" x14ac:dyDescent="0.25">
      <c r="X3531"/>
      <c r="Z3531"/>
      <c r="AA3531"/>
      <c r="AB3531" s="5"/>
      <c r="AJ3531"/>
    </row>
    <row r="3532" spans="24:36" x14ac:dyDescent="0.25">
      <c r="X3532"/>
      <c r="Z3532"/>
      <c r="AA3532"/>
      <c r="AB3532" s="5"/>
      <c r="AJ3532"/>
    </row>
    <row r="3533" spans="24:36" x14ac:dyDescent="0.25">
      <c r="X3533"/>
      <c r="Z3533"/>
      <c r="AA3533"/>
      <c r="AB3533" s="5"/>
      <c r="AJ3533"/>
    </row>
    <row r="3534" spans="24:36" x14ac:dyDescent="0.25">
      <c r="X3534"/>
      <c r="Z3534"/>
      <c r="AA3534"/>
      <c r="AB3534" s="5"/>
      <c r="AJ3534"/>
    </row>
    <row r="3535" spans="24:36" x14ac:dyDescent="0.25">
      <c r="X3535"/>
      <c r="Z3535"/>
      <c r="AA3535"/>
      <c r="AB3535" s="5"/>
      <c r="AJ3535"/>
    </row>
    <row r="3536" spans="24:36" x14ac:dyDescent="0.25">
      <c r="X3536"/>
      <c r="Z3536"/>
      <c r="AA3536"/>
      <c r="AB3536" s="5"/>
      <c r="AJ3536"/>
    </row>
    <row r="3537" spans="24:36" x14ac:dyDescent="0.25">
      <c r="X3537"/>
      <c r="Z3537"/>
      <c r="AA3537"/>
      <c r="AB3537" s="5"/>
      <c r="AJ3537"/>
    </row>
    <row r="3538" spans="24:36" x14ac:dyDescent="0.25">
      <c r="X3538"/>
      <c r="Z3538"/>
      <c r="AA3538"/>
      <c r="AB3538" s="5"/>
      <c r="AJ3538"/>
    </row>
    <row r="3539" spans="24:36" x14ac:dyDescent="0.25">
      <c r="X3539"/>
      <c r="Z3539"/>
      <c r="AA3539"/>
      <c r="AB3539" s="5"/>
      <c r="AJ3539"/>
    </row>
    <row r="3540" spans="24:36" x14ac:dyDescent="0.25">
      <c r="X3540"/>
      <c r="Z3540"/>
      <c r="AA3540"/>
      <c r="AB3540" s="5"/>
      <c r="AJ3540"/>
    </row>
    <row r="3541" spans="24:36" x14ac:dyDescent="0.25">
      <c r="X3541"/>
      <c r="Z3541"/>
      <c r="AA3541"/>
      <c r="AB3541" s="5"/>
      <c r="AJ3541"/>
    </row>
    <row r="3542" spans="24:36" x14ac:dyDescent="0.25">
      <c r="X3542"/>
      <c r="Z3542"/>
      <c r="AA3542"/>
      <c r="AB3542" s="5"/>
      <c r="AJ3542"/>
    </row>
    <row r="3543" spans="24:36" x14ac:dyDescent="0.25">
      <c r="X3543"/>
      <c r="Z3543"/>
      <c r="AA3543"/>
      <c r="AB3543" s="5"/>
      <c r="AJ3543"/>
    </row>
    <row r="3544" spans="24:36" x14ac:dyDescent="0.25">
      <c r="X3544"/>
      <c r="Z3544"/>
      <c r="AA3544"/>
      <c r="AB3544" s="5"/>
      <c r="AJ3544"/>
    </row>
    <row r="3545" spans="24:36" x14ac:dyDescent="0.25">
      <c r="X3545"/>
      <c r="Z3545"/>
      <c r="AA3545"/>
      <c r="AB3545" s="5"/>
      <c r="AJ3545"/>
    </row>
    <row r="3546" spans="24:36" x14ac:dyDescent="0.25">
      <c r="X3546"/>
      <c r="Z3546"/>
      <c r="AA3546"/>
      <c r="AB3546" s="5"/>
      <c r="AJ3546"/>
    </row>
    <row r="3547" spans="24:36" x14ac:dyDescent="0.25">
      <c r="X3547"/>
      <c r="Z3547"/>
      <c r="AA3547"/>
      <c r="AB3547" s="5"/>
      <c r="AJ3547"/>
    </row>
    <row r="3548" spans="24:36" x14ac:dyDescent="0.25">
      <c r="X3548"/>
      <c r="Z3548"/>
      <c r="AA3548"/>
      <c r="AB3548" s="5"/>
      <c r="AJ3548"/>
    </row>
    <row r="3549" spans="24:36" x14ac:dyDescent="0.25">
      <c r="X3549"/>
      <c r="Z3549"/>
      <c r="AA3549"/>
      <c r="AB3549" s="5"/>
      <c r="AJ3549"/>
    </row>
    <row r="3550" spans="24:36" x14ac:dyDescent="0.25">
      <c r="X3550"/>
      <c r="Z3550"/>
      <c r="AA3550"/>
      <c r="AB3550" s="5"/>
      <c r="AJ3550"/>
    </row>
    <row r="3551" spans="24:36" x14ac:dyDescent="0.25">
      <c r="X3551"/>
      <c r="Z3551"/>
      <c r="AA3551"/>
      <c r="AB3551" s="5"/>
      <c r="AJ3551"/>
    </row>
    <row r="3552" spans="24:36" x14ac:dyDescent="0.25">
      <c r="X3552"/>
      <c r="Z3552"/>
      <c r="AA3552"/>
      <c r="AB3552" s="5"/>
      <c r="AJ3552"/>
    </row>
    <row r="3553" spans="24:36" x14ac:dyDescent="0.25">
      <c r="X3553"/>
      <c r="Z3553"/>
      <c r="AA3553"/>
      <c r="AB3553" s="5"/>
      <c r="AJ3553"/>
    </row>
    <row r="3554" spans="24:36" x14ac:dyDescent="0.25">
      <c r="X3554"/>
      <c r="Z3554"/>
      <c r="AA3554"/>
      <c r="AB3554" s="5"/>
      <c r="AJ3554"/>
    </row>
    <row r="3555" spans="24:36" x14ac:dyDescent="0.25">
      <c r="X3555"/>
      <c r="Z3555"/>
      <c r="AA3555"/>
      <c r="AB3555" s="5"/>
      <c r="AJ3555"/>
    </row>
    <row r="3556" spans="24:36" x14ac:dyDescent="0.25">
      <c r="X3556"/>
      <c r="Z3556"/>
      <c r="AA3556"/>
      <c r="AB3556" s="5"/>
      <c r="AJ3556"/>
    </row>
    <row r="3557" spans="24:36" x14ac:dyDescent="0.25">
      <c r="X3557"/>
      <c r="Z3557"/>
      <c r="AA3557"/>
      <c r="AB3557" s="5"/>
      <c r="AJ3557"/>
    </row>
    <row r="3558" spans="24:36" x14ac:dyDescent="0.25">
      <c r="X3558"/>
      <c r="Z3558"/>
      <c r="AA3558"/>
      <c r="AB3558" s="5"/>
      <c r="AJ3558"/>
    </row>
    <row r="3559" spans="24:36" x14ac:dyDescent="0.25">
      <c r="X3559"/>
      <c r="Z3559"/>
      <c r="AA3559"/>
      <c r="AB3559" s="5"/>
      <c r="AJ3559"/>
    </row>
    <row r="3560" spans="24:36" x14ac:dyDescent="0.25">
      <c r="X3560"/>
      <c r="Z3560"/>
      <c r="AA3560"/>
      <c r="AB3560" s="5"/>
      <c r="AJ3560"/>
    </row>
    <row r="3561" spans="24:36" x14ac:dyDescent="0.25">
      <c r="X3561"/>
      <c r="Z3561"/>
      <c r="AA3561"/>
      <c r="AB3561" s="5"/>
      <c r="AJ3561"/>
    </row>
    <row r="3562" spans="24:36" x14ac:dyDescent="0.25">
      <c r="X3562"/>
      <c r="Z3562"/>
      <c r="AA3562"/>
      <c r="AB3562" s="5"/>
      <c r="AJ3562"/>
    </row>
    <row r="3563" spans="24:36" x14ac:dyDescent="0.25">
      <c r="X3563"/>
      <c r="Z3563"/>
      <c r="AA3563"/>
      <c r="AB3563" s="5"/>
      <c r="AJ3563"/>
    </row>
    <row r="3564" spans="24:36" x14ac:dyDescent="0.25">
      <c r="X3564"/>
      <c r="Z3564"/>
      <c r="AA3564"/>
      <c r="AB3564" s="5"/>
      <c r="AJ3564"/>
    </row>
    <row r="3565" spans="24:36" x14ac:dyDescent="0.25">
      <c r="X3565"/>
      <c r="Z3565"/>
      <c r="AA3565"/>
      <c r="AB3565" s="5"/>
      <c r="AJ3565"/>
    </row>
    <row r="3566" spans="24:36" x14ac:dyDescent="0.25">
      <c r="X3566"/>
      <c r="Z3566"/>
      <c r="AA3566"/>
      <c r="AB3566" s="5"/>
      <c r="AJ3566"/>
    </row>
    <row r="3567" spans="24:36" x14ac:dyDescent="0.25">
      <c r="X3567"/>
      <c r="Z3567"/>
      <c r="AA3567"/>
      <c r="AB3567" s="5"/>
      <c r="AJ3567"/>
    </row>
    <row r="3568" spans="24:36" x14ac:dyDescent="0.25">
      <c r="X3568"/>
      <c r="Z3568"/>
      <c r="AA3568"/>
      <c r="AB3568" s="5"/>
      <c r="AJ3568"/>
    </row>
    <row r="3569" spans="24:36" x14ac:dyDescent="0.25">
      <c r="X3569"/>
      <c r="Z3569"/>
      <c r="AA3569"/>
      <c r="AB3569" s="5"/>
      <c r="AJ3569"/>
    </row>
    <row r="3570" spans="24:36" x14ac:dyDescent="0.25">
      <c r="X3570"/>
      <c r="Z3570"/>
      <c r="AA3570"/>
      <c r="AB3570" s="5"/>
      <c r="AJ3570"/>
    </row>
    <row r="3571" spans="24:36" x14ac:dyDescent="0.25">
      <c r="X3571"/>
      <c r="Z3571"/>
      <c r="AA3571"/>
      <c r="AB3571" s="5"/>
      <c r="AJ3571"/>
    </row>
    <row r="3572" spans="24:36" x14ac:dyDescent="0.25">
      <c r="X3572"/>
      <c r="Z3572"/>
      <c r="AA3572"/>
      <c r="AB3572" s="5"/>
      <c r="AJ3572"/>
    </row>
    <row r="3573" spans="24:36" x14ac:dyDescent="0.25">
      <c r="X3573"/>
      <c r="Z3573"/>
      <c r="AA3573"/>
      <c r="AB3573" s="5"/>
      <c r="AJ3573"/>
    </row>
    <row r="3574" spans="24:36" x14ac:dyDescent="0.25">
      <c r="X3574"/>
      <c r="Z3574"/>
      <c r="AA3574"/>
      <c r="AB3574" s="5"/>
      <c r="AJ3574"/>
    </row>
    <row r="3575" spans="24:36" x14ac:dyDescent="0.25">
      <c r="X3575"/>
      <c r="Z3575"/>
      <c r="AA3575"/>
      <c r="AB3575" s="5"/>
      <c r="AJ3575"/>
    </row>
    <row r="3576" spans="24:36" x14ac:dyDescent="0.25">
      <c r="X3576"/>
      <c r="Z3576"/>
      <c r="AA3576"/>
      <c r="AB3576" s="5"/>
      <c r="AJ3576"/>
    </row>
    <row r="3577" spans="24:36" x14ac:dyDescent="0.25">
      <c r="X3577"/>
      <c r="Z3577"/>
      <c r="AA3577"/>
      <c r="AB3577" s="5"/>
      <c r="AJ3577"/>
    </row>
    <row r="3578" spans="24:36" x14ac:dyDescent="0.25">
      <c r="X3578"/>
      <c r="Z3578"/>
      <c r="AA3578"/>
      <c r="AB3578" s="5"/>
      <c r="AJ3578"/>
    </row>
    <row r="3579" spans="24:36" x14ac:dyDescent="0.25">
      <c r="X3579"/>
      <c r="Z3579"/>
      <c r="AA3579"/>
      <c r="AB3579" s="5"/>
      <c r="AJ3579"/>
    </row>
    <row r="3580" spans="24:36" x14ac:dyDescent="0.25">
      <c r="X3580"/>
      <c r="Z3580"/>
      <c r="AA3580"/>
      <c r="AB3580" s="5"/>
      <c r="AJ3580"/>
    </row>
    <row r="3581" spans="24:36" x14ac:dyDescent="0.25">
      <c r="X3581"/>
      <c r="Z3581"/>
      <c r="AA3581"/>
      <c r="AB3581" s="5"/>
      <c r="AJ3581"/>
    </row>
    <row r="3582" spans="24:36" x14ac:dyDescent="0.25">
      <c r="X3582"/>
      <c r="Z3582"/>
      <c r="AA3582"/>
      <c r="AB3582" s="5"/>
      <c r="AJ3582"/>
    </row>
    <row r="3583" spans="24:36" x14ac:dyDescent="0.25">
      <c r="X3583"/>
      <c r="Z3583"/>
      <c r="AA3583"/>
      <c r="AB3583" s="5"/>
      <c r="AJ3583"/>
    </row>
    <row r="3584" spans="24:36" x14ac:dyDescent="0.25">
      <c r="X3584"/>
      <c r="Z3584"/>
      <c r="AA3584"/>
      <c r="AB3584" s="5"/>
      <c r="AJ3584"/>
    </row>
    <row r="3585" spans="24:36" x14ac:dyDescent="0.25">
      <c r="X3585"/>
      <c r="Z3585"/>
      <c r="AA3585"/>
      <c r="AB3585" s="5"/>
      <c r="AJ3585"/>
    </row>
    <row r="3586" spans="24:36" x14ac:dyDescent="0.25">
      <c r="X3586"/>
      <c r="Z3586"/>
      <c r="AA3586"/>
      <c r="AB3586" s="5"/>
      <c r="AJ3586"/>
    </row>
    <row r="3587" spans="24:36" x14ac:dyDescent="0.25">
      <c r="X3587"/>
      <c r="Z3587"/>
      <c r="AA3587"/>
      <c r="AB3587" s="5"/>
      <c r="AJ3587"/>
    </row>
    <row r="3588" spans="24:36" x14ac:dyDescent="0.25">
      <c r="X3588"/>
      <c r="Z3588"/>
      <c r="AA3588"/>
      <c r="AB3588" s="5"/>
      <c r="AJ3588"/>
    </row>
    <row r="3589" spans="24:36" x14ac:dyDescent="0.25">
      <c r="X3589"/>
      <c r="Z3589"/>
      <c r="AA3589"/>
      <c r="AB3589" s="5"/>
      <c r="AJ3589"/>
    </row>
    <row r="3590" spans="24:36" x14ac:dyDescent="0.25">
      <c r="X3590"/>
      <c r="Z3590"/>
      <c r="AA3590"/>
      <c r="AB3590" s="5"/>
      <c r="AJ3590"/>
    </row>
    <row r="3591" spans="24:36" x14ac:dyDescent="0.25">
      <c r="X3591"/>
      <c r="Z3591"/>
      <c r="AA3591"/>
      <c r="AB3591" s="5"/>
      <c r="AJ3591"/>
    </row>
    <row r="3592" spans="24:36" x14ac:dyDescent="0.25">
      <c r="X3592"/>
      <c r="Z3592"/>
      <c r="AA3592"/>
      <c r="AB3592" s="5"/>
      <c r="AJ3592"/>
    </row>
    <row r="3593" spans="24:36" x14ac:dyDescent="0.25">
      <c r="X3593"/>
      <c r="Z3593"/>
      <c r="AA3593"/>
      <c r="AB3593" s="5"/>
      <c r="AJ3593"/>
    </row>
    <row r="3594" spans="24:36" x14ac:dyDescent="0.25">
      <c r="X3594"/>
      <c r="Z3594"/>
      <c r="AA3594"/>
      <c r="AB3594" s="5"/>
      <c r="AJ3594"/>
    </row>
    <row r="3595" spans="24:36" x14ac:dyDescent="0.25">
      <c r="X3595"/>
      <c r="Z3595"/>
      <c r="AA3595"/>
      <c r="AB3595" s="5"/>
      <c r="AJ3595"/>
    </row>
    <row r="3596" spans="24:36" x14ac:dyDescent="0.25">
      <c r="X3596"/>
      <c r="Z3596"/>
      <c r="AA3596"/>
      <c r="AB3596" s="5"/>
      <c r="AJ3596"/>
    </row>
    <row r="3597" spans="24:36" x14ac:dyDescent="0.25">
      <c r="X3597"/>
      <c r="Z3597"/>
      <c r="AA3597"/>
      <c r="AB3597" s="5"/>
      <c r="AJ3597"/>
    </row>
    <row r="3598" spans="24:36" x14ac:dyDescent="0.25">
      <c r="X3598"/>
      <c r="Z3598"/>
      <c r="AA3598"/>
      <c r="AB3598" s="5"/>
      <c r="AJ3598"/>
    </row>
    <row r="3599" spans="24:36" x14ac:dyDescent="0.25">
      <c r="X3599"/>
      <c r="Z3599"/>
      <c r="AA3599"/>
      <c r="AB3599" s="5"/>
      <c r="AJ3599"/>
    </row>
    <row r="3600" spans="24:36" x14ac:dyDescent="0.25">
      <c r="X3600"/>
      <c r="Z3600"/>
      <c r="AA3600"/>
      <c r="AB3600" s="5"/>
      <c r="AJ3600"/>
    </row>
    <row r="3601" spans="24:36" x14ac:dyDescent="0.25">
      <c r="X3601"/>
      <c r="Z3601"/>
      <c r="AA3601"/>
      <c r="AB3601" s="5"/>
      <c r="AJ3601"/>
    </row>
    <row r="3602" spans="24:36" x14ac:dyDescent="0.25">
      <c r="X3602"/>
      <c r="Z3602"/>
      <c r="AA3602"/>
      <c r="AB3602" s="5"/>
      <c r="AJ3602"/>
    </row>
    <row r="3603" spans="24:36" x14ac:dyDescent="0.25">
      <c r="X3603"/>
      <c r="Z3603"/>
      <c r="AA3603"/>
      <c r="AB3603" s="5"/>
      <c r="AJ3603"/>
    </row>
    <row r="3604" spans="24:36" x14ac:dyDescent="0.25">
      <c r="X3604"/>
      <c r="Z3604"/>
      <c r="AA3604"/>
      <c r="AB3604" s="5"/>
      <c r="AJ3604"/>
    </row>
    <row r="3605" spans="24:36" x14ac:dyDescent="0.25">
      <c r="X3605"/>
      <c r="Z3605"/>
      <c r="AA3605"/>
      <c r="AB3605" s="5"/>
      <c r="AJ3605"/>
    </row>
    <row r="3606" spans="24:36" x14ac:dyDescent="0.25">
      <c r="X3606"/>
      <c r="Z3606"/>
      <c r="AA3606"/>
      <c r="AB3606" s="5"/>
      <c r="AJ3606"/>
    </row>
    <row r="3607" spans="24:36" x14ac:dyDescent="0.25">
      <c r="X3607"/>
      <c r="Z3607"/>
      <c r="AA3607"/>
      <c r="AB3607" s="5"/>
      <c r="AJ3607"/>
    </row>
    <row r="3608" spans="24:36" x14ac:dyDescent="0.25">
      <c r="X3608"/>
      <c r="Z3608"/>
      <c r="AA3608"/>
      <c r="AB3608" s="5"/>
      <c r="AJ3608"/>
    </row>
    <row r="3609" spans="24:36" x14ac:dyDescent="0.25">
      <c r="X3609"/>
      <c r="Z3609"/>
      <c r="AA3609"/>
      <c r="AB3609" s="5"/>
      <c r="AJ3609"/>
    </row>
    <row r="3610" spans="24:36" x14ac:dyDescent="0.25">
      <c r="X3610"/>
      <c r="Z3610"/>
      <c r="AA3610"/>
      <c r="AB3610" s="5"/>
      <c r="AJ3610"/>
    </row>
    <row r="3611" spans="24:36" x14ac:dyDescent="0.25">
      <c r="X3611"/>
      <c r="Z3611"/>
      <c r="AA3611"/>
      <c r="AB3611" s="5"/>
      <c r="AJ3611"/>
    </row>
    <row r="3612" spans="24:36" x14ac:dyDescent="0.25">
      <c r="X3612"/>
      <c r="Z3612"/>
      <c r="AA3612"/>
      <c r="AB3612" s="5"/>
      <c r="AJ3612"/>
    </row>
    <row r="3613" spans="24:36" x14ac:dyDescent="0.25">
      <c r="X3613"/>
      <c r="Z3613"/>
      <c r="AA3613"/>
      <c r="AB3613" s="5"/>
      <c r="AJ3613"/>
    </row>
    <row r="3614" spans="24:36" x14ac:dyDescent="0.25">
      <c r="X3614"/>
      <c r="Z3614"/>
      <c r="AA3614"/>
      <c r="AB3614" s="5"/>
      <c r="AJ3614"/>
    </row>
    <row r="3615" spans="24:36" x14ac:dyDescent="0.25">
      <c r="X3615"/>
      <c r="Z3615"/>
      <c r="AA3615"/>
      <c r="AB3615" s="5"/>
      <c r="AJ3615"/>
    </row>
    <row r="3616" spans="24:36" x14ac:dyDescent="0.25">
      <c r="X3616"/>
      <c r="Z3616"/>
      <c r="AA3616"/>
      <c r="AB3616" s="5"/>
      <c r="AJ3616"/>
    </row>
    <row r="3617" spans="24:36" x14ac:dyDescent="0.25">
      <c r="X3617"/>
      <c r="Z3617"/>
      <c r="AA3617"/>
      <c r="AB3617" s="5"/>
      <c r="AJ3617"/>
    </row>
    <row r="3618" spans="24:36" x14ac:dyDescent="0.25">
      <c r="X3618"/>
      <c r="Z3618"/>
      <c r="AA3618"/>
      <c r="AB3618" s="5"/>
      <c r="AJ3618"/>
    </row>
    <row r="3619" spans="24:36" x14ac:dyDescent="0.25">
      <c r="X3619"/>
      <c r="Z3619"/>
      <c r="AA3619"/>
      <c r="AB3619" s="5"/>
      <c r="AJ3619"/>
    </row>
    <row r="3620" spans="24:36" x14ac:dyDescent="0.25">
      <c r="X3620"/>
      <c r="Z3620"/>
      <c r="AA3620"/>
      <c r="AB3620" s="5"/>
      <c r="AJ3620"/>
    </row>
    <row r="3621" spans="24:36" x14ac:dyDescent="0.25">
      <c r="X3621"/>
      <c r="Z3621"/>
      <c r="AA3621"/>
      <c r="AB3621" s="5"/>
      <c r="AJ3621"/>
    </row>
    <row r="3622" spans="24:36" x14ac:dyDescent="0.25">
      <c r="X3622"/>
      <c r="Z3622"/>
      <c r="AA3622"/>
      <c r="AB3622" s="5"/>
      <c r="AJ3622"/>
    </row>
    <row r="3623" spans="24:36" x14ac:dyDescent="0.25">
      <c r="X3623"/>
      <c r="Z3623"/>
      <c r="AA3623"/>
      <c r="AB3623" s="5"/>
      <c r="AJ3623"/>
    </row>
    <row r="3624" spans="24:36" x14ac:dyDescent="0.25">
      <c r="X3624"/>
      <c r="Z3624"/>
      <c r="AA3624"/>
      <c r="AB3624" s="5"/>
      <c r="AJ3624"/>
    </row>
    <row r="3625" spans="24:36" x14ac:dyDescent="0.25">
      <c r="X3625"/>
      <c r="Z3625"/>
      <c r="AA3625"/>
      <c r="AB3625" s="5"/>
      <c r="AJ3625"/>
    </row>
    <row r="3626" spans="24:36" x14ac:dyDescent="0.25">
      <c r="X3626"/>
      <c r="Z3626"/>
      <c r="AA3626"/>
      <c r="AB3626" s="5"/>
      <c r="AJ3626"/>
    </row>
    <row r="3627" spans="24:36" x14ac:dyDescent="0.25">
      <c r="X3627"/>
      <c r="Z3627"/>
      <c r="AA3627"/>
      <c r="AB3627" s="5"/>
      <c r="AJ3627"/>
    </row>
    <row r="3628" spans="24:36" x14ac:dyDescent="0.25">
      <c r="X3628"/>
      <c r="Z3628"/>
      <c r="AA3628"/>
      <c r="AB3628" s="5"/>
      <c r="AJ3628"/>
    </row>
    <row r="3629" spans="24:36" x14ac:dyDescent="0.25">
      <c r="X3629"/>
      <c r="Z3629"/>
      <c r="AA3629"/>
      <c r="AB3629" s="5"/>
      <c r="AJ3629"/>
    </row>
    <row r="3630" spans="24:36" x14ac:dyDescent="0.25">
      <c r="X3630"/>
      <c r="Z3630"/>
      <c r="AA3630"/>
      <c r="AB3630" s="5"/>
      <c r="AJ3630"/>
    </row>
    <row r="3631" spans="24:36" x14ac:dyDescent="0.25">
      <c r="X3631"/>
      <c r="Z3631"/>
      <c r="AA3631"/>
      <c r="AB3631" s="5"/>
      <c r="AJ3631"/>
    </row>
    <row r="3632" spans="24:36" x14ac:dyDescent="0.25">
      <c r="X3632"/>
      <c r="Z3632"/>
      <c r="AA3632"/>
      <c r="AB3632" s="5"/>
      <c r="AJ3632"/>
    </row>
    <row r="3633" spans="24:36" x14ac:dyDescent="0.25">
      <c r="X3633"/>
      <c r="Z3633"/>
      <c r="AA3633"/>
      <c r="AB3633" s="5"/>
      <c r="AJ3633"/>
    </row>
    <row r="3634" spans="24:36" x14ac:dyDescent="0.25">
      <c r="X3634"/>
      <c r="Z3634"/>
      <c r="AA3634"/>
      <c r="AB3634" s="5"/>
      <c r="AJ3634"/>
    </row>
    <row r="3635" spans="24:36" x14ac:dyDescent="0.25">
      <c r="X3635"/>
      <c r="Z3635"/>
      <c r="AA3635"/>
      <c r="AB3635" s="5"/>
      <c r="AJ3635"/>
    </row>
    <row r="3636" spans="24:36" x14ac:dyDescent="0.25">
      <c r="X3636"/>
      <c r="Z3636"/>
      <c r="AA3636"/>
      <c r="AB3636" s="5"/>
      <c r="AJ3636"/>
    </row>
    <row r="3637" spans="24:36" x14ac:dyDescent="0.25">
      <c r="X3637"/>
      <c r="Z3637"/>
      <c r="AA3637"/>
      <c r="AB3637" s="5"/>
      <c r="AJ3637"/>
    </row>
    <row r="3638" spans="24:36" x14ac:dyDescent="0.25">
      <c r="X3638"/>
      <c r="Z3638"/>
      <c r="AA3638"/>
      <c r="AB3638" s="5"/>
      <c r="AJ3638"/>
    </row>
    <row r="3639" spans="24:36" x14ac:dyDescent="0.25">
      <c r="X3639"/>
      <c r="Z3639"/>
      <c r="AA3639"/>
      <c r="AB3639" s="5"/>
      <c r="AJ3639"/>
    </row>
    <row r="3640" spans="24:36" x14ac:dyDescent="0.25">
      <c r="X3640"/>
      <c r="Z3640"/>
      <c r="AA3640"/>
      <c r="AB3640" s="5"/>
      <c r="AJ3640"/>
    </row>
    <row r="3641" spans="24:36" x14ac:dyDescent="0.25">
      <c r="X3641"/>
      <c r="Z3641"/>
      <c r="AA3641"/>
      <c r="AB3641" s="5"/>
      <c r="AJ3641"/>
    </row>
    <row r="3642" spans="24:36" x14ac:dyDescent="0.25">
      <c r="X3642"/>
      <c r="Z3642"/>
      <c r="AA3642"/>
      <c r="AB3642" s="5"/>
      <c r="AJ3642"/>
    </row>
    <row r="3643" spans="24:36" x14ac:dyDescent="0.25">
      <c r="X3643"/>
      <c r="Z3643"/>
      <c r="AA3643"/>
      <c r="AB3643" s="5"/>
      <c r="AJ3643"/>
    </row>
    <row r="3644" spans="24:36" x14ac:dyDescent="0.25">
      <c r="X3644"/>
      <c r="Z3644"/>
      <c r="AA3644"/>
      <c r="AB3644" s="5"/>
      <c r="AJ3644"/>
    </row>
    <row r="3645" spans="24:36" x14ac:dyDescent="0.25">
      <c r="X3645"/>
      <c r="Z3645"/>
      <c r="AA3645"/>
      <c r="AB3645" s="5"/>
      <c r="AJ3645"/>
    </row>
    <row r="3646" spans="24:36" x14ac:dyDescent="0.25">
      <c r="X3646"/>
      <c r="Z3646"/>
      <c r="AA3646"/>
      <c r="AB3646" s="5"/>
      <c r="AJ3646"/>
    </row>
    <row r="3647" spans="24:36" x14ac:dyDescent="0.25">
      <c r="X3647"/>
      <c r="Z3647"/>
      <c r="AA3647"/>
      <c r="AB3647" s="5"/>
      <c r="AJ3647"/>
    </row>
    <row r="3648" spans="24:36" x14ac:dyDescent="0.25">
      <c r="X3648"/>
      <c r="Z3648"/>
      <c r="AA3648"/>
      <c r="AB3648" s="5"/>
      <c r="AJ3648"/>
    </row>
    <row r="3649" spans="24:36" x14ac:dyDescent="0.25">
      <c r="X3649"/>
      <c r="Z3649"/>
      <c r="AA3649"/>
      <c r="AB3649" s="5"/>
      <c r="AJ3649"/>
    </row>
    <row r="3650" spans="24:36" x14ac:dyDescent="0.25">
      <c r="X3650"/>
      <c r="Z3650"/>
      <c r="AA3650"/>
      <c r="AB3650" s="5"/>
      <c r="AJ3650"/>
    </row>
    <row r="3651" spans="24:36" x14ac:dyDescent="0.25">
      <c r="X3651"/>
      <c r="Z3651"/>
      <c r="AA3651"/>
      <c r="AB3651" s="5"/>
      <c r="AJ3651"/>
    </row>
    <row r="3652" spans="24:36" x14ac:dyDescent="0.25">
      <c r="X3652"/>
      <c r="Z3652"/>
      <c r="AA3652"/>
      <c r="AB3652" s="5"/>
      <c r="AJ3652"/>
    </row>
    <row r="3653" spans="24:36" x14ac:dyDescent="0.25">
      <c r="X3653"/>
      <c r="Z3653"/>
      <c r="AA3653"/>
      <c r="AB3653" s="5"/>
      <c r="AJ3653"/>
    </row>
    <row r="3654" spans="24:36" x14ac:dyDescent="0.25">
      <c r="X3654"/>
      <c r="Z3654"/>
      <c r="AA3654"/>
      <c r="AB3654" s="5"/>
      <c r="AJ3654"/>
    </row>
    <row r="3655" spans="24:36" x14ac:dyDescent="0.25">
      <c r="X3655"/>
      <c r="Z3655"/>
      <c r="AA3655"/>
      <c r="AB3655" s="5"/>
      <c r="AJ3655"/>
    </row>
    <row r="3656" spans="24:36" x14ac:dyDescent="0.25">
      <c r="X3656"/>
      <c r="Z3656"/>
      <c r="AA3656"/>
      <c r="AB3656" s="5"/>
      <c r="AJ3656"/>
    </row>
    <row r="3657" spans="24:36" x14ac:dyDescent="0.25">
      <c r="X3657"/>
      <c r="Z3657"/>
      <c r="AA3657"/>
      <c r="AB3657" s="5"/>
      <c r="AJ3657"/>
    </row>
    <row r="3658" spans="24:36" x14ac:dyDescent="0.25">
      <c r="X3658"/>
      <c r="Z3658"/>
      <c r="AA3658"/>
      <c r="AB3658" s="5"/>
      <c r="AJ3658"/>
    </row>
    <row r="3659" spans="24:36" x14ac:dyDescent="0.25">
      <c r="X3659"/>
      <c r="Z3659"/>
      <c r="AA3659"/>
      <c r="AB3659" s="5"/>
      <c r="AJ3659"/>
    </row>
    <row r="3660" spans="24:36" x14ac:dyDescent="0.25">
      <c r="X3660"/>
      <c r="Z3660"/>
      <c r="AA3660"/>
      <c r="AB3660" s="5"/>
      <c r="AJ3660"/>
    </row>
    <row r="3661" spans="24:36" x14ac:dyDescent="0.25">
      <c r="X3661"/>
      <c r="Z3661"/>
      <c r="AA3661"/>
      <c r="AB3661" s="5"/>
      <c r="AJ3661"/>
    </row>
    <row r="3662" spans="24:36" x14ac:dyDescent="0.25">
      <c r="X3662"/>
      <c r="Z3662"/>
      <c r="AA3662"/>
      <c r="AB3662" s="5"/>
      <c r="AJ3662"/>
    </row>
    <row r="3663" spans="24:36" x14ac:dyDescent="0.25">
      <c r="X3663"/>
      <c r="Z3663"/>
      <c r="AA3663"/>
      <c r="AB3663" s="5"/>
      <c r="AJ3663"/>
    </row>
    <row r="3664" spans="24:36" x14ac:dyDescent="0.25">
      <c r="X3664"/>
      <c r="Z3664"/>
      <c r="AA3664"/>
      <c r="AB3664" s="5"/>
      <c r="AJ3664"/>
    </row>
    <row r="3665" spans="24:36" x14ac:dyDescent="0.25">
      <c r="X3665"/>
      <c r="Z3665"/>
      <c r="AA3665"/>
      <c r="AB3665" s="5"/>
      <c r="AJ3665"/>
    </row>
    <row r="3666" spans="24:36" x14ac:dyDescent="0.25">
      <c r="X3666"/>
      <c r="Z3666"/>
      <c r="AA3666"/>
      <c r="AB3666" s="5"/>
      <c r="AJ3666"/>
    </row>
    <row r="3667" spans="24:36" x14ac:dyDescent="0.25">
      <c r="X3667"/>
      <c r="Z3667"/>
      <c r="AA3667"/>
      <c r="AB3667" s="5"/>
      <c r="AJ3667"/>
    </row>
    <row r="3668" spans="24:36" x14ac:dyDescent="0.25">
      <c r="X3668"/>
      <c r="Z3668"/>
      <c r="AA3668"/>
      <c r="AB3668" s="5"/>
      <c r="AJ3668"/>
    </row>
    <row r="3669" spans="24:36" x14ac:dyDescent="0.25">
      <c r="X3669"/>
      <c r="Z3669"/>
      <c r="AA3669"/>
      <c r="AB3669" s="5"/>
      <c r="AJ3669"/>
    </row>
    <row r="3670" spans="24:36" x14ac:dyDescent="0.25">
      <c r="X3670"/>
      <c r="Z3670"/>
      <c r="AA3670"/>
      <c r="AB3670" s="5"/>
      <c r="AJ3670"/>
    </row>
    <row r="3671" spans="24:36" x14ac:dyDescent="0.25">
      <c r="X3671"/>
      <c r="Z3671"/>
      <c r="AA3671"/>
      <c r="AB3671" s="5"/>
      <c r="AJ3671"/>
    </row>
    <row r="3672" spans="24:36" x14ac:dyDescent="0.25">
      <c r="X3672"/>
      <c r="Z3672"/>
      <c r="AA3672"/>
      <c r="AB3672" s="5"/>
      <c r="AJ3672"/>
    </row>
    <row r="3673" spans="24:36" x14ac:dyDescent="0.25">
      <c r="X3673"/>
      <c r="Z3673"/>
      <c r="AA3673"/>
      <c r="AB3673" s="5"/>
      <c r="AJ3673"/>
    </row>
    <row r="3674" spans="24:36" x14ac:dyDescent="0.25">
      <c r="X3674"/>
      <c r="Z3674"/>
      <c r="AA3674"/>
      <c r="AB3674" s="5"/>
      <c r="AJ3674"/>
    </row>
    <row r="3675" spans="24:36" x14ac:dyDescent="0.25">
      <c r="X3675"/>
      <c r="Z3675"/>
      <c r="AA3675"/>
      <c r="AB3675" s="5"/>
      <c r="AJ3675"/>
    </row>
    <row r="3676" spans="24:36" x14ac:dyDescent="0.25">
      <c r="X3676"/>
      <c r="Z3676"/>
      <c r="AA3676"/>
      <c r="AB3676" s="5"/>
      <c r="AJ3676"/>
    </row>
    <row r="3677" spans="24:36" x14ac:dyDescent="0.25">
      <c r="X3677"/>
      <c r="Z3677"/>
      <c r="AA3677"/>
      <c r="AB3677" s="5"/>
      <c r="AJ3677"/>
    </row>
    <row r="3678" spans="24:36" x14ac:dyDescent="0.25">
      <c r="X3678"/>
      <c r="Z3678"/>
      <c r="AA3678"/>
      <c r="AB3678" s="5"/>
      <c r="AJ3678"/>
    </row>
    <row r="3679" spans="24:36" x14ac:dyDescent="0.25">
      <c r="X3679"/>
      <c r="Z3679"/>
      <c r="AA3679"/>
      <c r="AB3679" s="5"/>
      <c r="AJ3679"/>
    </row>
    <row r="3680" spans="24:36" x14ac:dyDescent="0.25">
      <c r="X3680"/>
      <c r="Z3680"/>
      <c r="AA3680"/>
      <c r="AB3680" s="5"/>
      <c r="AJ3680"/>
    </row>
    <row r="3681" spans="24:36" x14ac:dyDescent="0.25">
      <c r="X3681"/>
      <c r="Z3681"/>
      <c r="AA3681"/>
      <c r="AB3681" s="5"/>
      <c r="AJ3681"/>
    </row>
    <row r="3682" spans="24:36" x14ac:dyDescent="0.25">
      <c r="X3682"/>
      <c r="Z3682"/>
      <c r="AA3682"/>
      <c r="AB3682" s="5"/>
      <c r="AJ3682"/>
    </row>
    <row r="3683" spans="24:36" x14ac:dyDescent="0.25">
      <c r="X3683"/>
      <c r="Z3683"/>
      <c r="AA3683"/>
      <c r="AB3683" s="5"/>
      <c r="AJ3683"/>
    </row>
    <row r="3684" spans="24:36" x14ac:dyDescent="0.25">
      <c r="X3684"/>
      <c r="Z3684"/>
      <c r="AA3684"/>
      <c r="AB3684" s="5"/>
      <c r="AJ3684"/>
    </row>
    <row r="3685" spans="24:36" x14ac:dyDescent="0.25">
      <c r="X3685"/>
      <c r="Z3685"/>
      <c r="AA3685"/>
      <c r="AB3685" s="5"/>
      <c r="AJ3685"/>
    </row>
    <row r="3686" spans="24:36" x14ac:dyDescent="0.25">
      <c r="X3686"/>
      <c r="Z3686"/>
      <c r="AA3686"/>
      <c r="AB3686" s="5"/>
      <c r="AJ3686"/>
    </row>
    <row r="3687" spans="24:36" x14ac:dyDescent="0.25">
      <c r="X3687"/>
      <c r="Z3687"/>
      <c r="AA3687"/>
      <c r="AB3687" s="5"/>
      <c r="AJ3687"/>
    </row>
    <row r="3688" spans="24:36" x14ac:dyDescent="0.25">
      <c r="X3688"/>
      <c r="Z3688"/>
      <c r="AA3688"/>
      <c r="AB3688" s="5"/>
      <c r="AJ3688"/>
    </row>
    <row r="3689" spans="24:36" x14ac:dyDescent="0.25">
      <c r="X3689"/>
      <c r="Z3689"/>
      <c r="AA3689"/>
      <c r="AB3689" s="5"/>
      <c r="AJ3689"/>
    </row>
    <row r="3690" spans="24:36" x14ac:dyDescent="0.25">
      <c r="X3690"/>
      <c r="Z3690"/>
      <c r="AA3690"/>
      <c r="AB3690" s="5"/>
      <c r="AJ3690"/>
    </row>
    <row r="3691" spans="24:36" x14ac:dyDescent="0.25">
      <c r="X3691"/>
      <c r="Z3691"/>
      <c r="AA3691"/>
      <c r="AB3691" s="5"/>
      <c r="AJ3691"/>
    </row>
    <row r="3692" spans="24:36" x14ac:dyDescent="0.25">
      <c r="X3692"/>
      <c r="Z3692"/>
      <c r="AA3692"/>
      <c r="AB3692" s="5"/>
      <c r="AJ3692"/>
    </row>
    <row r="3693" spans="24:36" x14ac:dyDescent="0.25">
      <c r="X3693"/>
      <c r="Z3693"/>
      <c r="AA3693"/>
      <c r="AB3693" s="5"/>
      <c r="AJ3693"/>
    </row>
    <row r="3694" spans="24:36" x14ac:dyDescent="0.25">
      <c r="X3694"/>
      <c r="Z3694"/>
      <c r="AA3694"/>
      <c r="AB3694" s="5"/>
      <c r="AJ3694"/>
    </row>
    <row r="3695" spans="24:36" x14ac:dyDescent="0.25">
      <c r="X3695"/>
      <c r="Z3695"/>
      <c r="AA3695"/>
      <c r="AB3695" s="5"/>
      <c r="AJ3695"/>
    </row>
    <row r="3696" spans="24:36" x14ac:dyDescent="0.25">
      <c r="X3696"/>
      <c r="Z3696"/>
      <c r="AA3696"/>
      <c r="AB3696" s="5"/>
      <c r="AJ3696"/>
    </row>
    <row r="3697" spans="24:36" x14ac:dyDescent="0.25">
      <c r="X3697"/>
      <c r="Z3697"/>
      <c r="AA3697"/>
      <c r="AB3697" s="5"/>
      <c r="AJ3697"/>
    </row>
    <row r="3698" spans="24:36" x14ac:dyDescent="0.25">
      <c r="X3698"/>
      <c r="Z3698"/>
      <c r="AA3698"/>
      <c r="AB3698" s="5"/>
      <c r="AJ3698"/>
    </row>
    <row r="3699" spans="24:36" x14ac:dyDescent="0.25">
      <c r="X3699"/>
      <c r="Z3699"/>
      <c r="AA3699"/>
      <c r="AB3699" s="5"/>
      <c r="AJ3699"/>
    </row>
    <row r="3700" spans="24:36" x14ac:dyDescent="0.25">
      <c r="X3700"/>
      <c r="Z3700"/>
      <c r="AA3700"/>
      <c r="AB3700" s="5"/>
      <c r="AJ3700"/>
    </row>
    <row r="3701" spans="24:36" x14ac:dyDescent="0.25">
      <c r="X3701"/>
      <c r="Z3701"/>
      <c r="AA3701"/>
      <c r="AB3701" s="5"/>
      <c r="AJ3701"/>
    </row>
    <row r="3702" spans="24:36" x14ac:dyDescent="0.25">
      <c r="X3702"/>
      <c r="Z3702"/>
      <c r="AA3702"/>
      <c r="AB3702" s="5"/>
      <c r="AJ3702"/>
    </row>
    <row r="3703" spans="24:36" x14ac:dyDescent="0.25">
      <c r="X3703"/>
      <c r="Z3703"/>
      <c r="AA3703"/>
      <c r="AB3703" s="5"/>
      <c r="AJ3703"/>
    </row>
    <row r="3704" spans="24:36" x14ac:dyDescent="0.25">
      <c r="X3704"/>
      <c r="Z3704"/>
      <c r="AA3704"/>
      <c r="AB3704" s="5"/>
      <c r="AJ3704"/>
    </row>
    <row r="3705" spans="24:36" x14ac:dyDescent="0.25">
      <c r="X3705"/>
      <c r="Z3705"/>
      <c r="AA3705"/>
      <c r="AB3705" s="5"/>
      <c r="AJ3705"/>
    </row>
    <row r="3706" spans="24:36" x14ac:dyDescent="0.25">
      <c r="X3706"/>
      <c r="Z3706"/>
      <c r="AA3706"/>
      <c r="AB3706" s="5"/>
      <c r="AJ3706"/>
    </row>
    <row r="3707" spans="24:36" x14ac:dyDescent="0.25">
      <c r="X3707"/>
      <c r="Z3707"/>
      <c r="AA3707"/>
      <c r="AB3707" s="5"/>
      <c r="AJ3707"/>
    </row>
    <row r="3708" spans="24:36" x14ac:dyDescent="0.25">
      <c r="X3708"/>
      <c r="Z3708"/>
      <c r="AA3708"/>
      <c r="AB3708" s="5"/>
      <c r="AJ3708"/>
    </row>
    <row r="3709" spans="24:36" x14ac:dyDescent="0.25">
      <c r="X3709"/>
      <c r="Z3709"/>
      <c r="AA3709"/>
      <c r="AB3709" s="5"/>
      <c r="AJ3709"/>
    </row>
    <row r="3710" spans="24:36" x14ac:dyDescent="0.25">
      <c r="X3710"/>
      <c r="Z3710"/>
      <c r="AA3710"/>
      <c r="AB3710" s="5"/>
      <c r="AJ3710"/>
    </row>
    <row r="3711" spans="24:36" x14ac:dyDescent="0.25">
      <c r="X3711"/>
      <c r="Z3711"/>
      <c r="AA3711"/>
      <c r="AB3711" s="5"/>
      <c r="AJ3711"/>
    </row>
    <row r="3712" spans="24:36" x14ac:dyDescent="0.25">
      <c r="X3712"/>
      <c r="Z3712"/>
      <c r="AA3712"/>
      <c r="AB3712" s="5"/>
      <c r="AJ3712"/>
    </row>
    <row r="3713" spans="24:36" x14ac:dyDescent="0.25">
      <c r="X3713"/>
      <c r="Z3713"/>
      <c r="AA3713"/>
      <c r="AB3713" s="5"/>
      <c r="AJ3713"/>
    </row>
    <row r="3714" spans="24:36" x14ac:dyDescent="0.25">
      <c r="X3714"/>
      <c r="Z3714"/>
      <c r="AA3714"/>
      <c r="AB3714" s="5"/>
      <c r="AJ3714"/>
    </row>
    <row r="3715" spans="24:36" x14ac:dyDescent="0.25">
      <c r="X3715"/>
      <c r="Z3715"/>
      <c r="AA3715"/>
      <c r="AB3715" s="5"/>
      <c r="AJ3715"/>
    </row>
    <row r="3716" spans="24:36" x14ac:dyDescent="0.25">
      <c r="X3716"/>
      <c r="Z3716"/>
      <c r="AA3716"/>
      <c r="AB3716" s="5"/>
      <c r="AJ3716"/>
    </row>
    <row r="3717" spans="24:36" x14ac:dyDescent="0.25">
      <c r="X3717"/>
      <c r="Z3717"/>
      <c r="AA3717"/>
      <c r="AB3717" s="5"/>
      <c r="AJ3717"/>
    </row>
    <row r="3718" spans="24:36" x14ac:dyDescent="0.25">
      <c r="X3718"/>
      <c r="Z3718"/>
      <c r="AA3718"/>
      <c r="AB3718" s="5"/>
      <c r="AJ3718"/>
    </row>
    <row r="3719" spans="24:36" x14ac:dyDescent="0.25">
      <c r="X3719"/>
      <c r="Z3719"/>
      <c r="AA3719"/>
      <c r="AB3719" s="5"/>
      <c r="AJ3719"/>
    </row>
    <row r="3720" spans="24:36" x14ac:dyDescent="0.25">
      <c r="X3720"/>
      <c r="Z3720"/>
      <c r="AA3720"/>
      <c r="AB3720" s="5"/>
      <c r="AJ3720"/>
    </row>
    <row r="3721" spans="24:36" x14ac:dyDescent="0.25">
      <c r="X3721"/>
      <c r="Z3721"/>
      <c r="AA3721"/>
      <c r="AB3721" s="5"/>
      <c r="AJ3721"/>
    </row>
    <row r="3722" spans="24:36" x14ac:dyDescent="0.25">
      <c r="X3722"/>
      <c r="Z3722"/>
      <c r="AA3722"/>
      <c r="AB3722" s="5"/>
      <c r="AJ3722"/>
    </row>
    <row r="3723" spans="24:36" x14ac:dyDescent="0.25">
      <c r="X3723"/>
      <c r="Z3723"/>
      <c r="AA3723"/>
      <c r="AB3723" s="5"/>
      <c r="AJ3723"/>
    </row>
    <row r="3724" spans="24:36" x14ac:dyDescent="0.25">
      <c r="X3724"/>
      <c r="Z3724"/>
      <c r="AA3724"/>
      <c r="AB3724" s="5"/>
      <c r="AJ3724"/>
    </row>
    <row r="3725" spans="24:36" x14ac:dyDescent="0.25">
      <c r="X3725"/>
      <c r="Z3725"/>
      <c r="AA3725"/>
      <c r="AB3725" s="5"/>
      <c r="AJ3725"/>
    </row>
    <row r="3726" spans="24:36" x14ac:dyDescent="0.25">
      <c r="X3726"/>
      <c r="Z3726"/>
      <c r="AA3726"/>
      <c r="AB3726" s="5"/>
      <c r="AJ3726"/>
    </row>
    <row r="3727" spans="24:36" x14ac:dyDescent="0.25">
      <c r="X3727"/>
      <c r="Z3727"/>
      <c r="AA3727"/>
      <c r="AB3727" s="5"/>
      <c r="AJ3727"/>
    </row>
    <row r="3728" spans="24:36" x14ac:dyDescent="0.25">
      <c r="X3728"/>
      <c r="Z3728"/>
      <c r="AA3728"/>
      <c r="AB3728" s="5"/>
      <c r="AJ3728"/>
    </row>
    <row r="3729" spans="24:36" x14ac:dyDescent="0.25">
      <c r="X3729"/>
      <c r="Z3729"/>
      <c r="AA3729"/>
      <c r="AB3729" s="5"/>
      <c r="AJ3729"/>
    </row>
    <row r="3730" spans="24:36" x14ac:dyDescent="0.25">
      <c r="X3730"/>
      <c r="Z3730"/>
      <c r="AA3730"/>
      <c r="AB3730" s="5"/>
      <c r="AJ3730"/>
    </row>
    <row r="3731" spans="24:36" x14ac:dyDescent="0.25">
      <c r="X3731"/>
      <c r="Z3731"/>
      <c r="AA3731"/>
      <c r="AB3731" s="5"/>
      <c r="AJ3731"/>
    </row>
    <row r="3732" spans="24:36" x14ac:dyDescent="0.25">
      <c r="X3732"/>
      <c r="Z3732"/>
      <c r="AA3732"/>
      <c r="AB3732" s="5"/>
      <c r="AJ3732"/>
    </row>
    <row r="3733" spans="24:36" x14ac:dyDescent="0.25">
      <c r="X3733"/>
      <c r="Z3733"/>
      <c r="AA3733"/>
      <c r="AB3733" s="5"/>
      <c r="AJ3733"/>
    </row>
    <row r="3734" spans="24:36" x14ac:dyDescent="0.25">
      <c r="X3734"/>
      <c r="Z3734"/>
      <c r="AA3734"/>
      <c r="AB3734" s="5"/>
      <c r="AJ3734"/>
    </row>
    <row r="3735" spans="24:36" x14ac:dyDescent="0.25">
      <c r="X3735"/>
      <c r="Z3735"/>
      <c r="AA3735"/>
      <c r="AB3735" s="5"/>
      <c r="AJ3735"/>
    </row>
    <row r="3736" spans="24:36" x14ac:dyDescent="0.25">
      <c r="X3736"/>
      <c r="Z3736"/>
      <c r="AA3736"/>
      <c r="AB3736" s="5"/>
      <c r="AJ3736"/>
    </row>
    <row r="3737" spans="24:36" x14ac:dyDescent="0.25">
      <c r="X3737"/>
      <c r="Z3737"/>
      <c r="AA3737"/>
      <c r="AB3737" s="5"/>
      <c r="AJ3737"/>
    </row>
    <row r="3738" spans="24:36" x14ac:dyDescent="0.25">
      <c r="X3738"/>
      <c r="Z3738"/>
      <c r="AA3738"/>
      <c r="AB3738" s="5"/>
      <c r="AJ3738"/>
    </row>
    <row r="3739" spans="24:36" x14ac:dyDescent="0.25">
      <c r="X3739"/>
      <c r="Z3739"/>
      <c r="AA3739"/>
      <c r="AB3739" s="5"/>
      <c r="AJ3739"/>
    </row>
    <row r="3740" spans="24:36" x14ac:dyDescent="0.25">
      <c r="X3740"/>
      <c r="Z3740"/>
      <c r="AA3740"/>
      <c r="AB3740" s="5"/>
      <c r="AJ3740"/>
    </row>
    <row r="3741" spans="24:36" x14ac:dyDescent="0.25">
      <c r="X3741"/>
      <c r="Z3741"/>
      <c r="AA3741"/>
      <c r="AB3741" s="5"/>
      <c r="AJ3741"/>
    </row>
    <row r="3742" spans="24:36" x14ac:dyDescent="0.25">
      <c r="X3742"/>
      <c r="Z3742"/>
      <c r="AA3742"/>
      <c r="AB3742" s="5"/>
      <c r="AJ3742"/>
    </row>
    <row r="3743" spans="24:36" x14ac:dyDescent="0.25">
      <c r="X3743"/>
      <c r="Z3743"/>
      <c r="AA3743"/>
      <c r="AB3743" s="5"/>
      <c r="AJ3743"/>
    </row>
    <row r="3744" spans="24:36" x14ac:dyDescent="0.25">
      <c r="X3744"/>
      <c r="Z3744"/>
      <c r="AA3744"/>
      <c r="AB3744" s="5"/>
      <c r="AJ3744"/>
    </row>
    <row r="3745" spans="24:36" x14ac:dyDescent="0.25">
      <c r="X3745"/>
      <c r="Z3745"/>
      <c r="AA3745"/>
      <c r="AB3745" s="5"/>
      <c r="AJ3745"/>
    </row>
    <row r="3746" spans="24:36" x14ac:dyDescent="0.25">
      <c r="X3746"/>
      <c r="Z3746"/>
      <c r="AA3746"/>
      <c r="AB3746" s="5"/>
      <c r="AJ3746"/>
    </row>
    <row r="3747" spans="24:36" x14ac:dyDescent="0.25">
      <c r="X3747"/>
      <c r="Z3747"/>
      <c r="AA3747"/>
      <c r="AB3747" s="5"/>
      <c r="AJ3747"/>
    </row>
    <row r="3748" spans="24:36" x14ac:dyDescent="0.25">
      <c r="X3748"/>
      <c r="Z3748"/>
      <c r="AA3748"/>
      <c r="AB3748" s="5"/>
      <c r="AJ3748"/>
    </row>
    <row r="3749" spans="24:36" x14ac:dyDescent="0.25">
      <c r="X3749"/>
      <c r="Z3749"/>
      <c r="AA3749"/>
      <c r="AB3749" s="5"/>
      <c r="AJ3749"/>
    </row>
    <row r="3750" spans="24:36" x14ac:dyDescent="0.25">
      <c r="X3750"/>
      <c r="Z3750"/>
      <c r="AA3750"/>
      <c r="AB3750" s="5"/>
      <c r="AJ3750"/>
    </row>
    <row r="3751" spans="24:36" x14ac:dyDescent="0.25">
      <c r="X3751"/>
      <c r="Z3751"/>
      <c r="AA3751"/>
      <c r="AB3751" s="5"/>
      <c r="AJ3751"/>
    </row>
    <row r="3752" spans="24:36" x14ac:dyDescent="0.25">
      <c r="X3752"/>
      <c r="Z3752"/>
      <c r="AA3752"/>
      <c r="AB3752" s="5"/>
      <c r="AJ3752"/>
    </row>
    <row r="3753" spans="24:36" x14ac:dyDescent="0.25">
      <c r="X3753"/>
      <c r="Z3753"/>
      <c r="AA3753"/>
      <c r="AB3753" s="5"/>
      <c r="AJ3753"/>
    </row>
    <row r="3754" spans="24:36" x14ac:dyDescent="0.25">
      <c r="X3754"/>
      <c r="Z3754"/>
      <c r="AA3754"/>
      <c r="AB3754" s="5"/>
      <c r="AJ3754"/>
    </row>
    <row r="3755" spans="24:36" x14ac:dyDescent="0.25">
      <c r="X3755"/>
      <c r="Z3755"/>
      <c r="AA3755"/>
      <c r="AB3755" s="5"/>
      <c r="AJ3755"/>
    </row>
    <row r="3756" spans="24:36" x14ac:dyDescent="0.25">
      <c r="X3756"/>
      <c r="Z3756"/>
      <c r="AA3756"/>
      <c r="AB3756" s="5"/>
      <c r="AJ3756"/>
    </row>
    <row r="3757" spans="24:36" x14ac:dyDescent="0.25">
      <c r="X3757"/>
      <c r="Z3757"/>
      <c r="AA3757"/>
      <c r="AB3757" s="5"/>
      <c r="AJ3757"/>
    </row>
    <row r="3758" spans="24:36" x14ac:dyDescent="0.25">
      <c r="X3758"/>
      <c r="Z3758"/>
      <c r="AA3758"/>
      <c r="AB3758" s="5"/>
      <c r="AJ3758"/>
    </row>
    <row r="3759" spans="24:36" x14ac:dyDescent="0.25">
      <c r="X3759"/>
      <c r="Z3759"/>
      <c r="AA3759"/>
      <c r="AB3759" s="5"/>
      <c r="AJ3759"/>
    </row>
    <row r="3760" spans="24:36" x14ac:dyDescent="0.25">
      <c r="X3760"/>
      <c r="Z3760"/>
      <c r="AA3760"/>
      <c r="AB3760" s="5"/>
      <c r="AJ3760"/>
    </row>
    <row r="3761" spans="24:36" x14ac:dyDescent="0.25">
      <c r="X3761"/>
      <c r="Z3761"/>
      <c r="AA3761"/>
      <c r="AB3761" s="5"/>
      <c r="AJ3761"/>
    </row>
    <row r="3762" spans="24:36" x14ac:dyDescent="0.25">
      <c r="X3762"/>
      <c r="Z3762"/>
      <c r="AA3762"/>
      <c r="AB3762" s="5"/>
      <c r="AJ3762"/>
    </row>
    <row r="3763" spans="24:36" x14ac:dyDescent="0.25">
      <c r="X3763"/>
      <c r="Z3763"/>
      <c r="AA3763"/>
      <c r="AB3763" s="5"/>
      <c r="AJ3763"/>
    </row>
    <row r="3764" spans="24:36" x14ac:dyDescent="0.25">
      <c r="X3764"/>
      <c r="Z3764"/>
      <c r="AA3764"/>
      <c r="AB3764" s="5"/>
      <c r="AJ3764"/>
    </row>
    <row r="3765" spans="24:36" x14ac:dyDescent="0.25">
      <c r="X3765"/>
      <c r="Z3765"/>
      <c r="AA3765"/>
      <c r="AB3765" s="5"/>
      <c r="AJ3765"/>
    </row>
    <row r="3766" spans="24:36" x14ac:dyDescent="0.25">
      <c r="X3766"/>
      <c r="Z3766"/>
      <c r="AA3766"/>
      <c r="AB3766" s="5"/>
      <c r="AJ3766"/>
    </row>
    <row r="3767" spans="24:36" x14ac:dyDescent="0.25">
      <c r="X3767"/>
      <c r="Z3767"/>
      <c r="AA3767"/>
      <c r="AB3767" s="5"/>
      <c r="AJ3767"/>
    </row>
    <row r="3768" spans="24:36" x14ac:dyDescent="0.25">
      <c r="X3768"/>
      <c r="Z3768"/>
      <c r="AA3768"/>
      <c r="AB3768" s="5"/>
      <c r="AJ3768"/>
    </row>
    <row r="3769" spans="24:36" x14ac:dyDescent="0.25">
      <c r="X3769"/>
      <c r="Z3769"/>
      <c r="AA3769"/>
      <c r="AB3769" s="5"/>
      <c r="AJ3769"/>
    </row>
    <row r="3770" spans="24:36" x14ac:dyDescent="0.25">
      <c r="X3770"/>
      <c r="Z3770"/>
      <c r="AA3770"/>
      <c r="AB3770" s="5"/>
      <c r="AJ3770"/>
    </row>
    <row r="3771" spans="24:36" x14ac:dyDescent="0.25">
      <c r="X3771"/>
      <c r="Z3771"/>
      <c r="AA3771"/>
      <c r="AB3771" s="5"/>
      <c r="AJ3771"/>
    </row>
    <row r="3772" spans="24:36" x14ac:dyDescent="0.25">
      <c r="X3772"/>
      <c r="Z3772"/>
      <c r="AA3772"/>
      <c r="AB3772" s="5"/>
      <c r="AJ3772"/>
    </row>
    <row r="3773" spans="24:36" x14ac:dyDescent="0.25">
      <c r="X3773"/>
      <c r="Z3773"/>
      <c r="AA3773"/>
      <c r="AB3773" s="5"/>
      <c r="AJ3773"/>
    </row>
    <row r="3774" spans="24:36" x14ac:dyDescent="0.25">
      <c r="X3774"/>
      <c r="Z3774"/>
      <c r="AA3774"/>
      <c r="AB3774" s="5"/>
      <c r="AJ3774"/>
    </row>
    <row r="3775" spans="24:36" x14ac:dyDescent="0.25">
      <c r="X3775"/>
      <c r="Z3775"/>
      <c r="AA3775"/>
      <c r="AB3775" s="5"/>
      <c r="AJ3775"/>
    </row>
    <row r="3776" spans="24:36" x14ac:dyDescent="0.25">
      <c r="X3776"/>
      <c r="Z3776"/>
      <c r="AA3776"/>
      <c r="AB3776" s="5"/>
      <c r="AJ3776"/>
    </row>
    <row r="3777" spans="24:36" x14ac:dyDescent="0.25">
      <c r="X3777"/>
      <c r="Z3777"/>
      <c r="AA3777"/>
      <c r="AB3777" s="5"/>
      <c r="AJ3777"/>
    </row>
    <row r="3778" spans="24:36" x14ac:dyDescent="0.25">
      <c r="X3778"/>
      <c r="Z3778"/>
      <c r="AA3778"/>
      <c r="AB3778" s="5"/>
      <c r="AJ3778"/>
    </row>
    <row r="3779" spans="24:36" x14ac:dyDescent="0.25">
      <c r="X3779"/>
      <c r="Z3779"/>
      <c r="AA3779"/>
      <c r="AB3779" s="5"/>
      <c r="AJ3779"/>
    </row>
    <row r="3780" spans="24:36" x14ac:dyDescent="0.25">
      <c r="X3780"/>
      <c r="Z3780"/>
      <c r="AA3780"/>
      <c r="AB3780" s="5"/>
      <c r="AJ3780"/>
    </row>
    <row r="3781" spans="24:36" x14ac:dyDescent="0.25">
      <c r="X3781"/>
      <c r="Z3781"/>
      <c r="AA3781"/>
      <c r="AB3781" s="5"/>
      <c r="AJ3781"/>
    </row>
    <row r="3782" spans="24:36" x14ac:dyDescent="0.25">
      <c r="X3782"/>
      <c r="Z3782"/>
      <c r="AA3782"/>
      <c r="AB3782" s="5"/>
      <c r="AJ3782"/>
    </row>
    <row r="3783" spans="24:36" x14ac:dyDescent="0.25">
      <c r="X3783"/>
      <c r="Z3783"/>
      <c r="AA3783"/>
      <c r="AB3783" s="5"/>
      <c r="AJ3783"/>
    </row>
    <row r="3784" spans="24:36" x14ac:dyDescent="0.25">
      <c r="X3784"/>
      <c r="Z3784"/>
      <c r="AA3784"/>
      <c r="AB3784" s="5"/>
      <c r="AJ3784"/>
    </row>
    <row r="3785" spans="24:36" x14ac:dyDescent="0.25">
      <c r="X3785"/>
      <c r="Z3785"/>
      <c r="AA3785"/>
      <c r="AB3785" s="5"/>
      <c r="AJ3785"/>
    </row>
    <row r="3786" spans="24:36" x14ac:dyDescent="0.25">
      <c r="X3786"/>
      <c r="Z3786"/>
      <c r="AA3786"/>
      <c r="AB3786" s="5"/>
      <c r="AJ3786"/>
    </row>
    <row r="3787" spans="24:36" x14ac:dyDescent="0.25">
      <c r="X3787"/>
      <c r="Z3787"/>
      <c r="AA3787"/>
      <c r="AB3787" s="5"/>
      <c r="AJ3787"/>
    </row>
    <row r="3788" spans="24:36" x14ac:dyDescent="0.25">
      <c r="X3788"/>
      <c r="Z3788"/>
      <c r="AA3788"/>
      <c r="AB3788" s="5"/>
      <c r="AJ3788"/>
    </row>
    <row r="3789" spans="24:36" x14ac:dyDescent="0.25">
      <c r="X3789"/>
      <c r="Z3789"/>
      <c r="AA3789"/>
      <c r="AB3789" s="5"/>
      <c r="AJ3789"/>
    </row>
    <row r="3790" spans="24:36" x14ac:dyDescent="0.25">
      <c r="X3790"/>
      <c r="Z3790"/>
      <c r="AA3790"/>
      <c r="AB3790" s="5"/>
      <c r="AJ3790"/>
    </row>
    <row r="3791" spans="24:36" x14ac:dyDescent="0.25">
      <c r="X3791"/>
      <c r="Z3791"/>
      <c r="AA3791"/>
      <c r="AB3791" s="5"/>
      <c r="AJ3791"/>
    </row>
    <row r="3792" spans="24:36" x14ac:dyDescent="0.25">
      <c r="X3792"/>
      <c r="Z3792"/>
      <c r="AA3792"/>
      <c r="AB3792" s="5"/>
      <c r="AJ3792"/>
    </row>
    <row r="3793" spans="24:36" x14ac:dyDescent="0.25">
      <c r="X3793"/>
      <c r="Z3793"/>
      <c r="AA3793"/>
      <c r="AB3793" s="5"/>
      <c r="AJ3793"/>
    </row>
    <row r="3794" spans="24:36" x14ac:dyDescent="0.25">
      <c r="X3794"/>
      <c r="Z3794"/>
      <c r="AA3794"/>
      <c r="AB3794" s="5"/>
      <c r="AJ3794"/>
    </row>
    <row r="3795" spans="24:36" x14ac:dyDescent="0.25">
      <c r="X3795"/>
      <c r="Z3795"/>
      <c r="AA3795"/>
      <c r="AB3795" s="5"/>
      <c r="AJ3795"/>
    </row>
    <row r="3796" spans="24:36" x14ac:dyDescent="0.25">
      <c r="X3796"/>
      <c r="Z3796"/>
      <c r="AA3796"/>
      <c r="AB3796" s="5"/>
      <c r="AJ3796"/>
    </row>
    <row r="3797" spans="24:36" x14ac:dyDescent="0.25">
      <c r="X3797"/>
      <c r="Z3797"/>
      <c r="AA3797"/>
      <c r="AB3797" s="5"/>
      <c r="AJ3797"/>
    </row>
    <row r="3798" spans="24:36" x14ac:dyDescent="0.25">
      <c r="X3798"/>
      <c r="Z3798"/>
      <c r="AA3798"/>
      <c r="AB3798" s="5"/>
      <c r="AJ3798"/>
    </row>
    <row r="3799" spans="24:36" x14ac:dyDescent="0.25">
      <c r="X3799"/>
      <c r="Z3799"/>
      <c r="AA3799"/>
      <c r="AB3799" s="5"/>
      <c r="AJ3799"/>
    </row>
    <row r="3800" spans="24:36" x14ac:dyDescent="0.25">
      <c r="X3800"/>
      <c r="Z3800"/>
      <c r="AA3800"/>
      <c r="AB3800" s="5"/>
      <c r="AJ3800"/>
    </row>
    <row r="3801" spans="24:36" x14ac:dyDescent="0.25">
      <c r="X3801"/>
      <c r="Z3801"/>
      <c r="AA3801"/>
      <c r="AB3801" s="5"/>
      <c r="AJ3801"/>
    </row>
    <row r="3802" spans="24:36" x14ac:dyDescent="0.25">
      <c r="X3802"/>
      <c r="Z3802"/>
      <c r="AA3802"/>
      <c r="AB3802" s="5"/>
      <c r="AJ3802"/>
    </row>
    <row r="3803" spans="24:36" x14ac:dyDescent="0.25">
      <c r="X3803"/>
      <c r="Z3803"/>
      <c r="AA3803"/>
      <c r="AB3803" s="5"/>
      <c r="AJ3803"/>
    </row>
    <row r="3804" spans="24:36" x14ac:dyDescent="0.25">
      <c r="X3804"/>
      <c r="Z3804"/>
      <c r="AA3804"/>
      <c r="AB3804" s="5"/>
      <c r="AJ3804"/>
    </row>
    <row r="3805" spans="24:36" x14ac:dyDescent="0.25">
      <c r="X3805"/>
      <c r="Z3805"/>
      <c r="AA3805"/>
      <c r="AB3805" s="5"/>
      <c r="AJ3805"/>
    </row>
    <row r="3806" spans="24:36" x14ac:dyDescent="0.25">
      <c r="X3806"/>
      <c r="Z3806"/>
      <c r="AA3806"/>
      <c r="AB3806" s="5"/>
      <c r="AJ3806"/>
    </row>
    <row r="3807" spans="24:36" x14ac:dyDescent="0.25">
      <c r="X3807"/>
      <c r="Z3807"/>
      <c r="AA3807"/>
      <c r="AB3807" s="5"/>
      <c r="AJ3807"/>
    </row>
    <row r="3808" spans="24:36" x14ac:dyDescent="0.25">
      <c r="X3808"/>
      <c r="Z3808"/>
      <c r="AA3808"/>
      <c r="AB3808" s="5"/>
      <c r="AJ3808"/>
    </row>
    <row r="3809" spans="24:36" x14ac:dyDescent="0.25">
      <c r="X3809"/>
      <c r="Z3809"/>
      <c r="AA3809"/>
      <c r="AB3809" s="5"/>
      <c r="AJ3809"/>
    </row>
    <row r="3810" spans="24:36" x14ac:dyDescent="0.25">
      <c r="X3810"/>
      <c r="Z3810"/>
      <c r="AA3810"/>
      <c r="AB3810" s="5"/>
      <c r="AJ3810"/>
    </row>
    <row r="3811" spans="24:36" x14ac:dyDescent="0.25">
      <c r="X3811"/>
      <c r="Z3811"/>
      <c r="AA3811"/>
      <c r="AB3811" s="5"/>
      <c r="AJ3811"/>
    </row>
    <row r="3812" spans="24:36" x14ac:dyDescent="0.25">
      <c r="X3812"/>
      <c r="Z3812"/>
      <c r="AA3812"/>
      <c r="AB3812" s="5"/>
      <c r="AJ3812"/>
    </row>
    <row r="3813" spans="24:36" x14ac:dyDescent="0.25">
      <c r="X3813"/>
      <c r="Z3813"/>
      <c r="AA3813"/>
      <c r="AB3813" s="5"/>
      <c r="AJ3813"/>
    </row>
    <row r="3814" spans="24:36" x14ac:dyDescent="0.25">
      <c r="X3814"/>
      <c r="Z3814"/>
      <c r="AA3814"/>
      <c r="AB3814" s="5"/>
      <c r="AJ3814"/>
    </row>
    <row r="3815" spans="24:36" x14ac:dyDescent="0.25">
      <c r="X3815"/>
      <c r="Z3815"/>
      <c r="AA3815"/>
      <c r="AB3815" s="5"/>
      <c r="AJ3815"/>
    </row>
    <row r="3816" spans="24:36" x14ac:dyDescent="0.25">
      <c r="X3816"/>
      <c r="Z3816"/>
      <c r="AA3816"/>
      <c r="AB3816" s="5"/>
      <c r="AJ3816"/>
    </row>
    <row r="3817" spans="24:36" x14ac:dyDescent="0.25">
      <c r="X3817"/>
      <c r="Z3817"/>
      <c r="AA3817"/>
      <c r="AB3817" s="5"/>
      <c r="AJ3817"/>
    </row>
    <row r="3818" spans="24:36" x14ac:dyDescent="0.25">
      <c r="X3818"/>
      <c r="Z3818"/>
      <c r="AA3818"/>
      <c r="AB3818" s="5"/>
      <c r="AJ3818"/>
    </row>
    <row r="3819" spans="24:36" x14ac:dyDescent="0.25">
      <c r="X3819"/>
      <c r="Z3819"/>
      <c r="AA3819"/>
      <c r="AB3819" s="5"/>
      <c r="AJ3819"/>
    </row>
    <row r="3820" spans="24:36" x14ac:dyDescent="0.25">
      <c r="X3820"/>
      <c r="Z3820"/>
      <c r="AA3820"/>
      <c r="AB3820" s="5"/>
      <c r="AJ3820"/>
    </row>
    <row r="3821" spans="24:36" x14ac:dyDescent="0.25">
      <c r="X3821"/>
      <c r="Z3821"/>
      <c r="AA3821"/>
      <c r="AB3821" s="5"/>
      <c r="AJ3821"/>
    </row>
    <row r="3822" spans="24:36" x14ac:dyDescent="0.25">
      <c r="X3822"/>
      <c r="Z3822"/>
      <c r="AA3822"/>
      <c r="AB3822" s="5"/>
      <c r="AJ3822"/>
    </row>
    <row r="3823" spans="24:36" x14ac:dyDescent="0.25">
      <c r="X3823"/>
      <c r="Z3823"/>
      <c r="AA3823"/>
      <c r="AB3823" s="5"/>
      <c r="AJ3823"/>
    </row>
    <row r="3824" spans="24:36" x14ac:dyDescent="0.25">
      <c r="X3824"/>
      <c r="Z3824"/>
      <c r="AA3824"/>
      <c r="AB3824" s="5"/>
      <c r="AJ3824"/>
    </row>
    <row r="3825" spans="24:36" x14ac:dyDescent="0.25">
      <c r="X3825"/>
      <c r="Z3825"/>
      <c r="AA3825"/>
      <c r="AB3825" s="5"/>
      <c r="AJ3825"/>
    </row>
    <row r="3826" spans="24:36" x14ac:dyDescent="0.25">
      <c r="X3826"/>
      <c r="Z3826"/>
      <c r="AA3826"/>
      <c r="AB3826" s="5"/>
      <c r="AJ3826"/>
    </row>
    <row r="3827" spans="24:36" x14ac:dyDescent="0.25">
      <c r="X3827"/>
      <c r="Z3827"/>
      <c r="AA3827"/>
      <c r="AB3827" s="5"/>
      <c r="AJ3827"/>
    </row>
    <row r="3828" spans="24:36" x14ac:dyDescent="0.25">
      <c r="X3828"/>
      <c r="Z3828"/>
      <c r="AA3828"/>
      <c r="AB3828" s="5"/>
      <c r="AJ3828"/>
    </row>
    <row r="3829" spans="24:36" x14ac:dyDescent="0.25">
      <c r="X3829"/>
      <c r="Z3829"/>
      <c r="AA3829"/>
      <c r="AB3829" s="5"/>
      <c r="AJ3829"/>
    </row>
    <row r="3830" spans="24:36" x14ac:dyDescent="0.25">
      <c r="X3830"/>
      <c r="Z3830"/>
      <c r="AA3830"/>
      <c r="AB3830" s="5"/>
      <c r="AJ3830"/>
    </row>
    <row r="3831" spans="24:36" x14ac:dyDescent="0.25">
      <c r="X3831"/>
      <c r="Z3831"/>
      <c r="AA3831"/>
      <c r="AB3831" s="5"/>
      <c r="AJ3831"/>
    </row>
    <row r="3832" spans="24:36" x14ac:dyDescent="0.25">
      <c r="X3832"/>
      <c r="Z3832"/>
      <c r="AA3832"/>
      <c r="AB3832" s="5"/>
      <c r="AJ3832"/>
    </row>
    <row r="3833" spans="24:36" x14ac:dyDescent="0.25">
      <c r="X3833"/>
      <c r="Z3833"/>
      <c r="AA3833"/>
      <c r="AB3833" s="5"/>
      <c r="AJ3833"/>
    </row>
    <row r="3834" spans="24:36" x14ac:dyDescent="0.25">
      <c r="X3834"/>
      <c r="Z3834"/>
      <c r="AA3834"/>
      <c r="AB3834" s="5"/>
      <c r="AJ3834"/>
    </row>
    <row r="3835" spans="24:36" x14ac:dyDescent="0.25">
      <c r="X3835"/>
      <c r="Z3835"/>
      <c r="AA3835"/>
      <c r="AB3835" s="5"/>
      <c r="AJ3835"/>
    </row>
    <row r="3836" spans="24:36" x14ac:dyDescent="0.25">
      <c r="X3836"/>
      <c r="Z3836"/>
      <c r="AA3836"/>
      <c r="AB3836" s="5"/>
      <c r="AJ3836"/>
    </row>
    <row r="3837" spans="24:36" x14ac:dyDescent="0.25">
      <c r="X3837"/>
      <c r="Z3837"/>
      <c r="AA3837"/>
      <c r="AB3837" s="5"/>
      <c r="AJ3837"/>
    </row>
    <row r="3838" spans="24:36" x14ac:dyDescent="0.25">
      <c r="X3838"/>
      <c r="Z3838"/>
      <c r="AA3838"/>
      <c r="AB3838" s="5"/>
      <c r="AJ3838"/>
    </row>
    <row r="3839" spans="24:36" x14ac:dyDescent="0.25">
      <c r="X3839"/>
      <c r="Z3839"/>
      <c r="AA3839"/>
      <c r="AB3839" s="5"/>
      <c r="AJ3839"/>
    </row>
    <row r="3840" spans="24:36" x14ac:dyDescent="0.25">
      <c r="X3840"/>
      <c r="Z3840"/>
      <c r="AA3840"/>
      <c r="AB3840" s="5"/>
      <c r="AJ3840"/>
    </row>
    <row r="3841" spans="24:36" x14ac:dyDescent="0.25">
      <c r="X3841"/>
      <c r="Z3841"/>
      <c r="AA3841"/>
      <c r="AB3841" s="5"/>
      <c r="AJ3841"/>
    </row>
    <row r="3842" spans="24:36" x14ac:dyDescent="0.25">
      <c r="X3842"/>
      <c r="Z3842"/>
      <c r="AA3842"/>
      <c r="AB3842" s="5"/>
      <c r="AJ3842"/>
    </row>
    <row r="3843" spans="24:36" x14ac:dyDescent="0.25">
      <c r="X3843"/>
      <c r="Z3843"/>
      <c r="AA3843"/>
      <c r="AB3843" s="5"/>
      <c r="AJ3843"/>
    </row>
    <row r="3844" spans="24:36" x14ac:dyDescent="0.25">
      <c r="X3844"/>
      <c r="Z3844"/>
      <c r="AA3844"/>
      <c r="AB3844" s="5"/>
      <c r="AJ3844"/>
    </row>
    <row r="3845" spans="24:36" x14ac:dyDescent="0.25">
      <c r="X3845"/>
      <c r="Z3845"/>
      <c r="AA3845"/>
      <c r="AB3845" s="5"/>
      <c r="AJ3845"/>
    </row>
    <row r="3846" spans="24:36" x14ac:dyDescent="0.25">
      <c r="X3846"/>
      <c r="Z3846"/>
      <c r="AA3846"/>
      <c r="AB3846" s="5"/>
      <c r="AJ3846"/>
    </row>
    <row r="3847" spans="24:36" x14ac:dyDescent="0.25">
      <c r="X3847"/>
      <c r="Z3847"/>
      <c r="AA3847"/>
      <c r="AB3847" s="5"/>
      <c r="AJ3847"/>
    </row>
    <row r="3848" spans="24:36" x14ac:dyDescent="0.25">
      <c r="X3848"/>
      <c r="Z3848"/>
      <c r="AA3848"/>
      <c r="AB3848" s="5"/>
      <c r="AJ3848"/>
    </row>
    <row r="3849" spans="24:36" x14ac:dyDescent="0.25">
      <c r="X3849"/>
      <c r="Z3849"/>
      <c r="AA3849"/>
      <c r="AB3849" s="5"/>
      <c r="AJ3849"/>
    </row>
    <row r="3850" spans="24:36" x14ac:dyDescent="0.25">
      <c r="X3850"/>
      <c r="Z3850"/>
      <c r="AA3850"/>
      <c r="AB3850" s="5"/>
      <c r="AJ3850"/>
    </row>
    <row r="3851" spans="24:36" x14ac:dyDescent="0.25">
      <c r="X3851"/>
      <c r="Z3851"/>
      <c r="AA3851"/>
      <c r="AB3851" s="5"/>
      <c r="AJ3851"/>
    </row>
    <row r="3852" spans="24:36" x14ac:dyDescent="0.25">
      <c r="X3852"/>
      <c r="Z3852"/>
      <c r="AA3852"/>
      <c r="AB3852" s="5"/>
      <c r="AJ3852"/>
    </row>
    <row r="3853" spans="24:36" x14ac:dyDescent="0.25">
      <c r="X3853"/>
      <c r="Z3853"/>
      <c r="AA3853"/>
      <c r="AB3853" s="5"/>
      <c r="AJ3853"/>
    </row>
    <row r="3854" spans="24:36" x14ac:dyDescent="0.25">
      <c r="X3854"/>
      <c r="Z3854"/>
      <c r="AA3854"/>
      <c r="AB3854" s="5"/>
      <c r="AJ3854"/>
    </row>
    <row r="3855" spans="24:36" x14ac:dyDescent="0.25">
      <c r="X3855"/>
      <c r="Z3855"/>
      <c r="AA3855"/>
      <c r="AB3855" s="5"/>
      <c r="AJ3855"/>
    </row>
    <row r="3856" spans="24:36" x14ac:dyDescent="0.25">
      <c r="X3856"/>
      <c r="Z3856"/>
      <c r="AA3856"/>
      <c r="AB3856" s="5"/>
      <c r="AJ3856"/>
    </row>
    <row r="3857" spans="24:36" x14ac:dyDescent="0.25">
      <c r="X3857"/>
      <c r="Z3857"/>
      <c r="AA3857"/>
      <c r="AB3857" s="5"/>
      <c r="AJ3857"/>
    </row>
    <row r="3858" spans="24:36" x14ac:dyDescent="0.25">
      <c r="X3858"/>
      <c r="Z3858"/>
      <c r="AA3858"/>
      <c r="AB3858" s="5"/>
      <c r="AJ3858"/>
    </row>
    <row r="3859" spans="24:36" x14ac:dyDescent="0.25">
      <c r="X3859"/>
      <c r="Z3859"/>
      <c r="AA3859"/>
      <c r="AB3859" s="5"/>
      <c r="AJ3859"/>
    </row>
    <row r="3860" spans="24:36" x14ac:dyDescent="0.25">
      <c r="X3860"/>
      <c r="Z3860"/>
      <c r="AA3860"/>
      <c r="AB3860" s="5"/>
      <c r="AJ3860"/>
    </row>
    <row r="3861" spans="24:36" x14ac:dyDescent="0.25">
      <c r="X3861"/>
      <c r="Z3861"/>
      <c r="AA3861"/>
      <c r="AB3861" s="5"/>
      <c r="AJ3861"/>
    </row>
    <row r="3862" spans="24:36" x14ac:dyDescent="0.25">
      <c r="X3862"/>
      <c r="Z3862"/>
      <c r="AA3862"/>
      <c r="AB3862" s="5"/>
      <c r="AJ3862"/>
    </row>
    <row r="3863" spans="24:36" x14ac:dyDescent="0.25">
      <c r="X3863"/>
      <c r="Z3863"/>
      <c r="AA3863"/>
      <c r="AB3863" s="5"/>
      <c r="AJ3863"/>
    </row>
    <row r="3864" spans="24:36" x14ac:dyDescent="0.25">
      <c r="X3864"/>
      <c r="Z3864"/>
      <c r="AA3864"/>
      <c r="AB3864" s="5"/>
      <c r="AJ3864"/>
    </row>
    <row r="3865" spans="24:36" x14ac:dyDescent="0.25">
      <c r="X3865"/>
      <c r="Z3865"/>
      <c r="AA3865"/>
      <c r="AB3865" s="5"/>
      <c r="AJ3865"/>
    </row>
    <row r="3866" spans="24:36" x14ac:dyDescent="0.25">
      <c r="X3866"/>
      <c r="Z3866"/>
      <c r="AA3866"/>
      <c r="AB3866" s="5"/>
      <c r="AJ3866"/>
    </row>
    <row r="3867" spans="24:36" x14ac:dyDescent="0.25">
      <c r="X3867"/>
      <c r="Z3867"/>
      <c r="AA3867"/>
      <c r="AB3867" s="5"/>
      <c r="AJ3867"/>
    </row>
    <row r="3868" spans="24:36" x14ac:dyDescent="0.25">
      <c r="X3868"/>
      <c r="Z3868"/>
      <c r="AA3868"/>
      <c r="AB3868" s="5"/>
      <c r="AJ3868"/>
    </row>
    <row r="3869" spans="24:36" x14ac:dyDescent="0.25">
      <c r="X3869"/>
      <c r="Z3869"/>
      <c r="AA3869"/>
      <c r="AB3869" s="5"/>
      <c r="AJ3869"/>
    </row>
    <row r="3870" spans="24:36" x14ac:dyDescent="0.25">
      <c r="X3870"/>
      <c r="Z3870"/>
      <c r="AA3870"/>
      <c r="AB3870" s="5"/>
      <c r="AJ3870"/>
    </row>
    <row r="3871" spans="24:36" x14ac:dyDescent="0.25">
      <c r="X3871"/>
      <c r="Z3871"/>
      <c r="AA3871"/>
      <c r="AB3871" s="5"/>
      <c r="AJ3871"/>
    </row>
    <row r="3872" spans="24:36" x14ac:dyDescent="0.25">
      <c r="X3872"/>
      <c r="Z3872"/>
      <c r="AA3872"/>
      <c r="AB3872" s="5"/>
      <c r="AJ3872"/>
    </row>
    <row r="3873" spans="24:36" x14ac:dyDescent="0.25">
      <c r="X3873"/>
      <c r="Z3873"/>
      <c r="AA3873"/>
      <c r="AB3873" s="5"/>
      <c r="AJ3873"/>
    </row>
    <row r="3874" spans="24:36" x14ac:dyDescent="0.25">
      <c r="X3874"/>
      <c r="Z3874"/>
      <c r="AA3874"/>
      <c r="AB3874" s="5"/>
      <c r="AJ3874"/>
    </row>
    <row r="3875" spans="24:36" x14ac:dyDescent="0.25">
      <c r="X3875"/>
      <c r="Z3875"/>
      <c r="AA3875"/>
      <c r="AB3875" s="5"/>
      <c r="AJ3875"/>
    </row>
    <row r="3876" spans="24:36" x14ac:dyDescent="0.25">
      <c r="X3876"/>
      <c r="Z3876"/>
      <c r="AA3876"/>
      <c r="AB3876" s="5"/>
      <c r="AJ3876"/>
    </row>
    <row r="3877" spans="24:36" x14ac:dyDescent="0.25">
      <c r="X3877"/>
      <c r="Z3877"/>
      <c r="AA3877"/>
      <c r="AB3877" s="5"/>
      <c r="AJ3877"/>
    </row>
    <row r="3878" spans="24:36" x14ac:dyDescent="0.25">
      <c r="X3878"/>
      <c r="Z3878"/>
      <c r="AA3878"/>
      <c r="AB3878" s="5"/>
      <c r="AJ3878"/>
    </row>
    <row r="3879" spans="24:36" x14ac:dyDescent="0.25">
      <c r="X3879"/>
      <c r="Z3879"/>
      <c r="AA3879"/>
      <c r="AB3879" s="5"/>
      <c r="AJ3879"/>
    </row>
    <row r="3880" spans="24:36" x14ac:dyDescent="0.25">
      <c r="X3880"/>
      <c r="Z3880"/>
      <c r="AA3880"/>
      <c r="AB3880" s="5"/>
      <c r="AJ3880"/>
    </row>
    <row r="3881" spans="24:36" x14ac:dyDescent="0.25">
      <c r="X3881"/>
      <c r="Z3881"/>
      <c r="AA3881"/>
      <c r="AB3881" s="5"/>
      <c r="AJ3881"/>
    </row>
    <row r="3882" spans="24:36" x14ac:dyDescent="0.25">
      <c r="X3882"/>
      <c r="Z3882"/>
      <c r="AA3882"/>
      <c r="AB3882" s="5"/>
      <c r="AJ3882"/>
    </row>
    <row r="3883" spans="24:36" x14ac:dyDescent="0.25">
      <c r="X3883"/>
      <c r="Z3883"/>
      <c r="AA3883"/>
      <c r="AB3883" s="5"/>
      <c r="AJ3883"/>
    </row>
    <row r="3884" spans="24:36" x14ac:dyDescent="0.25">
      <c r="X3884"/>
      <c r="Z3884"/>
      <c r="AA3884"/>
      <c r="AB3884" s="5"/>
      <c r="AJ3884"/>
    </row>
    <row r="3885" spans="24:36" x14ac:dyDescent="0.25">
      <c r="X3885"/>
      <c r="Z3885"/>
      <c r="AA3885"/>
      <c r="AB3885" s="5"/>
      <c r="AJ3885"/>
    </row>
    <row r="3886" spans="24:36" x14ac:dyDescent="0.25">
      <c r="X3886"/>
      <c r="Z3886"/>
      <c r="AA3886"/>
      <c r="AB3886" s="5"/>
      <c r="AJ3886"/>
    </row>
    <row r="3887" spans="24:36" x14ac:dyDescent="0.25">
      <c r="X3887"/>
      <c r="Z3887"/>
      <c r="AA3887"/>
      <c r="AB3887" s="5"/>
      <c r="AJ3887"/>
    </row>
    <row r="3888" spans="24:36" x14ac:dyDescent="0.25">
      <c r="X3888"/>
      <c r="Z3888"/>
      <c r="AA3888"/>
      <c r="AB3888" s="5"/>
      <c r="AJ3888"/>
    </row>
    <row r="3889" spans="24:36" x14ac:dyDescent="0.25">
      <c r="X3889"/>
      <c r="Z3889"/>
      <c r="AA3889"/>
      <c r="AB3889" s="5"/>
      <c r="AJ3889"/>
    </row>
    <row r="3890" spans="24:36" x14ac:dyDescent="0.25">
      <c r="X3890"/>
      <c r="Z3890"/>
      <c r="AA3890"/>
      <c r="AB3890" s="5"/>
      <c r="AJ3890"/>
    </row>
    <row r="3891" spans="24:36" x14ac:dyDescent="0.25">
      <c r="X3891"/>
      <c r="Z3891"/>
      <c r="AA3891"/>
      <c r="AB3891" s="5"/>
      <c r="AJ3891"/>
    </row>
    <row r="3892" spans="24:36" x14ac:dyDescent="0.25">
      <c r="X3892"/>
      <c r="Z3892"/>
      <c r="AA3892"/>
      <c r="AB3892" s="5"/>
      <c r="AJ3892"/>
    </row>
    <row r="3893" spans="24:36" x14ac:dyDescent="0.25">
      <c r="X3893"/>
      <c r="Z3893"/>
      <c r="AA3893"/>
      <c r="AB3893" s="5"/>
      <c r="AJ3893"/>
    </row>
    <row r="3894" spans="24:36" x14ac:dyDescent="0.25">
      <c r="X3894"/>
      <c r="Z3894"/>
      <c r="AA3894"/>
      <c r="AB3894" s="5"/>
      <c r="AJ3894"/>
    </row>
    <row r="3895" spans="24:36" x14ac:dyDescent="0.25">
      <c r="X3895"/>
      <c r="Z3895"/>
      <c r="AA3895"/>
      <c r="AB3895" s="5"/>
      <c r="AJ3895"/>
    </row>
    <row r="3896" spans="24:36" x14ac:dyDescent="0.25">
      <c r="X3896"/>
      <c r="Z3896"/>
      <c r="AA3896"/>
      <c r="AB3896" s="5"/>
      <c r="AJ3896"/>
    </row>
    <row r="3897" spans="24:36" x14ac:dyDescent="0.25">
      <c r="X3897"/>
      <c r="Z3897"/>
      <c r="AA3897"/>
      <c r="AB3897" s="5"/>
      <c r="AJ3897"/>
    </row>
    <row r="3898" spans="24:36" x14ac:dyDescent="0.25">
      <c r="X3898"/>
      <c r="Z3898"/>
      <c r="AA3898"/>
      <c r="AB3898" s="5"/>
      <c r="AJ3898"/>
    </row>
    <row r="3899" spans="24:36" x14ac:dyDescent="0.25">
      <c r="X3899"/>
      <c r="Z3899"/>
      <c r="AA3899"/>
      <c r="AB3899" s="5"/>
      <c r="AJ3899"/>
    </row>
    <row r="3900" spans="24:36" x14ac:dyDescent="0.25">
      <c r="X3900"/>
      <c r="Z3900"/>
      <c r="AA3900"/>
      <c r="AB3900" s="5"/>
      <c r="AJ3900"/>
    </row>
    <row r="3901" spans="24:36" x14ac:dyDescent="0.25">
      <c r="X3901"/>
      <c r="Z3901"/>
      <c r="AA3901"/>
      <c r="AB3901" s="5"/>
      <c r="AJ3901"/>
    </row>
    <row r="3902" spans="24:36" x14ac:dyDescent="0.25">
      <c r="X3902"/>
      <c r="Z3902"/>
      <c r="AA3902"/>
      <c r="AB3902" s="5"/>
      <c r="AJ3902"/>
    </row>
    <row r="3903" spans="24:36" x14ac:dyDescent="0.25">
      <c r="X3903"/>
      <c r="Z3903"/>
      <c r="AA3903"/>
      <c r="AB3903" s="5"/>
      <c r="AJ3903"/>
    </row>
    <row r="3904" spans="24:36" x14ac:dyDescent="0.25">
      <c r="X3904"/>
      <c r="Z3904"/>
      <c r="AA3904"/>
      <c r="AB3904" s="5"/>
      <c r="AJ3904"/>
    </row>
    <row r="3905" spans="24:36" x14ac:dyDescent="0.25">
      <c r="X3905"/>
      <c r="Z3905"/>
      <c r="AA3905"/>
      <c r="AB3905" s="5"/>
      <c r="AJ3905"/>
    </row>
    <row r="3906" spans="24:36" x14ac:dyDescent="0.25">
      <c r="X3906"/>
      <c r="Z3906"/>
      <c r="AA3906"/>
      <c r="AB3906" s="5"/>
      <c r="AJ3906"/>
    </row>
    <row r="3907" spans="24:36" x14ac:dyDescent="0.25">
      <c r="X3907"/>
      <c r="Z3907"/>
      <c r="AA3907"/>
      <c r="AB3907" s="5"/>
      <c r="AJ3907"/>
    </row>
    <row r="3908" spans="24:36" x14ac:dyDescent="0.25">
      <c r="X3908"/>
      <c r="Z3908"/>
      <c r="AA3908"/>
      <c r="AB3908" s="5"/>
      <c r="AJ3908"/>
    </row>
    <row r="3909" spans="24:36" x14ac:dyDescent="0.25">
      <c r="X3909"/>
      <c r="Z3909"/>
      <c r="AA3909"/>
      <c r="AB3909" s="5"/>
      <c r="AJ3909"/>
    </row>
    <row r="3910" spans="24:36" x14ac:dyDescent="0.25">
      <c r="X3910"/>
      <c r="Z3910"/>
      <c r="AA3910"/>
      <c r="AB3910" s="5"/>
      <c r="AJ3910"/>
    </row>
    <row r="3911" spans="24:36" x14ac:dyDescent="0.25">
      <c r="X3911"/>
      <c r="Z3911"/>
      <c r="AA3911"/>
      <c r="AB3911" s="5"/>
      <c r="AJ3911"/>
    </row>
    <row r="3912" spans="24:36" x14ac:dyDescent="0.25">
      <c r="X3912"/>
      <c r="Z3912"/>
      <c r="AA3912"/>
      <c r="AB3912" s="5"/>
      <c r="AJ3912"/>
    </row>
    <row r="3913" spans="24:36" x14ac:dyDescent="0.25">
      <c r="X3913"/>
      <c r="Z3913"/>
      <c r="AA3913"/>
      <c r="AB3913" s="5"/>
      <c r="AJ3913"/>
    </row>
    <row r="3914" spans="24:36" x14ac:dyDescent="0.25">
      <c r="X3914"/>
      <c r="Z3914"/>
      <c r="AA3914"/>
      <c r="AB3914" s="5"/>
      <c r="AJ3914"/>
    </row>
    <row r="3915" spans="24:36" x14ac:dyDescent="0.25">
      <c r="X3915"/>
      <c r="Z3915"/>
      <c r="AA3915"/>
      <c r="AB3915" s="5"/>
      <c r="AJ3915"/>
    </row>
    <row r="3916" spans="24:36" x14ac:dyDescent="0.25">
      <c r="X3916"/>
      <c r="Z3916"/>
      <c r="AA3916"/>
      <c r="AB3916" s="5"/>
      <c r="AJ3916"/>
    </row>
    <row r="3917" spans="24:36" x14ac:dyDescent="0.25">
      <c r="X3917"/>
      <c r="Z3917"/>
      <c r="AA3917"/>
      <c r="AB3917" s="5"/>
      <c r="AJ3917"/>
    </row>
    <row r="3918" spans="24:36" x14ac:dyDescent="0.25">
      <c r="X3918"/>
      <c r="Z3918"/>
      <c r="AA3918"/>
      <c r="AB3918" s="5"/>
      <c r="AJ3918"/>
    </row>
    <row r="3919" spans="24:36" x14ac:dyDescent="0.25">
      <c r="X3919"/>
      <c r="Z3919"/>
      <c r="AA3919"/>
      <c r="AB3919" s="5"/>
      <c r="AJ3919"/>
    </row>
    <row r="3920" spans="24:36" x14ac:dyDescent="0.25">
      <c r="X3920"/>
      <c r="Z3920"/>
      <c r="AA3920"/>
      <c r="AB3920" s="5"/>
      <c r="AJ3920"/>
    </row>
    <row r="3921" spans="24:36" x14ac:dyDescent="0.25">
      <c r="X3921"/>
      <c r="Z3921"/>
      <c r="AA3921"/>
      <c r="AB3921" s="5"/>
      <c r="AJ3921"/>
    </row>
    <row r="3922" spans="24:36" x14ac:dyDescent="0.25">
      <c r="X3922"/>
      <c r="Z3922"/>
      <c r="AA3922"/>
      <c r="AB3922" s="5"/>
      <c r="AJ3922"/>
    </row>
    <row r="3923" spans="24:36" x14ac:dyDescent="0.25">
      <c r="X3923"/>
      <c r="Z3923"/>
      <c r="AA3923"/>
      <c r="AB3923" s="5"/>
      <c r="AJ3923"/>
    </row>
    <row r="3924" spans="24:36" x14ac:dyDescent="0.25">
      <c r="X3924"/>
      <c r="Z3924"/>
      <c r="AA3924"/>
      <c r="AB3924" s="5"/>
      <c r="AJ3924"/>
    </row>
    <row r="3925" spans="24:36" x14ac:dyDescent="0.25">
      <c r="X3925"/>
      <c r="Z3925"/>
      <c r="AA3925"/>
      <c r="AB3925" s="5"/>
      <c r="AJ3925"/>
    </row>
    <row r="3926" spans="24:36" x14ac:dyDescent="0.25">
      <c r="X3926"/>
      <c r="Z3926"/>
      <c r="AA3926"/>
      <c r="AB3926" s="5"/>
      <c r="AJ3926"/>
    </row>
    <row r="3927" spans="24:36" x14ac:dyDescent="0.25">
      <c r="X3927"/>
      <c r="Z3927"/>
      <c r="AA3927"/>
      <c r="AB3927" s="5"/>
      <c r="AJ3927"/>
    </row>
    <row r="3928" spans="24:36" x14ac:dyDescent="0.25">
      <c r="X3928"/>
      <c r="Z3928"/>
      <c r="AA3928"/>
      <c r="AB3928" s="5"/>
      <c r="AJ3928"/>
    </row>
    <row r="3929" spans="24:36" x14ac:dyDescent="0.25">
      <c r="X3929"/>
      <c r="Z3929"/>
      <c r="AA3929"/>
      <c r="AB3929" s="5"/>
      <c r="AJ3929"/>
    </row>
    <row r="3930" spans="24:36" x14ac:dyDescent="0.25">
      <c r="X3930"/>
      <c r="Z3930"/>
      <c r="AA3930"/>
      <c r="AB3930" s="5"/>
      <c r="AJ3930"/>
    </row>
    <row r="3931" spans="24:36" x14ac:dyDescent="0.25">
      <c r="X3931"/>
      <c r="Z3931"/>
      <c r="AA3931"/>
      <c r="AB3931" s="5"/>
      <c r="AJ3931"/>
    </row>
    <row r="3932" spans="24:36" x14ac:dyDescent="0.25">
      <c r="X3932"/>
      <c r="Z3932"/>
      <c r="AA3932"/>
      <c r="AB3932" s="5"/>
      <c r="AJ3932"/>
    </row>
    <row r="3933" spans="24:36" x14ac:dyDescent="0.25">
      <c r="X3933"/>
      <c r="Z3933"/>
      <c r="AA3933"/>
      <c r="AB3933" s="5"/>
      <c r="AJ3933"/>
    </row>
    <row r="3934" spans="24:36" x14ac:dyDescent="0.25">
      <c r="X3934"/>
      <c r="Z3934"/>
      <c r="AA3934"/>
      <c r="AB3934" s="5"/>
      <c r="AJ3934"/>
    </row>
    <row r="3935" spans="24:36" x14ac:dyDescent="0.25">
      <c r="X3935"/>
      <c r="Z3935"/>
      <c r="AA3935"/>
      <c r="AB3935" s="5"/>
      <c r="AJ3935"/>
    </row>
    <row r="3936" spans="24:36" x14ac:dyDescent="0.25">
      <c r="X3936"/>
      <c r="Z3936"/>
      <c r="AA3936"/>
      <c r="AB3936" s="5"/>
      <c r="AJ3936"/>
    </row>
    <row r="3937" spans="24:36" x14ac:dyDescent="0.25">
      <c r="X3937"/>
      <c r="Z3937"/>
      <c r="AA3937"/>
      <c r="AB3937" s="5"/>
      <c r="AJ3937"/>
    </row>
    <row r="3938" spans="24:36" x14ac:dyDescent="0.25">
      <c r="X3938"/>
      <c r="Z3938"/>
      <c r="AA3938"/>
      <c r="AB3938" s="5"/>
      <c r="AJ3938"/>
    </row>
    <row r="3939" spans="24:36" x14ac:dyDescent="0.25">
      <c r="X3939"/>
      <c r="Z3939"/>
      <c r="AA3939"/>
      <c r="AB3939" s="5"/>
      <c r="AJ3939"/>
    </row>
    <row r="3940" spans="24:36" x14ac:dyDescent="0.25">
      <c r="X3940"/>
      <c r="Z3940"/>
      <c r="AA3940"/>
      <c r="AB3940" s="5"/>
      <c r="AJ3940"/>
    </row>
    <row r="3941" spans="24:36" x14ac:dyDescent="0.25">
      <c r="X3941"/>
      <c r="Z3941"/>
      <c r="AA3941"/>
      <c r="AB3941" s="5"/>
      <c r="AJ3941"/>
    </row>
    <row r="3942" spans="24:36" x14ac:dyDescent="0.25">
      <c r="X3942"/>
      <c r="Z3942"/>
      <c r="AA3942"/>
      <c r="AB3942" s="5"/>
      <c r="AJ3942"/>
    </row>
    <row r="3943" spans="24:36" x14ac:dyDescent="0.25">
      <c r="X3943"/>
      <c r="Z3943"/>
      <c r="AA3943"/>
      <c r="AB3943" s="5"/>
      <c r="AJ3943"/>
    </row>
    <row r="3944" spans="24:36" x14ac:dyDescent="0.25">
      <c r="X3944"/>
      <c r="Z3944"/>
      <c r="AA3944"/>
      <c r="AB3944" s="5"/>
      <c r="AJ3944"/>
    </row>
    <row r="3945" spans="24:36" x14ac:dyDescent="0.25">
      <c r="X3945"/>
      <c r="Z3945"/>
      <c r="AA3945"/>
      <c r="AB3945" s="5"/>
      <c r="AJ3945"/>
    </row>
    <row r="3946" spans="24:36" x14ac:dyDescent="0.25">
      <c r="X3946"/>
      <c r="Z3946"/>
      <c r="AA3946"/>
      <c r="AB3946" s="5"/>
      <c r="AJ3946"/>
    </row>
    <row r="3947" spans="24:36" x14ac:dyDescent="0.25">
      <c r="X3947"/>
      <c r="Z3947"/>
      <c r="AA3947"/>
      <c r="AB3947" s="5"/>
      <c r="AJ3947"/>
    </row>
    <row r="3948" spans="24:36" x14ac:dyDescent="0.25">
      <c r="X3948"/>
      <c r="Z3948"/>
      <c r="AA3948"/>
      <c r="AB3948" s="5"/>
      <c r="AJ3948"/>
    </row>
    <row r="3949" spans="24:36" x14ac:dyDescent="0.25">
      <c r="X3949"/>
      <c r="Z3949"/>
      <c r="AA3949"/>
      <c r="AB3949" s="5"/>
      <c r="AJ3949"/>
    </row>
    <row r="3950" spans="24:36" x14ac:dyDescent="0.25">
      <c r="X3950"/>
      <c r="Z3950"/>
      <c r="AA3950"/>
      <c r="AB3950" s="5"/>
      <c r="AJ3950"/>
    </row>
    <row r="3951" spans="24:36" x14ac:dyDescent="0.25">
      <c r="X3951"/>
      <c r="Z3951"/>
      <c r="AA3951"/>
      <c r="AB3951" s="5"/>
      <c r="AJ3951"/>
    </row>
    <row r="3952" spans="24:36" x14ac:dyDescent="0.25">
      <c r="X3952"/>
      <c r="Z3952"/>
      <c r="AA3952"/>
      <c r="AB3952" s="5"/>
      <c r="AJ3952"/>
    </row>
    <row r="3953" spans="24:36" x14ac:dyDescent="0.25">
      <c r="X3953"/>
      <c r="Z3953"/>
      <c r="AA3953"/>
      <c r="AB3953" s="5"/>
      <c r="AJ3953"/>
    </row>
    <row r="3954" spans="24:36" x14ac:dyDescent="0.25">
      <c r="X3954"/>
      <c r="Z3954"/>
      <c r="AA3954"/>
      <c r="AB3954" s="5"/>
      <c r="AJ3954"/>
    </row>
    <row r="3955" spans="24:36" x14ac:dyDescent="0.25">
      <c r="X3955"/>
      <c r="Z3955"/>
      <c r="AA3955"/>
      <c r="AB3955" s="5"/>
      <c r="AJ3955"/>
    </row>
    <row r="3956" spans="24:36" x14ac:dyDescent="0.25">
      <c r="X3956"/>
      <c r="Z3956"/>
      <c r="AA3956"/>
      <c r="AB3956" s="5"/>
      <c r="AJ3956"/>
    </row>
    <row r="3957" spans="24:36" x14ac:dyDescent="0.25">
      <c r="X3957"/>
      <c r="Z3957"/>
      <c r="AA3957"/>
      <c r="AB3957" s="5"/>
      <c r="AJ3957"/>
    </row>
    <row r="3958" spans="24:36" x14ac:dyDescent="0.25">
      <c r="X3958"/>
      <c r="Z3958"/>
      <c r="AA3958"/>
      <c r="AB3958" s="5"/>
      <c r="AJ3958"/>
    </row>
    <row r="3959" spans="24:36" x14ac:dyDescent="0.25">
      <c r="X3959"/>
      <c r="Z3959"/>
      <c r="AA3959"/>
      <c r="AB3959" s="5"/>
      <c r="AJ3959"/>
    </row>
    <row r="3960" spans="24:36" x14ac:dyDescent="0.25">
      <c r="X3960"/>
      <c r="Z3960"/>
      <c r="AA3960"/>
      <c r="AB3960" s="5"/>
      <c r="AJ3960"/>
    </row>
    <row r="3961" spans="24:36" x14ac:dyDescent="0.25">
      <c r="X3961"/>
      <c r="Z3961"/>
      <c r="AA3961"/>
      <c r="AB3961" s="5"/>
      <c r="AJ3961"/>
    </row>
    <row r="3962" spans="24:36" x14ac:dyDescent="0.25">
      <c r="X3962"/>
      <c r="Z3962"/>
      <c r="AA3962"/>
      <c r="AB3962" s="5"/>
      <c r="AJ3962"/>
    </row>
    <row r="3963" spans="24:36" x14ac:dyDescent="0.25">
      <c r="X3963"/>
      <c r="Z3963"/>
      <c r="AA3963"/>
      <c r="AB3963" s="5"/>
      <c r="AJ3963"/>
    </row>
    <row r="3964" spans="24:36" x14ac:dyDescent="0.25">
      <c r="X3964"/>
      <c r="Z3964"/>
      <c r="AA3964"/>
      <c r="AB3964" s="5"/>
      <c r="AJ3964"/>
    </row>
    <row r="3965" spans="24:36" x14ac:dyDescent="0.25">
      <c r="X3965"/>
      <c r="Z3965"/>
      <c r="AA3965"/>
      <c r="AB3965" s="5"/>
      <c r="AJ3965"/>
    </row>
    <row r="3966" spans="24:36" x14ac:dyDescent="0.25">
      <c r="X3966"/>
      <c r="Z3966"/>
      <c r="AA3966"/>
      <c r="AB3966" s="5"/>
      <c r="AJ3966"/>
    </row>
    <row r="3967" spans="24:36" x14ac:dyDescent="0.25">
      <c r="X3967"/>
      <c r="Z3967"/>
      <c r="AA3967"/>
      <c r="AB3967" s="5"/>
      <c r="AJ3967"/>
    </row>
    <row r="3968" spans="24:36" x14ac:dyDescent="0.25">
      <c r="X3968"/>
      <c r="Z3968"/>
      <c r="AA3968"/>
      <c r="AB3968" s="5"/>
      <c r="AJ3968"/>
    </row>
    <row r="3969" spans="24:36" x14ac:dyDescent="0.25">
      <c r="X3969"/>
      <c r="Z3969"/>
      <c r="AA3969"/>
      <c r="AB3969" s="5"/>
      <c r="AJ3969"/>
    </row>
    <row r="3970" spans="24:36" x14ac:dyDescent="0.25">
      <c r="X3970"/>
      <c r="Z3970"/>
      <c r="AA3970"/>
      <c r="AB3970" s="5"/>
      <c r="AJ3970"/>
    </row>
    <row r="3971" spans="24:36" x14ac:dyDescent="0.25">
      <c r="X3971"/>
      <c r="Z3971"/>
      <c r="AA3971"/>
      <c r="AB3971" s="5"/>
      <c r="AJ3971"/>
    </row>
    <row r="3972" spans="24:36" x14ac:dyDescent="0.25">
      <c r="X3972"/>
      <c r="Z3972"/>
      <c r="AA3972"/>
      <c r="AB3972" s="5"/>
      <c r="AJ3972"/>
    </row>
    <row r="3973" spans="24:36" x14ac:dyDescent="0.25">
      <c r="X3973"/>
      <c r="Z3973"/>
      <c r="AA3973"/>
      <c r="AB3973" s="5"/>
      <c r="AJ3973"/>
    </row>
    <row r="3974" spans="24:36" x14ac:dyDescent="0.25">
      <c r="X3974"/>
      <c r="Z3974"/>
      <c r="AA3974"/>
      <c r="AB3974" s="5"/>
      <c r="AJ3974"/>
    </row>
    <row r="3975" spans="24:36" x14ac:dyDescent="0.25">
      <c r="X3975"/>
      <c r="Z3975"/>
      <c r="AA3975"/>
      <c r="AB3975" s="5"/>
      <c r="AJ3975"/>
    </row>
    <row r="3976" spans="24:36" x14ac:dyDescent="0.25">
      <c r="X3976"/>
      <c r="Z3976"/>
      <c r="AA3976"/>
      <c r="AB3976" s="5"/>
      <c r="AJ3976"/>
    </row>
    <row r="3977" spans="24:36" x14ac:dyDescent="0.25">
      <c r="X3977"/>
      <c r="Z3977"/>
      <c r="AA3977"/>
      <c r="AB3977" s="5"/>
      <c r="AJ3977"/>
    </row>
    <row r="3978" spans="24:36" x14ac:dyDescent="0.25">
      <c r="X3978"/>
      <c r="Z3978"/>
      <c r="AA3978"/>
      <c r="AB3978" s="5"/>
      <c r="AJ3978"/>
    </row>
    <row r="3979" spans="24:36" x14ac:dyDescent="0.25">
      <c r="X3979"/>
      <c r="Z3979"/>
      <c r="AA3979"/>
      <c r="AB3979" s="5"/>
      <c r="AJ3979"/>
    </row>
    <row r="3980" spans="24:36" x14ac:dyDescent="0.25">
      <c r="X3980"/>
      <c r="Z3980"/>
      <c r="AA3980"/>
      <c r="AB3980" s="5"/>
      <c r="AJ3980"/>
    </row>
    <row r="3981" spans="24:36" x14ac:dyDescent="0.25">
      <c r="X3981"/>
      <c r="Z3981"/>
      <c r="AA3981"/>
      <c r="AB3981" s="5"/>
      <c r="AJ3981"/>
    </row>
    <row r="3982" spans="24:36" x14ac:dyDescent="0.25">
      <c r="X3982"/>
      <c r="Z3982"/>
      <c r="AA3982"/>
      <c r="AB3982" s="5"/>
      <c r="AJ3982"/>
    </row>
    <row r="3983" spans="24:36" x14ac:dyDescent="0.25">
      <c r="X3983"/>
      <c r="Z3983"/>
      <c r="AA3983"/>
      <c r="AB3983" s="5"/>
      <c r="AJ3983"/>
    </row>
    <row r="3984" spans="24:36" x14ac:dyDescent="0.25">
      <c r="X3984"/>
      <c r="Z3984"/>
      <c r="AA3984"/>
      <c r="AB3984" s="5"/>
      <c r="AJ3984"/>
    </row>
    <row r="3985" spans="24:36" x14ac:dyDescent="0.25">
      <c r="X3985"/>
      <c r="Z3985"/>
      <c r="AA3985"/>
      <c r="AB3985" s="5"/>
      <c r="AJ3985"/>
    </row>
    <row r="3986" spans="24:36" x14ac:dyDescent="0.25">
      <c r="X3986"/>
      <c r="Z3986"/>
      <c r="AA3986"/>
      <c r="AB3986" s="5"/>
      <c r="AJ3986"/>
    </row>
    <row r="3987" spans="24:36" x14ac:dyDescent="0.25">
      <c r="X3987"/>
      <c r="Z3987"/>
      <c r="AA3987"/>
      <c r="AB3987" s="5"/>
      <c r="AJ3987"/>
    </row>
    <row r="3988" spans="24:36" x14ac:dyDescent="0.25">
      <c r="X3988"/>
      <c r="Z3988"/>
      <c r="AA3988"/>
      <c r="AB3988" s="5"/>
      <c r="AJ3988"/>
    </row>
    <row r="3989" spans="24:36" x14ac:dyDescent="0.25">
      <c r="X3989"/>
      <c r="Z3989"/>
      <c r="AA3989"/>
      <c r="AB3989" s="5"/>
      <c r="AJ3989"/>
    </row>
    <row r="3990" spans="24:36" x14ac:dyDescent="0.25">
      <c r="X3990"/>
      <c r="Z3990"/>
      <c r="AA3990"/>
      <c r="AB3990" s="5"/>
      <c r="AJ3990"/>
    </row>
    <row r="3991" spans="24:36" x14ac:dyDescent="0.25">
      <c r="X3991"/>
      <c r="Z3991"/>
      <c r="AA3991"/>
      <c r="AB3991" s="5"/>
      <c r="AJ3991"/>
    </row>
    <row r="3992" spans="24:36" x14ac:dyDescent="0.25">
      <c r="X3992"/>
      <c r="Z3992"/>
      <c r="AA3992"/>
      <c r="AB3992" s="5"/>
      <c r="AJ3992"/>
    </row>
    <row r="3993" spans="24:36" x14ac:dyDescent="0.25">
      <c r="X3993"/>
      <c r="Z3993"/>
      <c r="AA3993"/>
      <c r="AB3993" s="5"/>
      <c r="AJ3993"/>
    </row>
    <row r="3994" spans="24:36" x14ac:dyDescent="0.25">
      <c r="X3994"/>
      <c r="Z3994"/>
      <c r="AA3994"/>
      <c r="AB3994" s="5"/>
      <c r="AJ3994"/>
    </row>
    <row r="3995" spans="24:36" x14ac:dyDescent="0.25">
      <c r="X3995"/>
      <c r="Z3995"/>
      <c r="AA3995"/>
      <c r="AB3995" s="5"/>
      <c r="AJ3995"/>
    </row>
    <row r="3996" spans="24:36" x14ac:dyDescent="0.25">
      <c r="X3996"/>
      <c r="Z3996"/>
      <c r="AA3996"/>
      <c r="AB3996" s="5"/>
      <c r="AJ3996"/>
    </row>
    <row r="3997" spans="24:36" x14ac:dyDescent="0.25">
      <c r="X3997"/>
      <c r="Z3997"/>
      <c r="AA3997"/>
      <c r="AB3997" s="5"/>
      <c r="AJ3997"/>
    </row>
    <row r="3998" spans="24:36" x14ac:dyDescent="0.25">
      <c r="X3998"/>
      <c r="Z3998"/>
      <c r="AA3998"/>
      <c r="AB3998" s="5"/>
      <c r="AJ3998"/>
    </row>
    <row r="3999" spans="24:36" x14ac:dyDescent="0.25">
      <c r="X3999"/>
      <c r="Z3999"/>
      <c r="AA3999"/>
      <c r="AB3999" s="5"/>
      <c r="AJ3999"/>
    </row>
    <row r="4000" spans="24:36" x14ac:dyDescent="0.25">
      <c r="X4000"/>
      <c r="Z4000"/>
      <c r="AA4000"/>
      <c r="AB4000" s="5"/>
      <c r="AJ4000"/>
    </row>
    <row r="4001" spans="24:36" x14ac:dyDescent="0.25">
      <c r="X4001"/>
      <c r="Z4001"/>
      <c r="AA4001"/>
      <c r="AB4001" s="5"/>
      <c r="AJ4001"/>
    </row>
    <row r="4002" spans="24:36" x14ac:dyDescent="0.25">
      <c r="X4002"/>
      <c r="Z4002"/>
      <c r="AA4002"/>
      <c r="AB4002" s="5"/>
      <c r="AJ4002"/>
    </row>
    <row r="4003" spans="24:36" x14ac:dyDescent="0.25">
      <c r="X4003"/>
      <c r="Z4003"/>
      <c r="AA4003"/>
      <c r="AB4003" s="5"/>
      <c r="AJ4003"/>
    </row>
    <row r="4004" spans="24:36" x14ac:dyDescent="0.25">
      <c r="X4004"/>
      <c r="Z4004"/>
      <c r="AA4004"/>
      <c r="AB4004" s="5"/>
      <c r="AJ4004"/>
    </row>
    <row r="4005" spans="24:36" x14ac:dyDescent="0.25">
      <c r="X4005"/>
      <c r="Z4005"/>
      <c r="AA4005"/>
      <c r="AB4005" s="5"/>
      <c r="AJ4005"/>
    </row>
    <row r="4006" spans="24:36" x14ac:dyDescent="0.25">
      <c r="X4006"/>
      <c r="Z4006"/>
      <c r="AA4006"/>
      <c r="AB4006" s="5"/>
      <c r="AJ4006"/>
    </row>
    <row r="4007" spans="24:36" x14ac:dyDescent="0.25">
      <c r="X4007"/>
      <c r="Z4007"/>
      <c r="AA4007"/>
      <c r="AB4007" s="5"/>
      <c r="AJ4007"/>
    </row>
    <row r="4008" spans="24:36" x14ac:dyDescent="0.25">
      <c r="X4008"/>
      <c r="Z4008"/>
      <c r="AA4008"/>
      <c r="AB4008" s="5"/>
      <c r="AJ4008"/>
    </row>
    <row r="4009" spans="24:36" x14ac:dyDescent="0.25">
      <c r="X4009"/>
      <c r="Z4009"/>
      <c r="AA4009"/>
      <c r="AB4009" s="5"/>
      <c r="AJ4009"/>
    </row>
    <row r="4010" spans="24:36" x14ac:dyDescent="0.25">
      <c r="X4010"/>
      <c r="Z4010"/>
      <c r="AA4010"/>
      <c r="AB4010" s="5"/>
      <c r="AJ4010"/>
    </row>
    <row r="4011" spans="24:36" x14ac:dyDescent="0.25">
      <c r="X4011"/>
      <c r="Z4011"/>
      <c r="AA4011"/>
      <c r="AB4011" s="5"/>
      <c r="AJ4011"/>
    </row>
    <row r="4012" spans="24:36" x14ac:dyDescent="0.25">
      <c r="X4012"/>
      <c r="Z4012"/>
      <c r="AA4012"/>
      <c r="AB4012" s="5"/>
      <c r="AJ4012"/>
    </row>
    <row r="4013" spans="24:36" x14ac:dyDescent="0.25">
      <c r="X4013"/>
      <c r="Z4013"/>
      <c r="AA4013"/>
      <c r="AB4013" s="5"/>
      <c r="AJ4013"/>
    </row>
    <row r="4014" spans="24:36" x14ac:dyDescent="0.25">
      <c r="X4014"/>
      <c r="Z4014"/>
      <c r="AA4014"/>
      <c r="AB4014" s="5"/>
      <c r="AJ4014"/>
    </row>
    <row r="4015" spans="24:36" x14ac:dyDescent="0.25">
      <c r="X4015"/>
      <c r="Z4015"/>
      <c r="AA4015"/>
      <c r="AB4015" s="5"/>
      <c r="AJ4015"/>
    </row>
    <row r="4016" spans="24:36" x14ac:dyDescent="0.25">
      <c r="X4016"/>
      <c r="Z4016"/>
      <c r="AA4016"/>
      <c r="AB4016" s="5"/>
      <c r="AJ4016"/>
    </row>
    <row r="4017" spans="24:36" x14ac:dyDescent="0.25">
      <c r="X4017"/>
      <c r="Z4017"/>
      <c r="AA4017"/>
      <c r="AB4017" s="5"/>
      <c r="AJ4017"/>
    </row>
    <row r="4018" spans="24:36" x14ac:dyDescent="0.25">
      <c r="X4018"/>
      <c r="Z4018"/>
      <c r="AA4018"/>
      <c r="AB4018" s="5"/>
      <c r="AJ4018"/>
    </row>
    <row r="4019" spans="24:36" x14ac:dyDescent="0.25">
      <c r="X4019"/>
      <c r="Z4019"/>
      <c r="AA4019"/>
      <c r="AB4019" s="5"/>
      <c r="AJ4019"/>
    </row>
    <row r="4020" spans="24:36" x14ac:dyDescent="0.25">
      <c r="X4020"/>
      <c r="Z4020"/>
      <c r="AA4020"/>
      <c r="AB4020" s="5"/>
      <c r="AJ4020"/>
    </row>
    <row r="4021" spans="24:36" x14ac:dyDescent="0.25">
      <c r="X4021"/>
      <c r="Z4021"/>
      <c r="AA4021"/>
      <c r="AB4021" s="5"/>
      <c r="AJ4021"/>
    </row>
    <row r="4022" spans="24:36" x14ac:dyDescent="0.25">
      <c r="X4022"/>
      <c r="Z4022"/>
      <c r="AA4022"/>
      <c r="AB4022" s="5"/>
      <c r="AJ4022"/>
    </row>
    <row r="4023" spans="24:36" x14ac:dyDescent="0.25">
      <c r="X4023"/>
      <c r="Z4023"/>
      <c r="AA4023"/>
      <c r="AB4023" s="5"/>
      <c r="AJ4023"/>
    </row>
    <row r="4024" spans="24:36" x14ac:dyDescent="0.25">
      <c r="X4024"/>
      <c r="Z4024"/>
      <c r="AA4024"/>
      <c r="AB4024" s="5"/>
      <c r="AJ4024"/>
    </row>
    <row r="4025" spans="24:36" x14ac:dyDescent="0.25">
      <c r="X4025"/>
      <c r="Z4025"/>
      <c r="AA4025"/>
      <c r="AB4025" s="5"/>
      <c r="AJ4025"/>
    </row>
    <row r="4026" spans="24:36" x14ac:dyDescent="0.25">
      <c r="X4026"/>
      <c r="Z4026"/>
      <c r="AA4026"/>
      <c r="AB4026" s="5"/>
      <c r="AJ4026"/>
    </row>
    <row r="4027" spans="24:36" x14ac:dyDescent="0.25">
      <c r="X4027"/>
      <c r="Z4027"/>
      <c r="AA4027"/>
      <c r="AB4027" s="5"/>
      <c r="AJ4027"/>
    </row>
    <row r="4028" spans="24:36" x14ac:dyDescent="0.25">
      <c r="X4028"/>
      <c r="Z4028"/>
      <c r="AA4028"/>
      <c r="AB4028" s="5"/>
      <c r="AJ4028"/>
    </row>
    <row r="4029" spans="24:36" x14ac:dyDescent="0.25">
      <c r="X4029"/>
      <c r="Z4029"/>
      <c r="AA4029"/>
      <c r="AB4029" s="5"/>
      <c r="AJ4029"/>
    </row>
    <row r="4030" spans="24:36" x14ac:dyDescent="0.25">
      <c r="X4030"/>
      <c r="Z4030"/>
      <c r="AA4030"/>
      <c r="AB4030" s="5"/>
      <c r="AJ4030"/>
    </row>
    <row r="4031" spans="24:36" x14ac:dyDescent="0.25">
      <c r="X4031"/>
      <c r="Z4031"/>
      <c r="AA4031"/>
      <c r="AB4031" s="5"/>
      <c r="AJ4031"/>
    </row>
    <row r="4032" spans="24:36" x14ac:dyDescent="0.25">
      <c r="X4032"/>
      <c r="Z4032"/>
      <c r="AA4032"/>
      <c r="AB4032" s="5"/>
      <c r="AJ4032"/>
    </row>
    <row r="4033" spans="24:36" x14ac:dyDescent="0.25">
      <c r="X4033"/>
      <c r="Z4033"/>
      <c r="AA4033"/>
      <c r="AB4033" s="5"/>
      <c r="AJ4033"/>
    </row>
    <row r="4034" spans="24:36" x14ac:dyDescent="0.25">
      <c r="X4034"/>
      <c r="Z4034"/>
      <c r="AA4034"/>
      <c r="AB4034" s="5"/>
      <c r="AJ4034"/>
    </row>
    <row r="4035" spans="24:36" x14ac:dyDescent="0.25">
      <c r="X4035"/>
      <c r="Z4035"/>
      <c r="AA4035"/>
      <c r="AB4035" s="5"/>
      <c r="AJ4035"/>
    </row>
    <row r="4036" spans="24:36" x14ac:dyDescent="0.25">
      <c r="X4036"/>
      <c r="Z4036"/>
      <c r="AA4036"/>
      <c r="AB4036" s="5"/>
      <c r="AJ4036"/>
    </row>
    <row r="4037" spans="24:36" x14ac:dyDescent="0.25">
      <c r="X4037"/>
      <c r="Z4037"/>
      <c r="AA4037"/>
      <c r="AB4037" s="5"/>
      <c r="AJ4037"/>
    </row>
    <row r="4038" spans="24:36" x14ac:dyDescent="0.25">
      <c r="X4038"/>
      <c r="Z4038"/>
      <c r="AA4038"/>
      <c r="AB4038" s="5"/>
      <c r="AJ4038"/>
    </row>
    <row r="4039" spans="24:36" x14ac:dyDescent="0.25">
      <c r="X4039"/>
      <c r="Z4039"/>
      <c r="AA4039"/>
      <c r="AB4039" s="5"/>
      <c r="AJ4039"/>
    </row>
    <row r="4040" spans="24:36" x14ac:dyDescent="0.25">
      <c r="X4040"/>
      <c r="Z4040"/>
      <c r="AA4040"/>
      <c r="AB4040" s="5"/>
      <c r="AJ4040"/>
    </row>
    <row r="4041" spans="24:36" x14ac:dyDescent="0.25">
      <c r="X4041"/>
      <c r="Z4041"/>
      <c r="AA4041"/>
      <c r="AB4041" s="5"/>
      <c r="AJ4041"/>
    </row>
    <row r="4042" spans="24:36" x14ac:dyDescent="0.25">
      <c r="X4042"/>
      <c r="Z4042"/>
      <c r="AA4042"/>
      <c r="AB4042" s="5"/>
      <c r="AJ4042"/>
    </row>
    <row r="4043" spans="24:36" x14ac:dyDescent="0.25">
      <c r="X4043"/>
      <c r="Z4043"/>
      <c r="AA4043"/>
      <c r="AB4043" s="5"/>
      <c r="AJ4043"/>
    </row>
    <row r="4044" spans="24:36" x14ac:dyDescent="0.25">
      <c r="X4044"/>
      <c r="Z4044"/>
      <c r="AA4044"/>
      <c r="AB4044" s="5"/>
      <c r="AJ4044"/>
    </row>
    <row r="4045" spans="24:36" x14ac:dyDescent="0.25">
      <c r="X4045"/>
      <c r="Z4045"/>
      <c r="AA4045"/>
      <c r="AB4045" s="5"/>
      <c r="AJ4045"/>
    </row>
    <row r="4046" spans="24:36" x14ac:dyDescent="0.25">
      <c r="X4046"/>
      <c r="Z4046"/>
      <c r="AA4046"/>
      <c r="AB4046" s="5"/>
      <c r="AJ4046"/>
    </row>
    <row r="4047" spans="24:36" x14ac:dyDescent="0.25">
      <c r="X4047"/>
      <c r="Z4047"/>
      <c r="AA4047"/>
      <c r="AB4047" s="5"/>
      <c r="AJ4047"/>
    </row>
    <row r="4048" spans="24:36" x14ac:dyDescent="0.25">
      <c r="X4048"/>
      <c r="Z4048"/>
      <c r="AA4048"/>
      <c r="AB4048" s="5"/>
      <c r="AJ4048"/>
    </row>
    <row r="4049" spans="24:36" x14ac:dyDescent="0.25">
      <c r="X4049"/>
      <c r="Z4049"/>
      <c r="AA4049"/>
      <c r="AB4049" s="5"/>
      <c r="AJ4049"/>
    </row>
    <row r="4050" spans="24:36" x14ac:dyDescent="0.25">
      <c r="X4050"/>
      <c r="Z4050"/>
      <c r="AA4050"/>
      <c r="AB4050" s="5"/>
      <c r="AJ4050"/>
    </row>
    <row r="4051" spans="24:36" x14ac:dyDescent="0.25">
      <c r="X4051"/>
      <c r="Z4051"/>
      <c r="AA4051"/>
      <c r="AB4051" s="5"/>
      <c r="AJ4051"/>
    </row>
    <row r="4052" spans="24:36" x14ac:dyDescent="0.25">
      <c r="X4052"/>
      <c r="Z4052"/>
      <c r="AA4052"/>
      <c r="AB4052" s="5"/>
      <c r="AJ4052"/>
    </row>
    <row r="4053" spans="24:36" x14ac:dyDescent="0.25">
      <c r="X4053"/>
      <c r="Z4053"/>
      <c r="AA4053"/>
      <c r="AB4053" s="5"/>
      <c r="AJ4053"/>
    </row>
    <row r="4054" spans="24:36" x14ac:dyDescent="0.25">
      <c r="X4054"/>
      <c r="Z4054"/>
      <c r="AA4054"/>
      <c r="AB4054" s="5"/>
      <c r="AJ4054"/>
    </row>
    <row r="4055" spans="24:36" x14ac:dyDescent="0.25">
      <c r="X4055"/>
      <c r="Z4055"/>
      <c r="AA4055"/>
      <c r="AB4055" s="5"/>
      <c r="AJ4055"/>
    </row>
    <row r="4056" spans="24:36" x14ac:dyDescent="0.25">
      <c r="X4056"/>
      <c r="Z4056"/>
      <c r="AA4056"/>
      <c r="AB4056" s="5"/>
      <c r="AJ4056"/>
    </row>
    <row r="4057" spans="24:36" x14ac:dyDescent="0.25">
      <c r="X4057"/>
      <c r="Z4057"/>
      <c r="AA4057"/>
      <c r="AB4057" s="5"/>
      <c r="AJ4057"/>
    </row>
    <row r="4058" spans="24:36" x14ac:dyDescent="0.25">
      <c r="X4058"/>
      <c r="Z4058"/>
      <c r="AA4058"/>
      <c r="AB4058" s="5"/>
      <c r="AJ4058"/>
    </row>
    <row r="4059" spans="24:36" x14ac:dyDescent="0.25">
      <c r="X4059"/>
      <c r="Z4059"/>
      <c r="AA4059"/>
      <c r="AB4059" s="5"/>
      <c r="AJ4059"/>
    </row>
    <row r="4060" spans="24:36" x14ac:dyDescent="0.25">
      <c r="X4060"/>
      <c r="Z4060"/>
      <c r="AA4060"/>
      <c r="AB4060" s="5"/>
      <c r="AJ4060"/>
    </row>
    <row r="4061" spans="24:36" x14ac:dyDescent="0.25">
      <c r="X4061"/>
      <c r="Z4061"/>
      <c r="AA4061"/>
      <c r="AB4061" s="5"/>
      <c r="AJ4061"/>
    </row>
    <row r="4062" spans="24:36" x14ac:dyDescent="0.25">
      <c r="X4062"/>
      <c r="Z4062"/>
      <c r="AA4062"/>
      <c r="AB4062" s="5"/>
      <c r="AJ4062"/>
    </row>
    <row r="4063" spans="24:36" x14ac:dyDescent="0.25">
      <c r="X4063"/>
      <c r="Z4063"/>
      <c r="AA4063"/>
      <c r="AB4063" s="5"/>
      <c r="AJ4063"/>
    </row>
    <row r="4064" spans="24:36" x14ac:dyDescent="0.25">
      <c r="X4064"/>
      <c r="Z4064"/>
      <c r="AA4064"/>
      <c r="AB4064" s="5"/>
      <c r="AJ4064"/>
    </row>
    <row r="4065" spans="24:36" x14ac:dyDescent="0.25">
      <c r="X4065"/>
      <c r="Z4065"/>
      <c r="AA4065"/>
      <c r="AB4065" s="5"/>
      <c r="AJ4065"/>
    </row>
    <row r="4066" spans="24:36" x14ac:dyDescent="0.25">
      <c r="X4066"/>
      <c r="Z4066"/>
      <c r="AA4066"/>
      <c r="AB4066" s="5"/>
      <c r="AJ4066"/>
    </row>
    <row r="4067" spans="24:36" x14ac:dyDescent="0.25">
      <c r="X4067"/>
      <c r="Z4067"/>
      <c r="AA4067"/>
      <c r="AB4067" s="5"/>
      <c r="AJ4067"/>
    </row>
    <row r="4068" spans="24:36" x14ac:dyDescent="0.25">
      <c r="X4068"/>
      <c r="Z4068"/>
      <c r="AA4068"/>
      <c r="AB4068" s="5"/>
      <c r="AJ4068"/>
    </row>
    <row r="4069" spans="24:36" x14ac:dyDescent="0.25">
      <c r="X4069"/>
      <c r="Z4069"/>
      <c r="AA4069"/>
      <c r="AB4069" s="5"/>
      <c r="AJ4069"/>
    </row>
    <row r="4070" spans="24:36" x14ac:dyDescent="0.25">
      <c r="X4070"/>
      <c r="Z4070"/>
      <c r="AA4070"/>
      <c r="AB4070" s="5"/>
      <c r="AJ4070"/>
    </row>
    <row r="4071" spans="24:36" x14ac:dyDescent="0.25">
      <c r="X4071"/>
      <c r="Z4071"/>
      <c r="AA4071"/>
      <c r="AB4071" s="5"/>
      <c r="AJ4071"/>
    </row>
    <row r="4072" spans="24:36" x14ac:dyDescent="0.25">
      <c r="X4072"/>
      <c r="Z4072"/>
      <c r="AA4072"/>
      <c r="AB4072" s="5"/>
      <c r="AJ4072"/>
    </row>
    <row r="4073" spans="24:36" x14ac:dyDescent="0.25">
      <c r="X4073"/>
      <c r="Z4073"/>
      <c r="AA4073"/>
      <c r="AB4073" s="5"/>
      <c r="AJ4073"/>
    </row>
    <row r="4074" spans="24:36" x14ac:dyDescent="0.25">
      <c r="X4074"/>
      <c r="Z4074"/>
      <c r="AA4074"/>
      <c r="AB4074" s="5"/>
      <c r="AJ4074"/>
    </row>
    <row r="4075" spans="24:36" x14ac:dyDescent="0.25">
      <c r="X4075"/>
      <c r="Z4075"/>
      <c r="AA4075"/>
      <c r="AB4075" s="5"/>
      <c r="AJ4075"/>
    </row>
    <row r="4076" spans="24:36" x14ac:dyDescent="0.25">
      <c r="X4076"/>
      <c r="Z4076"/>
      <c r="AA4076"/>
      <c r="AB4076" s="5"/>
      <c r="AJ4076"/>
    </row>
    <row r="4077" spans="24:36" x14ac:dyDescent="0.25">
      <c r="X4077"/>
      <c r="Z4077"/>
      <c r="AA4077"/>
      <c r="AB4077" s="5"/>
      <c r="AJ4077"/>
    </row>
    <row r="4078" spans="24:36" x14ac:dyDescent="0.25">
      <c r="X4078"/>
      <c r="Z4078"/>
      <c r="AA4078"/>
      <c r="AB4078" s="5"/>
      <c r="AJ4078"/>
    </row>
    <row r="4079" spans="24:36" x14ac:dyDescent="0.25">
      <c r="X4079"/>
      <c r="Z4079"/>
      <c r="AA4079"/>
      <c r="AB4079" s="5"/>
      <c r="AJ4079"/>
    </row>
    <row r="4080" spans="24:36" x14ac:dyDescent="0.25">
      <c r="X4080"/>
      <c r="Z4080"/>
      <c r="AA4080"/>
      <c r="AB4080" s="5"/>
      <c r="AJ4080"/>
    </row>
    <row r="4081" spans="24:36" x14ac:dyDescent="0.25">
      <c r="X4081"/>
      <c r="Z4081"/>
      <c r="AA4081"/>
      <c r="AB4081" s="5"/>
      <c r="AJ4081"/>
    </row>
    <row r="4082" spans="24:36" x14ac:dyDescent="0.25">
      <c r="X4082"/>
      <c r="Z4082"/>
      <c r="AA4082"/>
      <c r="AB4082" s="5"/>
      <c r="AJ4082"/>
    </row>
    <row r="4083" spans="24:36" x14ac:dyDescent="0.25">
      <c r="X4083"/>
      <c r="Z4083"/>
      <c r="AA4083"/>
      <c r="AB4083" s="5"/>
      <c r="AJ4083"/>
    </row>
    <row r="4084" spans="24:36" x14ac:dyDescent="0.25">
      <c r="X4084"/>
      <c r="Z4084"/>
      <c r="AA4084"/>
      <c r="AB4084" s="5"/>
      <c r="AJ4084"/>
    </row>
    <row r="4085" spans="24:36" x14ac:dyDescent="0.25">
      <c r="X4085"/>
      <c r="Z4085"/>
      <c r="AA4085"/>
      <c r="AB4085" s="5"/>
      <c r="AJ4085"/>
    </row>
    <row r="4086" spans="24:36" x14ac:dyDescent="0.25">
      <c r="X4086"/>
      <c r="Z4086"/>
      <c r="AA4086"/>
      <c r="AB4086" s="5"/>
      <c r="AJ4086"/>
    </row>
    <row r="4087" spans="24:36" x14ac:dyDescent="0.25">
      <c r="X4087"/>
      <c r="Z4087"/>
      <c r="AA4087"/>
      <c r="AB4087" s="5"/>
      <c r="AJ4087"/>
    </row>
    <row r="4088" spans="24:36" x14ac:dyDescent="0.25">
      <c r="X4088"/>
      <c r="Z4088"/>
      <c r="AA4088"/>
      <c r="AB4088" s="5"/>
      <c r="AJ4088"/>
    </row>
    <row r="4089" spans="24:36" x14ac:dyDescent="0.25">
      <c r="X4089"/>
      <c r="Z4089"/>
      <c r="AA4089"/>
      <c r="AB4089" s="5"/>
      <c r="AJ4089"/>
    </row>
    <row r="4090" spans="24:36" x14ac:dyDescent="0.25">
      <c r="X4090"/>
      <c r="Z4090"/>
      <c r="AA4090"/>
      <c r="AB4090" s="5"/>
      <c r="AJ4090"/>
    </row>
    <row r="4091" spans="24:36" x14ac:dyDescent="0.25">
      <c r="X4091"/>
      <c r="Z4091"/>
      <c r="AA4091"/>
      <c r="AB4091" s="5"/>
      <c r="AJ4091"/>
    </row>
    <row r="4092" spans="24:36" x14ac:dyDescent="0.25">
      <c r="X4092"/>
      <c r="Z4092"/>
      <c r="AA4092"/>
      <c r="AB4092" s="5"/>
      <c r="AJ4092"/>
    </row>
    <row r="4093" spans="24:36" x14ac:dyDescent="0.25">
      <c r="X4093"/>
      <c r="Z4093"/>
      <c r="AA4093"/>
      <c r="AB4093" s="5"/>
      <c r="AJ4093"/>
    </row>
    <row r="4094" spans="24:36" x14ac:dyDescent="0.25">
      <c r="X4094"/>
      <c r="Z4094"/>
      <c r="AA4094"/>
      <c r="AB4094" s="5"/>
      <c r="AJ4094"/>
    </row>
    <row r="4095" spans="24:36" x14ac:dyDescent="0.25">
      <c r="X4095"/>
      <c r="Z4095"/>
      <c r="AA4095"/>
      <c r="AB4095" s="5"/>
      <c r="AJ4095"/>
    </row>
    <row r="4096" spans="24:36" x14ac:dyDescent="0.25">
      <c r="X4096"/>
      <c r="Z4096"/>
      <c r="AA4096"/>
      <c r="AB4096" s="5"/>
      <c r="AJ4096"/>
    </row>
    <row r="4097" spans="24:36" x14ac:dyDescent="0.25">
      <c r="X4097"/>
      <c r="Z4097"/>
      <c r="AA4097"/>
      <c r="AB4097" s="5"/>
      <c r="AJ4097"/>
    </row>
    <row r="4098" spans="24:36" x14ac:dyDescent="0.25">
      <c r="X4098"/>
      <c r="Z4098"/>
      <c r="AA4098"/>
      <c r="AB4098" s="5"/>
      <c r="AJ4098"/>
    </row>
    <row r="4099" spans="24:36" x14ac:dyDescent="0.25">
      <c r="X4099"/>
      <c r="Z4099"/>
      <c r="AA4099"/>
      <c r="AB4099" s="5"/>
      <c r="AJ4099"/>
    </row>
    <row r="4100" spans="24:36" x14ac:dyDescent="0.25">
      <c r="X4100"/>
      <c r="Z4100"/>
      <c r="AA4100"/>
      <c r="AB4100" s="5"/>
      <c r="AJ4100"/>
    </row>
    <row r="4101" spans="24:36" x14ac:dyDescent="0.25">
      <c r="X4101"/>
      <c r="Z4101"/>
      <c r="AA4101"/>
      <c r="AB4101" s="5"/>
      <c r="AJ4101"/>
    </row>
    <row r="4102" spans="24:36" x14ac:dyDescent="0.25">
      <c r="X4102"/>
      <c r="Z4102"/>
      <c r="AA4102"/>
      <c r="AB4102" s="5"/>
      <c r="AJ4102"/>
    </row>
    <row r="4103" spans="24:36" x14ac:dyDescent="0.25">
      <c r="X4103"/>
      <c r="Z4103"/>
      <c r="AA4103"/>
      <c r="AB4103" s="5"/>
      <c r="AJ4103"/>
    </row>
    <row r="4104" spans="24:36" x14ac:dyDescent="0.25">
      <c r="X4104"/>
      <c r="Z4104"/>
      <c r="AA4104"/>
      <c r="AB4104" s="5"/>
      <c r="AJ4104"/>
    </row>
    <row r="4105" spans="24:36" x14ac:dyDescent="0.25">
      <c r="X4105"/>
      <c r="Z4105"/>
      <c r="AA4105"/>
      <c r="AB4105" s="5"/>
      <c r="AJ4105"/>
    </row>
    <row r="4106" spans="24:36" x14ac:dyDescent="0.25">
      <c r="X4106"/>
      <c r="Z4106"/>
      <c r="AA4106"/>
      <c r="AB4106" s="5"/>
      <c r="AJ4106"/>
    </row>
    <row r="4107" spans="24:36" x14ac:dyDescent="0.25">
      <c r="X4107"/>
      <c r="Z4107"/>
      <c r="AA4107"/>
      <c r="AB4107" s="5"/>
      <c r="AJ4107"/>
    </row>
    <row r="4108" spans="24:36" x14ac:dyDescent="0.25">
      <c r="X4108"/>
      <c r="Z4108"/>
      <c r="AA4108"/>
      <c r="AB4108" s="5"/>
      <c r="AJ4108"/>
    </row>
    <row r="4109" spans="24:36" x14ac:dyDescent="0.25">
      <c r="X4109"/>
      <c r="Z4109"/>
      <c r="AA4109"/>
      <c r="AB4109" s="5"/>
      <c r="AJ4109"/>
    </row>
    <row r="4110" spans="24:36" x14ac:dyDescent="0.25">
      <c r="X4110"/>
      <c r="Z4110"/>
      <c r="AA4110"/>
      <c r="AB4110" s="5"/>
      <c r="AJ4110"/>
    </row>
    <row r="4111" spans="24:36" x14ac:dyDescent="0.25">
      <c r="X4111"/>
      <c r="Z4111"/>
      <c r="AA4111"/>
      <c r="AB4111" s="5"/>
      <c r="AJ4111"/>
    </row>
    <row r="4112" spans="24:36" x14ac:dyDescent="0.25">
      <c r="X4112"/>
      <c r="Z4112"/>
      <c r="AA4112"/>
      <c r="AB4112" s="5"/>
      <c r="AJ4112"/>
    </row>
    <row r="4113" spans="24:36" x14ac:dyDescent="0.25">
      <c r="X4113"/>
      <c r="Z4113"/>
      <c r="AA4113"/>
      <c r="AB4113" s="5"/>
      <c r="AJ4113"/>
    </row>
    <row r="4114" spans="24:36" x14ac:dyDescent="0.25">
      <c r="X4114"/>
      <c r="Z4114"/>
      <c r="AA4114"/>
      <c r="AB4114" s="5"/>
      <c r="AJ4114"/>
    </row>
    <row r="4115" spans="24:36" x14ac:dyDescent="0.25">
      <c r="X4115"/>
      <c r="Z4115"/>
      <c r="AA4115"/>
      <c r="AB4115" s="5"/>
      <c r="AJ4115"/>
    </row>
    <row r="4116" spans="24:36" x14ac:dyDescent="0.25">
      <c r="X4116"/>
      <c r="Z4116"/>
      <c r="AA4116"/>
      <c r="AB4116" s="5"/>
      <c r="AJ4116"/>
    </row>
    <row r="4117" spans="24:36" x14ac:dyDescent="0.25">
      <c r="X4117"/>
      <c r="Z4117"/>
      <c r="AA4117"/>
      <c r="AB4117" s="5"/>
      <c r="AJ4117"/>
    </row>
    <row r="4118" spans="24:36" x14ac:dyDescent="0.25">
      <c r="X4118"/>
      <c r="Z4118"/>
      <c r="AA4118"/>
      <c r="AB4118" s="5"/>
      <c r="AJ4118"/>
    </row>
    <row r="4119" spans="24:36" x14ac:dyDescent="0.25">
      <c r="X4119"/>
      <c r="Z4119"/>
      <c r="AA4119"/>
      <c r="AB4119" s="5"/>
      <c r="AJ4119"/>
    </row>
    <row r="4120" spans="24:36" x14ac:dyDescent="0.25">
      <c r="X4120"/>
      <c r="Z4120"/>
      <c r="AA4120"/>
      <c r="AB4120" s="5"/>
      <c r="AJ4120"/>
    </row>
    <row r="4121" spans="24:36" x14ac:dyDescent="0.25">
      <c r="X4121"/>
      <c r="Z4121"/>
      <c r="AA4121"/>
      <c r="AB4121" s="5"/>
      <c r="AJ4121"/>
    </row>
    <row r="4122" spans="24:36" x14ac:dyDescent="0.25">
      <c r="X4122"/>
      <c r="Z4122"/>
      <c r="AA4122"/>
      <c r="AB4122" s="5"/>
      <c r="AJ4122"/>
    </row>
    <row r="4123" spans="24:36" x14ac:dyDescent="0.25">
      <c r="X4123"/>
      <c r="Z4123"/>
      <c r="AA4123"/>
      <c r="AB4123" s="5"/>
      <c r="AJ4123"/>
    </row>
    <row r="4124" spans="24:36" x14ac:dyDescent="0.25">
      <c r="X4124"/>
      <c r="Z4124"/>
      <c r="AA4124"/>
      <c r="AB4124" s="5"/>
      <c r="AJ4124"/>
    </row>
    <row r="4125" spans="24:36" x14ac:dyDescent="0.25">
      <c r="X4125"/>
      <c r="Z4125"/>
      <c r="AA4125"/>
      <c r="AB4125" s="5"/>
      <c r="AJ4125"/>
    </row>
    <row r="4126" spans="24:36" x14ac:dyDescent="0.25">
      <c r="X4126"/>
      <c r="Z4126"/>
      <c r="AA4126"/>
      <c r="AB4126" s="5"/>
      <c r="AJ4126"/>
    </row>
    <row r="4127" spans="24:36" x14ac:dyDescent="0.25">
      <c r="X4127"/>
      <c r="Z4127"/>
      <c r="AA4127"/>
      <c r="AB4127" s="5"/>
      <c r="AJ4127"/>
    </row>
    <row r="4128" spans="24:36" x14ac:dyDescent="0.25">
      <c r="X4128"/>
      <c r="Z4128"/>
      <c r="AA4128"/>
      <c r="AB4128" s="5"/>
      <c r="AJ4128"/>
    </row>
    <row r="4129" spans="24:36" x14ac:dyDescent="0.25">
      <c r="X4129"/>
      <c r="Z4129"/>
      <c r="AA4129"/>
      <c r="AB4129" s="5"/>
      <c r="AJ4129"/>
    </row>
    <row r="4130" spans="24:36" x14ac:dyDescent="0.25">
      <c r="X4130"/>
      <c r="Z4130"/>
      <c r="AA4130"/>
      <c r="AB4130" s="5"/>
      <c r="AJ4130"/>
    </row>
    <row r="4131" spans="24:36" x14ac:dyDescent="0.25">
      <c r="X4131"/>
      <c r="Z4131"/>
      <c r="AA4131"/>
      <c r="AB4131" s="5"/>
      <c r="AJ4131"/>
    </row>
    <row r="4132" spans="24:36" x14ac:dyDescent="0.25">
      <c r="X4132"/>
      <c r="Z4132"/>
      <c r="AA4132"/>
      <c r="AB4132" s="5"/>
      <c r="AJ4132"/>
    </row>
    <row r="4133" spans="24:36" x14ac:dyDescent="0.25">
      <c r="X4133"/>
      <c r="Z4133"/>
      <c r="AA4133"/>
      <c r="AB4133" s="5"/>
      <c r="AJ4133"/>
    </row>
    <row r="4134" spans="24:36" x14ac:dyDescent="0.25">
      <c r="X4134"/>
      <c r="Z4134"/>
      <c r="AA4134"/>
      <c r="AB4134" s="5"/>
      <c r="AJ4134"/>
    </row>
    <row r="4135" spans="24:36" x14ac:dyDescent="0.25">
      <c r="X4135"/>
      <c r="Z4135"/>
      <c r="AA4135"/>
      <c r="AB4135" s="5"/>
      <c r="AJ4135"/>
    </row>
    <row r="4136" spans="24:36" x14ac:dyDescent="0.25">
      <c r="X4136"/>
      <c r="Z4136"/>
      <c r="AA4136"/>
      <c r="AB4136" s="5"/>
      <c r="AJ4136"/>
    </row>
    <row r="4137" spans="24:36" x14ac:dyDescent="0.25">
      <c r="X4137"/>
      <c r="Z4137"/>
      <c r="AA4137"/>
      <c r="AB4137" s="5"/>
      <c r="AJ4137"/>
    </row>
    <row r="4138" spans="24:36" x14ac:dyDescent="0.25">
      <c r="X4138"/>
      <c r="Z4138"/>
      <c r="AA4138"/>
      <c r="AB4138" s="5"/>
      <c r="AJ4138"/>
    </row>
    <row r="4139" spans="24:36" x14ac:dyDescent="0.25">
      <c r="X4139"/>
      <c r="Z4139"/>
      <c r="AA4139"/>
      <c r="AB4139" s="5"/>
      <c r="AJ4139"/>
    </row>
    <row r="4140" spans="24:36" x14ac:dyDescent="0.25">
      <c r="X4140"/>
      <c r="Z4140"/>
      <c r="AA4140"/>
      <c r="AB4140" s="5"/>
      <c r="AJ4140"/>
    </row>
    <row r="4141" spans="24:36" x14ac:dyDescent="0.25">
      <c r="X4141"/>
      <c r="Z4141"/>
      <c r="AA4141"/>
      <c r="AB4141" s="5"/>
      <c r="AJ4141"/>
    </row>
    <row r="4142" spans="24:36" x14ac:dyDescent="0.25">
      <c r="X4142"/>
      <c r="Z4142"/>
      <c r="AA4142"/>
      <c r="AB4142" s="5"/>
      <c r="AJ4142"/>
    </row>
    <row r="4143" spans="24:36" x14ac:dyDescent="0.25">
      <c r="X4143"/>
      <c r="Z4143"/>
      <c r="AA4143"/>
      <c r="AB4143" s="5"/>
      <c r="AJ4143"/>
    </row>
    <row r="4144" spans="24:36" x14ac:dyDescent="0.25">
      <c r="X4144"/>
      <c r="Z4144"/>
      <c r="AA4144"/>
      <c r="AB4144" s="5"/>
      <c r="AJ4144"/>
    </row>
    <row r="4145" spans="24:36" x14ac:dyDescent="0.25">
      <c r="X4145"/>
      <c r="Z4145"/>
      <c r="AA4145"/>
      <c r="AB4145" s="5"/>
      <c r="AJ4145"/>
    </row>
    <row r="4146" spans="24:36" x14ac:dyDescent="0.25">
      <c r="X4146"/>
      <c r="Z4146"/>
      <c r="AA4146"/>
      <c r="AB4146" s="5"/>
      <c r="AJ4146"/>
    </row>
    <row r="4147" spans="24:36" x14ac:dyDescent="0.25">
      <c r="X4147"/>
      <c r="Z4147"/>
      <c r="AA4147"/>
      <c r="AB4147" s="5"/>
      <c r="AJ4147"/>
    </row>
    <row r="4148" spans="24:36" x14ac:dyDescent="0.25">
      <c r="X4148"/>
      <c r="Z4148"/>
      <c r="AA4148"/>
      <c r="AB4148" s="5"/>
      <c r="AJ4148"/>
    </row>
    <row r="4149" spans="24:36" x14ac:dyDescent="0.25">
      <c r="X4149"/>
      <c r="Z4149"/>
      <c r="AA4149"/>
      <c r="AB4149" s="5"/>
      <c r="AJ4149"/>
    </row>
    <row r="4150" spans="24:36" x14ac:dyDescent="0.25">
      <c r="X4150"/>
      <c r="Z4150"/>
      <c r="AA4150"/>
      <c r="AB4150" s="5"/>
      <c r="AJ4150"/>
    </row>
    <row r="4151" spans="24:36" x14ac:dyDescent="0.25">
      <c r="X4151"/>
      <c r="Z4151"/>
      <c r="AA4151"/>
      <c r="AB4151" s="5"/>
      <c r="AJ4151"/>
    </row>
    <row r="4152" spans="24:36" x14ac:dyDescent="0.25">
      <c r="X4152"/>
      <c r="Z4152"/>
      <c r="AA4152"/>
      <c r="AB4152" s="5"/>
      <c r="AJ4152"/>
    </row>
    <row r="4153" spans="24:36" x14ac:dyDescent="0.25">
      <c r="X4153"/>
      <c r="Z4153"/>
      <c r="AA4153"/>
      <c r="AB4153" s="5"/>
      <c r="AJ4153"/>
    </row>
    <row r="4154" spans="24:36" x14ac:dyDescent="0.25">
      <c r="X4154"/>
      <c r="Z4154"/>
      <c r="AA4154"/>
      <c r="AB4154" s="5"/>
      <c r="AJ4154"/>
    </row>
    <row r="4155" spans="24:36" x14ac:dyDescent="0.25">
      <c r="X4155"/>
      <c r="Z4155"/>
      <c r="AA4155"/>
      <c r="AB4155" s="5"/>
      <c r="AJ4155"/>
    </row>
    <row r="4156" spans="24:36" x14ac:dyDescent="0.25">
      <c r="X4156"/>
      <c r="Z4156"/>
      <c r="AA4156"/>
      <c r="AB4156" s="5"/>
      <c r="AJ4156"/>
    </row>
    <row r="4157" spans="24:36" x14ac:dyDescent="0.25">
      <c r="X4157"/>
      <c r="Z4157"/>
      <c r="AA4157"/>
      <c r="AB4157" s="5"/>
      <c r="AJ4157"/>
    </row>
    <row r="4158" spans="24:36" x14ac:dyDescent="0.25">
      <c r="X4158"/>
      <c r="Z4158"/>
      <c r="AA4158"/>
      <c r="AB4158" s="5"/>
      <c r="AJ4158"/>
    </row>
    <row r="4159" spans="24:36" x14ac:dyDescent="0.25">
      <c r="X4159"/>
      <c r="Z4159"/>
      <c r="AA4159"/>
      <c r="AB4159" s="5"/>
      <c r="AJ4159"/>
    </row>
    <row r="4160" spans="24:36" x14ac:dyDescent="0.25">
      <c r="X4160"/>
      <c r="Z4160"/>
      <c r="AA4160"/>
      <c r="AB4160" s="5"/>
      <c r="AJ4160"/>
    </row>
    <row r="4161" spans="24:36" x14ac:dyDescent="0.25">
      <c r="X4161"/>
      <c r="Z4161"/>
      <c r="AA4161"/>
      <c r="AB4161" s="5"/>
      <c r="AJ4161"/>
    </row>
    <row r="4162" spans="24:36" x14ac:dyDescent="0.25">
      <c r="X4162"/>
      <c r="Z4162"/>
      <c r="AA4162"/>
      <c r="AB4162" s="5"/>
      <c r="AJ4162"/>
    </row>
    <row r="4163" spans="24:36" x14ac:dyDescent="0.25">
      <c r="X4163"/>
      <c r="Z4163"/>
      <c r="AA4163"/>
      <c r="AB4163" s="5"/>
      <c r="AJ4163"/>
    </row>
    <row r="4164" spans="24:36" x14ac:dyDescent="0.25">
      <c r="X4164"/>
      <c r="Z4164"/>
      <c r="AA4164"/>
      <c r="AB4164" s="5"/>
      <c r="AJ4164"/>
    </row>
    <row r="4165" spans="24:36" x14ac:dyDescent="0.25">
      <c r="X4165"/>
      <c r="Z4165"/>
      <c r="AA4165"/>
      <c r="AB4165" s="5"/>
      <c r="AJ4165"/>
    </row>
    <row r="4166" spans="24:36" x14ac:dyDescent="0.25">
      <c r="X4166"/>
      <c r="Z4166"/>
      <c r="AA4166"/>
      <c r="AB4166" s="5"/>
      <c r="AJ4166"/>
    </row>
    <row r="4167" spans="24:36" x14ac:dyDescent="0.25">
      <c r="X4167"/>
      <c r="Z4167"/>
      <c r="AA4167"/>
      <c r="AB4167" s="5"/>
      <c r="AJ4167"/>
    </row>
    <row r="4168" spans="24:36" x14ac:dyDescent="0.25">
      <c r="X4168"/>
      <c r="Z4168"/>
      <c r="AA4168"/>
      <c r="AB4168" s="5"/>
      <c r="AJ4168"/>
    </row>
    <row r="4169" spans="24:36" x14ac:dyDescent="0.25">
      <c r="X4169"/>
      <c r="Z4169"/>
      <c r="AA4169"/>
      <c r="AB4169" s="5"/>
      <c r="AJ4169"/>
    </row>
    <row r="4170" spans="24:36" x14ac:dyDescent="0.25">
      <c r="X4170"/>
      <c r="Z4170"/>
      <c r="AA4170"/>
      <c r="AB4170" s="5"/>
      <c r="AJ4170"/>
    </row>
    <row r="4171" spans="24:36" x14ac:dyDescent="0.25">
      <c r="X4171"/>
      <c r="Z4171"/>
      <c r="AA4171"/>
      <c r="AB4171" s="5"/>
      <c r="AJ4171"/>
    </row>
    <row r="4172" spans="24:36" x14ac:dyDescent="0.25">
      <c r="X4172"/>
      <c r="Z4172"/>
      <c r="AA4172"/>
      <c r="AB4172" s="5"/>
      <c r="AJ4172"/>
    </row>
    <row r="4173" spans="24:36" x14ac:dyDescent="0.25">
      <c r="X4173"/>
      <c r="Z4173"/>
      <c r="AA4173"/>
      <c r="AB4173" s="5"/>
      <c r="AJ4173"/>
    </row>
    <row r="4174" spans="24:36" x14ac:dyDescent="0.25">
      <c r="X4174"/>
      <c r="Z4174"/>
      <c r="AA4174"/>
      <c r="AB4174" s="5"/>
      <c r="AJ4174"/>
    </row>
    <row r="4175" spans="24:36" x14ac:dyDescent="0.25">
      <c r="X4175"/>
      <c r="Z4175"/>
      <c r="AA4175"/>
      <c r="AB4175" s="5"/>
      <c r="AJ4175"/>
    </row>
    <row r="4176" spans="24:36" x14ac:dyDescent="0.25">
      <c r="X4176"/>
      <c r="Z4176"/>
      <c r="AA4176"/>
      <c r="AB4176" s="5"/>
      <c r="AJ4176"/>
    </row>
    <row r="4177" spans="24:36" x14ac:dyDescent="0.25">
      <c r="X4177"/>
      <c r="Z4177"/>
      <c r="AA4177"/>
      <c r="AB4177" s="5"/>
      <c r="AJ4177"/>
    </row>
    <row r="4178" spans="24:36" x14ac:dyDescent="0.25">
      <c r="X4178"/>
      <c r="Z4178"/>
      <c r="AA4178"/>
      <c r="AB4178" s="5"/>
      <c r="AJ4178"/>
    </row>
    <row r="4179" spans="24:36" x14ac:dyDescent="0.25">
      <c r="X4179"/>
      <c r="Z4179"/>
      <c r="AA4179"/>
      <c r="AB4179" s="5"/>
      <c r="AJ4179"/>
    </row>
    <row r="4180" spans="24:36" x14ac:dyDescent="0.25">
      <c r="X4180"/>
      <c r="Z4180"/>
      <c r="AA4180"/>
      <c r="AB4180" s="5"/>
      <c r="AJ4180"/>
    </row>
    <row r="4181" spans="24:36" x14ac:dyDescent="0.25">
      <c r="X4181"/>
      <c r="Z4181"/>
      <c r="AA4181"/>
      <c r="AB4181" s="5"/>
      <c r="AJ4181"/>
    </row>
    <row r="4182" spans="24:36" x14ac:dyDescent="0.25">
      <c r="X4182"/>
      <c r="Z4182"/>
      <c r="AA4182"/>
      <c r="AB4182" s="5"/>
      <c r="AJ4182"/>
    </row>
    <row r="4183" spans="24:36" x14ac:dyDescent="0.25">
      <c r="X4183"/>
      <c r="Z4183"/>
      <c r="AA4183"/>
      <c r="AB4183" s="5"/>
      <c r="AJ4183"/>
    </row>
    <row r="4184" spans="24:36" x14ac:dyDescent="0.25">
      <c r="X4184"/>
      <c r="Z4184"/>
      <c r="AA4184"/>
      <c r="AB4184" s="5"/>
      <c r="AJ4184"/>
    </row>
    <row r="4185" spans="24:36" x14ac:dyDescent="0.25">
      <c r="X4185"/>
      <c r="Z4185"/>
      <c r="AA4185"/>
      <c r="AB4185" s="5"/>
      <c r="AJ4185"/>
    </row>
    <row r="4186" spans="24:36" x14ac:dyDescent="0.25">
      <c r="X4186"/>
      <c r="Z4186"/>
      <c r="AA4186"/>
      <c r="AB4186" s="5"/>
      <c r="AJ4186"/>
    </row>
    <row r="4187" spans="24:36" x14ac:dyDescent="0.25">
      <c r="X4187"/>
      <c r="Z4187"/>
      <c r="AA4187"/>
      <c r="AB4187" s="5"/>
      <c r="AJ4187"/>
    </row>
    <row r="4188" spans="24:36" x14ac:dyDescent="0.25">
      <c r="X4188"/>
      <c r="Z4188"/>
      <c r="AA4188"/>
      <c r="AB4188" s="5"/>
      <c r="AJ4188"/>
    </row>
    <row r="4189" spans="24:36" x14ac:dyDescent="0.25">
      <c r="X4189"/>
      <c r="Z4189"/>
      <c r="AA4189"/>
      <c r="AB4189" s="5"/>
      <c r="AJ4189"/>
    </row>
    <row r="4190" spans="24:36" x14ac:dyDescent="0.25">
      <c r="X4190"/>
      <c r="Z4190"/>
      <c r="AA4190"/>
      <c r="AB4190" s="5"/>
      <c r="AJ4190"/>
    </row>
    <row r="4191" spans="24:36" x14ac:dyDescent="0.25">
      <c r="X4191"/>
      <c r="Z4191"/>
      <c r="AA4191"/>
      <c r="AB4191" s="5"/>
      <c r="AJ4191"/>
    </row>
    <row r="4192" spans="24:36" x14ac:dyDescent="0.25">
      <c r="X4192"/>
      <c r="Z4192"/>
      <c r="AA4192"/>
      <c r="AB4192" s="5"/>
      <c r="AJ4192"/>
    </row>
    <row r="4193" spans="24:36" x14ac:dyDescent="0.25">
      <c r="X4193"/>
      <c r="Z4193"/>
      <c r="AA4193"/>
      <c r="AB4193" s="5"/>
      <c r="AJ4193"/>
    </row>
    <row r="4194" spans="24:36" x14ac:dyDescent="0.25">
      <c r="X4194"/>
      <c r="Z4194"/>
      <c r="AA4194"/>
      <c r="AB4194" s="5"/>
      <c r="AJ4194"/>
    </row>
    <row r="4195" spans="24:36" x14ac:dyDescent="0.25">
      <c r="X4195"/>
      <c r="Z4195"/>
      <c r="AA4195"/>
      <c r="AB4195" s="5"/>
      <c r="AJ4195"/>
    </row>
    <row r="4196" spans="24:36" x14ac:dyDescent="0.25">
      <c r="X4196"/>
      <c r="Z4196"/>
      <c r="AA4196"/>
      <c r="AB4196" s="5"/>
      <c r="AJ4196"/>
    </row>
    <row r="4197" spans="24:36" x14ac:dyDescent="0.25">
      <c r="X4197"/>
      <c r="Z4197"/>
      <c r="AA4197"/>
      <c r="AB4197" s="5"/>
      <c r="AJ4197"/>
    </row>
    <row r="4198" spans="24:36" x14ac:dyDescent="0.25">
      <c r="X4198"/>
      <c r="Z4198"/>
      <c r="AA4198"/>
      <c r="AB4198" s="5"/>
      <c r="AJ4198"/>
    </row>
    <row r="4199" spans="24:36" x14ac:dyDescent="0.25">
      <c r="X4199"/>
      <c r="Z4199"/>
      <c r="AA4199"/>
      <c r="AB4199" s="5"/>
      <c r="AJ4199"/>
    </row>
    <row r="4200" spans="24:36" x14ac:dyDescent="0.25">
      <c r="X4200"/>
      <c r="Z4200"/>
      <c r="AA4200"/>
      <c r="AB4200" s="5"/>
      <c r="AJ4200"/>
    </row>
    <row r="4201" spans="24:36" x14ac:dyDescent="0.25">
      <c r="X4201"/>
      <c r="Z4201"/>
      <c r="AA4201"/>
      <c r="AB4201" s="5"/>
      <c r="AJ4201"/>
    </row>
    <row r="4202" spans="24:36" x14ac:dyDescent="0.25">
      <c r="X4202"/>
      <c r="Z4202"/>
      <c r="AA4202"/>
      <c r="AB4202" s="5"/>
      <c r="AJ4202"/>
    </row>
    <row r="4203" spans="24:36" x14ac:dyDescent="0.25">
      <c r="X4203"/>
      <c r="Z4203"/>
      <c r="AA4203"/>
      <c r="AB4203" s="5"/>
      <c r="AJ4203"/>
    </row>
    <row r="4204" spans="24:36" x14ac:dyDescent="0.25">
      <c r="X4204"/>
      <c r="Z4204"/>
      <c r="AA4204"/>
      <c r="AB4204" s="5"/>
      <c r="AJ4204"/>
    </row>
    <row r="4205" spans="24:36" x14ac:dyDescent="0.25">
      <c r="X4205"/>
      <c r="Z4205"/>
      <c r="AA4205"/>
      <c r="AB4205" s="5"/>
      <c r="AJ4205"/>
    </row>
    <row r="4206" spans="24:36" x14ac:dyDescent="0.25">
      <c r="X4206"/>
      <c r="Z4206"/>
      <c r="AA4206"/>
      <c r="AB4206" s="5"/>
      <c r="AJ4206"/>
    </row>
    <row r="4207" spans="24:36" x14ac:dyDescent="0.25">
      <c r="X4207"/>
      <c r="Z4207"/>
      <c r="AA4207"/>
      <c r="AB4207" s="5"/>
      <c r="AJ4207"/>
    </row>
    <row r="4208" spans="24:36" x14ac:dyDescent="0.25">
      <c r="X4208"/>
      <c r="Z4208"/>
      <c r="AA4208"/>
      <c r="AB4208" s="5"/>
      <c r="AJ4208"/>
    </row>
    <row r="4209" spans="24:36" x14ac:dyDescent="0.25">
      <c r="X4209"/>
      <c r="Z4209"/>
      <c r="AA4209"/>
      <c r="AB4209" s="5"/>
      <c r="AJ4209"/>
    </row>
    <row r="4210" spans="24:36" x14ac:dyDescent="0.25">
      <c r="X4210"/>
      <c r="Z4210"/>
      <c r="AA4210"/>
      <c r="AB4210" s="5"/>
      <c r="AJ4210"/>
    </row>
    <row r="4211" spans="24:36" x14ac:dyDescent="0.25">
      <c r="X4211"/>
      <c r="Z4211"/>
      <c r="AA4211"/>
      <c r="AB4211" s="5"/>
      <c r="AJ4211"/>
    </row>
    <row r="4212" spans="24:36" x14ac:dyDescent="0.25">
      <c r="X4212"/>
      <c r="Z4212"/>
      <c r="AA4212"/>
      <c r="AB4212" s="5"/>
      <c r="AJ4212"/>
    </row>
  </sheetData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448D-38A3-42B8-8CD5-0D43A5AFA371}">
  <dimension ref="A1:A4212"/>
  <sheetViews>
    <sheetView workbookViewId="0">
      <selection activeCell="D8" sqref="D8"/>
    </sheetView>
  </sheetViews>
  <sheetFormatPr defaultRowHeight="15" x14ac:dyDescent="0.25"/>
  <cols>
    <col min="1" max="1" width="18.140625" style="2" bestFit="1" customWidth="1"/>
  </cols>
  <sheetData>
    <row r="1" spans="1:1" x14ac:dyDescent="0.25">
      <c r="A1" s="2" t="s">
        <v>23</v>
      </c>
    </row>
    <row r="2" spans="1:1" x14ac:dyDescent="0.25">
      <c r="A2" s="2">
        <v>0</v>
      </c>
    </row>
    <row r="3" spans="1:1" x14ac:dyDescent="0.25">
      <c r="A3" s="2">
        <v>0</v>
      </c>
    </row>
    <row r="4" spans="1:1" x14ac:dyDescent="0.25">
      <c r="A4" s="2">
        <v>0</v>
      </c>
    </row>
    <row r="5" spans="1:1" x14ac:dyDescent="0.25">
      <c r="A5" s="2">
        <v>1</v>
      </c>
    </row>
    <row r="6" spans="1:1" x14ac:dyDescent="0.25">
      <c r="A6" s="2">
        <v>1</v>
      </c>
    </row>
    <row r="7" spans="1:1" x14ac:dyDescent="0.25">
      <c r="A7" s="2">
        <v>0</v>
      </c>
    </row>
    <row r="8" spans="1:1" x14ac:dyDescent="0.25">
      <c r="A8" s="2">
        <v>0</v>
      </c>
    </row>
    <row r="9" spans="1:1" x14ac:dyDescent="0.25">
      <c r="A9" s="2">
        <v>0</v>
      </c>
    </row>
    <row r="10" spans="1:1" x14ac:dyDescent="0.25">
      <c r="A10" s="2">
        <v>2</v>
      </c>
    </row>
    <row r="11" spans="1:1" x14ac:dyDescent="0.25">
      <c r="A11" s="2">
        <v>0</v>
      </c>
    </row>
    <row r="12" spans="1:1" x14ac:dyDescent="0.25">
      <c r="A12" s="2">
        <v>0</v>
      </c>
    </row>
    <row r="13" spans="1:1" x14ac:dyDescent="0.25">
      <c r="A13" s="2">
        <v>2</v>
      </c>
    </row>
    <row r="14" spans="1:1" x14ac:dyDescent="0.25">
      <c r="A14" s="2">
        <v>0</v>
      </c>
    </row>
    <row r="15" spans="1:1" x14ac:dyDescent="0.25">
      <c r="A15" s="2">
        <v>0</v>
      </c>
    </row>
    <row r="16" spans="1:1" x14ac:dyDescent="0.25">
      <c r="A16" s="2">
        <v>1</v>
      </c>
    </row>
    <row r="17" spans="1:1" x14ac:dyDescent="0.25">
      <c r="A17" s="2">
        <v>1</v>
      </c>
    </row>
    <row r="18" spans="1:1" x14ac:dyDescent="0.25">
      <c r="A18" s="2">
        <v>0</v>
      </c>
    </row>
    <row r="19" spans="1:1" x14ac:dyDescent="0.25">
      <c r="A19" s="2">
        <v>0</v>
      </c>
    </row>
    <row r="20" spans="1:1" x14ac:dyDescent="0.25">
      <c r="A20" s="2">
        <v>2</v>
      </c>
    </row>
    <row r="21" spans="1:1" x14ac:dyDescent="0.25">
      <c r="A21" s="2">
        <v>2</v>
      </c>
    </row>
    <row r="22" spans="1:1" x14ac:dyDescent="0.25">
      <c r="A22" s="2">
        <v>0</v>
      </c>
    </row>
    <row r="23" spans="1:1" x14ac:dyDescent="0.25">
      <c r="A23" s="2">
        <v>1</v>
      </c>
    </row>
    <row r="24" spans="1:1" x14ac:dyDescent="0.25">
      <c r="A24" s="2">
        <v>1</v>
      </c>
    </row>
    <row r="25" spans="1:1" x14ac:dyDescent="0.25">
      <c r="A25" s="2">
        <v>1</v>
      </c>
    </row>
    <row r="26" spans="1:1" x14ac:dyDescent="0.25">
      <c r="A26" s="2">
        <v>1</v>
      </c>
    </row>
    <row r="27" spans="1:1" x14ac:dyDescent="0.25">
      <c r="A27" s="2">
        <v>0</v>
      </c>
    </row>
    <row r="28" spans="1:1" x14ac:dyDescent="0.25">
      <c r="A28" s="2">
        <v>1</v>
      </c>
    </row>
    <row r="29" spans="1:1" x14ac:dyDescent="0.25">
      <c r="A29" s="2">
        <v>2</v>
      </c>
    </row>
    <row r="30" spans="1:1" x14ac:dyDescent="0.25">
      <c r="A30" s="2">
        <v>0</v>
      </c>
    </row>
    <row r="31" spans="1:1" x14ac:dyDescent="0.25">
      <c r="A31" s="2">
        <v>1</v>
      </c>
    </row>
    <row r="32" spans="1:1" x14ac:dyDescent="0.25">
      <c r="A32" s="2">
        <v>2</v>
      </c>
    </row>
    <row r="33" spans="1:1" x14ac:dyDescent="0.25">
      <c r="A33" s="2">
        <v>0</v>
      </c>
    </row>
    <row r="34" spans="1:1" x14ac:dyDescent="0.25">
      <c r="A34" s="2">
        <v>2</v>
      </c>
    </row>
    <row r="35" spans="1:1" x14ac:dyDescent="0.25">
      <c r="A35" s="2">
        <v>1</v>
      </c>
    </row>
    <row r="36" spans="1:1" x14ac:dyDescent="0.25">
      <c r="A36" s="2">
        <v>1</v>
      </c>
    </row>
    <row r="37" spans="1:1" x14ac:dyDescent="0.25">
      <c r="A37" s="2">
        <v>1</v>
      </c>
    </row>
    <row r="38" spans="1:1" x14ac:dyDescent="0.25">
      <c r="A38" s="2">
        <v>2</v>
      </c>
    </row>
    <row r="39" spans="1:1" x14ac:dyDescent="0.25">
      <c r="A39" s="2">
        <v>0</v>
      </c>
    </row>
    <row r="40" spans="1:1" x14ac:dyDescent="0.25">
      <c r="A40" s="2">
        <v>2</v>
      </c>
    </row>
    <row r="41" spans="1:1" x14ac:dyDescent="0.25">
      <c r="A41" s="2">
        <v>0</v>
      </c>
    </row>
    <row r="42" spans="1:1" x14ac:dyDescent="0.25">
      <c r="A42" s="2">
        <v>2</v>
      </c>
    </row>
    <row r="43" spans="1:1" x14ac:dyDescent="0.25">
      <c r="A43" s="2">
        <v>0</v>
      </c>
    </row>
    <row r="44" spans="1:1" x14ac:dyDescent="0.25">
      <c r="A44" s="2">
        <v>0</v>
      </c>
    </row>
    <row r="45" spans="1:1" x14ac:dyDescent="0.25">
      <c r="A45" s="2">
        <v>0</v>
      </c>
    </row>
    <row r="46" spans="1:1" x14ac:dyDescent="0.25">
      <c r="A46" s="2">
        <v>0</v>
      </c>
    </row>
    <row r="47" spans="1:1" x14ac:dyDescent="0.25">
      <c r="A47" s="2">
        <v>0</v>
      </c>
    </row>
    <row r="48" spans="1:1" x14ac:dyDescent="0.25">
      <c r="A48" s="2">
        <v>0</v>
      </c>
    </row>
    <row r="49" spans="1:1" x14ac:dyDescent="0.25">
      <c r="A49" s="2">
        <v>1</v>
      </c>
    </row>
    <row r="50" spans="1:1" x14ac:dyDescent="0.25">
      <c r="A50" s="2">
        <v>2</v>
      </c>
    </row>
    <row r="51" spans="1:1" x14ac:dyDescent="0.25">
      <c r="A51" s="2">
        <v>1</v>
      </c>
    </row>
    <row r="52" spans="1:1" x14ac:dyDescent="0.25">
      <c r="A52" s="2">
        <v>1</v>
      </c>
    </row>
    <row r="53" spans="1:1" x14ac:dyDescent="0.25">
      <c r="A53" s="2">
        <v>2</v>
      </c>
    </row>
    <row r="54" spans="1:1" x14ac:dyDescent="0.25">
      <c r="A54" s="2">
        <v>0</v>
      </c>
    </row>
    <row r="55" spans="1:1" x14ac:dyDescent="0.25">
      <c r="A55" s="2">
        <v>1</v>
      </c>
    </row>
    <row r="56" spans="1:1" x14ac:dyDescent="0.25">
      <c r="A56" s="2">
        <v>0</v>
      </c>
    </row>
    <row r="57" spans="1:1" x14ac:dyDescent="0.25">
      <c r="A57" s="2">
        <v>2</v>
      </c>
    </row>
    <row r="58" spans="1:1" x14ac:dyDescent="0.25">
      <c r="A58" s="2">
        <v>0</v>
      </c>
    </row>
    <row r="59" spans="1:1" x14ac:dyDescent="0.25">
      <c r="A59" s="2">
        <v>2</v>
      </c>
    </row>
    <row r="60" spans="1:1" x14ac:dyDescent="0.25">
      <c r="A60" s="2">
        <v>2</v>
      </c>
    </row>
    <row r="61" spans="1:1" x14ac:dyDescent="0.25">
      <c r="A61" s="2">
        <v>0</v>
      </c>
    </row>
    <row r="62" spans="1:1" x14ac:dyDescent="0.25">
      <c r="A62" s="2">
        <v>0</v>
      </c>
    </row>
    <row r="63" spans="1:1" x14ac:dyDescent="0.25">
      <c r="A63" s="2">
        <v>0</v>
      </c>
    </row>
    <row r="64" spans="1:1" x14ac:dyDescent="0.25">
      <c r="A64" s="2">
        <v>1</v>
      </c>
    </row>
    <row r="65" spans="1:1" x14ac:dyDescent="0.25">
      <c r="A65" s="2">
        <v>0</v>
      </c>
    </row>
    <row r="66" spans="1:1" x14ac:dyDescent="0.25">
      <c r="A66" s="2">
        <v>1</v>
      </c>
    </row>
    <row r="67" spans="1:1" x14ac:dyDescent="0.25">
      <c r="A67" s="2">
        <v>0</v>
      </c>
    </row>
    <row r="68" spans="1:1" x14ac:dyDescent="0.25">
      <c r="A68" s="2">
        <v>0</v>
      </c>
    </row>
    <row r="69" spans="1:1" x14ac:dyDescent="0.25">
      <c r="A69" s="2">
        <v>0</v>
      </c>
    </row>
    <row r="70" spans="1:1" x14ac:dyDescent="0.25">
      <c r="A70" s="2">
        <v>2</v>
      </c>
    </row>
    <row r="71" spans="1:1" x14ac:dyDescent="0.25">
      <c r="A71" s="2">
        <v>0</v>
      </c>
    </row>
    <row r="72" spans="1:1" x14ac:dyDescent="0.25">
      <c r="A72" s="2">
        <v>1</v>
      </c>
    </row>
    <row r="73" spans="1:1" x14ac:dyDescent="0.25">
      <c r="A73" s="2">
        <v>1</v>
      </c>
    </row>
    <row r="74" spans="1:1" x14ac:dyDescent="0.25">
      <c r="A74" s="2">
        <v>2</v>
      </c>
    </row>
    <row r="75" spans="1:1" x14ac:dyDescent="0.25">
      <c r="A75" s="2">
        <v>0</v>
      </c>
    </row>
    <row r="76" spans="1:1" x14ac:dyDescent="0.25">
      <c r="A76" s="2">
        <v>0</v>
      </c>
    </row>
    <row r="77" spans="1:1" x14ac:dyDescent="0.25">
      <c r="A77" s="2">
        <v>0</v>
      </c>
    </row>
    <row r="78" spans="1:1" x14ac:dyDescent="0.25">
      <c r="A78" s="2">
        <v>2</v>
      </c>
    </row>
    <row r="79" spans="1:1" x14ac:dyDescent="0.25">
      <c r="A79" s="2">
        <v>0</v>
      </c>
    </row>
    <row r="80" spans="1:1" x14ac:dyDescent="0.25">
      <c r="A80" s="2">
        <v>0</v>
      </c>
    </row>
    <row r="81" spans="1:1" x14ac:dyDescent="0.25">
      <c r="A81" s="2">
        <v>2</v>
      </c>
    </row>
    <row r="82" spans="1:1" x14ac:dyDescent="0.25">
      <c r="A82" s="2">
        <v>1</v>
      </c>
    </row>
    <row r="83" spans="1:1" x14ac:dyDescent="0.25">
      <c r="A83" s="2">
        <v>0</v>
      </c>
    </row>
    <row r="84" spans="1:1" x14ac:dyDescent="0.25">
      <c r="A84" s="2">
        <v>0</v>
      </c>
    </row>
    <row r="85" spans="1:1" x14ac:dyDescent="0.25">
      <c r="A85" s="2">
        <v>0</v>
      </c>
    </row>
    <row r="86" spans="1:1" x14ac:dyDescent="0.25">
      <c r="A86" s="2">
        <v>0</v>
      </c>
    </row>
    <row r="87" spans="1:1" x14ac:dyDescent="0.25">
      <c r="A87" s="2">
        <v>0</v>
      </c>
    </row>
    <row r="88" spans="1:1" x14ac:dyDescent="0.25">
      <c r="A88" s="2">
        <v>0</v>
      </c>
    </row>
    <row r="89" spans="1:1" x14ac:dyDescent="0.25">
      <c r="A89" s="2">
        <v>0</v>
      </c>
    </row>
    <row r="90" spans="1:1" x14ac:dyDescent="0.25">
      <c r="A90" s="2">
        <v>0</v>
      </c>
    </row>
    <row r="91" spans="1:1" x14ac:dyDescent="0.25">
      <c r="A91" s="2">
        <v>0</v>
      </c>
    </row>
    <row r="92" spans="1:1" x14ac:dyDescent="0.25">
      <c r="A92" s="2">
        <v>1</v>
      </c>
    </row>
    <row r="93" spans="1:1" x14ac:dyDescent="0.25">
      <c r="A93" s="2">
        <v>1</v>
      </c>
    </row>
    <row r="94" spans="1:1" x14ac:dyDescent="0.25">
      <c r="A94" s="2">
        <v>0</v>
      </c>
    </row>
    <row r="95" spans="1:1" x14ac:dyDescent="0.25">
      <c r="A95" s="2">
        <v>0</v>
      </c>
    </row>
    <row r="96" spans="1:1" x14ac:dyDescent="0.25">
      <c r="A96" s="2">
        <v>0</v>
      </c>
    </row>
    <row r="97" spans="1:1" x14ac:dyDescent="0.25">
      <c r="A97" s="2">
        <v>0</v>
      </c>
    </row>
    <row r="98" spans="1:1" x14ac:dyDescent="0.25">
      <c r="A98" s="2">
        <v>0</v>
      </c>
    </row>
    <row r="99" spans="1:1" x14ac:dyDescent="0.25">
      <c r="A99" s="2">
        <v>0</v>
      </c>
    </row>
    <row r="100" spans="1:1" x14ac:dyDescent="0.25">
      <c r="A100" s="2">
        <v>1</v>
      </c>
    </row>
    <row r="101" spans="1:1" x14ac:dyDescent="0.25">
      <c r="A101" s="2">
        <v>0</v>
      </c>
    </row>
    <row r="102" spans="1:1" x14ac:dyDescent="0.25">
      <c r="A102" s="2">
        <v>0</v>
      </c>
    </row>
    <row r="103" spans="1:1" x14ac:dyDescent="0.25">
      <c r="A103" s="2">
        <v>0</v>
      </c>
    </row>
    <row r="104" spans="1:1" x14ac:dyDescent="0.25">
      <c r="A104" s="2">
        <v>0</v>
      </c>
    </row>
    <row r="105" spans="1:1" x14ac:dyDescent="0.25">
      <c r="A105" s="2">
        <v>1</v>
      </c>
    </row>
    <row r="106" spans="1:1" x14ac:dyDescent="0.25">
      <c r="A106" s="2">
        <v>0</v>
      </c>
    </row>
    <row r="107" spans="1:1" x14ac:dyDescent="0.25">
      <c r="A107" s="2">
        <v>0</v>
      </c>
    </row>
    <row r="108" spans="1:1" x14ac:dyDescent="0.25">
      <c r="A108" s="2">
        <v>1</v>
      </c>
    </row>
    <row r="109" spans="1:1" x14ac:dyDescent="0.25">
      <c r="A109" s="2">
        <v>0</v>
      </c>
    </row>
    <row r="110" spans="1:1" x14ac:dyDescent="0.25">
      <c r="A110" s="2">
        <v>2</v>
      </c>
    </row>
    <row r="111" spans="1:1" x14ac:dyDescent="0.25">
      <c r="A111" s="2">
        <v>0</v>
      </c>
    </row>
    <row r="112" spans="1:1" x14ac:dyDescent="0.25">
      <c r="A112" s="2">
        <v>0</v>
      </c>
    </row>
    <row r="113" spans="1:1" x14ac:dyDescent="0.25">
      <c r="A113" s="2">
        <v>0</v>
      </c>
    </row>
    <row r="114" spans="1:1" x14ac:dyDescent="0.25">
      <c r="A114" s="2">
        <v>0</v>
      </c>
    </row>
    <row r="115" spans="1:1" x14ac:dyDescent="0.25">
      <c r="A115" s="2">
        <v>1</v>
      </c>
    </row>
    <row r="116" spans="1:1" x14ac:dyDescent="0.25">
      <c r="A116" s="2">
        <v>0</v>
      </c>
    </row>
    <row r="117" spans="1:1" x14ac:dyDescent="0.25">
      <c r="A117" s="2">
        <v>0</v>
      </c>
    </row>
    <row r="118" spans="1:1" x14ac:dyDescent="0.25">
      <c r="A118" s="2">
        <v>0</v>
      </c>
    </row>
    <row r="119" spans="1:1" x14ac:dyDescent="0.25">
      <c r="A119" s="2">
        <v>0</v>
      </c>
    </row>
    <row r="120" spans="1:1" x14ac:dyDescent="0.25">
      <c r="A120" s="2">
        <v>0</v>
      </c>
    </row>
    <row r="121" spans="1:1" x14ac:dyDescent="0.25">
      <c r="A121" s="2">
        <v>0</v>
      </c>
    </row>
    <row r="122" spans="1:1" x14ac:dyDescent="0.25">
      <c r="A122" s="2">
        <v>0</v>
      </c>
    </row>
    <row r="123" spans="1:1" x14ac:dyDescent="0.25">
      <c r="A123" s="2">
        <v>0</v>
      </c>
    </row>
    <row r="124" spans="1:1" x14ac:dyDescent="0.25">
      <c r="A124" s="2">
        <v>0</v>
      </c>
    </row>
    <row r="125" spans="1:1" x14ac:dyDescent="0.25">
      <c r="A125" s="2">
        <v>0</v>
      </c>
    </row>
    <row r="126" spans="1:1" x14ac:dyDescent="0.25">
      <c r="A126" s="2">
        <v>0</v>
      </c>
    </row>
    <row r="127" spans="1:1" x14ac:dyDescent="0.25">
      <c r="A127" s="2">
        <v>0</v>
      </c>
    </row>
    <row r="128" spans="1:1" x14ac:dyDescent="0.25">
      <c r="A128" s="2">
        <v>0</v>
      </c>
    </row>
    <row r="129" spans="1:1" x14ac:dyDescent="0.25">
      <c r="A129" s="2">
        <v>0</v>
      </c>
    </row>
    <row r="130" spans="1:1" x14ac:dyDescent="0.25">
      <c r="A130" s="2">
        <v>0</v>
      </c>
    </row>
    <row r="131" spans="1:1" x14ac:dyDescent="0.25">
      <c r="A131" s="2">
        <v>0</v>
      </c>
    </row>
    <row r="132" spans="1:1" x14ac:dyDescent="0.25">
      <c r="A132" s="2">
        <v>0</v>
      </c>
    </row>
    <row r="133" spans="1:1" x14ac:dyDescent="0.25">
      <c r="A133" s="2">
        <v>1</v>
      </c>
    </row>
    <row r="134" spans="1:1" x14ac:dyDescent="0.25">
      <c r="A134" s="2">
        <v>1</v>
      </c>
    </row>
    <row r="135" spans="1:1" x14ac:dyDescent="0.25">
      <c r="A135" s="2">
        <v>0</v>
      </c>
    </row>
    <row r="136" spans="1:1" x14ac:dyDescent="0.25">
      <c r="A136" s="2">
        <v>0</v>
      </c>
    </row>
    <row r="137" spans="1:1" x14ac:dyDescent="0.25">
      <c r="A137" s="2">
        <v>0</v>
      </c>
    </row>
    <row r="138" spans="1:1" x14ac:dyDescent="0.25">
      <c r="A138" s="2">
        <v>1</v>
      </c>
    </row>
    <row r="139" spans="1:1" x14ac:dyDescent="0.25">
      <c r="A139" s="2">
        <v>2</v>
      </c>
    </row>
    <row r="140" spans="1:1" x14ac:dyDescent="0.25">
      <c r="A140" s="2">
        <v>0</v>
      </c>
    </row>
    <row r="141" spans="1:1" x14ac:dyDescent="0.25">
      <c r="A141" s="2">
        <v>0</v>
      </c>
    </row>
    <row r="142" spans="1:1" x14ac:dyDescent="0.25">
      <c r="A142" s="2">
        <v>0</v>
      </c>
    </row>
    <row r="143" spans="1:1" x14ac:dyDescent="0.25">
      <c r="A143" s="2">
        <v>2</v>
      </c>
    </row>
    <row r="144" spans="1:1" x14ac:dyDescent="0.25">
      <c r="A144" s="2">
        <v>0</v>
      </c>
    </row>
    <row r="145" spans="1:1" x14ac:dyDescent="0.25">
      <c r="A145" s="2">
        <v>0</v>
      </c>
    </row>
    <row r="146" spans="1:1" x14ac:dyDescent="0.25">
      <c r="A146" s="2">
        <v>0</v>
      </c>
    </row>
    <row r="147" spans="1:1" x14ac:dyDescent="0.25">
      <c r="A147" s="2">
        <v>2</v>
      </c>
    </row>
    <row r="148" spans="1:1" x14ac:dyDescent="0.25">
      <c r="A148" s="2">
        <v>0</v>
      </c>
    </row>
    <row r="149" spans="1:1" x14ac:dyDescent="0.25">
      <c r="A149" s="2">
        <v>0</v>
      </c>
    </row>
    <row r="150" spans="1:1" x14ac:dyDescent="0.25">
      <c r="A150" s="2">
        <v>1</v>
      </c>
    </row>
    <row r="151" spans="1:1" x14ac:dyDescent="0.25">
      <c r="A151" s="2">
        <v>0</v>
      </c>
    </row>
    <row r="152" spans="1:1" x14ac:dyDescent="0.25">
      <c r="A152" s="2">
        <v>0</v>
      </c>
    </row>
    <row r="153" spans="1:1" x14ac:dyDescent="0.25">
      <c r="A153" s="2">
        <v>0</v>
      </c>
    </row>
    <row r="154" spans="1:1" x14ac:dyDescent="0.25">
      <c r="A154" s="2">
        <v>0</v>
      </c>
    </row>
    <row r="155" spans="1:1" x14ac:dyDescent="0.25">
      <c r="A155" s="2">
        <v>0</v>
      </c>
    </row>
    <row r="156" spans="1:1" x14ac:dyDescent="0.25">
      <c r="A156" s="2">
        <v>0</v>
      </c>
    </row>
    <row r="157" spans="1:1" x14ac:dyDescent="0.25">
      <c r="A157" s="2">
        <v>1</v>
      </c>
    </row>
    <row r="158" spans="1:1" x14ac:dyDescent="0.25">
      <c r="A158" s="2">
        <v>0</v>
      </c>
    </row>
    <row r="159" spans="1:1" x14ac:dyDescent="0.25">
      <c r="A159" s="2">
        <v>0</v>
      </c>
    </row>
    <row r="160" spans="1:1" x14ac:dyDescent="0.25">
      <c r="A160" s="2">
        <v>0</v>
      </c>
    </row>
    <row r="161" spans="1:1" x14ac:dyDescent="0.25">
      <c r="A161" s="2">
        <v>0</v>
      </c>
    </row>
    <row r="162" spans="1:1" x14ac:dyDescent="0.25">
      <c r="A162" s="2">
        <v>2</v>
      </c>
    </row>
    <row r="163" spans="1:1" x14ac:dyDescent="0.25">
      <c r="A163" s="2">
        <v>0</v>
      </c>
    </row>
    <row r="164" spans="1:1" x14ac:dyDescent="0.25">
      <c r="A164" s="2">
        <v>0</v>
      </c>
    </row>
    <row r="165" spans="1:1" x14ac:dyDescent="0.25">
      <c r="A165" s="2">
        <v>0</v>
      </c>
    </row>
    <row r="166" spans="1:1" x14ac:dyDescent="0.25">
      <c r="A166" s="2">
        <v>2</v>
      </c>
    </row>
    <row r="167" spans="1:1" x14ac:dyDescent="0.25">
      <c r="A167" s="2">
        <v>0</v>
      </c>
    </row>
    <row r="168" spans="1:1" x14ac:dyDescent="0.25">
      <c r="A168" s="2">
        <v>1</v>
      </c>
    </row>
    <row r="169" spans="1:1" x14ac:dyDescent="0.25">
      <c r="A169" s="2">
        <v>1</v>
      </c>
    </row>
    <row r="170" spans="1:1" x14ac:dyDescent="0.25">
      <c r="A170" s="2">
        <v>0</v>
      </c>
    </row>
    <row r="171" spans="1:1" x14ac:dyDescent="0.25">
      <c r="A171" s="2">
        <v>0</v>
      </c>
    </row>
    <row r="172" spans="1:1" x14ac:dyDescent="0.25">
      <c r="A172" s="2">
        <v>0</v>
      </c>
    </row>
    <row r="173" spans="1:1" x14ac:dyDescent="0.25">
      <c r="A173" s="2">
        <v>1</v>
      </c>
    </row>
    <row r="174" spans="1:1" x14ac:dyDescent="0.25">
      <c r="A174" s="2">
        <v>1</v>
      </c>
    </row>
    <row r="175" spans="1:1" x14ac:dyDescent="0.25">
      <c r="A175" s="2">
        <v>2</v>
      </c>
    </row>
    <row r="176" spans="1:1" x14ac:dyDescent="0.25">
      <c r="A176" s="2">
        <v>0</v>
      </c>
    </row>
    <row r="177" spans="1:1" x14ac:dyDescent="0.25">
      <c r="A177" s="2">
        <v>2</v>
      </c>
    </row>
    <row r="178" spans="1:1" x14ac:dyDescent="0.25">
      <c r="A178" s="2">
        <v>2</v>
      </c>
    </row>
    <row r="179" spans="1:1" x14ac:dyDescent="0.25">
      <c r="A179" s="2">
        <v>0</v>
      </c>
    </row>
    <row r="180" spans="1:1" x14ac:dyDescent="0.25">
      <c r="A180" s="2">
        <v>1</v>
      </c>
    </row>
    <row r="181" spans="1:1" x14ac:dyDescent="0.25">
      <c r="A181" s="2">
        <v>0</v>
      </c>
    </row>
    <row r="182" spans="1:1" x14ac:dyDescent="0.25">
      <c r="A182" s="2">
        <v>0</v>
      </c>
    </row>
    <row r="183" spans="1:1" x14ac:dyDescent="0.25">
      <c r="A183" s="2">
        <v>0</v>
      </c>
    </row>
    <row r="184" spans="1:1" x14ac:dyDescent="0.25">
      <c r="A184" s="2">
        <v>2</v>
      </c>
    </row>
    <row r="185" spans="1:1" x14ac:dyDescent="0.25">
      <c r="A185" s="2">
        <v>0</v>
      </c>
    </row>
    <row r="186" spans="1:1" x14ac:dyDescent="0.25">
      <c r="A186" s="2">
        <v>0</v>
      </c>
    </row>
    <row r="187" spans="1:1" x14ac:dyDescent="0.25">
      <c r="A187" s="2">
        <v>0</v>
      </c>
    </row>
    <row r="188" spans="1:1" x14ac:dyDescent="0.25">
      <c r="A188" s="2">
        <v>0</v>
      </c>
    </row>
    <row r="189" spans="1:1" x14ac:dyDescent="0.25">
      <c r="A189" s="2">
        <v>0</v>
      </c>
    </row>
    <row r="190" spans="1:1" x14ac:dyDescent="0.25">
      <c r="A190" s="2">
        <v>0</v>
      </c>
    </row>
    <row r="191" spans="1:1" x14ac:dyDescent="0.25">
      <c r="A191" s="2">
        <v>0</v>
      </c>
    </row>
    <row r="192" spans="1:1" x14ac:dyDescent="0.25">
      <c r="A192" s="2">
        <v>1</v>
      </c>
    </row>
    <row r="193" spans="1:1" x14ac:dyDescent="0.25">
      <c r="A193" s="2">
        <v>0</v>
      </c>
    </row>
    <row r="194" spans="1:1" x14ac:dyDescent="0.25">
      <c r="A194" s="2">
        <v>0</v>
      </c>
    </row>
    <row r="195" spans="1:1" x14ac:dyDescent="0.25">
      <c r="A195" s="2">
        <v>0</v>
      </c>
    </row>
    <row r="196" spans="1:1" x14ac:dyDescent="0.25">
      <c r="A196" s="2">
        <v>0</v>
      </c>
    </row>
    <row r="197" spans="1:1" x14ac:dyDescent="0.25">
      <c r="A197" s="2">
        <v>1</v>
      </c>
    </row>
    <row r="198" spans="1:1" x14ac:dyDescent="0.25">
      <c r="A198" s="2">
        <v>0</v>
      </c>
    </row>
    <row r="199" spans="1:1" x14ac:dyDescent="0.25">
      <c r="A199" s="2">
        <v>0</v>
      </c>
    </row>
    <row r="200" spans="1:1" x14ac:dyDescent="0.25">
      <c r="A200" s="2">
        <v>0</v>
      </c>
    </row>
    <row r="201" spans="1:1" x14ac:dyDescent="0.25">
      <c r="A201" s="2">
        <v>0</v>
      </c>
    </row>
    <row r="202" spans="1:1" x14ac:dyDescent="0.25">
      <c r="A202" s="2">
        <v>1</v>
      </c>
    </row>
    <row r="203" spans="1:1" x14ac:dyDescent="0.25">
      <c r="A203" s="2">
        <v>0</v>
      </c>
    </row>
    <row r="204" spans="1:1" x14ac:dyDescent="0.25">
      <c r="A204" s="2">
        <v>1</v>
      </c>
    </row>
    <row r="205" spans="1:1" x14ac:dyDescent="0.25">
      <c r="A205" s="2">
        <v>0</v>
      </c>
    </row>
    <row r="206" spans="1:1" x14ac:dyDescent="0.25">
      <c r="A206" s="2">
        <v>1</v>
      </c>
    </row>
    <row r="207" spans="1:1" x14ac:dyDescent="0.25">
      <c r="A207" s="2">
        <v>2</v>
      </c>
    </row>
    <row r="208" spans="1:1" x14ac:dyDescent="0.25">
      <c r="A208" s="2">
        <v>1</v>
      </c>
    </row>
    <row r="209" spans="1:1" x14ac:dyDescent="0.25">
      <c r="A209" s="2">
        <v>1</v>
      </c>
    </row>
    <row r="210" spans="1:1" x14ac:dyDescent="0.25">
      <c r="A210" s="2">
        <v>0</v>
      </c>
    </row>
    <row r="211" spans="1:1" x14ac:dyDescent="0.25">
      <c r="A211" s="2">
        <v>0</v>
      </c>
    </row>
    <row r="212" spans="1:1" x14ac:dyDescent="0.25">
      <c r="A212" s="2">
        <v>0</v>
      </c>
    </row>
    <row r="213" spans="1:1" x14ac:dyDescent="0.25">
      <c r="A213" s="2">
        <v>1</v>
      </c>
    </row>
    <row r="214" spans="1:1" x14ac:dyDescent="0.25">
      <c r="A214" s="2">
        <v>0</v>
      </c>
    </row>
    <row r="215" spans="1:1" x14ac:dyDescent="0.25">
      <c r="A215" s="2">
        <v>0</v>
      </c>
    </row>
    <row r="216" spans="1:1" x14ac:dyDescent="0.25">
      <c r="A216" s="2">
        <v>0</v>
      </c>
    </row>
    <row r="217" spans="1:1" x14ac:dyDescent="0.25">
      <c r="A217" s="2">
        <v>0</v>
      </c>
    </row>
    <row r="218" spans="1:1" x14ac:dyDescent="0.25">
      <c r="A218" s="2">
        <v>1</v>
      </c>
    </row>
    <row r="219" spans="1:1" x14ac:dyDescent="0.25">
      <c r="A219" s="2">
        <v>0</v>
      </c>
    </row>
    <row r="220" spans="1:1" x14ac:dyDescent="0.25">
      <c r="A220" s="2">
        <v>1</v>
      </c>
    </row>
    <row r="221" spans="1:1" x14ac:dyDescent="0.25">
      <c r="A221" s="2">
        <v>0</v>
      </c>
    </row>
    <row r="222" spans="1:1" x14ac:dyDescent="0.25">
      <c r="A222" s="2">
        <v>1</v>
      </c>
    </row>
    <row r="223" spans="1:1" x14ac:dyDescent="0.25">
      <c r="A223" s="2">
        <v>0</v>
      </c>
    </row>
    <row r="224" spans="1:1" x14ac:dyDescent="0.25">
      <c r="A224" s="2">
        <v>0</v>
      </c>
    </row>
    <row r="225" spans="1:1" x14ac:dyDescent="0.25">
      <c r="A225" s="2">
        <v>0</v>
      </c>
    </row>
    <row r="226" spans="1:1" x14ac:dyDescent="0.25">
      <c r="A226" s="2">
        <v>1</v>
      </c>
    </row>
    <row r="227" spans="1:1" x14ac:dyDescent="0.25">
      <c r="A227" s="2">
        <v>0</v>
      </c>
    </row>
    <row r="228" spans="1:1" x14ac:dyDescent="0.25">
      <c r="A228" s="2">
        <v>0</v>
      </c>
    </row>
    <row r="229" spans="1:1" x14ac:dyDescent="0.25">
      <c r="A229" s="2">
        <v>0</v>
      </c>
    </row>
    <row r="230" spans="1:1" x14ac:dyDescent="0.25">
      <c r="A230" s="2">
        <v>0</v>
      </c>
    </row>
    <row r="231" spans="1:1" x14ac:dyDescent="0.25">
      <c r="A231" s="2">
        <v>0</v>
      </c>
    </row>
    <row r="232" spans="1:1" x14ac:dyDescent="0.25">
      <c r="A232" s="2">
        <v>0</v>
      </c>
    </row>
    <row r="233" spans="1:1" x14ac:dyDescent="0.25">
      <c r="A233" s="2">
        <v>0</v>
      </c>
    </row>
    <row r="234" spans="1:1" x14ac:dyDescent="0.25">
      <c r="A234" s="2">
        <v>1</v>
      </c>
    </row>
    <row r="235" spans="1:1" x14ac:dyDescent="0.25">
      <c r="A235" s="2">
        <v>0</v>
      </c>
    </row>
    <row r="236" spans="1:1" x14ac:dyDescent="0.25">
      <c r="A236" s="2">
        <v>2</v>
      </c>
    </row>
    <row r="237" spans="1:1" x14ac:dyDescent="0.25">
      <c r="A237" s="2">
        <v>2</v>
      </c>
    </row>
    <row r="238" spans="1:1" x14ac:dyDescent="0.25">
      <c r="A238" s="2">
        <v>0</v>
      </c>
    </row>
    <row r="239" spans="1:1" x14ac:dyDescent="0.25">
      <c r="A239" s="2">
        <v>2</v>
      </c>
    </row>
    <row r="240" spans="1:1" x14ac:dyDescent="0.25">
      <c r="A240" s="2">
        <v>2</v>
      </c>
    </row>
    <row r="241" spans="1:1" x14ac:dyDescent="0.25">
      <c r="A241" s="2">
        <v>0</v>
      </c>
    </row>
    <row r="242" spans="1:1" x14ac:dyDescent="0.25">
      <c r="A242" s="2">
        <v>0</v>
      </c>
    </row>
    <row r="243" spans="1:1" x14ac:dyDescent="0.25">
      <c r="A243" s="2">
        <v>0</v>
      </c>
    </row>
    <row r="244" spans="1:1" x14ac:dyDescent="0.25">
      <c r="A244" s="2">
        <v>1</v>
      </c>
    </row>
    <row r="245" spans="1:1" x14ac:dyDescent="0.25">
      <c r="A245" s="2">
        <v>1</v>
      </c>
    </row>
    <row r="246" spans="1:1" x14ac:dyDescent="0.25">
      <c r="A246" s="2">
        <v>1</v>
      </c>
    </row>
    <row r="247" spans="1:1" x14ac:dyDescent="0.25">
      <c r="A247" s="2">
        <v>0</v>
      </c>
    </row>
    <row r="248" spans="1:1" x14ac:dyDescent="0.25">
      <c r="A248" s="2">
        <v>0</v>
      </c>
    </row>
    <row r="249" spans="1:1" x14ac:dyDescent="0.25">
      <c r="A249" s="2">
        <v>0</v>
      </c>
    </row>
    <row r="250" spans="1:1" x14ac:dyDescent="0.25">
      <c r="A250" s="2">
        <v>1</v>
      </c>
    </row>
    <row r="251" spans="1:1" x14ac:dyDescent="0.25">
      <c r="A251" s="2">
        <v>0</v>
      </c>
    </row>
    <row r="252" spans="1:1" x14ac:dyDescent="0.25">
      <c r="A252" s="2">
        <v>0</v>
      </c>
    </row>
    <row r="253" spans="1:1" x14ac:dyDescent="0.25">
      <c r="A253" s="2">
        <v>0</v>
      </c>
    </row>
    <row r="254" spans="1:1" x14ac:dyDescent="0.25">
      <c r="A254" s="2">
        <v>0</v>
      </c>
    </row>
    <row r="255" spans="1:1" x14ac:dyDescent="0.25">
      <c r="A255" s="2">
        <v>0</v>
      </c>
    </row>
    <row r="256" spans="1:1" x14ac:dyDescent="0.25">
      <c r="A256" s="2">
        <v>0</v>
      </c>
    </row>
    <row r="257" spans="1:1" x14ac:dyDescent="0.25">
      <c r="A257" s="2">
        <v>0</v>
      </c>
    </row>
    <row r="258" spans="1:1" x14ac:dyDescent="0.25">
      <c r="A258" s="2">
        <v>0</v>
      </c>
    </row>
    <row r="259" spans="1:1" x14ac:dyDescent="0.25">
      <c r="A259" s="2">
        <v>0</v>
      </c>
    </row>
    <row r="260" spans="1:1" x14ac:dyDescent="0.25">
      <c r="A260" s="2">
        <v>0</v>
      </c>
    </row>
    <row r="261" spans="1:1" x14ac:dyDescent="0.25">
      <c r="A261" s="2">
        <v>0</v>
      </c>
    </row>
    <row r="262" spans="1:1" x14ac:dyDescent="0.25">
      <c r="A262" s="2">
        <v>0</v>
      </c>
    </row>
    <row r="263" spans="1:1" x14ac:dyDescent="0.25">
      <c r="A263" s="2">
        <v>0</v>
      </c>
    </row>
    <row r="264" spans="1:1" x14ac:dyDescent="0.25">
      <c r="A264" s="2">
        <v>0</v>
      </c>
    </row>
    <row r="265" spans="1:1" x14ac:dyDescent="0.25">
      <c r="A265" s="2">
        <v>1</v>
      </c>
    </row>
    <row r="266" spans="1:1" x14ac:dyDescent="0.25">
      <c r="A266" s="2">
        <v>0</v>
      </c>
    </row>
    <row r="267" spans="1:1" x14ac:dyDescent="0.25">
      <c r="A267" s="2">
        <v>1</v>
      </c>
    </row>
    <row r="268" spans="1:1" x14ac:dyDescent="0.25">
      <c r="A268" s="2">
        <v>0</v>
      </c>
    </row>
    <row r="269" spans="1:1" x14ac:dyDescent="0.25">
      <c r="A269" s="2">
        <v>0</v>
      </c>
    </row>
    <row r="270" spans="1:1" x14ac:dyDescent="0.25">
      <c r="A270" s="2">
        <v>0</v>
      </c>
    </row>
    <row r="271" spans="1:1" x14ac:dyDescent="0.25">
      <c r="A271" s="2">
        <v>1</v>
      </c>
    </row>
    <row r="272" spans="1:1" x14ac:dyDescent="0.25">
      <c r="A272" s="2">
        <v>0</v>
      </c>
    </row>
    <row r="273" spans="1:1" x14ac:dyDescent="0.25">
      <c r="A273" s="2">
        <v>0</v>
      </c>
    </row>
    <row r="274" spans="1:1" x14ac:dyDescent="0.25">
      <c r="A274" s="2">
        <v>0</v>
      </c>
    </row>
    <row r="275" spans="1:1" x14ac:dyDescent="0.25">
      <c r="A275" s="2">
        <v>1</v>
      </c>
    </row>
    <row r="276" spans="1:1" x14ac:dyDescent="0.25">
      <c r="A276" s="2">
        <v>0</v>
      </c>
    </row>
    <row r="277" spans="1:1" x14ac:dyDescent="0.25">
      <c r="A277" s="2">
        <v>0</v>
      </c>
    </row>
    <row r="278" spans="1:1" x14ac:dyDescent="0.25">
      <c r="A278" s="2">
        <v>2</v>
      </c>
    </row>
    <row r="279" spans="1:1" x14ac:dyDescent="0.25">
      <c r="A279" s="2">
        <v>0</v>
      </c>
    </row>
    <row r="280" spans="1:1" x14ac:dyDescent="0.25">
      <c r="A280" s="2">
        <v>0</v>
      </c>
    </row>
    <row r="281" spans="1:1" x14ac:dyDescent="0.25">
      <c r="A281" s="2">
        <v>0</v>
      </c>
    </row>
    <row r="282" spans="1:1" x14ac:dyDescent="0.25">
      <c r="A282" s="2">
        <v>0</v>
      </c>
    </row>
    <row r="283" spans="1:1" x14ac:dyDescent="0.25">
      <c r="A283" s="2">
        <v>0</v>
      </c>
    </row>
    <row r="284" spans="1:1" x14ac:dyDescent="0.25">
      <c r="A284" s="2">
        <v>0</v>
      </c>
    </row>
    <row r="285" spans="1:1" x14ac:dyDescent="0.25">
      <c r="A285" s="2">
        <v>1</v>
      </c>
    </row>
    <row r="286" spans="1:1" x14ac:dyDescent="0.25">
      <c r="A286" s="2">
        <v>0</v>
      </c>
    </row>
    <row r="287" spans="1:1" x14ac:dyDescent="0.25">
      <c r="A287" s="2">
        <v>0</v>
      </c>
    </row>
    <row r="288" spans="1:1" x14ac:dyDescent="0.25">
      <c r="A288" s="2">
        <v>1</v>
      </c>
    </row>
    <row r="289" spans="1:1" x14ac:dyDescent="0.25">
      <c r="A289" s="2">
        <v>0</v>
      </c>
    </row>
    <row r="290" spans="1:1" x14ac:dyDescent="0.25">
      <c r="A290" s="2">
        <v>0</v>
      </c>
    </row>
    <row r="291" spans="1:1" x14ac:dyDescent="0.25">
      <c r="A291" s="2">
        <v>0</v>
      </c>
    </row>
    <row r="292" spans="1:1" x14ac:dyDescent="0.25">
      <c r="A292" s="2">
        <v>0</v>
      </c>
    </row>
    <row r="293" spans="1:1" x14ac:dyDescent="0.25">
      <c r="A293" s="2">
        <v>0</v>
      </c>
    </row>
    <row r="294" spans="1:1" x14ac:dyDescent="0.25">
      <c r="A294" s="2">
        <v>0</v>
      </c>
    </row>
    <row r="295" spans="1:1" x14ac:dyDescent="0.25">
      <c r="A295" s="2">
        <v>0</v>
      </c>
    </row>
    <row r="296" spans="1:1" x14ac:dyDescent="0.25">
      <c r="A296" s="2">
        <v>0</v>
      </c>
    </row>
    <row r="297" spans="1:1" x14ac:dyDescent="0.25">
      <c r="A297" s="2">
        <v>0</v>
      </c>
    </row>
    <row r="298" spans="1:1" x14ac:dyDescent="0.25">
      <c r="A298" s="2">
        <v>1</v>
      </c>
    </row>
    <row r="299" spans="1:1" x14ac:dyDescent="0.25">
      <c r="A299" s="2">
        <v>1</v>
      </c>
    </row>
    <row r="300" spans="1:1" x14ac:dyDescent="0.25">
      <c r="A300" s="2">
        <v>0</v>
      </c>
    </row>
    <row r="301" spans="1:1" x14ac:dyDescent="0.25">
      <c r="A301" s="2">
        <v>0</v>
      </c>
    </row>
    <row r="302" spans="1:1" x14ac:dyDescent="0.25">
      <c r="A302" s="2">
        <v>0</v>
      </c>
    </row>
    <row r="303" spans="1:1" x14ac:dyDescent="0.25">
      <c r="A303" s="2">
        <v>1</v>
      </c>
    </row>
    <row r="304" spans="1:1" x14ac:dyDescent="0.25">
      <c r="A304" s="2">
        <v>0</v>
      </c>
    </row>
    <row r="305" spans="1:1" x14ac:dyDescent="0.25">
      <c r="A305" s="2">
        <v>0</v>
      </c>
    </row>
    <row r="306" spans="1:1" x14ac:dyDescent="0.25">
      <c r="A306" s="2">
        <v>1</v>
      </c>
    </row>
    <row r="307" spans="1:1" x14ac:dyDescent="0.25">
      <c r="A307" s="2">
        <v>0</v>
      </c>
    </row>
    <row r="308" spans="1:1" x14ac:dyDescent="0.25">
      <c r="A308" s="2">
        <v>2</v>
      </c>
    </row>
    <row r="309" spans="1:1" x14ac:dyDescent="0.25">
      <c r="A309" s="2">
        <v>0</v>
      </c>
    </row>
    <row r="310" spans="1:1" x14ac:dyDescent="0.25">
      <c r="A310" s="2">
        <v>0</v>
      </c>
    </row>
    <row r="311" spans="1:1" x14ac:dyDescent="0.25">
      <c r="A311" s="2">
        <v>0</v>
      </c>
    </row>
    <row r="312" spans="1:1" x14ac:dyDescent="0.25">
      <c r="A312" s="2">
        <v>0</v>
      </c>
    </row>
    <row r="313" spans="1:1" x14ac:dyDescent="0.25">
      <c r="A313" s="2">
        <v>0</v>
      </c>
    </row>
    <row r="314" spans="1:1" x14ac:dyDescent="0.25">
      <c r="A314" s="2">
        <v>0</v>
      </c>
    </row>
    <row r="315" spans="1:1" x14ac:dyDescent="0.25">
      <c r="A315" s="2">
        <v>0</v>
      </c>
    </row>
    <row r="316" spans="1:1" x14ac:dyDescent="0.25">
      <c r="A316" s="2">
        <v>0</v>
      </c>
    </row>
    <row r="317" spans="1:1" x14ac:dyDescent="0.25">
      <c r="A317" s="2">
        <v>0</v>
      </c>
    </row>
    <row r="318" spans="1:1" x14ac:dyDescent="0.25">
      <c r="A318" s="2">
        <v>0</v>
      </c>
    </row>
    <row r="319" spans="1:1" x14ac:dyDescent="0.25">
      <c r="A319" s="2">
        <v>0</v>
      </c>
    </row>
    <row r="320" spans="1:1" x14ac:dyDescent="0.25">
      <c r="A320" s="2">
        <v>1</v>
      </c>
    </row>
    <row r="321" spans="1:1" x14ac:dyDescent="0.25">
      <c r="A321" s="2">
        <v>0</v>
      </c>
    </row>
    <row r="322" spans="1:1" x14ac:dyDescent="0.25">
      <c r="A322" s="2">
        <v>1</v>
      </c>
    </row>
    <row r="323" spans="1:1" x14ac:dyDescent="0.25">
      <c r="A323" s="2">
        <v>0</v>
      </c>
    </row>
    <row r="324" spans="1:1" x14ac:dyDescent="0.25">
      <c r="A324" s="2">
        <v>0</v>
      </c>
    </row>
    <row r="325" spans="1:1" x14ac:dyDescent="0.25">
      <c r="A325" s="2">
        <v>1</v>
      </c>
    </row>
    <row r="326" spans="1:1" x14ac:dyDescent="0.25">
      <c r="A326" s="2">
        <v>0</v>
      </c>
    </row>
    <row r="327" spans="1:1" x14ac:dyDescent="0.25">
      <c r="A327" s="2">
        <v>1</v>
      </c>
    </row>
    <row r="328" spans="1:1" x14ac:dyDescent="0.25">
      <c r="A328" s="2">
        <v>1</v>
      </c>
    </row>
    <row r="329" spans="1:1" x14ac:dyDescent="0.25">
      <c r="A329" s="2">
        <v>0</v>
      </c>
    </row>
    <row r="330" spans="1:1" x14ac:dyDescent="0.25">
      <c r="A330" s="2">
        <v>1</v>
      </c>
    </row>
    <row r="331" spans="1:1" x14ac:dyDescent="0.25">
      <c r="A331" s="2">
        <v>0</v>
      </c>
    </row>
    <row r="332" spans="1:1" x14ac:dyDescent="0.25">
      <c r="A332" s="2">
        <v>2</v>
      </c>
    </row>
    <row r="333" spans="1:1" x14ac:dyDescent="0.25">
      <c r="A333" s="2">
        <v>0</v>
      </c>
    </row>
    <row r="334" spans="1:1" x14ac:dyDescent="0.25">
      <c r="A334" s="2">
        <v>2</v>
      </c>
    </row>
    <row r="335" spans="1:1" x14ac:dyDescent="0.25">
      <c r="A335" s="2">
        <v>2</v>
      </c>
    </row>
    <row r="336" spans="1:1" x14ac:dyDescent="0.25">
      <c r="A336" s="2">
        <v>1</v>
      </c>
    </row>
    <row r="337" spans="1:1" x14ac:dyDescent="0.25">
      <c r="A337" s="2">
        <v>1</v>
      </c>
    </row>
    <row r="338" spans="1:1" x14ac:dyDescent="0.25">
      <c r="A338" s="2">
        <v>1</v>
      </c>
    </row>
    <row r="339" spans="1:1" x14ac:dyDescent="0.25">
      <c r="A339" s="2">
        <v>0</v>
      </c>
    </row>
    <row r="340" spans="1:1" x14ac:dyDescent="0.25">
      <c r="A340" s="2">
        <v>0</v>
      </c>
    </row>
    <row r="341" spans="1:1" x14ac:dyDescent="0.25">
      <c r="A341" s="2">
        <v>1</v>
      </c>
    </row>
    <row r="342" spans="1:1" x14ac:dyDescent="0.25">
      <c r="A342" s="2">
        <v>0</v>
      </c>
    </row>
    <row r="343" spans="1:1" x14ac:dyDescent="0.25">
      <c r="A343" s="2">
        <v>0</v>
      </c>
    </row>
    <row r="344" spans="1:1" x14ac:dyDescent="0.25">
      <c r="A344" s="2">
        <v>1</v>
      </c>
    </row>
    <row r="345" spans="1:1" x14ac:dyDescent="0.25">
      <c r="A345" s="2">
        <v>0</v>
      </c>
    </row>
    <row r="346" spans="1:1" x14ac:dyDescent="0.25">
      <c r="A346" s="2">
        <v>2</v>
      </c>
    </row>
    <row r="347" spans="1:1" x14ac:dyDescent="0.25">
      <c r="A347" s="2">
        <v>0</v>
      </c>
    </row>
    <row r="348" spans="1:1" x14ac:dyDescent="0.25">
      <c r="A348" s="2">
        <v>0</v>
      </c>
    </row>
    <row r="349" spans="1:1" x14ac:dyDescent="0.25">
      <c r="A349" s="2">
        <v>0</v>
      </c>
    </row>
    <row r="350" spans="1:1" x14ac:dyDescent="0.25">
      <c r="A350" s="2">
        <v>0</v>
      </c>
    </row>
    <row r="351" spans="1:1" x14ac:dyDescent="0.25">
      <c r="A351" s="2">
        <v>0</v>
      </c>
    </row>
    <row r="352" spans="1:1" x14ac:dyDescent="0.25">
      <c r="A352" s="2">
        <v>1</v>
      </c>
    </row>
    <row r="353" spans="1:1" x14ac:dyDescent="0.25">
      <c r="A353" s="2">
        <v>1</v>
      </c>
    </row>
    <row r="354" spans="1:1" x14ac:dyDescent="0.25">
      <c r="A354" s="2">
        <v>0</v>
      </c>
    </row>
    <row r="355" spans="1:1" x14ac:dyDescent="0.25">
      <c r="A355" s="2">
        <v>1</v>
      </c>
    </row>
    <row r="356" spans="1:1" x14ac:dyDescent="0.25">
      <c r="A356" s="2">
        <v>1</v>
      </c>
    </row>
    <row r="357" spans="1:1" x14ac:dyDescent="0.25">
      <c r="A357" s="2">
        <v>1</v>
      </c>
    </row>
    <row r="358" spans="1:1" x14ac:dyDescent="0.25">
      <c r="A358" s="2">
        <v>0</v>
      </c>
    </row>
    <row r="359" spans="1:1" x14ac:dyDescent="0.25">
      <c r="A359" s="2">
        <v>0</v>
      </c>
    </row>
    <row r="360" spans="1:1" x14ac:dyDescent="0.25">
      <c r="A360" s="2">
        <v>0</v>
      </c>
    </row>
    <row r="361" spans="1:1" x14ac:dyDescent="0.25">
      <c r="A361" s="2">
        <v>0</v>
      </c>
    </row>
    <row r="362" spans="1:1" x14ac:dyDescent="0.25">
      <c r="A362" s="2">
        <v>0</v>
      </c>
    </row>
    <row r="363" spans="1:1" x14ac:dyDescent="0.25">
      <c r="A363" s="2">
        <v>1</v>
      </c>
    </row>
    <row r="364" spans="1:1" x14ac:dyDescent="0.25">
      <c r="A364" s="2">
        <v>0</v>
      </c>
    </row>
    <row r="365" spans="1:1" x14ac:dyDescent="0.25">
      <c r="A365" s="2">
        <v>0</v>
      </c>
    </row>
    <row r="366" spans="1:1" x14ac:dyDescent="0.25">
      <c r="A366" s="2">
        <v>1</v>
      </c>
    </row>
    <row r="367" spans="1:1" x14ac:dyDescent="0.25">
      <c r="A367" s="2">
        <v>2</v>
      </c>
    </row>
    <row r="368" spans="1:1" x14ac:dyDescent="0.25">
      <c r="A368" s="2">
        <v>0</v>
      </c>
    </row>
    <row r="369" spans="1:1" x14ac:dyDescent="0.25">
      <c r="A369" s="2">
        <v>1</v>
      </c>
    </row>
    <row r="370" spans="1:1" x14ac:dyDescent="0.25">
      <c r="A370" s="2">
        <v>1</v>
      </c>
    </row>
    <row r="371" spans="1:1" x14ac:dyDescent="0.25">
      <c r="A371" s="2">
        <v>1</v>
      </c>
    </row>
    <row r="372" spans="1:1" x14ac:dyDescent="0.25">
      <c r="A372" s="2">
        <v>1</v>
      </c>
    </row>
    <row r="373" spans="1:1" x14ac:dyDescent="0.25">
      <c r="A373" s="2">
        <v>0</v>
      </c>
    </row>
    <row r="374" spans="1:1" x14ac:dyDescent="0.25">
      <c r="A374" s="2">
        <v>0</v>
      </c>
    </row>
    <row r="375" spans="1:1" x14ac:dyDescent="0.25">
      <c r="A375" s="2">
        <v>0</v>
      </c>
    </row>
    <row r="376" spans="1:1" x14ac:dyDescent="0.25">
      <c r="A376" s="2">
        <v>1</v>
      </c>
    </row>
    <row r="377" spans="1:1" x14ac:dyDescent="0.25">
      <c r="A377" s="2">
        <v>2</v>
      </c>
    </row>
    <row r="378" spans="1:1" x14ac:dyDescent="0.25">
      <c r="A378" s="2">
        <v>0</v>
      </c>
    </row>
    <row r="379" spans="1:1" x14ac:dyDescent="0.25">
      <c r="A379" s="2">
        <v>0</v>
      </c>
    </row>
    <row r="380" spans="1:1" x14ac:dyDescent="0.25">
      <c r="A380" s="2">
        <v>0</v>
      </c>
    </row>
    <row r="381" spans="1:1" x14ac:dyDescent="0.25">
      <c r="A381" s="2">
        <v>1</v>
      </c>
    </row>
    <row r="382" spans="1:1" x14ac:dyDescent="0.25">
      <c r="A382" s="2">
        <v>0</v>
      </c>
    </row>
    <row r="383" spans="1:1" x14ac:dyDescent="0.25">
      <c r="A383" s="2">
        <v>0</v>
      </c>
    </row>
    <row r="384" spans="1:1" x14ac:dyDescent="0.25">
      <c r="A384" s="2">
        <v>0</v>
      </c>
    </row>
    <row r="385" spans="1:1" x14ac:dyDescent="0.25">
      <c r="A385" s="2">
        <v>0</v>
      </c>
    </row>
    <row r="386" spans="1:1" x14ac:dyDescent="0.25">
      <c r="A386" s="2">
        <v>0</v>
      </c>
    </row>
    <row r="387" spans="1:1" x14ac:dyDescent="0.25">
      <c r="A387" s="2">
        <v>0</v>
      </c>
    </row>
    <row r="388" spans="1:1" x14ac:dyDescent="0.25">
      <c r="A388" s="2">
        <v>1</v>
      </c>
    </row>
    <row r="389" spans="1:1" x14ac:dyDescent="0.25">
      <c r="A389" s="2">
        <v>0</v>
      </c>
    </row>
    <row r="390" spans="1:1" x14ac:dyDescent="0.25">
      <c r="A390" s="2">
        <v>0</v>
      </c>
    </row>
    <row r="391" spans="1:1" x14ac:dyDescent="0.25">
      <c r="A391" s="2">
        <v>0</v>
      </c>
    </row>
    <row r="392" spans="1:1" x14ac:dyDescent="0.25">
      <c r="A392" s="2">
        <v>0</v>
      </c>
    </row>
    <row r="393" spans="1:1" x14ac:dyDescent="0.25">
      <c r="A393" s="2">
        <v>0</v>
      </c>
    </row>
    <row r="394" spans="1:1" x14ac:dyDescent="0.25">
      <c r="A394" s="2">
        <v>0</v>
      </c>
    </row>
    <row r="395" spans="1:1" x14ac:dyDescent="0.25">
      <c r="A395" s="2">
        <v>0</v>
      </c>
    </row>
    <row r="396" spans="1:1" x14ac:dyDescent="0.25">
      <c r="A396" s="2">
        <v>0</v>
      </c>
    </row>
    <row r="397" spans="1:1" x14ac:dyDescent="0.25">
      <c r="A397" s="2">
        <v>0</v>
      </c>
    </row>
    <row r="398" spans="1:1" x14ac:dyDescent="0.25">
      <c r="A398" s="2">
        <v>0</v>
      </c>
    </row>
    <row r="399" spans="1:1" x14ac:dyDescent="0.25">
      <c r="A399" s="2">
        <v>0</v>
      </c>
    </row>
    <row r="400" spans="1:1" x14ac:dyDescent="0.25">
      <c r="A400" s="2">
        <v>0</v>
      </c>
    </row>
    <row r="401" spans="1:1" x14ac:dyDescent="0.25">
      <c r="A401" s="2">
        <v>0</v>
      </c>
    </row>
    <row r="402" spans="1:1" x14ac:dyDescent="0.25">
      <c r="A402" s="2">
        <v>1</v>
      </c>
    </row>
    <row r="403" spans="1:1" x14ac:dyDescent="0.25">
      <c r="A403" s="2">
        <v>0</v>
      </c>
    </row>
    <row r="404" spans="1:1" x14ac:dyDescent="0.25">
      <c r="A404" s="2">
        <v>0</v>
      </c>
    </row>
    <row r="405" spans="1:1" x14ac:dyDescent="0.25">
      <c r="A405" s="2">
        <v>0</v>
      </c>
    </row>
    <row r="406" spans="1:1" x14ac:dyDescent="0.25">
      <c r="A406" s="2">
        <v>0</v>
      </c>
    </row>
    <row r="407" spans="1:1" x14ac:dyDescent="0.25">
      <c r="A407" s="2">
        <v>0</v>
      </c>
    </row>
    <row r="408" spans="1:1" x14ac:dyDescent="0.25">
      <c r="A408" s="2">
        <v>0</v>
      </c>
    </row>
    <row r="409" spans="1:1" x14ac:dyDescent="0.25">
      <c r="A409" s="2">
        <v>0</v>
      </c>
    </row>
    <row r="410" spans="1:1" x14ac:dyDescent="0.25">
      <c r="A410" s="2">
        <v>2</v>
      </c>
    </row>
    <row r="411" spans="1:1" x14ac:dyDescent="0.25">
      <c r="A411" s="2">
        <v>0</v>
      </c>
    </row>
    <row r="412" spans="1:1" x14ac:dyDescent="0.25">
      <c r="A412" s="2">
        <v>0</v>
      </c>
    </row>
    <row r="413" spans="1:1" x14ac:dyDescent="0.25">
      <c r="A413" s="2">
        <v>0</v>
      </c>
    </row>
    <row r="414" spans="1:1" x14ac:dyDescent="0.25">
      <c r="A414" s="2">
        <v>0</v>
      </c>
    </row>
    <row r="415" spans="1:1" x14ac:dyDescent="0.25">
      <c r="A415" s="2">
        <v>2</v>
      </c>
    </row>
    <row r="416" spans="1:1" x14ac:dyDescent="0.25">
      <c r="A416" s="2">
        <v>1</v>
      </c>
    </row>
    <row r="417" spans="1:1" x14ac:dyDescent="0.25">
      <c r="A417" s="2">
        <v>2</v>
      </c>
    </row>
    <row r="418" spans="1:1" x14ac:dyDescent="0.25">
      <c r="A418" s="2">
        <v>0</v>
      </c>
    </row>
    <row r="419" spans="1:1" x14ac:dyDescent="0.25">
      <c r="A419" s="2">
        <v>0</v>
      </c>
    </row>
    <row r="420" spans="1:1" x14ac:dyDescent="0.25">
      <c r="A420" s="2">
        <v>1</v>
      </c>
    </row>
    <row r="421" spans="1:1" x14ac:dyDescent="0.25">
      <c r="A421" s="2">
        <v>1</v>
      </c>
    </row>
    <row r="422" spans="1:1" x14ac:dyDescent="0.25">
      <c r="A422" s="2">
        <v>1</v>
      </c>
    </row>
    <row r="423" spans="1:1" x14ac:dyDescent="0.25">
      <c r="A423" s="2">
        <v>0</v>
      </c>
    </row>
    <row r="424" spans="1:1" x14ac:dyDescent="0.25">
      <c r="A424" s="2">
        <v>2</v>
      </c>
    </row>
    <row r="425" spans="1:1" x14ac:dyDescent="0.25">
      <c r="A425" s="2">
        <v>0</v>
      </c>
    </row>
    <row r="426" spans="1:1" x14ac:dyDescent="0.25">
      <c r="A426" s="2">
        <v>0</v>
      </c>
    </row>
    <row r="427" spans="1:1" x14ac:dyDescent="0.25">
      <c r="A427" s="2">
        <v>2</v>
      </c>
    </row>
    <row r="428" spans="1:1" x14ac:dyDescent="0.25">
      <c r="A428" s="2">
        <v>0</v>
      </c>
    </row>
    <row r="429" spans="1:1" x14ac:dyDescent="0.25">
      <c r="A429" s="2">
        <v>2</v>
      </c>
    </row>
    <row r="430" spans="1:1" x14ac:dyDescent="0.25">
      <c r="A430" s="2">
        <v>1</v>
      </c>
    </row>
    <row r="431" spans="1:1" x14ac:dyDescent="0.25">
      <c r="A431" s="2">
        <v>0</v>
      </c>
    </row>
    <row r="432" spans="1:1" x14ac:dyDescent="0.25">
      <c r="A432" s="2">
        <v>0</v>
      </c>
    </row>
    <row r="433" spans="1:1" x14ac:dyDescent="0.25">
      <c r="A433" s="2">
        <v>2</v>
      </c>
    </row>
    <row r="434" spans="1:1" x14ac:dyDescent="0.25">
      <c r="A434" s="2">
        <v>2</v>
      </c>
    </row>
    <row r="435" spans="1:1" x14ac:dyDescent="0.25">
      <c r="A435" s="2">
        <v>0</v>
      </c>
    </row>
    <row r="436" spans="1:1" x14ac:dyDescent="0.25">
      <c r="A436" s="2">
        <v>0</v>
      </c>
    </row>
    <row r="437" spans="1:1" x14ac:dyDescent="0.25">
      <c r="A437" s="2">
        <v>2</v>
      </c>
    </row>
    <row r="438" spans="1:1" x14ac:dyDescent="0.25">
      <c r="A438" s="2">
        <v>1</v>
      </c>
    </row>
    <row r="439" spans="1:1" x14ac:dyDescent="0.25">
      <c r="A439" s="2">
        <v>0</v>
      </c>
    </row>
    <row r="440" spans="1:1" x14ac:dyDescent="0.25">
      <c r="A440" s="2">
        <v>1</v>
      </c>
    </row>
    <row r="441" spans="1:1" x14ac:dyDescent="0.25">
      <c r="A441" s="2">
        <v>0</v>
      </c>
    </row>
    <row r="442" spans="1:1" x14ac:dyDescent="0.25">
      <c r="A442" s="2">
        <v>1</v>
      </c>
    </row>
    <row r="443" spans="1:1" x14ac:dyDescent="0.25">
      <c r="A443" s="2">
        <v>0</v>
      </c>
    </row>
    <row r="444" spans="1:1" x14ac:dyDescent="0.25">
      <c r="A444" s="2">
        <v>2</v>
      </c>
    </row>
    <row r="445" spans="1:1" x14ac:dyDescent="0.25">
      <c r="A445" s="2">
        <v>0</v>
      </c>
    </row>
    <row r="446" spans="1:1" x14ac:dyDescent="0.25">
      <c r="A446" s="2">
        <v>0</v>
      </c>
    </row>
    <row r="447" spans="1:1" x14ac:dyDescent="0.25">
      <c r="A447" s="2">
        <v>2</v>
      </c>
    </row>
    <row r="448" spans="1:1" x14ac:dyDescent="0.25">
      <c r="A448" s="2">
        <v>0</v>
      </c>
    </row>
    <row r="449" spans="1:1" x14ac:dyDescent="0.25">
      <c r="A449" s="2">
        <v>0</v>
      </c>
    </row>
    <row r="450" spans="1:1" x14ac:dyDescent="0.25">
      <c r="A450" s="2">
        <v>0</v>
      </c>
    </row>
    <row r="451" spans="1:1" x14ac:dyDescent="0.25">
      <c r="A451" s="2">
        <v>0</v>
      </c>
    </row>
    <row r="452" spans="1:1" x14ac:dyDescent="0.25">
      <c r="A452" s="2">
        <v>0</v>
      </c>
    </row>
    <row r="453" spans="1:1" x14ac:dyDescent="0.25">
      <c r="A453" s="2">
        <v>1</v>
      </c>
    </row>
    <row r="454" spans="1:1" x14ac:dyDescent="0.25">
      <c r="A454" s="2">
        <v>1</v>
      </c>
    </row>
    <row r="455" spans="1:1" x14ac:dyDescent="0.25">
      <c r="A455" s="2">
        <v>1</v>
      </c>
    </row>
    <row r="456" spans="1:1" x14ac:dyDescent="0.25">
      <c r="A456" s="2">
        <v>0</v>
      </c>
    </row>
    <row r="457" spans="1:1" x14ac:dyDescent="0.25">
      <c r="A457" s="2">
        <v>1</v>
      </c>
    </row>
    <row r="458" spans="1:1" x14ac:dyDescent="0.25">
      <c r="A458" s="2">
        <v>1</v>
      </c>
    </row>
    <row r="459" spans="1:1" x14ac:dyDescent="0.25">
      <c r="A459" s="2">
        <v>1</v>
      </c>
    </row>
    <row r="460" spans="1:1" x14ac:dyDescent="0.25">
      <c r="A460" s="2">
        <v>1</v>
      </c>
    </row>
    <row r="461" spans="1:1" x14ac:dyDescent="0.25">
      <c r="A461" s="2">
        <v>0</v>
      </c>
    </row>
    <row r="462" spans="1:1" x14ac:dyDescent="0.25">
      <c r="A462" s="2">
        <v>0</v>
      </c>
    </row>
    <row r="463" spans="1:1" x14ac:dyDescent="0.25">
      <c r="A463" s="2">
        <v>0</v>
      </c>
    </row>
    <row r="464" spans="1:1" x14ac:dyDescent="0.25">
      <c r="A464" s="2">
        <v>0</v>
      </c>
    </row>
    <row r="465" spans="1:1" x14ac:dyDescent="0.25">
      <c r="A465" s="2">
        <v>0</v>
      </c>
    </row>
    <row r="466" spans="1:1" x14ac:dyDescent="0.25">
      <c r="A466" s="2">
        <v>0</v>
      </c>
    </row>
    <row r="467" spans="1:1" x14ac:dyDescent="0.25">
      <c r="A467" s="2">
        <v>0</v>
      </c>
    </row>
    <row r="468" spans="1:1" x14ac:dyDescent="0.25">
      <c r="A468" s="2">
        <v>0</v>
      </c>
    </row>
    <row r="469" spans="1:1" x14ac:dyDescent="0.25">
      <c r="A469" s="2">
        <v>1</v>
      </c>
    </row>
    <row r="470" spans="1:1" x14ac:dyDescent="0.25">
      <c r="A470" s="2">
        <v>1</v>
      </c>
    </row>
    <row r="471" spans="1:1" x14ac:dyDescent="0.25">
      <c r="A471" s="2">
        <v>0</v>
      </c>
    </row>
    <row r="472" spans="1:1" x14ac:dyDescent="0.25">
      <c r="A472" s="2">
        <v>1</v>
      </c>
    </row>
    <row r="473" spans="1:1" x14ac:dyDescent="0.25">
      <c r="A473" s="2">
        <v>0</v>
      </c>
    </row>
    <row r="474" spans="1:1" x14ac:dyDescent="0.25">
      <c r="A474" s="2">
        <v>0</v>
      </c>
    </row>
    <row r="475" spans="1:1" x14ac:dyDescent="0.25">
      <c r="A475" s="2">
        <v>0</v>
      </c>
    </row>
    <row r="476" spans="1:1" x14ac:dyDescent="0.25">
      <c r="A476" s="2">
        <v>0</v>
      </c>
    </row>
    <row r="477" spans="1:1" x14ac:dyDescent="0.25">
      <c r="A477" s="2">
        <v>0</v>
      </c>
    </row>
    <row r="478" spans="1:1" x14ac:dyDescent="0.25">
      <c r="A478" s="2">
        <v>0</v>
      </c>
    </row>
    <row r="479" spans="1:1" x14ac:dyDescent="0.25">
      <c r="A479" s="2">
        <v>0</v>
      </c>
    </row>
    <row r="480" spans="1:1" x14ac:dyDescent="0.25">
      <c r="A480" s="2">
        <v>0</v>
      </c>
    </row>
    <row r="481" spans="1:1" x14ac:dyDescent="0.25">
      <c r="A481" s="2">
        <v>0</v>
      </c>
    </row>
    <row r="482" spans="1:1" x14ac:dyDescent="0.25">
      <c r="A482" s="2">
        <v>0</v>
      </c>
    </row>
    <row r="483" spans="1:1" x14ac:dyDescent="0.25">
      <c r="A483" s="2">
        <v>0</v>
      </c>
    </row>
    <row r="484" spans="1:1" x14ac:dyDescent="0.25">
      <c r="A484" s="2">
        <v>0</v>
      </c>
    </row>
    <row r="485" spans="1:1" x14ac:dyDescent="0.25">
      <c r="A485" s="2">
        <v>0</v>
      </c>
    </row>
    <row r="486" spans="1:1" x14ac:dyDescent="0.25">
      <c r="A486" s="2">
        <v>0</v>
      </c>
    </row>
    <row r="487" spans="1:1" x14ac:dyDescent="0.25">
      <c r="A487" s="2">
        <v>0</v>
      </c>
    </row>
    <row r="488" spans="1:1" x14ac:dyDescent="0.25">
      <c r="A488" s="2">
        <v>0</v>
      </c>
    </row>
    <row r="489" spans="1:1" x14ac:dyDescent="0.25">
      <c r="A489" s="2">
        <v>0</v>
      </c>
    </row>
    <row r="490" spans="1:1" x14ac:dyDescent="0.25">
      <c r="A490" s="2">
        <v>1</v>
      </c>
    </row>
    <row r="491" spans="1:1" x14ac:dyDescent="0.25">
      <c r="A491" s="2">
        <v>0</v>
      </c>
    </row>
    <row r="492" spans="1:1" x14ac:dyDescent="0.25">
      <c r="A492" s="2">
        <v>0</v>
      </c>
    </row>
    <row r="493" spans="1:1" x14ac:dyDescent="0.25">
      <c r="A493" s="2">
        <v>0</v>
      </c>
    </row>
    <row r="494" spans="1:1" x14ac:dyDescent="0.25">
      <c r="A494" s="2">
        <v>0</v>
      </c>
    </row>
    <row r="495" spans="1:1" x14ac:dyDescent="0.25">
      <c r="A495" s="2">
        <v>1</v>
      </c>
    </row>
    <row r="496" spans="1:1" x14ac:dyDescent="0.25">
      <c r="A496" s="2">
        <v>2</v>
      </c>
    </row>
    <row r="497" spans="1:1" x14ac:dyDescent="0.25">
      <c r="A497" s="2">
        <v>1</v>
      </c>
    </row>
    <row r="498" spans="1:1" x14ac:dyDescent="0.25">
      <c r="A498" s="2">
        <v>1</v>
      </c>
    </row>
    <row r="499" spans="1:1" x14ac:dyDescent="0.25">
      <c r="A499" s="2">
        <v>1</v>
      </c>
    </row>
    <row r="500" spans="1:1" x14ac:dyDescent="0.25">
      <c r="A500" s="2">
        <v>2</v>
      </c>
    </row>
    <row r="501" spans="1:1" x14ac:dyDescent="0.25">
      <c r="A501" s="2">
        <v>1</v>
      </c>
    </row>
    <row r="502" spans="1:1" x14ac:dyDescent="0.25">
      <c r="A502" s="2">
        <v>0</v>
      </c>
    </row>
    <row r="503" spans="1:1" x14ac:dyDescent="0.25">
      <c r="A503" s="2">
        <v>0</v>
      </c>
    </row>
    <row r="504" spans="1:1" x14ac:dyDescent="0.25">
      <c r="A504" s="2">
        <v>0</v>
      </c>
    </row>
    <row r="505" spans="1:1" x14ac:dyDescent="0.25">
      <c r="A505" s="2">
        <v>2</v>
      </c>
    </row>
    <row r="506" spans="1:1" x14ac:dyDescent="0.25">
      <c r="A506" s="2">
        <v>0</v>
      </c>
    </row>
    <row r="507" spans="1:1" x14ac:dyDescent="0.25">
      <c r="A507" s="2">
        <v>1</v>
      </c>
    </row>
    <row r="508" spans="1:1" x14ac:dyDescent="0.25">
      <c r="A508" s="2">
        <v>1</v>
      </c>
    </row>
    <row r="509" spans="1:1" x14ac:dyDescent="0.25">
      <c r="A509" s="2">
        <v>1</v>
      </c>
    </row>
    <row r="510" spans="1:1" x14ac:dyDescent="0.25">
      <c r="A510" s="2">
        <v>1</v>
      </c>
    </row>
    <row r="511" spans="1:1" x14ac:dyDescent="0.25">
      <c r="A511" s="2">
        <v>0</v>
      </c>
    </row>
    <row r="512" spans="1:1" x14ac:dyDescent="0.25">
      <c r="A512" s="2">
        <v>0</v>
      </c>
    </row>
    <row r="513" spans="1:1" x14ac:dyDescent="0.25">
      <c r="A513" s="2">
        <v>1</v>
      </c>
    </row>
    <row r="514" spans="1:1" x14ac:dyDescent="0.25">
      <c r="A514" s="2">
        <v>0</v>
      </c>
    </row>
    <row r="515" spans="1:1" x14ac:dyDescent="0.25">
      <c r="A515" s="2">
        <v>1</v>
      </c>
    </row>
    <row r="516" spans="1:1" x14ac:dyDescent="0.25">
      <c r="A516" s="2">
        <v>2</v>
      </c>
    </row>
    <row r="517" spans="1:1" x14ac:dyDescent="0.25">
      <c r="A517" s="2">
        <v>0</v>
      </c>
    </row>
    <row r="518" spans="1:1" x14ac:dyDescent="0.25">
      <c r="A518" s="2">
        <v>2</v>
      </c>
    </row>
    <row r="519" spans="1:1" x14ac:dyDescent="0.25">
      <c r="A519" s="2">
        <v>2</v>
      </c>
    </row>
    <row r="520" spans="1:1" x14ac:dyDescent="0.25">
      <c r="A520" s="2">
        <v>2</v>
      </c>
    </row>
    <row r="521" spans="1:1" x14ac:dyDescent="0.25">
      <c r="A521" s="2">
        <v>0</v>
      </c>
    </row>
    <row r="522" spans="1:1" x14ac:dyDescent="0.25">
      <c r="A522" s="2">
        <v>1</v>
      </c>
    </row>
    <row r="523" spans="1:1" x14ac:dyDescent="0.25">
      <c r="A523" s="2">
        <v>2</v>
      </c>
    </row>
    <row r="524" spans="1:1" x14ac:dyDescent="0.25">
      <c r="A524" s="2">
        <v>2</v>
      </c>
    </row>
    <row r="525" spans="1:1" x14ac:dyDescent="0.25">
      <c r="A525" s="2">
        <v>0</v>
      </c>
    </row>
    <row r="526" spans="1:1" x14ac:dyDescent="0.25">
      <c r="A526" s="2">
        <v>0</v>
      </c>
    </row>
    <row r="527" spans="1:1" x14ac:dyDescent="0.25">
      <c r="A527" s="2">
        <v>1</v>
      </c>
    </row>
    <row r="528" spans="1:1" x14ac:dyDescent="0.25">
      <c r="A528" s="2">
        <v>0</v>
      </c>
    </row>
    <row r="529" spans="1:1" x14ac:dyDescent="0.25">
      <c r="A529" s="2">
        <v>0</v>
      </c>
    </row>
    <row r="530" spans="1:1" x14ac:dyDescent="0.25">
      <c r="A530" s="2">
        <v>1</v>
      </c>
    </row>
    <row r="531" spans="1:1" x14ac:dyDescent="0.25">
      <c r="A531" s="2">
        <v>1</v>
      </c>
    </row>
    <row r="532" spans="1:1" x14ac:dyDescent="0.25">
      <c r="A532" s="2">
        <v>2</v>
      </c>
    </row>
    <row r="533" spans="1:1" x14ac:dyDescent="0.25">
      <c r="A533" s="2">
        <v>1</v>
      </c>
    </row>
    <row r="534" spans="1:1" x14ac:dyDescent="0.25">
      <c r="A534" s="2">
        <v>1</v>
      </c>
    </row>
    <row r="535" spans="1:1" x14ac:dyDescent="0.25">
      <c r="A535" s="2">
        <v>1</v>
      </c>
    </row>
    <row r="536" spans="1:1" x14ac:dyDescent="0.25">
      <c r="A536" s="2">
        <v>0</v>
      </c>
    </row>
    <row r="537" spans="1:1" x14ac:dyDescent="0.25">
      <c r="A537" s="2">
        <v>0</v>
      </c>
    </row>
    <row r="538" spans="1:1" x14ac:dyDescent="0.25">
      <c r="A538" s="2">
        <v>1</v>
      </c>
    </row>
    <row r="539" spans="1:1" x14ac:dyDescent="0.25">
      <c r="A539" s="2">
        <v>1</v>
      </c>
    </row>
    <row r="540" spans="1:1" x14ac:dyDescent="0.25">
      <c r="A540" s="2">
        <v>2</v>
      </c>
    </row>
    <row r="541" spans="1:1" x14ac:dyDescent="0.25">
      <c r="A541" s="2">
        <v>0</v>
      </c>
    </row>
    <row r="542" spans="1:1" x14ac:dyDescent="0.25">
      <c r="A542" s="2">
        <v>2</v>
      </c>
    </row>
    <row r="543" spans="1:1" x14ac:dyDescent="0.25">
      <c r="A543" s="2">
        <v>2</v>
      </c>
    </row>
    <row r="544" spans="1:1" x14ac:dyDescent="0.25">
      <c r="A544" s="2">
        <v>0</v>
      </c>
    </row>
    <row r="545" spans="1:1" x14ac:dyDescent="0.25">
      <c r="A545" s="2">
        <v>0</v>
      </c>
    </row>
    <row r="546" spans="1:1" x14ac:dyDescent="0.25">
      <c r="A546" s="2">
        <v>1</v>
      </c>
    </row>
    <row r="547" spans="1:1" x14ac:dyDescent="0.25">
      <c r="A547" s="2">
        <v>1</v>
      </c>
    </row>
    <row r="548" spans="1:1" x14ac:dyDescent="0.25">
      <c r="A548" s="2">
        <v>1</v>
      </c>
    </row>
    <row r="549" spans="1:1" x14ac:dyDescent="0.25">
      <c r="A549" s="2">
        <v>0</v>
      </c>
    </row>
    <row r="550" spans="1:1" x14ac:dyDescent="0.25">
      <c r="A550" s="2">
        <v>1</v>
      </c>
    </row>
    <row r="551" spans="1:1" x14ac:dyDescent="0.25">
      <c r="A551" s="2">
        <v>1</v>
      </c>
    </row>
    <row r="552" spans="1:1" x14ac:dyDescent="0.25">
      <c r="A552" s="2">
        <v>0</v>
      </c>
    </row>
    <row r="553" spans="1:1" x14ac:dyDescent="0.25">
      <c r="A553" s="2">
        <v>2</v>
      </c>
    </row>
    <row r="554" spans="1:1" x14ac:dyDescent="0.25">
      <c r="A554" s="2">
        <v>0</v>
      </c>
    </row>
    <row r="555" spans="1:1" x14ac:dyDescent="0.25">
      <c r="A555" s="2">
        <v>0</v>
      </c>
    </row>
    <row r="556" spans="1:1" x14ac:dyDescent="0.25">
      <c r="A556" s="2">
        <v>0</v>
      </c>
    </row>
    <row r="557" spans="1:1" x14ac:dyDescent="0.25">
      <c r="A557" s="2">
        <v>1</v>
      </c>
    </row>
    <row r="558" spans="1:1" x14ac:dyDescent="0.25">
      <c r="A558" s="2">
        <v>0</v>
      </c>
    </row>
    <row r="559" spans="1:1" x14ac:dyDescent="0.25">
      <c r="A559" s="2">
        <v>0</v>
      </c>
    </row>
    <row r="560" spans="1:1" x14ac:dyDescent="0.25">
      <c r="A560" s="2">
        <v>1</v>
      </c>
    </row>
    <row r="561" spans="1:1" x14ac:dyDescent="0.25">
      <c r="A561" s="2">
        <v>1</v>
      </c>
    </row>
    <row r="562" spans="1:1" x14ac:dyDescent="0.25">
      <c r="A562" s="2">
        <v>0</v>
      </c>
    </row>
    <row r="563" spans="1:1" x14ac:dyDescent="0.25">
      <c r="A563" s="2">
        <v>0</v>
      </c>
    </row>
    <row r="564" spans="1:1" x14ac:dyDescent="0.25">
      <c r="A564" s="2">
        <v>1</v>
      </c>
    </row>
    <row r="565" spans="1:1" x14ac:dyDescent="0.25">
      <c r="A565" s="2">
        <v>0</v>
      </c>
    </row>
    <row r="566" spans="1:1" x14ac:dyDescent="0.25">
      <c r="A566" s="2">
        <v>0</v>
      </c>
    </row>
    <row r="567" spans="1:1" x14ac:dyDescent="0.25">
      <c r="A567" s="2">
        <v>1</v>
      </c>
    </row>
    <row r="568" spans="1:1" x14ac:dyDescent="0.25">
      <c r="A568" s="2">
        <v>0</v>
      </c>
    </row>
    <row r="569" spans="1:1" x14ac:dyDescent="0.25">
      <c r="A569" s="2">
        <v>0</v>
      </c>
    </row>
    <row r="570" spans="1:1" x14ac:dyDescent="0.25">
      <c r="A570" s="2">
        <v>0</v>
      </c>
    </row>
    <row r="571" spans="1:1" x14ac:dyDescent="0.25">
      <c r="A571" s="2">
        <v>1</v>
      </c>
    </row>
    <row r="572" spans="1:1" x14ac:dyDescent="0.25">
      <c r="A572" s="2">
        <v>0</v>
      </c>
    </row>
    <row r="573" spans="1:1" x14ac:dyDescent="0.25">
      <c r="A573" s="2">
        <v>0</v>
      </c>
    </row>
    <row r="574" spans="1:1" x14ac:dyDescent="0.25">
      <c r="A574" s="2">
        <v>1</v>
      </c>
    </row>
    <row r="575" spans="1:1" x14ac:dyDescent="0.25">
      <c r="A575" s="2">
        <v>1</v>
      </c>
    </row>
    <row r="576" spans="1:1" x14ac:dyDescent="0.25">
      <c r="A576" s="2">
        <v>0</v>
      </c>
    </row>
    <row r="577" spans="1:1" x14ac:dyDescent="0.25">
      <c r="A577" s="2">
        <v>0</v>
      </c>
    </row>
    <row r="578" spans="1:1" x14ac:dyDescent="0.25">
      <c r="A578" s="2">
        <v>0</v>
      </c>
    </row>
    <row r="579" spans="1:1" x14ac:dyDescent="0.25">
      <c r="A579" s="2">
        <v>2</v>
      </c>
    </row>
    <row r="580" spans="1:1" x14ac:dyDescent="0.25">
      <c r="A580" s="2">
        <v>0</v>
      </c>
    </row>
    <row r="581" spans="1:1" x14ac:dyDescent="0.25">
      <c r="A581" s="2">
        <v>1</v>
      </c>
    </row>
    <row r="582" spans="1:1" x14ac:dyDescent="0.25">
      <c r="A582" s="2">
        <v>0</v>
      </c>
    </row>
    <row r="583" spans="1:1" x14ac:dyDescent="0.25">
      <c r="A583" s="2">
        <v>0</v>
      </c>
    </row>
    <row r="584" spans="1:1" x14ac:dyDescent="0.25">
      <c r="A584" s="2">
        <v>0</v>
      </c>
    </row>
    <row r="585" spans="1:1" x14ac:dyDescent="0.25">
      <c r="A585" s="2">
        <v>0</v>
      </c>
    </row>
    <row r="586" spans="1:1" x14ac:dyDescent="0.25">
      <c r="A586" s="2">
        <v>0</v>
      </c>
    </row>
    <row r="587" spans="1:1" x14ac:dyDescent="0.25">
      <c r="A587" s="2">
        <v>0</v>
      </c>
    </row>
    <row r="588" spans="1:1" x14ac:dyDescent="0.25">
      <c r="A588" s="2">
        <v>0</v>
      </c>
    </row>
    <row r="589" spans="1:1" x14ac:dyDescent="0.25">
      <c r="A589" s="2">
        <v>0</v>
      </c>
    </row>
    <row r="590" spans="1:1" x14ac:dyDescent="0.25">
      <c r="A590" s="2">
        <v>0</v>
      </c>
    </row>
    <row r="591" spans="1:1" x14ac:dyDescent="0.25">
      <c r="A591" s="2">
        <v>0</v>
      </c>
    </row>
    <row r="592" spans="1:1" x14ac:dyDescent="0.25">
      <c r="A592" s="2">
        <v>0</v>
      </c>
    </row>
    <row r="593" spans="1:1" x14ac:dyDescent="0.25">
      <c r="A593" s="2">
        <v>0</v>
      </c>
    </row>
    <row r="594" spans="1:1" x14ac:dyDescent="0.25">
      <c r="A594" s="2">
        <v>1</v>
      </c>
    </row>
    <row r="595" spans="1:1" x14ac:dyDescent="0.25">
      <c r="A595" s="2">
        <v>1</v>
      </c>
    </row>
    <row r="596" spans="1:1" x14ac:dyDescent="0.25">
      <c r="A596" s="2">
        <v>0</v>
      </c>
    </row>
    <row r="597" spans="1:1" x14ac:dyDescent="0.25">
      <c r="A597" s="2">
        <v>0</v>
      </c>
    </row>
    <row r="598" spans="1:1" x14ac:dyDescent="0.25">
      <c r="A598" s="2">
        <v>0</v>
      </c>
    </row>
    <row r="599" spans="1:1" x14ac:dyDescent="0.25">
      <c r="A599" s="2">
        <v>0</v>
      </c>
    </row>
    <row r="600" spans="1:1" x14ac:dyDescent="0.25">
      <c r="A600" s="2">
        <v>0</v>
      </c>
    </row>
    <row r="601" spans="1:1" x14ac:dyDescent="0.25">
      <c r="A601" s="2">
        <v>2</v>
      </c>
    </row>
    <row r="602" spans="1:1" x14ac:dyDescent="0.25">
      <c r="A602" s="2">
        <v>0</v>
      </c>
    </row>
    <row r="603" spans="1:1" x14ac:dyDescent="0.25">
      <c r="A603" s="2">
        <v>2</v>
      </c>
    </row>
    <row r="604" spans="1:1" x14ac:dyDescent="0.25">
      <c r="A604" s="2">
        <v>0</v>
      </c>
    </row>
    <row r="605" spans="1:1" x14ac:dyDescent="0.25">
      <c r="A605" s="2">
        <v>2</v>
      </c>
    </row>
    <row r="606" spans="1:1" x14ac:dyDescent="0.25">
      <c r="A606" s="2">
        <v>0</v>
      </c>
    </row>
    <row r="607" spans="1:1" x14ac:dyDescent="0.25">
      <c r="A607" s="2">
        <v>1</v>
      </c>
    </row>
    <row r="608" spans="1:1" x14ac:dyDescent="0.25">
      <c r="A608" s="2">
        <v>1</v>
      </c>
    </row>
    <row r="609" spans="1:1" x14ac:dyDescent="0.25">
      <c r="A609" s="2">
        <v>1</v>
      </c>
    </row>
    <row r="610" spans="1:1" x14ac:dyDescent="0.25">
      <c r="A610" s="2">
        <v>0</v>
      </c>
    </row>
    <row r="611" spans="1:1" x14ac:dyDescent="0.25">
      <c r="A611" s="2">
        <v>0</v>
      </c>
    </row>
    <row r="612" spans="1:1" x14ac:dyDescent="0.25">
      <c r="A612" s="2">
        <v>1</v>
      </c>
    </row>
    <row r="613" spans="1:1" x14ac:dyDescent="0.25">
      <c r="A613" s="2">
        <v>0</v>
      </c>
    </row>
    <row r="614" spans="1:1" x14ac:dyDescent="0.25">
      <c r="A614" s="2">
        <v>0</v>
      </c>
    </row>
    <row r="615" spans="1:1" x14ac:dyDescent="0.25">
      <c r="A615" s="2">
        <v>0</v>
      </c>
    </row>
    <row r="616" spans="1:1" x14ac:dyDescent="0.25">
      <c r="A616" s="2">
        <v>0</v>
      </c>
    </row>
    <row r="617" spans="1:1" x14ac:dyDescent="0.25">
      <c r="A617" s="2">
        <v>0</v>
      </c>
    </row>
    <row r="618" spans="1:1" x14ac:dyDescent="0.25">
      <c r="A618" s="2">
        <v>1</v>
      </c>
    </row>
    <row r="619" spans="1:1" x14ac:dyDescent="0.25">
      <c r="A619" s="2">
        <v>2</v>
      </c>
    </row>
    <row r="620" spans="1:1" x14ac:dyDescent="0.25">
      <c r="A620" s="2">
        <v>0</v>
      </c>
    </row>
    <row r="621" spans="1:1" x14ac:dyDescent="0.25">
      <c r="A621" s="2">
        <v>0</v>
      </c>
    </row>
    <row r="622" spans="1:1" x14ac:dyDescent="0.25">
      <c r="A622" s="2">
        <v>1</v>
      </c>
    </row>
    <row r="623" spans="1:1" x14ac:dyDescent="0.25">
      <c r="A623" s="2">
        <v>0</v>
      </c>
    </row>
    <row r="624" spans="1:1" x14ac:dyDescent="0.25">
      <c r="A624" s="2">
        <v>1</v>
      </c>
    </row>
    <row r="625" spans="1:1" x14ac:dyDescent="0.25">
      <c r="A625" s="2">
        <v>1</v>
      </c>
    </row>
    <row r="626" spans="1:1" x14ac:dyDescent="0.25">
      <c r="A626" s="2">
        <v>1</v>
      </c>
    </row>
    <row r="627" spans="1:1" x14ac:dyDescent="0.25">
      <c r="A627" s="2">
        <v>0</v>
      </c>
    </row>
    <row r="628" spans="1:1" x14ac:dyDescent="0.25">
      <c r="A628" s="2">
        <v>2</v>
      </c>
    </row>
    <row r="629" spans="1:1" x14ac:dyDescent="0.25">
      <c r="A629" s="2">
        <v>0</v>
      </c>
    </row>
    <row r="630" spans="1:1" x14ac:dyDescent="0.25">
      <c r="A630" s="2">
        <v>0</v>
      </c>
    </row>
    <row r="631" spans="1:1" x14ac:dyDescent="0.25">
      <c r="A631" s="2">
        <v>1</v>
      </c>
    </row>
    <row r="632" spans="1:1" x14ac:dyDescent="0.25">
      <c r="A632" s="2">
        <v>1</v>
      </c>
    </row>
    <row r="633" spans="1:1" x14ac:dyDescent="0.25">
      <c r="A633" s="2">
        <v>0</v>
      </c>
    </row>
    <row r="634" spans="1:1" x14ac:dyDescent="0.25">
      <c r="A634" s="2">
        <v>2</v>
      </c>
    </row>
    <row r="635" spans="1:1" x14ac:dyDescent="0.25">
      <c r="A635" s="2">
        <v>1</v>
      </c>
    </row>
    <row r="636" spans="1:1" x14ac:dyDescent="0.25">
      <c r="A636" s="2">
        <v>1</v>
      </c>
    </row>
    <row r="637" spans="1:1" x14ac:dyDescent="0.25">
      <c r="A637" s="2">
        <v>1</v>
      </c>
    </row>
    <row r="638" spans="1:1" x14ac:dyDescent="0.25">
      <c r="A638" s="2">
        <v>2</v>
      </c>
    </row>
    <row r="639" spans="1:1" x14ac:dyDescent="0.25">
      <c r="A639" s="2">
        <v>0</v>
      </c>
    </row>
    <row r="640" spans="1:1" x14ac:dyDescent="0.25">
      <c r="A640" s="2">
        <v>2</v>
      </c>
    </row>
    <row r="641" spans="1:1" x14ac:dyDescent="0.25">
      <c r="A641" s="2">
        <v>0</v>
      </c>
    </row>
    <row r="642" spans="1:1" x14ac:dyDescent="0.25">
      <c r="A642" s="2">
        <v>1</v>
      </c>
    </row>
    <row r="643" spans="1:1" x14ac:dyDescent="0.25">
      <c r="A643" s="2">
        <v>0</v>
      </c>
    </row>
    <row r="644" spans="1:1" x14ac:dyDescent="0.25">
      <c r="A644" s="2">
        <v>2</v>
      </c>
    </row>
    <row r="645" spans="1:1" x14ac:dyDescent="0.25">
      <c r="A645" s="2">
        <v>1</v>
      </c>
    </row>
    <row r="646" spans="1:1" x14ac:dyDescent="0.25">
      <c r="A646" s="2">
        <v>1</v>
      </c>
    </row>
    <row r="647" spans="1:1" x14ac:dyDescent="0.25">
      <c r="A647" s="2">
        <v>2</v>
      </c>
    </row>
    <row r="648" spans="1:1" x14ac:dyDescent="0.25">
      <c r="A648" s="2">
        <v>1</v>
      </c>
    </row>
    <row r="649" spans="1:1" x14ac:dyDescent="0.25">
      <c r="A649" s="2">
        <v>1</v>
      </c>
    </row>
    <row r="650" spans="1:1" x14ac:dyDescent="0.25">
      <c r="A650" s="2">
        <v>0</v>
      </c>
    </row>
    <row r="651" spans="1:1" x14ac:dyDescent="0.25">
      <c r="A651" s="2">
        <v>2</v>
      </c>
    </row>
    <row r="652" spans="1:1" x14ac:dyDescent="0.25">
      <c r="A652" s="2">
        <v>2</v>
      </c>
    </row>
    <row r="653" spans="1:1" x14ac:dyDescent="0.25">
      <c r="A653" s="2">
        <v>2</v>
      </c>
    </row>
    <row r="654" spans="1:1" x14ac:dyDescent="0.25">
      <c r="A654" s="2">
        <v>1</v>
      </c>
    </row>
    <row r="655" spans="1:1" x14ac:dyDescent="0.25">
      <c r="A655" s="2">
        <v>0</v>
      </c>
    </row>
    <row r="656" spans="1:1" x14ac:dyDescent="0.25">
      <c r="A656" s="2">
        <v>0</v>
      </c>
    </row>
    <row r="657" spans="1:1" x14ac:dyDescent="0.25">
      <c r="A657" s="2">
        <v>2</v>
      </c>
    </row>
    <row r="658" spans="1:1" x14ac:dyDescent="0.25">
      <c r="A658" s="2">
        <v>1</v>
      </c>
    </row>
    <row r="659" spans="1:1" x14ac:dyDescent="0.25">
      <c r="A659" s="2">
        <v>1</v>
      </c>
    </row>
    <row r="660" spans="1:1" x14ac:dyDescent="0.25">
      <c r="A660" s="2">
        <v>2</v>
      </c>
    </row>
    <row r="661" spans="1:1" x14ac:dyDescent="0.25">
      <c r="A661" s="2">
        <v>1</v>
      </c>
    </row>
    <row r="662" spans="1:1" x14ac:dyDescent="0.25">
      <c r="A662" s="2">
        <v>2</v>
      </c>
    </row>
    <row r="663" spans="1:1" x14ac:dyDescent="0.25">
      <c r="A663" s="2">
        <v>0</v>
      </c>
    </row>
    <row r="664" spans="1:1" x14ac:dyDescent="0.25">
      <c r="A664" s="2">
        <v>1</v>
      </c>
    </row>
    <row r="665" spans="1:1" x14ac:dyDescent="0.25">
      <c r="A665" s="2">
        <v>1</v>
      </c>
    </row>
    <row r="666" spans="1:1" x14ac:dyDescent="0.25">
      <c r="A666" s="2">
        <v>1</v>
      </c>
    </row>
    <row r="667" spans="1:1" x14ac:dyDescent="0.25">
      <c r="A667" s="2">
        <v>0</v>
      </c>
    </row>
    <row r="668" spans="1:1" x14ac:dyDescent="0.25">
      <c r="A668" s="2">
        <v>1</v>
      </c>
    </row>
    <row r="669" spans="1:1" x14ac:dyDescent="0.25">
      <c r="A669" s="2">
        <v>0</v>
      </c>
    </row>
    <row r="670" spans="1:1" x14ac:dyDescent="0.25">
      <c r="A670" s="2">
        <v>2</v>
      </c>
    </row>
    <row r="671" spans="1:1" x14ac:dyDescent="0.25">
      <c r="A671" s="2">
        <v>0</v>
      </c>
    </row>
    <row r="672" spans="1:1" x14ac:dyDescent="0.25">
      <c r="A672" s="2">
        <v>1</v>
      </c>
    </row>
    <row r="673" spans="1:1" x14ac:dyDescent="0.25">
      <c r="A673" s="2">
        <v>1</v>
      </c>
    </row>
    <row r="674" spans="1:1" x14ac:dyDescent="0.25">
      <c r="A674" s="2">
        <v>0</v>
      </c>
    </row>
    <row r="675" spans="1:1" x14ac:dyDescent="0.25">
      <c r="A675" s="2">
        <v>2</v>
      </c>
    </row>
    <row r="676" spans="1:1" x14ac:dyDescent="0.25">
      <c r="A676" s="2">
        <v>0</v>
      </c>
    </row>
    <row r="677" spans="1:1" x14ac:dyDescent="0.25">
      <c r="A677" s="2">
        <v>0</v>
      </c>
    </row>
    <row r="678" spans="1:1" x14ac:dyDescent="0.25">
      <c r="A678" s="2">
        <v>1</v>
      </c>
    </row>
    <row r="679" spans="1:1" x14ac:dyDescent="0.25">
      <c r="A679" s="2">
        <v>0</v>
      </c>
    </row>
    <row r="680" spans="1:1" x14ac:dyDescent="0.25">
      <c r="A680" s="2">
        <v>2</v>
      </c>
    </row>
    <row r="681" spans="1:1" x14ac:dyDescent="0.25">
      <c r="A681" s="2">
        <v>0</v>
      </c>
    </row>
    <row r="682" spans="1:1" x14ac:dyDescent="0.25">
      <c r="A682" s="2">
        <v>0</v>
      </c>
    </row>
    <row r="683" spans="1:1" x14ac:dyDescent="0.25">
      <c r="A683" s="2">
        <v>0</v>
      </c>
    </row>
    <row r="684" spans="1:1" x14ac:dyDescent="0.25">
      <c r="A684" s="2">
        <v>0</v>
      </c>
    </row>
    <row r="685" spans="1:1" x14ac:dyDescent="0.25">
      <c r="A685" s="2">
        <v>0</v>
      </c>
    </row>
    <row r="686" spans="1:1" x14ac:dyDescent="0.25">
      <c r="A686" s="2">
        <v>0</v>
      </c>
    </row>
    <row r="687" spans="1:1" x14ac:dyDescent="0.25">
      <c r="A687" s="2">
        <v>0</v>
      </c>
    </row>
    <row r="688" spans="1:1" x14ac:dyDescent="0.25">
      <c r="A688" s="2">
        <v>1</v>
      </c>
    </row>
    <row r="689" spans="1:1" x14ac:dyDescent="0.25">
      <c r="A689" s="2">
        <v>0</v>
      </c>
    </row>
    <row r="690" spans="1:1" x14ac:dyDescent="0.25">
      <c r="A690" s="2">
        <v>0</v>
      </c>
    </row>
    <row r="691" spans="1:1" x14ac:dyDescent="0.25">
      <c r="A691" s="2">
        <v>1</v>
      </c>
    </row>
    <row r="692" spans="1:1" x14ac:dyDescent="0.25">
      <c r="A692" s="2">
        <v>0</v>
      </c>
    </row>
    <row r="693" spans="1:1" x14ac:dyDescent="0.25">
      <c r="A693" s="2">
        <v>1</v>
      </c>
    </row>
    <row r="694" spans="1:1" x14ac:dyDescent="0.25">
      <c r="A694" s="2">
        <v>0</v>
      </c>
    </row>
    <row r="695" spans="1:1" x14ac:dyDescent="0.25">
      <c r="A695" s="2">
        <v>0</v>
      </c>
    </row>
    <row r="696" spans="1:1" x14ac:dyDescent="0.25">
      <c r="A696" s="2">
        <v>0</v>
      </c>
    </row>
    <row r="697" spans="1:1" x14ac:dyDescent="0.25">
      <c r="A697" s="2">
        <v>0</v>
      </c>
    </row>
    <row r="698" spans="1:1" x14ac:dyDescent="0.25">
      <c r="A698" s="2">
        <v>0</v>
      </c>
    </row>
    <row r="699" spans="1:1" x14ac:dyDescent="0.25">
      <c r="A699" s="2">
        <v>1</v>
      </c>
    </row>
    <row r="700" spans="1:1" x14ac:dyDescent="0.25">
      <c r="A700" s="2">
        <v>1</v>
      </c>
    </row>
    <row r="701" spans="1:1" x14ac:dyDescent="0.25">
      <c r="A701" s="2">
        <v>0</v>
      </c>
    </row>
    <row r="702" spans="1:1" x14ac:dyDescent="0.25">
      <c r="A702" s="2">
        <v>0</v>
      </c>
    </row>
    <row r="703" spans="1:1" x14ac:dyDescent="0.25">
      <c r="A703" s="2">
        <v>0</v>
      </c>
    </row>
    <row r="704" spans="1:1" x14ac:dyDescent="0.25">
      <c r="A704" s="2">
        <v>0</v>
      </c>
    </row>
    <row r="705" spans="1:1" x14ac:dyDescent="0.25">
      <c r="A705" s="2">
        <v>2</v>
      </c>
    </row>
    <row r="706" spans="1:1" x14ac:dyDescent="0.25">
      <c r="A706" s="2">
        <v>0</v>
      </c>
    </row>
    <row r="707" spans="1:1" x14ac:dyDescent="0.25">
      <c r="A707" s="2">
        <v>0</v>
      </c>
    </row>
    <row r="708" spans="1:1" x14ac:dyDescent="0.25">
      <c r="A708" s="2">
        <v>0</v>
      </c>
    </row>
    <row r="709" spans="1:1" x14ac:dyDescent="0.25">
      <c r="A709" s="2">
        <v>0</v>
      </c>
    </row>
    <row r="710" spans="1:1" x14ac:dyDescent="0.25">
      <c r="A710" s="2">
        <v>1</v>
      </c>
    </row>
    <row r="711" spans="1:1" x14ac:dyDescent="0.25">
      <c r="A711" s="2">
        <v>0</v>
      </c>
    </row>
    <row r="712" spans="1:1" x14ac:dyDescent="0.25">
      <c r="A712" s="2">
        <v>0</v>
      </c>
    </row>
    <row r="713" spans="1:1" x14ac:dyDescent="0.25">
      <c r="A713" s="2">
        <v>0</v>
      </c>
    </row>
    <row r="714" spans="1:1" x14ac:dyDescent="0.25">
      <c r="A714" s="2">
        <v>0</v>
      </c>
    </row>
    <row r="715" spans="1:1" x14ac:dyDescent="0.25">
      <c r="A715" s="2">
        <v>1</v>
      </c>
    </row>
    <row r="716" spans="1:1" x14ac:dyDescent="0.25">
      <c r="A716" s="2">
        <v>1</v>
      </c>
    </row>
    <row r="717" spans="1:1" x14ac:dyDescent="0.25">
      <c r="A717" s="2">
        <v>0</v>
      </c>
    </row>
    <row r="718" spans="1:1" x14ac:dyDescent="0.25">
      <c r="A718" s="2">
        <v>0</v>
      </c>
    </row>
    <row r="719" spans="1:1" x14ac:dyDescent="0.25">
      <c r="A719" s="2">
        <v>0</v>
      </c>
    </row>
    <row r="720" spans="1:1" x14ac:dyDescent="0.25">
      <c r="A720" s="2">
        <v>0</v>
      </c>
    </row>
    <row r="721" spans="1:1" x14ac:dyDescent="0.25">
      <c r="A721" s="2">
        <v>1</v>
      </c>
    </row>
    <row r="722" spans="1:1" x14ac:dyDescent="0.25">
      <c r="A722" s="2">
        <v>0</v>
      </c>
    </row>
    <row r="723" spans="1:1" x14ac:dyDescent="0.25">
      <c r="A723" s="2">
        <v>0</v>
      </c>
    </row>
    <row r="724" spans="1:1" x14ac:dyDescent="0.25">
      <c r="A724" s="2">
        <v>0</v>
      </c>
    </row>
    <row r="725" spans="1:1" x14ac:dyDescent="0.25">
      <c r="A725" s="2">
        <v>0</v>
      </c>
    </row>
    <row r="726" spans="1:1" x14ac:dyDescent="0.25">
      <c r="A726" s="2">
        <v>0</v>
      </c>
    </row>
    <row r="727" spans="1:1" x14ac:dyDescent="0.25">
      <c r="A727" s="2">
        <v>1</v>
      </c>
    </row>
    <row r="728" spans="1:1" x14ac:dyDescent="0.25">
      <c r="A728" s="2">
        <v>0</v>
      </c>
    </row>
    <row r="729" spans="1:1" x14ac:dyDescent="0.25">
      <c r="A729" s="2">
        <v>0</v>
      </c>
    </row>
    <row r="730" spans="1:1" x14ac:dyDescent="0.25">
      <c r="A730" s="2">
        <v>0</v>
      </c>
    </row>
    <row r="731" spans="1:1" x14ac:dyDescent="0.25">
      <c r="A731" s="2">
        <v>1</v>
      </c>
    </row>
    <row r="732" spans="1:1" x14ac:dyDescent="0.25">
      <c r="A732" s="2">
        <v>0</v>
      </c>
    </row>
    <row r="733" spans="1:1" x14ac:dyDescent="0.25">
      <c r="A733" s="2">
        <v>0</v>
      </c>
    </row>
    <row r="734" spans="1:1" x14ac:dyDescent="0.25">
      <c r="A734" s="2">
        <v>0</v>
      </c>
    </row>
    <row r="735" spans="1:1" x14ac:dyDescent="0.25">
      <c r="A735" s="2">
        <v>2</v>
      </c>
    </row>
    <row r="736" spans="1:1" x14ac:dyDescent="0.25">
      <c r="A736" s="2">
        <v>1</v>
      </c>
    </row>
    <row r="737" spans="1:1" x14ac:dyDescent="0.25">
      <c r="A737" s="2">
        <v>1</v>
      </c>
    </row>
    <row r="738" spans="1:1" x14ac:dyDescent="0.25">
      <c r="A738" s="2">
        <v>0</v>
      </c>
    </row>
    <row r="739" spans="1:1" x14ac:dyDescent="0.25">
      <c r="A739" s="2">
        <v>1</v>
      </c>
    </row>
    <row r="740" spans="1:1" x14ac:dyDescent="0.25">
      <c r="A740" s="2">
        <v>2</v>
      </c>
    </row>
    <row r="741" spans="1:1" x14ac:dyDescent="0.25">
      <c r="A741" s="2">
        <v>1</v>
      </c>
    </row>
    <row r="742" spans="1:1" x14ac:dyDescent="0.25">
      <c r="A742" s="2">
        <v>2</v>
      </c>
    </row>
    <row r="743" spans="1:1" x14ac:dyDescent="0.25">
      <c r="A743" s="2">
        <v>0</v>
      </c>
    </row>
    <row r="744" spans="1:1" x14ac:dyDescent="0.25">
      <c r="A744" s="2">
        <v>0</v>
      </c>
    </row>
    <row r="745" spans="1:1" x14ac:dyDescent="0.25">
      <c r="A745" s="2">
        <v>0</v>
      </c>
    </row>
    <row r="746" spans="1:1" x14ac:dyDescent="0.25">
      <c r="A746" s="2">
        <v>0</v>
      </c>
    </row>
    <row r="747" spans="1:1" x14ac:dyDescent="0.25">
      <c r="A747" s="2">
        <v>2</v>
      </c>
    </row>
    <row r="748" spans="1:1" x14ac:dyDescent="0.25">
      <c r="A748" s="2">
        <v>0</v>
      </c>
    </row>
    <row r="749" spans="1:1" x14ac:dyDescent="0.25">
      <c r="A749" s="2">
        <v>0</v>
      </c>
    </row>
    <row r="750" spans="1:1" x14ac:dyDescent="0.25">
      <c r="A750" s="2">
        <v>2</v>
      </c>
    </row>
    <row r="751" spans="1:1" x14ac:dyDescent="0.25">
      <c r="A751" s="2">
        <v>2</v>
      </c>
    </row>
    <row r="752" spans="1:1" x14ac:dyDescent="0.25">
      <c r="A752" s="2">
        <v>1</v>
      </c>
    </row>
    <row r="753" spans="1:1" x14ac:dyDescent="0.25">
      <c r="A753" s="2">
        <v>0</v>
      </c>
    </row>
    <row r="754" spans="1:1" x14ac:dyDescent="0.25">
      <c r="A754" s="2">
        <v>1</v>
      </c>
    </row>
    <row r="755" spans="1:1" x14ac:dyDescent="0.25">
      <c r="A755" s="2">
        <v>2</v>
      </c>
    </row>
    <row r="756" spans="1:1" x14ac:dyDescent="0.25">
      <c r="A756" s="2">
        <v>0</v>
      </c>
    </row>
    <row r="757" spans="1:1" x14ac:dyDescent="0.25">
      <c r="A757" s="2">
        <v>2</v>
      </c>
    </row>
    <row r="758" spans="1:1" x14ac:dyDescent="0.25">
      <c r="A758" s="2">
        <v>2</v>
      </c>
    </row>
    <row r="759" spans="1:1" x14ac:dyDescent="0.25">
      <c r="A759" s="2">
        <v>1</v>
      </c>
    </row>
    <row r="760" spans="1:1" x14ac:dyDescent="0.25">
      <c r="A760" s="2">
        <v>2</v>
      </c>
    </row>
    <row r="761" spans="1:1" x14ac:dyDescent="0.25">
      <c r="A761" s="2">
        <v>2</v>
      </c>
    </row>
    <row r="762" spans="1:1" x14ac:dyDescent="0.25">
      <c r="A762" s="2">
        <v>0</v>
      </c>
    </row>
    <row r="763" spans="1:1" x14ac:dyDescent="0.25">
      <c r="A763" s="2">
        <v>1</v>
      </c>
    </row>
    <row r="764" spans="1:1" x14ac:dyDescent="0.25">
      <c r="A764" s="2">
        <v>2</v>
      </c>
    </row>
    <row r="765" spans="1:1" x14ac:dyDescent="0.25">
      <c r="A765" s="2">
        <v>2</v>
      </c>
    </row>
    <row r="766" spans="1:1" x14ac:dyDescent="0.25">
      <c r="A766" s="2">
        <v>0</v>
      </c>
    </row>
    <row r="767" spans="1:1" x14ac:dyDescent="0.25">
      <c r="A767" s="2">
        <v>2</v>
      </c>
    </row>
    <row r="768" spans="1:1" x14ac:dyDescent="0.25">
      <c r="A768" s="2">
        <v>1</v>
      </c>
    </row>
    <row r="769" spans="1:1" x14ac:dyDescent="0.25">
      <c r="A769" s="2">
        <v>2</v>
      </c>
    </row>
    <row r="770" spans="1:1" x14ac:dyDescent="0.25">
      <c r="A770" s="2">
        <v>1</v>
      </c>
    </row>
    <row r="771" spans="1:1" x14ac:dyDescent="0.25">
      <c r="A771" s="2">
        <v>0</v>
      </c>
    </row>
    <row r="772" spans="1:1" x14ac:dyDescent="0.25">
      <c r="A772" s="2">
        <v>2</v>
      </c>
    </row>
    <row r="773" spans="1:1" x14ac:dyDescent="0.25">
      <c r="A773" s="2">
        <v>1</v>
      </c>
    </row>
    <row r="774" spans="1:1" x14ac:dyDescent="0.25">
      <c r="A774" s="2">
        <v>1</v>
      </c>
    </row>
    <row r="775" spans="1:1" x14ac:dyDescent="0.25">
      <c r="A775" s="2">
        <v>0</v>
      </c>
    </row>
    <row r="776" spans="1:1" x14ac:dyDescent="0.25">
      <c r="A776" s="2">
        <v>0</v>
      </c>
    </row>
    <row r="777" spans="1:1" x14ac:dyDescent="0.25">
      <c r="A777" s="2">
        <v>1</v>
      </c>
    </row>
    <row r="778" spans="1:1" x14ac:dyDescent="0.25">
      <c r="A778" s="2">
        <v>1</v>
      </c>
    </row>
    <row r="779" spans="1:1" x14ac:dyDescent="0.25">
      <c r="A779" s="2">
        <v>2</v>
      </c>
    </row>
    <row r="780" spans="1:1" x14ac:dyDescent="0.25">
      <c r="A780" s="2">
        <v>2</v>
      </c>
    </row>
    <row r="781" spans="1:1" x14ac:dyDescent="0.25">
      <c r="A781" s="2">
        <v>0</v>
      </c>
    </row>
    <row r="782" spans="1:1" x14ac:dyDescent="0.25">
      <c r="A782" s="2">
        <v>2</v>
      </c>
    </row>
    <row r="783" spans="1:1" x14ac:dyDescent="0.25">
      <c r="A783" s="2">
        <v>1</v>
      </c>
    </row>
    <row r="784" spans="1:1" x14ac:dyDescent="0.25">
      <c r="A784" s="2">
        <v>1</v>
      </c>
    </row>
    <row r="785" spans="1:1" x14ac:dyDescent="0.25">
      <c r="A785" s="2">
        <v>2</v>
      </c>
    </row>
    <row r="786" spans="1:1" x14ac:dyDescent="0.25">
      <c r="A786" s="2">
        <v>2</v>
      </c>
    </row>
    <row r="787" spans="1:1" x14ac:dyDescent="0.25">
      <c r="A787" s="2">
        <v>2</v>
      </c>
    </row>
    <row r="788" spans="1:1" x14ac:dyDescent="0.25">
      <c r="A788" s="2">
        <v>2</v>
      </c>
    </row>
    <row r="789" spans="1:1" x14ac:dyDescent="0.25">
      <c r="A789" s="2">
        <v>1</v>
      </c>
    </row>
    <row r="790" spans="1:1" x14ac:dyDescent="0.25">
      <c r="A790" s="2">
        <v>2</v>
      </c>
    </row>
    <row r="791" spans="1:1" x14ac:dyDescent="0.25">
      <c r="A791" s="2">
        <v>0</v>
      </c>
    </row>
    <row r="792" spans="1:1" x14ac:dyDescent="0.25">
      <c r="A792" s="2">
        <v>0</v>
      </c>
    </row>
    <row r="793" spans="1:1" x14ac:dyDescent="0.25">
      <c r="A793" s="2">
        <v>0</v>
      </c>
    </row>
    <row r="794" spans="1:1" x14ac:dyDescent="0.25">
      <c r="A794" s="2">
        <v>1</v>
      </c>
    </row>
    <row r="795" spans="1:1" x14ac:dyDescent="0.25">
      <c r="A795" s="2">
        <v>1</v>
      </c>
    </row>
    <row r="796" spans="1:1" x14ac:dyDescent="0.25">
      <c r="A796" s="2">
        <v>0</v>
      </c>
    </row>
    <row r="797" spans="1:1" x14ac:dyDescent="0.25">
      <c r="A797" s="2">
        <v>2</v>
      </c>
    </row>
    <row r="798" spans="1:1" x14ac:dyDescent="0.25">
      <c r="A798" s="2">
        <v>0</v>
      </c>
    </row>
    <row r="799" spans="1:1" x14ac:dyDescent="0.25">
      <c r="A799" s="2">
        <v>2</v>
      </c>
    </row>
    <row r="800" spans="1:1" x14ac:dyDescent="0.25">
      <c r="A800" s="2">
        <v>1</v>
      </c>
    </row>
    <row r="801" spans="1:1" x14ac:dyDescent="0.25">
      <c r="A801" s="2">
        <v>1</v>
      </c>
    </row>
    <row r="802" spans="1:1" x14ac:dyDescent="0.25">
      <c r="A802" s="2">
        <v>1</v>
      </c>
    </row>
    <row r="803" spans="1:1" x14ac:dyDescent="0.25">
      <c r="A803" s="2">
        <v>0</v>
      </c>
    </row>
    <row r="804" spans="1:1" x14ac:dyDescent="0.25">
      <c r="A804" s="2">
        <v>1</v>
      </c>
    </row>
    <row r="805" spans="1:1" x14ac:dyDescent="0.25">
      <c r="A805" s="2">
        <v>0</v>
      </c>
    </row>
    <row r="806" spans="1:1" x14ac:dyDescent="0.25">
      <c r="A806" s="2">
        <v>2</v>
      </c>
    </row>
    <row r="807" spans="1:1" x14ac:dyDescent="0.25">
      <c r="A807" s="2">
        <v>0</v>
      </c>
    </row>
    <row r="808" spans="1:1" x14ac:dyDescent="0.25">
      <c r="A808" s="2">
        <v>0</v>
      </c>
    </row>
    <row r="809" spans="1:1" x14ac:dyDescent="0.25">
      <c r="A809" s="2">
        <v>2</v>
      </c>
    </row>
    <row r="810" spans="1:1" x14ac:dyDescent="0.25">
      <c r="A810" s="2">
        <v>0</v>
      </c>
    </row>
    <row r="811" spans="1:1" x14ac:dyDescent="0.25">
      <c r="A811" s="2">
        <v>1</v>
      </c>
    </row>
    <row r="812" spans="1:1" x14ac:dyDescent="0.25">
      <c r="A812" s="2">
        <v>0</v>
      </c>
    </row>
    <row r="813" spans="1:1" x14ac:dyDescent="0.25">
      <c r="A813" s="2">
        <v>0</v>
      </c>
    </row>
    <row r="814" spans="1:1" x14ac:dyDescent="0.25">
      <c r="A814" s="2">
        <v>0</v>
      </c>
    </row>
    <row r="815" spans="1:1" x14ac:dyDescent="0.25">
      <c r="A815" s="2">
        <v>1</v>
      </c>
    </row>
    <row r="816" spans="1:1" x14ac:dyDescent="0.25">
      <c r="A816" s="2">
        <v>0</v>
      </c>
    </row>
    <row r="817" spans="1:1" x14ac:dyDescent="0.25">
      <c r="A817" s="2">
        <v>0</v>
      </c>
    </row>
    <row r="818" spans="1:1" x14ac:dyDescent="0.25">
      <c r="A818" s="2">
        <v>0</v>
      </c>
    </row>
    <row r="819" spans="1:1" x14ac:dyDescent="0.25">
      <c r="A819" s="2">
        <v>0</v>
      </c>
    </row>
    <row r="820" spans="1:1" x14ac:dyDescent="0.25">
      <c r="A820" s="2">
        <v>1</v>
      </c>
    </row>
    <row r="821" spans="1:1" x14ac:dyDescent="0.25">
      <c r="A821" s="2">
        <v>1</v>
      </c>
    </row>
    <row r="822" spans="1:1" x14ac:dyDescent="0.25">
      <c r="A822" s="2">
        <v>0</v>
      </c>
    </row>
    <row r="823" spans="1:1" x14ac:dyDescent="0.25">
      <c r="A823" s="2">
        <v>0</v>
      </c>
    </row>
    <row r="824" spans="1:1" x14ac:dyDescent="0.25">
      <c r="A824" s="2">
        <v>0</v>
      </c>
    </row>
    <row r="825" spans="1:1" x14ac:dyDescent="0.25">
      <c r="A825" s="2">
        <v>0</v>
      </c>
    </row>
    <row r="826" spans="1:1" x14ac:dyDescent="0.25">
      <c r="A826" s="2">
        <v>1</v>
      </c>
    </row>
    <row r="827" spans="1:1" x14ac:dyDescent="0.25">
      <c r="A827" s="2">
        <v>0</v>
      </c>
    </row>
    <row r="828" spans="1:1" x14ac:dyDescent="0.25">
      <c r="A828" s="2">
        <v>0</v>
      </c>
    </row>
    <row r="829" spans="1:1" x14ac:dyDescent="0.25">
      <c r="A829" s="2">
        <v>0</v>
      </c>
    </row>
    <row r="830" spans="1:1" x14ac:dyDescent="0.25">
      <c r="A830" s="2">
        <v>0</v>
      </c>
    </row>
    <row r="831" spans="1:1" x14ac:dyDescent="0.25">
      <c r="A831" s="2">
        <v>1</v>
      </c>
    </row>
    <row r="832" spans="1:1" x14ac:dyDescent="0.25">
      <c r="A832" s="2">
        <v>0</v>
      </c>
    </row>
    <row r="833" spans="1:1" x14ac:dyDescent="0.25">
      <c r="A833" s="2">
        <v>0</v>
      </c>
    </row>
    <row r="834" spans="1:1" x14ac:dyDescent="0.25">
      <c r="A834" s="2">
        <v>0</v>
      </c>
    </row>
    <row r="835" spans="1:1" x14ac:dyDescent="0.25">
      <c r="A835" s="2">
        <v>0</v>
      </c>
    </row>
    <row r="836" spans="1:1" x14ac:dyDescent="0.25">
      <c r="A836" s="2">
        <v>2</v>
      </c>
    </row>
    <row r="837" spans="1:1" x14ac:dyDescent="0.25">
      <c r="A837" s="2">
        <v>1</v>
      </c>
    </row>
    <row r="838" spans="1:1" x14ac:dyDescent="0.25">
      <c r="A838" s="2">
        <v>0</v>
      </c>
    </row>
    <row r="839" spans="1:1" x14ac:dyDescent="0.25">
      <c r="A839" s="2">
        <v>0</v>
      </c>
    </row>
    <row r="840" spans="1:1" x14ac:dyDescent="0.25">
      <c r="A840" s="2">
        <v>1</v>
      </c>
    </row>
    <row r="841" spans="1:1" x14ac:dyDescent="0.25">
      <c r="A841" s="2">
        <v>0</v>
      </c>
    </row>
    <row r="842" spans="1:1" x14ac:dyDescent="0.25">
      <c r="A842" s="2">
        <v>1</v>
      </c>
    </row>
    <row r="843" spans="1:1" x14ac:dyDescent="0.25">
      <c r="A843" s="2">
        <v>0</v>
      </c>
    </row>
    <row r="844" spans="1:1" x14ac:dyDescent="0.25">
      <c r="A844" s="2">
        <v>0</v>
      </c>
    </row>
    <row r="845" spans="1:1" x14ac:dyDescent="0.25">
      <c r="A845" s="2">
        <v>0</v>
      </c>
    </row>
    <row r="846" spans="1:1" x14ac:dyDescent="0.25">
      <c r="A846" s="2">
        <v>0</v>
      </c>
    </row>
    <row r="847" spans="1:1" x14ac:dyDescent="0.25">
      <c r="A847" s="2">
        <v>1</v>
      </c>
    </row>
    <row r="848" spans="1:1" x14ac:dyDescent="0.25">
      <c r="A848" s="2">
        <v>2</v>
      </c>
    </row>
    <row r="849" spans="1:1" x14ac:dyDescent="0.25">
      <c r="A849" s="2">
        <v>2</v>
      </c>
    </row>
    <row r="850" spans="1:1" x14ac:dyDescent="0.25">
      <c r="A850" s="2">
        <v>1</v>
      </c>
    </row>
    <row r="851" spans="1:1" x14ac:dyDescent="0.25">
      <c r="A851" s="2">
        <v>1</v>
      </c>
    </row>
    <row r="852" spans="1:1" x14ac:dyDescent="0.25">
      <c r="A852" s="2">
        <v>0</v>
      </c>
    </row>
    <row r="853" spans="1:1" x14ac:dyDescent="0.25">
      <c r="A853" s="2">
        <v>1</v>
      </c>
    </row>
    <row r="854" spans="1:1" x14ac:dyDescent="0.25">
      <c r="A854" s="2">
        <v>0</v>
      </c>
    </row>
    <row r="855" spans="1:1" x14ac:dyDescent="0.25">
      <c r="A855" s="2">
        <v>0</v>
      </c>
    </row>
    <row r="856" spans="1:1" x14ac:dyDescent="0.25">
      <c r="A856" s="2">
        <v>0</v>
      </c>
    </row>
    <row r="857" spans="1:1" x14ac:dyDescent="0.25">
      <c r="A857" s="2">
        <v>0</v>
      </c>
    </row>
    <row r="858" spans="1:1" x14ac:dyDescent="0.25">
      <c r="A858" s="2">
        <v>1</v>
      </c>
    </row>
    <row r="859" spans="1:1" x14ac:dyDescent="0.25">
      <c r="A859" s="2">
        <v>0</v>
      </c>
    </row>
    <row r="860" spans="1:1" x14ac:dyDescent="0.25">
      <c r="A860" s="2">
        <v>1</v>
      </c>
    </row>
    <row r="861" spans="1:1" x14ac:dyDescent="0.25">
      <c r="A861" s="2">
        <v>0</v>
      </c>
    </row>
    <row r="862" spans="1:1" x14ac:dyDescent="0.25">
      <c r="A862" s="2">
        <v>2</v>
      </c>
    </row>
    <row r="863" spans="1:1" x14ac:dyDescent="0.25">
      <c r="A863" s="2">
        <v>0</v>
      </c>
    </row>
    <row r="864" spans="1:1" x14ac:dyDescent="0.25">
      <c r="A864" s="2">
        <v>2</v>
      </c>
    </row>
    <row r="865" spans="1:1" x14ac:dyDescent="0.25">
      <c r="A865" s="2">
        <v>0</v>
      </c>
    </row>
    <row r="866" spans="1:1" x14ac:dyDescent="0.25">
      <c r="A866" s="2">
        <v>2</v>
      </c>
    </row>
    <row r="867" spans="1:1" x14ac:dyDescent="0.25">
      <c r="A867" s="2">
        <v>0</v>
      </c>
    </row>
    <row r="868" spans="1:1" x14ac:dyDescent="0.25">
      <c r="A868" s="2">
        <v>0</v>
      </c>
    </row>
    <row r="869" spans="1:1" x14ac:dyDescent="0.25">
      <c r="A869" s="2">
        <v>1</v>
      </c>
    </row>
    <row r="870" spans="1:1" x14ac:dyDescent="0.25">
      <c r="A870" s="2">
        <v>2</v>
      </c>
    </row>
    <row r="871" spans="1:1" x14ac:dyDescent="0.25">
      <c r="A871" s="2">
        <v>1</v>
      </c>
    </row>
    <row r="872" spans="1:1" x14ac:dyDescent="0.25">
      <c r="A872" s="2">
        <v>1</v>
      </c>
    </row>
    <row r="873" spans="1:1" x14ac:dyDescent="0.25">
      <c r="A873" s="2">
        <v>2</v>
      </c>
    </row>
    <row r="874" spans="1:1" x14ac:dyDescent="0.25">
      <c r="A874" s="2">
        <v>0</v>
      </c>
    </row>
    <row r="875" spans="1:1" x14ac:dyDescent="0.25">
      <c r="A875" s="2">
        <v>2</v>
      </c>
    </row>
    <row r="876" spans="1:1" x14ac:dyDescent="0.25">
      <c r="A876" s="2">
        <v>2</v>
      </c>
    </row>
    <row r="877" spans="1:1" x14ac:dyDescent="0.25">
      <c r="A877" s="2">
        <v>1</v>
      </c>
    </row>
    <row r="878" spans="1:1" x14ac:dyDescent="0.25">
      <c r="A878" s="2">
        <v>1</v>
      </c>
    </row>
    <row r="879" spans="1:1" x14ac:dyDescent="0.25">
      <c r="A879" s="2">
        <v>2</v>
      </c>
    </row>
    <row r="880" spans="1:1" x14ac:dyDescent="0.25">
      <c r="A880" s="2">
        <v>2</v>
      </c>
    </row>
    <row r="881" spans="1:1" x14ac:dyDescent="0.25">
      <c r="A881" s="2">
        <v>0</v>
      </c>
    </row>
    <row r="882" spans="1:1" x14ac:dyDescent="0.25">
      <c r="A882" s="2">
        <v>2</v>
      </c>
    </row>
    <row r="883" spans="1:1" x14ac:dyDescent="0.25">
      <c r="A883" s="2">
        <v>0</v>
      </c>
    </row>
    <row r="884" spans="1:1" x14ac:dyDescent="0.25">
      <c r="A884" s="2">
        <v>2</v>
      </c>
    </row>
    <row r="885" spans="1:1" x14ac:dyDescent="0.25">
      <c r="A885" s="2">
        <v>0</v>
      </c>
    </row>
    <row r="886" spans="1:1" x14ac:dyDescent="0.25">
      <c r="A886" s="2">
        <v>2</v>
      </c>
    </row>
    <row r="887" spans="1:1" x14ac:dyDescent="0.25">
      <c r="A887" s="2">
        <v>0</v>
      </c>
    </row>
    <row r="888" spans="1:1" x14ac:dyDescent="0.25">
      <c r="A888" s="2">
        <v>1</v>
      </c>
    </row>
    <row r="889" spans="1:1" x14ac:dyDescent="0.25">
      <c r="A889" s="2">
        <v>2</v>
      </c>
    </row>
    <row r="890" spans="1:1" x14ac:dyDescent="0.25">
      <c r="A890" s="2">
        <v>2</v>
      </c>
    </row>
    <row r="891" spans="1:1" x14ac:dyDescent="0.25">
      <c r="A891" s="2">
        <v>0</v>
      </c>
    </row>
    <row r="892" spans="1:1" x14ac:dyDescent="0.25">
      <c r="A892" s="2">
        <v>2</v>
      </c>
    </row>
    <row r="893" spans="1:1" x14ac:dyDescent="0.25">
      <c r="A893" s="2">
        <v>0</v>
      </c>
    </row>
    <row r="894" spans="1:1" x14ac:dyDescent="0.25">
      <c r="A894" s="2">
        <v>0</v>
      </c>
    </row>
    <row r="895" spans="1:1" x14ac:dyDescent="0.25">
      <c r="A895" s="2">
        <v>0</v>
      </c>
    </row>
    <row r="896" spans="1:1" x14ac:dyDescent="0.25">
      <c r="A896" s="2">
        <v>1</v>
      </c>
    </row>
    <row r="897" spans="1:1" x14ac:dyDescent="0.25">
      <c r="A897" s="2">
        <v>1</v>
      </c>
    </row>
    <row r="898" spans="1:1" x14ac:dyDescent="0.25">
      <c r="A898" s="2">
        <v>2</v>
      </c>
    </row>
    <row r="899" spans="1:1" x14ac:dyDescent="0.25">
      <c r="A899" s="2">
        <v>2</v>
      </c>
    </row>
    <row r="900" spans="1:1" x14ac:dyDescent="0.25">
      <c r="A900" s="2">
        <v>2</v>
      </c>
    </row>
    <row r="901" spans="1:1" x14ac:dyDescent="0.25">
      <c r="A901" s="2">
        <v>1</v>
      </c>
    </row>
    <row r="902" spans="1:1" x14ac:dyDescent="0.25">
      <c r="A902" s="2">
        <v>1</v>
      </c>
    </row>
    <row r="903" spans="1:1" x14ac:dyDescent="0.25">
      <c r="A903" s="2">
        <v>0</v>
      </c>
    </row>
    <row r="904" spans="1:1" x14ac:dyDescent="0.25">
      <c r="A904" s="2">
        <v>0</v>
      </c>
    </row>
    <row r="905" spans="1:1" x14ac:dyDescent="0.25">
      <c r="A905" s="2">
        <v>1</v>
      </c>
    </row>
    <row r="906" spans="1:1" x14ac:dyDescent="0.25">
      <c r="A906" s="2">
        <v>2</v>
      </c>
    </row>
    <row r="907" spans="1:1" x14ac:dyDescent="0.25">
      <c r="A907" s="2">
        <v>0</v>
      </c>
    </row>
    <row r="908" spans="1:1" x14ac:dyDescent="0.25">
      <c r="A908" s="2">
        <v>1</v>
      </c>
    </row>
    <row r="909" spans="1:1" x14ac:dyDescent="0.25">
      <c r="A909" s="2">
        <v>1</v>
      </c>
    </row>
    <row r="910" spans="1:1" x14ac:dyDescent="0.25">
      <c r="A910" s="2">
        <v>2</v>
      </c>
    </row>
    <row r="911" spans="1:1" x14ac:dyDescent="0.25">
      <c r="A911" s="2">
        <v>0</v>
      </c>
    </row>
    <row r="912" spans="1:1" x14ac:dyDescent="0.25">
      <c r="A912" s="2">
        <v>2</v>
      </c>
    </row>
    <row r="913" spans="1:1" x14ac:dyDescent="0.25">
      <c r="A913" s="2">
        <v>1</v>
      </c>
    </row>
    <row r="914" spans="1:1" x14ac:dyDescent="0.25">
      <c r="A914" s="2">
        <v>0</v>
      </c>
    </row>
    <row r="915" spans="1:1" x14ac:dyDescent="0.25">
      <c r="A915" s="2">
        <v>1</v>
      </c>
    </row>
    <row r="916" spans="1:1" x14ac:dyDescent="0.25">
      <c r="A916" s="2">
        <v>1</v>
      </c>
    </row>
    <row r="917" spans="1:1" x14ac:dyDescent="0.25">
      <c r="A917" s="2">
        <v>2</v>
      </c>
    </row>
    <row r="918" spans="1:1" x14ac:dyDescent="0.25">
      <c r="A918" s="2">
        <v>1</v>
      </c>
    </row>
    <row r="919" spans="1:1" x14ac:dyDescent="0.25">
      <c r="A919" s="2">
        <v>1</v>
      </c>
    </row>
    <row r="920" spans="1:1" x14ac:dyDescent="0.25">
      <c r="A920" s="2">
        <v>2</v>
      </c>
    </row>
    <row r="921" spans="1:1" x14ac:dyDescent="0.25">
      <c r="A921" s="2">
        <v>0</v>
      </c>
    </row>
    <row r="922" spans="1:1" x14ac:dyDescent="0.25">
      <c r="A922" s="2">
        <v>1</v>
      </c>
    </row>
    <row r="923" spans="1:1" x14ac:dyDescent="0.25">
      <c r="A923" s="2">
        <v>0</v>
      </c>
    </row>
    <row r="924" spans="1:1" x14ac:dyDescent="0.25">
      <c r="A924" s="2">
        <v>0</v>
      </c>
    </row>
    <row r="925" spans="1:1" x14ac:dyDescent="0.25">
      <c r="A925" s="2">
        <v>0</v>
      </c>
    </row>
    <row r="926" spans="1:1" x14ac:dyDescent="0.25">
      <c r="A926" s="2">
        <v>0</v>
      </c>
    </row>
    <row r="927" spans="1:1" x14ac:dyDescent="0.25">
      <c r="A927" s="2">
        <v>0</v>
      </c>
    </row>
    <row r="928" spans="1:1" x14ac:dyDescent="0.25">
      <c r="A928" s="2">
        <v>1</v>
      </c>
    </row>
    <row r="929" spans="1:1" x14ac:dyDescent="0.25">
      <c r="A929" s="2">
        <v>0</v>
      </c>
    </row>
    <row r="930" spans="1:1" x14ac:dyDescent="0.25">
      <c r="A930" s="2">
        <v>0</v>
      </c>
    </row>
    <row r="931" spans="1:1" x14ac:dyDescent="0.25">
      <c r="A931" s="2">
        <v>0</v>
      </c>
    </row>
    <row r="932" spans="1:1" x14ac:dyDescent="0.25">
      <c r="A932" s="2">
        <v>1</v>
      </c>
    </row>
    <row r="933" spans="1:1" x14ac:dyDescent="0.25">
      <c r="A933" s="2">
        <v>0</v>
      </c>
    </row>
    <row r="934" spans="1:1" x14ac:dyDescent="0.25">
      <c r="A934" s="2">
        <v>0</v>
      </c>
    </row>
    <row r="935" spans="1:1" x14ac:dyDescent="0.25">
      <c r="A935" s="2">
        <v>0</v>
      </c>
    </row>
    <row r="936" spans="1:1" x14ac:dyDescent="0.25">
      <c r="A936" s="2">
        <v>0</v>
      </c>
    </row>
    <row r="937" spans="1:1" x14ac:dyDescent="0.25">
      <c r="A937" s="2">
        <v>0</v>
      </c>
    </row>
    <row r="938" spans="1:1" x14ac:dyDescent="0.25">
      <c r="A938" s="2">
        <v>0</v>
      </c>
    </row>
    <row r="939" spans="1:1" x14ac:dyDescent="0.25">
      <c r="A939" s="2">
        <v>0</v>
      </c>
    </row>
    <row r="940" spans="1:1" x14ac:dyDescent="0.25">
      <c r="A940" s="2">
        <v>1</v>
      </c>
    </row>
    <row r="941" spans="1:1" x14ac:dyDescent="0.25">
      <c r="A941" s="2">
        <v>0</v>
      </c>
    </row>
    <row r="942" spans="1:1" x14ac:dyDescent="0.25">
      <c r="A942" s="2">
        <v>1</v>
      </c>
    </row>
    <row r="943" spans="1:1" x14ac:dyDescent="0.25">
      <c r="A943" s="2">
        <v>1</v>
      </c>
    </row>
    <row r="944" spans="1:1" x14ac:dyDescent="0.25">
      <c r="A944" s="2">
        <v>2</v>
      </c>
    </row>
    <row r="945" spans="1:1" x14ac:dyDescent="0.25">
      <c r="A945" s="2">
        <v>1</v>
      </c>
    </row>
    <row r="946" spans="1:1" x14ac:dyDescent="0.25">
      <c r="A946" s="2">
        <v>0</v>
      </c>
    </row>
    <row r="947" spans="1:1" x14ac:dyDescent="0.25">
      <c r="A947" s="2">
        <v>2</v>
      </c>
    </row>
    <row r="948" spans="1:1" x14ac:dyDescent="0.25">
      <c r="A948" s="2">
        <v>1</v>
      </c>
    </row>
    <row r="949" spans="1:1" x14ac:dyDescent="0.25">
      <c r="A949" s="2">
        <v>0</v>
      </c>
    </row>
    <row r="950" spans="1:1" x14ac:dyDescent="0.25">
      <c r="A950" s="2">
        <v>0</v>
      </c>
    </row>
    <row r="951" spans="1:1" x14ac:dyDescent="0.25">
      <c r="A951" s="2">
        <v>0</v>
      </c>
    </row>
    <row r="952" spans="1:1" x14ac:dyDescent="0.25">
      <c r="A952" s="2">
        <v>2</v>
      </c>
    </row>
    <row r="953" spans="1:1" x14ac:dyDescent="0.25">
      <c r="A953" s="2">
        <v>2</v>
      </c>
    </row>
    <row r="954" spans="1:1" x14ac:dyDescent="0.25">
      <c r="A954" s="2">
        <v>2</v>
      </c>
    </row>
    <row r="955" spans="1:1" x14ac:dyDescent="0.25">
      <c r="A955" s="2">
        <v>2</v>
      </c>
    </row>
    <row r="956" spans="1:1" x14ac:dyDescent="0.25">
      <c r="A956" s="2">
        <v>0</v>
      </c>
    </row>
    <row r="957" spans="1:1" x14ac:dyDescent="0.25">
      <c r="A957" s="2">
        <v>2</v>
      </c>
    </row>
    <row r="958" spans="1:1" x14ac:dyDescent="0.25">
      <c r="A958" s="2">
        <v>1</v>
      </c>
    </row>
    <row r="959" spans="1:1" x14ac:dyDescent="0.25">
      <c r="A959" s="2">
        <v>1</v>
      </c>
    </row>
    <row r="960" spans="1:1" x14ac:dyDescent="0.25">
      <c r="A960" s="2">
        <v>0</v>
      </c>
    </row>
    <row r="961" spans="1:1" x14ac:dyDescent="0.25">
      <c r="A961" s="2">
        <v>1</v>
      </c>
    </row>
    <row r="962" spans="1:1" x14ac:dyDescent="0.25">
      <c r="A962" s="2">
        <v>1</v>
      </c>
    </row>
    <row r="963" spans="1:1" x14ac:dyDescent="0.25">
      <c r="A963" s="2">
        <v>1</v>
      </c>
    </row>
    <row r="964" spans="1:1" x14ac:dyDescent="0.25">
      <c r="A964" s="2">
        <v>0</v>
      </c>
    </row>
    <row r="965" spans="1:1" x14ac:dyDescent="0.25">
      <c r="A965" s="2">
        <v>0</v>
      </c>
    </row>
    <row r="966" spans="1:1" x14ac:dyDescent="0.25">
      <c r="A966" s="2">
        <v>0</v>
      </c>
    </row>
    <row r="967" spans="1:1" x14ac:dyDescent="0.25">
      <c r="A967" s="2">
        <v>0</v>
      </c>
    </row>
    <row r="968" spans="1:1" x14ac:dyDescent="0.25">
      <c r="A968" s="2">
        <v>1</v>
      </c>
    </row>
    <row r="969" spans="1:1" x14ac:dyDescent="0.25">
      <c r="A969" s="2">
        <v>0</v>
      </c>
    </row>
    <row r="970" spans="1:1" x14ac:dyDescent="0.25">
      <c r="A970" s="2">
        <v>0</v>
      </c>
    </row>
    <row r="971" spans="1:1" x14ac:dyDescent="0.25">
      <c r="A971" s="2">
        <v>0</v>
      </c>
    </row>
    <row r="972" spans="1:1" x14ac:dyDescent="0.25">
      <c r="A972" s="2">
        <v>0</v>
      </c>
    </row>
    <row r="973" spans="1:1" x14ac:dyDescent="0.25">
      <c r="A973" s="2">
        <v>1</v>
      </c>
    </row>
    <row r="974" spans="1:1" x14ac:dyDescent="0.25">
      <c r="A974" s="2">
        <v>1</v>
      </c>
    </row>
    <row r="975" spans="1:1" x14ac:dyDescent="0.25">
      <c r="A975" s="2">
        <v>0</v>
      </c>
    </row>
    <row r="976" spans="1:1" x14ac:dyDescent="0.25">
      <c r="A976" s="2">
        <v>0</v>
      </c>
    </row>
    <row r="977" spans="1:1" x14ac:dyDescent="0.25">
      <c r="A977" s="2">
        <v>0</v>
      </c>
    </row>
    <row r="978" spans="1:1" x14ac:dyDescent="0.25">
      <c r="A978" s="2">
        <v>1</v>
      </c>
    </row>
    <row r="979" spans="1:1" x14ac:dyDescent="0.25">
      <c r="A979" s="2">
        <v>2</v>
      </c>
    </row>
    <row r="980" spans="1:1" x14ac:dyDescent="0.25">
      <c r="A980" s="2">
        <v>1</v>
      </c>
    </row>
    <row r="981" spans="1:1" x14ac:dyDescent="0.25">
      <c r="A981" s="2">
        <v>0</v>
      </c>
    </row>
    <row r="982" spans="1:1" x14ac:dyDescent="0.25">
      <c r="A982" s="2">
        <v>0</v>
      </c>
    </row>
    <row r="983" spans="1:1" x14ac:dyDescent="0.25">
      <c r="A983" s="2">
        <v>0</v>
      </c>
    </row>
    <row r="984" spans="1:1" x14ac:dyDescent="0.25">
      <c r="A984" s="2">
        <v>0</v>
      </c>
    </row>
    <row r="985" spans="1:1" x14ac:dyDescent="0.25">
      <c r="A985" s="2">
        <v>0</v>
      </c>
    </row>
    <row r="986" spans="1:1" x14ac:dyDescent="0.25">
      <c r="A986" s="2">
        <v>0</v>
      </c>
    </row>
    <row r="987" spans="1:1" x14ac:dyDescent="0.25">
      <c r="A987" s="2">
        <v>0</v>
      </c>
    </row>
    <row r="988" spans="1:1" x14ac:dyDescent="0.25">
      <c r="A988" s="2">
        <v>2</v>
      </c>
    </row>
    <row r="989" spans="1:1" x14ac:dyDescent="0.25">
      <c r="A989" s="2">
        <v>0</v>
      </c>
    </row>
    <row r="990" spans="1:1" x14ac:dyDescent="0.25">
      <c r="A990" s="2">
        <v>1</v>
      </c>
    </row>
    <row r="991" spans="1:1" x14ac:dyDescent="0.25">
      <c r="A991" s="2">
        <v>1</v>
      </c>
    </row>
    <row r="992" spans="1:1" x14ac:dyDescent="0.25">
      <c r="A992" s="2">
        <v>0</v>
      </c>
    </row>
    <row r="993" spans="1:1" x14ac:dyDescent="0.25">
      <c r="A993" s="2">
        <v>1</v>
      </c>
    </row>
    <row r="994" spans="1:1" x14ac:dyDescent="0.25">
      <c r="A994" s="2">
        <v>0</v>
      </c>
    </row>
    <row r="995" spans="1:1" x14ac:dyDescent="0.25">
      <c r="A995" s="2">
        <v>0</v>
      </c>
    </row>
    <row r="996" spans="1:1" x14ac:dyDescent="0.25">
      <c r="A996" s="2">
        <v>0</v>
      </c>
    </row>
    <row r="997" spans="1:1" x14ac:dyDescent="0.25">
      <c r="A997" s="2">
        <v>2</v>
      </c>
    </row>
    <row r="998" spans="1:1" x14ac:dyDescent="0.25">
      <c r="A998" s="2">
        <v>0</v>
      </c>
    </row>
    <row r="999" spans="1:1" x14ac:dyDescent="0.25">
      <c r="A999" s="2">
        <v>0</v>
      </c>
    </row>
    <row r="1000" spans="1:1" x14ac:dyDescent="0.25">
      <c r="A1000" s="2">
        <v>1</v>
      </c>
    </row>
    <row r="1001" spans="1:1" x14ac:dyDescent="0.25">
      <c r="A1001" s="2">
        <v>0</v>
      </c>
    </row>
    <row r="1002" spans="1:1" x14ac:dyDescent="0.25">
      <c r="A1002" s="2">
        <v>2</v>
      </c>
    </row>
    <row r="1003" spans="1:1" x14ac:dyDescent="0.25">
      <c r="A1003" s="2">
        <v>1</v>
      </c>
    </row>
    <row r="1004" spans="1:1" x14ac:dyDescent="0.25">
      <c r="A1004" s="2">
        <v>0</v>
      </c>
    </row>
    <row r="1005" spans="1:1" x14ac:dyDescent="0.25">
      <c r="A1005" s="2">
        <v>0</v>
      </c>
    </row>
    <row r="1006" spans="1:1" x14ac:dyDescent="0.25">
      <c r="A1006" s="2">
        <v>0</v>
      </c>
    </row>
    <row r="1007" spans="1:1" x14ac:dyDescent="0.25">
      <c r="A1007" s="2">
        <v>1</v>
      </c>
    </row>
    <row r="1008" spans="1:1" x14ac:dyDescent="0.25">
      <c r="A1008" s="2">
        <v>0</v>
      </c>
    </row>
    <row r="1009" spans="1:1" x14ac:dyDescent="0.25">
      <c r="A1009" s="2">
        <v>0</v>
      </c>
    </row>
    <row r="1010" spans="1:1" x14ac:dyDescent="0.25">
      <c r="A1010" s="2">
        <v>0</v>
      </c>
    </row>
    <row r="1011" spans="1:1" x14ac:dyDescent="0.25">
      <c r="A1011" s="2">
        <v>0</v>
      </c>
    </row>
    <row r="1012" spans="1:1" x14ac:dyDescent="0.25">
      <c r="A1012" s="2">
        <v>0</v>
      </c>
    </row>
    <row r="1013" spans="1:1" x14ac:dyDescent="0.25">
      <c r="A1013" s="2">
        <v>0</v>
      </c>
    </row>
    <row r="1014" spans="1:1" x14ac:dyDescent="0.25">
      <c r="A1014" s="2">
        <v>0</v>
      </c>
    </row>
    <row r="1015" spans="1:1" x14ac:dyDescent="0.25">
      <c r="A1015" s="2">
        <v>0</v>
      </c>
    </row>
    <row r="1016" spans="1:1" x14ac:dyDescent="0.25">
      <c r="A1016" s="2">
        <v>0</v>
      </c>
    </row>
    <row r="1017" spans="1:1" x14ac:dyDescent="0.25">
      <c r="A1017" s="2">
        <v>0</v>
      </c>
    </row>
    <row r="1018" spans="1:1" x14ac:dyDescent="0.25">
      <c r="A1018" s="2">
        <v>0</v>
      </c>
    </row>
    <row r="1019" spans="1:1" x14ac:dyDescent="0.25">
      <c r="A1019" s="2">
        <v>0</v>
      </c>
    </row>
    <row r="1020" spans="1:1" x14ac:dyDescent="0.25">
      <c r="A1020" s="2">
        <v>1</v>
      </c>
    </row>
    <row r="1021" spans="1:1" x14ac:dyDescent="0.25">
      <c r="A1021" s="2">
        <v>0</v>
      </c>
    </row>
    <row r="1022" spans="1:1" x14ac:dyDescent="0.25">
      <c r="A1022" s="2">
        <v>0</v>
      </c>
    </row>
    <row r="1023" spans="1:1" x14ac:dyDescent="0.25">
      <c r="A1023" s="2">
        <v>1</v>
      </c>
    </row>
    <row r="1024" spans="1:1" x14ac:dyDescent="0.25">
      <c r="A1024" s="2">
        <v>1</v>
      </c>
    </row>
    <row r="1025" spans="1:1" x14ac:dyDescent="0.25">
      <c r="A1025" s="2">
        <v>1</v>
      </c>
    </row>
    <row r="1026" spans="1:1" x14ac:dyDescent="0.25">
      <c r="A1026" s="2">
        <v>1</v>
      </c>
    </row>
    <row r="1027" spans="1:1" x14ac:dyDescent="0.25">
      <c r="A1027" s="2">
        <v>0</v>
      </c>
    </row>
    <row r="1028" spans="1:1" x14ac:dyDescent="0.25">
      <c r="A1028" s="2">
        <v>0</v>
      </c>
    </row>
    <row r="1029" spans="1:1" x14ac:dyDescent="0.25">
      <c r="A1029" s="2">
        <v>1</v>
      </c>
    </row>
    <row r="1030" spans="1:1" x14ac:dyDescent="0.25">
      <c r="A1030" s="2">
        <v>1</v>
      </c>
    </row>
    <row r="1031" spans="1:1" x14ac:dyDescent="0.25">
      <c r="A1031" s="2">
        <v>0</v>
      </c>
    </row>
    <row r="1032" spans="1:1" x14ac:dyDescent="0.25">
      <c r="A1032" s="2">
        <v>0</v>
      </c>
    </row>
    <row r="1033" spans="1:1" x14ac:dyDescent="0.25">
      <c r="A1033" s="2">
        <v>2</v>
      </c>
    </row>
    <row r="1034" spans="1:1" x14ac:dyDescent="0.25">
      <c r="A1034" s="2">
        <v>0</v>
      </c>
    </row>
    <row r="1035" spans="1:1" x14ac:dyDescent="0.25">
      <c r="A1035" s="2">
        <v>1</v>
      </c>
    </row>
    <row r="1036" spans="1:1" x14ac:dyDescent="0.25">
      <c r="A1036" s="2">
        <v>0</v>
      </c>
    </row>
    <row r="1037" spans="1:1" x14ac:dyDescent="0.25">
      <c r="A1037" s="2">
        <v>0</v>
      </c>
    </row>
    <row r="1038" spans="1:1" x14ac:dyDescent="0.25">
      <c r="A1038" s="2">
        <v>0</v>
      </c>
    </row>
    <row r="1039" spans="1:1" x14ac:dyDescent="0.25">
      <c r="A1039" s="2">
        <v>0</v>
      </c>
    </row>
    <row r="1040" spans="1:1" x14ac:dyDescent="0.25">
      <c r="A1040" s="2">
        <v>1</v>
      </c>
    </row>
    <row r="1041" spans="1:1" x14ac:dyDescent="0.25">
      <c r="A1041" s="2">
        <v>1</v>
      </c>
    </row>
    <row r="1042" spans="1:1" x14ac:dyDescent="0.25">
      <c r="A1042" s="2">
        <v>0</v>
      </c>
    </row>
    <row r="1043" spans="1:1" x14ac:dyDescent="0.25">
      <c r="A1043" s="2">
        <v>1</v>
      </c>
    </row>
    <row r="1044" spans="1:1" x14ac:dyDescent="0.25">
      <c r="A1044" s="2">
        <v>0</v>
      </c>
    </row>
    <row r="1045" spans="1:1" x14ac:dyDescent="0.25">
      <c r="A1045" s="2">
        <v>1</v>
      </c>
    </row>
    <row r="1046" spans="1:1" x14ac:dyDescent="0.25">
      <c r="A1046" s="2">
        <v>1</v>
      </c>
    </row>
    <row r="1047" spans="1:1" x14ac:dyDescent="0.25">
      <c r="A1047" s="2">
        <v>1</v>
      </c>
    </row>
    <row r="1048" spans="1:1" x14ac:dyDescent="0.25">
      <c r="A1048" s="2">
        <v>1</v>
      </c>
    </row>
    <row r="1049" spans="1:1" x14ac:dyDescent="0.25">
      <c r="A1049" s="2">
        <v>2</v>
      </c>
    </row>
    <row r="1050" spans="1:1" x14ac:dyDescent="0.25">
      <c r="A1050" s="2">
        <v>1</v>
      </c>
    </row>
    <row r="1051" spans="1:1" x14ac:dyDescent="0.25">
      <c r="A1051" s="2">
        <v>1</v>
      </c>
    </row>
    <row r="1052" spans="1:1" x14ac:dyDescent="0.25">
      <c r="A1052" s="2">
        <v>0</v>
      </c>
    </row>
    <row r="1053" spans="1:1" x14ac:dyDescent="0.25">
      <c r="A1053" s="2">
        <v>0</v>
      </c>
    </row>
    <row r="1054" spans="1:1" x14ac:dyDescent="0.25">
      <c r="A1054" s="2">
        <v>2</v>
      </c>
    </row>
    <row r="1055" spans="1:1" x14ac:dyDescent="0.25">
      <c r="A1055" s="2">
        <v>0</v>
      </c>
    </row>
    <row r="1056" spans="1:1" x14ac:dyDescent="0.25">
      <c r="A1056" s="2">
        <v>0</v>
      </c>
    </row>
    <row r="1057" spans="1:1" x14ac:dyDescent="0.25">
      <c r="A1057" s="2">
        <v>1</v>
      </c>
    </row>
    <row r="1058" spans="1:1" x14ac:dyDescent="0.25">
      <c r="A1058" s="2">
        <v>1</v>
      </c>
    </row>
    <row r="1059" spans="1:1" x14ac:dyDescent="0.25">
      <c r="A1059" s="2">
        <v>0</v>
      </c>
    </row>
    <row r="1060" spans="1:1" x14ac:dyDescent="0.25">
      <c r="A1060" s="2">
        <v>1</v>
      </c>
    </row>
    <row r="1061" spans="1:1" x14ac:dyDescent="0.25">
      <c r="A1061" s="2">
        <v>1</v>
      </c>
    </row>
    <row r="1062" spans="1:1" x14ac:dyDescent="0.25">
      <c r="A1062" s="2">
        <v>1</v>
      </c>
    </row>
    <row r="1063" spans="1:1" x14ac:dyDescent="0.25">
      <c r="A1063" s="2">
        <v>0</v>
      </c>
    </row>
    <row r="1064" spans="1:1" x14ac:dyDescent="0.25">
      <c r="A1064" s="2">
        <v>1</v>
      </c>
    </row>
    <row r="1065" spans="1:1" x14ac:dyDescent="0.25">
      <c r="A1065" s="2">
        <v>2</v>
      </c>
    </row>
    <row r="1066" spans="1:1" x14ac:dyDescent="0.25">
      <c r="A1066" s="2">
        <v>1</v>
      </c>
    </row>
    <row r="1067" spans="1:1" x14ac:dyDescent="0.25">
      <c r="A1067" s="2">
        <v>1</v>
      </c>
    </row>
    <row r="1068" spans="1:1" x14ac:dyDescent="0.25">
      <c r="A1068" s="2">
        <v>2</v>
      </c>
    </row>
    <row r="1069" spans="1:1" x14ac:dyDescent="0.25">
      <c r="A1069" s="2">
        <v>1</v>
      </c>
    </row>
    <row r="1070" spans="1:1" x14ac:dyDescent="0.25">
      <c r="A1070" s="2">
        <v>2</v>
      </c>
    </row>
    <row r="1071" spans="1:1" x14ac:dyDescent="0.25">
      <c r="A1071" s="2">
        <v>2</v>
      </c>
    </row>
    <row r="1072" spans="1:1" x14ac:dyDescent="0.25">
      <c r="A1072" s="2">
        <v>0</v>
      </c>
    </row>
    <row r="1073" spans="1:1" x14ac:dyDescent="0.25">
      <c r="A1073" s="2">
        <v>2</v>
      </c>
    </row>
    <row r="1074" spans="1:1" x14ac:dyDescent="0.25">
      <c r="A1074" s="2">
        <v>2</v>
      </c>
    </row>
    <row r="1075" spans="1:1" x14ac:dyDescent="0.25">
      <c r="A1075" s="2">
        <v>1</v>
      </c>
    </row>
    <row r="1076" spans="1:1" x14ac:dyDescent="0.25">
      <c r="A1076" s="2">
        <v>2</v>
      </c>
    </row>
    <row r="1077" spans="1:1" x14ac:dyDescent="0.25">
      <c r="A1077" s="2">
        <v>0</v>
      </c>
    </row>
    <row r="1078" spans="1:1" x14ac:dyDescent="0.25">
      <c r="A1078" s="2">
        <v>0</v>
      </c>
    </row>
    <row r="1079" spans="1:1" x14ac:dyDescent="0.25">
      <c r="A1079" s="2">
        <v>0</v>
      </c>
    </row>
    <row r="1080" spans="1:1" x14ac:dyDescent="0.25">
      <c r="A1080" s="2">
        <v>2</v>
      </c>
    </row>
    <row r="1081" spans="1:1" x14ac:dyDescent="0.25">
      <c r="A1081" s="2">
        <v>1</v>
      </c>
    </row>
    <row r="1082" spans="1:1" x14ac:dyDescent="0.25">
      <c r="A1082" s="2">
        <v>2</v>
      </c>
    </row>
    <row r="1083" spans="1:1" x14ac:dyDescent="0.25">
      <c r="A1083" s="2">
        <v>2</v>
      </c>
    </row>
    <row r="1084" spans="1:1" x14ac:dyDescent="0.25">
      <c r="A1084" s="2">
        <v>1</v>
      </c>
    </row>
    <row r="1085" spans="1:1" x14ac:dyDescent="0.25">
      <c r="A1085" s="2">
        <v>0</v>
      </c>
    </row>
    <row r="1086" spans="1:1" x14ac:dyDescent="0.25">
      <c r="A1086" s="2">
        <v>2</v>
      </c>
    </row>
    <row r="1087" spans="1:1" x14ac:dyDescent="0.25">
      <c r="A1087" s="2">
        <v>1</v>
      </c>
    </row>
    <row r="1088" spans="1:1" x14ac:dyDescent="0.25">
      <c r="A1088" s="2">
        <v>2</v>
      </c>
    </row>
    <row r="1089" spans="1:1" x14ac:dyDescent="0.25">
      <c r="A1089" s="2">
        <v>2</v>
      </c>
    </row>
    <row r="1090" spans="1:1" x14ac:dyDescent="0.25">
      <c r="A1090" s="2">
        <v>2</v>
      </c>
    </row>
    <row r="1091" spans="1:1" x14ac:dyDescent="0.25">
      <c r="A1091" s="2">
        <v>2</v>
      </c>
    </row>
    <row r="1092" spans="1:1" x14ac:dyDescent="0.25">
      <c r="A1092" s="2">
        <v>0</v>
      </c>
    </row>
    <row r="1093" spans="1:1" x14ac:dyDescent="0.25">
      <c r="A1093" s="2">
        <v>0</v>
      </c>
    </row>
    <row r="1094" spans="1:1" x14ac:dyDescent="0.25">
      <c r="A1094" s="2">
        <v>2</v>
      </c>
    </row>
    <row r="1095" spans="1:1" x14ac:dyDescent="0.25">
      <c r="A1095" s="2">
        <v>1</v>
      </c>
    </row>
    <row r="1096" spans="1:1" x14ac:dyDescent="0.25">
      <c r="A1096" s="2">
        <v>0</v>
      </c>
    </row>
    <row r="1097" spans="1:1" x14ac:dyDescent="0.25">
      <c r="A1097" s="2">
        <v>2</v>
      </c>
    </row>
    <row r="1098" spans="1:1" x14ac:dyDescent="0.25">
      <c r="A1098" s="2">
        <v>1</v>
      </c>
    </row>
    <row r="1099" spans="1:1" x14ac:dyDescent="0.25">
      <c r="A1099" s="2">
        <v>0</v>
      </c>
    </row>
    <row r="1100" spans="1:1" x14ac:dyDescent="0.25">
      <c r="A1100" s="2">
        <v>0</v>
      </c>
    </row>
    <row r="1101" spans="1:1" x14ac:dyDescent="0.25">
      <c r="A1101" s="2">
        <v>1</v>
      </c>
    </row>
    <row r="1102" spans="1:1" x14ac:dyDescent="0.25">
      <c r="A1102" s="2">
        <v>1</v>
      </c>
    </row>
    <row r="1103" spans="1:1" x14ac:dyDescent="0.25">
      <c r="A1103" s="2">
        <v>2</v>
      </c>
    </row>
    <row r="1104" spans="1:1" x14ac:dyDescent="0.25">
      <c r="A1104" s="2">
        <v>0</v>
      </c>
    </row>
    <row r="1105" spans="1:1" x14ac:dyDescent="0.25">
      <c r="A1105" s="2">
        <v>1</v>
      </c>
    </row>
    <row r="1106" spans="1:1" x14ac:dyDescent="0.25">
      <c r="A1106" s="2">
        <v>1</v>
      </c>
    </row>
    <row r="1107" spans="1:1" x14ac:dyDescent="0.25">
      <c r="A1107" s="2">
        <v>2</v>
      </c>
    </row>
    <row r="1108" spans="1:1" x14ac:dyDescent="0.25">
      <c r="A1108" s="2">
        <v>0</v>
      </c>
    </row>
    <row r="1109" spans="1:1" x14ac:dyDescent="0.25">
      <c r="A1109" s="2">
        <v>2</v>
      </c>
    </row>
    <row r="1110" spans="1:1" x14ac:dyDescent="0.25">
      <c r="A1110" s="2">
        <v>2</v>
      </c>
    </row>
    <row r="1111" spans="1:1" x14ac:dyDescent="0.25">
      <c r="A1111" s="2">
        <v>2</v>
      </c>
    </row>
    <row r="1112" spans="1:1" x14ac:dyDescent="0.25">
      <c r="A1112" s="2">
        <v>0</v>
      </c>
    </row>
    <row r="1113" spans="1:1" x14ac:dyDescent="0.25">
      <c r="A1113" s="2">
        <v>0</v>
      </c>
    </row>
    <row r="1114" spans="1:1" x14ac:dyDescent="0.25">
      <c r="A1114" s="2">
        <v>1</v>
      </c>
    </row>
    <row r="1115" spans="1:1" x14ac:dyDescent="0.25">
      <c r="A1115" s="2">
        <v>0</v>
      </c>
    </row>
    <row r="1116" spans="1:1" x14ac:dyDescent="0.25">
      <c r="A1116" s="2">
        <v>1</v>
      </c>
    </row>
    <row r="1117" spans="1:1" x14ac:dyDescent="0.25">
      <c r="A1117" s="2">
        <v>2</v>
      </c>
    </row>
    <row r="1118" spans="1:1" x14ac:dyDescent="0.25">
      <c r="A1118" s="2">
        <v>2</v>
      </c>
    </row>
    <row r="1119" spans="1:1" x14ac:dyDescent="0.25">
      <c r="A1119" s="2">
        <v>2</v>
      </c>
    </row>
    <row r="1120" spans="1:1" x14ac:dyDescent="0.25">
      <c r="A1120" s="2">
        <v>2</v>
      </c>
    </row>
    <row r="1121" spans="1:1" x14ac:dyDescent="0.25">
      <c r="A1121" s="2">
        <v>0</v>
      </c>
    </row>
    <row r="1122" spans="1:1" x14ac:dyDescent="0.25">
      <c r="A1122" s="2">
        <v>1</v>
      </c>
    </row>
    <row r="1123" spans="1:1" x14ac:dyDescent="0.25">
      <c r="A1123" s="2">
        <v>0</v>
      </c>
    </row>
    <row r="1124" spans="1:1" x14ac:dyDescent="0.25">
      <c r="A1124" s="2">
        <v>1</v>
      </c>
    </row>
    <row r="1125" spans="1:1" x14ac:dyDescent="0.25">
      <c r="A1125" s="2">
        <v>2</v>
      </c>
    </row>
    <row r="1126" spans="1:1" x14ac:dyDescent="0.25">
      <c r="A1126" s="2">
        <v>1</v>
      </c>
    </row>
    <row r="1127" spans="1:1" x14ac:dyDescent="0.25">
      <c r="A1127" s="2">
        <v>0</v>
      </c>
    </row>
    <row r="1128" spans="1:1" x14ac:dyDescent="0.25">
      <c r="A1128" s="2">
        <v>0</v>
      </c>
    </row>
    <row r="1129" spans="1:1" x14ac:dyDescent="0.25">
      <c r="A1129" s="2">
        <v>0</v>
      </c>
    </row>
    <row r="1130" spans="1:1" x14ac:dyDescent="0.25">
      <c r="A1130" s="2">
        <v>0</v>
      </c>
    </row>
    <row r="1131" spans="1:1" x14ac:dyDescent="0.25">
      <c r="A1131" s="2">
        <v>2</v>
      </c>
    </row>
    <row r="1132" spans="1:1" x14ac:dyDescent="0.25">
      <c r="A1132" s="2">
        <v>1</v>
      </c>
    </row>
    <row r="1133" spans="1:1" x14ac:dyDescent="0.25">
      <c r="A1133" s="2">
        <v>0</v>
      </c>
    </row>
    <row r="1134" spans="1:1" x14ac:dyDescent="0.25">
      <c r="A1134" s="2">
        <v>2</v>
      </c>
    </row>
    <row r="1135" spans="1:1" x14ac:dyDescent="0.25">
      <c r="A1135" s="2">
        <v>1</v>
      </c>
    </row>
    <row r="1136" spans="1:1" x14ac:dyDescent="0.25">
      <c r="A1136" s="2">
        <v>1</v>
      </c>
    </row>
    <row r="1137" spans="1:1" x14ac:dyDescent="0.25">
      <c r="A1137" s="2">
        <v>1</v>
      </c>
    </row>
    <row r="1138" spans="1:1" x14ac:dyDescent="0.25">
      <c r="A1138" s="2">
        <v>2</v>
      </c>
    </row>
    <row r="1139" spans="1:1" x14ac:dyDescent="0.25">
      <c r="A1139" s="2">
        <v>1</v>
      </c>
    </row>
    <row r="1140" spans="1:1" x14ac:dyDescent="0.25">
      <c r="A1140" s="2">
        <v>0</v>
      </c>
    </row>
    <row r="1141" spans="1:1" x14ac:dyDescent="0.25">
      <c r="A1141" s="2">
        <v>0</v>
      </c>
    </row>
    <row r="1142" spans="1:1" x14ac:dyDescent="0.25">
      <c r="A1142" s="2">
        <v>0</v>
      </c>
    </row>
    <row r="1143" spans="1:1" x14ac:dyDescent="0.25">
      <c r="A1143" s="2">
        <v>2</v>
      </c>
    </row>
    <row r="1144" spans="1:1" x14ac:dyDescent="0.25">
      <c r="A1144" s="2">
        <v>1</v>
      </c>
    </row>
    <row r="1145" spans="1:1" x14ac:dyDescent="0.25">
      <c r="A1145" s="2">
        <v>2</v>
      </c>
    </row>
    <row r="1146" spans="1:1" x14ac:dyDescent="0.25">
      <c r="A1146" s="2">
        <v>1</v>
      </c>
    </row>
    <row r="1147" spans="1:1" x14ac:dyDescent="0.25">
      <c r="A1147" s="2">
        <v>0</v>
      </c>
    </row>
    <row r="1148" spans="1:1" x14ac:dyDescent="0.25">
      <c r="A1148" s="2">
        <v>1</v>
      </c>
    </row>
    <row r="1149" spans="1:1" x14ac:dyDescent="0.25">
      <c r="A1149" s="2">
        <v>1</v>
      </c>
    </row>
    <row r="1150" spans="1:1" x14ac:dyDescent="0.25">
      <c r="A1150" s="2">
        <v>0</v>
      </c>
    </row>
    <row r="1151" spans="1:1" x14ac:dyDescent="0.25">
      <c r="A1151" s="2">
        <v>0</v>
      </c>
    </row>
    <row r="1152" spans="1:1" x14ac:dyDescent="0.25">
      <c r="A1152" s="2">
        <v>0</v>
      </c>
    </row>
    <row r="1153" spans="1:1" x14ac:dyDescent="0.25">
      <c r="A1153" s="2">
        <v>1</v>
      </c>
    </row>
    <row r="1154" spans="1:1" x14ac:dyDescent="0.25">
      <c r="A1154" s="2">
        <v>0</v>
      </c>
    </row>
    <row r="1155" spans="1:1" x14ac:dyDescent="0.25">
      <c r="A1155" s="2">
        <v>0</v>
      </c>
    </row>
    <row r="1156" spans="1:1" x14ac:dyDescent="0.25">
      <c r="A1156" s="2">
        <v>0</v>
      </c>
    </row>
    <row r="1157" spans="1:1" x14ac:dyDescent="0.25">
      <c r="A1157" s="2">
        <v>0</v>
      </c>
    </row>
    <row r="1158" spans="1:1" x14ac:dyDescent="0.25">
      <c r="A1158" s="2">
        <v>2</v>
      </c>
    </row>
    <row r="1159" spans="1:1" x14ac:dyDescent="0.25">
      <c r="A1159" s="2">
        <v>0</v>
      </c>
    </row>
    <row r="1160" spans="1:1" x14ac:dyDescent="0.25">
      <c r="A1160" s="2">
        <v>1</v>
      </c>
    </row>
    <row r="1161" spans="1:1" x14ac:dyDescent="0.25">
      <c r="A1161" s="2">
        <v>1</v>
      </c>
    </row>
    <row r="1162" spans="1:1" x14ac:dyDescent="0.25">
      <c r="A1162" s="2">
        <v>0</v>
      </c>
    </row>
    <row r="1163" spans="1:1" x14ac:dyDescent="0.25">
      <c r="A1163" s="2">
        <v>1</v>
      </c>
    </row>
    <row r="1164" spans="1:1" x14ac:dyDescent="0.25">
      <c r="A1164" s="2">
        <v>0</v>
      </c>
    </row>
    <row r="1165" spans="1:1" x14ac:dyDescent="0.25">
      <c r="A1165" s="2">
        <v>0</v>
      </c>
    </row>
    <row r="1166" spans="1:1" x14ac:dyDescent="0.25">
      <c r="A1166" s="2">
        <v>0</v>
      </c>
    </row>
    <row r="1167" spans="1:1" x14ac:dyDescent="0.25">
      <c r="A1167" s="2">
        <v>1</v>
      </c>
    </row>
    <row r="1168" spans="1:1" x14ac:dyDescent="0.25">
      <c r="A1168" s="2">
        <v>0</v>
      </c>
    </row>
    <row r="1169" spans="1:1" x14ac:dyDescent="0.25">
      <c r="A1169" s="2">
        <v>0</v>
      </c>
    </row>
    <row r="1170" spans="1:1" x14ac:dyDescent="0.25">
      <c r="A1170" s="2">
        <v>0</v>
      </c>
    </row>
    <row r="1171" spans="1:1" x14ac:dyDescent="0.25">
      <c r="A1171" s="2">
        <v>0</v>
      </c>
    </row>
    <row r="1172" spans="1:1" x14ac:dyDescent="0.25">
      <c r="A1172" s="2">
        <v>0</v>
      </c>
    </row>
    <row r="1173" spans="1:1" x14ac:dyDescent="0.25">
      <c r="A1173" s="2">
        <v>1</v>
      </c>
    </row>
    <row r="1174" spans="1:1" x14ac:dyDescent="0.25">
      <c r="A1174" s="2">
        <v>0</v>
      </c>
    </row>
    <row r="1175" spans="1:1" x14ac:dyDescent="0.25">
      <c r="A1175" s="2">
        <v>0</v>
      </c>
    </row>
    <row r="1176" spans="1:1" x14ac:dyDescent="0.25">
      <c r="A1176" s="2">
        <v>0</v>
      </c>
    </row>
    <row r="1177" spans="1:1" x14ac:dyDescent="0.25">
      <c r="A1177" s="2">
        <v>0</v>
      </c>
    </row>
    <row r="1178" spans="1:1" x14ac:dyDescent="0.25">
      <c r="A1178" s="2">
        <v>0</v>
      </c>
    </row>
    <row r="1179" spans="1:1" x14ac:dyDescent="0.25">
      <c r="A1179" s="2">
        <v>0</v>
      </c>
    </row>
    <row r="1180" spans="1:1" x14ac:dyDescent="0.25">
      <c r="A1180" s="2">
        <v>0</v>
      </c>
    </row>
    <row r="1181" spans="1:1" x14ac:dyDescent="0.25">
      <c r="A1181" s="2">
        <v>0</v>
      </c>
    </row>
    <row r="1182" spans="1:1" x14ac:dyDescent="0.25">
      <c r="A1182" s="2">
        <v>0</v>
      </c>
    </row>
    <row r="1183" spans="1:1" x14ac:dyDescent="0.25">
      <c r="A1183" s="2">
        <v>0</v>
      </c>
    </row>
    <row r="1184" spans="1:1" x14ac:dyDescent="0.25">
      <c r="A1184" s="2">
        <v>0</v>
      </c>
    </row>
    <row r="1185" spans="1:1" x14ac:dyDescent="0.25">
      <c r="A1185" s="2">
        <v>0</v>
      </c>
    </row>
    <row r="1186" spans="1:1" x14ac:dyDescent="0.25">
      <c r="A1186" s="2">
        <v>0</v>
      </c>
    </row>
    <row r="1187" spans="1:1" x14ac:dyDescent="0.25">
      <c r="A1187" s="2">
        <v>0</v>
      </c>
    </row>
    <row r="1188" spans="1:1" x14ac:dyDescent="0.25">
      <c r="A1188" s="2">
        <v>0</v>
      </c>
    </row>
    <row r="1189" spans="1:1" x14ac:dyDescent="0.25">
      <c r="A1189" s="2">
        <v>1</v>
      </c>
    </row>
    <row r="1190" spans="1:1" x14ac:dyDescent="0.25">
      <c r="A1190" s="2">
        <v>0</v>
      </c>
    </row>
    <row r="1191" spans="1:1" x14ac:dyDescent="0.25">
      <c r="A1191" s="2">
        <v>2</v>
      </c>
    </row>
    <row r="1192" spans="1:1" x14ac:dyDescent="0.25">
      <c r="A1192" s="2">
        <v>0</v>
      </c>
    </row>
    <row r="1193" spans="1:1" x14ac:dyDescent="0.25">
      <c r="A1193" s="2">
        <v>0</v>
      </c>
    </row>
    <row r="1194" spans="1:1" x14ac:dyDescent="0.25">
      <c r="A1194" s="2">
        <v>0</v>
      </c>
    </row>
    <row r="1195" spans="1:1" x14ac:dyDescent="0.25">
      <c r="A1195" s="2">
        <v>0</v>
      </c>
    </row>
    <row r="1196" spans="1:1" x14ac:dyDescent="0.25">
      <c r="A1196" s="2">
        <v>0</v>
      </c>
    </row>
    <row r="1197" spans="1:1" x14ac:dyDescent="0.25">
      <c r="A1197" s="2">
        <v>0</v>
      </c>
    </row>
    <row r="1198" spans="1:1" x14ac:dyDescent="0.25">
      <c r="A1198" s="2">
        <v>0</v>
      </c>
    </row>
    <row r="1199" spans="1:1" x14ac:dyDescent="0.25">
      <c r="A1199" s="2">
        <v>0</v>
      </c>
    </row>
    <row r="1200" spans="1:1" x14ac:dyDescent="0.25">
      <c r="A1200" s="2">
        <v>0</v>
      </c>
    </row>
    <row r="1201" spans="1:1" x14ac:dyDescent="0.25">
      <c r="A1201" s="2">
        <v>0</v>
      </c>
    </row>
    <row r="1202" spans="1:1" x14ac:dyDescent="0.25">
      <c r="A1202" s="2">
        <v>0</v>
      </c>
    </row>
    <row r="1203" spans="1:1" x14ac:dyDescent="0.25">
      <c r="A1203" s="2">
        <v>1</v>
      </c>
    </row>
    <row r="1204" spans="1:1" x14ac:dyDescent="0.25">
      <c r="A1204" s="2">
        <v>0</v>
      </c>
    </row>
    <row r="1205" spans="1:1" x14ac:dyDescent="0.25">
      <c r="A1205" s="2">
        <v>0</v>
      </c>
    </row>
    <row r="1206" spans="1:1" x14ac:dyDescent="0.25">
      <c r="A1206" s="2">
        <v>0</v>
      </c>
    </row>
    <row r="1207" spans="1:1" x14ac:dyDescent="0.25">
      <c r="A1207" s="2">
        <v>0</v>
      </c>
    </row>
    <row r="1208" spans="1:1" x14ac:dyDescent="0.25">
      <c r="A1208" s="2">
        <v>2</v>
      </c>
    </row>
    <row r="1209" spans="1:1" x14ac:dyDescent="0.25">
      <c r="A1209" s="2">
        <v>0</v>
      </c>
    </row>
    <row r="1210" spans="1:1" x14ac:dyDescent="0.25">
      <c r="A1210" s="2">
        <v>0</v>
      </c>
    </row>
    <row r="1211" spans="1:1" x14ac:dyDescent="0.25">
      <c r="A1211" s="2">
        <v>0</v>
      </c>
    </row>
    <row r="1212" spans="1:1" x14ac:dyDescent="0.25">
      <c r="A1212" s="2">
        <v>0</v>
      </c>
    </row>
    <row r="1213" spans="1:1" x14ac:dyDescent="0.25">
      <c r="A1213" s="2">
        <v>0</v>
      </c>
    </row>
    <row r="1214" spans="1:1" x14ac:dyDescent="0.25">
      <c r="A1214" s="2">
        <v>0</v>
      </c>
    </row>
    <row r="1215" spans="1:1" x14ac:dyDescent="0.25">
      <c r="A1215" s="2">
        <v>0</v>
      </c>
    </row>
    <row r="1216" spans="1:1" x14ac:dyDescent="0.25">
      <c r="A1216" s="2">
        <v>1</v>
      </c>
    </row>
    <row r="1217" spans="1:1" x14ac:dyDescent="0.25">
      <c r="A1217" s="2">
        <v>0</v>
      </c>
    </row>
    <row r="1218" spans="1:1" x14ac:dyDescent="0.25">
      <c r="A1218" s="2">
        <v>0</v>
      </c>
    </row>
    <row r="1219" spans="1:1" x14ac:dyDescent="0.25">
      <c r="A1219" s="2">
        <v>0</v>
      </c>
    </row>
    <row r="1220" spans="1:1" x14ac:dyDescent="0.25">
      <c r="A1220" s="2">
        <v>0</v>
      </c>
    </row>
    <row r="1221" spans="1:1" x14ac:dyDescent="0.25">
      <c r="A1221" s="2">
        <v>0</v>
      </c>
    </row>
    <row r="1222" spans="1:1" x14ac:dyDescent="0.25">
      <c r="A1222" s="2">
        <v>1</v>
      </c>
    </row>
    <row r="1223" spans="1:1" x14ac:dyDescent="0.25">
      <c r="A1223" s="2">
        <v>1</v>
      </c>
    </row>
    <row r="1224" spans="1:1" x14ac:dyDescent="0.25">
      <c r="A1224" s="2">
        <v>0</v>
      </c>
    </row>
    <row r="1225" spans="1:1" x14ac:dyDescent="0.25">
      <c r="A1225" s="2">
        <v>1</v>
      </c>
    </row>
    <row r="1226" spans="1:1" x14ac:dyDescent="0.25">
      <c r="A1226" s="2">
        <v>0</v>
      </c>
    </row>
    <row r="1227" spans="1:1" x14ac:dyDescent="0.25">
      <c r="A1227" s="2">
        <v>1</v>
      </c>
    </row>
    <row r="1228" spans="1:1" x14ac:dyDescent="0.25">
      <c r="A1228" s="2">
        <v>2</v>
      </c>
    </row>
    <row r="1229" spans="1:1" x14ac:dyDescent="0.25">
      <c r="A1229" s="2">
        <v>2</v>
      </c>
    </row>
    <row r="1230" spans="1:1" x14ac:dyDescent="0.25">
      <c r="A1230" s="2">
        <v>1</v>
      </c>
    </row>
    <row r="1231" spans="1:1" x14ac:dyDescent="0.25">
      <c r="A1231" s="2">
        <v>2</v>
      </c>
    </row>
    <row r="1232" spans="1:1" x14ac:dyDescent="0.25">
      <c r="A1232" s="2">
        <v>0</v>
      </c>
    </row>
    <row r="1233" spans="1:1" x14ac:dyDescent="0.25">
      <c r="A1233" s="2">
        <v>1</v>
      </c>
    </row>
    <row r="1234" spans="1:1" x14ac:dyDescent="0.25">
      <c r="A1234" s="2">
        <v>1</v>
      </c>
    </row>
    <row r="1235" spans="1:1" x14ac:dyDescent="0.25">
      <c r="A1235" s="2">
        <v>1</v>
      </c>
    </row>
    <row r="1236" spans="1:1" x14ac:dyDescent="0.25">
      <c r="A1236" s="2">
        <v>2</v>
      </c>
    </row>
    <row r="1237" spans="1:1" x14ac:dyDescent="0.25">
      <c r="A1237" s="2">
        <v>0</v>
      </c>
    </row>
    <row r="1238" spans="1:1" x14ac:dyDescent="0.25">
      <c r="A1238" s="2">
        <v>2</v>
      </c>
    </row>
    <row r="1239" spans="1:1" x14ac:dyDescent="0.25">
      <c r="A1239" s="2">
        <v>0</v>
      </c>
    </row>
    <row r="1240" spans="1:1" x14ac:dyDescent="0.25">
      <c r="A1240" s="2">
        <v>0</v>
      </c>
    </row>
    <row r="1241" spans="1:1" x14ac:dyDescent="0.25">
      <c r="A1241" s="2">
        <v>0</v>
      </c>
    </row>
    <row r="1242" spans="1:1" x14ac:dyDescent="0.25">
      <c r="A1242" s="2">
        <v>1</v>
      </c>
    </row>
    <row r="1243" spans="1:1" x14ac:dyDescent="0.25">
      <c r="A1243" s="2">
        <v>1</v>
      </c>
    </row>
    <row r="1244" spans="1:1" x14ac:dyDescent="0.25">
      <c r="A1244" s="2">
        <v>0</v>
      </c>
    </row>
    <row r="1245" spans="1:1" x14ac:dyDescent="0.25">
      <c r="A1245" s="2">
        <v>0</v>
      </c>
    </row>
    <row r="1246" spans="1:1" x14ac:dyDescent="0.25">
      <c r="A1246" s="2">
        <v>0</v>
      </c>
    </row>
    <row r="1247" spans="1:1" x14ac:dyDescent="0.25">
      <c r="A1247" s="2">
        <v>2</v>
      </c>
    </row>
    <row r="1248" spans="1:1" x14ac:dyDescent="0.25">
      <c r="A1248" s="2">
        <v>1</v>
      </c>
    </row>
    <row r="1249" spans="1:1" x14ac:dyDescent="0.25">
      <c r="A1249" s="2">
        <v>1</v>
      </c>
    </row>
    <row r="1250" spans="1:1" x14ac:dyDescent="0.25">
      <c r="A1250" s="2">
        <v>0</v>
      </c>
    </row>
    <row r="1251" spans="1:1" x14ac:dyDescent="0.25">
      <c r="A1251" s="2">
        <v>0</v>
      </c>
    </row>
    <row r="1252" spans="1:1" x14ac:dyDescent="0.25">
      <c r="A1252" s="2">
        <v>2</v>
      </c>
    </row>
    <row r="1253" spans="1:1" x14ac:dyDescent="0.25">
      <c r="A1253" s="2">
        <v>0</v>
      </c>
    </row>
    <row r="1254" spans="1:1" x14ac:dyDescent="0.25">
      <c r="A1254" s="2">
        <v>0</v>
      </c>
    </row>
    <row r="1255" spans="1:1" x14ac:dyDescent="0.25">
      <c r="A1255" s="2">
        <v>2</v>
      </c>
    </row>
    <row r="1256" spans="1:1" x14ac:dyDescent="0.25">
      <c r="A1256" s="2">
        <v>0</v>
      </c>
    </row>
    <row r="1257" spans="1:1" x14ac:dyDescent="0.25">
      <c r="A1257" s="2">
        <v>0</v>
      </c>
    </row>
    <row r="1258" spans="1:1" x14ac:dyDescent="0.25">
      <c r="A1258" s="2">
        <v>2</v>
      </c>
    </row>
    <row r="1259" spans="1:1" x14ac:dyDescent="0.25">
      <c r="A1259" s="2">
        <v>1</v>
      </c>
    </row>
    <row r="1260" spans="1:1" x14ac:dyDescent="0.25">
      <c r="A1260" s="2">
        <v>0</v>
      </c>
    </row>
    <row r="1261" spans="1:1" x14ac:dyDescent="0.25">
      <c r="A1261" s="2">
        <v>1</v>
      </c>
    </row>
    <row r="1262" spans="1:1" x14ac:dyDescent="0.25">
      <c r="A1262" s="2">
        <v>2</v>
      </c>
    </row>
    <row r="1263" spans="1:1" x14ac:dyDescent="0.25">
      <c r="A1263" s="2">
        <v>1</v>
      </c>
    </row>
    <row r="1264" spans="1:1" x14ac:dyDescent="0.25">
      <c r="A1264" s="2">
        <v>0</v>
      </c>
    </row>
    <row r="1265" spans="1:1" x14ac:dyDescent="0.25">
      <c r="A1265" s="2">
        <v>1</v>
      </c>
    </row>
    <row r="1266" spans="1:1" x14ac:dyDescent="0.25">
      <c r="A1266" s="2">
        <v>1</v>
      </c>
    </row>
    <row r="1267" spans="1:1" x14ac:dyDescent="0.25">
      <c r="A1267" s="2">
        <v>0</v>
      </c>
    </row>
    <row r="1268" spans="1:1" x14ac:dyDescent="0.25">
      <c r="A1268" s="2">
        <v>0</v>
      </c>
    </row>
    <row r="1269" spans="1:1" x14ac:dyDescent="0.25">
      <c r="A1269" s="2">
        <v>0</v>
      </c>
    </row>
    <row r="1270" spans="1:1" x14ac:dyDescent="0.25">
      <c r="A1270" s="2">
        <v>2</v>
      </c>
    </row>
    <row r="1271" spans="1:1" x14ac:dyDescent="0.25">
      <c r="A1271" s="2">
        <v>0</v>
      </c>
    </row>
    <row r="1272" spans="1:1" x14ac:dyDescent="0.25">
      <c r="A1272" s="2">
        <v>1</v>
      </c>
    </row>
    <row r="1273" spans="1:1" x14ac:dyDescent="0.25">
      <c r="A1273" s="2">
        <v>0</v>
      </c>
    </row>
    <row r="1274" spans="1:1" x14ac:dyDescent="0.25">
      <c r="A1274" s="2">
        <v>1</v>
      </c>
    </row>
    <row r="1275" spans="1:1" x14ac:dyDescent="0.25">
      <c r="A1275" s="2">
        <v>2</v>
      </c>
    </row>
    <row r="1276" spans="1:1" x14ac:dyDescent="0.25">
      <c r="A1276" s="2">
        <v>2</v>
      </c>
    </row>
    <row r="1277" spans="1:1" x14ac:dyDescent="0.25">
      <c r="A1277" s="2">
        <v>1</v>
      </c>
    </row>
    <row r="1278" spans="1:1" x14ac:dyDescent="0.25">
      <c r="A1278" s="2">
        <v>2</v>
      </c>
    </row>
    <row r="1279" spans="1:1" x14ac:dyDescent="0.25">
      <c r="A1279" s="2">
        <v>0</v>
      </c>
    </row>
    <row r="1280" spans="1:1" x14ac:dyDescent="0.25">
      <c r="A1280" s="2">
        <v>0</v>
      </c>
    </row>
    <row r="1281" spans="1:1" x14ac:dyDescent="0.25">
      <c r="A1281" s="2">
        <v>0</v>
      </c>
    </row>
    <row r="1282" spans="1:1" x14ac:dyDescent="0.25">
      <c r="A1282" s="2">
        <v>0</v>
      </c>
    </row>
    <row r="1283" spans="1:1" x14ac:dyDescent="0.25">
      <c r="A1283" s="2">
        <v>0</v>
      </c>
    </row>
    <row r="1284" spans="1:1" x14ac:dyDescent="0.25">
      <c r="A1284" s="2">
        <v>2</v>
      </c>
    </row>
    <row r="1285" spans="1:1" x14ac:dyDescent="0.25">
      <c r="A1285" s="2">
        <v>2</v>
      </c>
    </row>
    <row r="1286" spans="1:1" x14ac:dyDescent="0.25">
      <c r="A1286" s="2">
        <v>2</v>
      </c>
    </row>
    <row r="1287" spans="1:1" x14ac:dyDescent="0.25">
      <c r="A1287" s="2">
        <v>2</v>
      </c>
    </row>
    <row r="1288" spans="1:1" x14ac:dyDescent="0.25">
      <c r="A1288" s="2">
        <v>2</v>
      </c>
    </row>
    <row r="1289" spans="1:1" x14ac:dyDescent="0.25">
      <c r="A1289" s="2">
        <v>0</v>
      </c>
    </row>
    <row r="1290" spans="1:1" x14ac:dyDescent="0.25">
      <c r="A1290" s="2">
        <v>2</v>
      </c>
    </row>
    <row r="1291" spans="1:1" x14ac:dyDescent="0.25">
      <c r="A1291" s="2">
        <v>1</v>
      </c>
    </row>
    <row r="1292" spans="1:1" x14ac:dyDescent="0.25">
      <c r="A1292" s="2">
        <v>2</v>
      </c>
    </row>
    <row r="1293" spans="1:1" x14ac:dyDescent="0.25">
      <c r="A1293" s="2">
        <v>0</v>
      </c>
    </row>
    <row r="1294" spans="1:1" x14ac:dyDescent="0.25">
      <c r="A1294" s="2">
        <v>1</v>
      </c>
    </row>
    <row r="1295" spans="1:1" x14ac:dyDescent="0.25">
      <c r="A1295" s="2">
        <v>1</v>
      </c>
    </row>
    <row r="1296" spans="1:1" x14ac:dyDescent="0.25">
      <c r="A1296" s="2">
        <v>2</v>
      </c>
    </row>
    <row r="1297" spans="1:1" x14ac:dyDescent="0.25">
      <c r="A1297" s="2">
        <v>0</v>
      </c>
    </row>
    <row r="1298" spans="1:1" x14ac:dyDescent="0.25">
      <c r="A1298" s="2">
        <v>1</v>
      </c>
    </row>
    <row r="1299" spans="1:1" x14ac:dyDescent="0.25">
      <c r="A1299" s="2">
        <v>1</v>
      </c>
    </row>
    <row r="1300" spans="1:1" x14ac:dyDescent="0.25">
      <c r="A1300" s="2">
        <v>2</v>
      </c>
    </row>
    <row r="1301" spans="1:1" x14ac:dyDescent="0.25">
      <c r="A1301" s="2">
        <v>0</v>
      </c>
    </row>
    <row r="1302" spans="1:1" x14ac:dyDescent="0.25">
      <c r="A1302" s="2">
        <v>2</v>
      </c>
    </row>
    <row r="1303" spans="1:1" x14ac:dyDescent="0.25">
      <c r="A1303" s="2">
        <v>2</v>
      </c>
    </row>
    <row r="1304" spans="1:1" x14ac:dyDescent="0.25">
      <c r="A1304" s="2">
        <v>2</v>
      </c>
    </row>
    <row r="1305" spans="1:1" x14ac:dyDescent="0.25">
      <c r="A1305" s="2">
        <v>2</v>
      </c>
    </row>
    <row r="1306" spans="1:1" x14ac:dyDescent="0.25">
      <c r="A1306" s="2">
        <v>0</v>
      </c>
    </row>
    <row r="1307" spans="1:1" x14ac:dyDescent="0.25">
      <c r="A1307" s="2">
        <v>1</v>
      </c>
    </row>
    <row r="1308" spans="1:1" x14ac:dyDescent="0.25">
      <c r="A1308" s="2">
        <v>1</v>
      </c>
    </row>
    <row r="1309" spans="1:1" x14ac:dyDescent="0.25">
      <c r="A1309" s="2">
        <v>1</v>
      </c>
    </row>
    <row r="1310" spans="1:1" x14ac:dyDescent="0.25">
      <c r="A1310" s="2">
        <v>0</v>
      </c>
    </row>
    <row r="1311" spans="1:1" x14ac:dyDescent="0.25">
      <c r="A1311" s="2">
        <v>1</v>
      </c>
    </row>
    <row r="1312" spans="1:1" x14ac:dyDescent="0.25">
      <c r="A1312" s="2">
        <v>1</v>
      </c>
    </row>
    <row r="1313" spans="1:1" x14ac:dyDescent="0.25">
      <c r="A1313" s="2">
        <v>0</v>
      </c>
    </row>
    <row r="1314" spans="1:1" x14ac:dyDescent="0.25">
      <c r="A1314" s="2">
        <v>2</v>
      </c>
    </row>
    <row r="1315" spans="1:1" x14ac:dyDescent="0.25">
      <c r="A1315" s="2">
        <v>0</v>
      </c>
    </row>
    <row r="1316" spans="1:1" x14ac:dyDescent="0.25">
      <c r="A1316" s="2">
        <v>0</v>
      </c>
    </row>
    <row r="1317" spans="1:1" x14ac:dyDescent="0.25">
      <c r="A1317" s="2">
        <v>0</v>
      </c>
    </row>
    <row r="1318" spans="1:1" x14ac:dyDescent="0.25">
      <c r="A1318" s="2">
        <v>0</v>
      </c>
    </row>
    <row r="1319" spans="1:1" x14ac:dyDescent="0.25">
      <c r="A1319" s="2">
        <v>0</v>
      </c>
    </row>
    <row r="1320" spans="1:1" x14ac:dyDescent="0.25">
      <c r="A1320" s="2">
        <v>0</v>
      </c>
    </row>
    <row r="1321" spans="1:1" x14ac:dyDescent="0.25">
      <c r="A1321" s="2">
        <v>0</v>
      </c>
    </row>
    <row r="1322" spans="1:1" x14ac:dyDescent="0.25">
      <c r="A1322" s="2">
        <v>0</v>
      </c>
    </row>
    <row r="1323" spans="1:1" x14ac:dyDescent="0.25">
      <c r="A1323" s="2">
        <v>0</v>
      </c>
    </row>
    <row r="1324" spans="1:1" x14ac:dyDescent="0.25">
      <c r="A1324" s="2">
        <v>0</v>
      </c>
    </row>
    <row r="1325" spans="1:1" x14ac:dyDescent="0.25">
      <c r="A1325" s="2">
        <v>0</v>
      </c>
    </row>
    <row r="1326" spans="1:1" x14ac:dyDescent="0.25">
      <c r="A1326" s="2">
        <v>0</v>
      </c>
    </row>
    <row r="1327" spans="1:1" x14ac:dyDescent="0.25">
      <c r="A1327" s="2">
        <v>1</v>
      </c>
    </row>
    <row r="1328" spans="1:1" x14ac:dyDescent="0.25">
      <c r="A1328" s="2">
        <v>1</v>
      </c>
    </row>
    <row r="1329" spans="1:1" x14ac:dyDescent="0.25">
      <c r="A1329" s="2">
        <v>0</v>
      </c>
    </row>
    <row r="1330" spans="1:1" x14ac:dyDescent="0.25">
      <c r="A1330" s="2">
        <v>1</v>
      </c>
    </row>
    <row r="1331" spans="1:1" x14ac:dyDescent="0.25">
      <c r="A1331" s="2">
        <v>0</v>
      </c>
    </row>
    <row r="1332" spans="1:1" x14ac:dyDescent="0.25">
      <c r="A1332" s="2">
        <v>0</v>
      </c>
    </row>
    <row r="1333" spans="1:1" x14ac:dyDescent="0.25">
      <c r="A1333" s="2">
        <v>0</v>
      </c>
    </row>
    <row r="1334" spans="1:1" x14ac:dyDescent="0.25">
      <c r="A1334" s="2">
        <v>1</v>
      </c>
    </row>
    <row r="1335" spans="1:1" x14ac:dyDescent="0.25">
      <c r="A1335" s="2">
        <v>0</v>
      </c>
    </row>
    <row r="1336" spans="1:1" x14ac:dyDescent="0.25">
      <c r="A1336" s="2">
        <v>1</v>
      </c>
    </row>
    <row r="1337" spans="1:1" x14ac:dyDescent="0.25">
      <c r="A1337" s="2">
        <v>0</v>
      </c>
    </row>
    <row r="1338" spans="1:1" x14ac:dyDescent="0.25">
      <c r="A1338" s="2">
        <v>0</v>
      </c>
    </row>
    <row r="1339" spans="1:1" x14ac:dyDescent="0.25">
      <c r="A1339" s="2">
        <v>0</v>
      </c>
    </row>
    <row r="1340" spans="1:1" x14ac:dyDescent="0.25">
      <c r="A1340" s="2">
        <v>0</v>
      </c>
    </row>
    <row r="1341" spans="1:1" x14ac:dyDescent="0.25">
      <c r="A1341" s="2">
        <v>1</v>
      </c>
    </row>
    <row r="1342" spans="1:1" x14ac:dyDescent="0.25">
      <c r="A1342" s="2">
        <v>0</v>
      </c>
    </row>
    <row r="1343" spans="1:1" x14ac:dyDescent="0.25">
      <c r="A1343" s="2">
        <v>0</v>
      </c>
    </row>
    <row r="1344" spans="1:1" x14ac:dyDescent="0.25">
      <c r="A1344" s="2">
        <v>0</v>
      </c>
    </row>
    <row r="1345" spans="1:1" x14ac:dyDescent="0.25">
      <c r="A1345" s="2">
        <v>0</v>
      </c>
    </row>
    <row r="1346" spans="1:1" x14ac:dyDescent="0.25">
      <c r="A1346" s="2">
        <v>0</v>
      </c>
    </row>
    <row r="1347" spans="1:1" x14ac:dyDescent="0.25">
      <c r="A1347" s="2">
        <v>0</v>
      </c>
    </row>
    <row r="1348" spans="1:1" x14ac:dyDescent="0.25">
      <c r="A1348" s="2">
        <v>1</v>
      </c>
    </row>
    <row r="1349" spans="1:1" x14ac:dyDescent="0.25">
      <c r="A1349" s="2">
        <v>0</v>
      </c>
    </row>
    <row r="1350" spans="1:1" x14ac:dyDescent="0.25">
      <c r="A1350" s="2">
        <v>0</v>
      </c>
    </row>
    <row r="1351" spans="1:1" x14ac:dyDescent="0.25">
      <c r="A1351" s="2">
        <v>0</v>
      </c>
    </row>
    <row r="1352" spans="1:1" x14ac:dyDescent="0.25">
      <c r="A1352" s="2">
        <v>0</v>
      </c>
    </row>
    <row r="1353" spans="1:1" x14ac:dyDescent="0.25">
      <c r="A1353" s="2">
        <v>1</v>
      </c>
    </row>
    <row r="1354" spans="1:1" x14ac:dyDescent="0.25">
      <c r="A1354" s="2">
        <v>0</v>
      </c>
    </row>
    <row r="1355" spans="1:1" x14ac:dyDescent="0.25">
      <c r="A1355" s="2">
        <v>0</v>
      </c>
    </row>
    <row r="1356" spans="1:1" x14ac:dyDescent="0.25">
      <c r="A1356" s="2">
        <v>0</v>
      </c>
    </row>
    <row r="1357" spans="1:1" x14ac:dyDescent="0.25">
      <c r="A1357" s="2">
        <v>0</v>
      </c>
    </row>
    <row r="1358" spans="1:1" x14ac:dyDescent="0.25">
      <c r="A1358" s="2">
        <v>0</v>
      </c>
    </row>
    <row r="1359" spans="1:1" x14ac:dyDescent="0.25">
      <c r="A1359" s="2">
        <v>0</v>
      </c>
    </row>
    <row r="1360" spans="1:1" x14ac:dyDescent="0.25">
      <c r="A1360" s="2">
        <v>0</v>
      </c>
    </row>
    <row r="1361" spans="1:1" x14ac:dyDescent="0.25">
      <c r="A1361" s="2">
        <v>0</v>
      </c>
    </row>
    <row r="1362" spans="1:1" x14ac:dyDescent="0.25">
      <c r="A1362" s="2">
        <v>0</v>
      </c>
    </row>
    <row r="1363" spans="1:1" x14ac:dyDescent="0.25">
      <c r="A1363" s="2">
        <v>0</v>
      </c>
    </row>
    <row r="1364" spans="1:1" x14ac:dyDescent="0.25">
      <c r="A1364" s="2">
        <v>1</v>
      </c>
    </row>
    <row r="1365" spans="1:1" x14ac:dyDescent="0.25">
      <c r="A1365" s="2">
        <v>0</v>
      </c>
    </row>
    <row r="1366" spans="1:1" x14ac:dyDescent="0.25">
      <c r="A1366" s="2">
        <v>0</v>
      </c>
    </row>
    <row r="1367" spans="1:1" x14ac:dyDescent="0.25">
      <c r="A1367" s="2">
        <v>1</v>
      </c>
    </row>
    <row r="1368" spans="1:1" x14ac:dyDescent="0.25">
      <c r="A1368" s="2">
        <v>0</v>
      </c>
    </row>
    <row r="1369" spans="1:1" x14ac:dyDescent="0.25">
      <c r="A1369" s="2">
        <v>0</v>
      </c>
    </row>
    <row r="1370" spans="1:1" x14ac:dyDescent="0.25">
      <c r="A1370" s="2">
        <v>0</v>
      </c>
    </row>
    <row r="1371" spans="1:1" x14ac:dyDescent="0.25">
      <c r="A1371" s="2">
        <v>0</v>
      </c>
    </row>
    <row r="1372" spans="1:1" x14ac:dyDescent="0.25">
      <c r="A1372" s="2">
        <v>0</v>
      </c>
    </row>
    <row r="1373" spans="1:1" x14ac:dyDescent="0.25">
      <c r="A1373" s="2">
        <v>0</v>
      </c>
    </row>
    <row r="1374" spans="1:1" x14ac:dyDescent="0.25">
      <c r="A1374" s="2">
        <v>0</v>
      </c>
    </row>
    <row r="1375" spans="1:1" x14ac:dyDescent="0.25">
      <c r="A1375" s="2">
        <v>1</v>
      </c>
    </row>
    <row r="1376" spans="1:1" x14ac:dyDescent="0.25">
      <c r="A1376" s="2">
        <v>0</v>
      </c>
    </row>
    <row r="1377" spans="1:1" x14ac:dyDescent="0.25">
      <c r="A1377" s="2">
        <v>0</v>
      </c>
    </row>
    <row r="1378" spans="1:1" x14ac:dyDescent="0.25">
      <c r="A1378" s="2">
        <v>0</v>
      </c>
    </row>
    <row r="1379" spans="1:1" x14ac:dyDescent="0.25">
      <c r="A1379" s="2">
        <v>2</v>
      </c>
    </row>
    <row r="1380" spans="1:1" x14ac:dyDescent="0.25">
      <c r="A1380" s="2">
        <v>0</v>
      </c>
    </row>
    <row r="1381" spans="1:1" x14ac:dyDescent="0.25">
      <c r="A1381" s="2">
        <v>2</v>
      </c>
    </row>
    <row r="1382" spans="1:1" x14ac:dyDescent="0.25">
      <c r="A1382" s="2">
        <v>0</v>
      </c>
    </row>
    <row r="1383" spans="1:1" x14ac:dyDescent="0.25">
      <c r="A1383" s="2">
        <v>0</v>
      </c>
    </row>
    <row r="1384" spans="1:1" x14ac:dyDescent="0.25">
      <c r="A1384" s="2">
        <v>2</v>
      </c>
    </row>
    <row r="1385" spans="1:1" x14ac:dyDescent="0.25">
      <c r="A1385" s="2">
        <v>2</v>
      </c>
    </row>
    <row r="1386" spans="1:1" x14ac:dyDescent="0.25">
      <c r="A1386" s="2">
        <v>0</v>
      </c>
    </row>
    <row r="1387" spans="1:1" x14ac:dyDescent="0.25">
      <c r="A1387" s="2">
        <v>1</v>
      </c>
    </row>
    <row r="1388" spans="1:1" x14ac:dyDescent="0.25">
      <c r="A1388" s="2">
        <v>0</v>
      </c>
    </row>
    <row r="1389" spans="1:1" x14ac:dyDescent="0.25">
      <c r="A1389" s="2">
        <v>0</v>
      </c>
    </row>
    <row r="1390" spans="1:1" x14ac:dyDescent="0.25">
      <c r="A1390" s="2">
        <v>2</v>
      </c>
    </row>
    <row r="1391" spans="1:1" x14ac:dyDescent="0.25">
      <c r="A1391" s="2">
        <v>0</v>
      </c>
    </row>
    <row r="1392" spans="1:1" x14ac:dyDescent="0.25">
      <c r="A1392" s="2">
        <v>0</v>
      </c>
    </row>
    <row r="1393" spans="1:1" x14ac:dyDescent="0.25">
      <c r="A1393" s="2">
        <v>0</v>
      </c>
    </row>
    <row r="1394" spans="1:1" x14ac:dyDescent="0.25">
      <c r="A1394" s="2">
        <v>0</v>
      </c>
    </row>
    <row r="1395" spans="1:1" x14ac:dyDescent="0.25">
      <c r="A1395" s="2">
        <v>0</v>
      </c>
    </row>
    <row r="1396" spans="1:1" x14ac:dyDescent="0.25">
      <c r="A1396" s="2">
        <v>1</v>
      </c>
    </row>
    <row r="1397" spans="1:1" x14ac:dyDescent="0.25">
      <c r="A1397" s="2">
        <v>1</v>
      </c>
    </row>
    <row r="1398" spans="1:1" x14ac:dyDescent="0.25">
      <c r="A1398" s="2">
        <v>0</v>
      </c>
    </row>
    <row r="1399" spans="1:1" x14ac:dyDescent="0.25">
      <c r="A1399" s="2">
        <v>0</v>
      </c>
    </row>
    <row r="1400" spans="1:1" x14ac:dyDescent="0.25">
      <c r="A1400" s="2">
        <v>0</v>
      </c>
    </row>
    <row r="1401" spans="1:1" x14ac:dyDescent="0.25">
      <c r="A1401" s="2">
        <v>0</v>
      </c>
    </row>
    <row r="1402" spans="1:1" x14ac:dyDescent="0.25">
      <c r="A1402" s="2">
        <v>0</v>
      </c>
    </row>
    <row r="1403" spans="1:1" x14ac:dyDescent="0.25">
      <c r="A1403" s="2">
        <v>0</v>
      </c>
    </row>
    <row r="1404" spans="1:1" x14ac:dyDescent="0.25">
      <c r="A1404" s="2">
        <v>0</v>
      </c>
    </row>
    <row r="1405" spans="1:1" x14ac:dyDescent="0.25">
      <c r="A1405" s="2">
        <v>1</v>
      </c>
    </row>
    <row r="1406" spans="1:1" x14ac:dyDescent="0.25">
      <c r="A1406" s="2">
        <v>0</v>
      </c>
    </row>
    <row r="1407" spans="1:1" x14ac:dyDescent="0.25">
      <c r="A1407" s="2">
        <v>0</v>
      </c>
    </row>
    <row r="1408" spans="1:1" x14ac:dyDescent="0.25">
      <c r="A1408" s="2">
        <v>1</v>
      </c>
    </row>
    <row r="1409" spans="1:1" x14ac:dyDescent="0.25">
      <c r="A1409" s="2">
        <v>0</v>
      </c>
    </row>
    <row r="1410" spans="1:1" x14ac:dyDescent="0.25">
      <c r="A1410" s="2">
        <v>0</v>
      </c>
    </row>
    <row r="1411" spans="1:1" x14ac:dyDescent="0.25">
      <c r="A1411" s="2">
        <v>0</v>
      </c>
    </row>
    <row r="1412" spans="1:1" x14ac:dyDescent="0.25">
      <c r="A1412" s="2">
        <v>1</v>
      </c>
    </row>
    <row r="1413" spans="1:1" x14ac:dyDescent="0.25">
      <c r="A1413" s="2">
        <v>0</v>
      </c>
    </row>
    <row r="1414" spans="1:1" x14ac:dyDescent="0.25">
      <c r="A1414" s="2">
        <v>0</v>
      </c>
    </row>
    <row r="1415" spans="1:1" x14ac:dyDescent="0.25">
      <c r="A1415" s="2">
        <v>2</v>
      </c>
    </row>
    <row r="1416" spans="1:1" x14ac:dyDescent="0.25">
      <c r="A1416" s="2">
        <v>1</v>
      </c>
    </row>
    <row r="1417" spans="1:1" x14ac:dyDescent="0.25">
      <c r="A1417" s="2">
        <v>0</v>
      </c>
    </row>
    <row r="1418" spans="1:1" x14ac:dyDescent="0.25">
      <c r="A1418" s="2">
        <v>1</v>
      </c>
    </row>
    <row r="1419" spans="1:1" x14ac:dyDescent="0.25">
      <c r="A1419" s="2">
        <v>0</v>
      </c>
    </row>
    <row r="1420" spans="1:1" x14ac:dyDescent="0.25">
      <c r="A1420" s="2">
        <v>2</v>
      </c>
    </row>
    <row r="1421" spans="1:1" x14ac:dyDescent="0.25">
      <c r="A1421" s="2">
        <v>2</v>
      </c>
    </row>
    <row r="1422" spans="1:1" x14ac:dyDescent="0.25">
      <c r="A1422" s="2">
        <v>2</v>
      </c>
    </row>
    <row r="1423" spans="1:1" x14ac:dyDescent="0.25">
      <c r="A1423" s="2">
        <v>0</v>
      </c>
    </row>
    <row r="1424" spans="1:1" x14ac:dyDescent="0.25">
      <c r="A1424" s="2">
        <v>2</v>
      </c>
    </row>
    <row r="1425" spans="1:1" x14ac:dyDescent="0.25">
      <c r="A1425" s="2">
        <v>1</v>
      </c>
    </row>
    <row r="1426" spans="1:1" x14ac:dyDescent="0.25">
      <c r="A1426" s="2">
        <v>0</v>
      </c>
    </row>
    <row r="1427" spans="1:1" x14ac:dyDescent="0.25">
      <c r="A1427" s="2">
        <v>2</v>
      </c>
    </row>
    <row r="1428" spans="1:1" x14ac:dyDescent="0.25">
      <c r="A1428" s="2">
        <v>2</v>
      </c>
    </row>
    <row r="1429" spans="1:1" x14ac:dyDescent="0.25">
      <c r="A1429" s="2">
        <v>0</v>
      </c>
    </row>
    <row r="1430" spans="1:1" x14ac:dyDescent="0.25">
      <c r="A1430" s="2">
        <v>1</v>
      </c>
    </row>
    <row r="1431" spans="1:1" x14ac:dyDescent="0.25">
      <c r="A1431" s="2">
        <v>2</v>
      </c>
    </row>
    <row r="1432" spans="1:1" x14ac:dyDescent="0.25">
      <c r="A1432" s="2">
        <v>1</v>
      </c>
    </row>
    <row r="1433" spans="1:1" x14ac:dyDescent="0.25">
      <c r="A1433" s="2">
        <v>0</v>
      </c>
    </row>
    <row r="1434" spans="1:1" x14ac:dyDescent="0.25">
      <c r="A1434" s="2">
        <v>1</v>
      </c>
    </row>
    <row r="1435" spans="1:1" x14ac:dyDescent="0.25">
      <c r="A1435" s="2">
        <v>1</v>
      </c>
    </row>
    <row r="1436" spans="1:1" x14ac:dyDescent="0.25">
      <c r="A1436" s="2">
        <v>2</v>
      </c>
    </row>
    <row r="1437" spans="1:1" x14ac:dyDescent="0.25">
      <c r="A1437" s="2">
        <v>1</v>
      </c>
    </row>
    <row r="1438" spans="1:1" x14ac:dyDescent="0.25">
      <c r="A1438" s="2">
        <v>2</v>
      </c>
    </row>
    <row r="1439" spans="1:1" x14ac:dyDescent="0.25">
      <c r="A1439" s="2">
        <v>1</v>
      </c>
    </row>
    <row r="1440" spans="1:1" x14ac:dyDescent="0.25">
      <c r="A1440" s="2">
        <v>0</v>
      </c>
    </row>
    <row r="1441" spans="1:1" x14ac:dyDescent="0.25">
      <c r="A1441" s="2">
        <v>1</v>
      </c>
    </row>
    <row r="1442" spans="1:1" x14ac:dyDescent="0.25">
      <c r="A1442" s="2">
        <v>2</v>
      </c>
    </row>
    <row r="1443" spans="1:1" x14ac:dyDescent="0.25">
      <c r="A1443" s="2">
        <v>1</v>
      </c>
    </row>
    <row r="1444" spans="1:1" x14ac:dyDescent="0.25">
      <c r="A1444" s="2">
        <v>2</v>
      </c>
    </row>
    <row r="1445" spans="1:1" x14ac:dyDescent="0.25">
      <c r="A1445" s="2">
        <v>1</v>
      </c>
    </row>
    <row r="1446" spans="1:1" x14ac:dyDescent="0.25">
      <c r="A1446" s="2">
        <v>2</v>
      </c>
    </row>
    <row r="1447" spans="1:1" x14ac:dyDescent="0.25">
      <c r="A1447" s="2">
        <v>2</v>
      </c>
    </row>
    <row r="1448" spans="1:1" x14ac:dyDescent="0.25">
      <c r="A1448" s="2">
        <v>0</v>
      </c>
    </row>
    <row r="1449" spans="1:1" x14ac:dyDescent="0.25">
      <c r="A1449" s="2">
        <v>1</v>
      </c>
    </row>
    <row r="1450" spans="1:1" x14ac:dyDescent="0.25">
      <c r="A1450" s="2">
        <v>2</v>
      </c>
    </row>
    <row r="1451" spans="1:1" x14ac:dyDescent="0.25">
      <c r="A1451" s="2">
        <v>0</v>
      </c>
    </row>
    <row r="1452" spans="1:1" x14ac:dyDescent="0.25">
      <c r="A1452" s="2">
        <v>1</v>
      </c>
    </row>
    <row r="1453" spans="1:1" x14ac:dyDescent="0.25">
      <c r="A1453" s="2">
        <v>1</v>
      </c>
    </row>
    <row r="1454" spans="1:1" x14ac:dyDescent="0.25">
      <c r="A1454" s="2">
        <v>1</v>
      </c>
    </row>
    <row r="1455" spans="1:1" x14ac:dyDescent="0.25">
      <c r="A1455" s="2">
        <v>0</v>
      </c>
    </row>
    <row r="1456" spans="1:1" x14ac:dyDescent="0.25">
      <c r="A1456" s="2">
        <v>0</v>
      </c>
    </row>
    <row r="1457" spans="1:1" x14ac:dyDescent="0.25">
      <c r="A1457" s="2">
        <v>2</v>
      </c>
    </row>
    <row r="1458" spans="1:1" x14ac:dyDescent="0.25">
      <c r="A1458" s="2">
        <v>0</v>
      </c>
    </row>
    <row r="1459" spans="1:1" x14ac:dyDescent="0.25">
      <c r="A1459" s="2">
        <v>1</v>
      </c>
    </row>
    <row r="1460" spans="1:1" x14ac:dyDescent="0.25">
      <c r="A1460" s="2">
        <v>0</v>
      </c>
    </row>
    <row r="1461" spans="1:1" x14ac:dyDescent="0.25">
      <c r="A1461" s="2">
        <v>2</v>
      </c>
    </row>
    <row r="1462" spans="1:1" x14ac:dyDescent="0.25">
      <c r="A1462" s="2">
        <v>2</v>
      </c>
    </row>
    <row r="1463" spans="1:1" x14ac:dyDescent="0.25">
      <c r="A1463" s="2">
        <v>2</v>
      </c>
    </row>
    <row r="1464" spans="1:1" x14ac:dyDescent="0.25">
      <c r="A1464" s="2">
        <v>1</v>
      </c>
    </row>
    <row r="1465" spans="1:1" x14ac:dyDescent="0.25">
      <c r="A1465" s="2">
        <v>0</v>
      </c>
    </row>
    <row r="1466" spans="1:1" x14ac:dyDescent="0.25">
      <c r="A1466" s="2">
        <v>0</v>
      </c>
    </row>
    <row r="1467" spans="1:1" x14ac:dyDescent="0.25">
      <c r="A1467" s="2">
        <v>0</v>
      </c>
    </row>
    <row r="1468" spans="1:1" x14ac:dyDescent="0.25">
      <c r="A1468" s="2">
        <v>0</v>
      </c>
    </row>
    <row r="1469" spans="1:1" x14ac:dyDescent="0.25">
      <c r="A1469" s="2">
        <v>0</v>
      </c>
    </row>
    <row r="1470" spans="1:1" x14ac:dyDescent="0.25">
      <c r="A1470" s="2">
        <v>0</v>
      </c>
    </row>
    <row r="1471" spans="1:1" x14ac:dyDescent="0.25">
      <c r="A1471" s="2">
        <v>1</v>
      </c>
    </row>
    <row r="1472" spans="1:1" x14ac:dyDescent="0.25">
      <c r="A1472" s="2">
        <v>1</v>
      </c>
    </row>
    <row r="1473" spans="1:1" x14ac:dyDescent="0.25">
      <c r="A1473" s="2">
        <v>0</v>
      </c>
    </row>
    <row r="1474" spans="1:1" x14ac:dyDescent="0.25">
      <c r="A1474" s="2">
        <v>2</v>
      </c>
    </row>
    <row r="1475" spans="1:1" x14ac:dyDescent="0.25">
      <c r="A1475" s="2">
        <v>1</v>
      </c>
    </row>
    <row r="1476" spans="1:1" x14ac:dyDescent="0.25">
      <c r="A1476" s="2">
        <v>1</v>
      </c>
    </row>
    <row r="1477" spans="1:1" x14ac:dyDescent="0.25">
      <c r="A1477" s="2">
        <v>2</v>
      </c>
    </row>
    <row r="1478" spans="1:1" x14ac:dyDescent="0.25">
      <c r="A1478" s="2">
        <v>1</v>
      </c>
    </row>
    <row r="1479" spans="1:1" x14ac:dyDescent="0.25">
      <c r="A1479" s="2">
        <v>2</v>
      </c>
    </row>
    <row r="1480" spans="1:1" x14ac:dyDescent="0.25">
      <c r="A1480" s="2">
        <v>0</v>
      </c>
    </row>
    <row r="1481" spans="1:1" x14ac:dyDescent="0.25">
      <c r="A1481" s="2">
        <v>2</v>
      </c>
    </row>
    <row r="1482" spans="1:1" x14ac:dyDescent="0.25">
      <c r="A1482" s="2">
        <v>2</v>
      </c>
    </row>
    <row r="1483" spans="1:1" x14ac:dyDescent="0.25">
      <c r="A1483" s="2">
        <v>1</v>
      </c>
    </row>
    <row r="1484" spans="1:1" x14ac:dyDescent="0.25">
      <c r="A1484" s="2">
        <v>2</v>
      </c>
    </row>
    <row r="1485" spans="1:1" x14ac:dyDescent="0.25">
      <c r="A1485" s="2">
        <v>1</v>
      </c>
    </row>
    <row r="1486" spans="1:1" x14ac:dyDescent="0.25">
      <c r="A1486" s="2">
        <v>0</v>
      </c>
    </row>
    <row r="1487" spans="1:1" x14ac:dyDescent="0.25">
      <c r="A1487" s="2">
        <v>1</v>
      </c>
    </row>
    <row r="1488" spans="1:1" x14ac:dyDescent="0.25">
      <c r="A1488" s="2">
        <v>2</v>
      </c>
    </row>
    <row r="1489" spans="1:1" x14ac:dyDescent="0.25">
      <c r="A1489" s="2">
        <v>0</v>
      </c>
    </row>
    <row r="1490" spans="1:1" x14ac:dyDescent="0.25">
      <c r="A1490" s="2">
        <v>0</v>
      </c>
    </row>
    <row r="1491" spans="1:1" x14ac:dyDescent="0.25">
      <c r="A1491" s="2">
        <v>0</v>
      </c>
    </row>
    <row r="1492" spans="1:1" x14ac:dyDescent="0.25">
      <c r="A1492" s="2">
        <v>1</v>
      </c>
    </row>
    <row r="1493" spans="1:1" x14ac:dyDescent="0.25">
      <c r="A1493" s="2">
        <v>2</v>
      </c>
    </row>
    <row r="1494" spans="1:1" x14ac:dyDescent="0.25">
      <c r="A1494" s="2">
        <v>0</v>
      </c>
    </row>
    <row r="1495" spans="1:1" x14ac:dyDescent="0.25">
      <c r="A1495" s="2">
        <v>1</v>
      </c>
    </row>
    <row r="1496" spans="1:1" x14ac:dyDescent="0.25">
      <c r="A1496" s="2">
        <v>0</v>
      </c>
    </row>
    <row r="1497" spans="1:1" x14ac:dyDescent="0.25">
      <c r="A1497" s="2">
        <v>2</v>
      </c>
    </row>
    <row r="1498" spans="1:1" x14ac:dyDescent="0.25">
      <c r="A1498" s="2">
        <v>0</v>
      </c>
    </row>
    <row r="1499" spans="1:1" x14ac:dyDescent="0.25">
      <c r="A1499" s="2">
        <v>0</v>
      </c>
    </row>
    <row r="1500" spans="1:1" x14ac:dyDescent="0.25">
      <c r="A1500" s="2">
        <v>1</v>
      </c>
    </row>
    <row r="1501" spans="1:1" x14ac:dyDescent="0.25">
      <c r="A1501" s="2">
        <v>1</v>
      </c>
    </row>
    <row r="1502" spans="1:1" x14ac:dyDescent="0.25">
      <c r="A1502" s="2">
        <v>2</v>
      </c>
    </row>
    <row r="1503" spans="1:1" x14ac:dyDescent="0.25">
      <c r="A1503" s="2">
        <v>1</v>
      </c>
    </row>
    <row r="1504" spans="1:1" x14ac:dyDescent="0.25">
      <c r="A1504" s="2">
        <v>2</v>
      </c>
    </row>
    <row r="1505" spans="1:1" x14ac:dyDescent="0.25">
      <c r="A1505" s="2">
        <v>2</v>
      </c>
    </row>
    <row r="1506" spans="1:1" x14ac:dyDescent="0.25">
      <c r="A1506" s="2">
        <v>2</v>
      </c>
    </row>
    <row r="1507" spans="1:1" x14ac:dyDescent="0.25">
      <c r="A1507" s="2">
        <v>2</v>
      </c>
    </row>
    <row r="1508" spans="1:1" x14ac:dyDescent="0.25">
      <c r="A1508" s="2">
        <v>0</v>
      </c>
    </row>
    <row r="1509" spans="1:1" x14ac:dyDescent="0.25">
      <c r="A1509" s="2">
        <v>1</v>
      </c>
    </row>
    <row r="1510" spans="1:1" x14ac:dyDescent="0.25">
      <c r="A1510" s="2">
        <v>2</v>
      </c>
    </row>
    <row r="1511" spans="1:1" x14ac:dyDescent="0.25">
      <c r="A1511" s="2">
        <v>0</v>
      </c>
    </row>
    <row r="1512" spans="1:1" x14ac:dyDescent="0.25">
      <c r="A1512" s="2">
        <v>0</v>
      </c>
    </row>
    <row r="1513" spans="1:1" x14ac:dyDescent="0.25">
      <c r="A1513" s="2">
        <v>2</v>
      </c>
    </row>
    <row r="1514" spans="1:1" x14ac:dyDescent="0.25">
      <c r="A1514" s="2">
        <v>1</v>
      </c>
    </row>
    <row r="1515" spans="1:1" x14ac:dyDescent="0.25">
      <c r="A1515" s="2">
        <v>1</v>
      </c>
    </row>
    <row r="1516" spans="1:1" x14ac:dyDescent="0.25">
      <c r="A1516" s="2">
        <v>1</v>
      </c>
    </row>
    <row r="1517" spans="1:1" x14ac:dyDescent="0.25">
      <c r="A1517" s="2">
        <v>2</v>
      </c>
    </row>
    <row r="1518" spans="1:1" x14ac:dyDescent="0.25">
      <c r="A1518" s="2">
        <v>1</v>
      </c>
    </row>
    <row r="1519" spans="1:1" x14ac:dyDescent="0.25">
      <c r="A1519" s="2">
        <v>1</v>
      </c>
    </row>
    <row r="1520" spans="1:1" x14ac:dyDescent="0.25">
      <c r="A1520" s="2">
        <v>1</v>
      </c>
    </row>
    <row r="1521" spans="1:1" x14ac:dyDescent="0.25">
      <c r="A1521" s="2">
        <v>1</v>
      </c>
    </row>
    <row r="1522" spans="1:1" x14ac:dyDescent="0.25">
      <c r="A1522" s="2">
        <v>2</v>
      </c>
    </row>
    <row r="1523" spans="1:1" x14ac:dyDescent="0.25">
      <c r="A1523" s="2">
        <v>0</v>
      </c>
    </row>
    <row r="1524" spans="1:1" x14ac:dyDescent="0.25">
      <c r="A1524" s="2">
        <v>1</v>
      </c>
    </row>
    <row r="1525" spans="1:1" x14ac:dyDescent="0.25">
      <c r="A1525" s="2">
        <v>1</v>
      </c>
    </row>
    <row r="1526" spans="1:1" x14ac:dyDescent="0.25">
      <c r="A1526" s="2">
        <v>2</v>
      </c>
    </row>
    <row r="1527" spans="1:1" x14ac:dyDescent="0.25">
      <c r="A1527" s="2">
        <v>1</v>
      </c>
    </row>
    <row r="1528" spans="1:1" x14ac:dyDescent="0.25">
      <c r="A1528" s="2">
        <v>0</v>
      </c>
    </row>
    <row r="1529" spans="1:1" x14ac:dyDescent="0.25">
      <c r="A1529" s="2">
        <v>2</v>
      </c>
    </row>
    <row r="1530" spans="1:1" x14ac:dyDescent="0.25">
      <c r="A1530" s="2">
        <v>1</v>
      </c>
    </row>
    <row r="1531" spans="1:1" x14ac:dyDescent="0.25">
      <c r="A1531" s="2">
        <v>1</v>
      </c>
    </row>
    <row r="1532" spans="1:1" x14ac:dyDescent="0.25">
      <c r="A1532" s="2">
        <v>1</v>
      </c>
    </row>
    <row r="1533" spans="1:1" x14ac:dyDescent="0.25">
      <c r="A1533" s="2">
        <v>1</v>
      </c>
    </row>
    <row r="1534" spans="1:1" x14ac:dyDescent="0.25">
      <c r="A1534" s="2">
        <v>0</v>
      </c>
    </row>
    <row r="1535" spans="1:1" x14ac:dyDescent="0.25">
      <c r="A1535" s="2">
        <v>0</v>
      </c>
    </row>
    <row r="1536" spans="1:1" x14ac:dyDescent="0.25">
      <c r="A1536" s="2">
        <v>0</v>
      </c>
    </row>
    <row r="1537" spans="1:1" x14ac:dyDescent="0.25">
      <c r="A1537" s="2">
        <v>1</v>
      </c>
    </row>
    <row r="1538" spans="1:1" x14ac:dyDescent="0.25">
      <c r="A1538" s="2">
        <v>1</v>
      </c>
    </row>
    <row r="1539" spans="1:1" x14ac:dyDescent="0.25">
      <c r="A1539" s="2">
        <v>1</v>
      </c>
    </row>
    <row r="1540" spans="1:1" x14ac:dyDescent="0.25">
      <c r="A1540" s="2">
        <v>2</v>
      </c>
    </row>
    <row r="1541" spans="1:1" x14ac:dyDescent="0.25">
      <c r="A1541" s="2">
        <v>1</v>
      </c>
    </row>
    <row r="1542" spans="1:1" x14ac:dyDescent="0.25">
      <c r="A1542" s="2">
        <v>0</v>
      </c>
    </row>
    <row r="1543" spans="1:1" x14ac:dyDescent="0.25">
      <c r="A1543" s="2">
        <v>2</v>
      </c>
    </row>
    <row r="1544" spans="1:1" x14ac:dyDescent="0.25">
      <c r="A1544" s="2">
        <v>0</v>
      </c>
    </row>
    <row r="1545" spans="1:1" x14ac:dyDescent="0.25">
      <c r="A1545" s="2">
        <v>1</v>
      </c>
    </row>
    <row r="1546" spans="1:1" x14ac:dyDescent="0.25">
      <c r="A1546" s="2">
        <v>1</v>
      </c>
    </row>
    <row r="1547" spans="1:1" x14ac:dyDescent="0.25">
      <c r="A1547" s="2">
        <v>1</v>
      </c>
    </row>
    <row r="1548" spans="1:1" x14ac:dyDescent="0.25">
      <c r="A1548" s="2">
        <v>1</v>
      </c>
    </row>
    <row r="1549" spans="1:1" x14ac:dyDescent="0.25">
      <c r="A1549" s="2">
        <v>2</v>
      </c>
    </row>
    <row r="1550" spans="1:1" x14ac:dyDescent="0.25">
      <c r="A1550" s="2">
        <v>1</v>
      </c>
    </row>
    <row r="1551" spans="1:1" x14ac:dyDescent="0.25">
      <c r="A1551" s="2">
        <v>1</v>
      </c>
    </row>
    <row r="1552" spans="1:1" x14ac:dyDescent="0.25">
      <c r="A1552" s="2">
        <v>2</v>
      </c>
    </row>
    <row r="1553" spans="1:1" x14ac:dyDescent="0.25">
      <c r="A1553" s="2">
        <v>2</v>
      </c>
    </row>
    <row r="1554" spans="1:1" x14ac:dyDescent="0.25">
      <c r="A1554" s="2">
        <v>2</v>
      </c>
    </row>
    <row r="1555" spans="1:1" x14ac:dyDescent="0.25">
      <c r="A1555" s="2">
        <v>1</v>
      </c>
    </row>
    <row r="1556" spans="1:1" x14ac:dyDescent="0.25">
      <c r="A1556" s="2">
        <v>0</v>
      </c>
    </row>
    <row r="1557" spans="1:1" x14ac:dyDescent="0.25">
      <c r="A1557" s="2">
        <v>1</v>
      </c>
    </row>
    <row r="1558" spans="1:1" x14ac:dyDescent="0.25">
      <c r="A1558" s="2">
        <v>0</v>
      </c>
    </row>
    <row r="1559" spans="1:1" x14ac:dyDescent="0.25">
      <c r="A1559" s="2">
        <v>0</v>
      </c>
    </row>
    <row r="1560" spans="1:1" x14ac:dyDescent="0.25">
      <c r="A1560" s="2">
        <v>0</v>
      </c>
    </row>
    <row r="1561" spans="1:1" x14ac:dyDescent="0.25">
      <c r="A1561" s="2">
        <v>1</v>
      </c>
    </row>
    <row r="1562" spans="1:1" x14ac:dyDescent="0.25">
      <c r="A1562" s="2">
        <v>1</v>
      </c>
    </row>
    <row r="1563" spans="1:1" x14ac:dyDescent="0.25">
      <c r="A1563" s="2">
        <v>0</v>
      </c>
    </row>
    <row r="1564" spans="1:1" x14ac:dyDescent="0.25">
      <c r="A1564" s="2">
        <v>0</v>
      </c>
    </row>
    <row r="1565" spans="1:1" x14ac:dyDescent="0.25">
      <c r="A1565" s="2">
        <v>1</v>
      </c>
    </row>
    <row r="1566" spans="1:1" x14ac:dyDescent="0.25">
      <c r="A1566" s="2">
        <v>1</v>
      </c>
    </row>
    <row r="1567" spans="1:1" x14ac:dyDescent="0.25">
      <c r="A1567" s="2">
        <v>2</v>
      </c>
    </row>
    <row r="1568" spans="1:1" x14ac:dyDescent="0.25">
      <c r="A1568" s="2">
        <v>0</v>
      </c>
    </row>
    <row r="1569" spans="1:1" x14ac:dyDescent="0.25">
      <c r="A1569" s="2">
        <v>1</v>
      </c>
    </row>
    <row r="1570" spans="1:1" x14ac:dyDescent="0.25">
      <c r="A1570" s="2">
        <v>1</v>
      </c>
    </row>
    <row r="1571" spans="1:1" x14ac:dyDescent="0.25">
      <c r="A1571" s="2">
        <v>2</v>
      </c>
    </row>
    <row r="1572" spans="1:1" x14ac:dyDescent="0.25">
      <c r="A1572" s="2">
        <v>0</v>
      </c>
    </row>
    <row r="1573" spans="1:1" x14ac:dyDescent="0.25">
      <c r="A1573" s="2">
        <v>1</v>
      </c>
    </row>
    <row r="1574" spans="1:1" x14ac:dyDescent="0.25">
      <c r="A1574" s="2">
        <v>0</v>
      </c>
    </row>
    <row r="1575" spans="1:1" x14ac:dyDescent="0.25">
      <c r="A1575" s="2">
        <v>0</v>
      </c>
    </row>
    <row r="1576" spans="1:1" x14ac:dyDescent="0.25">
      <c r="A1576" s="2">
        <v>1</v>
      </c>
    </row>
    <row r="1577" spans="1:1" x14ac:dyDescent="0.25">
      <c r="A1577" s="2">
        <v>0</v>
      </c>
    </row>
    <row r="1578" spans="1:1" x14ac:dyDescent="0.25">
      <c r="A1578" s="2">
        <v>0</v>
      </c>
    </row>
    <row r="1579" spans="1:1" x14ac:dyDescent="0.25">
      <c r="A1579" s="2">
        <v>0</v>
      </c>
    </row>
    <row r="1580" spans="1:1" x14ac:dyDescent="0.25">
      <c r="A1580" s="2">
        <v>0</v>
      </c>
    </row>
    <row r="1581" spans="1:1" x14ac:dyDescent="0.25">
      <c r="A1581" s="2">
        <v>1</v>
      </c>
    </row>
    <row r="1582" spans="1:1" x14ac:dyDescent="0.25">
      <c r="A1582" s="2">
        <v>0</v>
      </c>
    </row>
    <row r="1583" spans="1:1" x14ac:dyDescent="0.25">
      <c r="A1583" s="2">
        <v>1</v>
      </c>
    </row>
    <row r="1584" spans="1:1" x14ac:dyDescent="0.25">
      <c r="A1584" s="2">
        <v>0</v>
      </c>
    </row>
    <row r="1585" spans="1:1" x14ac:dyDescent="0.25">
      <c r="A1585" s="2">
        <v>2</v>
      </c>
    </row>
    <row r="1586" spans="1:1" x14ac:dyDescent="0.25">
      <c r="A1586" s="2">
        <v>2</v>
      </c>
    </row>
    <row r="1587" spans="1:1" x14ac:dyDescent="0.25">
      <c r="A1587" s="2">
        <v>2</v>
      </c>
    </row>
    <row r="1588" spans="1:1" x14ac:dyDescent="0.25">
      <c r="A1588" s="2">
        <v>0</v>
      </c>
    </row>
    <row r="1589" spans="1:1" x14ac:dyDescent="0.25">
      <c r="A1589" s="2">
        <v>0</v>
      </c>
    </row>
    <row r="1590" spans="1:1" x14ac:dyDescent="0.25">
      <c r="A1590" s="2">
        <v>0</v>
      </c>
    </row>
    <row r="1591" spans="1:1" x14ac:dyDescent="0.25">
      <c r="A1591" s="2">
        <v>0</v>
      </c>
    </row>
    <row r="1592" spans="1:1" x14ac:dyDescent="0.25">
      <c r="A1592" s="2">
        <v>0</v>
      </c>
    </row>
    <row r="1593" spans="1:1" x14ac:dyDescent="0.25">
      <c r="A1593" s="2">
        <v>0</v>
      </c>
    </row>
    <row r="1594" spans="1:1" x14ac:dyDescent="0.25">
      <c r="A1594" s="2">
        <v>2</v>
      </c>
    </row>
    <row r="1595" spans="1:1" x14ac:dyDescent="0.25">
      <c r="A1595" s="2">
        <v>2</v>
      </c>
    </row>
    <row r="1596" spans="1:1" x14ac:dyDescent="0.25">
      <c r="A1596" s="2">
        <v>2</v>
      </c>
    </row>
    <row r="1597" spans="1:1" x14ac:dyDescent="0.25">
      <c r="A1597" s="2">
        <v>0</v>
      </c>
    </row>
    <row r="1598" spans="1:1" x14ac:dyDescent="0.25">
      <c r="A1598" s="2">
        <v>0</v>
      </c>
    </row>
    <row r="1599" spans="1:1" x14ac:dyDescent="0.25">
      <c r="A1599" s="2">
        <v>0</v>
      </c>
    </row>
    <row r="1600" spans="1:1" x14ac:dyDescent="0.25">
      <c r="A1600" s="2">
        <v>0</v>
      </c>
    </row>
    <row r="1601" spans="1:1" x14ac:dyDescent="0.25">
      <c r="A1601" s="2">
        <v>1</v>
      </c>
    </row>
    <row r="1602" spans="1:1" x14ac:dyDescent="0.25">
      <c r="A1602" s="2">
        <v>0</v>
      </c>
    </row>
    <row r="1603" spans="1:1" x14ac:dyDescent="0.25">
      <c r="A1603" s="2">
        <v>0</v>
      </c>
    </row>
    <row r="1604" spans="1:1" x14ac:dyDescent="0.25">
      <c r="A1604" s="2">
        <v>0</v>
      </c>
    </row>
    <row r="1605" spans="1:1" x14ac:dyDescent="0.25">
      <c r="A1605" s="2">
        <v>1</v>
      </c>
    </row>
    <row r="1606" spans="1:1" x14ac:dyDescent="0.25">
      <c r="A1606" s="2">
        <v>1</v>
      </c>
    </row>
    <row r="1607" spans="1:1" x14ac:dyDescent="0.25">
      <c r="A1607" s="2">
        <v>0</v>
      </c>
    </row>
    <row r="1608" spans="1:1" x14ac:dyDescent="0.25">
      <c r="A1608" s="2">
        <v>1</v>
      </c>
    </row>
    <row r="1609" spans="1:1" x14ac:dyDescent="0.25">
      <c r="A1609" s="2">
        <v>1</v>
      </c>
    </row>
    <row r="1610" spans="1:1" x14ac:dyDescent="0.25">
      <c r="A1610" s="2">
        <v>0</v>
      </c>
    </row>
    <row r="1611" spans="1:1" x14ac:dyDescent="0.25">
      <c r="A1611" s="2">
        <v>0</v>
      </c>
    </row>
    <row r="1612" spans="1:1" x14ac:dyDescent="0.25">
      <c r="A1612" s="2">
        <v>0</v>
      </c>
    </row>
    <row r="1613" spans="1:1" x14ac:dyDescent="0.25">
      <c r="A1613" s="2">
        <v>0</v>
      </c>
    </row>
    <row r="1614" spans="1:1" x14ac:dyDescent="0.25">
      <c r="A1614" s="2">
        <v>1</v>
      </c>
    </row>
    <row r="1615" spans="1:1" x14ac:dyDescent="0.25">
      <c r="A1615" s="2">
        <v>0</v>
      </c>
    </row>
    <row r="1616" spans="1:1" x14ac:dyDescent="0.25">
      <c r="A1616" s="2">
        <v>0</v>
      </c>
    </row>
    <row r="1617" spans="1:1" x14ac:dyDescent="0.25">
      <c r="A1617" s="2">
        <v>1</v>
      </c>
    </row>
    <row r="1618" spans="1:1" x14ac:dyDescent="0.25">
      <c r="A1618" s="2">
        <v>0</v>
      </c>
    </row>
    <row r="1619" spans="1:1" x14ac:dyDescent="0.25">
      <c r="A1619" s="2">
        <v>0</v>
      </c>
    </row>
    <row r="1620" spans="1:1" x14ac:dyDescent="0.25">
      <c r="A1620" s="2">
        <v>0</v>
      </c>
    </row>
    <row r="1621" spans="1:1" x14ac:dyDescent="0.25">
      <c r="A1621" s="2">
        <v>0</v>
      </c>
    </row>
    <row r="1622" spans="1:1" x14ac:dyDescent="0.25">
      <c r="A1622" s="2">
        <v>0</v>
      </c>
    </row>
    <row r="1623" spans="1:1" x14ac:dyDescent="0.25">
      <c r="A1623" s="2">
        <v>0</v>
      </c>
    </row>
    <row r="1624" spans="1:1" x14ac:dyDescent="0.25">
      <c r="A1624" s="2">
        <v>0</v>
      </c>
    </row>
    <row r="1625" spans="1:1" x14ac:dyDescent="0.25">
      <c r="A1625" s="2">
        <v>1</v>
      </c>
    </row>
    <row r="1626" spans="1:1" x14ac:dyDescent="0.25">
      <c r="A1626" s="2">
        <v>0</v>
      </c>
    </row>
    <row r="1627" spans="1:1" x14ac:dyDescent="0.25">
      <c r="A1627" s="2">
        <v>1</v>
      </c>
    </row>
    <row r="1628" spans="1:1" x14ac:dyDescent="0.25">
      <c r="A1628" s="2">
        <v>1</v>
      </c>
    </row>
    <row r="1629" spans="1:1" x14ac:dyDescent="0.25">
      <c r="A1629" s="2">
        <v>0</v>
      </c>
    </row>
    <row r="1630" spans="1:1" x14ac:dyDescent="0.25">
      <c r="A1630" s="2">
        <v>0</v>
      </c>
    </row>
    <row r="1631" spans="1:1" x14ac:dyDescent="0.25">
      <c r="A1631" s="2">
        <v>2</v>
      </c>
    </row>
    <row r="1632" spans="1:1" x14ac:dyDescent="0.25">
      <c r="A1632" s="2">
        <v>2</v>
      </c>
    </row>
    <row r="1633" spans="1:1" x14ac:dyDescent="0.25">
      <c r="A1633" s="2">
        <v>0</v>
      </c>
    </row>
    <row r="1634" spans="1:1" x14ac:dyDescent="0.25">
      <c r="A1634" s="2">
        <v>0</v>
      </c>
    </row>
    <row r="1635" spans="1:1" x14ac:dyDescent="0.25">
      <c r="A1635" s="2">
        <v>0</v>
      </c>
    </row>
    <row r="1636" spans="1:1" x14ac:dyDescent="0.25">
      <c r="A1636" s="2">
        <v>1</v>
      </c>
    </row>
    <row r="1637" spans="1:1" x14ac:dyDescent="0.25">
      <c r="A1637" s="2">
        <v>0</v>
      </c>
    </row>
    <row r="1638" spans="1:1" x14ac:dyDescent="0.25">
      <c r="A1638" s="2">
        <v>1</v>
      </c>
    </row>
    <row r="1639" spans="1:1" x14ac:dyDescent="0.25">
      <c r="A1639" s="2">
        <v>0</v>
      </c>
    </row>
    <row r="1640" spans="1:1" x14ac:dyDescent="0.25">
      <c r="A1640" s="2">
        <v>1</v>
      </c>
    </row>
    <row r="1641" spans="1:1" x14ac:dyDescent="0.25">
      <c r="A1641" s="2">
        <v>2</v>
      </c>
    </row>
    <row r="1642" spans="1:1" x14ac:dyDescent="0.25">
      <c r="A1642" s="2">
        <v>1</v>
      </c>
    </row>
    <row r="1643" spans="1:1" x14ac:dyDescent="0.25">
      <c r="A1643" s="2">
        <v>0</v>
      </c>
    </row>
    <row r="1644" spans="1:1" x14ac:dyDescent="0.25">
      <c r="A1644" s="2">
        <v>0</v>
      </c>
    </row>
    <row r="1645" spans="1:1" x14ac:dyDescent="0.25">
      <c r="A1645" s="2">
        <v>0</v>
      </c>
    </row>
    <row r="1646" spans="1:1" x14ac:dyDescent="0.25">
      <c r="A1646" s="2">
        <v>0</v>
      </c>
    </row>
    <row r="1647" spans="1:1" x14ac:dyDescent="0.25">
      <c r="A1647" s="2">
        <v>0</v>
      </c>
    </row>
    <row r="1648" spans="1:1" x14ac:dyDescent="0.25">
      <c r="A1648" s="2">
        <v>0</v>
      </c>
    </row>
    <row r="1649" spans="1:1" x14ac:dyDescent="0.25">
      <c r="A1649" s="2">
        <v>1</v>
      </c>
    </row>
    <row r="1650" spans="1:1" x14ac:dyDescent="0.25">
      <c r="A1650" s="2">
        <v>0</v>
      </c>
    </row>
    <row r="1651" spans="1:1" x14ac:dyDescent="0.25">
      <c r="A1651" s="2">
        <v>0</v>
      </c>
    </row>
    <row r="1652" spans="1:1" x14ac:dyDescent="0.25">
      <c r="A1652" s="2">
        <v>2</v>
      </c>
    </row>
    <row r="1653" spans="1:1" x14ac:dyDescent="0.25">
      <c r="A1653" s="2">
        <v>0</v>
      </c>
    </row>
    <row r="1654" spans="1:1" x14ac:dyDescent="0.25">
      <c r="A1654" s="2">
        <v>0</v>
      </c>
    </row>
    <row r="1655" spans="1:1" x14ac:dyDescent="0.25">
      <c r="A1655" s="2">
        <v>1</v>
      </c>
    </row>
    <row r="1656" spans="1:1" x14ac:dyDescent="0.25">
      <c r="A1656" s="2">
        <v>2</v>
      </c>
    </row>
    <row r="1657" spans="1:1" x14ac:dyDescent="0.25">
      <c r="A1657" s="2">
        <v>1</v>
      </c>
    </row>
    <row r="1658" spans="1:1" x14ac:dyDescent="0.25">
      <c r="A1658" s="2">
        <v>0</v>
      </c>
    </row>
    <row r="1659" spans="1:1" x14ac:dyDescent="0.25">
      <c r="A1659" s="2">
        <v>0</v>
      </c>
    </row>
    <row r="1660" spans="1:1" x14ac:dyDescent="0.25">
      <c r="A1660" s="2">
        <v>1</v>
      </c>
    </row>
    <row r="1661" spans="1:1" x14ac:dyDescent="0.25">
      <c r="A1661" s="2">
        <v>0</v>
      </c>
    </row>
    <row r="1662" spans="1:1" x14ac:dyDescent="0.25">
      <c r="A1662" s="2">
        <v>0</v>
      </c>
    </row>
    <row r="1663" spans="1:1" x14ac:dyDescent="0.25">
      <c r="A1663" s="2">
        <v>0</v>
      </c>
    </row>
    <row r="1664" spans="1:1" x14ac:dyDescent="0.25">
      <c r="A1664" s="2">
        <v>0</v>
      </c>
    </row>
    <row r="1665" spans="1:1" x14ac:dyDescent="0.25">
      <c r="A1665" s="2">
        <v>1</v>
      </c>
    </row>
    <row r="1666" spans="1:1" x14ac:dyDescent="0.25">
      <c r="A1666" s="2">
        <v>0</v>
      </c>
    </row>
    <row r="1667" spans="1:1" x14ac:dyDescent="0.25">
      <c r="A1667" s="2">
        <v>0</v>
      </c>
    </row>
    <row r="1668" spans="1:1" x14ac:dyDescent="0.25">
      <c r="A1668" s="2">
        <v>0</v>
      </c>
    </row>
    <row r="1669" spans="1:1" x14ac:dyDescent="0.25">
      <c r="A1669" s="2">
        <v>0</v>
      </c>
    </row>
    <row r="1670" spans="1:1" x14ac:dyDescent="0.25">
      <c r="A1670" s="2">
        <v>1</v>
      </c>
    </row>
    <row r="1671" spans="1:1" x14ac:dyDescent="0.25">
      <c r="A1671" s="2">
        <v>0</v>
      </c>
    </row>
    <row r="1672" spans="1:1" x14ac:dyDescent="0.25">
      <c r="A1672" s="2">
        <v>0</v>
      </c>
    </row>
    <row r="1673" spans="1:1" x14ac:dyDescent="0.25">
      <c r="A1673" s="2">
        <v>0</v>
      </c>
    </row>
    <row r="1674" spans="1:1" x14ac:dyDescent="0.25">
      <c r="A1674" s="2">
        <v>0</v>
      </c>
    </row>
    <row r="1675" spans="1:1" x14ac:dyDescent="0.25">
      <c r="A1675" s="2">
        <v>0</v>
      </c>
    </row>
    <row r="1676" spans="1:1" x14ac:dyDescent="0.25">
      <c r="A1676" s="2">
        <v>0</v>
      </c>
    </row>
    <row r="1677" spans="1:1" x14ac:dyDescent="0.25">
      <c r="A1677" s="2">
        <v>0</v>
      </c>
    </row>
    <row r="1678" spans="1:1" x14ac:dyDescent="0.25">
      <c r="A1678" s="2">
        <v>0</v>
      </c>
    </row>
    <row r="1679" spans="1:1" x14ac:dyDescent="0.25">
      <c r="A1679" s="2">
        <v>1</v>
      </c>
    </row>
    <row r="1680" spans="1:1" x14ac:dyDescent="0.25">
      <c r="A1680" s="2">
        <v>0</v>
      </c>
    </row>
    <row r="1681" spans="1:1" x14ac:dyDescent="0.25">
      <c r="A1681" s="2">
        <v>0</v>
      </c>
    </row>
    <row r="1682" spans="1:1" x14ac:dyDescent="0.25">
      <c r="A1682" s="2">
        <v>0</v>
      </c>
    </row>
    <row r="1683" spans="1:1" x14ac:dyDescent="0.25">
      <c r="A1683" s="2">
        <v>1</v>
      </c>
    </row>
    <row r="1684" spans="1:1" x14ac:dyDescent="0.25">
      <c r="A1684" s="2">
        <v>1</v>
      </c>
    </row>
    <row r="1685" spans="1:1" x14ac:dyDescent="0.25">
      <c r="A1685" s="2">
        <v>1</v>
      </c>
    </row>
    <row r="1686" spans="1:1" x14ac:dyDescent="0.25">
      <c r="A1686" s="2">
        <v>0</v>
      </c>
    </row>
    <row r="1687" spans="1:1" x14ac:dyDescent="0.25">
      <c r="A1687" s="2">
        <v>0</v>
      </c>
    </row>
    <row r="1688" spans="1:1" x14ac:dyDescent="0.25">
      <c r="A1688" s="2">
        <v>0</v>
      </c>
    </row>
    <row r="1689" spans="1:1" x14ac:dyDescent="0.25">
      <c r="A1689" s="2">
        <v>1</v>
      </c>
    </row>
    <row r="1690" spans="1:1" x14ac:dyDescent="0.25">
      <c r="A1690" s="2">
        <v>0</v>
      </c>
    </row>
    <row r="1691" spans="1:1" x14ac:dyDescent="0.25">
      <c r="A1691" s="2">
        <v>1</v>
      </c>
    </row>
    <row r="1692" spans="1:1" x14ac:dyDescent="0.25">
      <c r="A1692" s="2">
        <v>1</v>
      </c>
    </row>
    <row r="1693" spans="1:1" x14ac:dyDescent="0.25">
      <c r="A1693" s="2">
        <v>0</v>
      </c>
    </row>
    <row r="1694" spans="1:1" x14ac:dyDescent="0.25">
      <c r="A1694" s="2">
        <v>1</v>
      </c>
    </row>
    <row r="1695" spans="1:1" x14ac:dyDescent="0.25">
      <c r="A1695" s="2">
        <v>1</v>
      </c>
    </row>
    <row r="1696" spans="1:1" x14ac:dyDescent="0.25">
      <c r="A1696" s="2">
        <v>0</v>
      </c>
    </row>
    <row r="1697" spans="1:1" x14ac:dyDescent="0.25">
      <c r="A1697" s="2">
        <v>0</v>
      </c>
    </row>
    <row r="1698" spans="1:1" x14ac:dyDescent="0.25">
      <c r="A1698" s="2">
        <v>0</v>
      </c>
    </row>
    <row r="1699" spans="1:1" x14ac:dyDescent="0.25">
      <c r="A1699" s="2">
        <v>0</v>
      </c>
    </row>
    <row r="1700" spans="1:1" x14ac:dyDescent="0.25">
      <c r="A1700" s="2">
        <v>0</v>
      </c>
    </row>
    <row r="1701" spans="1:1" x14ac:dyDescent="0.25">
      <c r="A1701" s="2">
        <v>0</v>
      </c>
    </row>
    <row r="1702" spans="1:1" x14ac:dyDescent="0.25">
      <c r="A1702" s="2">
        <v>1</v>
      </c>
    </row>
    <row r="1703" spans="1:1" x14ac:dyDescent="0.25">
      <c r="A1703" s="2">
        <v>1</v>
      </c>
    </row>
    <row r="1704" spans="1:1" x14ac:dyDescent="0.25">
      <c r="A1704" s="2">
        <v>0</v>
      </c>
    </row>
    <row r="1705" spans="1:1" x14ac:dyDescent="0.25">
      <c r="A1705" s="2">
        <v>1</v>
      </c>
    </row>
    <row r="1706" spans="1:1" x14ac:dyDescent="0.25">
      <c r="A1706" s="2">
        <v>1</v>
      </c>
    </row>
    <row r="1707" spans="1:1" x14ac:dyDescent="0.25">
      <c r="A1707" s="2">
        <v>1</v>
      </c>
    </row>
    <row r="1708" spans="1:1" x14ac:dyDescent="0.25">
      <c r="A1708" s="2">
        <v>1</v>
      </c>
    </row>
    <row r="1709" spans="1:1" x14ac:dyDescent="0.25">
      <c r="A1709" s="2">
        <v>0</v>
      </c>
    </row>
    <row r="1710" spans="1:1" x14ac:dyDescent="0.25">
      <c r="A1710" s="2">
        <v>0</v>
      </c>
    </row>
    <row r="1711" spans="1:1" x14ac:dyDescent="0.25">
      <c r="A1711" s="2">
        <v>0</v>
      </c>
    </row>
    <row r="1712" spans="1:1" x14ac:dyDescent="0.25">
      <c r="A1712" s="2">
        <v>1</v>
      </c>
    </row>
    <row r="1713" spans="1:1" x14ac:dyDescent="0.25">
      <c r="A1713" s="2">
        <v>1</v>
      </c>
    </row>
    <row r="1714" spans="1:1" x14ac:dyDescent="0.25">
      <c r="A1714" s="2">
        <v>0</v>
      </c>
    </row>
    <row r="1715" spans="1:1" x14ac:dyDescent="0.25">
      <c r="A1715" s="2">
        <v>1</v>
      </c>
    </row>
    <row r="1716" spans="1:1" x14ac:dyDescent="0.25">
      <c r="A1716" s="2">
        <v>1</v>
      </c>
    </row>
    <row r="1717" spans="1:1" x14ac:dyDescent="0.25">
      <c r="A1717" s="2">
        <v>0</v>
      </c>
    </row>
    <row r="1718" spans="1:1" x14ac:dyDescent="0.25">
      <c r="A1718" s="2">
        <v>0</v>
      </c>
    </row>
    <row r="1719" spans="1:1" x14ac:dyDescent="0.25">
      <c r="A1719" s="2">
        <v>1</v>
      </c>
    </row>
    <row r="1720" spans="1:1" x14ac:dyDescent="0.25">
      <c r="A1720" s="2">
        <v>2</v>
      </c>
    </row>
    <row r="1721" spans="1:1" x14ac:dyDescent="0.25">
      <c r="A1721" s="2">
        <v>0</v>
      </c>
    </row>
    <row r="1722" spans="1:1" x14ac:dyDescent="0.25">
      <c r="A1722" s="2">
        <v>1</v>
      </c>
    </row>
    <row r="1723" spans="1:1" x14ac:dyDescent="0.25">
      <c r="A1723" s="2">
        <v>2</v>
      </c>
    </row>
    <row r="1724" spans="1:1" x14ac:dyDescent="0.25">
      <c r="A1724" s="2">
        <v>1</v>
      </c>
    </row>
    <row r="1725" spans="1:1" x14ac:dyDescent="0.25">
      <c r="A1725" s="2">
        <v>2</v>
      </c>
    </row>
    <row r="1726" spans="1:1" x14ac:dyDescent="0.25">
      <c r="A1726" s="2">
        <v>0</v>
      </c>
    </row>
    <row r="1727" spans="1:1" x14ac:dyDescent="0.25">
      <c r="A1727" s="2">
        <v>0</v>
      </c>
    </row>
    <row r="1728" spans="1:1" x14ac:dyDescent="0.25">
      <c r="A1728" s="2">
        <v>0</v>
      </c>
    </row>
    <row r="1729" spans="1:1" x14ac:dyDescent="0.25">
      <c r="A1729" s="2">
        <v>1</v>
      </c>
    </row>
    <row r="1730" spans="1:1" x14ac:dyDescent="0.25">
      <c r="A1730" s="2">
        <v>0</v>
      </c>
    </row>
    <row r="1731" spans="1:1" x14ac:dyDescent="0.25">
      <c r="A1731" s="2">
        <v>0</v>
      </c>
    </row>
    <row r="1732" spans="1:1" x14ac:dyDescent="0.25">
      <c r="A1732" s="2">
        <v>0</v>
      </c>
    </row>
    <row r="1733" spans="1:1" x14ac:dyDescent="0.25">
      <c r="A1733" s="2">
        <v>0</v>
      </c>
    </row>
    <row r="1734" spans="1:1" x14ac:dyDescent="0.25">
      <c r="A1734" s="2">
        <v>1</v>
      </c>
    </row>
    <row r="1735" spans="1:1" x14ac:dyDescent="0.25">
      <c r="A1735" s="2">
        <v>2</v>
      </c>
    </row>
    <row r="1736" spans="1:1" x14ac:dyDescent="0.25">
      <c r="A1736" s="2">
        <v>1</v>
      </c>
    </row>
    <row r="1737" spans="1:1" x14ac:dyDescent="0.25">
      <c r="A1737" s="2">
        <v>1</v>
      </c>
    </row>
    <row r="1738" spans="1:1" x14ac:dyDescent="0.25">
      <c r="A1738" s="2">
        <v>0</v>
      </c>
    </row>
    <row r="1739" spans="1:1" x14ac:dyDescent="0.25">
      <c r="A1739" s="2">
        <v>0</v>
      </c>
    </row>
    <row r="1740" spans="1:1" x14ac:dyDescent="0.25">
      <c r="A1740" s="2">
        <v>0</v>
      </c>
    </row>
    <row r="1741" spans="1:1" x14ac:dyDescent="0.25">
      <c r="A1741" s="2">
        <v>2</v>
      </c>
    </row>
    <row r="1742" spans="1:1" x14ac:dyDescent="0.25">
      <c r="A1742" s="2">
        <v>2</v>
      </c>
    </row>
    <row r="1743" spans="1:1" x14ac:dyDescent="0.25">
      <c r="A1743" s="2">
        <v>2</v>
      </c>
    </row>
    <row r="1744" spans="1:1" x14ac:dyDescent="0.25">
      <c r="A1744" s="2">
        <v>0</v>
      </c>
    </row>
    <row r="1745" spans="1:1" x14ac:dyDescent="0.25">
      <c r="A1745" s="2">
        <v>0</v>
      </c>
    </row>
    <row r="1746" spans="1:1" x14ac:dyDescent="0.25">
      <c r="A1746" s="2">
        <v>1</v>
      </c>
    </row>
    <row r="1747" spans="1:1" x14ac:dyDescent="0.25">
      <c r="A1747" s="2">
        <v>1</v>
      </c>
    </row>
    <row r="1748" spans="1:1" x14ac:dyDescent="0.25">
      <c r="A1748" s="2">
        <v>2</v>
      </c>
    </row>
    <row r="1749" spans="1:1" x14ac:dyDescent="0.25">
      <c r="A1749" s="2">
        <v>0</v>
      </c>
    </row>
    <row r="1750" spans="1:1" x14ac:dyDescent="0.25">
      <c r="A1750" s="2">
        <v>0</v>
      </c>
    </row>
    <row r="1751" spans="1:1" x14ac:dyDescent="0.25">
      <c r="A1751" s="2">
        <v>0</v>
      </c>
    </row>
    <row r="1752" spans="1:1" x14ac:dyDescent="0.25">
      <c r="A1752" s="2">
        <v>0</v>
      </c>
    </row>
    <row r="1753" spans="1:1" x14ac:dyDescent="0.25">
      <c r="A1753" s="2">
        <v>0</v>
      </c>
    </row>
    <row r="1754" spans="1:1" x14ac:dyDescent="0.25">
      <c r="A1754" s="2">
        <v>0</v>
      </c>
    </row>
    <row r="1755" spans="1:1" x14ac:dyDescent="0.25">
      <c r="A1755" s="2">
        <v>0</v>
      </c>
    </row>
    <row r="1756" spans="1:1" x14ac:dyDescent="0.25">
      <c r="A1756" s="2">
        <v>0</v>
      </c>
    </row>
    <row r="1757" spans="1:1" x14ac:dyDescent="0.25">
      <c r="A1757" s="2">
        <v>1</v>
      </c>
    </row>
    <row r="1758" spans="1:1" x14ac:dyDescent="0.25">
      <c r="A1758" s="2">
        <v>0</v>
      </c>
    </row>
    <row r="1759" spans="1:1" x14ac:dyDescent="0.25">
      <c r="A1759" s="2">
        <v>0</v>
      </c>
    </row>
    <row r="1760" spans="1:1" x14ac:dyDescent="0.25">
      <c r="A1760" s="2">
        <v>0</v>
      </c>
    </row>
    <row r="1761" spans="1:1" x14ac:dyDescent="0.25">
      <c r="A1761" s="2">
        <v>0</v>
      </c>
    </row>
    <row r="1762" spans="1:1" x14ac:dyDescent="0.25">
      <c r="A1762" s="2">
        <v>2</v>
      </c>
    </row>
    <row r="1763" spans="1:1" x14ac:dyDescent="0.25">
      <c r="A1763" s="2">
        <v>0</v>
      </c>
    </row>
    <row r="1764" spans="1:1" x14ac:dyDescent="0.25">
      <c r="A1764" s="2">
        <v>0</v>
      </c>
    </row>
    <row r="1765" spans="1:1" x14ac:dyDescent="0.25">
      <c r="A1765" s="2">
        <v>0</v>
      </c>
    </row>
    <row r="1766" spans="1:1" x14ac:dyDescent="0.25">
      <c r="A1766" s="2">
        <v>1</v>
      </c>
    </row>
    <row r="1767" spans="1:1" x14ac:dyDescent="0.25">
      <c r="A1767" s="2">
        <v>0</v>
      </c>
    </row>
    <row r="1768" spans="1:1" x14ac:dyDescent="0.25">
      <c r="A1768" s="2">
        <v>2</v>
      </c>
    </row>
    <row r="1769" spans="1:1" x14ac:dyDescent="0.25">
      <c r="A1769" s="2">
        <v>0</v>
      </c>
    </row>
    <row r="1770" spans="1:1" x14ac:dyDescent="0.25">
      <c r="A1770" s="2">
        <v>0</v>
      </c>
    </row>
    <row r="1771" spans="1:1" x14ac:dyDescent="0.25">
      <c r="A1771" s="2">
        <v>2</v>
      </c>
    </row>
    <row r="1772" spans="1:1" x14ac:dyDescent="0.25">
      <c r="A1772" s="2">
        <v>0</v>
      </c>
    </row>
    <row r="1773" spans="1:1" x14ac:dyDescent="0.25">
      <c r="A1773" s="2">
        <v>0</v>
      </c>
    </row>
    <row r="1774" spans="1:1" x14ac:dyDescent="0.25">
      <c r="A1774" s="2">
        <v>1</v>
      </c>
    </row>
    <row r="1775" spans="1:1" x14ac:dyDescent="0.25">
      <c r="A1775" s="2">
        <v>2</v>
      </c>
    </row>
    <row r="1776" spans="1:1" x14ac:dyDescent="0.25">
      <c r="A1776" s="2">
        <v>0</v>
      </c>
    </row>
    <row r="1777" spans="1:1" x14ac:dyDescent="0.25">
      <c r="A1777" s="2">
        <v>0</v>
      </c>
    </row>
    <row r="1778" spans="1:1" x14ac:dyDescent="0.25">
      <c r="A1778" s="2">
        <v>0</v>
      </c>
    </row>
    <row r="1779" spans="1:1" x14ac:dyDescent="0.25">
      <c r="A1779" s="2">
        <v>0</v>
      </c>
    </row>
    <row r="1780" spans="1:1" x14ac:dyDescent="0.25">
      <c r="A1780" s="2">
        <v>0</v>
      </c>
    </row>
    <row r="1781" spans="1:1" x14ac:dyDescent="0.25">
      <c r="A1781" s="2">
        <v>0</v>
      </c>
    </row>
    <row r="1782" spans="1:1" x14ac:dyDescent="0.25">
      <c r="A1782" s="2">
        <v>2</v>
      </c>
    </row>
    <row r="1783" spans="1:1" x14ac:dyDescent="0.25">
      <c r="A1783" s="2">
        <v>2</v>
      </c>
    </row>
    <row r="1784" spans="1:1" x14ac:dyDescent="0.25">
      <c r="A1784" s="2">
        <v>2</v>
      </c>
    </row>
    <row r="1785" spans="1:1" x14ac:dyDescent="0.25">
      <c r="A1785" s="2">
        <v>0</v>
      </c>
    </row>
    <row r="1786" spans="1:1" x14ac:dyDescent="0.25">
      <c r="A1786" s="2">
        <v>0</v>
      </c>
    </row>
    <row r="1787" spans="1:1" x14ac:dyDescent="0.25">
      <c r="A1787" s="2">
        <v>0</v>
      </c>
    </row>
    <row r="1788" spans="1:1" x14ac:dyDescent="0.25">
      <c r="A1788" s="2">
        <v>0</v>
      </c>
    </row>
    <row r="1789" spans="1:1" x14ac:dyDescent="0.25">
      <c r="A1789" s="2">
        <v>1</v>
      </c>
    </row>
    <row r="1790" spans="1:1" x14ac:dyDescent="0.25">
      <c r="A1790" s="2">
        <v>1</v>
      </c>
    </row>
    <row r="1791" spans="1:1" x14ac:dyDescent="0.25">
      <c r="A1791" s="2">
        <v>1</v>
      </c>
    </row>
    <row r="1792" spans="1:1" x14ac:dyDescent="0.25">
      <c r="A1792" s="2">
        <v>2</v>
      </c>
    </row>
    <row r="1793" spans="1:1" x14ac:dyDescent="0.25">
      <c r="A1793" s="2">
        <v>1</v>
      </c>
    </row>
    <row r="1794" spans="1:1" x14ac:dyDescent="0.25">
      <c r="A1794" s="2">
        <v>0</v>
      </c>
    </row>
    <row r="1795" spans="1:1" x14ac:dyDescent="0.25">
      <c r="A1795" s="2">
        <v>2</v>
      </c>
    </row>
    <row r="1796" spans="1:1" x14ac:dyDescent="0.25">
      <c r="A1796" s="2">
        <v>0</v>
      </c>
    </row>
    <row r="1797" spans="1:1" x14ac:dyDescent="0.25">
      <c r="A1797" s="2">
        <v>1</v>
      </c>
    </row>
    <row r="1798" spans="1:1" x14ac:dyDescent="0.25">
      <c r="A1798" s="2">
        <v>1</v>
      </c>
    </row>
    <row r="1799" spans="1:1" x14ac:dyDescent="0.25">
      <c r="A1799" s="2">
        <v>0</v>
      </c>
    </row>
    <row r="1800" spans="1:1" x14ac:dyDescent="0.25">
      <c r="A1800" s="2">
        <v>0</v>
      </c>
    </row>
    <row r="1801" spans="1:1" x14ac:dyDescent="0.25">
      <c r="A1801" s="2">
        <v>0</v>
      </c>
    </row>
    <row r="1802" spans="1:1" x14ac:dyDescent="0.25">
      <c r="A1802" s="2">
        <v>0</v>
      </c>
    </row>
    <row r="1803" spans="1:1" x14ac:dyDescent="0.25">
      <c r="A1803" s="2">
        <v>1</v>
      </c>
    </row>
    <row r="1804" spans="1:1" x14ac:dyDescent="0.25">
      <c r="A1804" s="2">
        <v>1</v>
      </c>
    </row>
    <row r="1805" spans="1:1" x14ac:dyDescent="0.25">
      <c r="A1805" s="2">
        <v>0</v>
      </c>
    </row>
    <row r="1806" spans="1:1" x14ac:dyDescent="0.25">
      <c r="A1806" s="2">
        <v>1</v>
      </c>
    </row>
    <row r="1807" spans="1:1" x14ac:dyDescent="0.25">
      <c r="A1807" s="2">
        <v>0</v>
      </c>
    </row>
    <row r="1808" spans="1:1" x14ac:dyDescent="0.25">
      <c r="A1808" s="2">
        <v>1</v>
      </c>
    </row>
    <row r="1809" spans="1:1" x14ac:dyDescent="0.25">
      <c r="A1809" s="2">
        <v>2</v>
      </c>
    </row>
    <row r="1810" spans="1:1" x14ac:dyDescent="0.25">
      <c r="A1810" s="2">
        <v>2</v>
      </c>
    </row>
    <row r="1811" spans="1:1" x14ac:dyDescent="0.25">
      <c r="A1811" s="2">
        <v>0</v>
      </c>
    </row>
    <row r="1812" spans="1:1" x14ac:dyDescent="0.25">
      <c r="A1812" s="2">
        <v>2</v>
      </c>
    </row>
    <row r="1813" spans="1:1" x14ac:dyDescent="0.25">
      <c r="A1813" s="2">
        <v>1</v>
      </c>
    </row>
    <row r="1814" spans="1:1" x14ac:dyDescent="0.25">
      <c r="A1814" s="2">
        <v>1</v>
      </c>
    </row>
    <row r="1815" spans="1:1" x14ac:dyDescent="0.25">
      <c r="A1815" s="2">
        <v>2</v>
      </c>
    </row>
    <row r="1816" spans="1:1" x14ac:dyDescent="0.25">
      <c r="A1816" s="2">
        <v>1</v>
      </c>
    </row>
    <row r="1817" spans="1:1" x14ac:dyDescent="0.25">
      <c r="A1817" s="2">
        <v>2</v>
      </c>
    </row>
    <row r="1818" spans="1:1" x14ac:dyDescent="0.25">
      <c r="A1818" s="2">
        <v>1</v>
      </c>
    </row>
    <row r="1819" spans="1:1" x14ac:dyDescent="0.25">
      <c r="A1819" s="2">
        <v>2</v>
      </c>
    </row>
    <row r="1820" spans="1:1" x14ac:dyDescent="0.25">
      <c r="A1820" s="2">
        <v>1</v>
      </c>
    </row>
    <row r="1821" spans="1:1" x14ac:dyDescent="0.25">
      <c r="A1821" s="2">
        <v>2</v>
      </c>
    </row>
    <row r="1822" spans="1:1" x14ac:dyDescent="0.25">
      <c r="A1822" s="2">
        <v>0</v>
      </c>
    </row>
    <row r="1823" spans="1:1" x14ac:dyDescent="0.25">
      <c r="A1823" s="2">
        <v>2</v>
      </c>
    </row>
    <row r="1824" spans="1:1" x14ac:dyDescent="0.25">
      <c r="A1824" s="2">
        <v>1</v>
      </c>
    </row>
    <row r="1825" spans="1:1" x14ac:dyDescent="0.25">
      <c r="A1825" s="2">
        <v>0</v>
      </c>
    </row>
    <row r="1826" spans="1:1" x14ac:dyDescent="0.25">
      <c r="A1826" s="2">
        <v>0</v>
      </c>
    </row>
    <row r="1827" spans="1:1" x14ac:dyDescent="0.25">
      <c r="A1827" s="2">
        <v>0</v>
      </c>
    </row>
    <row r="1828" spans="1:1" x14ac:dyDescent="0.25">
      <c r="A1828" s="2">
        <v>0</v>
      </c>
    </row>
    <row r="1829" spans="1:1" x14ac:dyDescent="0.25">
      <c r="A1829" s="2">
        <v>0</v>
      </c>
    </row>
    <row r="1830" spans="1:1" x14ac:dyDescent="0.25">
      <c r="A1830" s="2">
        <v>1</v>
      </c>
    </row>
    <row r="1831" spans="1:1" x14ac:dyDescent="0.25">
      <c r="A1831" s="2">
        <v>2</v>
      </c>
    </row>
    <row r="1832" spans="1:1" x14ac:dyDescent="0.25">
      <c r="A1832" s="2">
        <v>1</v>
      </c>
    </row>
    <row r="1833" spans="1:1" x14ac:dyDescent="0.25">
      <c r="A1833" s="2">
        <v>1</v>
      </c>
    </row>
    <row r="1834" spans="1:1" x14ac:dyDescent="0.25">
      <c r="A1834" s="2">
        <v>1</v>
      </c>
    </row>
    <row r="1835" spans="1:1" x14ac:dyDescent="0.25">
      <c r="A1835" s="2">
        <v>0</v>
      </c>
    </row>
    <row r="1836" spans="1:1" x14ac:dyDescent="0.25">
      <c r="A1836" s="2">
        <v>1</v>
      </c>
    </row>
    <row r="1837" spans="1:1" x14ac:dyDescent="0.25">
      <c r="A1837" s="2">
        <v>0</v>
      </c>
    </row>
    <row r="1838" spans="1:1" x14ac:dyDescent="0.25">
      <c r="A1838" s="2">
        <v>0</v>
      </c>
    </row>
    <row r="1839" spans="1:1" x14ac:dyDescent="0.25">
      <c r="A1839" s="2">
        <v>0</v>
      </c>
    </row>
    <row r="1840" spans="1:1" x14ac:dyDescent="0.25">
      <c r="A1840" s="2">
        <v>0</v>
      </c>
    </row>
    <row r="1841" spans="1:1" x14ac:dyDescent="0.25">
      <c r="A1841" s="2">
        <v>2</v>
      </c>
    </row>
    <row r="1842" spans="1:1" x14ac:dyDescent="0.25">
      <c r="A1842" s="2">
        <v>1</v>
      </c>
    </row>
    <row r="1843" spans="1:1" x14ac:dyDescent="0.25">
      <c r="A1843" s="2">
        <v>0</v>
      </c>
    </row>
    <row r="1844" spans="1:1" x14ac:dyDescent="0.25">
      <c r="A1844" s="2">
        <v>1</v>
      </c>
    </row>
    <row r="1845" spans="1:1" x14ac:dyDescent="0.25">
      <c r="A1845" s="2">
        <v>1</v>
      </c>
    </row>
    <row r="1846" spans="1:1" x14ac:dyDescent="0.25">
      <c r="A1846" s="2">
        <v>0</v>
      </c>
    </row>
    <row r="1847" spans="1:1" x14ac:dyDescent="0.25">
      <c r="A1847" s="2">
        <v>1</v>
      </c>
    </row>
    <row r="1848" spans="1:1" x14ac:dyDescent="0.25">
      <c r="A1848" s="2">
        <v>0</v>
      </c>
    </row>
    <row r="1849" spans="1:1" x14ac:dyDescent="0.25">
      <c r="A1849" s="2">
        <v>0</v>
      </c>
    </row>
    <row r="1850" spans="1:1" x14ac:dyDescent="0.25">
      <c r="A1850" s="2">
        <v>0</v>
      </c>
    </row>
    <row r="1851" spans="1:1" x14ac:dyDescent="0.25">
      <c r="A1851" s="2">
        <v>0</v>
      </c>
    </row>
    <row r="1852" spans="1:1" x14ac:dyDescent="0.25">
      <c r="A1852" s="2">
        <v>0</v>
      </c>
    </row>
    <row r="1853" spans="1:1" x14ac:dyDescent="0.25">
      <c r="A1853" s="2">
        <v>0</v>
      </c>
    </row>
    <row r="1854" spans="1:1" x14ac:dyDescent="0.25">
      <c r="A1854" s="2">
        <v>0</v>
      </c>
    </row>
    <row r="1855" spans="1:1" x14ac:dyDescent="0.25">
      <c r="A1855" s="2">
        <v>0</v>
      </c>
    </row>
    <row r="1856" spans="1:1" x14ac:dyDescent="0.25">
      <c r="A1856" s="2">
        <v>1</v>
      </c>
    </row>
    <row r="1857" spans="1:1" x14ac:dyDescent="0.25">
      <c r="A1857" s="2">
        <v>0</v>
      </c>
    </row>
    <row r="1858" spans="1:1" x14ac:dyDescent="0.25">
      <c r="A1858" s="2">
        <v>0</v>
      </c>
    </row>
    <row r="1859" spans="1:1" x14ac:dyDescent="0.25">
      <c r="A1859" s="2">
        <v>0</v>
      </c>
    </row>
    <row r="1860" spans="1:1" x14ac:dyDescent="0.25">
      <c r="A1860" s="2">
        <v>0</v>
      </c>
    </row>
    <row r="1861" spans="1:1" x14ac:dyDescent="0.25">
      <c r="A1861" s="2">
        <v>0</v>
      </c>
    </row>
    <row r="1862" spans="1:1" x14ac:dyDescent="0.25">
      <c r="A1862" s="2">
        <v>1</v>
      </c>
    </row>
    <row r="1863" spans="1:1" x14ac:dyDescent="0.25">
      <c r="A1863" s="2">
        <v>0</v>
      </c>
    </row>
    <row r="1864" spans="1:1" x14ac:dyDescent="0.25">
      <c r="A1864" s="2">
        <v>0</v>
      </c>
    </row>
    <row r="1865" spans="1:1" x14ac:dyDescent="0.25">
      <c r="A1865" s="2">
        <v>0</v>
      </c>
    </row>
    <row r="1866" spans="1:1" x14ac:dyDescent="0.25">
      <c r="A1866" s="2">
        <v>0</v>
      </c>
    </row>
    <row r="1867" spans="1:1" x14ac:dyDescent="0.25">
      <c r="A1867" s="2">
        <v>0</v>
      </c>
    </row>
    <row r="1868" spans="1:1" x14ac:dyDescent="0.25">
      <c r="A1868" s="2">
        <v>0</v>
      </c>
    </row>
    <row r="1869" spans="1:1" x14ac:dyDescent="0.25">
      <c r="A1869" s="2">
        <v>1</v>
      </c>
    </row>
    <row r="1870" spans="1:1" x14ac:dyDescent="0.25">
      <c r="A1870" s="2">
        <v>0</v>
      </c>
    </row>
    <row r="1871" spans="1:1" x14ac:dyDescent="0.25">
      <c r="A1871" s="2">
        <v>0</v>
      </c>
    </row>
    <row r="1872" spans="1:1" x14ac:dyDescent="0.25">
      <c r="A1872" s="2">
        <v>0</v>
      </c>
    </row>
    <row r="1873" spans="1:1" x14ac:dyDescent="0.25">
      <c r="A1873" s="2">
        <v>1</v>
      </c>
    </row>
    <row r="1874" spans="1:1" x14ac:dyDescent="0.25">
      <c r="A1874" s="2">
        <v>1</v>
      </c>
    </row>
    <row r="1875" spans="1:1" x14ac:dyDescent="0.25">
      <c r="A1875" s="2">
        <v>0</v>
      </c>
    </row>
    <row r="1876" spans="1:1" x14ac:dyDescent="0.25">
      <c r="A1876" s="2">
        <v>0</v>
      </c>
    </row>
    <row r="1877" spans="1:1" x14ac:dyDescent="0.25">
      <c r="A1877" s="2">
        <v>1</v>
      </c>
    </row>
    <row r="1878" spans="1:1" x14ac:dyDescent="0.25">
      <c r="A1878" s="2">
        <v>2</v>
      </c>
    </row>
    <row r="1879" spans="1:1" x14ac:dyDescent="0.25">
      <c r="A1879" s="2">
        <v>0</v>
      </c>
    </row>
    <row r="1880" spans="1:1" x14ac:dyDescent="0.25">
      <c r="A1880" s="2">
        <v>0</v>
      </c>
    </row>
    <row r="1881" spans="1:1" x14ac:dyDescent="0.25">
      <c r="A1881" s="2">
        <v>1</v>
      </c>
    </row>
    <row r="1882" spans="1:1" x14ac:dyDescent="0.25">
      <c r="A1882" s="2">
        <v>2</v>
      </c>
    </row>
    <row r="1883" spans="1:1" x14ac:dyDescent="0.25">
      <c r="A1883" s="2">
        <v>0</v>
      </c>
    </row>
    <row r="1884" spans="1:1" x14ac:dyDescent="0.25">
      <c r="A1884" s="2">
        <v>2</v>
      </c>
    </row>
    <row r="1885" spans="1:1" x14ac:dyDescent="0.25">
      <c r="A1885" s="2">
        <v>1</v>
      </c>
    </row>
    <row r="1886" spans="1:1" x14ac:dyDescent="0.25">
      <c r="A1886" s="2">
        <v>0</v>
      </c>
    </row>
    <row r="1887" spans="1:1" x14ac:dyDescent="0.25">
      <c r="A1887" s="2">
        <v>0</v>
      </c>
    </row>
    <row r="1888" spans="1:1" x14ac:dyDescent="0.25">
      <c r="A1888" s="2">
        <v>0</v>
      </c>
    </row>
    <row r="1889" spans="1:1" x14ac:dyDescent="0.25">
      <c r="A1889" s="2">
        <v>0</v>
      </c>
    </row>
    <row r="1890" spans="1:1" x14ac:dyDescent="0.25">
      <c r="A1890" s="2">
        <v>0</v>
      </c>
    </row>
    <row r="1891" spans="1:1" x14ac:dyDescent="0.25">
      <c r="A1891" s="2">
        <v>1</v>
      </c>
    </row>
    <row r="1892" spans="1:1" x14ac:dyDescent="0.25">
      <c r="A1892" s="2">
        <v>2</v>
      </c>
    </row>
    <row r="1893" spans="1:1" x14ac:dyDescent="0.25">
      <c r="A1893" s="2">
        <v>2</v>
      </c>
    </row>
    <row r="1894" spans="1:1" x14ac:dyDescent="0.25">
      <c r="A1894" s="2">
        <v>0</v>
      </c>
    </row>
    <row r="1895" spans="1:1" x14ac:dyDescent="0.25">
      <c r="A1895" s="2">
        <v>0</v>
      </c>
    </row>
    <row r="1896" spans="1:1" x14ac:dyDescent="0.25">
      <c r="A1896" s="2">
        <v>1</v>
      </c>
    </row>
    <row r="1897" spans="1:1" x14ac:dyDescent="0.25">
      <c r="A1897" s="2">
        <v>0</v>
      </c>
    </row>
    <row r="1898" spans="1:1" x14ac:dyDescent="0.25">
      <c r="A1898" s="2">
        <v>0</v>
      </c>
    </row>
    <row r="1899" spans="1:1" x14ac:dyDescent="0.25">
      <c r="A1899" s="2">
        <v>1</v>
      </c>
    </row>
    <row r="1900" spans="1:1" x14ac:dyDescent="0.25">
      <c r="A1900" s="2">
        <v>0</v>
      </c>
    </row>
    <row r="1901" spans="1:1" x14ac:dyDescent="0.25">
      <c r="A1901" s="2">
        <v>1</v>
      </c>
    </row>
    <row r="1902" spans="1:1" x14ac:dyDescent="0.25">
      <c r="A1902" s="2">
        <v>0</v>
      </c>
    </row>
    <row r="1903" spans="1:1" x14ac:dyDescent="0.25">
      <c r="A1903" s="2">
        <v>0</v>
      </c>
    </row>
    <row r="1904" spans="1:1" x14ac:dyDescent="0.25">
      <c r="A1904" s="2">
        <v>0</v>
      </c>
    </row>
    <row r="1905" spans="1:1" x14ac:dyDescent="0.25">
      <c r="A1905" s="2">
        <v>0</v>
      </c>
    </row>
    <row r="1906" spans="1:1" x14ac:dyDescent="0.25">
      <c r="A1906" s="2">
        <v>1</v>
      </c>
    </row>
    <row r="1907" spans="1:1" x14ac:dyDescent="0.25">
      <c r="A1907" s="2">
        <v>0</v>
      </c>
    </row>
    <row r="1908" spans="1:1" x14ac:dyDescent="0.25">
      <c r="A1908" s="2">
        <v>0</v>
      </c>
    </row>
    <row r="1909" spans="1:1" x14ac:dyDescent="0.25">
      <c r="A1909" s="2">
        <v>0</v>
      </c>
    </row>
    <row r="1910" spans="1:1" x14ac:dyDescent="0.25">
      <c r="A1910" s="2">
        <v>1</v>
      </c>
    </row>
    <row r="1911" spans="1:1" x14ac:dyDescent="0.25">
      <c r="A1911" s="2">
        <v>1</v>
      </c>
    </row>
    <row r="1912" spans="1:1" x14ac:dyDescent="0.25">
      <c r="A1912" s="2">
        <v>2</v>
      </c>
    </row>
    <row r="1913" spans="1:1" x14ac:dyDescent="0.25">
      <c r="A1913" s="2">
        <v>0</v>
      </c>
    </row>
    <row r="1914" spans="1:1" x14ac:dyDescent="0.25">
      <c r="A1914" s="2">
        <v>2</v>
      </c>
    </row>
    <row r="1915" spans="1:1" x14ac:dyDescent="0.25">
      <c r="A1915" s="2">
        <v>2</v>
      </c>
    </row>
    <row r="1916" spans="1:1" x14ac:dyDescent="0.25">
      <c r="A1916" s="2">
        <v>0</v>
      </c>
    </row>
    <row r="1917" spans="1:1" x14ac:dyDescent="0.25">
      <c r="A1917" s="2">
        <v>0</v>
      </c>
    </row>
    <row r="1918" spans="1:1" x14ac:dyDescent="0.25">
      <c r="A1918" s="2">
        <v>1</v>
      </c>
    </row>
    <row r="1919" spans="1:1" x14ac:dyDescent="0.25">
      <c r="A1919" s="2">
        <v>2</v>
      </c>
    </row>
    <row r="1920" spans="1:1" x14ac:dyDescent="0.25">
      <c r="A1920" s="2">
        <v>1</v>
      </c>
    </row>
    <row r="1921" spans="1:1" x14ac:dyDescent="0.25">
      <c r="A1921" s="2">
        <v>1</v>
      </c>
    </row>
    <row r="1922" spans="1:1" x14ac:dyDescent="0.25">
      <c r="A1922" s="2">
        <v>1</v>
      </c>
    </row>
    <row r="1923" spans="1:1" x14ac:dyDescent="0.25">
      <c r="A1923" s="2">
        <v>1</v>
      </c>
    </row>
    <row r="1924" spans="1:1" x14ac:dyDescent="0.25">
      <c r="A1924" s="2">
        <v>2</v>
      </c>
    </row>
    <row r="1925" spans="1:1" x14ac:dyDescent="0.25">
      <c r="A1925" s="2">
        <v>2</v>
      </c>
    </row>
    <row r="1926" spans="1:1" x14ac:dyDescent="0.25">
      <c r="A1926" s="2">
        <v>2</v>
      </c>
    </row>
    <row r="1927" spans="1:1" x14ac:dyDescent="0.25">
      <c r="A1927" s="2">
        <v>2</v>
      </c>
    </row>
    <row r="1928" spans="1:1" x14ac:dyDescent="0.25">
      <c r="A1928" s="2">
        <v>2</v>
      </c>
    </row>
    <row r="1929" spans="1:1" x14ac:dyDescent="0.25">
      <c r="A1929" s="2">
        <v>0</v>
      </c>
    </row>
    <row r="1930" spans="1:1" x14ac:dyDescent="0.25">
      <c r="A1930" s="2">
        <v>2</v>
      </c>
    </row>
    <row r="1931" spans="1:1" x14ac:dyDescent="0.25">
      <c r="A1931" s="2">
        <v>1</v>
      </c>
    </row>
    <row r="1932" spans="1:1" x14ac:dyDescent="0.25">
      <c r="A1932" s="2">
        <v>2</v>
      </c>
    </row>
    <row r="1933" spans="1:1" x14ac:dyDescent="0.25">
      <c r="A1933" s="2">
        <v>0</v>
      </c>
    </row>
    <row r="1934" spans="1:1" x14ac:dyDescent="0.25">
      <c r="A1934" s="2">
        <v>2</v>
      </c>
    </row>
    <row r="1935" spans="1:1" x14ac:dyDescent="0.25">
      <c r="A1935" s="2">
        <v>2</v>
      </c>
    </row>
    <row r="1936" spans="1:1" x14ac:dyDescent="0.25">
      <c r="A1936" s="2">
        <v>2</v>
      </c>
    </row>
    <row r="1937" spans="1:1" x14ac:dyDescent="0.25">
      <c r="A1937" s="2">
        <v>2</v>
      </c>
    </row>
    <row r="1938" spans="1:1" x14ac:dyDescent="0.25">
      <c r="A1938" s="2">
        <v>2</v>
      </c>
    </row>
    <row r="1939" spans="1:1" x14ac:dyDescent="0.25">
      <c r="A1939" s="2">
        <v>1</v>
      </c>
    </row>
    <row r="1940" spans="1:1" x14ac:dyDescent="0.25">
      <c r="A1940" s="2">
        <v>0</v>
      </c>
    </row>
    <row r="1941" spans="1:1" x14ac:dyDescent="0.25">
      <c r="A1941" s="2">
        <v>2</v>
      </c>
    </row>
    <row r="1942" spans="1:1" x14ac:dyDescent="0.25">
      <c r="A1942" s="2">
        <v>1</v>
      </c>
    </row>
    <row r="1943" spans="1:1" x14ac:dyDescent="0.25">
      <c r="A1943" s="2">
        <v>2</v>
      </c>
    </row>
    <row r="1944" spans="1:1" x14ac:dyDescent="0.25">
      <c r="A1944" s="2">
        <v>0</v>
      </c>
    </row>
    <row r="1945" spans="1:1" x14ac:dyDescent="0.25">
      <c r="A1945" s="2">
        <v>0</v>
      </c>
    </row>
    <row r="1946" spans="1:1" x14ac:dyDescent="0.25">
      <c r="A1946" s="2">
        <v>0</v>
      </c>
    </row>
    <row r="1947" spans="1:1" x14ac:dyDescent="0.25">
      <c r="A1947" s="2">
        <v>1</v>
      </c>
    </row>
    <row r="1948" spans="1:1" x14ac:dyDescent="0.25">
      <c r="A1948" s="2">
        <v>2</v>
      </c>
    </row>
    <row r="1949" spans="1:1" x14ac:dyDescent="0.25">
      <c r="A1949" s="2">
        <v>2</v>
      </c>
    </row>
    <row r="1950" spans="1:1" x14ac:dyDescent="0.25">
      <c r="A1950" s="2">
        <v>1</v>
      </c>
    </row>
    <row r="1951" spans="1:1" x14ac:dyDescent="0.25">
      <c r="A1951" s="2">
        <v>0</v>
      </c>
    </row>
    <row r="1952" spans="1:1" x14ac:dyDescent="0.25">
      <c r="A1952" s="2">
        <v>2</v>
      </c>
    </row>
    <row r="1953" spans="1:1" x14ac:dyDescent="0.25">
      <c r="A1953" s="2">
        <v>2</v>
      </c>
    </row>
    <row r="1954" spans="1:1" x14ac:dyDescent="0.25">
      <c r="A1954" s="2">
        <v>2</v>
      </c>
    </row>
    <row r="1955" spans="1:1" x14ac:dyDescent="0.25">
      <c r="A1955" s="2">
        <v>1</v>
      </c>
    </row>
    <row r="1956" spans="1:1" x14ac:dyDescent="0.25">
      <c r="A1956" s="2">
        <v>1</v>
      </c>
    </row>
    <row r="1957" spans="1:1" x14ac:dyDescent="0.25">
      <c r="A1957" s="2">
        <v>1</v>
      </c>
    </row>
    <row r="1958" spans="1:1" x14ac:dyDescent="0.25">
      <c r="A1958" s="2">
        <v>2</v>
      </c>
    </row>
    <row r="1959" spans="1:1" x14ac:dyDescent="0.25">
      <c r="A1959" s="2">
        <v>1</v>
      </c>
    </row>
    <row r="1960" spans="1:1" x14ac:dyDescent="0.25">
      <c r="A1960" s="2">
        <v>1</v>
      </c>
    </row>
    <row r="1961" spans="1:1" x14ac:dyDescent="0.25">
      <c r="A1961" s="2">
        <v>2</v>
      </c>
    </row>
    <row r="1962" spans="1:1" x14ac:dyDescent="0.25">
      <c r="A1962" s="2">
        <v>0</v>
      </c>
    </row>
    <row r="1963" spans="1:1" x14ac:dyDescent="0.25">
      <c r="A1963" s="2">
        <v>0</v>
      </c>
    </row>
    <row r="1964" spans="1:1" x14ac:dyDescent="0.25">
      <c r="A1964" s="2">
        <v>2</v>
      </c>
    </row>
    <row r="1965" spans="1:1" x14ac:dyDescent="0.25">
      <c r="A1965" s="2">
        <v>1</v>
      </c>
    </row>
    <row r="1966" spans="1:1" x14ac:dyDescent="0.25">
      <c r="A1966" s="2">
        <v>1</v>
      </c>
    </row>
    <row r="1967" spans="1:1" x14ac:dyDescent="0.25">
      <c r="A1967" s="2">
        <v>1</v>
      </c>
    </row>
    <row r="1968" spans="1:1" x14ac:dyDescent="0.25">
      <c r="A1968" s="2">
        <v>1</v>
      </c>
    </row>
    <row r="1969" spans="1:1" x14ac:dyDescent="0.25">
      <c r="A1969" s="2">
        <v>0</v>
      </c>
    </row>
    <row r="1970" spans="1:1" x14ac:dyDescent="0.25">
      <c r="A1970" s="2">
        <v>2</v>
      </c>
    </row>
    <row r="1971" spans="1:1" x14ac:dyDescent="0.25">
      <c r="A1971" s="2">
        <v>0</v>
      </c>
    </row>
    <row r="1972" spans="1:1" x14ac:dyDescent="0.25">
      <c r="A1972" s="2">
        <v>2</v>
      </c>
    </row>
    <row r="1973" spans="1:1" x14ac:dyDescent="0.25">
      <c r="A1973" s="2">
        <v>1</v>
      </c>
    </row>
    <row r="1974" spans="1:1" x14ac:dyDescent="0.25">
      <c r="A1974" s="2">
        <v>0</v>
      </c>
    </row>
    <row r="1975" spans="1:1" x14ac:dyDescent="0.25">
      <c r="A1975" s="2">
        <v>0</v>
      </c>
    </row>
    <row r="1976" spans="1:1" x14ac:dyDescent="0.25">
      <c r="A1976" s="2">
        <v>0</v>
      </c>
    </row>
    <row r="1977" spans="1:1" x14ac:dyDescent="0.25">
      <c r="A1977" s="2">
        <v>0</v>
      </c>
    </row>
    <row r="1978" spans="1:1" x14ac:dyDescent="0.25">
      <c r="A1978" s="2">
        <v>0</v>
      </c>
    </row>
    <row r="1979" spans="1:1" x14ac:dyDescent="0.25">
      <c r="A1979" s="2">
        <v>1</v>
      </c>
    </row>
    <row r="1980" spans="1:1" x14ac:dyDescent="0.25">
      <c r="A1980" s="2">
        <v>1</v>
      </c>
    </row>
    <row r="1981" spans="1:1" x14ac:dyDescent="0.25">
      <c r="A1981" s="2">
        <v>0</v>
      </c>
    </row>
    <row r="1982" spans="1:1" x14ac:dyDescent="0.25">
      <c r="A1982" s="2">
        <v>0</v>
      </c>
    </row>
    <row r="1983" spans="1:1" x14ac:dyDescent="0.25">
      <c r="A1983" s="2">
        <v>1</v>
      </c>
    </row>
    <row r="1984" spans="1:1" x14ac:dyDescent="0.25">
      <c r="A1984" s="2">
        <v>1</v>
      </c>
    </row>
    <row r="1985" spans="1:1" x14ac:dyDescent="0.25">
      <c r="A1985" s="2">
        <v>1</v>
      </c>
    </row>
    <row r="1986" spans="1:1" x14ac:dyDescent="0.25">
      <c r="A1986" s="2">
        <v>0</v>
      </c>
    </row>
    <row r="1987" spans="1:1" x14ac:dyDescent="0.25">
      <c r="A1987" s="2">
        <v>1</v>
      </c>
    </row>
    <row r="1988" spans="1:1" x14ac:dyDescent="0.25">
      <c r="A1988" s="2">
        <v>0</v>
      </c>
    </row>
    <row r="1989" spans="1:1" x14ac:dyDescent="0.25">
      <c r="A1989" s="2">
        <v>0</v>
      </c>
    </row>
    <row r="1990" spans="1:1" x14ac:dyDescent="0.25">
      <c r="A1990" s="2">
        <v>1</v>
      </c>
    </row>
    <row r="1991" spans="1:1" x14ac:dyDescent="0.25">
      <c r="A1991" s="2">
        <v>1</v>
      </c>
    </row>
    <row r="1992" spans="1:1" x14ac:dyDescent="0.25">
      <c r="A1992" s="2">
        <v>0</v>
      </c>
    </row>
    <row r="1993" spans="1:1" x14ac:dyDescent="0.25">
      <c r="A1993" s="2">
        <v>1</v>
      </c>
    </row>
    <row r="1994" spans="1:1" x14ac:dyDescent="0.25">
      <c r="A1994" s="2">
        <v>0</v>
      </c>
    </row>
    <row r="1995" spans="1:1" x14ac:dyDescent="0.25">
      <c r="A1995" s="2">
        <v>0</v>
      </c>
    </row>
    <row r="1996" spans="1:1" x14ac:dyDescent="0.25">
      <c r="A1996" s="2">
        <v>0</v>
      </c>
    </row>
    <row r="1997" spans="1:1" x14ac:dyDescent="0.25">
      <c r="A1997" s="2">
        <v>2</v>
      </c>
    </row>
    <row r="1998" spans="1:1" x14ac:dyDescent="0.25">
      <c r="A1998" s="2">
        <v>0</v>
      </c>
    </row>
    <row r="1999" spans="1:1" x14ac:dyDescent="0.25">
      <c r="A1999" s="2">
        <v>0</v>
      </c>
    </row>
    <row r="2000" spans="1:1" x14ac:dyDescent="0.25">
      <c r="A2000" s="2">
        <v>0</v>
      </c>
    </row>
    <row r="2001" spans="1:1" x14ac:dyDescent="0.25">
      <c r="A2001" s="2">
        <v>1</v>
      </c>
    </row>
    <row r="2002" spans="1:1" x14ac:dyDescent="0.25">
      <c r="A2002" s="2">
        <v>0</v>
      </c>
    </row>
    <row r="2003" spans="1:1" x14ac:dyDescent="0.25">
      <c r="A2003" s="2">
        <v>0</v>
      </c>
    </row>
    <row r="2004" spans="1:1" x14ac:dyDescent="0.25">
      <c r="A2004" s="2">
        <v>1</v>
      </c>
    </row>
    <row r="2005" spans="1:1" x14ac:dyDescent="0.25">
      <c r="A2005" s="2">
        <v>1</v>
      </c>
    </row>
    <row r="2006" spans="1:1" x14ac:dyDescent="0.25">
      <c r="A2006" s="2">
        <v>0</v>
      </c>
    </row>
    <row r="2007" spans="1:1" x14ac:dyDescent="0.25">
      <c r="A2007" s="2">
        <v>0</v>
      </c>
    </row>
    <row r="2008" spans="1:1" x14ac:dyDescent="0.25">
      <c r="A2008" s="2">
        <v>0</v>
      </c>
    </row>
    <row r="2009" spans="1:1" x14ac:dyDescent="0.25">
      <c r="A2009" s="2">
        <v>0</v>
      </c>
    </row>
    <row r="2010" spans="1:1" x14ac:dyDescent="0.25">
      <c r="A2010" s="2">
        <v>0</v>
      </c>
    </row>
    <row r="2011" spans="1:1" x14ac:dyDescent="0.25">
      <c r="A2011" s="2">
        <v>0</v>
      </c>
    </row>
    <row r="2012" spans="1:1" x14ac:dyDescent="0.25">
      <c r="A2012" s="2">
        <v>0</v>
      </c>
    </row>
    <row r="2013" spans="1:1" x14ac:dyDescent="0.25">
      <c r="A2013" s="2">
        <v>0</v>
      </c>
    </row>
    <row r="2014" spans="1:1" x14ac:dyDescent="0.25">
      <c r="A2014" s="2">
        <v>0</v>
      </c>
    </row>
    <row r="2015" spans="1:1" x14ac:dyDescent="0.25">
      <c r="A2015" s="2">
        <v>0</v>
      </c>
    </row>
    <row r="2016" spans="1:1" x14ac:dyDescent="0.25">
      <c r="A2016" s="2">
        <v>1</v>
      </c>
    </row>
    <row r="2017" spans="1:1" x14ac:dyDescent="0.25">
      <c r="A2017" s="2">
        <v>0</v>
      </c>
    </row>
    <row r="2018" spans="1:1" x14ac:dyDescent="0.25">
      <c r="A2018" s="2">
        <v>0</v>
      </c>
    </row>
    <row r="2019" spans="1:1" x14ac:dyDescent="0.25">
      <c r="A2019" s="2">
        <v>0</v>
      </c>
    </row>
    <row r="2020" spans="1:1" x14ac:dyDescent="0.25">
      <c r="A2020" s="2">
        <v>0</v>
      </c>
    </row>
    <row r="2021" spans="1:1" x14ac:dyDescent="0.25">
      <c r="A2021" s="2">
        <v>1</v>
      </c>
    </row>
    <row r="2022" spans="1:1" x14ac:dyDescent="0.25">
      <c r="A2022" s="2">
        <v>0</v>
      </c>
    </row>
    <row r="2023" spans="1:1" x14ac:dyDescent="0.25">
      <c r="A2023" s="2">
        <v>0</v>
      </c>
    </row>
    <row r="2024" spans="1:1" x14ac:dyDescent="0.25">
      <c r="A2024" s="2">
        <v>0</v>
      </c>
    </row>
    <row r="2025" spans="1:1" x14ac:dyDescent="0.25">
      <c r="A2025" s="2">
        <v>0</v>
      </c>
    </row>
    <row r="2026" spans="1:1" x14ac:dyDescent="0.25">
      <c r="A2026" s="2">
        <v>0</v>
      </c>
    </row>
    <row r="2027" spans="1:1" x14ac:dyDescent="0.25">
      <c r="A2027" s="2">
        <v>0</v>
      </c>
    </row>
    <row r="2028" spans="1:1" x14ac:dyDescent="0.25">
      <c r="A2028" s="2">
        <v>0</v>
      </c>
    </row>
    <row r="2029" spans="1:1" x14ac:dyDescent="0.25">
      <c r="A2029" s="2">
        <v>0</v>
      </c>
    </row>
    <row r="2030" spans="1:1" x14ac:dyDescent="0.25">
      <c r="A2030" s="2">
        <v>1</v>
      </c>
    </row>
    <row r="2031" spans="1:1" x14ac:dyDescent="0.25">
      <c r="A2031" s="2">
        <v>0</v>
      </c>
    </row>
    <row r="2032" spans="1:1" x14ac:dyDescent="0.25">
      <c r="A2032" s="2">
        <v>0</v>
      </c>
    </row>
    <row r="2033" spans="1:1" x14ac:dyDescent="0.25">
      <c r="A2033" s="2">
        <v>0</v>
      </c>
    </row>
    <row r="2034" spans="1:1" x14ac:dyDescent="0.25">
      <c r="A2034" s="2">
        <v>0</v>
      </c>
    </row>
    <row r="2035" spans="1:1" x14ac:dyDescent="0.25">
      <c r="A2035" s="2">
        <v>0</v>
      </c>
    </row>
    <row r="2036" spans="1:1" x14ac:dyDescent="0.25">
      <c r="A2036" s="2">
        <v>0</v>
      </c>
    </row>
    <row r="2037" spans="1:1" x14ac:dyDescent="0.25">
      <c r="A2037" s="2">
        <v>1</v>
      </c>
    </row>
    <row r="2038" spans="1:1" x14ac:dyDescent="0.25">
      <c r="A2038" s="2">
        <v>1</v>
      </c>
    </row>
    <row r="2039" spans="1:1" x14ac:dyDescent="0.25">
      <c r="A2039" s="2">
        <v>2</v>
      </c>
    </row>
    <row r="2040" spans="1:1" x14ac:dyDescent="0.25">
      <c r="A2040" s="2">
        <v>0</v>
      </c>
    </row>
    <row r="2041" spans="1:1" x14ac:dyDescent="0.25">
      <c r="A2041" s="2">
        <v>0</v>
      </c>
    </row>
    <row r="2042" spans="1:1" x14ac:dyDescent="0.25">
      <c r="A2042" s="2">
        <v>2</v>
      </c>
    </row>
    <row r="2043" spans="1:1" x14ac:dyDescent="0.25">
      <c r="A2043" s="2">
        <v>2</v>
      </c>
    </row>
    <row r="2044" spans="1:1" x14ac:dyDescent="0.25">
      <c r="A2044" s="2">
        <v>2</v>
      </c>
    </row>
    <row r="2045" spans="1:1" x14ac:dyDescent="0.25">
      <c r="A2045" s="2">
        <v>2</v>
      </c>
    </row>
    <row r="2046" spans="1:1" x14ac:dyDescent="0.25">
      <c r="A2046" s="2">
        <v>1</v>
      </c>
    </row>
    <row r="2047" spans="1:1" x14ac:dyDescent="0.25">
      <c r="A2047" s="2">
        <v>1</v>
      </c>
    </row>
    <row r="2048" spans="1:1" x14ac:dyDescent="0.25">
      <c r="A2048" s="2">
        <v>2</v>
      </c>
    </row>
    <row r="2049" spans="1:1" x14ac:dyDescent="0.25">
      <c r="A2049" s="2">
        <v>0</v>
      </c>
    </row>
    <row r="2050" spans="1:1" x14ac:dyDescent="0.25">
      <c r="A2050" s="2">
        <v>2</v>
      </c>
    </row>
    <row r="2051" spans="1:1" x14ac:dyDescent="0.25">
      <c r="A2051" s="2">
        <v>1</v>
      </c>
    </row>
    <row r="2052" spans="1:1" x14ac:dyDescent="0.25">
      <c r="A2052" s="2">
        <v>0</v>
      </c>
    </row>
    <row r="2053" spans="1:1" x14ac:dyDescent="0.25">
      <c r="A2053" s="2">
        <v>2</v>
      </c>
    </row>
    <row r="2054" spans="1:1" x14ac:dyDescent="0.25">
      <c r="A2054" s="2">
        <v>0</v>
      </c>
    </row>
    <row r="2055" spans="1:1" x14ac:dyDescent="0.25">
      <c r="A2055" s="2">
        <v>0</v>
      </c>
    </row>
    <row r="2056" spans="1:1" x14ac:dyDescent="0.25">
      <c r="A2056" s="2">
        <v>1</v>
      </c>
    </row>
    <row r="2057" spans="1:1" x14ac:dyDescent="0.25">
      <c r="A2057" s="2">
        <v>1</v>
      </c>
    </row>
    <row r="2058" spans="1:1" x14ac:dyDescent="0.25">
      <c r="A2058" s="2">
        <v>2</v>
      </c>
    </row>
    <row r="2059" spans="1:1" x14ac:dyDescent="0.25">
      <c r="A2059" s="2">
        <v>0</v>
      </c>
    </row>
    <row r="2060" spans="1:1" x14ac:dyDescent="0.25">
      <c r="A2060" s="2">
        <v>2</v>
      </c>
    </row>
    <row r="2061" spans="1:1" x14ac:dyDescent="0.25">
      <c r="A2061" s="2">
        <v>1</v>
      </c>
    </row>
    <row r="2062" spans="1:1" x14ac:dyDescent="0.25">
      <c r="A2062" s="2">
        <v>0</v>
      </c>
    </row>
    <row r="2063" spans="1:1" x14ac:dyDescent="0.25">
      <c r="A2063" s="2">
        <v>2</v>
      </c>
    </row>
    <row r="2064" spans="1:1" x14ac:dyDescent="0.25">
      <c r="A2064" s="2">
        <v>2</v>
      </c>
    </row>
    <row r="2065" spans="1:1" x14ac:dyDescent="0.25">
      <c r="A2065" s="2">
        <v>0</v>
      </c>
    </row>
    <row r="2066" spans="1:1" x14ac:dyDescent="0.25">
      <c r="A2066" s="2">
        <v>2</v>
      </c>
    </row>
    <row r="2067" spans="1:1" x14ac:dyDescent="0.25">
      <c r="A2067" s="2">
        <v>2</v>
      </c>
    </row>
    <row r="2068" spans="1:1" x14ac:dyDescent="0.25">
      <c r="A2068" s="2">
        <v>1</v>
      </c>
    </row>
    <row r="2069" spans="1:1" x14ac:dyDescent="0.25">
      <c r="A2069" s="2">
        <v>2</v>
      </c>
    </row>
    <row r="2070" spans="1:1" x14ac:dyDescent="0.25">
      <c r="A2070" s="2">
        <v>0</v>
      </c>
    </row>
    <row r="2071" spans="1:1" x14ac:dyDescent="0.25">
      <c r="A2071" s="2">
        <v>0</v>
      </c>
    </row>
    <row r="2072" spans="1:1" x14ac:dyDescent="0.25">
      <c r="A2072" s="2">
        <v>0</v>
      </c>
    </row>
    <row r="2073" spans="1:1" x14ac:dyDescent="0.25">
      <c r="A2073" s="2">
        <v>0</v>
      </c>
    </row>
    <row r="2074" spans="1:1" x14ac:dyDescent="0.25">
      <c r="A2074" s="2">
        <v>1</v>
      </c>
    </row>
    <row r="2075" spans="1:1" x14ac:dyDescent="0.25">
      <c r="A2075" s="2">
        <v>0</v>
      </c>
    </row>
    <row r="2076" spans="1:1" x14ac:dyDescent="0.25">
      <c r="A2076" s="2">
        <v>0</v>
      </c>
    </row>
    <row r="2077" spans="1:1" x14ac:dyDescent="0.25">
      <c r="A2077" s="2">
        <v>1</v>
      </c>
    </row>
    <row r="2078" spans="1:1" x14ac:dyDescent="0.25">
      <c r="A2078" s="2">
        <v>2</v>
      </c>
    </row>
    <row r="2079" spans="1:1" x14ac:dyDescent="0.25">
      <c r="A2079" s="2">
        <v>1</v>
      </c>
    </row>
    <row r="2080" spans="1:1" x14ac:dyDescent="0.25">
      <c r="A2080" s="2">
        <v>0</v>
      </c>
    </row>
    <row r="2081" spans="1:1" x14ac:dyDescent="0.25">
      <c r="A2081" s="2">
        <v>0</v>
      </c>
    </row>
    <row r="2082" spans="1:1" x14ac:dyDescent="0.25">
      <c r="A2082" s="2">
        <v>1</v>
      </c>
    </row>
    <row r="2083" spans="1:1" x14ac:dyDescent="0.25">
      <c r="A2083" s="2">
        <v>1</v>
      </c>
    </row>
    <row r="2084" spans="1:1" x14ac:dyDescent="0.25">
      <c r="A2084" s="2">
        <v>0</v>
      </c>
    </row>
    <row r="2085" spans="1:1" x14ac:dyDescent="0.25">
      <c r="A2085" s="2">
        <v>0</v>
      </c>
    </row>
    <row r="2086" spans="1:1" x14ac:dyDescent="0.25">
      <c r="A2086" s="2">
        <v>0</v>
      </c>
    </row>
    <row r="2087" spans="1:1" x14ac:dyDescent="0.25">
      <c r="A2087" s="2">
        <v>0</v>
      </c>
    </row>
    <row r="2088" spans="1:1" x14ac:dyDescent="0.25">
      <c r="A2088" s="2">
        <v>0</v>
      </c>
    </row>
    <row r="2089" spans="1:1" x14ac:dyDescent="0.25">
      <c r="A2089" s="2">
        <v>0</v>
      </c>
    </row>
    <row r="2090" spans="1:1" x14ac:dyDescent="0.25">
      <c r="A2090" s="2">
        <v>0</v>
      </c>
    </row>
    <row r="2091" spans="1:1" x14ac:dyDescent="0.25">
      <c r="A2091" s="2">
        <v>0</v>
      </c>
    </row>
    <row r="2092" spans="1:1" x14ac:dyDescent="0.25">
      <c r="A2092" s="2">
        <v>0</v>
      </c>
    </row>
    <row r="2093" spans="1:1" x14ac:dyDescent="0.25">
      <c r="A2093" s="2">
        <v>0</v>
      </c>
    </row>
    <row r="2094" spans="1:1" x14ac:dyDescent="0.25">
      <c r="A2094" s="2">
        <v>0</v>
      </c>
    </row>
    <row r="2095" spans="1:1" x14ac:dyDescent="0.25">
      <c r="A2095" s="2">
        <v>0</v>
      </c>
    </row>
    <row r="2096" spans="1:1" x14ac:dyDescent="0.25">
      <c r="A2096" s="2">
        <v>0</v>
      </c>
    </row>
    <row r="2097" spans="1:1" x14ac:dyDescent="0.25">
      <c r="A2097" s="2">
        <v>0</v>
      </c>
    </row>
    <row r="2098" spans="1:1" x14ac:dyDescent="0.25">
      <c r="A2098" s="2">
        <v>0</v>
      </c>
    </row>
    <row r="2099" spans="1:1" x14ac:dyDescent="0.25">
      <c r="A2099" s="2">
        <v>0</v>
      </c>
    </row>
    <row r="2100" spans="1:1" x14ac:dyDescent="0.25">
      <c r="A2100" s="2">
        <v>0</v>
      </c>
    </row>
    <row r="2101" spans="1:1" x14ac:dyDescent="0.25">
      <c r="A2101" s="2">
        <v>0</v>
      </c>
    </row>
    <row r="2102" spans="1:1" x14ac:dyDescent="0.25">
      <c r="A2102" s="2">
        <v>0</v>
      </c>
    </row>
    <row r="2103" spans="1:1" x14ac:dyDescent="0.25">
      <c r="A2103" s="2">
        <v>1</v>
      </c>
    </row>
    <row r="2104" spans="1:1" x14ac:dyDescent="0.25">
      <c r="A2104" s="2">
        <v>0</v>
      </c>
    </row>
    <row r="2105" spans="1:1" x14ac:dyDescent="0.25">
      <c r="A2105" s="2">
        <v>0</v>
      </c>
    </row>
    <row r="2106" spans="1:1" x14ac:dyDescent="0.25">
      <c r="A2106" s="2">
        <v>0</v>
      </c>
    </row>
    <row r="2107" spans="1:1" x14ac:dyDescent="0.25">
      <c r="A2107" s="2">
        <v>1</v>
      </c>
    </row>
    <row r="2108" spans="1:1" x14ac:dyDescent="0.25">
      <c r="A2108" s="2">
        <v>0</v>
      </c>
    </row>
    <row r="2109" spans="1:1" x14ac:dyDescent="0.25">
      <c r="A2109" s="2">
        <v>0</v>
      </c>
    </row>
    <row r="2110" spans="1:1" x14ac:dyDescent="0.25">
      <c r="A2110" s="2">
        <v>2</v>
      </c>
    </row>
    <row r="2111" spans="1:1" x14ac:dyDescent="0.25">
      <c r="A2111" s="2">
        <v>0</v>
      </c>
    </row>
    <row r="2112" spans="1:1" x14ac:dyDescent="0.25">
      <c r="A2112" s="2">
        <v>0</v>
      </c>
    </row>
    <row r="2113" spans="1:1" x14ac:dyDescent="0.25">
      <c r="A2113" s="2">
        <v>1</v>
      </c>
    </row>
    <row r="2114" spans="1:1" x14ac:dyDescent="0.25">
      <c r="A2114" s="2">
        <v>0</v>
      </c>
    </row>
    <row r="2115" spans="1:1" x14ac:dyDescent="0.25">
      <c r="A2115" s="2">
        <v>1</v>
      </c>
    </row>
    <row r="2116" spans="1:1" x14ac:dyDescent="0.25">
      <c r="A2116" s="2">
        <v>0</v>
      </c>
    </row>
    <row r="2117" spans="1:1" x14ac:dyDescent="0.25">
      <c r="A2117" s="2">
        <v>0</v>
      </c>
    </row>
    <row r="2118" spans="1:1" x14ac:dyDescent="0.25">
      <c r="A2118" s="2">
        <v>0</v>
      </c>
    </row>
    <row r="2119" spans="1:1" x14ac:dyDescent="0.25">
      <c r="A2119" s="2">
        <v>0</v>
      </c>
    </row>
    <row r="2120" spans="1:1" x14ac:dyDescent="0.25">
      <c r="A2120" s="2">
        <v>1</v>
      </c>
    </row>
    <row r="2121" spans="1:1" x14ac:dyDescent="0.25">
      <c r="A2121" s="2">
        <v>0</v>
      </c>
    </row>
    <row r="2122" spans="1:1" x14ac:dyDescent="0.25">
      <c r="A2122" s="2">
        <v>1</v>
      </c>
    </row>
    <row r="2123" spans="1:1" x14ac:dyDescent="0.25">
      <c r="A2123" s="2">
        <v>0</v>
      </c>
    </row>
    <row r="2124" spans="1:1" x14ac:dyDescent="0.25">
      <c r="A2124" s="2">
        <v>1</v>
      </c>
    </row>
    <row r="2125" spans="1:1" x14ac:dyDescent="0.25">
      <c r="A2125" s="2">
        <v>2</v>
      </c>
    </row>
    <row r="2126" spans="1:1" x14ac:dyDescent="0.25">
      <c r="A2126" s="2">
        <v>0</v>
      </c>
    </row>
    <row r="2127" spans="1:1" x14ac:dyDescent="0.25">
      <c r="A2127" s="2">
        <v>0</v>
      </c>
    </row>
    <row r="2128" spans="1:1" x14ac:dyDescent="0.25">
      <c r="A2128" s="2">
        <v>0</v>
      </c>
    </row>
    <row r="2129" spans="1:1" x14ac:dyDescent="0.25">
      <c r="A2129" s="2">
        <v>0</v>
      </c>
    </row>
    <row r="2130" spans="1:1" x14ac:dyDescent="0.25">
      <c r="A2130" s="2">
        <v>0</v>
      </c>
    </row>
    <row r="2131" spans="1:1" x14ac:dyDescent="0.25">
      <c r="A2131" s="2">
        <v>0</v>
      </c>
    </row>
    <row r="2132" spans="1:1" x14ac:dyDescent="0.25">
      <c r="A2132" s="2">
        <v>2</v>
      </c>
    </row>
    <row r="2133" spans="1:1" x14ac:dyDescent="0.25">
      <c r="A2133" s="2">
        <v>0</v>
      </c>
    </row>
    <row r="2134" spans="1:1" x14ac:dyDescent="0.25">
      <c r="A2134" s="2">
        <v>1</v>
      </c>
    </row>
    <row r="2135" spans="1:1" x14ac:dyDescent="0.25">
      <c r="A2135" s="2">
        <v>0</v>
      </c>
    </row>
    <row r="2136" spans="1:1" x14ac:dyDescent="0.25">
      <c r="A2136" s="2">
        <v>0</v>
      </c>
    </row>
    <row r="2137" spans="1:1" x14ac:dyDescent="0.25">
      <c r="A2137" s="2">
        <v>1</v>
      </c>
    </row>
    <row r="2138" spans="1:1" x14ac:dyDescent="0.25">
      <c r="A2138" s="2">
        <v>0</v>
      </c>
    </row>
    <row r="2139" spans="1:1" x14ac:dyDescent="0.25">
      <c r="A2139" s="2">
        <v>2</v>
      </c>
    </row>
    <row r="2140" spans="1:1" x14ac:dyDescent="0.25">
      <c r="A2140" s="2">
        <v>1</v>
      </c>
    </row>
    <row r="2141" spans="1:1" x14ac:dyDescent="0.25">
      <c r="A2141" s="2">
        <v>0</v>
      </c>
    </row>
    <row r="2142" spans="1:1" x14ac:dyDescent="0.25">
      <c r="A2142" s="2">
        <v>2</v>
      </c>
    </row>
    <row r="2143" spans="1:1" x14ac:dyDescent="0.25">
      <c r="A2143" s="2">
        <v>1</v>
      </c>
    </row>
    <row r="2144" spans="1:1" x14ac:dyDescent="0.25">
      <c r="A2144" s="2">
        <v>2</v>
      </c>
    </row>
    <row r="2145" spans="1:1" x14ac:dyDescent="0.25">
      <c r="A2145" s="2">
        <v>0</v>
      </c>
    </row>
    <row r="2146" spans="1:1" x14ac:dyDescent="0.25">
      <c r="A2146" s="2">
        <v>0</v>
      </c>
    </row>
    <row r="2147" spans="1:1" x14ac:dyDescent="0.25">
      <c r="A2147" s="2">
        <v>1</v>
      </c>
    </row>
    <row r="2148" spans="1:1" x14ac:dyDescent="0.25">
      <c r="A2148" s="2">
        <v>1</v>
      </c>
    </row>
    <row r="2149" spans="1:1" x14ac:dyDescent="0.25">
      <c r="A2149" s="2">
        <v>2</v>
      </c>
    </row>
    <row r="2150" spans="1:1" x14ac:dyDescent="0.25">
      <c r="A2150" s="2">
        <v>2</v>
      </c>
    </row>
    <row r="2151" spans="1:1" x14ac:dyDescent="0.25">
      <c r="A2151" s="2">
        <v>2</v>
      </c>
    </row>
    <row r="2152" spans="1:1" x14ac:dyDescent="0.25">
      <c r="A2152" s="2">
        <v>1</v>
      </c>
    </row>
    <row r="2153" spans="1:1" x14ac:dyDescent="0.25">
      <c r="A2153" s="2">
        <v>2</v>
      </c>
    </row>
    <row r="2154" spans="1:1" x14ac:dyDescent="0.25">
      <c r="A2154" s="2">
        <v>2</v>
      </c>
    </row>
    <row r="2155" spans="1:1" x14ac:dyDescent="0.25">
      <c r="A2155" s="2">
        <v>0</v>
      </c>
    </row>
    <row r="2156" spans="1:1" x14ac:dyDescent="0.25">
      <c r="A2156" s="2">
        <v>1</v>
      </c>
    </row>
    <row r="2157" spans="1:1" x14ac:dyDescent="0.25">
      <c r="A2157" s="2">
        <v>1</v>
      </c>
    </row>
    <row r="2158" spans="1:1" x14ac:dyDescent="0.25">
      <c r="A2158" s="2">
        <v>2</v>
      </c>
    </row>
    <row r="2159" spans="1:1" x14ac:dyDescent="0.25">
      <c r="A2159" s="2">
        <v>0</v>
      </c>
    </row>
    <row r="2160" spans="1:1" x14ac:dyDescent="0.25">
      <c r="A2160" s="2">
        <v>0</v>
      </c>
    </row>
    <row r="2161" spans="1:1" x14ac:dyDescent="0.25">
      <c r="A2161" s="2">
        <v>1</v>
      </c>
    </row>
    <row r="2162" spans="1:1" x14ac:dyDescent="0.25">
      <c r="A2162" s="2">
        <v>1</v>
      </c>
    </row>
    <row r="2163" spans="1:1" x14ac:dyDescent="0.25">
      <c r="A2163" s="2">
        <v>2</v>
      </c>
    </row>
    <row r="2164" spans="1:1" x14ac:dyDescent="0.25">
      <c r="A2164" s="2">
        <v>1</v>
      </c>
    </row>
    <row r="2165" spans="1:1" x14ac:dyDescent="0.25">
      <c r="A2165" s="2">
        <v>0</v>
      </c>
    </row>
    <row r="2166" spans="1:1" x14ac:dyDescent="0.25">
      <c r="A2166" s="2">
        <v>1</v>
      </c>
    </row>
    <row r="2167" spans="1:1" x14ac:dyDescent="0.25">
      <c r="A2167" s="2">
        <v>2</v>
      </c>
    </row>
    <row r="2168" spans="1:1" x14ac:dyDescent="0.25">
      <c r="A2168" s="2">
        <v>1</v>
      </c>
    </row>
    <row r="2169" spans="1:1" x14ac:dyDescent="0.25">
      <c r="A2169" s="2">
        <v>1</v>
      </c>
    </row>
    <row r="2170" spans="1:1" x14ac:dyDescent="0.25">
      <c r="A2170" s="2">
        <v>2</v>
      </c>
    </row>
    <row r="2171" spans="1:1" x14ac:dyDescent="0.25">
      <c r="A2171" s="2">
        <v>2</v>
      </c>
    </row>
    <row r="2172" spans="1:1" x14ac:dyDescent="0.25">
      <c r="A2172" s="2">
        <v>1</v>
      </c>
    </row>
    <row r="2173" spans="1:1" x14ac:dyDescent="0.25">
      <c r="A2173" s="2">
        <v>2</v>
      </c>
    </row>
    <row r="2174" spans="1:1" x14ac:dyDescent="0.25">
      <c r="A2174" s="2">
        <v>0</v>
      </c>
    </row>
    <row r="2175" spans="1:1" x14ac:dyDescent="0.25">
      <c r="A2175" s="2">
        <v>0</v>
      </c>
    </row>
    <row r="2176" spans="1:1" x14ac:dyDescent="0.25">
      <c r="A2176" s="2">
        <v>2</v>
      </c>
    </row>
    <row r="2177" spans="1:1" x14ac:dyDescent="0.25">
      <c r="A2177" s="2">
        <v>0</v>
      </c>
    </row>
    <row r="2178" spans="1:1" x14ac:dyDescent="0.25">
      <c r="A2178" s="2">
        <v>1</v>
      </c>
    </row>
    <row r="2179" spans="1:1" x14ac:dyDescent="0.25">
      <c r="A2179" s="2">
        <v>0</v>
      </c>
    </row>
    <row r="2180" spans="1:1" x14ac:dyDescent="0.25">
      <c r="A2180" s="2">
        <v>0</v>
      </c>
    </row>
    <row r="2181" spans="1:1" x14ac:dyDescent="0.25">
      <c r="A2181" s="2">
        <v>1</v>
      </c>
    </row>
    <row r="2182" spans="1:1" x14ac:dyDescent="0.25">
      <c r="A2182" s="2">
        <v>2</v>
      </c>
    </row>
    <row r="2183" spans="1:1" x14ac:dyDescent="0.25">
      <c r="A2183" s="2">
        <v>0</v>
      </c>
    </row>
    <row r="2184" spans="1:1" x14ac:dyDescent="0.25">
      <c r="A2184" s="2">
        <v>2</v>
      </c>
    </row>
    <row r="2185" spans="1:1" x14ac:dyDescent="0.25">
      <c r="A2185" s="2">
        <v>0</v>
      </c>
    </row>
    <row r="2186" spans="1:1" x14ac:dyDescent="0.25">
      <c r="A2186" s="2">
        <v>0</v>
      </c>
    </row>
    <row r="2187" spans="1:1" x14ac:dyDescent="0.25">
      <c r="A2187" s="2">
        <v>0</v>
      </c>
    </row>
    <row r="2188" spans="1:1" x14ac:dyDescent="0.25">
      <c r="A2188" s="2">
        <v>0</v>
      </c>
    </row>
    <row r="2189" spans="1:1" x14ac:dyDescent="0.25">
      <c r="A2189" s="2">
        <v>0</v>
      </c>
    </row>
    <row r="2190" spans="1:1" x14ac:dyDescent="0.25">
      <c r="A2190" s="2">
        <v>0</v>
      </c>
    </row>
    <row r="2191" spans="1:1" x14ac:dyDescent="0.25">
      <c r="A2191" s="2">
        <v>1</v>
      </c>
    </row>
    <row r="2192" spans="1:1" x14ac:dyDescent="0.25">
      <c r="A2192" s="2">
        <v>0</v>
      </c>
    </row>
    <row r="2193" spans="1:1" x14ac:dyDescent="0.25">
      <c r="A2193" s="2">
        <v>0</v>
      </c>
    </row>
    <row r="2194" spans="1:1" x14ac:dyDescent="0.25">
      <c r="A2194" s="2">
        <v>0</v>
      </c>
    </row>
    <row r="2195" spans="1:1" x14ac:dyDescent="0.25">
      <c r="A2195" s="2">
        <v>0</v>
      </c>
    </row>
    <row r="2196" spans="1:1" x14ac:dyDescent="0.25">
      <c r="A2196" s="2">
        <v>0</v>
      </c>
    </row>
    <row r="2197" spans="1:1" x14ac:dyDescent="0.25">
      <c r="A2197" s="2">
        <v>0</v>
      </c>
    </row>
    <row r="2198" spans="1:1" x14ac:dyDescent="0.25">
      <c r="A2198" s="2">
        <v>0</v>
      </c>
    </row>
    <row r="2199" spans="1:1" x14ac:dyDescent="0.25">
      <c r="A2199" s="2">
        <v>0</v>
      </c>
    </row>
    <row r="2200" spans="1:1" x14ac:dyDescent="0.25">
      <c r="A2200" s="2">
        <v>0</v>
      </c>
    </row>
    <row r="2201" spans="1:1" x14ac:dyDescent="0.25">
      <c r="A2201" s="2">
        <v>0</v>
      </c>
    </row>
    <row r="2202" spans="1:1" x14ac:dyDescent="0.25">
      <c r="A2202" s="2">
        <v>0</v>
      </c>
    </row>
    <row r="2203" spans="1:1" x14ac:dyDescent="0.25">
      <c r="A2203" s="2">
        <v>1</v>
      </c>
    </row>
    <row r="2204" spans="1:1" x14ac:dyDescent="0.25">
      <c r="A2204" s="2">
        <v>0</v>
      </c>
    </row>
    <row r="2205" spans="1:1" x14ac:dyDescent="0.25">
      <c r="A2205" s="2">
        <v>1</v>
      </c>
    </row>
    <row r="2206" spans="1:1" x14ac:dyDescent="0.25">
      <c r="A2206" s="2">
        <v>0</v>
      </c>
    </row>
    <row r="2207" spans="1:1" x14ac:dyDescent="0.25">
      <c r="A2207" s="2">
        <v>0</v>
      </c>
    </row>
    <row r="2208" spans="1:1" x14ac:dyDescent="0.25">
      <c r="A2208" s="2">
        <v>0</v>
      </c>
    </row>
    <row r="2209" spans="1:1" x14ac:dyDescent="0.25">
      <c r="A2209" s="2">
        <v>0</v>
      </c>
    </row>
    <row r="2210" spans="1:1" x14ac:dyDescent="0.25">
      <c r="A2210" s="2">
        <v>0</v>
      </c>
    </row>
    <row r="2211" spans="1:1" x14ac:dyDescent="0.25">
      <c r="A2211" s="2">
        <v>0</v>
      </c>
    </row>
    <row r="2212" spans="1:1" x14ac:dyDescent="0.25">
      <c r="A2212" s="2">
        <v>0</v>
      </c>
    </row>
    <row r="2213" spans="1:1" x14ac:dyDescent="0.25">
      <c r="A2213" s="2">
        <v>0</v>
      </c>
    </row>
    <row r="2214" spans="1:1" x14ac:dyDescent="0.25">
      <c r="A2214" s="2">
        <v>0</v>
      </c>
    </row>
    <row r="2215" spans="1:1" x14ac:dyDescent="0.25">
      <c r="A2215" s="2">
        <v>1</v>
      </c>
    </row>
    <row r="2216" spans="1:1" x14ac:dyDescent="0.25">
      <c r="A2216" s="2">
        <v>0</v>
      </c>
    </row>
    <row r="2217" spans="1:1" x14ac:dyDescent="0.25">
      <c r="A2217" s="2">
        <v>0</v>
      </c>
    </row>
    <row r="2218" spans="1:1" x14ac:dyDescent="0.25">
      <c r="A2218" s="2">
        <v>0</v>
      </c>
    </row>
    <row r="2219" spans="1:1" x14ac:dyDescent="0.25">
      <c r="A2219" s="2">
        <v>0</v>
      </c>
    </row>
    <row r="2220" spans="1:1" x14ac:dyDescent="0.25">
      <c r="A2220" s="2">
        <v>0</v>
      </c>
    </row>
    <row r="2221" spans="1:1" x14ac:dyDescent="0.25">
      <c r="A2221" s="2">
        <v>0</v>
      </c>
    </row>
    <row r="2222" spans="1:1" x14ac:dyDescent="0.25">
      <c r="A2222" s="2">
        <v>1</v>
      </c>
    </row>
    <row r="2223" spans="1:1" x14ac:dyDescent="0.25">
      <c r="A2223" s="2">
        <v>2</v>
      </c>
    </row>
    <row r="2224" spans="1:1" x14ac:dyDescent="0.25">
      <c r="A2224" s="2">
        <v>0</v>
      </c>
    </row>
    <row r="2225" spans="1:1" x14ac:dyDescent="0.25">
      <c r="A2225" s="2">
        <v>2</v>
      </c>
    </row>
    <row r="2226" spans="1:1" x14ac:dyDescent="0.25">
      <c r="A2226" s="2">
        <v>2</v>
      </c>
    </row>
    <row r="2227" spans="1:1" x14ac:dyDescent="0.25">
      <c r="A2227" s="2">
        <v>1</v>
      </c>
    </row>
    <row r="2228" spans="1:1" x14ac:dyDescent="0.25">
      <c r="A2228" s="2">
        <v>0</v>
      </c>
    </row>
    <row r="2229" spans="1:1" x14ac:dyDescent="0.25">
      <c r="A2229" s="2">
        <v>0</v>
      </c>
    </row>
    <row r="2230" spans="1:1" x14ac:dyDescent="0.25">
      <c r="A2230" s="2">
        <v>1</v>
      </c>
    </row>
    <row r="2231" spans="1:1" x14ac:dyDescent="0.25">
      <c r="A2231" s="2">
        <v>1</v>
      </c>
    </row>
    <row r="2232" spans="1:1" x14ac:dyDescent="0.25">
      <c r="A2232" s="2">
        <v>2</v>
      </c>
    </row>
    <row r="2233" spans="1:1" x14ac:dyDescent="0.25">
      <c r="A2233" s="2">
        <v>2</v>
      </c>
    </row>
    <row r="2234" spans="1:1" x14ac:dyDescent="0.25">
      <c r="A2234" s="2">
        <v>2</v>
      </c>
    </row>
    <row r="2235" spans="1:1" x14ac:dyDescent="0.25">
      <c r="A2235" s="2">
        <v>0</v>
      </c>
    </row>
    <row r="2236" spans="1:1" x14ac:dyDescent="0.25">
      <c r="A2236" s="2">
        <v>1</v>
      </c>
    </row>
    <row r="2237" spans="1:1" x14ac:dyDescent="0.25">
      <c r="A2237" s="2">
        <v>1</v>
      </c>
    </row>
    <row r="2238" spans="1:1" x14ac:dyDescent="0.25">
      <c r="A2238" s="2">
        <v>1</v>
      </c>
    </row>
    <row r="2239" spans="1:1" x14ac:dyDescent="0.25">
      <c r="A2239" s="2">
        <v>2</v>
      </c>
    </row>
    <row r="2240" spans="1:1" x14ac:dyDescent="0.25">
      <c r="A2240" s="2">
        <v>2</v>
      </c>
    </row>
    <row r="2241" spans="1:1" x14ac:dyDescent="0.25">
      <c r="A2241" s="2">
        <v>2</v>
      </c>
    </row>
    <row r="2242" spans="1:1" x14ac:dyDescent="0.25">
      <c r="A2242" s="2">
        <v>1</v>
      </c>
    </row>
    <row r="2243" spans="1:1" x14ac:dyDescent="0.25">
      <c r="A2243" s="2">
        <v>0</v>
      </c>
    </row>
    <row r="2244" spans="1:1" x14ac:dyDescent="0.25">
      <c r="A2244" s="2">
        <v>2</v>
      </c>
    </row>
    <row r="2245" spans="1:1" x14ac:dyDescent="0.25">
      <c r="A2245" s="2">
        <v>0</v>
      </c>
    </row>
    <row r="2246" spans="1:1" x14ac:dyDescent="0.25">
      <c r="A2246" s="2">
        <v>2</v>
      </c>
    </row>
    <row r="2247" spans="1:1" x14ac:dyDescent="0.25">
      <c r="A2247" s="2">
        <v>0</v>
      </c>
    </row>
    <row r="2248" spans="1:1" x14ac:dyDescent="0.25">
      <c r="A2248" s="2">
        <v>2</v>
      </c>
    </row>
    <row r="2249" spans="1:1" x14ac:dyDescent="0.25">
      <c r="A2249" s="2">
        <v>0</v>
      </c>
    </row>
    <row r="2250" spans="1:1" x14ac:dyDescent="0.25">
      <c r="A2250" s="2">
        <v>0</v>
      </c>
    </row>
    <row r="2251" spans="1:1" x14ac:dyDescent="0.25">
      <c r="A2251" s="2">
        <v>0</v>
      </c>
    </row>
    <row r="2252" spans="1:1" x14ac:dyDescent="0.25">
      <c r="A2252" s="2">
        <v>1</v>
      </c>
    </row>
    <row r="2253" spans="1:1" x14ac:dyDescent="0.25">
      <c r="A2253" s="2">
        <v>0</v>
      </c>
    </row>
    <row r="2254" spans="1:1" x14ac:dyDescent="0.25">
      <c r="A2254" s="2">
        <v>0</v>
      </c>
    </row>
    <row r="2255" spans="1:1" x14ac:dyDescent="0.25">
      <c r="A2255" s="2">
        <v>1</v>
      </c>
    </row>
    <row r="2256" spans="1:1" x14ac:dyDescent="0.25">
      <c r="A2256" s="2">
        <v>0</v>
      </c>
    </row>
    <row r="2257" spans="1:1" x14ac:dyDescent="0.25">
      <c r="A2257" s="2">
        <v>0</v>
      </c>
    </row>
    <row r="2258" spans="1:1" x14ac:dyDescent="0.25">
      <c r="A2258" s="2">
        <v>0</v>
      </c>
    </row>
    <row r="2259" spans="1:1" x14ac:dyDescent="0.25">
      <c r="A2259" s="2">
        <v>0</v>
      </c>
    </row>
    <row r="2260" spans="1:1" x14ac:dyDescent="0.25">
      <c r="A2260" s="2">
        <v>0</v>
      </c>
    </row>
    <row r="2261" spans="1:1" x14ac:dyDescent="0.25">
      <c r="A2261" s="2">
        <v>0</v>
      </c>
    </row>
    <row r="2262" spans="1:1" x14ac:dyDescent="0.25">
      <c r="A2262" s="2">
        <v>0</v>
      </c>
    </row>
    <row r="2263" spans="1:1" x14ac:dyDescent="0.25">
      <c r="A2263" s="2">
        <v>0</v>
      </c>
    </row>
    <row r="2264" spans="1:1" x14ac:dyDescent="0.25">
      <c r="A2264" s="2">
        <v>0</v>
      </c>
    </row>
    <row r="2265" spans="1:1" x14ac:dyDescent="0.25">
      <c r="A2265" s="2">
        <v>0</v>
      </c>
    </row>
    <row r="2266" spans="1:1" x14ac:dyDescent="0.25">
      <c r="A2266" s="2">
        <v>0</v>
      </c>
    </row>
    <row r="2267" spans="1:1" x14ac:dyDescent="0.25">
      <c r="A2267" s="2">
        <v>1</v>
      </c>
    </row>
    <row r="2268" spans="1:1" x14ac:dyDescent="0.25">
      <c r="A2268" s="2">
        <v>1</v>
      </c>
    </row>
    <row r="2269" spans="1:1" x14ac:dyDescent="0.25">
      <c r="A2269" s="2">
        <v>1</v>
      </c>
    </row>
    <row r="2270" spans="1:1" x14ac:dyDescent="0.25">
      <c r="A2270" s="2">
        <v>0</v>
      </c>
    </row>
    <row r="2271" spans="1:1" x14ac:dyDescent="0.25">
      <c r="A2271" s="2">
        <v>0</v>
      </c>
    </row>
    <row r="2272" spans="1:1" x14ac:dyDescent="0.25">
      <c r="A2272" s="2">
        <v>1</v>
      </c>
    </row>
    <row r="2273" spans="1:1" x14ac:dyDescent="0.25">
      <c r="A2273" s="2">
        <v>2</v>
      </c>
    </row>
    <row r="2274" spans="1:1" x14ac:dyDescent="0.25">
      <c r="A2274" s="2">
        <v>0</v>
      </c>
    </row>
    <row r="2275" spans="1:1" x14ac:dyDescent="0.25">
      <c r="A2275" s="2">
        <v>0</v>
      </c>
    </row>
    <row r="2276" spans="1:1" x14ac:dyDescent="0.25">
      <c r="A2276" s="2">
        <v>0</v>
      </c>
    </row>
    <row r="2277" spans="1:1" x14ac:dyDescent="0.25">
      <c r="A2277" s="2">
        <v>0</v>
      </c>
    </row>
    <row r="2278" spans="1:1" x14ac:dyDescent="0.25">
      <c r="A2278" s="2">
        <v>1</v>
      </c>
    </row>
    <row r="2279" spans="1:1" x14ac:dyDescent="0.25">
      <c r="A2279" s="2">
        <v>2</v>
      </c>
    </row>
    <row r="2280" spans="1:1" x14ac:dyDescent="0.25">
      <c r="A2280" s="2">
        <v>1</v>
      </c>
    </row>
    <row r="2281" spans="1:1" x14ac:dyDescent="0.25">
      <c r="A2281" s="2">
        <v>1</v>
      </c>
    </row>
    <row r="2282" spans="1:1" x14ac:dyDescent="0.25">
      <c r="A2282" s="2">
        <v>0</v>
      </c>
    </row>
    <row r="2283" spans="1:1" x14ac:dyDescent="0.25">
      <c r="A2283" s="2">
        <v>0</v>
      </c>
    </row>
    <row r="2284" spans="1:1" x14ac:dyDescent="0.25">
      <c r="A2284" s="2">
        <v>0</v>
      </c>
    </row>
    <row r="2285" spans="1:1" x14ac:dyDescent="0.25">
      <c r="A2285" s="2">
        <v>0</v>
      </c>
    </row>
    <row r="2286" spans="1:1" x14ac:dyDescent="0.25">
      <c r="A2286" s="2">
        <v>0</v>
      </c>
    </row>
    <row r="2287" spans="1:1" x14ac:dyDescent="0.25">
      <c r="A2287" s="2">
        <v>0</v>
      </c>
    </row>
    <row r="2288" spans="1:1" x14ac:dyDescent="0.25">
      <c r="A2288" s="2">
        <v>0</v>
      </c>
    </row>
    <row r="2289" spans="1:1" x14ac:dyDescent="0.25">
      <c r="A2289" s="2">
        <v>0</v>
      </c>
    </row>
    <row r="2290" spans="1:1" x14ac:dyDescent="0.25">
      <c r="A2290" s="2">
        <v>0</v>
      </c>
    </row>
    <row r="2291" spans="1:1" x14ac:dyDescent="0.25">
      <c r="A2291" s="2">
        <v>0</v>
      </c>
    </row>
    <row r="2292" spans="1:1" x14ac:dyDescent="0.25">
      <c r="A2292" s="2">
        <v>0</v>
      </c>
    </row>
    <row r="2293" spans="1:1" x14ac:dyDescent="0.25">
      <c r="A2293" s="2">
        <v>0</v>
      </c>
    </row>
    <row r="2294" spans="1:1" x14ac:dyDescent="0.25">
      <c r="A2294" s="2">
        <v>2</v>
      </c>
    </row>
    <row r="2295" spans="1:1" x14ac:dyDescent="0.25">
      <c r="A2295" s="2">
        <v>0</v>
      </c>
    </row>
    <row r="2296" spans="1:1" x14ac:dyDescent="0.25">
      <c r="A2296" s="2">
        <v>0</v>
      </c>
    </row>
    <row r="2297" spans="1:1" x14ac:dyDescent="0.25">
      <c r="A2297" s="2">
        <v>1</v>
      </c>
    </row>
    <row r="2298" spans="1:1" x14ac:dyDescent="0.25">
      <c r="A2298" s="2">
        <v>0</v>
      </c>
    </row>
    <row r="2299" spans="1:1" x14ac:dyDescent="0.25">
      <c r="A2299" s="2">
        <v>1</v>
      </c>
    </row>
    <row r="2300" spans="1:1" x14ac:dyDescent="0.25">
      <c r="A2300" s="2">
        <v>0</v>
      </c>
    </row>
    <row r="2301" spans="1:1" x14ac:dyDescent="0.25">
      <c r="A2301" s="2">
        <v>0</v>
      </c>
    </row>
    <row r="2302" spans="1:1" x14ac:dyDescent="0.25">
      <c r="A2302" s="2">
        <v>0</v>
      </c>
    </row>
    <row r="2303" spans="1:1" x14ac:dyDescent="0.25">
      <c r="A2303" s="2">
        <v>2</v>
      </c>
    </row>
    <row r="2304" spans="1:1" x14ac:dyDescent="0.25">
      <c r="A2304" s="2">
        <v>0</v>
      </c>
    </row>
    <row r="2305" spans="1:1" x14ac:dyDescent="0.25">
      <c r="A2305" s="2">
        <v>0</v>
      </c>
    </row>
    <row r="2306" spans="1:1" x14ac:dyDescent="0.25">
      <c r="A2306" s="2">
        <v>0</v>
      </c>
    </row>
    <row r="2307" spans="1:1" x14ac:dyDescent="0.25">
      <c r="A2307" s="2">
        <v>1</v>
      </c>
    </row>
    <row r="2308" spans="1:1" x14ac:dyDescent="0.25">
      <c r="A2308" s="2">
        <v>0</v>
      </c>
    </row>
    <row r="2309" spans="1:1" x14ac:dyDescent="0.25">
      <c r="A2309" s="2">
        <v>0</v>
      </c>
    </row>
    <row r="2310" spans="1:1" x14ac:dyDescent="0.25">
      <c r="A2310" s="2">
        <v>1</v>
      </c>
    </row>
    <row r="2311" spans="1:1" x14ac:dyDescent="0.25">
      <c r="A2311" s="2">
        <v>0</v>
      </c>
    </row>
    <row r="2312" spans="1:1" x14ac:dyDescent="0.25">
      <c r="A2312" s="2">
        <v>0</v>
      </c>
    </row>
    <row r="2313" spans="1:1" x14ac:dyDescent="0.25">
      <c r="A2313" s="2">
        <v>1</v>
      </c>
    </row>
    <row r="2314" spans="1:1" x14ac:dyDescent="0.25">
      <c r="A2314" s="2">
        <v>1</v>
      </c>
    </row>
    <row r="2315" spans="1:1" x14ac:dyDescent="0.25">
      <c r="A2315" s="2">
        <v>2</v>
      </c>
    </row>
    <row r="2316" spans="1:1" x14ac:dyDescent="0.25">
      <c r="A2316" s="2">
        <v>0</v>
      </c>
    </row>
    <row r="2317" spans="1:1" x14ac:dyDescent="0.25">
      <c r="A2317" s="2">
        <v>2</v>
      </c>
    </row>
    <row r="2318" spans="1:1" x14ac:dyDescent="0.25">
      <c r="A2318" s="2">
        <v>2</v>
      </c>
    </row>
    <row r="2319" spans="1:1" x14ac:dyDescent="0.25">
      <c r="A2319" s="2">
        <v>1</v>
      </c>
    </row>
    <row r="2320" spans="1:1" x14ac:dyDescent="0.25">
      <c r="A2320" s="2">
        <v>2</v>
      </c>
    </row>
    <row r="2321" spans="1:1" x14ac:dyDescent="0.25">
      <c r="A2321" s="2">
        <v>2</v>
      </c>
    </row>
    <row r="2322" spans="1:1" x14ac:dyDescent="0.25">
      <c r="A2322" s="2">
        <v>2</v>
      </c>
    </row>
    <row r="2323" spans="1:1" x14ac:dyDescent="0.25">
      <c r="A2323" s="2">
        <v>2</v>
      </c>
    </row>
    <row r="2324" spans="1:1" x14ac:dyDescent="0.25">
      <c r="A2324" s="2">
        <v>0</v>
      </c>
    </row>
    <row r="2325" spans="1:1" x14ac:dyDescent="0.25">
      <c r="A2325" s="2">
        <v>2</v>
      </c>
    </row>
    <row r="2326" spans="1:1" x14ac:dyDescent="0.25">
      <c r="A2326" s="2">
        <v>0</v>
      </c>
    </row>
    <row r="2327" spans="1:1" x14ac:dyDescent="0.25">
      <c r="A2327" s="2">
        <v>2</v>
      </c>
    </row>
    <row r="2328" spans="1:1" x14ac:dyDescent="0.25">
      <c r="A2328" s="2">
        <v>2</v>
      </c>
    </row>
    <row r="2329" spans="1:1" x14ac:dyDescent="0.25">
      <c r="A2329" s="2">
        <v>2</v>
      </c>
    </row>
    <row r="2330" spans="1:1" x14ac:dyDescent="0.25">
      <c r="A2330" s="2">
        <v>2</v>
      </c>
    </row>
    <row r="2331" spans="1:1" x14ac:dyDescent="0.25">
      <c r="A2331" s="2">
        <v>1</v>
      </c>
    </row>
    <row r="2332" spans="1:1" x14ac:dyDescent="0.25">
      <c r="A2332" s="2">
        <v>2</v>
      </c>
    </row>
    <row r="2333" spans="1:1" x14ac:dyDescent="0.25">
      <c r="A2333" s="2">
        <v>0</v>
      </c>
    </row>
    <row r="2334" spans="1:1" x14ac:dyDescent="0.25">
      <c r="A2334" s="2">
        <v>0</v>
      </c>
    </row>
    <row r="2335" spans="1:1" x14ac:dyDescent="0.25">
      <c r="A2335" s="2">
        <v>2</v>
      </c>
    </row>
    <row r="2336" spans="1:1" x14ac:dyDescent="0.25">
      <c r="A2336" s="2">
        <v>2</v>
      </c>
    </row>
    <row r="2337" spans="1:1" x14ac:dyDescent="0.25">
      <c r="A2337" s="2">
        <v>0</v>
      </c>
    </row>
    <row r="2338" spans="1:1" x14ac:dyDescent="0.25">
      <c r="A2338" s="2">
        <v>2</v>
      </c>
    </row>
    <row r="2339" spans="1:1" x14ac:dyDescent="0.25">
      <c r="A2339" s="2">
        <v>2</v>
      </c>
    </row>
    <row r="2340" spans="1:1" x14ac:dyDescent="0.25">
      <c r="A2340" s="2">
        <v>0</v>
      </c>
    </row>
    <row r="2341" spans="1:1" x14ac:dyDescent="0.25">
      <c r="A2341" s="2">
        <v>1</v>
      </c>
    </row>
    <row r="2342" spans="1:1" x14ac:dyDescent="0.25">
      <c r="A2342" s="2">
        <v>2</v>
      </c>
    </row>
    <row r="2343" spans="1:1" x14ac:dyDescent="0.25">
      <c r="A2343" s="2">
        <v>0</v>
      </c>
    </row>
    <row r="2344" spans="1:1" x14ac:dyDescent="0.25">
      <c r="A2344" s="2">
        <v>0</v>
      </c>
    </row>
    <row r="2345" spans="1:1" x14ac:dyDescent="0.25">
      <c r="A2345" s="2">
        <v>0</v>
      </c>
    </row>
    <row r="2346" spans="1:1" x14ac:dyDescent="0.25">
      <c r="A2346" s="2">
        <v>0</v>
      </c>
    </row>
    <row r="2347" spans="1:1" x14ac:dyDescent="0.25">
      <c r="A2347" s="2">
        <v>0</v>
      </c>
    </row>
    <row r="2348" spans="1:1" x14ac:dyDescent="0.25">
      <c r="A2348" s="2">
        <v>1</v>
      </c>
    </row>
    <row r="2349" spans="1:1" x14ac:dyDescent="0.25">
      <c r="A2349" s="2">
        <v>0</v>
      </c>
    </row>
    <row r="2350" spans="1:1" x14ac:dyDescent="0.25">
      <c r="A2350" s="2">
        <v>0</v>
      </c>
    </row>
    <row r="2351" spans="1:1" x14ac:dyDescent="0.25">
      <c r="A2351" s="2">
        <v>0</v>
      </c>
    </row>
    <row r="2352" spans="1:1" x14ac:dyDescent="0.25">
      <c r="A2352" s="2">
        <v>0</v>
      </c>
    </row>
    <row r="2353" spans="1:1" x14ac:dyDescent="0.25">
      <c r="A2353" s="2">
        <v>0</v>
      </c>
    </row>
    <row r="2354" spans="1:1" x14ac:dyDescent="0.25">
      <c r="A2354" s="2">
        <v>0</v>
      </c>
    </row>
    <row r="2355" spans="1:1" x14ac:dyDescent="0.25">
      <c r="A2355" s="2">
        <v>0</v>
      </c>
    </row>
    <row r="2356" spans="1:1" x14ac:dyDescent="0.25">
      <c r="A2356" s="2">
        <v>0</v>
      </c>
    </row>
    <row r="2357" spans="1:1" x14ac:dyDescent="0.25">
      <c r="A2357" s="2">
        <v>0</v>
      </c>
    </row>
    <row r="2358" spans="1:1" x14ac:dyDescent="0.25">
      <c r="A2358" s="2">
        <v>0</v>
      </c>
    </row>
    <row r="2359" spans="1:1" x14ac:dyDescent="0.25">
      <c r="A2359" s="2">
        <v>0</v>
      </c>
    </row>
    <row r="2360" spans="1:1" x14ac:dyDescent="0.25">
      <c r="A2360" s="2">
        <v>0</v>
      </c>
    </row>
    <row r="2361" spans="1:1" x14ac:dyDescent="0.25">
      <c r="A2361" s="2">
        <v>0</v>
      </c>
    </row>
    <row r="2362" spans="1:1" x14ac:dyDescent="0.25">
      <c r="A2362" s="2">
        <v>1</v>
      </c>
    </row>
    <row r="2363" spans="1:1" x14ac:dyDescent="0.25">
      <c r="A2363" s="2">
        <v>0</v>
      </c>
    </row>
    <row r="2364" spans="1:1" x14ac:dyDescent="0.25">
      <c r="A2364" s="2">
        <v>0</v>
      </c>
    </row>
    <row r="2365" spans="1:1" x14ac:dyDescent="0.25">
      <c r="A2365" s="2">
        <v>0</v>
      </c>
    </row>
    <row r="2366" spans="1:1" x14ac:dyDescent="0.25">
      <c r="A2366" s="2">
        <v>0</v>
      </c>
    </row>
    <row r="2367" spans="1:1" x14ac:dyDescent="0.25">
      <c r="A2367" s="2">
        <v>1</v>
      </c>
    </row>
    <row r="2368" spans="1:1" x14ac:dyDescent="0.25">
      <c r="A2368" s="2">
        <v>0</v>
      </c>
    </row>
    <row r="2369" spans="1:1" x14ac:dyDescent="0.25">
      <c r="A2369" s="2">
        <v>0</v>
      </c>
    </row>
    <row r="2370" spans="1:1" x14ac:dyDescent="0.25">
      <c r="A2370" s="2">
        <v>0</v>
      </c>
    </row>
    <row r="2371" spans="1:1" x14ac:dyDescent="0.25">
      <c r="A2371" s="2">
        <v>1</v>
      </c>
    </row>
    <row r="2372" spans="1:1" x14ac:dyDescent="0.25">
      <c r="A2372" s="2">
        <v>0</v>
      </c>
    </row>
    <row r="2373" spans="1:1" x14ac:dyDescent="0.25">
      <c r="A2373" s="2">
        <v>0</v>
      </c>
    </row>
    <row r="2374" spans="1:1" x14ac:dyDescent="0.25">
      <c r="A2374" s="2">
        <v>0</v>
      </c>
    </row>
    <row r="2375" spans="1:1" x14ac:dyDescent="0.25">
      <c r="A2375" s="2">
        <v>0</v>
      </c>
    </row>
    <row r="2376" spans="1:1" x14ac:dyDescent="0.25">
      <c r="A2376" s="2">
        <v>0</v>
      </c>
    </row>
    <row r="2377" spans="1:1" x14ac:dyDescent="0.25">
      <c r="A2377" s="2">
        <v>0</v>
      </c>
    </row>
    <row r="2378" spans="1:1" x14ac:dyDescent="0.25">
      <c r="A2378" s="2">
        <v>0</v>
      </c>
    </row>
    <row r="2379" spans="1:1" x14ac:dyDescent="0.25">
      <c r="A2379" s="2">
        <v>0</v>
      </c>
    </row>
    <row r="2380" spans="1:1" x14ac:dyDescent="0.25">
      <c r="A2380" s="2">
        <v>1</v>
      </c>
    </row>
    <row r="2381" spans="1:1" x14ac:dyDescent="0.25">
      <c r="A2381" s="2">
        <v>0</v>
      </c>
    </row>
    <row r="2382" spans="1:1" x14ac:dyDescent="0.25">
      <c r="A2382" s="2">
        <v>0</v>
      </c>
    </row>
    <row r="2383" spans="1:1" x14ac:dyDescent="0.25">
      <c r="A2383" s="2">
        <v>0</v>
      </c>
    </row>
    <row r="2384" spans="1:1" x14ac:dyDescent="0.25">
      <c r="A2384" s="2">
        <v>0</v>
      </c>
    </row>
    <row r="2385" spans="1:1" x14ac:dyDescent="0.25">
      <c r="A2385" s="2">
        <v>2</v>
      </c>
    </row>
    <row r="2386" spans="1:1" x14ac:dyDescent="0.25">
      <c r="A2386" s="2">
        <v>0</v>
      </c>
    </row>
    <row r="2387" spans="1:1" x14ac:dyDescent="0.25">
      <c r="A2387" s="2">
        <v>0</v>
      </c>
    </row>
    <row r="2388" spans="1:1" x14ac:dyDescent="0.25">
      <c r="A2388" s="2">
        <v>1</v>
      </c>
    </row>
    <row r="2389" spans="1:1" x14ac:dyDescent="0.25">
      <c r="A2389" s="2">
        <v>2</v>
      </c>
    </row>
    <row r="2390" spans="1:1" x14ac:dyDescent="0.25">
      <c r="A2390" s="2">
        <v>1</v>
      </c>
    </row>
    <row r="2391" spans="1:1" x14ac:dyDescent="0.25">
      <c r="A2391" s="2">
        <v>0</v>
      </c>
    </row>
    <row r="2392" spans="1:1" x14ac:dyDescent="0.25">
      <c r="A2392" s="2">
        <v>0</v>
      </c>
    </row>
    <row r="2393" spans="1:1" x14ac:dyDescent="0.25">
      <c r="A2393" s="2">
        <v>0</v>
      </c>
    </row>
    <row r="2394" spans="1:1" x14ac:dyDescent="0.25">
      <c r="A2394" s="2">
        <v>0</v>
      </c>
    </row>
    <row r="2395" spans="1:1" x14ac:dyDescent="0.25">
      <c r="A2395" s="2">
        <v>2</v>
      </c>
    </row>
    <row r="2396" spans="1:1" x14ac:dyDescent="0.25">
      <c r="A2396" s="2">
        <v>1</v>
      </c>
    </row>
    <row r="2397" spans="1:1" x14ac:dyDescent="0.25">
      <c r="A2397" s="2">
        <v>0</v>
      </c>
    </row>
    <row r="2398" spans="1:1" x14ac:dyDescent="0.25">
      <c r="A2398" s="2">
        <v>1</v>
      </c>
    </row>
    <row r="2399" spans="1:1" x14ac:dyDescent="0.25">
      <c r="A2399" s="2">
        <v>0</v>
      </c>
    </row>
    <row r="2400" spans="1:1" x14ac:dyDescent="0.25">
      <c r="A2400" s="2">
        <v>2</v>
      </c>
    </row>
    <row r="2401" spans="1:1" x14ac:dyDescent="0.25">
      <c r="A2401" s="2">
        <v>2</v>
      </c>
    </row>
    <row r="2402" spans="1:1" x14ac:dyDescent="0.25">
      <c r="A2402" s="2">
        <v>0</v>
      </c>
    </row>
    <row r="2403" spans="1:1" x14ac:dyDescent="0.25">
      <c r="A2403" s="2">
        <v>2</v>
      </c>
    </row>
    <row r="2404" spans="1:1" x14ac:dyDescent="0.25">
      <c r="A2404" s="2">
        <v>2</v>
      </c>
    </row>
    <row r="2405" spans="1:1" x14ac:dyDescent="0.25">
      <c r="A2405" s="2">
        <v>0</v>
      </c>
    </row>
    <row r="2406" spans="1:1" x14ac:dyDescent="0.25">
      <c r="A2406" s="2">
        <v>2</v>
      </c>
    </row>
    <row r="2407" spans="1:1" x14ac:dyDescent="0.25">
      <c r="A2407" s="2">
        <v>2</v>
      </c>
    </row>
    <row r="2408" spans="1:1" x14ac:dyDescent="0.25">
      <c r="A2408" s="2">
        <v>0</v>
      </c>
    </row>
    <row r="2409" spans="1:1" x14ac:dyDescent="0.25">
      <c r="A2409" s="2">
        <v>1</v>
      </c>
    </row>
    <row r="2410" spans="1:1" x14ac:dyDescent="0.25">
      <c r="A2410" s="2">
        <v>2</v>
      </c>
    </row>
    <row r="2411" spans="1:1" x14ac:dyDescent="0.25">
      <c r="A2411" s="2">
        <v>1</v>
      </c>
    </row>
    <row r="2412" spans="1:1" x14ac:dyDescent="0.25">
      <c r="A2412" s="2">
        <v>2</v>
      </c>
    </row>
    <row r="2413" spans="1:1" x14ac:dyDescent="0.25">
      <c r="A2413" s="2">
        <v>0</v>
      </c>
    </row>
    <row r="2414" spans="1:1" x14ac:dyDescent="0.25">
      <c r="A2414" s="2">
        <v>0</v>
      </c>
    </row>
    <row r="2415" spans="1:1" x14ac:dyDescent="0.25">
      <c r="A2415" s="2">
        <v>2</v>
      </c>
    </row>
    <row r="2416" spans="1:1" x14ac:dyDescent="0.25">
      <c r="A2416" s="2">
        <v>2</v>
      </c>
    </row>
    <row r="2417" spans="1:1" x14ac:dyDescent="0.25">
      <c r="A2417" s="2">
        <v>0</v>
      </c>
    </row>
    <row r="2418" spans="1:1" x14ac:dyDescent="0.25">
      <c r="A2418" s="2">
        <v>1</v>
      </c>
    </row>
    <row r="2419" spans="1:1" x14ac:dyDescent="0.25">
      <c r="A2419" s="2">
        <v>0</v>
      </c>
    </row>
    <row r="2420" spans="1:1" x14ac:dyDescent="0.25">
      <c r="A2420" s="2">
        <v>1</v>
      </c>
    </row>
    <row r="2421" spans="1:1" x14ac:dyDescent="0.25">
      <c r="A2421" s="2">
        <v>1</v>
      </c>
    </row>
    <row r="2422" spans="1:1" x14ac:dyDescent="0.25">
      <c r="A2422" s="2">
        <v>1</v>
      </c>
    </row>
    <row r="2423" spans="1:1" x14ac:dyDescent="0.25">
      <c r="A2423" s="2">
        <v>0</v>
      </c>
    </row>
    <row r="2424" spans="1:1" x14ac:dyDescent="0.25">
      <c r="A2424" s="2">
        <v>2</v>
      </c>
    </row>
    <row r="2425" spans="1:1" x14ac:dyDescent="0.25">
      <c r="A2425" s="2">
        <v>2</v>
      </c>
    </row>
    <row r="2426" spans="1:1" x14ac:dyDescent="0.25">
      <c r="A2426" s="2">
        <v>2</v>
      </c>
    </row>
    <row r="2427" spans="1:1" x14ac:dyDescent="0.25">
      <c r="A2427" s="2">
        <v>1</v>
      </c>
    </row>
    <row r="2428" spans="1:1" x14ac:dyDescent="0.25">
      <c r="A2428" s="2">
        <v>0</v>
      </c>
    </row>
    <row r="2429" spans="1:1" x14ac:dyDescent="0.25">
      <c r="A2429" s="2">
        <v>0</v>
      </c>
    </row>
    <row r="2430" spans="1:1" x14ac:dyDescent="0.25">
      <c r="A2430" s="2">
        <v>2</v>
      </c>
    </row>
    <row r="2431" spans="1:1" x14ac:dyDescent="0.25">
      <c r="A2431" s="2">
        <v>1</v>
      </c>
    </row>
    <row r="2432" spans="1:1" x14ac:dyDescent="0.25">
      <c r="A2432" s="2">
        <v>1</v>
      </c>
    </row>
    <row r="2433" spans="1:1" x14ac:dyDescent="0.25">
      <c r="A2433" s="2">
        <v>2</v>
      </c>
    </row>
    <row r="2434" spans="1:1" x14ac:dyDescent="0.25">
      <c r="A2434" s="2">
        <v>2</v>
      </c>
    </row>
    <row r="2435" spans="1:1" x14ac:dyDescent="0.25">
      <c r="A2435" s="2">
        <v>1</v>
      </c>
    </row>
    <row r="2436" spans="1:1" x14ac:dyDescent="0.25">
      <c r="A2436" s="2">
        <v>2</v>
      </c>
    </row>
    <row r="2437" spans="1:1" x14ac:dyDescent="0.25">
      <c r="A2437" s="2">
        <v>1</v>
      </c>
    </row>
    <row r="2438" spans="1:1" x14ac:dyDescent="0.25">
      <c r="A2438" s="2">
        <v>2</v>
      </c>
    </row>
    <row r="2439" spans="1:1" x14ac:dyDescent="0.25">
      <c r="A2439" s="2">
        <v>0</v>
      </c>
    </row>
    <row r="2440" spans="1:1" x14ac:dyDescent="0.25">
      <c r="A2440" s="2">
        <v>2</v>
      </c>
    </row>
    <row r="2441" spans="1:1" x14ac:dyDescent="0.25">
      <c r="A2441" s="2">
        <v>1</v>
      </c>
    </row>
    <row r="2442" spans="1:1" x14ac:dyDescent="0.25">
      <c r="A2442" s="2">
        <v>0</v>
      </c>
    </row>
    <row r="2443" spans="1:1" x14ac:dyDescent="0.25">
      <c r="A2443" s="2">
        <v>0</v>
      </c>
    </row>
    <row r="2444" spans="1:1" x14ac:dyDescent="0.25">
      <c r="A2444" s="2">
        <v>0</v>
      </c>
    </row>
    <row r="2445" spans="1:1" x14ac:dyDescent="0.25">
      <c r="A2445" s="2">
        <v>1</v>
      </c>
    </row>
    <row r="2446" spans="1:1" x14ac:dyDescent="0.25">
      <c r="A2446" s="2">
        <v>0</v>
      </c>
    </row>
    <row r="2447" spans="1:1" x14ac:dyDescent="0.25">
      <c r="A2447" s="2">
        <v>0</v>
      </c>
    </row>
    <row r="2448" spans="1:1" x14ac:dyDescent="0.25">
      <c r="A2448" s="2">
        <v>0</v>
      </c>
    </row>
    <row r="2449" spans="1:1" x14ac:dyDescent="0.25">
      <c r="A2449" s="2">
        <v>0</v>
      </c>
    </row>
    <row r="2450" spans="1:1" x14ac:dyDescent="0.25">
      <c r="A2450" s="2">
        <v>0</v>
      </c>
    </row>
    <row r="2451" spans="1:1" x14ac:dyDescent="0.25">
      <c r="A2451" s="2">
        <v>0</v>
      </c>
    </row>
    <row r="2452" spans="1:1" x14ac:dyDescent="0.25">
      <c r="A2452" s="2">
        <v>1</v>
      </c>
    </row>
    <row r="2453" spans="1:1" x14ac:dyDescent="0.25">
      <c r="A2453" s="2">
        <v>0</v>
      </c>
    </row>
    <row r="2454" spans="1:1" x14ac:dyDescent="0.25">
      <c r="A2454" s="2">
        <v>1</v>
      </c>
    </row>
    <row r="2455" spans="1:1" x14ac:dyDescent="0.25">
      <c r="A2455" s="2">
        <v>1</v>
      </c>
    </row>
    <row r="2456" spans="1:1" x14ac:dyDescent="0.25">
      <c r="A2456" s="2">
        <v>0</v>
      </c>
    </row>
    <row r="2457" spans="1:1" x14ac:dyDescent="0.25">
      <c r="A2457" s="2">
        <v>0</v>
      </c>
    </row>
    <row r="2458" spans="1:1" x14ac:dyDescent="0.25">
      <c r="A2458" s="2">
        <v>0</v>
      </c>
    </row>
    <row r="2459" spans="1:1" x14ac:dyDescent="0.25">
      <c r="A2459" s="2">
        <v>0</v>
      </c>
    </row>
    <row r="2460" spans="1:1" x14ac:dyDescent="0.25">
      <c r="A2460" s="2">
        <v>2</v>
      </c>
    </row>
    <row r="2461" spans="1:1" x14ac:dyDescent="0.25">
      <c r="A2461" s="2">
        <v>0</v>
      </c>
    </row>
    <row r="2462" spans="1:1" x14ac:dyDescent="0.25">
      <c r="A2462" s="2">
        <v>0</v>
      </c>
    </row>
    <row r="2463" spans="1:1" x14ac:dyDescent="0.25">
      <c r="A2463" s="2">
        <v>1</v>
      </c>
    </row>
    <row r="2464" spans="1:1" x14ac:dyDescent="0.25">
      <c r="A2464" s="2">
        <v>0</v>
      </c>
    </row>
    <row r="2465" spans="1:1" x14ac:dyDescent="0.25">
      <c r="A2465" s="2">
        <v>0</v>
      </c>
    </row>
    <row r="2466" spans="1:1" x14ac:dyDescent="0.25">
      <c r="A2466" s="2">
        <v>2</v>
      </c>
    </row>
    <row r="2467" spans="1:1" x14ac:dyDescent="0.25">
      <c r="A2467" s="2">
        <v>2</v>
      </c>
    </row>
    <row r="2468" spans="1:1" x14ac:dyDescent="0.25">
      <c r="A2468" s="2">
        <v>0</v>
      </c>
    </row>
    <row r="2469" spans="1:1" x14ac:dyDescent="0.25">
      <c r="A2469" s="2">
        <v>0</v>
      </c>
    </row>
    <row r="2470" spans="1:1" x14ac:dyDescent="0.25">
      <c r="A2470" s="2">
        <v>0</v>
      </c>
    </row>
    <row r="2471" spans="1:1" x14ac:dyDescent="0.25">
      <c r="A2471" s="2">
        <v>0</v>
      </c>
    </row>
    <row r="2472" spans="1:1" x14ac:dyDescent="0.25">
      <c r="A2472" s="2">
        <v>0</v>
      </c>
    </row>
    <row r="2473" spans="1:1" x14ac:dyDescent="0.25">
      <c r="A2473" s="2">
        <v>0</v>
      </c>
    </row>
    <row r="2474" spans="1:1" x14ac:dyDescent="0.25">
      <c r="A2474" s="2">
        <v>0</v>
      </c>
    </row>
    <row r="2475" spans="1:1" x14ac:dyDescent="0.25">
      <c r="A2475" s="2">
        <v>0</v>
      </c>
    </row>
    <row r="2476" spans="1:1" x14ac:dyDescent="0.25">
      <c r="A2476" s="2">
        <v>0</v>
      </c>
    </row>
    <row r="2477" spans="1:1" x14ac:dyDescent="0.25">
      <c r="A2477" s="2">
        <v>0</v>
      </c>
    </row>
    <row r="2478" spans="1:1" x14ac:dyDescent="0.25">
      <c r="A2478" s="2">
        <v>0</v>
      </c>
    </row>
    <row r="2479" spans="1:1" x14ac:dyDescent="0.25">
      <c r="A2479" s="2">
        <v>0</v>
      </c>
    </row>
    <row r="2480" spans="1:1" x14ac:dyDescent="0.25">
      <c r="A2480" s="2">
        <v>0</v>
      </c>
    </row>
    <row r="2481" spans="1:1" x14ac:dyDescent="0.25">
      <c r="A2481" s="2">
        <v>0</v>
      </c>
    </row>
    <row r="2482" spans="1:1" x14ac:dyDescent="0.25">
      <c r="A2482" s="2">
        <v>0</v>
      </c>
    </row>
    <row r="2483" spans="1:1" x14ac:dyDescent="0.25">
      <c r="A2483" s="2">
        <v>0</v>
      </c>
    </row>
    <row r="2484" spans="1:1" x14ac:dyDescent="0.25">
      <c r="A2484" s="2">
        <v>0</v>
      </c>
    </row>
    <row r="2485" spans="1:1" x14ac:dyDescent="0.25">
      <c r="A2485" s="2">
        <v>0</v>
      </c>
    </row>
    <row r="2486" spans="1:1" x14ac:dyDescent="0.25">
      <c r="A2486" s="2">
        <v>0</v>
      </c>
    </row>
    <row r="2487" spans="1:1" x14ac:dyDescent="0.25">
      <c r="A2487" s="2">
        <v>0</v>
      </c>
    </row>
    <row r="2488" spans="1:1" x14ac:dyDescent="0.25">
      <c r="A2488" s="2">
        <v>0</v>
      </c>
    </row>
    <row r="2489" spans="1:1" x14ac:dyDescent="0.25">
      <c r="A2489" s="2">
        <v>0</v>
      </c>
    </row>
    <row r="2490" spans="1:1" x14ac:dyDescent="0.25">
      <c r="A2490" s="2">
        <v>0</v>
      </c>
    </row>
    <row r="2491" spans="1:1" x14ac:dyDescent="0.25">
      <c r="A2491" s="2">
        <v>0</v>
      </c>
    </row>
    <row r="2492" spans="1:1" x14ac:dyDescent="0.25">
      <c r="A2492" s="2">
        <v>0</v>
      </c>
    </row>
    <row r="2493" spans="1:1" x14ac:dyDescent="0.25">
      <c r="A2493" s="2">
        <v>0</v>
      </c>
    </row>
    <row r="2494" spans="1:1" x14ac:dyDescent="0.25">
      <c r="A2494" s="2">
        <v>2</v>
      </c>
    </row>
    <row r="2495" spans="1:1" x14ac:dyDescent="0.25">
      <c r="A2495" s="2">
        <v>1</v>
      </c>
    </row>
    <row r="2496" spans="1:1" x14ac:dyDescent="0.25">
      <c r="A2496" s="2">
        <v>0</v>
      </c>
    </row>
    <row r="2497" spans="1:1" x14ac:dyDescent="0.25">
      <c r="A2497" s="2">
        <v>1</v>
      </c>
    </row>
    <row r="2498" spans="1:1" x14ac:dyDescent="0.25">
      <c r="A2498" s="2">
        <v>0</v>
      </c>
    </row>
    <row r="2499" spans="1:1" x14ac:dyDescent="0.25">
      <c r="A2499" s="2">
        <v>1</v>
      </c>
    </row>
    <row r="2500" spans="1:1" x14ac:dyDescent="0.25">
      <c r="A2500" s="2">
        <v>0</v>
      </c>
    </row>
    <row r="2501" spans="1:1" x14ac:dyDescent="0.25">
      <c r="A2501" s="2">
        <v>1</v>
      </c>
    </row>
    <row r="2502" spans="1:1" x14ac:dyDescent="0.25">
      <c r="A2502" s="2">
        <v>1</v>
      </c>
    </row>
    <row r="2503" spans="1:1" x14ac:dyDescent="0.25">
      <c r="A2503" s="2">
        <v>0</v>
      </c>
    </row>
    <row r="2504" spans="1:1" x14ac:dyDescent="0.25">
      <c r="A2504" s="2">
        <v>0</v>
      </c>
    </row>
    <row r="2505" spans="1:1" x14ac:dyDescent="0.25">
      <c r="A2505" s="2">
        <v>0</v>
      </c>
    </row>
    <row r="2506" spans="1:1" x14ac:dyDescent="0.25">
      <c r="A2506" s="2">
        <v>1</v>
      </c>
    </row>
    <row r="2507" spans="1:1" x14ac:dyDescent="0.25">
      <c r="A2507" s="2">
        <v>1</v>
      </c>
    </row>
    <row r="2508" spans="1:1" x14ac:dyDescent="0.25">
      <c r="A2508" s="2">
        <v>0</v>
      </c>
    </row>
    <row r="2509" spans="1:1" x14ac:dyDescent="0.25">
      <c r="A2509" s="2">
        <v>0</v>
      </c>
    </row>
    <row r="2510" spans="1:1" x14ac:dyDescent="0.25">
      <c r="A2510" s="2">
        <v>0</v>
      </c>
    </row>
    <row r="2511" spans="1:1" x14ac:dyDescent="0.25">
      <c r="A2511" s="2">
        <v>0</v>
      </c>
    </row>
    <row r="2512" spans="1:1" x14ac:dyDescent="0.25">
      <c r="A2512" s="2">
        <v>0</v>
      </c>
    </row>
    <row r="2513" spans="1:1" x14ac:dyDescent="0.25">
      <c r="A2513" s="2">
        <v>1</v>
      </c>
    </row>
    <row r="2514" spans="1:1" x14ac:dyDescent="0.25">
      <c r="A2514" s="2">
        <v>0</v>
      </c>
    </row>
    <row r="2515" spans="1:1" x14ac:dyDescent="0.25">
      <c r="A2515" s="2">
        <v>0</v>
      </c>
    </row>
    <row r="2516" spans="1:1" x14ac:dyDescent="0.25">
      <c r="A2516" s="2">
        <v>0</v>
      </c>
    </row>
    <row r="2517" spans="1:1" x14ac:dyDescent="0.25">
      <c r="A2517" s="2">
        <v>0</v>
      </c>
    </row>
    <row r="2518" spans="1:1" x14ac:dyDescent="0.25">
      <c r="A2518" s="2">
        <v>0</v>
      </c>
    </row>
    <row r="2519" spans="1:1" x14ac:dyDescent="0.25">
      <c r="A2519" s="2">
        <v>1</v>
      </c>
    </row>
    <row r="2520" spans="1:1" x14ac:dyDescent="0.25">
      <c r="A2520" s="2">
        <v>1</v>
      </c>
    </row>
    <row r="2521" spans="1:1" x14ac:dyDescent="0.25">
      <c r="A2521" s="2">
        <v>1</v>
      </c>
    </row>
    <row r="2522" spans="1:1" x14ac:dyDescent="0.25">
      <c r="A2522" s="2">
        <v>0</v>
      </c>
    </row>
    <row r="2523" spans="1:1" x14ac:dyDescent="0.25">
      <c r="A2523" s="2">
        <v>0</v>
      </c>
    </row>
    <row r="2524" spans="1:1" x14ac:dyDescent="0.25">
      <c r="A2524" s="2">
        <v>0</v>
      </c>
    </row>
    <row r="2525" spans="1:1" x14ac:dyDescent="0.25">
      <c r="A2525" s="2">
        <v>1</v>
      </c>
    </row>
    <row r="2526" spans="1:1" x14ac:dyDescent="0.25">
      <c r="A2526" s="2">
        <v>0</v>
      </c>
    </row>
    <row r="2527" spans="1:1" x14ac:dyDescent="0.25">
      <c r="A2527" s="2">
        <v>2</v>
      </c>
    </row>
    <row r="2528" spans="1:1" x14ac:dyDescent="0.25">
      <c r="A2528" s="2">
        <v>0</v>
      </c>
    </row>
    <row r="2529" spans="1:1" x14ac:dyDescent="0.25">
      <c r="A2529" s="2">
        <v>0</v>
      </c>
    </row>
    <row r="2530" spans="1:1" x14ac:dyDescent="0.25">
      <c r="A2530" s="2">
        <v>1</v>
      </c>
    </row>
    <row r="2531" spans="1:1" x14ac:dyDescent="0.25">
      <c r="A2531" s="2">
        <v>1</v>
      </c>
    </row>
    <row r="2532" spans="1:1" x14ac:dyDescent="0.25">
      <c r="A2532" s="2">
        <v>2</v>
      </c>
    </row>
    <row r="2533" spans="1:1" x14ac:dyDescent="0.25">
      <c r="A2533" s="2">
        <v>2</v>
      </c>
    </row>
    <row r="2534" spans="1:1" x14ac:dyDescent="0.25">
      <c r="A2534" s="2">
        <v>0</v>
      </c>
    </row>
    <row r="2535" spans="1:1" x14ac:dyDescent="0.25">
      <c r="A2535" s="2">
        <v>2</v>
      </c>
    </row>
    <row r="2536" spans="1:1" x14ac:dyDescent="0.25">
      <c r="A2536" s="2">
        <v>2</v>
      </c>
    </row>
    <row r="2537" spans="1:1" x14ac:dyDescent="0.25">
      <c r="A2537" s="2">
        <v>2</v>
      </c>
    </row>
    <row r="2538" spans="1:1" x14ac:dyDescent="0.25">
      <c r="A2538" s="2">
        <v>2</v>
      </c>
    </row>
    <row r="2539" spans="1:1" x14ac:dyDescent="0.25">
      <c r="A2539" s="2">
        <v>2</v>
      </c>
    </row>
    <row r="2540" spans="1:1" x14ac:dyDescent="0.25">
      <c r="A2540" s="2">
        <v>0</v>
      </c>
    </row>
    <row r="2541" spans="1:1" x14ac:dyDescent="0.25">
      <c r="A2541" s="2">
        <v>2</v>
      </c>
    </row>
    <row r="2542" spans="1:1" x14ac:dyDescent="0.25">
      <c r="A2542" s="2">
        <v>2</v>
      </c>
    </row>
    <row r="2543" spans="1:1" x14ac:dyDescent="0.25">
      <c r="A2543" s="2">
        <v>2</v>
      </c>
    </row>
    <row r="2544" spans="1:1" x14ac:dyDescent="0.25">
      <c r="A2544" s="2">
        <v>1</v>
      </c>
    </row>
    <row r="2545" spans="1:1" x14ac:dyDescent="0.25">
      <c r="A2545" s="2">
        <v>1</v>
      </c>
    </row>
    <row r="2546" spans="1:1" x14ac:dyDescent="0.25">
      <c r="A2546" s="2">
        <v>2</v>
      </c>
    </row>
    <row r="2547" spans="1:1" x14ac:dyDescent="0.25">
      <c r="A2547" s="2">
        <v>2</v>
      </c>
    </row>
    <row r="2548" spans="1:1" x14ac:dyDescent="0.25">
      <c r="A2548" s="2">
        <v>0</v>
      </c>
    </row>
    <row r="2549" spans="1:1" x14ac:dyDescent="0.25">
      <c r="A2549" s="2">
        <v>2</v>
      </c>
    </row>
    <row r="2550" spans="1:1" x14ac:dyDescent="0.25">
      <c r="A2550" s="2">
        <v>2</v>
      </c>
    </row>
    <row r="2551" spans="1:1" x14ac:dyDescent="0.25">
      <c r="A2551" s="2">
        <v>0</v>
      </c>
    </row>
    <row r="2552" spans="1:1" x14ac:dyDescent="0.25">
      <c r="A2552" s="2">
        <v>2</v>
      </c>
    </row>
    <row r="2553" spans="1:1" x14ac:dyDescent="0.25">
      <c r="A2553" s="2">
        <v>0</v>
      </c>
    </row>
    <row r="2554" spans="1:1" x14ac:dyDescent="0.25">
      <c r="A2554" s="2">
        <v>1</v>
      </c>
    </row>
    <row r="2555" spans="1:1" x14ac:dyDescent="0.25">
      <c r="A2555" s="2">
        <v>0</v>
      </c>
    </row>
    <row r="2556" spans="1:1" x14ac:dyDescent="0.25">
      <c r="A2556" s="2">
        <v>2</v>
      </c>
    </row>
    <row r="2557" spans="1:1" x14ac:dyDescent="0.25">
      <c r="A2557" s="2">
        <v>0</v>
      </c>
    </row>
    <row r="2558" spans="1:1" x14ac:dyDescent="0.25">
      <c r="A2558" s="2">
        <v>1</v>
      </c>
    </row>
    <row r="2559" spans="1:1" x14ac:dyDescent="0.25">
      <c r="A2559" s="2">
        <v>1</v>
      </c>
    </row>
    <row r="2560" spans="1:1" x14ac:dyDescent="0.25">
      <c r="A2560" s="2">
        <v>0</v>
      </c>
    </row>
    <row r="2561" spans="1:1" x14ac:dyDescent="0.25">
      <c r="A2561" s="2">
        <v>0</v>
      </c>
    </row>
    <row r="2562" spans="1:1" x14ac:dyDescent="0.25">
      <c r="A2562" s="2">
        <v>0</v>
      </c>
    </row>
    <row r="2563" spans="1:1" x14ac:dyDescent="0.25">
      <c r="A2563" s="2">
        <v>2</v>
      </c>
    </row>
    <row r="2564" spans="1:1" x14ac:dyDescent="0.25">
      <c r="A2564" s="2">
        <v>1</v>
      </c>
    </row>
    <row r="2565" spans="1:1" x14ac:dyDescent="0.25">
      <c r="A2565" s="2">
        <v>2</v>
      </c>
    </row>
    <row r="2566" spans="1:1" x14ac:dyDescent="0.25">
      <c r="A2566" s="2">
        <v>0</v>
      </c>
    </row>
    <row r="2567" spans="1:1" x14ac:dyDescent="0.25">
      <c r="A2567" s="2">
        <v>1</v>
      </c>
    </row>
    <row r="2568" spans="1:1" x14ac:dyDescent="0.25">
      <c r="A2568" s="2">
        <v>1</v>
      </c>
    </row>
    <row r="2569" spans="1:1" x14ac:dyDescent="0.25">
      <c r="A2569" s="2">
        <v>0</v>
      </c>
    </row>
    <row r="2570" spans="1:1" x14ac:dyDescent="0.25">
      <c r="A2570" s="2">
        <v>1</v>
      </c>
    </row>
    <row r="2571" spans="1:1" x14ac:dyDescent="0.25">
      <c r="A2571" s="2">
        <v>0</v>
      </c>
    </row>
    <row r="2572" spans="1:1" x14ac:dyDescent="0.25">
      <c r="A2572" s="2">
        <v>1</v>
      </c>
    </row>
    <row r="2573" spans="1:1" x14ac:dyDescent="0.25">
      <c r="A2573" s="2">
        <v>0</v>
      </c>
    </row>
    <row r="2574" spans="1:1" x14ac:dyDescent="0.25">
      <c r="A2574" s="2">
        <v>0</v>
      </c>
    </row>
    <row r="2575" spans="1:1" x14ac:dyDescent="0.25">
      <c r="A2575" s="2">
        <v>1</v>
      </c>
    </row>
    <row r="2576" spans="1:1" x14ac:dyDescent="0.25">
      <c r="A2576" s="2">
        <v>0</v>
      </c>
    </row>
    <row r="2577" spans="1:1" x14ac:dyDescent="0.25">
      <c r="A2577" s="2">
        <v>0</v>
      </c>
    </row>
    <row r="2578" spans="1:1" x14ac:dyDescent="0.25">
      <c r="A2578" s="2">
        <v>1</v>
      </c>
    </row>
    <row r="2579" spans="1:1" x14ac:dyDescent="0.25">
      <c r="A2579" s="2">
        <v>1</v>
      </c>
    </row>
    <row r="2580" spans="1:1" x14ac:dyDescent="0.25">
      <c r="A2580" s="2">
        <v>0</v>
      </c>
    </row>
    <row r="2581" spans="1:1" x14ac:dyDescent="0.25">
      <c r="A2581" s="2">
        <v>0</v>
      </c>
    </row>
    <row r="2582" spans="1:1" x14ac:dyDescent="0.25">
      <c r="A2582" s="2">
        <v>0</v>
      </c>
    </row>
    <row r="2583" spans="1:1" x14ac:dyDescent="0.25">
      <c r="A2583" s="2">
        <v>0</v>
      </c>
    </row>
    <row r="2584" spans="1:1" x14ac:dyDescent="0.25">
      <c r="A2584" s="2">
        <v>0</v>
      </c>
    </row>
    <row r="2585" spans="1:1" x14ac:dyDescent="0.25">
      <c r="A2585" s="2">
        <v>0</v>
      </c>
    </row>
    <row r="2586" spans="1:1" x14ac:dyDescent="0.25">
      <c r="A2586" s="2">
        <v>0</v>
      </c>
    </row>
    <row r="2587" spans="1:1" x14ac:dyDescent="0.25">
      <c r="A2587" s="2">
        <v>0</v>
      </c>
    </row>
    <row r="2588" spans="1:1" x14ac:dyDescent="0.25">
      <c r="A2588" s="2">
        <v>1</v>
      </c>
    </row>
    <row r="2589" spans="1:1" x14ac:dyDescent="0.25">
      <c r="A2589" s="2">
        <v>0</v>
      </c>
    </row>
    <row r="2590" spans="1:1" x14ac:dyDescent="0.25">
      <c r="A2590" s="2">
        <v>0</v>
      </c>
    </row>
    <row r="2591" spans="1:1" x14ac:dyDescent="0.25">
      <c r="A2591" s="2">
        <v>0</v>
      </c>
    </row>
    <row r="2592" spans="1:1" x14ac:dyDescent="0.25">
      <c r="A2592" s="2">
        <v>0</v>
      </c>
    </row>
    <row r="2593" spans="1:1" x14ac:dyDescent="0.25">
      <c r="A2593" s="2">
        <v>0</v>
      </c>
    </row>
    <row r="2594" spans="1:1" x14ac:dyDescent="0.25">
      <c r="A2594" s="2">
        <v>0</v>
      </c>
    </row>
    <row r="2595" spans="1:1" x14ac:dyDescent="0.25">
      <c r="A2595" s="2">
        <v>0</v>
      </c>
    </row>
    <row r="2596" spans="1:1" x14ac:dyDescent="0.25">
      <c r="A2596" s="2">
        <v>0</v>
      </c>
    </row>
    <row r="2597" spans="1:1" x14ac:dyDescent="0.25">
      <c r="A2597" s="2">
        <v>2</v>
      </c>
    </row>
    <row r="2598" spans="1:1" x14ac:dyDescent="0.25">
      <c r="A2598" s="2">
        <v>0</v>
      </c>
    </row>
    <row r="2599" spans="1:1" x14ac:dyDescent="0.25">
      <c r="A2599" s="2">
        <v>0</v>
      </c>
    </row>
    <row r="2600" spans="1:1" x14ac:dyDescent="0.25">
      <c r="A2600" s="2">
        <v>0</v>
      </c>
    </row>
    <row r="2601" spans="1:1" x14ac:dyDescent="0.25">
      <c r="A2601" s="2">
        <v>0</v>
      </c>
    </row>
    <row r="2602" spans="1:1" x14ac:dyDescent="0.25">
      <c r="A2602" s="2">
        <v>0</v>
      </c>
    </row>
    <row r="2603" spans="1:1" x14ac:dyDescent="0.25">
      <c r="A2603" s="2">
        <v>0</v>
      </c>
    </row>
    <row r="2604" spans="1:1" x14ac:dyDescent="0.25">
      <c r="A2604" s="2">
        <v>0</v>
      </c>
    </row>
    <row r="2605" spans="1:1" x14ac:dyDescent="0.25">
      <c r="A2605" s="2">
        <v>0</v>
      </c>
    </row>
    <row r="2606" spans="1:1" x14ac:dyDescent="0.25">
      <c r="A2606" s="2">
        <v>2</v>
      </c>
    </row>
    <row r="2607" spans="1:1" x14ac:dyDescent="0.25">
      <c r="A2607" s="2">
        <v>0</v>
      </c>
    </row>
    <row r="2608" spans="1:1" x14ac:dyDescent="0.25">
      <c r="A2608" s="2">
        <v>0</v>
      </c>
    </row>
    <row r="2609" spans="1:1" x14ac:dyDescent="0.25">
      <c r="A2609" s="2">
        <v>1</v>
      </c>
    </row>
    <row r="2610" spans="1:1" x14ac:dyDescent="0.25">
      <c r="A2610" s="2">
        <v>1</v>
      </c>
    </row>
    <row r="2611" spans="1:1" x14ac:dyDescent="0.25">
      <c r="A2611" s="2">
        <v>0</v>
      </c>
    </row>
    <row r="2612" spans="1:1" x14ac:dyDescent="0.25">
      <c r="A2612" s="2">
        <v>0</v>
      </c>
    </row>
    <row r="2613" spans="1:1" x14ac:dyDescent="0.25">
      <c r="A2613" s="2">
        <v>1</v>
      </c>
    </row>
    <row r="2614" spans="1:1" x14ac:dyDescent="0.25">
      <c r="A2614" s="2">
        <v>2</v>
      </c>
    </row>
    <row r="2615" spans="1:1" x14ac:dyDescent="0.25">
      <c r="A2615" s="2">
        <v>0</v>
      </c>
    </row>
    <row r="2616" spans="1:1" x14ac:dyDescent="0.25">
      <c r="A2616" s="2">
        <v>0</v>
      </c>
    </row>
    <row r="2617" spans="1:1" x14ac:dyDescent="0.25">
      <c r="A2617" s="2">
        <v>0</v>
      </c>
    </row>
    <row r="2618" spans="1:1" x14ac:dyDescent="0.25">
      <c r="A2618" s="2">
        <v>0</v>
      </c>
    </row>
    <row r="2619" spans="1:1" x14ac:dyDescent="0.25">
      <c r="A2619" s="2">
        <v>2</v>
      </c>
    </row>
    <row r="2620" spans="1:1" x14ac:dyDescent="0.25">
      <c r="A2620" s="2">
        <v>0</v>
      </c>
    </row>
    <row r="2621" spans="1:1" x14ac:dyDescent="0.25">
      <c r="A2621" s="2">
        <v>2</v>
      </c>
    </row>
    <row r="2622" spans="1:1" x14ac:dyDescent="0.25">
      <c r="A2622" s="2">
        <v>2</v>
      </c>
    </row>
    <row r="2623" spans="1:1" x14ac:dyDescent="0.25">
      <c r="A2623" s="2">
        <v>0</v>
      </c>
    </row>
    <row r="2624" spans="1:1" x14ac:dyDescent="0.25">
      <c r="A2624" s="2">
        <v>0</v>
      </c>
    </row>
    <row r="2625" spans="1:1" x14ac:dyDescent="0.25">
      <c r="A2625" s="2">
        <v>0</v>
      </c>
    </row>
    <row r="2626" spans="1:1" x14ac:dyDescent="0.25">
      <c r="A2626" s="2">
        <v>0</v>
      </c>
    </row>
    <row r="2627" spans="1:1" x14ac:dyDescent="0.25">
      <c r="A2627" s="2">
        <v>0</v>
      </c>
    </row>
    <row r="2628" spans="1:1" x14ac:dyDescent="0.25">
      <c r="A2628" s="2">
        <v>0</v>
      </c>
    </row>
    <row r="2629" spans="1:1" x14ac:dyDescent="0.25">
      <c r="A2629" s="2">
        <v>0</v>
      </c>
    </row>
    <row r="2630" spans="1:1" x14ac:dyDescent="0.25">
      <c r="A2630" s="2">
        <v>1</v>
      </c>
    </row>
    <row r="2631" spans="1:1" x14ac:dyDescent="0.25">
      <c r="A2631" s="2">
        <v>0</v>
      </c>
    </row>
    <row r="2632" spans="1:1" x14ac:dyDescent="0.25">
      <c r="A2632" s="2">
        <v>1</v>
      </c>
    </row>
    <row r="2633" spans="1:1" x14ac:dyDescent="0.25">
      <c r="A2633" s="2">
        <v>2</v>
      </c>
    </row>
    <row r="2634" spans="1:1" x14ac:dyDescent="0.25">
      <c r="A2634" s="2">
        <v>1</v>
      </c>
    </row>
    <row r="2635" spans="1:1" x14ac:dyDescent="0.25">
      <c r="A2635" s="2">
        <v>2</v>
      </c>
    </row>
    <row r="2636" spans="1:1" x14ac:dyDescent="0.25">
      <c r="A2636" s="2">
        <v>2</v>
      </c>
    </row>
    <row r="2637" spans="1:1" x14ac:dyDescent="0.25">
      <c r="A2637" s="2">
        <v>1</v>
      </c>
    </row>
    <row r="2638" spans="1:1" x14ac:dyDescent="0.25">
      <c r="A2638" s="2">
        <v>1</v>
      </c>
    </row>
    <row r="2639" spans="1:1" x14ac:dyDescent="0.25">
      <c r="A2639" s="2">
        <v>0</v>
      </c>
    </row>
    <row r="2640" spans="1:1" x14ac:dyDescent="0.25">
      <c r="A2640" s="2">
        <v>1</v>
      </c>
    </row>
    <row r="2641" spans="1:1" x14ac:dyDescent="0.25">
      <c r="A2641" s="2">
        <v>2</v>
      </c>
    </row>
    <row r="2642" spans="1:1" x14ac:dyDescent="0.25">
      <c r="A2642" s="2">
        <v>2</v>
      </c>
    </row>
    <row r="2643" spans="1:1" x14ac:dyDescent="0.25">
      <c r="A2643" s="2">
        <v>0</v>
      </c>
    </row>
    <row r="2644" spans="1:1" x14ac:dyDescent="0.25">
      <c r="A2644" s="2">
        <v>2</v>
      </c>
    </row>
    <row r="2645" spans="1:1" x14ac:dyDescent="0.25">
      <c r="A2645" s="2">
        <v>2</v>
      </c>
    </row>
    <row r="2646" spans="1:1" x14ac:dyDescent="0.25">
      <c r="A2646" s="2">
        <v>1</v>
      </c>
    </row>
    <row r="2647" spans="1:1" x14ac:dyDescent="0.25">
      <c r="A2647" s="2">
        <v>2</v>
      </c>
    </row>
    <row r="2648" spans="1:1" x14ac:dyDescent="0.25">
      <c r="A2648" s="2">
        <v>0</v>
      </c>
    </row>
    <row r="2649" spans="1:1" x14ac:dyDescent="0.25">
      <c r="A2649" s="2">
        <v>0</v>
      </c>
    </row>
    <row r="2650" spans="1:1" x14ac:dyDescent="0.25">
      <c r="A2650" s="2">
        <v>0</v>
      </c>
    </row>
    <row r="2651" spans="1:1" x14ac:dyDescent="0.25">
      <c r="A2651" s="2">
        <v>2</v>
      </c>
    </row>
    <row r="2652" spans="1:1" x14ac:dyDescent="0.25">
      <c r="A2652" s="2">
        <v>0</v>
      </c>
    </row>
    <row r="2653" spans="1:1" x14ac:dyDescent="0.25">
      <c r="A2653" s="2">
        <v>0</v>
      </c>
    </row>
    <row r="2654" spans="1:1" x14ac:dyDescent="0.25">
      <c r="A2654" s="2">
        <v>2</v>
      </c>
    </row>
    <row r="2655" spans="1:1" x14ac:dyDescent="0.25">
      <c r="A2655" s="2">
        <v>2</v>
      </c>
    </row>
    <row r="2656" spans="1:1" x14ac:dyDescent="0.25">
      <c r="A2656" s="2">
        <v>0</v>
      </c>
    </row>
    <row r="2657" spans="1:1" x14ac:dyDescent="0.25">
      <c r="A2657" s="2">
        <v>2</v>
      </c>
    </row>
    <row r="2658" spans="1:1" x14ac:dyDescent="0.25">
      <c r="A2658" s="2">
        <v>0</v>
      </c>
    </row>
    <row r="2659" spans="1:1" x14ac:dyDescent="0.25">
      <c r="A2659" s="2">
        <v>1</v>
      </c>
    </row>
    <row r="2660" spans="1:1" x14ac:dyDescent="0.25">
      <c r="A2660" s="2">
        <v>0</v>
      </c>
    </row>
    <row r="2661" spans="1:1" x14ac:dyDescent="0.25">
      <c r="A2661" s="2">
        <v>1</v>
      </c>
    </row>
    <row r="2662" spans="1:1" x14ac:dyDescent="0.25">
      <c r="A2662" s="2">
        <v>2</v>
      </c>
    </row>
    <row r="2663" spans="1:1" x14ac:dyDescent="0.25">
      <c r="A2663" s="2">
        <v>0</v>
      </c>
    </row>
    <row r="2664" spans="1:1" x14ac:dyDescent="0.25">
      <c r="A2664" s="2">
        <v>2</v>
      </c>
    </row>
    <row r="2665" spans="1:1" x14ac:dyDescent="0.25">
      <c r="A2665" s="2">
        <v>0</v>
      </c>
    </row>
    <row r="2666" spans="1:1" x14ac:dyDescent="0.25">
      <c r="A2666" s="2">
        <v>1</v>
      </c>
    </row>
    <row r="2667" spans="1:1" x14ac:dyDescent="0.25">
      <c r="A2667" s="2">
        <v>0</v>
      </c>
    </row>
    <row r="2668" spans="1:1" x14ac:dyDescent="0.25">
      <c r="A2668" s="2">
        <v>0</v>
      </c>
    </row>
    <row r="2669" spans="1:1" x14ac:dyDescent="0.25">
      <c r="A2669" s="2">
        <v>2</v>
      </c>
    </row>
    <row r="2670" spans="1:1" x14ac:dyDescent="0.25">
      <c r="A2670" s="2">
        <v>1</v>
      </c>
    </row>
    <row r="2671" spans="1:1" x14ac:dyDescent="0.25">
      <c r="A2671" s="2">
        <v>2</v>
      </c>
    </row>
    <row r="2672" spans="1:1" x14ac:dyDescent="0.25">
      <c r="A2672" s="2">
        <v>0</v>
      </c>
    </row>
    <row r="2673" spans="1:1" x14ac:dyDescent="0.25">
      <c r="A2673" s="2">
        <v>0</v>
      </c>
    </row>
    <row r="2674" spans="1:1" x14ac:dyDescent="0.25">
      <c r="A2674" s="2">
        <v>0</v>
      </c>
    </row>
    <row r="2675" spans="1:1" x14ac:dyDescent="0.25">
      <c r="A2675" s="2">
        <v>1</v>
      </c>
    </row>
    <row r="2676" spans="1:1" x14ac:dyDescent="0.25">
      <c r="A2676" s="2">
        <v>0</v>
      </c>
    </row>
    <row r="2677" spans="1:1" x14ac:dyDescent="0.25">
      <c r="A2677" s="2">
        <v>1</v>
      </c>
    </row>
    <row r="2678" spans="1:1" x14ac:dyDescent="0.25">
      <c r="A2678" s="2">
        <v>2</v>
      </c>
    </row>
    <row r="2679" spans="1:1" x14ac:dyDescent="0.25">
      <c r="A2679" s="2">
        <v>0</v>
      </c>
    </row>
    <row r="2680" spans="1:1" x14ac:dyDescent="0.25">
      <c r="A2680" s="2">
        <v>0</v>
      </c>
    </row>
    <row r="2681" spans="1:1" x14ac:dyDescent="0.25">
      <c r="A2681" s="2">
        <v>0</v>
      </c>
    </row>
    <row r="2682" spans="1:1" x14ac:dyDescent="0.25">
      <c r="A2682" s="2">
        <v>1</v>
      </c>
    </row>
    <row r="2683" spans="1:1" x14ac:dyDescent="0.25">
      <c r="A2683" s="2">
        <v>1</v>
      </c>
    </row>
    <row r="2684" spans="1:1" x14ac:dyDescent="0.25">
      <c r="A2684" s="2">
        <v>1</v>
      </c>
    </row>
    <row r="2685" spans="1:1" x14ac:dyDescent="0.25">
      <c r="A2685" s="2">
        <v>1</v>
      </c>
    </row>
    <row r="2686" spans="1:1" x14ac:dyDescent="0.25">
      <c r="A2686" s="2">
        <v>0</v>
      </c>
    </row>
    <row r="2687" spans="1:1" x14ac:dyDescent="0.25">
      <c r="A2687" s="2">
        <v>2</v>
      </c>
    </row>
    <row r="2688" spans="1:1" x14ac:dyDescent="0.25">
      <c r="A2688" s="2">
        <v>0</v>
      </c>
    </row>
    <row r="2689" spans="1:1" x14ac:dyDescent="0.25">
      <c r="A2689" s="2">
        <v>0</v>
      </c>
    </row>
    <row r="2690" spans="1:1" x14ac:dyDescent="0.25">
      <c r="A2690" s="2">
        <v>1</v>
      </c>
    </row>
    <row r="2691" spans="1:1" x14ac:dyDescent="0.25">
      <c r="A2691" s="2">
        <v>0</v>
      </c>
    </row>
    <row r="2692" spans="1:1" x14ac:dyDescent="0.25">
      <c r="A2692" s="2">
        <v>1</v>
      </c>
    </row>
    <row r="2693" spans="1:1" x14ac:dyDescent="0.25">
      <c r="A2693" s="2">
        <v>0</v>
      </c>
    </row>
    <row r="2694" spans="1:1" x14ac:dyDescent="0.25">
      <c r="A2694" s="2">
        <v>0</v>
      </c>
    </row>
    <row r="2695" spans="1:1" x14ac:dyDescent="0.25">
      <c r="A2695" s="2">
        <v>1</v>
      </c>
    </row>
    <row r="2696" spans="1:1" x14ac:dyDescent="0.25">
      <c r="A2696" s="2">
        <v>0</v>
      </c>
    </row>
    <row r="2697" spans="1:1" x14ac:dyDescent="0.25">
      <c r="A2697" s="2">
        <v>0</v>
      </c>
    </row>
    <row r="2698" spans="1:1" x14ac:dyDescent="0.25">
      <c r="A2698" s="2">
        <v>0</v>
      </c>
    </row>
    <row r="2699" spans="1:1" x14ac:dyDescent="0.25">
      <c r="A2699" s="2">
        <v>0</v>
      </c>
    </row>
    <row r="2700" spans="1:1" x14ac:dyDescent="0.25">
      <c r="A2700" s="2">
        <v>0</v>
      </c>
    </row>
    <row r="2701" spans="1:1" x14ac:dyDescent="0.25">
      <c r="A2701" s="2">
        <v>1</v>
      </c>
    </row>
    <row r="2702" spans="1:1" x14ac:dyDescent="0.25">
      <c r="A2702" s="2">
        <v>0</v>
      </c>
    </row>
    <row r="2703" spans="1:1" x14ac:dyDescent="0.25">
      <c r="A2703" s="2">
        <v>0</v>
      </c>
    </row>
    <row r="2704" spans="1:1" x14ac:dyDescent="0.25">
      <c r="A2704" s="2">
        <v>2</v>
      </c>
    </row>
    <row r="2705" spans="1:1" x14ac:dyDescent="0.25">
      <c r="A2705" s="2">
        <v>1</v>
      </c>
    </row>
    <row r="2706" spans="1:1" x14ac:dyDescent="0.25">
      <c r="A2706" s="2">
        <v>1</v>
      </c>
    </row>
    <row r="2707" spans="1:1" x14ac:dyDescent="0.25">
      <c r="A2707" s="2">
        <v>0</v>
      </c>
    </row>
    <row r="2708" spans="1:1" x14ac:dyDescent="0.25">
      <c r="A2708" s="2">
        <v>2</v>
      </c>
    </row>
    <row r="2709" spans="1:1" x14ac:dyDescent="0.25">
      <c r="A2709" s="2">
        <v>0</v>
      </c>
    </row>
    <row r="2710" spans="1:1" x14ac:dyDescent="0.25">
      <c r="A2710" s="2">
        <v>1</v>
      </c>
    </row>
    <row r="2711" spans="1:1" x14ac:dyDescent="0.25">
      <c r="A2711" s="2">
        <v>2</v>
      </c>
    </row>
    <row r="2712" spans="1:1" x14ac:dyDescent="0.25">
      <c r="A2712" s="2">
        <v>1</v>
      </c>
    </row>
    <row r="2713" spans="1:1" x14ac:dyDescent="0.25">
      <c r="A2713" s="2">
        <v>1</v>
      </c>
    </row>
    <row r="2714" spans="1:1" x14ac:dyDescent="0.25">
      <c r="A2714" s="2">
        <v>1</v>
      </c>
    </row>
    <row r="2715" spans="1:1" x14ac:dyDescent="0.25">
      <c r="A2715" s="2">
        <v>1</v>
      </c>
    </row>
    <row r="2716" spans="1:1" x14ac:dyDescent="0.25">
      <c r="A2716" s="2">
        <v>0</v>
      </c>
    </row>
    <row r="2717" spans="1:1" x14ac:dyDescent="0.25">
      <c r="A2717" s="2">
        <v>0</v>
      </c>
    </row>
    <row r="2718" spans="1:1" x14ac:dyDescent="0.25">
      <c r="A2718" s="2">
        <v>1</v>
      </c>
    </row>
    <row r="2719" spans="1:1" x14ac:dyDescent="0.25">
      <c r="A2719" s="2">
        <v>1</v>
      </c>
    </row>
    <row r="2720" spans="1:1" x14ac:dyDescent="0.25">
      <c r="A2720" s="2">
        <v>2</v>
      </c>
    </row>
    <row r="2721" spans="1:1" x14ac:dyDescent="0.25">
      <c r="A2721" s="2">
        <v>0</v>
      </c>
    </row>
    <row r="2722" spans="1:1" x14ac:dyDescent="0.25">
      <c r="A2722" s="2">
        <v>1</v>
      </c>
    </row>
    <row r="2723" spans="1:1" x14ac:dyDescent="0.25">
      <c r="A2723" s="2">
        <v>2</v>
      </c>
    </row>
    <row r="2724" spans="1:1" x14ac:dyDescent="0.25">
      <c r="A2724" s="2">
        <v>0</v>
      </c>
    </row>
    <row r="2725" spans="1:1" x14ac:dyDescent="0.25">
      <c r="A2725" s="2">
        <v>0</v>
      </c>
    </row>
    <row r="2726" spans="1:1" x14ac:dyDescent="0.25">
      <c r="A2726" s="2">
        <v>0</v>
      </c>
    </row>
    <row r="2727" spans="1:1" x14ac:dyDescent="0.25">
      <c r="A2727" s="2">
        <v>0</v>
      </c>
    </row>
    <row r="2728" spans="1:1" x14ac:dyDescent="0.25">
      <c r="A2728" s="2">
        <v>0</v>
      </c>
    </row>
    <row r="2729" spans="1:1" x14ac:dyDescent="0.25">
      <c r="A2729" s="2">
        <v>0</v>
      </c>
    </row>
    <row r="2730" spans="1:1" x14ac:dyDescent="0.25">
      <c r="A2730" s="2">
        <v>1</v>
      </c>
    </row>
    <row r="2731" spans="1:1" x14ac:dyDescent="0.25">
      <c r="A2731" s="2">
        <v>0</v>
      </c>
    </row>
    <row r="2732" spans="1:1" x14ac:dyDescent="0.25">
      <c r="A2732" s="2">
        <v>2</v>
      </c>
    </row>
    <row r="2733" spans="1:1" x14ac:dyDescent="0.25">
      <c r="A2733" s="2">
        <v>1</v>
      </c>
    </row>
    <row r="2734" spans="1:1" x14ac:dyDescent="0.25">
      <c r="A2734" s="2">
        <v>0</v>
      </c>
    </row>
    <row r="2735" spans="1:1" x14ac:dyDescent="0.25">
      <c r="A2735" s="2">
        <v>0</v>
      </c>
    </row>
    <row r="2736" spans="1:1" x14ac:dyDescent="0.25">
      <c r="A2736" s="2">
        <v>2</v>
      </c>
    </row>
    <row r="2737" spans="1:1" x14ac:dyDescent="0.25">
      <c r="A2737" s="2">
        <v>2</v>
      </c>
    </row>
    <row r="2738" spans="1:1" x14ac:dyDescent="0.25">
      <c r="A2738" s="2">
        <v>1</v>
      </c>
    </row>
    <row r="2739" spans="1:1" x14ac:dyDescent="0.25">
      <c r="A2739" s="2">
        <v>0</v>
      </c>
    </row>
    <row r="2740" spans="1:1" x14ac:dyDescent="0.25">
      <c r="A2740" s="2">
        <v>2</v>
      </c>
    </row>
    <row r="2741" spans="1:1" x14ac:dyDescent="0.25">
      <c r="A2741" s="2">
        <v>2</v>
      </c>
    </row>
    <row r="2742" spans="1:1" x14ac:dyDescent="0.25">
      <c r="A2742" s="2">
        <v>0</v>
      </c>
    </row>
    <row r="2743" spans="1:1" x14ac:dyDescent="0.25">
      <c r="A2743" s="2">
        <v>0</v>
      </c>
    </row>
    <row r="2744" spans="1:1" x14ac:dyDescent="0.25">
      <c r="A2744" s="2">
        <v>2</v>
      </c>
    </row>
    <row r="2745" spans="1:1" x14ac:dyDescent="0.25">
      <c r="A2745" s="2">
        <v>0</v>
      </c>
    </row>
    <row r="2746" spans="1:1" x14ac:dyDescent="0.25">
      <c r="A2746" s="2">
        <v>1</v>
      </c>
    </row>
    <row r="2747" spans="1:1" x14ac:dyDescent="0.25">
      <c r="A2747" s="2">
        <v>2</v>
      </c>
    </row>
    <row r="2748" spans="1:1" x14ac:dyDescent="0.25">
      <c r="A2748" s="2">
        <v>1</v>
      </c>
    </row>
    <row r="2749" spans="1:1" x14ac:dyDescent="0.25">
      <c r="A2749" s="2">
        <v>2</v>
      </c>
    </row>
    <row r="2750" spans="1:1" x14ac:dyDescent="0.25">
      <c r="A2750" s="2">
        <v>2</v>
      </c>
    </row>
    <row r="2751" spans="1:1" x14ac:dyDescent="0.25">
      <c r="A2751" s="2">
        <v>2</v>
      </c>
    </row>
    <row r="2752" spans="1:1" x14ac:dyDescent="0.25">
      <c r="A2752" s="2">
        <v>2</v>
      </c>
    </row>
    <row r="2753" spans="1:1" x14ac:dyDescent="0.25">
      <c r="A2753" s="2">
        <v>2</v>
      </c>
    </row>
    <row r="2754" spans="1:1" x14ac:dyDescent="0.25">
      <c r="A2754" s="2">
        <v>2</v>
      </c>
    </row>
    <row r="2755" spans="1:1" x14ac:dyDescent="0.25">
      <c r="A2755" s="2">
        <v>2</v>
      </c>
    </row>
    <row r="2756" spans="1:1" x14ac:dyDescent="0.25">
      <c r="A2756" s="2">
        <v>1</v>
      </c>
    </row>
    <row r="2757" spans="1:1" x14ac:dyDescent="0.25">
      <c r="A2757" s="2">
        <v>2</v>
      </c>
    </row>
    <row r="2758" spans="1:1" x14ac:dyDescent="0.25">
      <c r="A2758" s="2">
        <v>2</v>
      </c>
    </row>
    <row r="2759" spans="1:1" x14ac:dyDescent="0.25">
      <c r="A2759" s="2">
        <v>2</v>
      </c>
    </row>
    <row r="2760" spans="1:1" x14ac:dyDescent="0.25">
      <c r="A2760" s="2">
        <v>2</v>
      </c>
    </row>
    <row r="2761" spans="1:1" x14ac:dyDescent="0.25">
      <c r="A2761" s="2">
        <v>2</v>
      </c>
    </row>
    <row r="2762" spans="1:1" x14ac:dyDescent="0.25">
      <c r="A2762" s="2">
        <v>2</v>
      </c>
    </row>
    <row r="2763" spans="1:1" x14ac:dyDescent="0.25">
      <c r="A2763" s="2">
        <v>2</v>
      </c>
    </row>
    <row r="2764" spans="1:1" x14ac:dyDescent="0.25">
      <c r="A2764" s="2">
        <v>0</v>
      </c>
    </row>
    <row r="2765" spans="1:1" x14ac:dyDescent="0.25">
      <c r="A2765" s="2">
        <v>1</v>
      </c>
    </row>
    <row r="2766" spans="1:1" x14ac:dyDescent="0.25">
      <c r="A2766" s="2">
        <v>0</v>
      </c>
    </row>
    <row r="2767" spans="1:1" x14ac:dyDescent="0.25">
      <c r="A2767" s="2">
        <v>0</v>
      </c>
    </row>
    <row r="2768" spans="1:1" x14ac:dyDescent="0.25">
      <c r="A2768" s="2">
        <v>0</v>
      </c>
    </row>
    <row r="2769" spans="1:1" x14ac:dyDescent="0.25">
      <c r="A2769" s="2">
        <v>0</v>
      </c>
    </row>
    <row r="2770" spans="1:1" x14ac:dyDescent="0.25">
      <c r="A2770" s="2">
        <v>2</v>
      </c>
    </row>
    <row r="2771" spans="1:1" x14ac:dyDescent="0.25">
      <c r="A2771" s="2">
        <v>1</v>
      </c>
    </row>
    <row r="2772" spans="1:1" x14ac:dyDescent="0.25">
      <c r="A2772" s="2">
        <v>0</v>
      </c>
    </row>
    <row r="2773" spans="1:1" x14ac:dyDescent="0.25">
      <c r="A2773" s="2">
        <v>0</v>
      </c>
    </row>
    <row r="2774" spans="1:1" x14ac:dyDescent="0.25">
      <c r="A2774" s="2">
        <v>0</v>
      </c>
    </row>
    <row r="2775" spans="1:1" x14ac:dyDescent="0.25">
      <c r="A2775" s="2">
        <v>2</v>
      </c>
    </row>
    <row r="2776" spans="1:1" x14ac:dyDescent="0.25">
      <c r="A2776" s="2">
        <v>1</v>
      </c>
    </row>
    <row r="2777" spans="1:1" x14ac:dyDescent="0.25">
      <c r="A2777" s="2">
        <v>0</v>
      </c>
    </row>
    <row r="2778" spans="1:1" x14ac:dyDescent="0.25">
      <c r="A2778" s="2">
        <v>0</v>
      </c>
    </row>
    <row r="2779" spans="1:1" x14ac:dyDescent="0.25">
      <c r="A2779" s="2">
        <v>1</v>
      </c>
    </row>
    <row r="2780" spans="1:1" x14ac:dyDescent="0.25">
      <c r="A2780" s="2">
        <v>1</v>
      </c>
    </row>
    <row r="2781" spans="1:1" x14ac:dyDescent="0.25">
      <c r="A2781" s="2">
        <v>0</v>
      </c>
    </row>
    <row r="2782" spans="1:1" x14ac:dyDescent="0.25">
      <c r="A2782" s="2">
        <v>1</v>
      </c>
    </row>
    <row r="2783" spans="1:1" x14ac:dyDescent="0.25">
      <c r="A2783" s="2">
        <v>0</v>
      </c>
    </row>
    <row r="2784" spans="1:1" x14ac:dyDescent="0.25">
      <c r="A2784" s="2">
        <v>0</v>
      </c>
    </row>
    <row r="2785" spans="1:1" x14ac:dyDescent="0.25">
      <c r="A2785" s="2">
        <v>0</v>
      </c>
    </row>
    <row r="2786" spans="1:1" x14ac:dyDescent="0.25">
      <c r="A2786" s="2">
        <v>0</v>
      </c>
    </row>
    <row r="2787" spans="1:1" x14ac:dyDescent="0.25">
      <c r="A2787" s="2">
        <v>0</v>
      </c>
    </row>
    <row r="2788" spans="1:1" x14ac:dyDescent="0.25">
      <c r="A2788" s="2">
        <v>1</v>
      </c>
    </row>
    <row r="2789" spans="1:1" x14ac:dyDescent="0.25">
      <c r="A2789" s="2">
        <v>0</v>
      </c>
    </row>
    <row r="2790" spans="1:1" x14ac:dyDescent="0.25">
      <c r="A2790" s="2">
        <v>0</v>
      </c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Sheet1</vt:lpstr>
      <vt:lpstr>Φύλλο1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Κωνσταντίνα</cp:lastModifiedBy>
  <dcterms:created xsi:type="dcterms:W3CDTF">2026-02-18T04:37:21Z</dcterms:created>
  <dcterms:modified xsi:type="dcterms:W3CDTF">2026-06-04T13:11:37Z</dcterms:modified>
</cp:coreProperties>
</file>